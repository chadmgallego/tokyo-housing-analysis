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TY1PEPF000013C5\EXCELCNV\5c6fbfdf-c83a-4ad3-bb5a-d4d1d97a002e\"/>
    </mc:Choice>
  </mc:AlternateContent>
  <xr:revisionPtr revIDLastSave="1753" documentId="8_{4499F884-3400-40C8-8D34-E887C7E0D1FD}" xr6:coauthVersionLast="47" xr6:coauthVersionMax="47" xr10:uidLastSave="{DDA169E5-0A8E-41CF-90E8-F13B6B5CC15D}"/>
  <bookViews>
    <workbookView xWindow="-60" yWindow="-60" windowWidth="15480" windowHeight="11640" firstSheet="1" xr2:uid="{6EE0953E-50B0-4272-B10B-AC10993D864E}"/>
  </bookViews>
  <sheets>
    <sheet name="HOUSING_TABLE" sheetId="4" r:id="rId1"/>
    <sheet name="RENTAL_MARKET_OVERVIEW" sheetId="2" r:id="rId2"/>
    <sheet name="CHARTS" sheetId="5" r:id="rId3"/>
    <sheet name="MODEL_OVERVIEW" sheetId="6" r:id="rId4"/>
  </sheets>
  <calcPr calcId="191028"/>
  <pivotCaches>
    <pivotCache cacheId="1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M18" i="2" a="1"/>
  <c r="M18" i="2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6" i="6" a="1"/>
  <c r="E6" i="6"/>
  <c r="E2" i="6"/>
  <c r="E3" i="6"/>
  <c r="E4" i="6"/>
  <c r="E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3" i="6"/>
  <c r="D4" i="6"/>
  <c r="D5" i="6"/>
  <c r="G19" i="2" a="1"/>
  <c r="G19" i="2"/>
  <c r="G20" i="2" a="1"/>
  <c r="G20" i="2"/>
  <c r="G21" i="2" a="1"/>
  <c r="G21" i="2"/>
  <c r="G22" i="2" a="1"/>
  <c r="G22" i="2"/>
  <c r="G23" i="2" a="1"/>
  <c r="G23" i="2"/>
  <c r="G24" i="2" a="1"/>
  <c r="G24" i="2"/>
  <c r="G25" i="2" a="1"/>
  <c r="G25" i="2" s="1"/>
  <c r="G26" i="2" a="1"/>
  <c r="G26" i="2" s="1"/>
  <c r="G27" i="2" a="1"/>
  <c r="G27" i="2" s="1"/>
  <c r="G28" i="2" a="1"/>
  <c r="G28" i="2" s="1"/>
  <c r="G29" i="2" a="1"/>
  <c r="G29" i="2" s="1"/>
  <c r="G30" i="2" a="1"/>
  <c r="G30" i="2" s="1"/>
  <c r="G31" i="2" a="1"/>
  <c r="G31" i="2" s="1"/>
  <c r="G32" i="2" a="1"/>
  <c r="G32" i="2" s="1"/>
  <c r="G33" i="2" a="1"/>
  <c r="G33" i="2" s="1"/>
  <c r="G34" i="2" a="1"/>
  <c r="G34" i="2" s="1"/>
  <c r="G35" i="2" a="1"/>
  <c r="G35" i="2" s="1"/>
  <c r="G36" i="2" a="1"/>
  <c r="G36" i="2" s="1"/>
  <c r="G37" i="2" a="1"/>
  <c r="G37" i="2" s="1"/>
  <c r="G38" i="2" a="1"/>
  <c r="G38" i="2" s="1"/>
  <c r="G39" i="2" a="1"/>
  <c r="G39" i="2" s="1"/>
  <c r="G18" i="2" a="1"/>
  <c r="G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18" i="2" a="1"/>
  <c r="F18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I22" i="2" a="1"/>
  <c r="I22" i="2" s="1"/>
  <c r="I23" i="2" a="1"/>
  <c r="I23" i="2" s="1"/>
  <c r="I32" i="2" a="1"/>
  <c r="I32" i="2" s="1"/>
  <c r="I26" i="2" a="1"/>
  <c r="I26" i="2" s="1"/>
  <c r="I35" i="2" a="1"/>
  <c r="I35" i="2" s="1"/>
  <c r="I36" i="2" a="1"/>
  <c r="I36" i="2" s="1"/>
  <c r="I30" i="2" a="1"/>
  <c r="I30" i="2" s="1"/>
  <c r="I37" i="2" a="1"/>
  <c r="I37" i="2" s="1"/>
  <c r="I19" i="2" a="1"/>
  <c r="I19" i="2" s="1"/>
  <c r="I29" i="2" a="1"/>
  <c r="I29" i="2" s="1"/>
  <c r="I18" i="2" a="1"/>
  <c r="I18" i="2" s="1"/>
  <c r="I25" i="2" a="1"/>
  <c r="I25" i="2" s="1"/>
  <c r="I27" i="2" a="1"/>
  <c r="I27" i="2" s="1"/>
  <c r="I38" i="2" a="1"/>
  <c r="I38" i="2" s="1"/>
  <c r="I24" i="2" a="1"/>
  <c r="I24" i="2" s="1"/>
  <c r="I31" i="2" a="1"/>
  <c r="I31" i="2" s="1"/>
  <c r="I39" i="2" a="1"/>
  <c r="I39" i="2" s="1"/>
  <c r="I20" i="2" a="1"/>
  <c r="I20" i="2" s="1"/>
  <c r="I21" i="2" a="1"/>
  <c r="I21" i="2" s="1"/>
  <c r="I34" i="2" a="1"/>
  <c r="I34" i="2" s="1"/>
  <c r="I33" i="2" a="1"/>
  <c r="I33" i="2" s="1"/>
  <c r="I28" i="2" a="1"/>
  <c r="I28" i="2" s="1"/>
  <c r="P18" i="2" a="1"/>
  <c r="P18" i="2" s="1"/>
  <c r="H22" i="2" a="1"/>
  <c r="H22" i="2" s="1"/>
  <c r="H23" i="2" a="1"/>
  <c r="H23" i="2" s="1"/>
  <c r="H32" i="2" a="1"/>
  <c r="H32" i="2" s="1"/>
  <c r="H26" i="2" a="1"/>
  <c r="H26" i="2" s="1"/>
  <c r="H35" i="2" a="1"/>
  <c r="H35" i="2" s="1"/>
  <c r="H36" i="2" a="1"/>
  <c r="H36" i="2" s="1"/>
  <c r="H30" i="2" a="1"/>
  <c r="H30" i="2" s="1"/>
  <c r="H37" i="2" a="1"/>
  <c r="H37" i="2" s="1"/>
  <c r="H19" i="2" a="1"/>
  <c r="H19" i="2" s="1"/>
  <c r="H29" i="2" a="1"/>
  <c r="H29" i="2" s="1"/>
  <c r="H18" i="2" a="1"/>
  <c r="H18" i="2" s="1"/>
  <c r="H25" i="2" a="1"/>
  <c r="H25" i="2" s="1"/>
  <c r="H27" i="2" a="1"/>
  <c r="H27" i="2" s="1"/>
  <c r="H38" i="2" a="1"/>
  <c r="H38" i="2" s="1"/>
  <c r="H24" i="2" a="1"/>
  <c r="H24" i="2" s="1"/>
  <c r="H31" i="2" a="1"/>
  <c r="H31" i="2" s="1"/>
  <c r="H39" i="2" a="1"/>
  <c r="H39" i="2" s="1"/>
  <c r="H20" i="2" a="1"/>
  <c r="H20" i="2" s="1"/>
  <c r="H21" i="2" a="1"/>
  <c r="H21" i="2" s="1"/>
  <c r="H34" i="2" a="1"/>
  <c r="H34" i="2" s="1"/>
  <c r="H33" i="2" a="1"/>
  <c r="H33" i="2" s="1"/>
  <c r="H28" i="2" a="1"/>
  <c r="H28" i="2" s="1"/>
  <c r="O18" i="2" a="1"/>
  <c r="O18" i="2" s="1"/>
  <c r="D22" i="2" a="1"/>
  <c r="D22" i="2" s="1"/>
  <c r="D23" i="2" a="1"/>
  <c r="D23" i="2" s="1"/>
  <c r="D32" i="2" a="1"/>
  <c r="D32" i="2" s="1"/>
  <c r="D26" i="2" a="1"/>
  <c r="D26" i="2" s="1"/>
  <c r="D35" i="2" a="1"/>
  <c r="D35" i="2" s="1"/>
  <c r="D36" i="2" a="1"/>
  <c r="D36" i="2" s="1"/>
  <c r="D30" i="2" a="1"/>
  <c r="D30" i="2" s="1"/>
  <c r="D37" i="2" a="1"/>
  <c r="D37" i="2" s="1"/>
  <c r="D19" i="2" a="1"/>
  <c r="D19" i="2" s="1"/>
  <c r="D29" i="2" a="1"/>
  <c r="D29" i="2" s="1"/>
  <c r="D18" i="2" a="1"/>
  <c r="D18" i="2" s="1"/>
  <c r="D25" i="2" a="1"/>
  <c r="D25" i="2" s="1"/>
  <c r="D27" i="2" a="1"/>
  <c r="D27" i="2" s="1"/>
  <c r="D38" i="2" a="1"/>
  <c r="D38" i="2" s="1"/>
  <c r="D24" i="2" a="1"/>
  <c r="D24" i="2" s="1"/>
  <c r="D31" i="2" a="1"/>
  <c r="D31" i="2" s="1"/>
  <c r="D39" i="2" a="1"/>
  <c r="D39" i="2" s="1"/>
  <c r="D20" i="2" a="1"/>
  <c r="D20" i="2" s="1"/>
  <c r="D21" i="2" a="1"/>
  <c r="D21" i="2" s="1"/>
  <c r="D34" i="2" a="1"/>
  <c r="D34" i="2" s="1"/>
  <c r="D33" i="2" a="1"/>
  <c r="D33" i="2" s="1"/>
  <c r="D28" i="2" a="1"/>
  <c r="D28" i="2" s="1"/>
  <c r="C22" i="2"/>
  <c r="C23" i="2"/>
  <c r="C32" i="2"/>
  <c r="C26" i="2"/>
  <c r="C35" i="2"/>
  <c r="C36" i="2"/>
  <c r="C30" i="2"/>
  <c r="C37" i="2"/>
  <c r="C19" i="2"/>
  <c r="C29" i="2"/>
  <c r="C18" i="2"/>
  <c r="C25" i="2"/>
  <c r="C27" i="2"/>
  <c r="C38" i="2"/>
  <c r="C24" i="2"/>
  <c r="C31" i="2"/>
  <c r="C39" i="2"/>
  <c r="C20" i="2"/>
  <c r="C21" i="2"/>
  <c r="C34" i="2"/>
  <c r="C33" i="2"/>
  <c r="C28" i="2"/>
  <c r="P22" i="2" a="1"/>
  <c r="P22" i="2" s="1"/>
  <c r="P20" i="2" a="1"/>
  <c r="P20" i="2" s="1"/>
  <c r="P34" i="2" a="1"/>
  <c r="P34" i="2" s="1"/>
  <c r="P26" i="2" a="1"/>
  <c r="P26" i="2" s="1"/>
  <c r="P24" i="2" a="1"/>
  <c r="P24" i="2" s="1"/>
  <c r="P25" i="2" a="1"/>
  <c r="P25" i="2" s="1"/>
  <c r="P21" i="2" a="1"/>
  <c r="P21" i="2" s="1"/>
  <c r="P35" i="2" a="1"/>
  <c r="P35" i="2" s="1"/>
  <c r="P27" i="2" a="1"/>
  <c r="P27" i="2" s="1"/>
  <c r="P28" i="2" a="1"/>
  <c r="P28" i="2" s="1"/>
  <c r="P32" i="2" a="1"/>
  <c r="P32" i="2" s="1"/>
  <c r="P23" i="2" a="1"/>
  <c r="P23" i="2" s="1"/>
  <c r="P33" i="2" a="1"/>
  <c r="P33" i="2" s="1"/>
  <c r="P29" i="2" a="1"/>
  <c r="P29" i="2" s="1"/>
  <c r="P30" i="2" a="1"/>
  <c r="P30" i="2" s="1"/>
  <c r="P31" i="2" a="1"/>
  <c r="P31" i="2" s="1"/>
  <c r="P37" i="2" a="1"/>
  <c r="P37" i="2" s="1"/>
  <c r="P36" i="2" a="1"/>
  <c r="P36" i="2" s="1"/>
  <c r="P38" i="2" a="1"/>
  <c r="P38" i="2" s="1"/>
  <c r="O22" i="2" a="1"/>
  <c r="O22" i="2" s="1"/>
  <c r="O20" i="2" a="1"/>
  <c r="O20" i="2" s="1"/>
  <c r="O34" i="2" a="1"/>
  <c r="O34" i="2" s="1"/>
  <c r="O26" i="2" a="1"/>
  <c r="O26" i="2" s="1"/>
  <c r="O24" i="2" a="1"/>
  <c r="O24" i="2" s="1"/>
  <c r="O25" i="2" a="1"/>
  <c r="O25" i="2" s="1"/>
  <c r="O21" i="2" a="1"/>
  <c r="O21" i="2" s="1"/>
  <c r="O35" i="2" a="1"/>
  <c r="O35" i="2" s="1"/>
  <c r="O27" i="2" a="1"/>
  <c r="O27" i="2" s="1"/>
  <c r="O28" i="2" a="1"/>
  <c r="O28" i="2" s="1"/>
  <c r="O32" i="2" a="1"/>
  <c r="O32" i="2" s="1"/>
  <c r="O23" i="2" a="1"/>
  <c r="O23" i="2" s="1"/>
  <c r="O33" i="2" a="1"/>
  <c r="O33" i="2" s="1"/>
  <c r="O29" i="2" a="1"/>
  <c r="O29" i="2" s="1"/>
  <c r="O30" i="2" a="1"/>
  <c r="O30" i="2" s="1"/>
  <c r="O31" i="2" a="1"/>
  <c r="O31" i="2" s="1"/>
  <c r="O37" i="2" a="1"/>
  <c r="O37" i="2" s="1"/>
  <c r="O36" i="2" a="1"/>
  <c r="O36" i="2" s="1"/>
  <c r="O38" i="2" a="1"/>
  <c r="O38" i="2" s="1"/>
  <c r="N22" i="2" l="1" a="1"/>
  <c r="N22" i="2" s="1"/>
  <c r="N34" i="2" a="1"/>
  <c r="N34" i="2" s="1"/>
  <c r="N25" i="2" a="1"/>
  <c r="N25" i="2" s="1"/>
  <c r="N27" i="2" a="1"/>
  <c r="N27" i="2" s="1"/>
  <c r="N23" i="2" a="1"/>
  <c r="N23" i="2" s="1"/>
  <c r="N30" i="2" a="1"/>
  <c r="N30" i="2" s="1"/>
  <c r="N36" i="2" a="1"/>
  <c r="N36" i="2" s="1"/>
  <c r="M20" i="2" a="1"/>
  <c r="M20" i="2" s="1"/>
  <c r="M24" i="2" a="1"/>
  <c r="M24" i="2" s="1"/>
  <c r="M35" i="2" a="1"/>
  <c r="M35" i="2" s="1"/>
  <c r="M32" i="2" a="1"/>
  <c r="M32" i="2" s="1"/>
  <c r="M29" i="2" a="1"/>
  <c r="M29" i="2" s="1"/>
  <c r="M37" i="2" a="1"/>
  <c r="M37" i="2" s="1"/>
  <c r="N35" i="2" a="1"/>
  <c r="N35" i="2" s="1"/>
  <c r="N29" i="2" a="1"/>
  <c r="N29" i="2" s="1"/>
  <c r="M22" i="2" a="1"/>
  <c r="M22" i="2" s="1"/>
  <c r="M21" i="2" a="1"/>
  <c r="M21" i="2" s="1"/>
  <c r="M33" i="2" a="1"/>
  <c r="M33" i="2" s="1"/>
  <c r="M38" i="2" a="1"/>
  <c r="M38" i="2" s="1"/>
  <c r="N18" i="2" a="1"/>
  <c r="N18" i="2" s="1"/>
  <c r="N26" i="2" a="1"/>
  <c r="N26" i="2" s="1"/>
  <c r="N21" i="2" a="1"/>
  <c r="N21" i="2" s="1"/>
  <c r="N28" i="2" a="1"/>
  <c r="N28" i="2" s="1"/>
  <c r="N33" i="2" a="1"/>
  <c r="N33" i="2" s="1"/>
  <c r="N31" i="2" a="1"/>
  <c r="N31" i="2" s="1"/>
  <c r="N38" i="2" a="1"/>
  <c r="N38" i="2" s="1"/>
  <c r="M34" i="2" a="1"/>
  <c r="M34" i="2" s="1"/>
  <c r="M25" i="2" a="1"/>
  <c r="M25" i="2" s="1"/>
  <c r="M27" i="2" a="1"/>
  <c r="M27" i="2" s="1"/>
  <c r="M23" i="2" a="1"/>
  <c r="M23" i="2" s="1"/>
  <c r="M30" i="2" a="1"/>
  <c r="M30" i="2" s="1"/>
  <c r="M36" i="2" a="1"/>
  <c r="M36" i="2" s="1"/>
  <c r="N20" i="2" a="1"/>
  <c r="N20" i="2" s="1"/>
  <c r="N24" i="2" a="1"/>
  <c r="N24" i="2" s="1"/>
  <c r="N32" i="2" a="1"/>
  <c r="N32" i="2" s="1"/>
  <c r="N37" i="2" a="1"/>
  <c r="N37" i="2" s="1"/>
  <c r="M26" i="2" a="1"/>
  <c r="M26" i="2" s="1"/>
  <c r="M28" i="2" a="1"/>
  <c r="M28" i="2" s="1"/>
  <c r="M31" i="2" a="1"/>
  <c r="M31" i="2" s="1"/>
  <c r="P19" i="2" a="1"/>
  <c r="P19" i="2" s="1"/>
  <c r="O19" i="2" a="1"/>
  <c r="O19" i="2" s="1"/>
  <c r="N19" i="2" a="1"/>
  <c r="N19" i="2" s="1"/>
  <c r="M19" i="2" a="1"/>
  <c r="M19" i="2" s="1"/>
  <c r="L30" i="2"/>
  <c r="L28" i="2"/>
  <c r="L37" i="2"/>
  <c r="L32" i="2"/>
  <c r="L38" i="2"/>
  <c r="L23" i="2"/>
  <c r="L34" i="2"/>
  <c r="L21" i="2"/>
  <c r="L18" i="2"/>
  <c r="L33" i="2"/>
  <c r="L22" i="2"/>
  <c r="L36" i="2"/>
  <c r="L25" i="2"/>
  <c r="L35" i="2"/>
  <c r="L26" i="2"/>
  <c r="L29" i="2"/>
  <c r="L31" i="2"/>
  <c r="L19" i="2"/>
  <c r="L20" i="2"/>
  <c r="L27" i="2"/>
  <c r="L2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<sst xmlns="http://schemas.openxmlformats.org/spreadsheetml/2006/main" count="33563" uniqueCount="7469">
  <si>
    <t>url</t>
  </si>
  <si>
    <t>title</t>
  </si>
  <si>
    <t>address</t>
  </si>
  <si>
    <t>rent (¥)</t>
  </si>
  <si>
    <t>management_fee (¥)</t>
  </si>
  <si>
    <t>deposit (¥)</t>
  </si>
  <si>
    <t>key_money (¥)</t>
  </si>
  <si>
    <t>floor</t>
  </si>
  <si>
    <t>floor_plan</t>
  </si>
  <si>
    <t>area ( m²)</t>
  </si>
  <si>
    <t>building_age (years)</t>
  </si>
  <si>
    <t>building_size (floors)</t>
  </si>
  <si>
    <t>nearest_station</t>
  </si>
  <si>
    <t>distance_to_nearest_station (min)</t>
  </si>
  <si>
    <t>avg_distance_to_stations (min)</t>
  </si>
  <si>
    <t>avg_rent_by_station (¥)</t>
  </si>
  <si>
    <t>avg_rent_by_floor_plan (¥)</t>
  </si>
  <si>
    <t>count_listings_per_station</t>
  </si>
  <si>
    <t>count_listings_per_floor_plan</t>
  </si>
  <si>
    <t>area range ( m²)</t>
  </si>
  <si>
    <t>age range (years)</t>
  </si>
  <si>
    <t>https://suumo.jp/chintai/jnc_000104178846/?bc=100476609409</t>
  </si>
  <si>
    <t>Rua目白</t>
  </si>
  <si>
    <t>東京都新宿区下落合３</t>
  </si>
  <si>
    <t>1DK</t>
  </si>
  <si>
    <t>下落合駅</t>
  </si>
  <si>
    <t>30-40</t>
  </si>
  <si>
    <t>21-30</t>
  </si>
  <si>
    <t>https://suumo.jp/chintai/jnc_000104326010/?bc=100486220203</t>
  </si>
  <si>
    <t>ZOOM高田馬場</t>
  </si>
  <si>
    <t>東京都新宿区下落合１</t>
  </si>
  <si>
    <t>1-10</t>
  </si>
  <si>
    <t>https://suumo.jp/chintai/jnc_000075356931/?bc=100484582900</t>
  </si>
  <si>
    <t>https://suumo.jp/chintai/jnc_000075356934/?bc=100481518869</t>
  </si>
  <si>
    <t>20-30</t>
  </si>
  <si>
    <t>https://suumo.jp/chintai/jnc_000076867817/?bc=100472304790</t>
  </si>
  <si>
    <t>アマリア落合</t>
  </si>
  <si>
    <t>東京都新宿区中落合２</t>
  </si>
  <si>
    <t>61+</t>
  </si>
  <si>
    <t>https://suumo.jp/chintai/jnc_000104509144/?bc=100477031684</t>
  </si>
  <si>
    <t>カーサ野原</t>
  </si>
  <si>
    <t>東京都新宿区上落合１</t>
  </si>
  <si>
    <t>41-50</t>
  </si>
  <si>
    <t>https://suumo.jp/chintai/jnc_000096117880/?bc=100484812654</t>
  </si>
  <si>
    <t>ガラ・シティ高田馬場</t>
  </si>
  <si>
    <t>東京都新宿区下落合２</t>
  </si>
  <si>
    <t>https://suumo.jp/chintai/jnc_000077275791/?bc=100479711807</t>
  </si>
  <si>
    <t>コーポ塩島</t>
  </si>
  <si>
    <t>東京都新宿区高田馬場３</t>
  </si>
  <si>
    <t>31-40</t>
  </si>
  <si>
    <t>https://suumo.jp/chintai/jnc_000104391729/?bc=100485548359</t>
  </si>
  <si>
    <t>フォレストヒルズ中落合</t>
  </si>
  <si>
    <t>https://suumo.jp/chintai/jnc_000104091492/?bc=100483049052</t>
  </si>
  <si>
    <t>モダンアパートメント高田馬場</t>
  </si>
  <si>
    <t>東京都新宿区下落合４</t>
  </si>
  <si>
    <t>https://suumo.jp/chintai/jnc_000032425636/?bc=100486085999</t>
  </si>
  <si>
    <t>米山アパート</t>
  </si>
  <si>
    <t>51-60</t>
  </si>
  <si>
    <t>https://suumo.jp/chintai/jnc_000102547002/?bc=100411665602</t>
  </si>
  <si>
    <t>落合エイコーマンション</t>
  </si>
  <si>
    <t>https://suumo.jp/chintai/jnc_000104249152/?bc=100483926770</t>
  </si>
  <si>
    <t>西武新宿線 下落合駅 2階建 築2年</t>
  </si>
  <si>
    <t>https://suumo.jp/chintai/jnc_000104391730/?bc=100485488978</t>
  </si>
  <si>
    <t>西武新宿線 下落合駅 3階建 築28年</t>
  </si>
  <si>
    <t>https://suumo.jp/chintai/jnc_000104186385/?bc=100483625662</t>
  </si>
  <si>
    <t>西武新宿線 下落合駅 3階建 築4年</t>
  </si>
  <si>
    <t>https://suumo.jp/chintai/jnc_000103593438/?bc=100481242083</t>
  </si>
  <si>
    <t>西武新宿線 下落合駅 4階建 築39年</t>
  </si>
  <si>
    <t>https://suumo.jp/chintai/jnc_000103873092/?bc=100481705535</t>
  </si>
  <si>
    <t>西武新宿線 下落合駅 9階建 築29年</t>
  </si>
  <si>
    <t>https://suumo.jp/chintai/jnc_000097881606/?bc=100437961598</t>
  </si>
  <si>
    <t>https://suumo.jp/chintai/jnc_000104076250/?bc=100482936491</t>
  </si>
  <si>
    <t>Ｄ’ｓＶＡＲＩＥ高田馬場レジデンス</t>
  </si>
  <si>
    <t>https://suumo.jp/chintai/jnc_000104509202/?bc=100486166184</t>
  </si>
  <si>
    <t>ＪＲ山手線 高田馬場駅 10階建 築5年</t>
  </si>
  <si>
    <t>https://suumo.jp/chintai/jnc_000104498689/?bc=100486107896</t>
  </si>
  <si>
    <t>ＪＲ山手線 高田馬場駅 2階建 築52年</t>
  </si>
  <si>
    <t>https://suumo.jp/chintai/jnc_000104085847/?bc=100483324484</t>
  </si>
  <si>
    <t>ＪＲ山手線 高田馬場駅 3階建 築6年</t>
  </si>
  <si>
    <t>https://suumo.jp/chintai/jnc_000104454676/?bc=100485779101</t>
  </si>
  <si>
    <t>ＪＲ山手線 高田馬場駅 4階建 新築</t>
  </si>
  <si>
    <t>&lt;1</t>
  </si>
  <si>
    <t>https://suumo.jp/chintai/jnc_000103658019/?bc=100480409754</t>
  </si>
  <si>
    <t>ＪＲ山手線 高田馬場駅 地下1地上4階建 新築</t>
  </si>
  <si>
    <t>https://suumo.jp/chintai/jnc_000103636276/?bc=100481322745</t>
  </si>
  <si>
    <t>ＬｉｖｅＦｌａｔ高田馬場</t>
  </si>
  <si>
    <t>https://suumo.jp/chintai/jnc_000103636278/?bc=100480714785</t>
  </si>
  <si>
    <t>https://suumo.jp/chintai/jnc_000104372539/?bc=100479096561</t>
  </si>
  <si>
    <t>APRICOT</t>
  </si>
  <si>
    <t>1K</t>
  </si>
  <si>
    <t>11-20</t>
  </si>
  <si>
    <t>https://suumo.jp/chintai/jnc_000104540969/?bc=100469218526</t>
  </si>
  <si>
    <t>https://suumo.jp/chintai/jnc_000103770588/?bc=100480731616</t>
  </si>
  <si>
    <t>AXAS高田馬場</t>
  </si>
  <si>
    <t>東京都新宿区高田馬場４</t>
  </si>
  <si>
    <t>https://suumo.jp/chintai/jnc_000104285663/?bc=100484819235</t>
  </si>
  <si>
    <t>B City 高田馬場　alivie</t>
  </si>
  <si>
    <t>https://suumo.jp/chintai/jnc_000103599931/?bc=100483908962</t>
  </si>
  <si>
    <t>https://suumo.jp/chintai/jnc_000102663277/?bc=100481899450</t>
  </si>
  <si>
    <t>CREAL高田馬場</t>
  </si>
  <si>
    <t>https://suumo.jp/chintai/jnc_000103204675/?bc=100481380994</t>
  </si>
  <si>
    <t>アイコート下落合</t>
  </si>
  <si>
    <t>https://suumo.jp/chintai/jnc_000104509150/?bc=100445998708</t>
  </si>
  <si>
    <t>アルティザ新宿落合ソノリテ</t>
  </si>
  <si>
    <t>東京都新宿区上落合２</t>
  </si>
  <si>
    <t>https://suumo.jp/chintai/jnc_000103610284/?bc=100485948516</t>
  </si>
  <si>
    <t>https://suumo.jp/chintai/jnc_000104518508/?bc=100486226750</t>
  </si>
  <si>
    <t>エクセル</t>
  </si>
  <si>
    <t>10-20</t>
  </si>
  <si>
    <t>https://suumo.jp/chintai/jnc_000104101241/?bc=100484364723</t>
  </si>
  <si>
    <t>エミリブ下落合</t>
  </si>
  <si>
    <t>https://suumo.jp/chintai/jnc_000104028799/?bc=100482474767</t>
  </si>
  <si>
    <t>https://suumo.jp/chintai/jnc_000104261574/?bc=100484237488</t>
  </si>
  <si>
    <t>https://suumo.jp/chintai/jnc_000101438332/?bc=100484673781</t>
  </si>
  <si>
    <t>https://suumo.jp/chintai/jnc_000103432592/?bc=100484350773</t>
  </si>
  <si>
    <t>https://suumo.jp/chintai/jnc_000104458798/?bc=100485975408</t>
  </si>
  <si>
    <t>エヴァーライフ</t>
  </si>
  <si>
    <t>https://suumo.jp/chintai/jnc_000104473636/?bc=100486287928</t>
  </si>
  <si>
    <t>エーデルシュタイン</t>
  </si>
  <si>
    <t>https://suumo.jp/chintai/jnc_000104101250/?bc=100484260197</t>
  </si>
  <si>
    <t>カメリア新目白</t>
  </si>
  <si>
    <t>東京都新宿区中落合１</t>
  </si>
  <si>
    <t>https://suumo.jp/chintai/jnc_000029055424/?bc=100484455961</t>
  </si>
  <si>
    <t>https://suumo.jp/chintai/jnc_000104411710/?bc=100485619761</t>
  </si>
  <si>
    <t>クレイシア新宿中落合</t>
  </si>
  <si>
    <t>https://suumo.jp/chintai/jnc_000104326013/?bc=100484825547</t>
  </si>
  <si>
    <t>グランジュール目白西</t>
  </si>
  <si>
    <t>https://suumo.jp/chintai/jnc_000104295011/?bc=100485609698</t>
  </si>
  <si>
    <t>グラントゥルース上落合</t>
  </si>
  <si>
    <t>https://suumo.jp/chintai/jnc_000104148252/?bc=100483716035</t>
  </si>
  <si>
    <t>コンフォリア中落合</t>
  </si>
  <si>
    <t>https://suumo.jp/chintai/jnc_000104449308/?bc=100485866781</t>
  </si>
  <si>
    <t>https://suumo.jp/chintai/jnc_000076923218/?bc=100240207609</t>
  </si>
  <si>
    <t>サニーコートさつき</t>
  </si>
  <si>
    <t>https://suumo.jp/chintai/jnc_000091728138/?bc=100247375189</t>
  </si>
  <si>
    <t>https://suumo.jp/chintai/jnc_000103373127/?bc=100479665537</t>
  </si>
  <si>
    <t>シティハイム・オーティアス</t>
  </si>
  <si>
    <t>https://suumo.jp/chintai/jnc_000104015693/?bc=100482195422</t>
  </si>
  <si>
    <t>シプレ新宿中落合</t>
  </si>
  <si>
    <t>https://suumo.jp/chintai/jnc_000101605831/?bc=100478743563</t>
  </si>
  <si>
    <t>https://suumo.jp/chintai/jnc_000102028780/?bc=100477243529</t>
  </si>
  <si>
    <t>シーズンフラッツ高田馬場リバーサイドノース</t>
  </si>
  <si>
    <t>https://suumo.jp/chintai/jnc_000104010134/?bc=100482328548</t>
  </si>
  <si>
    <t>ジェノヴィア新宿中落合スカイガーデン</t>
  </si>
  <si>
    <t>https://suumo.jp/chintai/jnc_000101753099/?bc=100464300734</t>
  </si>
  <si>
    <t>https://suumo.jp/chintai/jnc_000097389553/?bc=100445850221</t>
  </si>
  <si>
    <t>https://suumo.jp/chintai/jnc_000101629254/?bc=100485050680</t>
  </si>
  <si>
    <t>https://suumo.jp/chintai/jnc_000101618579/?bc=100461418870</t>
  </si>
  <si>
    <t>https://suumo.jp/chintai/jnc_000104518515/?bc=100486237502</t>
  </si>
  <si>
    <t>スカイコート高田馬場第６</t>
  </si>
  <si>
    <t>https://suumo.jp/chintai/jnc_000100583627/?bc=100452605864</t>
  </si>
  <si>
    <t>ステューディオＡ１</t>
  </si>
  <si>
    <t>https://suumo.jp/chintai/jnc_000104525309/?bc=100486373949</t>
  </si>
  <si>
    <t>ステージグランデ上落合</t>
  </si>
  <si>
    <t>https://suumo.jp/chintai/jnc_000103222837/?bc=100476268474</t>
  </si>
  <si>
    <t>https://suumo.jp/chintai/jnc_000103013407/?bc=100483127538</t>
  </si>
  <si>
    <t>セリュークス高田馬場</t>
  </si>
  <si>
    <t>https://suumo.jp/chintai/jnc_000104249145/?bc=100484202633</t>
  </si>
  <si>
    <t>https://suumo.jp/chintai/jnc_000104325998/?bc=100484705132</t>
  </si>
  <si>
    <t>ソフィア上落合</t>
  </si>
  <si>
    <t>https://suumo.jp/chintai/jnc_000104280009/?bc=100476713172</t>
  </si>
  <si>
    <t>ドエル下落合</t>
  </si>
  <si>
    <t>https://suumo.jp/chintai/jnc_000048786664/?bc=100287072165</t>
  </si>
  <si>
    <t>バラハウス</t>
  </si>
  <si>
    <t>https://suumo.jp/chintai/jnc_000058579261/?bc=100287072622</t>
  </si>
  <si>
    <t>https://suumo.jp/chintai/jnc_000042878231/?bc=100287072755</t>
  </si>
  <si>
    <t>https://suumo.jp/chintai/jnc_000104241027/?bc=100482544688</t>
  </si>
  <si>
    <t>パークウェル下落合駅前</t>
  </si>
  <si>
    <t>https://suumo.jp/chintai/jnc_000068789972/?bc=100477855456</t>
  </si>
  <si>
    <t>ビラニューセンチュリー２</t>
  </si>
  <si>
    <t>https://suumo.jp/chintai/jnc_000104186367/?bc=100485091608</t>
  </si>
  <si>
    <t>フェニックス下落合</t>
  </si>
  <si>
    <t>https://suumo.jp/chintai/jnc_000102238493/?bc=100468103650</t>
  </si>
  <si>
    <t>フラワーハウス</t>
  </si>
  <si>
    <t>https://suumo.jp/chintai/jnc_000104076260/?bc=100482781325</t>
  </si>
  <si>
    <t>フローラ中落合</t>
  </si>
  <si>
    <t>https://suumo.jp/chintai/jnc_000104280008/?bc=100484530979</t>
  </si>
  <si>
    <t>ブライズ高田馬場</t>
  </si>
  <si>
    <t>https://suumo.jp/chintai/jnc_000104186396/?bc=100485297256</t>
  </si>
  <si>
    <t>プラザ中落合</t>
  </si>
  <si>
    <t>https://suumo.jp/chintai/jnc_000104096792/?bc=100483165992</t>
  </si>
  <si>
    <t>プレール・ドゥーク新宿下落合</t>
  </si>
  <si>
    <t>https://suumo.jp/chintai/jnc_000103439937/?bc=100477627542</t>
  </si>
  <si>
    <t>https://suumo.jp/chintai/jnc_000104509145/?bc=100486110694</t>
  </si>
  <si>
    <t>プレール新宿落合</t>
  </si>
  <si>
    <t>https://suumo.jp/chintai/jnc_000102217307/?bc=100484134340</t>
  </si>
  <si>
    <t>https://suumo.jp/chintai/jnc_000104509146/?bc=100484083288</t>
  </si>
  <si>
    <t>https://suumo.jp/chintai/jnc_000103969227/?bc=100207109619</t>
  </si>
  <si>
    <t>メゾン城田A</t>
  </si>
  <si>
    <t>https://suumo.jp/chintai/jnc_000104241020/?bc=100485824886</t>
  </si>
  <si>
    <t>リバーサイドレジデンス中井</t>
  </si>
  <si>
    <t>https://suumo.jp/chintai/jnc_000104334632/?bc=100484936706</t>
  </si>
  <si>
    <t>レアライズ高田馬場</t>
  </si>
  <si>
    <t>https://suumo.jp/chintai/jnc_000103089850/?bc=100474915502</t>
  </si>
  <si>
    <t>レオパレスシェモアIII</t>
  </si>
  <si>
    <t>https://suumo.jp/chintai/jnc_000104310244/?bc=100485743287</t>
  </si>
  <si>
    <t>https://suumo.jp/chintai/jnc_000104235641/?bc=100484222255</t>
  </si>
  <si>
    <t>レジディア中落合</t>
  </si>
  <si>
    <t>https://suumo.jp/chintai/jnc_000102182208/?bc=100470609015</t>
  </si>
  <si>
    <t>https://suumo.jp/chintai/jnc_000103959567/?bc=100480403730</t>
  </si>
  <si>
    <t>レジディア中落合C</t>
  </si>
  <si>
    <t>https://suumo.jp/chintai/jnc_000103959566/?bc=100482222712</t>
  </si>
  <si>
    <t>https://suumo.jp/chintai/jnc_000103195058/?bc=100475685002</t>
  </si>
  <si>
    <t>https://suumo.jp/chintai/jnc_000103523795/?bc=100478488838</t>
  </si>
  <si>
    <t>https://suumo.jp/chintai/jnc_000103813448/?bc=100482929261</t>
  </si>
  <si>
    <t>レストF</t>
  </si>
  <si>
    <t>https://suumo.jp/chintai/jnc_000104316367/?bc=100476268764</t>
  </si>
  <si>
    <t>ヴェルト新宿落合</t>
  </si>
  <si>
    <t>https://suumo.jp/chintai/jnc_000104531796/?bc=100360155662</t>
  </si>
  <si>
    <t>啓コーポ</t>
  </si>
  <si>
    <t>https://suumo.jp/chintai/jnc_000062516629/?bc=100482283090</t>
  </si>
  <si>
    <t>川村マンション</t>
  </si>
  <si>
    <t>https://suumo.jp/chintai/jnc_000104442185/?bc=100485695164</t>
  </si>
  <si>
    <t>文祥下落合ハイツ</t>
  </si>
  <si>
    <t>https://suumo.jp/chintai/jnc_000104280006/?bc=100484356288</t>
  </si>
  <si>
    <t>https://suumo.jp/chintai/jnc_000103734400/?bc=100480174932</t>
  </si>
  <si>
    <t>https://suumo.jp/chintai/jnc_000054734682/?bc=100482564818</t>
  </si>
  <si>
    <t>日神パレス下落合</t>
  </si>
  <si>
    <t>https://suumo.jp/chintai/jnc_000104049654/?bc=100329148685</t>
  </si>
  <si>
    <t>目白ハイベルズ</t>
  </si>
  <si>
    <t>https://suumo.jp/chintai/jnc_000100910961/?bc=100455367759</t>
  </si>
  <si>
    <t>第２２オーナーズビル</t>
  </si>
  <si>
    <t>https://suumo.jp/chintai/jnc_000103480988/?bc=100485929011</t>
  </si>
  <si>
    <t>美鈴コーポ</t>
  </si>
  <si>
    <t>https://suumo.jp/chintai/jnc_000104391716/?bc=100485296503</t>
  </si>
  <si>
    <t>https://suumo.jp/chintai/jnc_000103815976/?bc=100480917226</t>
  </si>
  <si>
    <t>西武新宿線 下落合駅 11階建 築15年</t>
  </si>
  <si>
    <t>https://suumo.jp/chintai/jnc_000104186384/?bc=100483935990</t>
  </si>
  <si>
    <t>西武新宿線 下落合駅 11階建 築8年</t>
  </si>
  <si>
    <t>https://suumo.jp/chintai/jnc_000104548552/?bc=100486447631</t>
  </si>
  <si>
    <t>西武新宿線 下落合駅 2階建 築17年</t>
  </si>
  <si>
    <t>&lt;10</t>
  </si>
  <si>
    <t>https://suumo.jp/chintai/jnc_000102404600/?bc=100469216592</t>
  </si>
  <si>
    <t>西武新宿線 下落合駅 2階建 築20年</t>
  </si>
  <si>
    <t>https://suumo.jp/chintai/jnc_000104383630/?bc=100469211351</t>
  </si>
  <si>
    <t>https://suumo.jp/chintai/jnc_000102049930/?bc=100467074632</t>
  </si>
  <si>
    <t>西武新宿線 下落合駅 2階建 築22年</t>
  </si>
  <si>
    <t>https://suumo.jp/chintai/jnc_000104186394/?bc=100483625646</t>
  </si>
  <si>
    <t>西武新宿線 下落合駅 2階建 築27年</t>
  </si>
  <si>
    <t>https://suumo.jp/chintai/jnc_000100904864/?bc=100485043271</t>
  </si>
  <si>
    <t>西武新宿線 下落合駅 2階建 築50年</t>
  </si>
  <si>
    <t>https://suumo.jp/chintai/jnc_000102663278/?bc=100471568724</t>
  </si>
  <si>
    <t>西武新宿線 下落合駅 2階建 築6年</t>
  </si>
  <si>
    <t>https://suumo.jp/chintai/jnc_000103244903/?bc=100476380187</t>
  </si>
  <si>
    <t>西武新宿線 下落合駅 2階建 築8年</t>
  </si>
  <si>
    <t>https://suumo.jp/chintai/jnc_000103481000/?bc=100477030899</t>
  </si>
  <si>
    <t>西武新宿線 下落合駅 3階建 築13年</t>
  </si>
  <si>
    <t>https://suumo.jp/chintai/jnc_000104473675/?bc=100485959513</t>
  </si>
  <si>
    <t>西武新宿線 下落合駅 3階建 築15年</t>
  </si>
  <si>
    <t>https://suumo.jp/chintai/jnc_000103182473/?bc=100483192135</t>
  </si>
  <si>
    <t>西武新宿線 下落合駅 3階建 築17年</t>
  </si>
  <si>
    <t>https://suumo.jp/chintai/jnc_000104326012/?bc=100484740931</t>
  </si>
  <si>
    <t>西武新宿線 下落合駅 4分 広々9帖 バストイレ別 敷金無 収納有</t>
  </si>
  <si>
    <t>https://suumo.jp/chintai/jnc_000104249118/?bc=100484880569</t>
  </si>
  <si>
    <t>西武新宿線 下落合駅 4階建 築20年</t>
  </si>
  <si>
    <t>https://suumo.jp/chintai/jnc_000104383631/?bc=100485291903</t>
  </si>
  <si>
    <t>西武新宿線 下落合駅 4階建 築21年</t>
  </si>
  <si>
    <t>https://suumo.jp/chintai/jnc_000104525331/?bc=100486251642</t>
  </si>
  <si>
    <t>西武新宿線 下落合駅 4階建 築2年</t>
  </si>
  <si>
    <t>https://suumo.jp/chintai/jnc_000104196097/?bc=100483714860</t>
  </si>
  <si>
    <t>西武新宿線 下落合駅 4階建 築4年</t>
  </si>
  <si>
    <t>https://suumo.jp/chintai/jnc_000103625542/?bc=100479084345</t>
  </si>
  <si>
    <t>西武新宿線 下落合駅 5階建 築2年</t>
  </si>
  <si>
    <t>https://suumo.jp/chintai/jnc_000104285664/?bc=100484575491</t>
  </si>
  <si>
    <t>西武新宿線 下落合駅 6階建 築13年</t>
  </si>
  <si>
    <t>https://suumo.jp/chintai/jnc_000103599932/?bc=100483125686</t>
  </si>
  <si>
    <t>https://suumo.jp/chintai/jnc_000104525310/?bc=100486291602</t>
  </si>
  <si>
    <t>西武新宿線 下落合駅 7階建 築17年</t>
  </si>
  <si>
    <t>https://suumo.jp/chintai/jnc_000103222838/?bc=100481490895</t>
  </si>
  <si>
    <t>https://suumo.jp/chintai/jnc_000104249151/?bc=100484197693</t>
  </si>
  <si>
    <t>西武新宿線 下落合駅 7階建 築18年</t>
  </si>
  <si>
    <t>https://suumo.jp/chintai/jnc_000103536082/?bc=100478274259</t>
  </si>
  <si>
    <t>https://suumo.jp/chintai/jnc_000104509147/?bc=100486167183</t>
  </si>
  <si>
    <t>西武新宿線 下落合駅 7階建 築23年</t>
  </si>
  <si>
    <t>https://suumo.jp/chintai/jnc_000104509148/?bc=100484086156</t>
  </si>
  <si>
    <t>https://suumo.jp/chintai/jnc_000104491570/?bc=100486051704</t>
  </si>
  <si>
    <t>西武新宿線 下落合駅 9階建 築21年</t>
  </si>
  <si>
    <t>https://suumo.jp/chintai/jnc_000104383629/?bc=100485215806</t>
  </si>
  <si>
    <t>西武新宿線 下落合駅 9階建 築24年</t>
  </si>
  <si>
    <t>https://suumo.jp/chintai/jnc_000104347523/?bc=100484951736</t>
  </si>
  <si>
    <t>西武新宿線 下落合駅 9階建 築2年</t>
  </si>
  <si>
    <t>https://suumo.jp/chintai/jnc_000104411711/?bc=100485562262</t>
  </si>
  <si>
    <t>西武新宿線 下落合駅 9階建 築6年</t>
  </si>
  <si>
    <t>https://suumo.jp/chintai/jnc_000104202523/?bc=100484093368</t>
  </si>
  <si>
    <t>西武新宿線 下落合駅 9階建 築7年</t>
  </si>
  <si>
    <t>https://suumo.jp/chintai/jnc_000103409548/?bc=100480467926</t>
  </si>
  <si>
    <t>https://suumo.jp/chintai/jnc_000104039399/?bc=100482424456</t>
  </si>
  <si>
    <t>西武新宿線 下落合駅 地下1地上4階建 築27年</t>
  </si>
  <si>
    <t>https://suumo.jp/chintai/jnc_000100723342/?bc=100457738869</t>
  </si>
  <si>
    <t>西武新宿線 下落合駅 地下1地上9階建 築7年</t>
  </si>
  <si>
    <t>https://suumo.jp/chintai/jnc_000101653328/?bc=100484530678</t>
  </si>
  <si>
    <t>https://suumo.jp/chintai/jnc_000104091506/?bc=100366531141</t>
  </si>
  <si>
    <t>（No shower 風呂無し）椿荘</t>
  </si>
  <si>
    <t>https://suumo.jp/chintai/jnc_000104091510/?bc=100484096005</t>
  </si>
  <si>
    <t>ＡＲＫＭＡＲＫ新宿下落合</t>
  </si>
  <si>
    <t>https://suumo.jp/chintai/jnc_000103447289/?bc=100485870090</t>
  </si>
  <si>
    <t>Ｂｅｌｌｅ Ｖｉｌｌｅ 下落合</t>
  </si>
  <si>
    <t>https://suumo.jp/chintai/jnc_000104548543/?bc=100486432431</t>
  </si>
  <si>
    <t>ＪＲ山手線 目白駅 2階建 築65年</t>
  </si>
  <si>
    <t>https://suumo.jp/chintai/jnc_000104285641/?bc=100484575236</t>
  </si>
  <si>
    <t>ＪＲ山手線 高田馬場駅 10階建 築17年</t>
  </si>
  <si>
    <t>https://suumo.jp/chintai/jnc_000102457925/?bc=100037761056</t>
  </si>
  <si>
    <t>ＪＲ山手線 高田馬場駅 2階建 築32年</t>
  </si>
  <si>
    <t>https://suumo.jp/chintai/jnc_000102457926/?bc=100469738941</t>
  </si>
  <si>
    <t>https://suumo.jp/chintai/jnc_000104049644/?bc=100482550808</t>
  </si>
  <si>
    <t>ＪＲ山手線 高田馬場駅 7階建 築33年</t>
  </si>
  <si>
    <t>https://suumo.jp/chintai/jnc_000102117464/?bc=100472332037</t>
  </si>
  <si>
    <t>ＪＲ山手線 高田馬場駅 8階建 築14年</t>
  </si>
  <si>
    <t>https://suumo.jp/chintai/jnc_000104316366/?bc=100484683008</t>
  </si>
  <si>
    <t>https://suumo.jp/chintai/jnc_000101792624/?bc=100463519300</t>
  </si>
  <si>
    <t>https://suumo.jp/chintai/jnc_000102159280/?bc=100479322061</t>
  </si>
  <si>
    <t>ＪＲ山手線 高田馬場駅 8階建 築27年</t>
  </si>
  <si>
    <t>https://suumo.jp/chintai/jnc_000103649359/?bc=100479082717</t>
  </si>
  <si>
    <t>ＪＲ山手線 高田馬場駅 9階建 築6年</t>
  </si>
  <si>
    <t>https://suumo.jp/chintai/jnc_000104341289/?bc=100484891215</t>
  </si>
  <si>
    <t>ＪＲ山手線 高田馬場駅 9階建 築7年</t>
  </si>
  <si>
    <t>https://suumo.jp/chintai/jnc_000103658017/?bc=100482568276</t>
  </si>
  <si>
    <t>https://suumo.jp/chintai/jnc_000103636274/?bc=100479269826</t>
  </si>
  <si>
    <t>https://suumo.jp/chintai/jnc_000104156197/?bc=100483643131</t>
  </si>
  <si>
    <t>Ｎ’ｓ　ＰＡＲＫ　Ｒｅｓｉｄｅｎｃｅ　高田馬場</t>
  </si>
  <si>
    <t>https://suumo.jp/chintai/jnc_000104156198/?bc=100485551420</t>
  </si>
  <si>
    <t>https://suumo.jp/chintai/jnc_000104003337/?bc=100482378212</t>
  </si>
  <si>
    <t>Ｔ’ｓ　ＯＴＡＫＩＢＡＳＨＩ</t>
  </si>
  <si>
    <t>https://suumo.jp/chintai/jnc_000103316451/?bc=100480124687</t>
  </si>
  <si>
    <t>AZ Smart 目白御留山</t>
  </si>
  <si>
    <t>1LDK</t>
  </si>
  <si>
    <t>40-50</t>
  </si>
  <si>
    <t>https://suumo.jp/chintai/jnc_000100786321/?bc=100482094133</t>
  </si>
  <si>
    <t>https://suumo.jp/chintai/jnc_000103277822/?bc=100477001681</t>
  </si>
  <si>
    <t>CE LA VI 中落合</t>
  </si>
  <si>
    <t>https://suumo.jp/chintai/jnc_000104363196/?bc=100477032516</t>
  </si>
  <si>
    <t>NOBEL中落合</t>
  </si>
  <si>
    <t>50-60</t>
  </si>
  <si>
    <t>https://suumo.jp/chintai/jnc_000103248525/?bc=100476956338</t>
  </si>
  <si>
    <t>TOKIO下落合</t>
  </si>
  <si>
    <t>https://suumo.jp/chintai/jnc_000102273871/?bc=100483744193</t>
  </si>
  <si>
    <t>https://suumo.jp/chintai/jnc_000102914341/?bc=100473610974</t>
  </si>
  <si>
    <t>グレースフィオーレＡＫ</t>
  </si>
  <si>
    <t>https://suumo.jp/chintai/jnc_000102887610/?bc=100477207033</t>
  </si>
  <si>
    <t>https://suumo.jp/chintai/jnc_000103129761/?bc=100473059124</t>
  </si>
  <si>
    <t>コンフォリア下落合</t>
  </si>
  <si>
    <t>https://suumo.jp/chintai/jnc_000103578617/?bc=100478725919</t>
  </si>
  <si>
    <t>https://suumo.jp/chintai/jnc_000103937409/?bc=100481831447</t>
  </si>
  <si>
    <t>サンクタスデュオ下落合</t>
  </si>
  <si>
    <t>https://suumo.jp/chintai/jnc_000104411709/?bc=100485453366</t>
  </si>
  <si>
    <t>シーズンフラッツ高田馬場リバーサイド</t>
  </si>
  <si>
    <t>https://suumo.jp/chintai/jnc_000104464219/?bc=100486223670</t>
  </si>
  <si>
    <t>シーズンフラッツ高田馬場リバーサイドサウス</t>
  </si>
  <si>
    <t>https://suumo.jp/chintai/jnc_000104107326/?bc=100483336748</t>
  </si>
  <si>
    <t>https://suumo.jp/chintai/jnc_000103222867/?bc=100477569060</t>
  </si>
  <si>
    <t>https://suumo.jp/chintai/jnc_000102493099/?bc=100476000024</t>
  </si>
  <si>
    <t>https://suumo.jp/chintai/jnc_000104347538/?bc=100485105281</t>
  </si>
  <si>
    <t>https://suumo.jp/chintai/jnc_000102966657/?bc=100484537315</t>
  </si>
  <si>
    <t>https://suumo.jp/chintai/jnc_000096531990/?bc=100445881939</t>
  </si>
  <si>
    <t>https://suumo.jp/chintai/jnc_000096531989/?bc=100454132291</t>
  </si>
  <si>
    <t>https://suumo.jp/chintai/jnc_000102212663/?bc=100458507814</t>
  </si>
  <si>
    <t>ジニア新宿中落合</t>
  </si>
  <si>
    <t>https://suumo.jp/chintai/jnc_000101472306/?bc=100460643251</t>
  </si>
  <si>
    <t>https://suumo.jp/chintai/jnc_000103473420/?bc=100477982683</t>
  </si>
  <si>
    <t>デュオステージ下落合</t>
  </si>
  <si>
    <t>https://suumo.jp/chintai/jnc_000101837149/?bc=100476150094</t>
  </si>
  <si>
    <t>ノブレス上落合</t>
  </si>
  <si>
    <t>https://suumo.jp/chintai/jnc_000104548553/?bc=100486433732</t>
  </si>
  <si>
    <t>フェニックス高田馬場</t>
  </si>
  <si>
    <t>https://suumo.jp/chintai/jnc_000104003345/?bc=100473682899</t>
  </si>
  <si>
    <t>プレール・ドゥーク新宿中落合</t>
  </si>
  <si>
    <t>https://suumo.jp/chintai/jnc_000102948022/?bc=100473769305</t>
  </si>
  <si>
    <t>https://suumo.jp/chintai/jnc_000104540968/?bc=100411172241</t>
  </si>
  <si>
    <t>マンションニューライフ落合</t>
  </si>
  <si>
    <t>https://suumo.jp/chintai/jnc_000104326033/?bc=100484783504</t>
  </si>
  <si>
    <t>ラポール落合</t>
  </si>
  <si>
    <t>https://suumo.jp/chintai/jnc_000103542038/?bc=100478450992</t>
  </si>
  <si>
    <t>リヴィコート下落合</t>
  </si>
  <si>
    <t>https://suumo.jp/chintai/jnc_000103542039/?bc=100483893685</t>
  </si>
  <si>
    <t>https://suumo.jp/chintai/jnc_000104398989/?bc=100485333156</t>
  </si>
  <si>
    <t>ルクレ目白西坂</t>
  </si>
  <si>
    <t>https://suumo.jp/chintai/jnc_000104196099/?bc=100481847160</t>
  </si>
  <si>
    <t>https://suumo.jp/chintai/jnc_000102238509/?bc=100475152159</t>
  </si>
  <si>
    <t>https://suumo.jp/chintai/jnc_000103649371/?bc=100479809876</t>
  </si>
  <si>
    <t>https://suumo.jp/chintai/jnc_000101837169/?bc=100463669960</t>
  </si>
  <si>
    <t>中落合２丁目ハウス</t>
  </si>
  <si>
    <t>https://suumo.jp/chintai/jnc_000103937410/?bc=100486174963</t>
  </si>
  <si>
    <t>西武新宿線 下落合駅 10階建 築28年</t>
  </si>
  <si>
    <t>https://suumo.jp/chintai/jnc_000103454060/?bc=100477615018</t>
  </si>
  <si>
    <t>https://suumo.jp/chintai/jnc_000104186395/?bc=100483625637</t>
  </si>
  <si>
    <t>https://suumo.jp/chintai/jnc_000102352469/?bc=100453592589</t>
  </si>
  <si>
    <t>https://suumo.jp/chintai/jnc_000102932232/?bc=100483911624</t>
  </si>
  <si>
    <t>西武新宿線 下落合駅 2階建 築5年</t>
  </si>
  <si>
    <t>https://suumo.jp/chintai/jnc_000102932233/?bc=100485197624</t>
  </si>
  <si>
    <t>https://suumo.jp/chintai/jnc_000101505111/?bc=100459980503</t>
  </si>
  <si>
    <t>西武新宿線 下落合駅 3階建 築3年</t>
  </si>
  <si>
    <t>https://suumo.jp/chintai/jnc_000103277823/?bc=100481241435</t>
  </si>
  <si>
    <t>https://suumo.jp/chintai/jnc_000104334640/?bc=100484819928</t>
  </si>
  <si>
    <t>西武新宿線 下落合駅 3階建 築6年</t>
  </si>
  <si>
    <t>https://suumo.jp/chintai/jnc_000103994036/?bc=100484661527</t>
  </si>
  <si>
    <t>西武新宿線 下落合駅 3階建 築7年</t>
  </si>
  <si>
    <t>https://suumo.jp/chintai/jnc_000104363170/?bc=100485043067</t>
  </si>
  <si>
    <t>https://suumo.jp/chintai/jnc_000103161361/?bc=100479205098</t>
  </si>
  <si>
    <t>西武新宿線 下落合駅 5階建 築21年</t>
  </si>
  <si>
    <t>https://suumo.jp/chintai/jnc_000103585736/?bc=100479269824</t>
  </si>
  <si>
    <t>https://suumo.jp/chintai/jnc_000090804512/?bc=100481489930</t>
  </si>
  <si>
    <t>西武新宿線 下落合駅 6階建 築3年</t>
  </si>
  <si>
    <t>https://suumo.jp/chintai/jnc_000103557388/?bc=100483125053</t>
  </si>
  <si>
    <t>https://suumo.jp/chintai/jnc_000103487237/?bc=100478381172</t>
  </si>
  <si>
    <t>西武新宿線 下落合駅 6階建 築4年</t>
  </si>
  <si>
    <t>https://suumo.jp/chintai/jnc_000103654510/?bc=100479404937</t>
  </si>
  <si>
    <t>https://suumo.jp/chintai/jnc_000102189529/?bc=100467322778</t>
  </si>
  <si>
    <t>西武新宿線 下落合駅 地上2階建 築45年</t>
  </si>
  <si>
    <t>https://suumo.jp/chintai/jnc_000096597989/?bc=100459887684</t>
  </si>
  <si>
    <t>https://suumo.jp/chintai/jnc_000104196101/?bc=100480365651</t>
  </si>
  <si>
    <t>西武新宿線 下落合駅 地下2地上2階建 築4年</t>
  </si>
  <si>
    <t>https://suumo.jp/chintai/jnc_000102869257/?bc=100473053167</t>
  </si>
  <si>
    <t>ＡＸＩＳ高田馬場</t>
  </si>
  <si>
    <t>80-90</t>
  </si>
  <si>
    <t>https://suumo.jp/chintai/jnc_000103198556/?bc=100475721914</t>
  </si>
  <si>
    <t>Ｇｒａｎ　Ｄｕｏ　高田馬場</t>
  </si>
  <si>
    <t>https://suumo.jp/chintai/jnc_000102932238/?bc=100473581120</t>
  </si>
  <si>
    <t>ＪＲ山手線 高田馬場駅 3階建 築9年</t>
  </si>
  <si>
    <t>https://suumo.jp/chintai/jnc_000104491577/?bc=100486049126</t>
  </si>
  <si>
    <t>https://suumo.jp/chintai/jnc_000104107327/?bc=100483075519</t>
  </si>
  <si>
    <t>ＪＲ山手線 高田馬場駅 6階建 築4年</t>
  </si>
  <si>
    <t>https://suumo.jp/chintai/jnc_000102970929/?bc=100485048902</t>
  </si>
  <si>
    <t>https://suumo.jp/chintai/jnc_000103217355/?bc=100482138207</t>
  </si>
  <si>
    <t>https://suumo.jp/chintai/jnc_000104347516/?bc=100485133123</t>
  </si>
  <si>
    <t>ＵＣＭ　ＫＡＭＩＯＣＨＩＡＩ</t>
  </si>
  <si>
    <t>https://suumo.jp/chintai/jnc_000104285669/?bc=100458800106</t>
  </si>
  <si>
    <t>極光マンション</t>
  </si>
  <si>
    <t>1LK</t>
  </si>
  <si>
    <t>https://suumo.jp/chintai/jnc_000104285670/?bc=100484407802</t>
  </si>
  <si>
    <t>西武新宿線 下落合駅 9階建 築47年</t>
  </si>
  <si>
    <t>https://suumo.jp/chintai/jnc_000103459014/?bc=100477686380</t>
  </si>
  <si>
    <t>Grandia高田馬場NORTH</t>
  </si>
  <si>
    <t>1R</t>
  </si>
  <si>
    <t>https://suumo.jp/chintai/jnc_000104138641/?bc=100483247178</t>
  </si>
  <si>
    <t>Grandia高田馬場WEST</t>
  </si>
  <si>
    <t>https://suumo.jp/chintai/jnc_000045519833/?bc=100484737991</t>
  </si>
  <si>
    <t>KTサトウ</t>
  </si>
  <si>
    <t>https://suumo.jp/chintai/jnc_000065705403/?bc=100453697738</t>
  </si>
  <si>
    <t>Leaf.nakaochiai</t>
  </si>
  <si>
    <t>https://suumo.jp/chintai/jnc_000050969583/?bc=100484925496</t>
  </si>
  <si>
    <t>SKY HOUSE A棟</t>
  </si>
  <si>
    <t>https://suumo.jp/chintai/jnc_000022365824/?bc=100480550083</t>
  </si>
  <si>
    <t>SKY HOUSE B棟</t>
  </si>
  <si>
    <t>https://suumo.jp/chintai/jnc_000079974052/?bc=100481599681</t>
  </si>
  <si>
    <t>https://suumo.jp/chintai/jnc_000099896911/?bc=100359612045</t>
  </si>
  <si>
    <t>アパルト</t>
  </si>
  <si>
    <t>https://suumo.jp/chintai/jnc_000103959565/?bc=100481847888</t>
  </si>
  <si>
    <t>アーバンプレイス高田馬場12</t>
  </si>
  <si>
    <t>https://suumo.jp/chintai/jnc_000103994040/?bc=100482079589</t>
  </si>
  <si>
    <t>ウッド ８４</t>
  </si>
  <si>
    <t>https://suumo.jp/chintai/jnc_000103913408/?bc=100484190521</t>
  </si>
  <si>
    <t>グレースベガ</t>
  </si>
  <si>
    <t>https://suumo.jp/chintai/jnc_000104310250/?bc=100484784387</t>
  </si>
  <si>
    <t>https://suumo.jp/chintai/jnc_000103903361/?bc=100483724300</t>
  </si>
  <si>
    <t>コーポ江川</t>
  </si>
  <si>
    <t>https://suumo.jp/chintai/jnc_000104063401/?bc=100483885720</t>
  </si>
  <si>
    <t>シャトー桐</t>
  </si>
  <si>
    <t>https://suumo.jp/chintai/jnc_000103863948/?bc=100475548947</t>
  </si>
  <si>
    <t>スカイコート高田馬場</t>
  </si>
  <si>
    <t>https://suumo.jp/chintai/jnc_000103863949/?bc=100481485683</t>
  </si>
  <si>
    <t>https://suumo.jp/chintai/jnc_000103761983/?bc=100444388669</t>
  </si>
  <si>
    <t>チェスターハウス目白</t>
  </si>
  <si>
    <t>https://suumo.jp/chintai/jnc_000101558134/?bc=100460743988</t>
  </si>
  <si>
    <t>ハーモニーテラス高田馬場II</t>
  </si>
  <si>
    <t>https://suumo.jp/chintai/jnc_000064175789/?bc=100485314750</t>
  </si>
  <si>
    <t>フィリップ下落合</t>
  </si>
  <si>
    <t>https://suumo.jp/chintai/jnc_000104249117/?bc=100485129746</t>
  </si>
  <si>
    <t>プライム落合</t>
  </si>
  <si>
    <t>https://suumo.jp/chintai/jnc_000102853738/?bc=100477243603</t>
  </si>
  <si>
    <t>プレイス下落合</t>
  </si>
  <si>
    <t>https://suumo.jp/chintai/jnc_000104347522/?bc=100485147436</t>
  </si>
  <si>
    <t>レガリス高田馬場II</t>
  </si>
  <si>
    <t>https://suumo.jp/chintai/jnc_000103654509/?bc=100486230568</t>
  </si>
  <si>
    <t>https://suumo.jp/chintai/jnc_000102861955/?bc=100474381699</t>
  </si>
  <si>
    <t>https://suumo.jp/chintai/jnc_000103654508/?bc=100479420036</t>
  </si>
  <si>
    <t>レジディア中落合Ｂ棟</t>
  </si>
  <si>
    <t>https://suumo.jp/chintai/jnc_000104531820/?bc=100467796486</t>
  </si>
  <si>
    <t>レジデンス美奈真</t>
  </si>
  <si>
    <t>https://suumo.jp/chintai/jnc_000103701860/?bc=100216649525</t>
  </si>
  <si>
    <t>上落合ハイツ</t>
  </si>
  <si>
    <t>https://suumo.jp/chintai/jnc_000101578479/?bc=100460783783</t>
  </si>
  <si>
    <t>共立ハウス</t>
  </si>
  <si>
    <t>https://suumo.jp/chintai/jnc_000102196872/?bc=100430308356</t>
  </si>
  <si>
    <t>https://suumo.jp/chintai/jnc_000100933275/?bc=100484687835</t>
  </si>
  <si>
    <t>東山堂コーポ</t>
  </si>
  <si>
    <t>https://suumo.jp/chintai/jnc_000104473634/?bc=100482530666</t>
  </si>
  <si>
    <t>瑞豊マンション</t>
  </si>
  <si>
    <t>https://suumo.jp/chintai/jnc_000104473635/?bc=100387930079</t>
  </si>
  <si>
    <t>https://suumo.jp/chintai/jnc_000101970294/?bc=100465185218</t>
  </si>
  <si>
    <t>禄幸ハイム</t>
  </si>
  <si>
    <t>https://suumo.jp/chintai/jnc_000017561919/?bc=100467434492</t>
  </si>
  <si>
    <t>福寿館</t>
  </si>
  <si>
    <t>https://suumo.jp/chintai/jnc_000103707783/?bc=100480154287</t>
  </si>
  <si>
    <t>落合テラス1号館</t>
  </si>
  <si>
    <t>https://suumo.jp/chintai/jnc_000103536083/?bc=100481109375</t>
  </si>
  <si>
    <t>藤ハイツ</t>
  </si>
  <si>
    <t>https://suumo.jp/chintai/jnc_000054271268/?bc=100483917501</t>
  </si>
  <si>
    <t>https://suumo.jp/chintai/jnc_000104107332/?bc=100482604858</t>
  </si>
  <si>
    <t>https://suumo.jp/chintai/jnc_000103937422/?bc=100485143216</t>
  </si>
  <si>
    <t>https://suumo.jp/chintai/jnc_000103546624/?bc=100485556266</t>
  </si>
  <si>
    <t>https://suumo.jp/chintai/jnc_000064175790/?bc=100485379617</t>
  </si>
  <si>
    <t>西武新宿線 下落合駅 2階建 築11年</t>
  </si>
  <si>
    <t>https://suumo.jp/chintai/jnc_000104222326/?bc=100483959637</t>
  </si>
  <si>
    <t>西武新宿線 下落合駅 2階建 築12年</t>
  </si>
  <si>
    <t>https://suumo.jp/chintai/jnc_000103959525/?bc=100482340693</t>
  </si>
  <si>
    <t>https://suumo.jp/chintai/jnc_000104310251/?bc=100482113172</t>
  </si>
  <si>
    <t>https://suumo.jp/chintai/jnc_000102869252/?bc=100480789969</t>
  </si>
  <si>
    <t>西武新宿線 下落合駅 2階建 築21年</t>
  </si>
  <si>
    <t>https://suumo.jp/chintai/jnc_000052609798/?bc=100481232098</t>
  </si>
  <si>
    <t>https://suumo.jp/chintai/jnc_000104482298/?bc=100485508044</t>
  </si>
  <si>
    <t>西武新宿線 下落合駅 2階建 築48年</t>
  </si>
  <si>
    <t>https://suumo.jp/chintai/jnc_000104303533/?bc=100484104864</t>
  </si>
  <si>
    <t>https://suumo.jp/chintai/jnc_000104473674/?bc=100485948489</t>
  </si>
  <si>
    <t>https://suumo.jp/chintai/jnc_000103491797/?bc=100485186783</t>
  </si>
  <si>
    <t>西武新宿線 下落合駅 2階建 築61年</t>
  </si>
  <si>
    <t>https://suumo.jp/chintai/jnc_000101817234/?bc=100485886158</t>
  </si>
  <si>
    <t>西武新宿線 下落合駅 3階建 築29年</t>
  </si>
  <si>
    <t>https://suumo.jp/chintai/jnc_000087371641/?bc=100485572300</t>
  </si>
  <si>
    <t>https://suumo.jp/chintai/jnc_000104196075/?bc=100483716680</t>
  </si>
  <si>
    <t>西武新宿線 下落合駅 3階建 築48年</t>
  </si>
  <si>
    <t>https://suumo.jp/chintai/jnc_000104091495/?bc=100465883037</t>
  </si>
  <si>
    <t>https://suumo.jp/chintai/jnc_000103863951/?bc=100481320966</t>
  </si>
  <si>
    <t>西武新宿線 下落合駅 4階建 築31年</t>
  </si>
  <si>
    <t>https://suumo.jp/chintai/jnc_000102893074/?bc=100469036365</t>
  </si>
  <si>
    <t>https://suumo.jp/chintai/jnc_000104525316/?bc=100486251604</t>
  </si>
  <si>
    <t>西武新宿線 下落合駅 地下1地上2階建 築6年</t>
  </si>
  <si>
    <t>https://suumo.jp/chintai/jnc_000103821671/?bc=100470398110</t>
  </si>
  <si>
    <t>西武新宿線 下落合駅 地下1地上4階建 築23年</t>
  </si>
  <si>
    <t>https://suumo.jp/chintai/jnc_000103459001/?bc=100454050550</t>
  </si>
  <si>
    <t>ＡＣＫハウス</t>
  </si>
  <si>
    <t>https://suumo.jp/chintai/jnc_000104091494/?bc=100476385626</t>
  </si>
  <si>
    <t>https://suumo.jp/chintai/jnc_000102077596/?bc=100384217439</t>
  </si>
  <si>
    <t>https://suumo.jp/chintai/jnc_000102537684/?bc=100470504816</t>
  </si>
  <si>
    <t>ＦＡＲＭ　ＨＯＵＳＥ</t>
  </si>
  <si>
    <t>https://suumo.jp/chintai/jnc_000102641520/?bc=100412016431</t>
  </si>
  <si>
    <t>Ｇｒｏｗｃｅｌ下落合</t>
  </si>
  <si>
    <t>https://suumo.jp/chintai/jnc_000099562380/?bc=100444670502</t>
  </si>
  <si>
    <t>https://suumo.jp/chintai/jnc_000104116884/?bc=100483136036</t>
  </si>
  <si>
    <t>ＪＲ山手線 高田馬場駅 2階建 築11年</t>
  </si>
  <si>
    <t>https://suumo.jp/chintai/jnc_000104531819/?bc=100483959623</t>
  </si>
  <si>
    <t>ＪＲ山手線 高田馬場駅 2階建 築8年</t>
  </si>
  <si>
    <t>https://suumo.jp/chintai/jnc_000103658018/?bc=100479799853</t>
  </si>
  <si>
    <t>https://suumo.jp/chintai/jnc_000094620192/?bc=100410047551</t>
  </si>
  <si>
    <t>Ｋシャトー</t>
  </si>
  <si>
    <t>https://suumo.jp/chintai/jnc_000103636275/?bc=100483617681</t>
  </si>
  <si>
    <t>https://suumo.jp/chintai/jnc_000101412190/?bc=100461508094</t>
  </si>
  <si>
    <t>ＳＴバード</t>
  </si>
  <si>
    <t>https://suumo.jp/chintai/jnc_000102751111/?bc=100472109440</t>
  </si>
  <si>
    <t>https://suumo.jp/chintai/jnc_000103701888/?bc=100480033267</t>
  </si>
  <si>
    <t>Ｓｕｎｒｉｓｅ Ｒｅｓｉｄｅｎｃｅ Ｍｅｊｉｒｏ</t>
  </si>
  <si>
    <t>https://suumo.jp/chintai/jnc_000102777018/?bc=100485157999</t>
  </si>
  <si>
    <t>ＺＯＯＭ新宿下落合</t>
  </si>
  <si>
    <t>https://suumo.jp/chintai/jnc_000103409550/?bc=100478570011</t>
  </si>
  <si>
    <t>https://suumo.jp/chintai/jnc_000103352695/?bc=100483940061</t>
  </si>
  <si>
    <t>https://suumo.jp/chintai/jnc_000100786319/?bc=100455685235</t>
  </si>
  <si>
    <t>1SLDK</t>
  </si>
  <si>
    <t>https://suumo.jp/chintai/jnc_000100872676/?bc=100375073859</t>
  </si>
  <si>
    <t>https://suumo.jp/chintai/jnc_000103674203/?bc=100479598373</t>
  </si>
  <si>
    <t>サトウマンション</t>
  </si>
  <si>
    <t>2DK</t>
  </si>
  <si>
    <t>https://suumo.jp/chintai/jnc_000104491569/?bc=100486075316</t>
  </si>
  <si>
    <t>プライムブリス新宿上落合</t>
  </si>
  <si>
    <t>https://suumo.jp/chintai/jnc_000104531825/?bc=100486348974</t>
  </si>
  <si>
    <t>https://suumo.jp/chintai/jnc_000101588342/?bc=100466686867</t>
  </si>
  <si>
    <t>ルーブル高田馬場弐番館</t>
  </si>
  <si>
    <t>https://suumo.jp/chintai/jnc_000103701859/?bc=100479854223</t>
  </si>
  <si>
    <t>https://suumo.jp/chintai/jnc_000104054956/?bc=100482602849</t>
  </si>
  <si>
    <t>ＪＲ山手線 高田馬場駅 5階建 築48年</t>
  </si>
  <si>
    <t>https://suumo.jp/chintai/jnc_000103680257/?bc=100483001211</t>
  </si>
  <si>
    <t>https://suumo.jp/chintai/jnc_000103636277/?bc=100479847612</t>
  </si>
  <si>
    <t>https://suumo.jp/chintai/jnc_000103636279/?bc=100479327577</t>
  </si>
  <si>
    <t>https://suumo.jp/chintai/jnc_000104398957/?bc=100485336970</t>
  </si>
  <si>
    <t>アヴァンツァーレ新宿ピアチェーレ</t>
  </si>
  <si>
    <t>2K</t>
  </si>
  <si>
    <t>https://suumo.jp/chintai/jnc_000103439926/?bc=100477812086</t>
  </si>
  <si>
    <t>パストラール</t>
  </si>
  <si>
    <t>https://suumo.jp/chintai/jnc_000103169324/?bc=100475437980</t>
  </si>
  <si>
    <t>メゾンパックス</t>
  </si>
  <si>
    <t>https://suumo.jp/chintai/jnc_000104531824/?bc=100486361608</t>
  </si>
  <si>
    <t>https://suumo.jp/chintai/jnc_000103198519/?bc=100477954121</t>
  </si>
  <si>
    <t>下落合グリーンパーク</t>
  </si>
  <si>
    <t>https://suumo.jp/chintai/jnc_000071125459/?bc=100481346302</t>
  </si>
  <si>
    <t>西武新宿線 下落合駅 11階建 築57年</t>
  </si>
  <si>
    <t>https://suumo.jp/chintai/jnc_000103473379/?bc=100480789904</t>
  </si>
  <si>
    <t>https://suumo.jp/chintai/jnc_000104363194/?bc=100476965382</t>
  </si>
  <si>
    <t>2LDK</t>
  </si>
  <si>
    <t>https://suumo.jp/chintai/jnc_000104363195/?bc=100476965496</t>
  </si>
  <si>
    <t>https://suumo.jp/chintai/jnc_000104363198/?bc=100480384463</t>
  </si>
  <si>
    <t>https://suumo.jp/chintai/jnc_000104363197/?bc=100480384461</t>
  </si>
  <si>
    <t>https://suumo.jp/chintai/jnc_000104363201/?bc=100480384464</t>
  </si>
  <si>
    <t>https://suumo.jp/chintai/jnc_000104363202/?bc=100480384456</t>
  </si>
  <si>
    <t>https://suumo.jp/chintai/jnc_000103005824/?bc=100482164581</t>
  </si>
  <si>
    <t>Nodo House（ノードハウス）</t>
  </si>
  <si>
    <t>60-70</t>
  </si>
  <si>
    <t>https://suumo.jp/chintai/jnc_000103005825/?bc=100482164593</t>
  </si>
  <si>
    <t>https://suumo.jp/chintai/jnc_000103005826/?bc=100474165816</t>
  </si>
  <si>
    <t>70-80</t>
  </si>
  <si>
    <t>https://suumo.jp/chintai/jnc_000104347525/?bc=100484947643</t>
  </si>
  <si>
    <t>エンブレム下落合</t>
  </si>
  <si>
    <t>https://suumo.jp/chintai/jnc_000102792266/?bc=100467628907</t>
  </si>
  <si>
    <t>クレヴィア新宿中落合ウエスト</t>
  </si>
  <si>
    <t>https://suumo.jp/chintai/jnc_000103717075/?bc=100485547904</t>
  </si>
  <si>
    <t>グレース目白</t>
  </si>
  <si>
    <t>https://suumo.jp/chintai/jnc_000104107333/?bc=100483962568</t>
  </si>
  <si>
    <t>https://suumo.jp/chintai/jnc_000103244912/?bc=100484516802</t>
  </si>
  <si>
    <t>メゾンカルム中落合North</t>
  </si>
  <si>
    <t>https://suumo.jp/chintai/jnc_000103487240/?bc=100478002269</t>
  </si>
  <si>
    <t>メゾンカルム中落合South</t>
  </si>
  <si>
    <t>https://suumo.jp/chintai/jnc_000104156224/?bc=100483401178</t>
  </si>
  <si>
    <t>メゾンカルム中落合ノース</t>
  </si>
  <si>
    <t>https://suumo.jp/chintai/jnc_000103182501/?bc=100481085281</t>
  </si>
  <si>
    <t>https://suumo.jp/chintai/jnc_000102182209/?bc=100465280390</t>
  </si>
  <si>
    <t>https://suumo.jp/chintai/jnc_000103610322/?bc=100486428152</t>
  </si>
  <si>
    <t>https://suumo.jp/chintai/jnc_000102182204/?bc=100463476224</t>
  </si>
  <si>
    <t>https://suumo.jp/chintai/jnc_000104043934/?bc=100482914996</t>
  </si>
  <si>
    <t>日興パレス高田馬場</t>
  </si>
  <si>
    <t>https://suumo.jp/chintai/jnc_000104020997/?bc=100482260147</t>
  </si>
  <si>
    <t>西武新宿線 下落合駅 3階建 新築</t>
  </si>
  <si>
    <t>https://suumo.jp/chintai/jnc_000104020998/?bc=100482260139</t>
  </si>
  <si>
    <t>https://suumo.jp/chintai/jnc_000104276183/?bc=100484342447</t>
  </si>
  <si>
    <t>西武新宿線 下落合駅 3階建 築36年</t>
  </si>
  <si>
    <t>https://suumo.jp/chintai/jnc_000103277818/?bc=100478215977</t>
  </si>
  <si>
    <t>https://suumo.jp/chintai/jnc_000104271769/?bc=100484484640</t>
  </si>
  <si>
    <t>西武新宿線 下落合駅 3階建 築40年</t>
  </si>
  <si>
    <t>https://suumo.jp/chintai/jnc_000103238932/?bc=100476987594</t>
  </si>
  <si>
    <t>西武新宿線 下落合駅 5階建 築46年</t>
  </si>
  <si>
    <t>https://suumo.jp/chintai/jnc_000104398971/?bc=100485334165</t>
  </si>
  <si>
    <t>西武新宿線 下落合駅 地下1地上1階建 築45年</t>
  </si>
  <si>
    <t>https://suumo.jp/chintai/jnc_000103057431/?bc=100476788861</t>
  </si>
  <si>
    <t>高田馬場3丁目戸建</t>
  </si>
  <si>
    <t>https://suumo.jp/chintai/jnc_000103473414/?bc=100479492336</t>
  </si>
  <si>
    <t>高田馬場3丁目戸建て</t>
  </si>
  <si>
    <t>https://suumo.jp/chintai/jnc_000103658015/?bc=100479661409</t>
  </si>
  <si>
    <t>https://suumo.jp/chintai/jnc_000103658016/?bc=100479800361</t>
  </si>
  <si>
    <t>https://suumo.jp/chintai/jnc_000103658014/?bc=100479800395</t>
  </si>
  <si>
    <t>https://suumo.jp/chintai/jnc_000103636272/?bc=100481356769</t>
  </si>
  <si>
    <t>https://suumo.jp/chintai/jnc_000103636273/?bc=100485036508</t>
  </si>
  <si>
    <t>https://suumo.jp/chintai/jnc_000103636271/?bc=100480984482</t>
  </si>
  <si>
    <t>https://suumo.jp/chintai/jnc_000104196098/?bc=100481840552</t>
  </si>
  <si>
    <t>2SK</t>
  </si>
  <si>
    <t>https://suumo.jp/chintai/jnc_000104196100/?bc=100482071573</t>
  </si>
  <si>
    <t>https://suumo.jp/chintai/jnc_000103244914/?bc=100476591044</t>
  </si>
  <si>
    <t>2SLDK</t>
  </si>
  <si>
    <t>https://suumo.jp/chintai/jnc_000104156222/?bc=100483401182</t>
  </si>
  <si>
    <t>https://suumo.jp/chintai/jnc_000104416545/?bc=100485866859</t>
  </si>
  <si>
    <t>https://suumo.jp/chintai/jnc_000091631801/?bc=100482442866</t>
  </si>
  <si>
    <t>グラナーデ目白御留山</t>
  </si>
  <si>
    <t>3DK</t>
  </si>
  <si>
    <t>https://suumo.jp/chintai/jnc_000091638408/?bc=100360284581</t>
  </si>
  <si>
    <t>西武新宿線 下落合駅 3階建 築2年</t>
  </si>
  <si>
    <t>https://suumo.jp/chintai/jnc_000104378568/?bc=100485173344</t>
  </si>
  <si>
    <t>中落合2丁目戸建</t>
  </si>
  <si>
    <t>3K</t>
  </si>
  <si>
    <t>https://suumo.jp/chintai/jnc_000104363199/?bc=100480384462</t>
  </si>
  <si>
    <t>3LDK</t>
  </si>
  <si>
    <t>https://suumo.jp/chintai/jnc_000104363200/?bc=100480384465</t>
  </si>
  <si>
    <t>https://suumo.jp/chintai/jnc_000102847679/?bc=100450181152</t>
  </si>
  <si>
    <t>ガーデンスクエア目白</t>
  </si>
  <si>
    <t>100+</t>
  </si>
  <si>
    <t>https://suumo.jp/chintai/jnc_000102847682/?bc=100450181154</t>
  </si>
  <si>
    <t>https://suumo.jp/chintai/jnc_000102847677/?bc=100450181067</t>
  </si>
  <si>
    <t>https://suumo.jp/chintai/jnc_000102847675/?bc=100450181149</t>
  </si>
  <si>
    <t>https://suumo.jp/chintai/jnc_000103244911/?bc=100476468568</t>
  </si>
  <si>
    <t>https://suumo.jp/chintai/jnc_000103244913/?bc=100476591045</t>
  </si>
  <si>
    <t>https://suumo.jp/chintai/jnc_000103487239/?bc=100474545814</t>
  </si>
  <si>
    <t>https://suumo.jp/chintai/jnc_000103244916/?bc=100474503733</t>
  </si>
  <si>
    <t>https://suumo.jp/chintai/jnc_000103813462/?bc=100480731161</t>
  </si>
  <si>
    <t>メゾンカルム中落合サウス</t>
  </si>
  <si>
    <t>https://suumo.jp/chintai/jnc_000104156221/?bc=100483401176</t>
  </si>
  <si>
    <t>https://suumo.jp/chintai/jnc_000104156223/?bc=100483401177</t>
  </si>
  <si>
    <t>https://suumo.jp/chintai/jnc_000104138645/?bc=100483280914</t>
  </si>
  <si>
    <t>https://suumo.jp/chintai/jnc_000103649362/?bc=100479403993</t>
  </si>
  <si>
    <t>レジディア目白御留山</t>
  </si>
  <si>
    <t>https://suumo.jp/chintai/jnc_000103654502/?bc=100479404941</t>
  </si>
  <si>
    <t>西武新宿線 下落合駅 3階建 築24年</t>
  </si>
  <si>
    <t>https://suumo.jp/chintai/jnc_000103277816/?bc=100484683030</t>
  </si>
  <si>
    <t>https://suumo.jp/chintai/jnc_000103424094/?bc=100477385570</t>
  </si>
  <si>
    <t>西武新宿線 下落合駅 地上2階建 築46年</t>
  </si>
  <si>
    <t>4DK</t>
  </si>
  <si>
    <t>https://suumo.jp/chintai/jnc_000103856302/?bc=100481274574</t>
  </si>
  <si>
    <t>パレス26</t>
  </si>
  <si>
    <t>4LDK</t>
  </si>
  <si>
    <t>https://suumo.jp/chintai/jnc_000103856303/?bc=100481186522</t>
  </si>
  <si>
    <t>西武新宿線 下落合駅 3階建 築56年</t>
  </si>
  <si>
    <t>https://suumo.jp/chintai/jnc_000103969230/?bc=100481180680</t>
  </si>
  <si>
    <t>Ｈｘ中落合</t>
  </si>
  <si>
    <t>https://suumo.jp/chintai/jnc_000102202699/?bc=100467429770</t>
  </si>
  <si>
    <t>アトラス・モリト</t>
  </si>
  <si>
    <t>東京都中野区上高田４</t>
  </si>
  <si>
    <t>中井駅</t>
  </si>
  <si>
    <t>https://suumo.jp/chintai/jnc_000103976338/?bc=100482219227</t>
  </si>
  <si>
    <t>アミカル・エフ</t>
  </si>
  <si>
    <t>https://suumo.jp/chintai/jnc_000103937413/?bc=100483637061</t>
  </si>
  <si>
    <t>https://suumo.jp/chintai/jnc_000103337886/?bc=100476691001</t>
  </si>
  <si>
    <t>https://suumo.jp/chintai/jnc_000103103177/?bc=100479632582</t>
  </si>
  <si>
    <t>アート・フル中井</t>
  </si>
  <si>
    <t>東京都新宿区中井２</t>
  </si>
  <si>
    <t>https://suumo.jp/chintai/jnc_000104211353/?bc=100475784796</t>
  </si>
  <si>
    <t>https://suumo.jp/chintai/jnc_000103110656/?bc=100480977419</t>
  </si>
  <si>
    <t>https://suumo.jp/chintai/jnc_000104531822/?bc=100486297099</t>
  </si>
  <si>
    <t>グランディフローラ</t>
  </si>
  <si>
    <t>東京都新宿区中井１</t>
  </si>
  <si>
    <t>https://suumo.jp/chintai/jnc_000104222356/?bc=100484466006</t>
  </si>
  <si>
    <t>グリーンコート一の坂</t>
  </si>
  <si>
    <t>https://suumo.jp/chintai/jnc_000104525329/?bc=100486362884</t>
  </si>
  <si>
    <t>https://suumo.jp/chintai/jnc_000088470029/?bc=100470591304</t>
  </si>
  <si>
    <t>ニューハイツ中落合</t>
  </si>
  <si>
    <t>https://suumo.jp/chintai/jnc_000104356681/?bc=100485551352</t>
  </si>
  <si>
    <t>ヴェルテ落合</t>
  </si>
  <si>
    <t>東京都新宿区上落合３</t>
  </si>
  <si>
    <t>https://suumo.jp/chintai/jnc_000103473422/?bc=100480789629</t>
  </si>
  <si>
    <t>西武新宿線 中井駅 15階建 築21年</t>
  </si>
  <si>
    <t>東京都新宿区中落合３</t>
  </si>
  <si>
    <t>https://suumo.jp/chintai/jnc_000104540966/?bc=100486361369</t>
  </si>
  <si>
    <t>西武新宿線 中井駅 3階建 築17年</t>
  </si>
  <si>
    <t>https://suumo.jp/chintai/jnc_000088485964/?bc=100479492534</t>
  </si>
  <si>
    <t>西武新宿線 中井駅 地下1地上5階建 築43年</t>
  </si>
  <si>
    <t>https://suumo.jp/chintai/jnc_000104255996/?bc=100484205063</t>
  </si>
  <si>
    <t>都営大江戸線 中井駅 3階建 築26年</t>
  </si>
  <si>
    <t>https://suumo.jp/chintai/jnc_000104540967/?bc=100486401507</t>
  </si>
  <si>
    <t>https://suumo.jp/chintai/jnc_000102627516/?bc=100468394968</t>
  </si>
  <si>
    <t>都営大江戸線 中井駅 4階建 築30年</t>
  </si>
  <si>
    <t>https://suumo.jp/chintai/jnc_000104356682/?bc=100485004469</t>
  </si>
  <si>
    <t>都営大江戸線 中井駅 5階建 築36年</t>
  </si>
  <si>
    <t>https://suumo.jp/chintai/jnc_000104010125/?bc=100482159881</t>
  </si>
  <si>
    <t>都営大江戸線 中井駅 8階建 築22年</t>
  </si>
  <si>
    <t>https://suumo.jp/chintai/jnc_000104107295/?bc=100470867016</t>
  </si>
  <si>
    <t>https://suumo.jp/chintai/jnc_000102554723/?bc=100481736431</t>
  </si>
  <si>
    <t>https://suumo.jp/chintai/jnc_000103959498/?bc=100482729893</t>
  </si>
  <si>
    <t>https://suumo.jp/chintai/jnc_000103337887/?bc=100476706766</t>
  </si>
  <si>
    <t>https://suumo.jp/chintai/jnc_000103110658/?bc=100481224382</t>
  </si>
  <si>
    <t>都営大江戸線 中井駅 地下1地上2階建 築9年</t>
  </si>
  <si>
    <t>https://suumo.jp/chintai/jnc_000104162764/?bc=100483412599</t>
  </si>
  <si>
    <t>ＡＧＲＡＴＩＯ新宿中井</t>
  </si>
  <si>
    <t>https://suumo.jp/chintai/jnc_000100189262/?bc=100449432125</t>
  </si>
  <si>
    <t>MODULOR中井</t>
  </si>
  <si>
    <t>https://suumo.jp/chintai/jnc_000104316348/?bc=100484703551</t>
  </si>
  <si>
    <t>Oceano</t>
  </si>
  <si>
    <t>https://suumo.jp/chintai/jnc_000103018309/?bc=100486231257</t>
  </si>
  <si>
    <t>Opus　II</t>
  </si>
  <si>
    <t>https://suumo.jp/chintai/jnc_000102861952/?bc=100480672477</t>
  </si>
  <si>
    <t>PREMIUM CUBE 新宿中井</t>
  </si>
  <si>
    <t>https://suumo.jp/chintai/jnc_000104425544/?bc=100482931097</t>
  </si>
  <si>
    <t>https://suumo.jp/chintai/jnc_000100413886/?bc=100437296505</t>
  </si>
  <si>
    <t>「防音マンション」ラシクラス新宿中井</t>
  </si>
  <si>
    <t>https://suumo.jp/chintai/jnc_000100413885/?bc=100437296508</t>
  </si>
  <si>
    <t>https://suumo.jp/chintai/jnc_000103439955/?bc=100485023834</t>
  </si>
  <si>
    <t>アザーレ・キュリオス新宿中井</t>
  </si>
  <si>
    <t>https://suumo.jp/chintai/jnc_000103510639/?bc=100483906907</t>
  </si>
  <si>
    <t>イアース新宿中井</t>
  </si>
  <si>
    <t>https://suumo.jp/chintai/jnc_000103505756/?bc=100484989481</t>
  </si>
  <si>
    <t>https://suumo.jp/chintai/jnc_000103863961/?bc=100481330552</t>
  </si>
  <si>
    <t>https://suumo.jp/chintai/jnc_000103643852/?bc=100479481887</t>
  </si>
  <si>
    <t>エクセレント中井</t>
  </si>
  <si>
    <t>https://suumo.jp/chintai/jnc_000104437835/?bc=100486150652</t>
  </si>
  <si>
    <t>クレイノブレスボヌール</t>
  </si>
  <si>
    <t>https://suumo.jp/chintai/jnc_000104482300/?bc=100485611550</t>
  </si>
  <si>
    <t>グランアセット中落合</t>
  </si>
  <si>
    <t>東京都新宿区中落合４</t>
  </si>
  <si>
    <t>https://suumo.jp/chintai/jnc_000104416547/?bc=100486109097</t>
  </si>
  <si>
    <t>https://suumo.jp/chintai/jnc_000103909131/?bc=100483761691</t>
  </si>
  <si>
    <t>グリーンテラス</t>
  </si>
  <si>
    <t>https://suumo.jp/chintai/jnc_000095479704/?bc=100486226745</t>
  </si>
  <si>
    <t>グリーンパレス</t>
  </si>
  <si>
    <t>https://suumo.jp/chintai/jnc_000095479705/?bc=100484583073</t>
  </si>
  <si>
    <t>https://suumo.jp/chintai/jnc_000104285621/?bc=100484583067</t>
  </si>
  <si>
    <t>https://suumo.jp/chintai/jnc_000085016265/?bc=100483112485</t>
  </si>
  <si>
    <t>コーポセレクション</t>
  </si>
  <si>
    <t>https://suumo.jp/chintai/jnc_000103064937/?bc=100453023026</t>
  </si>
  <si>
    <t>コーポ・プロスパ</t>
  </si>
  <si>
    <t>https://suumo.jp/chintai/jnc_000103064936/?bc=100452357895</t>
  </si>
  <si>
    <t>https://suumo.jp/chintai/jnc_000100568425/?bc=100452442934</t>
  </si>
  <si>
    <t>https://suumo.jp/chintai/jnc_000103722891/?bc=100480022356</t>
  </si>
  <si>
    <t>https://suumo.jp/chintai/jnc_000045105849/?bc=100347255317</t>
  </si>
  <si>
    <t>コーポ寺口</t>
  </si>
  <si>
    <t>https://suumo.jp/chintai/jnc_000103217358/?bc=100480722188</t>
  </si>
  <si>
    <t>https://suumo.jp/chintai/jnc_000103960418/?bc=100482125089</t>
  </si>
  <si>
    <t>サンフラワー中井</t>
  </si>
  <si>
    <t>https://suumo.jp/chintai/jnc_000104473673/?bc=100485952886</t>
  </si>
  <si>
    <t>スカイコートグレース新宿中落合</t>
  </si>
  <si>
    <t>https://suumo.jp/chintai/jnc_000103337915/?bc=100486383865</t>
  </si>
  <si>
    <t>https://suumo.jp/chintai/jnc_000102687697/?bc=100480993000</t>
  </si>
  <si>
    <t>https://suumo.jp/chintai/jnc_000103994067/?bc=100484172527</t>
  </si>
  <si>
    <t>https://suumo.jp/chintai/jnc_000103856289/?bc=100481231725</t>
  </si>
  <si>
    <t>スカイコート新宿落合第６</t>
  </si>
  <si>
    <t>https://suumo.jp/chintai/jnc_000104509154/?bc=100486353253</t>
  </si>
  <si>
    <t>https://suumo.jp/chintai/jnc_000103519515/?bc=100478343038</t>
  </si>
  <si>
    <t>https://suumo.jp/chintai/jnc_000103694565/?bc=100482084634</t>
  </si>
  <si>
    <t>https://suumo.jp/chintai/jnc_000104020990/?bc=100486476626</t>
  </si>
  <si>
    <t>https://suumo.jp/chintai/jnc_000103156177/?bc=100482282492</t>
  </si>
  <si>
    <t>スピティ落合</t>
  </si>
  <si>
    <t>https://suumo.jp/chintai/jnc_000103330324/?bc=100481626844</t>
  </si>
  <si>
    <t>https://suumo.jp/chintai/jnc_000104255981/?bc=100484466092</t>
  </si>
  <si>
    <t>セジョリ新宿上落合</t>
  </si>
  <si>
    <t>https://suumo.jp/chintai/jnc_000092610572/?bc=100483038846</t>
  </si>
  <si>
    <t>デュオステージ中落合</t>
  </si>
  <si>
    <t>https://suumo.jp/chintai/jnc_000103268898/?bc=100476571844</t>
  </si>
  <si>
    <t>https://suumo.jp/chintai/jnc_000104211533/?bc=100483833455</t>
  </si>
  <si>
    <t>トーシンフェニックス落合公園</t>
  </si>
  <si>
    <t>https://suumo.jp/chintai/jnc_000104028806/?bc=100482355170</t>
  </si>
  <si>
    <t>ハイツ伊良</t>
  </si>
  <si>
    <t>https://suumo.jp/chintai/jnc_000103798068/?bc=100483988050</t>
  </si>
  <si>
    <t>ヒカリハウス</t>
  </si>
  <si>
    <t>https://suumo.jp/chintai/jnc_000103217362/?bc=100484587885</t>
  </si>
  <si>
    <t>ヒルクレスト中井</t>
  </si>
  <si>
    <t>https://suumo.jp/chintai/jnc_000103891513/?bc=100482617650</t>
  </si>
  <si>
    <t>https://suumo.jp/chintai/jnc_000103701886/?bc=100479880207</t>
  </si>
  <si>
    <t>フェアリーランド</t>
  </si>
  <si>
    <t>https://suumo.jp/chintai/jnc_000103903848/?bc=100483617350</t>
  </si>
  <si>
    <t>フェニックス落合公園</t>
  </si>
  <si>
    <t>https://suumo.jp/chintai/jnc_000096465952/?bc=100486327512</t>
  </si>
  <si>
    <t>フラット六ノ坂</t>
  </si>
  <si>
    <t>https://suumo.jp/chintai/jnc_000103928524/?bc=100481641414</t>
  </si>
  <si>
    <t>ブライズ新宿中井</t>
  </si>
  <si>
    <t>https://suumo.jp/chintai/jnc_000104107294/?bc=100480706269</t>
  </si>
  <si>
    <t>ブルーノート</t>
  </si>
  <si>
    <t>https://suumo.jp/chintai/jnc_000103362601/?bc=100483964208</t>
  </si>
  <si>
    <t>https://suumo.jp/chintai/jnc_000047970576/?bc=100485551374</t>
  </si>
  <si>
    <t>ブルーハイネス落合</t>
  </si>
  <si>
    <t>https://suumo.jp/chintai/jnc_000103937445/?bc=100481851978</t>
  </si>
  <si>
    <t>ボヌール中井</t>
  </si>
  <si>
    <t>https://suumo.jp/chintai/jnc_000104261586/?bc=100485134843</t>
  </si>
  <si>
    <t>ミルフォード中井</t>
  </si>
  <si>
    <t>https://suumo.jp/chintai/jnc_000103913411/?bc=100481708528</t>
  </si>
  <si>
    <t>https://suumo.jp/chintai/jnc_000104458800/?bc=100485854868</t>
  </si>
  <si>
    <t>メイクスミニ新宿落合</t>
  </si>
  <si>
    <t>https://suumo.jp/chintai/jnc_000101512509/?bc=100465191078</t>
  </si>
  <si>
    <t>メインステージ新宿中井</t>
  </si>
  <si>
    <t>https://suumo.jp/chintai/jnc_000104482297/?bc=100485975266</t>
  </si>
  <si>
    <t>https://suumo.jp/chintai/jnc_000103459002/?bc=100477948521</t>
  </si>
  <si>
    <t>メゾン落合</t>
  </si>
  <si>
    <t>https://suumo.jp/chintai/jnc_000104229485/?bc=100401171143</t>
  </si>
  <si>
    <t>モアメゾン</t>
  </si>
  <si>
    <t>https://suumo.jp/chintai/jnc_000103804589/?bc=100480991910</t>
  </si>
  <si>
    <t>リーフコート</t>
  </si>
  <si>
    <t>https://suumo.jp/chintai/jnc_000103896683/?bc=100482376483</t>
  </si>
  <si>
    <t>リーフテラス</t>
  </si>
  <si>
    <t>https://suumo.jp/chintai/jnc_000104416541/?bc=100485854053</t>
  </si>
  <si>
    <t>ルクレ中落合</t>
  </si>
  <si>
    <t>https://suumo.jp/chintai/jnc_000104416542/?bc=100485896828</t>
  </si>
  <si>
    <t>https://suumo.jp/chintai/jnc_000103959563/?bc=100480759892</t>
  </si>
  <si>
    <t>https://suumo.jp/chintai/jnc_000104416543/?bc=100485715308</t>
  </si>
  <si>
    <t>https://suumo.jp/chintai/jnc_000104416544/?bc=100486373569</t>
  </si>
  <si>
    <t>https://suumo.jp/chintai/jnc_000102932244/?bc=100486396094</t>
  </si>
  <si>
    <t>レオパレス中落合ヒルズ</t>
  </si>
  <si>
    <t>https://suumo.jp/chintai/jnc_000103557380/?bc=100482336837</t>
  </si>
  <si>
    <t>レガリス新宿落合</t>
  </si>
  <si>
    <t>https://suumo.jp/chintai/jnc_000104054964/?bc=100482789400</t>
  </si>
  <si>
    <t>ワコーレ中井</t>
  </si>
  <si>
    <t>https://suumo.jp/chintai/jnc_000098875818/?bc=100482918494</t>
  </si>
  <si>
    <t>中井エイトハウス</t>
  </si>
  <si>
    <t>https://suumo.jp/chintai/jnc_000068876872/?bc=100483299132</t>
  </si>
  <si>
    <t>中井マーサ</t>
  </si>
  <si>
    <t>https://suumo.jp/chintai/jnc_000101532694/?bc=100468433261</t>
  </si>
  <si>
    <t>井坂荘</t>
  </si>
  <si>
    <t>https://suumo.jp/chintai/jnc_000103094759/?bc=100474924705</t>
  </si>
  <si>
    <t>岩崎荘</t>
  </si>
  <si>
    <t>https://suumo.jp/chintai/jnc_000103499748/?bc=100477965331</t>
  </si>
  <si>
    <t>岩田荘</t>
  </si>
  <si>
    <t>https://suumo.jp/chintai/jnc_000104125636/?bc=100483769869</t>
  </si>
  <si>
    <t>東京メトロ東西線 落合駅 2階建 築56年</t>
  </si>
  <si>
    <t>https://suumo.jp/chintai/jnc_000104186368/?bc=100483715404</t>
  </si>
  <si>
    <t>東京メトロ東西線 落合駅 4階建 築15年</t>
  </si>
  <si>
    <t>https://suumo.jp/chintai/jnc_000103903348/?bc=100481705533</t>
  </si>
  <si>
    <t>東京メトロ東西線 落合駅 4階建 築26年</t>
  </si>
  <si>
    <t>https://suumo.jp/chintai/jnc_000103523781/?bc=100478341856</t>
  </si>
  <si>
    <t>https://suumo.jp/chintai/jnc_000103316396/?bc=100476776439</t>
  </si>
  <si>
    <t>https://suumo.jp/chintai/jnc_000104039388/?bc=100482341578</t>
  </si>
  <si>
    <t>https://suumo.jp/chintai/jnc_000099363124/?bc=100468393591</t>
  </si>
  <si>
    <t>第二谷口荘</t>
  </si>
  <si>
    <t>https://suumo.jp/chintai/jnc_000103222874/?bc=100485738481</t>
  </si>
  <si>
    <t>西武新宿線 中井駅 2階建 築17年</t>
  </si>
  <si>
    <t>https://suumo.jp/chintai/jnc_000091646118/?bc=100312006700</t>
  </si>
  <si>
    <t>西武新宿線 中井駅 2階建 築21年</t>
  </si>
  <si>
    <t>https://suumo.jp/chintai/jnc_000104406525/?bc=100485411217</t>
  </si>
  <si>
    <t>西武新宿線 中井駅 2階建 築32年</t>
  </si>
  <si>
    <t>https://suumo.jp/chintai/jnc_000104406526/?bc=100485411218</t>
  </si>
  <si>
    <t>https://suumo.jp/chintai/jnc_000070521786/?bc=100456464062</t>
  </si>
  <si>
    <t>西武新宿線 中井駅 2階建 築37年</t>
  </si>
  <si>
    <t>https://suumo.jp/chintai/jnc_000102764652/?bc=100472267933</t>
  </si>
  <si>
    <t>西武新宿線 中井駅 2階建 築38年</t>
  </si>
  <si>
    <t>https://suumo.jp/chintai/jnc_000103217359/?bc=100456555999</t>
  </si>
  <si>
    <t>西武新宿線 中井駅 2階建 築39年</t>
  </si>
  <si>
    <t>https://suumo.jp/chintai/jnc_000103217360/?bc=100456378680</t>
  </si>
  <si>
    <t>https://suumo.jp/chintai/jnc_000104021007/?bc=100482281547</t>
  </si>
  <si>
    <t>西武新宿線 中井駅 2階建 築4年</t>
  </si>
  <si>
    <t>https://suumo.jp/chintai/jnc_000103110630/?bc=100474931629</t>
  </si>
  <si>
    <t>西武新宿線 中井駅 2階建 築55年</t>
  </si>
  <si>
    <t>https://suumo.jp/chintai/jnc_000099588835/?bc=100477729225</t>
  </si>
  <si>
    <t>https://suumo.jp/chintai/jnc_000047752549/?bc=100481344248</t>
  </si>
  <si>
    <t>西武新宿線 中井駅 3階建 築33年</t>
  </si>
  <si>
    <t>https://suumo.jp/chintai/jnc_000104416499/?bc=100485497867</t>
  </si>
  <si>
    <t>西武新宿線 中井駅 4階建 築30年</t>
  </si>
  <si>
    <t>https://suumo.jp/chintai/jnc_000103575250/?bc=100478651058</t>
  </si>
  <si>
    <t>西武新宿線 中井駅 4階建 築3年</t>
  </si>
  <si>
    <t>https://suumo.jp/chintai/jnc_000104241042/?bc=100338164180</t>
  </si>
  <si>
    <t>西武新宿線 中井駅 4階建 築9年</t>
  </si>
  <si>
    <t>https://suumo.jp/chintai/jnc_000103734392/?bc=100481344257</t>
  </si>
  <si>
    <t>西武新宿線 中井駅 7階建 築19年</t>
  </si>
  <si>
    <t>https://suumo.jp/chintai/jnc_000103959564/?bc=100482334098</t>
  </si>
  <si>
    <t>西武新宿線 中井駅 7階建 築37年</t>
  </si>
  <si>
    <t>https://suumo.jp/chintai/jnc_000104372515/?bc=100485498300</t>
  </si>
  <si>
    <t>西武新宿線 中井駅 8階建 築27年</t>
  </si>
  <si>
    <t>https://suumo.jp/chintai/jnc_000101924305/?bc=100480461900</t>
  </si>
  <si>
    <t>https://suumo.jp/chintai/jnc_000104458811/?bc=100485821977</t>
  </si>
  <si>
    <t>西武新宿線 中井駅 9階建 築17年</t>
  </si>
  <si>
    <t>https://suumo.jp/chintai/jnc_000104458812/?bc=100485821998</t>
  </si>
  <si>
    <t>https://suumo.jp/chintai/jnc_000104531826/?bc=100486328193</t>
  </si>
  <si>
    <t>西武新宿線 中井駅 地下1地上3階建 築19年</t>
  </si>
  <si>
    <t>https://suumo.jp/chintai/jnc_000104482301/?bc=100486004052</t>
  </si>
  <si>
    <t>https://suumo.jp/chintai/jnc_000103701887/?bc=100486088064</t>
  </si>
  <si>
    <t>都営大江戸線 中井駅 2階建 築16年</t>
  </si>
  <si>
    <t>https://suumo.jp/chintai/jnc_000104363173/?bc=100485045706</t>
  </si>
  <si>
    <t>都営大江戸線 中井駅 2階建 築38年</t>
  </si>
  <si>
    <t>https://suumo.jp/chintai/jnc_000103023768/?bc=100485215858</t>
  </si>
  <si>
    <t>都営大江戸線 中井駅 2階建 築9年</t>
  </si>
  <si>
    <t>https://suumo.jp/chintai/jnc_000104085857/?bc=100482871887</t>
  </si>
  <si>
    <t>都営大江戸線 中井駅 3階建 築24年</t>
  </si>
  <si>
    <t>https://suumo.jp/chintai/jnc_000104473637/?bc=100485944042</t>
  </si>
  <si>
    <t>都営大江戸線 中井駅 3階建 築33年</t>
  </si>
  <si>
    <t>https://suumo.jp/chintai/jnc_000103337916/?bc=100476864411</t>
  </si>
  <si>
    <t>都営大江戸線 中井駅 4階建 築7年</t>
  </si>
  <si>
    <t>https://suumo.jp/chintai/jnc_000103976389/?bc=100486336356</t>
  </si>
  <si>
    <t>https://suumo.jp/chintai/jnc_000102324033/?bc=100480789656</t>
  </si>
  <si>
    <t>https://suumo.jp/chintai/jnc_000103505757/?bc=100484137937</t>
  </si>
  <si>
    <t>https://suumo.jp/chintai/jnc_000103505759/?bc=100484573845</t>
  </si>
  <si>
    <t>https://suumo.jp/chintai/jnc_000103505760/?bc=100480003878</t>
  </si>
  <si>
    <t>https://suumo.jp/chintai/jnc_000104464185/?bc=100485865649</t>
  </si>
  <si>
    <t>都営大江戸線 中井駅 4階建 築8年</t>
  </si>
  <si>
    <t>https://suumo.jp/chintai/jnc_000103557381/?bc=100478503298</t>
  </si>
  <si>
    <t>https://suumo.jp/chintai/jnc_000103557382/?bc=100480172710</t>
  </si>
  <si>
    <t>https://suumo.jp/chintai/jnc_000104186917/?bc=100483545948</t>
  </si>
  <si>
    <t>都営大江戸線 中井駅 5階建 築22年</t>
  </si>
  <si>
    <t>https://suumo.jp/chintai/jnc_000103440547/?bc=100469514310</t>
  </si>
  <si>
    <t>都営大江戸線 中井駅 5階建 築30年</t>
  </si>
  <si>
    <t>https://suumo.jp/chintai/jnc_000104303532/?bc=100484566870</t>
  </si>
  <si>
    <t>https://suumo.jp/chintai/jnc_000104498690/?bc=100486070272</t>
  </si>
  <si>
    <t>都営大江戸線 中井駅 地下1地上3階建 築25年</t>
  </si>
  <si>
    <t>https://suumo.jp/chintai/jnc_000104192169/?bc=100483913865</t>
  </si>
  <si>
    <t>都営大江戸線 中井駅 地下1地上6階建 築20年</t>
  </si>
  <si>
    <t>https://suumo.jp/chintai/jnc_000103499750/?bc=100478343311</t>
  </si>
  <si>
    <t>https://suumo.jp/chintai/jnc_000103821674/?bc=100482783092</t>
  </si>
  <si>
    <t>ＧＲＡＮＰＡＳＥＯ新宿中井</t>
  </si>
  <si>
    <t>https://suumo.jp/chintai/jnc_000104285623/?bc=100484515380</t>
  </si>
  <si>
    <t>ＪＲ中央線 東中野駅 12階建 築32年</t>
  </si>
  <si>
    <t>https://suumo.jp/chintai/jnc_000103054500/?bc=100474544375</t>
  </si>
  <si>
    <t>ＯｐｕｓII</t>
  </si>
  <si>
    <t>https://suumo.jp/chintai/jnc_000104069552/?bc=100483005645</t>
  </si>
  <si>
    <t>ＰＬＡＴＺ中井</t>
  </si>
  <si>
    <t>https://suumo.jp/chintai/jnc_000104368369/?bc=100485069125</t>
  </si>
  <si>
    <t>ｌａ　Ｅｓｔａｃｉｏｎ</t>
  </si>
  <si>
    <t>https://suumo.jp/chintai/jnc_000093536605/?bc=100475694637</t>
  </si>
  <si>
    <t>Fullea上落合</t>
  </si>
  <si>
    <t>https://suumo.jp/chintai/jnc_000100598374/?bc=100486088227</t>
  </si>
  <si>
    <t>Prunier</t>
  </si>
  <si>
    <t>https://suumo.jp/chintai/jnc_000104454668/?bc=100484745789</t>
  </si>
  <si>
    <t>ガーデンコートT</t>
  </si>
  <si>
    <t>https://suumo.jp/chintai/jnc_000103779678/?bc=100481525149</t>
  </si>
  <si>
    <t>https://suumo.jp/chintai/jnc_000103928525/?bc=100481654064</t>
  </si>
  <si>
    <t>クレスト五の坂</t>
  </si>
  <si>
    <t>https://suumo.jp/chintai/jnc_000103435858/?bc=100476226038</t>
  </si>
  <si>
    <t>クレヴィア新宿中落合WEST</t>
  </si>
  <si>
    <t>https://suumo.jp/chintai/jnc_000102887601/?bc=100473158541</t>
  </si>
  <si>
    <t>グランドメゾン落合</t>
  </si>
  <si>
    <t>https://suumo.jp/chintai/jnc_000104498664/?bc=100486162415</t>
  </si>
  <si>
    <t>ヒルコート上落合</t>
  </si>
  <si>
    <t>https://suumo.jp/chintai/jnc_000075824782/?bc=100481081095</t>
  </si>
  <si>
    <t>ビクトリーガーデン中落合</t>
  </si>
  <si>
    <t>https://suumo.jp/chintai/jnc_000103150446/?bc=100475784247</t>
  </si>
  <si>
    <t>プランシェール落合</t>
  </si>
  <si>
    <t>https://suumo.jp/chintai/jnc_000102942561/?bc=100473675840</t>
  </si>
  <si>
    <t>中銀落合マンシオン</t>
  </si>
  <si>
    <t>https://suumo.jp/chintai/jnc_000104464187/?bc=100480992974</t>
  </si>
  <si>
    <t>東京メトロ東西線 落合駅 5階建 築23年</t>
  </si>
  <si>
    <t>https://suumo.jp/chintai/jnc_000103791966/?bc=100485413544</t>
  </si>
  <si>
    <t>https://suumo.jp/chintai/jnc_000096952777/?bc=100456653468</t>
  </si>
  <si>
    <t>落合公園ハウス</t>
  </si>
  <si>
    <t>https://suumo.jp/chintai/jnc_000103809133/?bc=100480705836</t>
  </si>
  <si>
    <t>西武新宿線 中井駅 2階建 新築</t>
  </si>
  <si>
    <t>https://suumo.jp/chintai/jnc_000104054966/?bc=100482583715</t>
  </si>
  <si>
    <t>西武新宿線 中井駅 2階建 築28年</t>
  </si>
  <si>
    <t>https://suumo.jp/chintai/jnc_000103779711/?bc=100480218330</t>
  </si>
  <si>
    <t>西武新宿線 中井駅 地下5地上5階建 築4年</t>
  </si>
  <si>
    <t>https://suumo.jp/chintai/jnc_000104116896/?bc=100483139865</t>
  </si>
  <si>
    <t>都営大江戸線 中井駅 4階建 築6年</t>
  </si>
  <si>
    <t>https://suumo.jp/chintai/jnc_000096772680/?bc=100474798883</t>
  </si>
  <si>
    <t>都営大江戸線 中井駅 8階建 築56年</t>
  </si>
  <si>
    <t>https://suumo.jp/chintai/jnc_000103402562/?bc=100484683028</t>
  </si>
  <si>
    <t>https://suumo.jp/chintai/jnc_000103110629/?bc=100483166322</t>
  </si>
  <si>
    <t>ＪＲ中央線 東中野駅 2階建 築13年</t>
  </si>
  <si>
    <t>https://suumo.jp/chintai/jnc_000103491783/?bc=100478797835</t>
  </si>
  <si>
    <t>AQUAレジデンス中井</t>
  </si>
  <si>
    <t>https://suumo.jp/chintai/jnc_000102077572/?bc=100478797842</t>
  </si>
  <si>
    <t>https://suumo.jp/chintai/jnc_000068272178/?bc=100478491868</t>
  </si>
  <si>
    <t>https://suumo.jp/chintai/jnc_000103198522/?bc=100482498494</t>
  </si>
  <si>
    <t>Nano 上落合</t>
  </si>
  <si>
    <t>https://suumo.jp/chintai/jnc_000102484271/?bc=100483576801</t>
  </si>
  <si>
    <t>https://suumo.jp/chintai/jnc_000104509152/?bc=100486142103</t>
  </si>
  <si>
    <t>https://suumo.jp/chintai/jnc_000102805041/?bc=100475940326</t>
  </si>
  <si>
    <t>https://suumo.jp/chintai/jnc_000103285441/?bc=100481561013</t>
  </si>
  <si>
    <t>https://suumo.jp/chintai/jnc_000104525332/?bc=100486288113</t>
  </si>
  <si>
    <t>Studio24</t>
  </si>
  <si>
    <t>https://suumo.jp/chintai/jnc_000104196096/?bc=100483701491</t>
  </si>
  <si>
    <t>trias117</t>
  </si>
  <si>
    <t>https://suumo.jp/chintai/jnc_000103928526/?bc=100481267951</t>
  </si>
  <si>
    <t>https://suumo.jp/chintai/jnc_000093927006/?bc=100404987757</t>
  </si>
  <si>
    <t>アイミリビル</t>
  </si>
  <si>
    <t>https://suumo.jp/chintai/jnc_000103570820/?bc=100478610426</t>
  </si>
  <si>
    <t>アスパイア上落合Ｃ</t>
  </si>
  <si>
    <t>https://suumo.jp/chintai/jnc_000058686581/?bc=100472645995</t>
  </si>
  <si>
    <t>https://suumo.jp/chintai/jnc_000058686584/?bc=100469871113</t>
  </si>
  <si>
    <t>アスパイア上落合Ｅ</t>
  </si>
  <si>
    <t>https://suumo.jp/chintai/jnc_000100203691/?bc=100449486205</t>
  </si>
  <si>
    <t>アンフィールド2</t>
  </si>
  <si>
    <t>https://suumo.jp/chintai/jnc_000103818062/?bc=100481634627</t>
  </si>
  <si>
    <t>アーバンプレイス新宿N</t>
  </si>
  <si>
    <t>https://suumo.jp/chintai/jnc_000097722599/?bc=100358960457</t>
  </si>
  <si>
    <t>アーバンプレイス落合A</t>
  </si>
  <si>
    <t>https://suumo.jp/chintai/jnc_000096791765/?bc=100483673431</t>
  </si>
  <si>
    <t>アールフラット中落合</t>
  </si>
  <si>
    <t>https://suumo.jp/chintai/jnc_000103873075/?bc=100481285925</t>
  </si>
  <si>
    <t>インテック落合</t>
  </si>
  <si>
    <t>https://suumo.jp/chintai/jnc_000104049637/?bc=100482507404</t>
  </si>
  <si>
    <t>ウインズ落合</t>
  </si>
  <si>
    <t>https://suumo.jp/chintai/jnc_000103959497/?bc=100481904247</t>
  </si>
  <si>
    <t>https://suumo.jp/chintai/jnc_000103947305/?bc=100442376124</t>
  </si>
  <si>
    <t>https://suumo.jp/chintai/jnc_000104138606/?bc=100482698392</t>
  </si>
  <si>
    <t>エスポアール</t>
  </si>
  <si>
    <t>https://suumo.jp/chintai/jnc_000103346198/?bc=100479322591</t>
  </si>
  <si>
    <t>カトルセゾン</t>
  </si>
  <si>
    <t>https://suumo.jp/chintai/jnc_000104498691/?bc=100486448754</t>
  </si>
  <si>
    <t>カーサ中井</t>
  </si>
  <si>
    <t>https://suumo.jp/chintai/jnc_000032575661/?bc=100486446574</t>
  </si>
  <si>
    <t>クラフト中井</t>
  </si>
  <si>
    <t>https://suumo.jp/chintai/jnc_000103649369/?bc=100481209227</t>
  </si>
  <si>
    <t>グランエッグス新宿中井</t>
  </si>
  <si>
    <t>https://suumo.jp/chintai/jnc_000050334953/?bc=100482257976</t>
  </si>
  <si>
    <t>グリーンヒル</t>
  </si>
  <si>
    <t>https://suumo.jp/chintai/jnc_000104069554/?bc=100482730243</t>
  </si>
  <si>
    <t>グレースレーヌ</t>
  </si>
  <si>
    <t>https://suumo.jp/chintai/jnc_000053444939/?bc=100177087813</t>
  </si>
  <si>
    <t>コーポ宮本</t>
  </si>
  <si>
    <t>https://suumo.jp/chintai/jnc_000104148250/?bc=100483553189</t>
  </si>
  <si>
    <t>サニーハウス</t>
  </si>
  <si>
    <t>https://suumo.jp/chintai/jnc_000104125657/?bc=100483343754</t>
  </si>
  <si>
    <t>https://suumo.jp/chintai/jnc_000101722211/?bc=100387498028</t>
  </si>
  <si>
    <t>サークルハウス中落合</t>
  </si>
  <si>
    <t>https://suumo.jp/chintai/jnc_000093216945/?bc=100479810436</t>
  </si>
  <si>
    <t>https://suumo.jp/chintai/jnc_000103643853/?bc=100479151054</t>
  </si>
  <si>
    <t>シェルブルー中落合</t>
  </si>
  <si>
    <t>https://suumo.jp/chintai/jnc_000028057728/?bc=100485298464</t>
  </si>
  <si>
    <t>シエスタルミエール</t>
  </si>
  <si>
    <t>https://suumo.jp/chintai/jnc_000090835319/?bc=100483480554</t>
  </si>
  <si>
    <t>シャルムタナカ</t>
  </si>
  <si>
    <t>https://suumo.jp/chintai/jnc_000104043935/?bc=100482930503</t>
  </si>
  <si>
    <t>https://suumo.jp/chintai/jnc_000079506082/?bc=100452179465</t>
  </si>
  <si>
    <t>https://suumo.jp/chintai/jnc_000022843448/?bc=100335593986</t>
  </si>
  <si>
    <t>シャンテ中井</t>
  </si>
  <si>
    <t>https://suumo.jp/chintai/jnc_000104222327/?bc=100484341297</t>
  </si>
  <si>
    <t>スカイコート新宿落合第5</t>
  </si>
  <si>
    <t>https://suumo.jp/chintai/jnc_000104458799/?bc=100485973357</t>
  </si>
  <si>
    <t>https://suumo.jp/chintai/jnc_000104491572/?bc=100486131389</t>
  </si>
  <si>
    <t>https://suumo.jp/chintai/jnc_000104491573/?bc=100486138700</t>
  </si>
  <si>
    <t>https://suumo.jp/chintai/jnc_000101224022/?bc=100482475688</t>
  </si>
  <si>
    <t>テラス1063</t>
  </si>
  <si>
    <t>https://suumo.jp/chintai/jnc_000102936161/?bc=100471339678</t>
  </si>
  <si>
    <t>ハイツ川島</t>
  </si>
  <si>
    <t>https://suumo.jp/chintai/jnc_000084454337/?bc=100469626968</t>
  </si>
  <si>
    <t>ハピネス中井</t>
  </si>
  <si>
    <t>https://suumo.jp/chintai/jnc_000104325999/?bc=100484738416</t>
  </si>
  <si>
    <t>バレエハウスK</t>
  </si>
  <si>
    <t>https://suumo.jp/chintai/jnc_000104510083/?bc=100486187479</t>
  </si>
  <si>
    <t>パールハイツ前島</t>
  </si>
  <si>
    <t>https://suumo.jp/chintai/jnc_000104295045/?bc=100484499410</t>
  </si>
  <si>
    <t>フレシール中落合</t>
  </si>
  <si>
    <t>https://suumo.jp/chintai/jnc_000102914330/?bc=100473457062</t>
  </si>
  <si>
    <t>フレンズマンション</t>
  </si>
  <si>
    <t>https://suumo.jp/chintai/jnc_000103873102/?bc=100485777528</t>
  </si>
  <si>
    <t>https://suumo.jp/chintai/jnc_000103742495/?bc=100480550109</t>
  </si>
  <si>
    <t>メゾン・ド・シャルム</t>
  </si>
  <si>
    <t>https://suumo.jp/chintai/jnc_000100786316/?bc=100454299900</t>
  </si>
  <si>
    <t>メゾン中落合</t>
  </si>
  <si>
    <t>https://suumo.jp/chintai/jnc_000103500317/?bc=100478011003</t>
  </si>
  <si>
    <t>ラ・メゾン中井</t>
  </si>
  <si>
    <t>https://suumo.jp/chintai/jnc_000104003313/?bc=100482306921</t>
  </si>
  <si>
    <t>上落合レジデンス</t>
  </si>
  <si>
    <t>https://suumo.jp/chintai/jnc_000104432908/?bc=100485604201</t>
  </si>
  <si>
    <t>中落合TERRACE (中落合テラス)</t>
  </si>
  <si>
    <t>https://suumo.jp/chintai/jnc_000103815630/?bc=100480748775</t>
  </si>
  <si>
    <t>新宿中井アパートメント</t>
  </si>
  <si>
    <t>https://suumo.jp/chintai/jnc_000103761963/?bc=100209868023</t>
  </si>
  <si>
    <t>東京メトロ東西線 落合駅 2階建 築19年</t>
  </si>
  <si>
    <t>https://suumo.jp/chintai/jnc_000097722600/?bc=100486075699</t>
  </si>
  <si>
    <t>https://suumo.jp/chintai/jnc_000104368365/?bc=100485101129</t>
  </si>
  <si>
    <t>東京メトロ東西線 落合駅 4階建 築30年</t>
  </si>
  <si>
    <t>https://suumo.jp/chintai/jnc_000104241022/?bc=100484141573</t>
  </si>
  <si>
    <t>東京メトロ東西線 落合駅 5階建 築12年</t>
  </si>
  <si>
    <t>https://suumo.jp/chintai/jnc_000101824640/?bc=100463542475</t>
  </si>
  <si>
    <t>第２コーポ勝美</t>
  </si>
  <si>
    <t>https://suumo.jp/chintai/jnc_000104076261/?bc=100482782804</t>
  </si>
  <si>
    <t>西武新宿線 中井駅 2階建 築15年</t>
  </si>
  <si>
    <t>https://suumo.jp/chintai/jnc_000029055466/?bc=100485001022</t>
  </si>
  <si>
    <t>https://suumo.jp/chintai/jnc_000097267006/?bc=100480239751</t>
  </si>
  <si>
    <t>https://suumo.jp/chintai/jnc_000102829289/?bc=100473618768</t>
  </si>
  <si>
    <t>西武新宿線 中井駅 2階建 築2年</t>
  </si>
  <si>
    <t>https://suumo.jp/chintai/jnc_000103362628/?bc=100480789597</t>
  </si>
  <si>
    <t>西武新宿線 中井駅 2階建 築30年</t>
  </si>
  <si>
    <t>https://suumo.jp/chintai/jnc_000102457936/?bc=100473971696</t>
  </si>
  <si>
    <t>西武新宿線 中井駅 2階建 築36年</t>
  </si>
  <si>
    <t>https://suumo.jp/chintai/jnc_000102936162/?bc=100473972108</t>
  </si>
  <si>
    <t>https://suumo.jp/chintai/jnc_000032575673/?bc=100486258989</t>
  </si>
  <si>
    <t>西武新宿線 中井駅 2階建 築9年</t>
  </si>
  <si>
    <t>https://suumo.jp/chintai/jnc_000104498692/?bc=100486107913</t>
  </si>
  <si>
    <t>https://suumo.jp/chintai/jnc_000022902842/?bc=100480327628</t>
  </si>
  <si>
    <t>西武新宿線 中井駅 3階建 築23年</t>
  </si>
  <si>
    <t>https://suumo.jp/chintai/jnc_000104295043/?bc=100476043170</t>
  </si>
  <si>
    <t>西武新宿線 中井駅 4階建 築40年</t>
  </si>
  <si>
    <t>https://suumo.jp/chintai/jnc_000104196094/?bc=100480445975</t>
  </si>
  <si>
    <t>西武新宿線 中井駅 4階建 築42年</t>
  </si>
  <si>
    <t>https://suumo.jp/chintai/jnc_000090835322/?bc=100484560694</t>
  </si>
  <si>
    <t>西武新宿線 中井駅 5階建 築33年</t>
  </si>
  <si>
    <t>https://suumo.jp/chintai/jnc_000103649370/?bc=100479526092</t>
  </si>
  <si>
    <t>西武新宿線 中井駅 7階建 築18年</t>
  </si>
  <si>
    <t>https://suumo.jp/chintai/jnc_000102893071/?bc=100473972831</t>
  </si>
  <si>
    <t>西武新宿線 中井駅 地下1地上4階建 築5年</t>
  </si>
  <si>
    <t>https://suumo.jp/chintai/jnc_000104437836/?bc=100485581156</t>
  </si>
  <si>
    <t>https://suumo.jp/chintai/jnc_000103643854/?bc=100479193305</t>
  </si>
  <si>
    <t>西武新宿線 中井駅 地下1地上4階建 築6年</t>
  </si>
  <si>
    <t>https://suumo.jp/chintai/jnc_000103883461/?bc=100481346175</t>
  </si>
  <si>
    <t>西武新宿線 中井駅 地下1地上6階建 築18年</t>
  </si>
  <si>
    <t>https://suumo.jp/chintai/jnc_000101722212/?bc=100463149845</t>
  </si>
  <si>
    <t>都営大江戸線 中井駅 2階建 築10年</t>
  </si>
  <si>
    <t>https://suumo.jp/chintai/jnc_000093223622/?bc=100480411931</t>
  </si>
  <si>
    <t>https://suumo.jp/chintai/jnc_000102017132/?bc=100465582660</t>
  </si>
  <si>
    <t>都営大江戸線 中井駅 2階建 築31年</t>
  </si>
  <si>
    <t>https://suumo.jp/chintai/jnc_000103658028/?bc=100484318625</t>
  </si>
  <si>
    <t>都営大江戸線 中井駅 3階建 築11年</t>
  </si>
  <si>
    <t>https://suumo.jp/chintai/jnc_000104498665/?bc=100486204666</t>
  </si>
  <si>
    <t>https://suumo.jp/chintai/jnc_000104509151/?bc=100486204662</t>
  </si>
  <si>
    <t>https://suumo.jp/chintai/jnc_000104498666/?bc=100486144571</t>
  </si>
  <si>
    <t>https://suumo.jp/chintai/jnc_000104101238/?bc=100482970711</t>
  </si>
  <si>
    <t>都営大江戸線 中井駅 3階建 築37年</t>
  </si>
  <si>
    <t>https://suumo.jp/chintai/jnc_000102154717/?bc=100482075184</t>
  </si>
  <si>
    <t>https://suumo.jp/chintai/jnc_000068305919/?bc=100481827544</t>
  </si>
  <si>
    <t>https://suumo.jp/chintai/jnc_000102813956/?bc=100472653605</t>
  </si>
  <si>
    <t>都営大江戸線 中井駅 3階建 築6年</t>
  </si>
  <si>
    <t>https://suumo.jp/chintai/jnc_000103198523/?bc=100261977537</t>
  </si>
  <si>
    <t>https://suumo.jp/chintai/jnc_000103285443/?bc=100483506297</t>
  </si>
  <si>
    <t>https://suumo.jp/chintai/jnc_000102546983/?bc=100470562971</t>
  </si>
  <si>
    <t>https://suumo.jp/chintai/jnc_000102861933/?bc=100483064075</t>
  </si>
  <si>
    <t>https://suumo.jp/chintai/jnc_000102663293/?bc=100471539017</t>
  </si>
  <si>
    <t>都営大江戸線 中井駅 4階建 築2年</t>
  </si>
  <si>
    <t>https://suumo.jp/chintai/jnc_000088186231/?bc=100483813327</t>
  </si>
  <si>
    <t>https://suumo.jp/chintai/jnc_000103843616/?bc=100481040301</t>
  </si>
  <si>
    <t>野村ビル</t>
  </si>
  <si>
    <t>https://suumo.jp/chintai/jnc_000102039270/?bc=100465872810</t>
  </si>
  <si>
    <t>https://suumo.jp/chintai/jnc_000088179370/?bc=100483771681</t>
  </si>
  <si>
    <t>Ｎｏａｈ ｓ　Ａｒｋ</t>
  </si>
  <si>
    <t>https://suumo.jp/chintai/jnc_000102654680/?bc=100475226068</t>
  </si>
  <si>
    <t>Ｙ’ｓ　Ｃｏｕｒｔ　Ｎａｋａｉ</t>
  </si>
  <si>
    <t>https://suumo.jp/chintai/jnc_000104310255/?bc=100484634030</t>
  </si>
  <si>
    <t>1SK</t>
  </si>
  <si>
    <t>https://suumo.jp/chintai/jnc_000095797873/?bc=100358655329</t>
  </si>
  <si>
    <t>https://suumo.jp/chintai/jnc_000104091509/?bc=100484920028</t>
  </si>
  <si>
    <t>プランドール</t>
  </si>
  <si>
    <t>https://suumo.jp/chintai/jnc_000104125658/?bc=100484284642</t>
  </si>
  <si>
    <t>https://suumo.jp/chintai/jnc_000102554740/?bc=100479225937</t>
  </si>
  <si>
    <t>グリーンヒル中井</t>
  </si>
  <si>
    <t>https://suumo.jp/chintai/jnc_000104416540/?bc=100485609995</t>
  </si>
  <si>
    <t>https://suumo.jp/chintai/jnc_000095832217/?bc=100484790947</t>
  </si>
  <si>
    <t>https://suumo.jp/chintai/jnc_000101897557/?bc=100465461487</t>
  </si>
  <si>
    <t>https://suumo.jp/chintai/jnc_000061260509/?bc=100485854258</t>
  </si>
  <si>
    <t>第一山下荘</t>
  </si>
  <si>
    <t>https://suumo.jp/chintai/jnc_000104356679/?bc=100485569380</t>
  </si>
  <si>
    <t>篠原ビル</t>
  </si>
  <si>
    <t>https://suumo.jp/chintai/jnc_000102678961/?bc=100471631231</t>
  </si>
  <si>
    <t>https://suumo.jp/chintai/jnc_000102238520/?bc=100467698731</t>
  </si>
  <si>
    <t>エリシオン</t>
  </si>
  <si>
    <t>https://suumo.jp/chintai/jnc_000102238521/?bc=100467698735</t>
  </si>
  <si>
    <t>https://suumo.jp/chintai/jnc_000102238513/?bc=100467698734</t>
  </si>
  <si>
    <t>https://suumo.jp/chintai/jnc_000102238515/?bc=100467698724</t>
  </si>
  <si>
    <t>https://suumo.jp/chintai/jnc_000103662821/?bc=100472190249</t>
  </si>
  <si>
    <t>https://suumo.jp/chintai/jnc_000102417192/?bc=100466749206</t>
  </si>
  <si>
    <t>https://suumo.jp/chintai/jnc_000104464223/?bc=100485838270</t>
  </si>
  <si>
    <t>パインヒル落合</t>
  </si>
  <si>
    <t>https://suumo.jp/chintai/jnc_000104186393/?bc=100483595576</t>
  </si>
  <si>
    <t>フォレストハイツ</t>
  </si>
  <si>
    <t>https://suumo.jp/chintai/jnc_000103150463/?bc=100475302072</t>
  </si>
  <si>
    <t>プレジオ落合</t>
  </si>
  <si>
    <t>https://suumo.jp/chintai/jnc_000103473382/?bc=100477786108</t>
  </si>
  <si>
    <t>https://suumo.jp/chintai/jnc_000103605210/?bc=100473970386</t>
  </si>
  <si>
    <t>https://suumo.jp/chintai/jnc_000102709843/?bc=100467249061</t>
  </si>
  <si>
    <t>西武新宿線 中井駅 7階建 築3年</t>
  </si>
  <si>
    <t>https://suumo.jp/chintai/jnc_000103117876/?bc=100475935066</t>
  </si>
  <si>
    <t>シャルムMK</t>
  </si>
  <si>
    <t>https://suumo.jp/chintai/jnc_000104548554/?bc=100486445213</t>
  </si>
  <si>
    <t>ファミール</t>
  </si>
  <si>
    <t>https://suumo.jp/chintai/jnc_000099161249/?bc=100477977460</t>
  </si>
  <si>
    <t>都営大江戸線 中井駅 地上2階建 築50年</t>
  </si>
  <si>
    <t>https://suumo.jp/chintai/jnc_000102979649/?bc=100473944707</t>
  </si>
  <si>
    <t>https://suumo.jp/chintai/jnc_000102238517/?bc=100467698729</t>
  </si>
  <si>
    <t>https://suumo.jp/chintai/jnc_000102238519/?bc=100467698733</t>
  </si>
  <si>
    <t>https://suumo.jp/chintai/jnc_000102238516/?bc=100467698727</t>
  </si>
  <si>
    <t>https://suumo.jp/chintai/jnc_000102238518/?bc=100467698728</t>
  </si>
  <si>
    <t>https://suumo.jp/chintai/jnc_000103976336/?bc=100482171337</t>
  </si>
  <si>
    <t>https://suumo.jp/chintai/jnc_000101329212/?bc=100465659542</t>
  </si>
  <si>
    <t>https://suumo.jp/chintai/jnc_000104464222/?bc=100463210401</t>
  </si>
  <si>
    <t>中落合東豊エステート</t>
  </si>
  <si>
    <t>https://suumo.jp/chintai/jnc_000101771127/?bc=100469400092</t>
  </si>
  <si>
    <t>https://suumo.jp/chintai/jnc_000101777014/?bc=100464415088</t>
  </si>
  <si>
    <t>西武新宿線 中井駅 9階建 築55年</t>
  </si>
  <si>
    <t>https://suumo.jp/chintai/jnc_000098026966/?bc=100483859922</t>
  </si>
  <si>
    <t>西武新宿線 中井駅 地上3階建 築10年</t>
  </si>
  <si>
    <t>https://suumo.jp/chintai/jnc_000103144296/?bc=100475266420</t>
  </si>
  <si>
    <t>https://suumo.jp/chintai/jnc_000102971543/?bc=100483193855</t>
  </si>
  <si>
    <t>ウェルスクエアイズム中野坂上</t>
  </si>
  <si>
    <t>東京都中野区中野１</t>
  </si>
  <si>
    <t>中野坂上駅</t>
  </si>
  <si>
    <t>https://suumo.jp/chintai/jnc_000102979672/?bc=100474749778</t>
  </si>
  <si>
    <t>東京メトロ丸ノ内線 中野坂上駅 4階建 築6年</t>
  </si>
  <si>
    <t>https://suumo.jp/chintai/jnc_000103690587/?bc=100479887194</t>
  </si>
  <si>
    <t>エルファーロ中野坂上</t>
  </si>
  <si>
    <t>東京都中野区中央２</t>
  </si>
  <si>
    <t>https://suumo.jp/chintai/jnc_000103090318/?bc=100474930104</t>
  </si>
  <si>
    <t>ルーブル中野坂上</t>
  </si>
  <si>
    <t>東京都中野区中央１</t>
  </si>
  <si>
    <t>https://suumo.jp/chintai/jnc_000104108076/?bc=100483127693</t>
  </si>
  <si>
    <t>ルーブル中野坂上伍番館</t>
  </si>
  <si>
    <t>東京都中野区東中野１</t>
  </si>
  <si>
    <t>https://suumo.jp/chintai/jnc_000041187186/?bc=100485606339</t>
  </si>
  <si>
    <t>レガロ中野坂上</t>
  </si>
  <si>
    <t>東京都中野区東中野２</t>
  </si>
  <si>
    <t>https://suumo.jp/chintai/jnc_000104499536/?bc=100486125289</t>
  </si>
  <si>
    <t>https://suumo.jp/chintai/jnc_000103111351/?bc=100482767119</t>
  </si>
  <si>
    <t>先山邸</t>
  </si>
  <si>
    <t>https://suumo.jp/chintai/jnc_000103111352/?bc=100474931746</t>
  </si>
  <si>
    <t>東京メトロ丸ノ内線 中野坂上駅 12階建 築25年</t>
  </si>
  <si>
    <t>https://suumo.jp/chintai/jnc_000103099945/?bc=100475104590</t>
  </si>
  <si>
    <t>東京メトロ丸ノ内線 中野坂上駅 2階建 築60年</t>
  </si>
  <si>
    <t>https://suumo.jp/chintai/jnc_000104532491/?bc=100486355279</t>
  </si>
  <si>
    <t>東京メトロ丸ノ内線 中野坂上駅 4階建 築21年</t>
  </si>
  <si>
    <t>https://suumo.jp/chintai/jnc_000103702511/?bc=100480563611</t>
  </si>
  <si>
    <t>東京メトロ丸ノ内線 中野坂上駅 4階建 築2年</t>
  </si>
  <si>
    <t>https://suumo.jp/chintai/jnc_000104108077/?bc=100483526640</t>
  </si>
  <si>
    <t>東京メトロ丸ノ内線 中野坂上駅 7階建 築13年</t>
  </si>
  <si>
    <t>https://suumo.jp/chintai/jnc_000104426279/?bc=100485605832</t>
  </si>
  <si>
    <t>東京メトロ丸ノ内線 中野坂上駅 9階建 築21年</t>
  </si>
  <si>
    <t>https://suumo.jp/chintai/jnc_000104499537/?bc=100486161094</t>
  </si>
  <si>
    <t>https://suumo.jp/chintai/jnc_000103780377/?bc=100480582071</t>
  </si>
  <si>
    <t>アプリーレ東中野</t>
  </si>
  <si>
    <t>https://suumo.jp/chintai/jnc_000102109240/?bc=100466911222</t>
  </si>
  <si>
    <t>https://suumo.jp/chintai/jnc_000103424497/?bc=100477444702</t>
  </si>
  <si>
    <t>プリューム中野坂上</t>
  </si>
  <si>
    <t>https://suumo.jp/chintai/jnc_000104241722/?bc=100484216834</t>
  </si>
  <si>
    <t>ラミィ中野坂上</t>
  </si>
  <si>
    <t>https://suumo.jp/chintai/jnc_000104235939/?bc=100484190069</t>
  </si>
  <si>
    <t>東京メトロ丸ノ内線 中野坂上駅 5階建 築1年</t>
  </si>
  <si>
    <t>https://suumo.jp/chintai/jnc_000103717514/?bc=100480390326</t>
  </si>
  <si>
    <t>東京メトロ丸ノ内線 中野坂上駅 地下1地上10階建 築19年</t>
  </si>
  <si>
    <t>https://suumo.jp/chintai/jnc_000104060449/?bc=100483495382</t>
  </si>
  <si>
    <t>TOP中野第5</t>
  </si>
  <si>
    <t>https://suumo.jp/chintai/jnc_000103891844/?bc=100485748040</t>
  </si>
  <si>
    <t>myplan中野坂上（マイプラン中野坂上）</t>
  </si>
  <si>
    <t>https://suumo.jp/chintai/jnc_000104086240/?bc=100483328076</t>
  </si>
  <si>
    <t>フィリップ東中野</t>
  </si>
  <si>
    <t>https://suumo.jp/chintai/jnc_000065311091/?bc=100479922379</t>
  </si>
  <si>
    <t>メゾン中央</t>
  </si>
  <si>
    <t>https://suumo.jp/chintai/jnc_000104335107/?bc=100484936465</t>
  </si>
  <si>
    <t>ライトテラス中野坂上</t>
  </si>
  <si>
    <t>https://suumo.jp/chintai/jnc_000104101590/?bc=100483478822</t>
  </si>
  <si>
    <t>東京メトロ丸ノ内線 中野坂上駅 2階建 築9年</t>
  </si>
  <si>
    <t>https://suumo.jp/chintai/jnc_000103663176/?bc=100479877513</t>
  </si>
  <si>
    <t>都営大江戸線 中野坂上駅 4階建 築37年</t>
  </si>
  <si>
    <t>https://suumo.jp/chintai/jnc_000101259028/?bc=100481332380</t>
  </si>
  <si>
    <t>宮園キャピタルマンション</t>
  </si>
  <si>
    <t>https://suumo.jp/chintai/jnc_000101241253/?bc=100480555879</t>
  </si>
  <si>
    <t>東京メトロ丸ノ内線 中野坂上駅 12階建 築56年</t>
  </si>
  <si>
    <t>https://suumo.jp/chintai/jnc_000103864705/?bc=100481651226</t>
  </si>
  <si>
    <t>https://suumo.jp/chintai/jnc_000103780378/?bc=100480866529</t>
  </si>
  <si>
    <t>https://suumo.jp/chintai/jnc_000104392269/?bc=100485316342</t>
  </si>
  <si>
    <t>中野坂上パーク・ホームズ</t>
  </si>
  <si>
    <t>https://suumo.jp/chintai/jnc_000104317205/?bc=100485180460</t>
  </si>
  <si>
    <t>ALTERNA中野</t>
  </si>
  <si>
    <t>東京都中野区中野５</t>
  </si>
  <si>
    <t>中野駅</t>
  </si>
  <si>
    <t>https://suumo.jp/chintai/jnc_000103386558/?bc=100459240700</t>
  </si>
  <si>
    <t>https://suumo.jp/chintai/jnc_000102338649/?bc=100477078528</t>
  </si>
  <si>
    <t>https://suumo.jp/chintai/jnc_000103864685/?bc=100481224311</t>
  </si>
  <si>
    <t>https://suumo.jp/chintai/jnc_000104280472/?bc=100481982776</t>
  </si>
  <si>
    <t>https://suumo.jp/chintai/jnc_000103563625/?bc=100485575484</t>
  </si>
  <si>
    <t>バウスステージ中野</t>
  </si>
  <si>
    <t>東京都中野区新井１</t>
  </si>
  <si>
    <t>https://suumo.jp/chintai/jnc_000103123135/?bc=100475208579</t>
  </si>
  <si>
    <t>メゾン・ド・プティ</t>
  </si>
  <si>
    <t>東京都中野区中野６</t>
  </si>
  <si>
    <t>https://suumo.jp/chintai/jnc_000103771397/?bc=100480695109</t>
  </si>
  <si>
    <t>メゾン中野</t>
  </si>
  <si>
    <t>https://suumo.jp/chintai/jnc_000103123136/?bc=100475568074</t>
  </si>
  <si>
    <t>東京メトロ東西線 中野駅 3階建 築3年</t>
  </si>
  <si>
    <t>https://suumo.jp/chintai/jnc_000104341759/?bc=100484887465</t>
  </si>
  <si>
    <t>ＪＲ中央線 中野駅 11階建 築3年</t>
  </si>
  <si>
    <t>https://suumo.jp/chintai/jnc_000103717518/?bc=100480000727</t>
  </si>
  <si>
    <t>https://suumo.jp/chintai/jnc_000104272158/?bc=100485214005</t>
  </si>
  <si>
    <t>https://suumo.jp/chintai/jnc_000103802414/?bc=100481182635</t>
  </si>
  <si>
    <t>ＪＲ中央線 中野駅 3階建 築40年</t>
  </si>
  <si>
    <t>https://suumo.jp/chintai/jnc_000103563627/?bc=100478631831</t>
  </si>
  <si>
    <t>ＪＲ総武線 中野駅 14階建 築4年</t>
  </si>
  <si>
    <t>https://suumo.jp/chintai/jnc_000103563628/?bc=100478552262</t>
  </si>
  <si>
    <t>https://suumo.jp/chintai/jnc_000103818215/?bc=100481222355</t>
  </si>
  <si>
    <t>ＪＲ総武線 中野駅 4階建 築4年</t>
  </si>
  <si>
    <t>東京都中野区新井２</t>
  </si>
  <si>
    <t>https://suumo.jp/chintai/jnc_000102611968/?bc=100475511224</t>
  </si>
  <si>
    <t>ＪＲ総武線 中野駅 5階建 築57年</t>
  </si>
  <si>
    <t>https://suumo.jp/chintai/jnc_000102338648/?bc=100478343098</t>
  </si>
  <si>
    <t>https://suumo.jp/chintai/jnc_000103864684/?bc=100481842254</t>
  </si>
  <si>
    <t>https://suumo.jp/chintai/jnc_000104286393/?bc=100484750738</t>
  </si>
  <si>
    <t>EXIA中野</t>
  </si>
  <si>
    <t>https://suumo.jp/chintai/jnc_000104241712/?bc=100484089725</t>
  </si>
  <si>
    <t>GRAN　PASEO 中野</t>
  </si>
  <si>
    <t>https://suumo.jp/chintai/jnc_000104063955/?bc=100482680235</t>
  </si>
  <si>
    <t>IMハウス</t>
  </si>
  <si>
    <t>https://suumo.jp/chintai/jnc_000103708139/?bc=100479917190</t>
  </si>
  <si>
    <t>ZOOM中野</t>
  </si>
  <si>
    <t>https://suumo.jp/chintai/jnc_000104326781/?bc=100486237160</t>
  </si>
  <si>
    <t>https://suumo.jp/chintai/jnc_000102252306/?bc=100474669697</t>
  </si>
  <si>
    <t>https://suumo.jp/chintai/jnc_000083043152/?bc=100426282983</t>
  </si>
  <si>
    <t>たま江荘</t>
  </si>
  <si>
    <t>https://suumo.jp/chintai/jnc_000104126149/?bc=100483166353</t>
  </si>
  <si>
    <t>アインルーエ</t>
  </si>
  <si>
    <t>https://suumo.jp/chintai/jnc_000102484789/?bc=100469977175</t>
  </si>
  <si>
    <t>エスティメゾン中野</t>
  </si>
  <si>
    <t>東京都中野区中央５</t>
  </si>
  <si>
    <t>https://suumo.jp/chintai/jnc_000103891851/?bc=100482128346</t>
  </si>
  <si>
    <t>オーパス中野</t>
  </si>
  <si>
    <t>https://suumo.jp/chintai/jnc_000074127286/?bc=100485129837</t>
  </si>
  <si>
    <t>https://suumo.jp/chintai/jnc_000102493457/?bc=100481609406</t>
  </si>
  <si>
    <t>クラッサ中野</t>
  </si>
  <si>
    <t>https://suumo.jp/chintai/jnc_000102050307/?bc=100465991128</t>
  </si>
  <si>
    <t>クローバー中野</t>
  </si>
  <si>
    <t>https://suumo.jp/chintai/jnc_000103787157/?bc=100480534177</t>
  </si>
  <si>
    <t>グランシャリオ</t>
  </si>
  <si>
    <t>https://suumo.jp/chintai/jnc_000102893453/?bc=100478827994</t>
  </si>
  <si>
    <t>コーポ明日香</t>
  </si>
  <si>
    <t>https://suumo.jp/chintai/jnc_000104464934/?bc=100485846106</t>
  </si>
  <si>
    <t>サティ中野</t>
  </si>
  <si>
    <t>https://suumo.jp/chintai/jnc_000079844852/?bc=100483990645</t>
  </si>
  <si>
    <t>チョコラータ中野</t>
  </si>
  <si>
    <t>https://suumo.jp/chintai/jnc_000095140727/?bc=100484901477</t>
  </si>
  <si>
    <t>ネスト中野</t>
  </si>
  <si>
    <t>https://suumo.jp/chintai/jnc_000087327181/?bc=100481787321</t>
  </si>
  <si>
    <t>https://suumo.jp/chintai/jnc_000017819667/?bc=100439284179</t>
  </si>
  <si>
    <t>ハイツ西川</t>
  </si>
  <si>
    <t>https://suumo.jp/chintai/jnc_000102238897/?bc=100472190881</t>
  </si>
  <si>
    <t>ビラワンデルング</t>
  </si>
  <si>
    <t>https://suumo.jp/chintai/jnc_000072014802/?bc=100249639344</t>
  </si>
  <si>
    <t>ピア中野</t>
  </si>
  <si>
    <t>https://suumo.jp/chintai/jnc_000104215457/?bc=100478639651</t>
  </si>
  <si>
    <t>プラウドフラット中野</t>
  </si>
  <si>
    <t>https://suumo.jp/chintai/jnc_000103542499/?bc=100483810730</t>
  </si>
  <si>
    <t>https://suumo.jp/chintai/jnc_000104215458/?bc=100476311499</t>
  </si>
  <si>
    <t>https://suumo.jp/chintai/jnc_000095953110/?bc=100475924395</t>
  </si>
  <si>
    <t>https://suumo.jp/chintai/jnc_000104215459/?bc=100478887143</t>
  </si>
  <si>
    <t>https://suumo.jp/chintai/jnc_000103123134/?bc=100475266376</t>
  </si>
  <si>
    <t>https://suumo.jp/chintai/jnc_000104222984/?bc=100483938552</t>
  </si>
  <si>
    <t>https://suumo.jp/chintai/jnc_000104186936/?bc=100484008713</t>
  </si>
  <si>
    <t>https://suumo.jp/chintai/jnc_000104474391/?bc=100485939181</t>
  </si>
  <si>
    <t>プレジールメゾンKATO</t>
  </si>
  <si>
    <t>https://suumo.jp/chintai/jnc_000104519158/?bc=100486221199</t>
  </si>
  <si>
    <t>マインハウゼ</t>
  </si>
  <si>
    <t>https://suumo.jp/chintai/jnc_000080156932/?bc=100486224097</t>
  </si>
  <si>
    <t>メゾンジャンクション</t>
  </si>
  <si>
    <t>https://suumo.jp/chintai/jnc_000103135283/?bc=100482128698</t>
  </si>
  <si>
    <t>ライオンズマンション中野第5</t>
  </si>
  <si>
    <t>https://suumo.jp/chintai/jnc_000104055229/?bc=100483165945</t>
  </si>
  <si>
    <t>ラ・ルバーブ</t>
  </si>
  <si>
    <t>https://suumo.jp/chintai/jnc_000102888086/?bc=100473240780</t>
  </si>
  <si>
    <t>リベラーレ中野</t>
  </si>
  <si>
    <t>https://suumo.jp/chintai/jnc_000104235932/?bc=100484133754</t>
  </si>
  <si>
    <t>リヴシティ中野</t>
  </si>
  <si>
    <t>東京都中野区中野２</t>
  </si>
  <si>
    <t>https://suumo.jp/chintai/jnc_000104192445/?bc=100483854941</t>
  </si>
  <si>
    <t>ルネサンスコート中野</t>
  </si>
  <si>
    <t>https://suumo.jp/chintai/jnc_000104186934/?bc=100483602720</t>
  </si>
  <si>
    <t>レインボー穂高</t>
  </si>
  <si>
    <t>https://suumo.jp/chintai/jnc_000103432780/?bc=100482869590</t>
  </si>
  <si>
    <t>レジディア中野</t>
  </si>
  <si>
    <t>東京都中野区中野３</t>
  </si>
  <si>
    <t>https://suumo.jp/chintai/jnc_000103487535/?bc=100477893469</t>
  </si>
  <si>
    <t>https://suumo.jp/chintai/jnc_000099392901/?bc=100447840420</t>
  </si>
  <si>
    <t>五十嵐荘</t>
  </si>
  <si>
    <t>https://suumo.jp/chintai/jnc_000021963181/?bc=100424777562</t>
  </si>
  <si>
    <t>東京メトロ東西線 中野駅 2階建 築59年</t>
  </si>
  <si>
    <t>https://suumo.jp/chintai/jnc_000079575898/?bc=100468253854</t>
  </si>
  <si>
    <t>西原ハイム</t>
  </si>
  <si>
    <t>https://suumo.jp/chintai/jnc_000104464964/?bc=100485871052</t>
  </si>
  <si>
    <t>ＥＴＥＲＮＯ・Ｋ（エテルノ・ケー）</t>
  </si>
  <si>
    <t>https://suumo.jp/chintai/jnc_000103977484/?bc=100482378207</t>
  </si>
  <si>
    <t>https://suumo.jp/chintai/jnc_000104464963/?bc=100486339894</t>
  </si>
  <si>
    <t>ＧＲＡＮＤ　ＥＩＧＨＴ</t>
  </si>
  <si>
    <t>https://suumo.jp/chintai/jnc_000102901037/?bc=100473545922</t>
  </si>
  <si>
    <t>ＪＲ中央線 中野駅 10階建 築8年</t>
  </si>
  <si>
    <t>https://suumo.jp/chintai/jnc_000103481462/?bc=100485219830</t>
  </si>
  <si>
    <t>ＪＲ中央線 中野駅 11階建 築20年</t>
  </si>
  <si>
    <t>https://suumo.jp/chintai/jnc_000102771914/?bc=100473358723</t>
  </si>
  <si>
    <t>ＪＲ中央線 中野駅 11階建 築60年</t>
  </si>
  <si>
    <t>https://suumo.jp/chintai/jnc_000103571143/?bc=100478750361</t>
  </si>
  <si>
    <t>ＪＲ中央線 中野駅 13階建 築5年</t>
  </si>
  <si>
    <t>https://suumo.jp/chintai/jnc_000101358867/?bc=100458827981</t>
  </si>
  <si>
    <t>ＪＲ中央線 中野駅 2階建 築27年</t>
  </si>
  <si>
    <t>https://suumo.jp/chintai/jnc_000104060452/?bc=100482635949</t>
  </si>
  <si>
    <t>https://suumo.jp/chintai/jnc_000104482951/?bc=100485861784</t>
  </si>
  <si>
    <t>ＪＲ中央線 中野駅 2階建 築34年</t>
  </si>
  <si>
    <t>https://suumo.jp/chintai/jnc_000080148794/?bc=100473972708</t>
  </si>
  <si>
    <t>ＪＲ中央線 中野駅 2階建 築47年</t>
  </si>
  <si>
    <t>https://suumo.jp/chintai/jnc_000097157516/?bc=100426761864</t>
  </si>
  <si>
    <t>ＪＲ中央線 中野駅 2階建 築55年</t>
  </si>
  <si>
    <t>https://suumo.jp/chintai/jnc_000103223519/?bc=100478101073</t>
  </si>
  <si>
    <t>ＪＲ中央線 中野駅 3階建 築13年</t>
  </si>
  <si>
    <t>https://suumo.jp/chintai/jnc_000104464965/?bc=100485891622</t>
  </si>
  <si>
    <t>ＪＲ中央線 中野駅 3階建 築15年</t>
  </si>
  <si>
    <t>https://suumo.jp/chintai/jnc_000103969599/?bc=100481908031</t>
  </si>
  <si>
    <t>https://suumo.jp/chintai/jnc_000074354079/?bc=100485007681</t>
  </si>
  <si>
    <t>ＪＲ中央線 中野駅 3階建 築19年</t>
  </si>
  <si>
    <t>https://suumo.jp/chintai/jnc_000103594145/?bc=100481791690</t>
  </si>
  <si>
    <t>ＪＲ中央線 中野駅 3階建 築20年</t>
  </si>
  <si>
    <t>https://suumo.jp/chintai/jnc_000102324385/?bc=100473895566</t>
  </si>
  <si>
    <t>https://suumo.jp/chintai/jnc_000104117706/?bc=100483140384</t>
  </si>
  <si>
    <t>ＪＲ中央線 中野駅 3階建 築28年</t>
  </si>
  <si>
    <t>https://suumo.jp/chintai/jnc_000080905163/?bc=100483458101</t>
  </si>
  <si>
    <t>ＪＲ中央線 中野駅 3階建 築3年</t>
  </si>
  <si>
    <t>https://suumo.jp/chintai/jnc_000103680800/?bc=100481412429</t>
  </si>
  <si>
    <t>https://suumo.jp/chintai/jnc_000103743361/?bc=100480232842</t>
  </si>
  <si>
    <t>ＪＲ中央線 中野駅 3階建 築7年</t>
  </si>
  <si>
    <t>https://suumo.jp/chintai/jnc_000103787158/?bc=100480534072</t>
  </si>
  <si>
    <t>ＪＲ中央線 中野駅 4階建 築30年</t>
  </si>
  <si>
    <t>https://suumo.jp/chintai/jnc_000104454968/?bc=100485781024</t>
  </si>
  <si>
    <t>ＪＲ中央線 中野駅 4階建 築36年</t>
  </si>
  <si>
    <t>https://suumo.jp/chintai/jnc_000054538236/?bc=100485412365</t>
  </si>
  <si>
    <t>ＪＲ中央線 中野駅 4階建 築40年</t>
  </si>
  <si>
    <t>https://suumo.jp/chintai/jnc_000103873801/?bc=100481334602</t>
  </si>
  <si>
    <t>ＪＲ中央線 中野駅 4階建 築54年</t>
  </si>
  <si>
    <t>https://suumo.jp/chintai/jnc_000104215460/?bc=100483549186</t>
  </si>
  <si>
    <t>ＪＲ中央線 中野駅 5階建 築6年</t>
  </si>
  <si>
    <t>https://suumo.jp/chintai/jnc_000104229982/?bc=100476309644</t>
  </si>
  <si>
    <t>https://suumo.jp/chintai/jnc_000095989673/?bc=100475945664</t>
  </si>
  <si>
    <t>https://suumo.jp/chintai/jnc_000104215462/?bc=100475232550</t>
  </si>
  <si>
    <t>https://suumo.jp/chintai/jnc_000104215461/?bc=100483673969</t>
  </si>
  <si>
    <t>https://suumo.jp/chintai/jnc_000103386562/?bc=100477123336</t>
  </si>
  <si>
    <t>ＪＲ中央線 中野駅 7階建 築35年</t>
  </si>
  <si>
    <t>https://suumo.jp/chintai/jnc_000104510070/?bc=100486235830</t>
  </si>
  <si>
    <t>ＪＲ中央線 中野駅 7階建 築8年</t>
  </si>
  <si>
    <t>https://suumo.jp/chintai/jnc_000103024396/?bc=100474669637</t>
  </si>
  <si>
    <t>https://suumo.jp/chintai/jnc_000104086234/?bc=100482942875</t>
  </si>
  <si>
    <t>ＪＲ中央線 中野駅 8階建 築20年</t>
  </si>
  <si>
    <t>https://suumo.jp/chintai/jnc_000104192446/?bc=100483673966</t>
  </si>
  <si>
    <t>ＪＲ中央線 中野駅 8階建 築6年</t>
  </si>
  <si>
    <t>https://suumo.jp/chintai/jnc_000104010585/?bc=100482217612</t>
  </si>
  <si>
    <t>ＪＲ中央線 中野駅 9階建 築11年</t>
  </si>
  <si>
    <t>https://suumo.jp/chintai/jnc_000104454985/?bc=100485929878</t>
  </si>
  <si>
    <t>https://suumo.jp/chintai/jnc_000103619510/?bc=100480348185</t>
  </si>
  <si>
    <t>ＪＲ中央線 中野駅 9階建 築2年</t>
  </si>
  <si>
    <t>https://suumo.jp/chintai/jnc_000103150916/?bc=100475417286</t>
  </si>
  <si>
    <t>ＪＲ中央線 中野駅 地下1地上5階建 築35年</t>
  </si>
  <si>
    <t>https://suumo.jp/chintai/jnc_000104241714/?bc=100484106867</t>
  </si>
  <si>
    <t>ＪＲ中央線 中野駅 地下4地上4階建 築5年</t>
  </si>
  <si>
    <t>https://suumo.jp/chintai/jnc_000102818734/?bc=100473640775</t>
  </si>
  <si>
    <t>ＪＲ総武線 中野駅 2階建 築44年</t>
  </si>
  <si>
    <t>https://suumo.jp/chintai/jnc_000092175580/?bc=100482248010</t>
  </si>
  <si>
    <t>ＪＲ総武線 中野駅 4階建 築42年</t>
  </si>
  <si>
    <t>https://suumo.jp/chintai/jnc_000102489912/?bc=100478608487</t>
  </si>
  <si>
    <t>ＪＲ総武線 中野駅 7階建 築20年</t>
  </si>
  <si>
    <t>https://suumo.jp/chintai/jnc_000098525839/?bc=100467668709</t>
  </si>
  <si>
    <t>Ｖ－ｍｕｓｉｃ中野</t>
  </si>
  <si>
    <t>https://suumo.jp/chintai/jnc_000103619509/?bc=100486339192</t>
  </si>
  <si>
    <t>https://suumo.jp/chintai/jnc_000104368696/?bc=100485606160</t>
  </si>
  <si>
    <t>CB中野イリゼ</t>
  </si>
  <si>
    <t>https://suumo.jp/chintai/jnc_000104241711/?bc=100484261652</t>
  </si>
  <si>
    <t>https://suumo.jp/chintai/jnc_000103735174/?bc=100480375003</t>
  </si>
  <si>
    <t>quador中野</t>
  </si>
  <si>
    <t>https://suumo.jp/chintai/jnc_000101191635/?bc=100477325300</t>
  </si>
  <si>
    <t>https://suumo.jp/chintai/jnc_000103735172/?bc=100481224236</t>
  </si>
  <si>
    <t>https://suumo.jp/chintai/jnc_000103536618/?bc=100485512245</t>
  </si>
  <si>
    <t>trias154</t>
  </si>
  <si>
    <t>https://suumo.jp/chintai/jnc_000104286376/?bc=100484472816</t>
  </si>
  <si>
    <t>https://suumo.jp/chintai/jnc_000103536619/?bc=100477757174</t>
  </si>
  <si>
    <t>https://suumo.jp/chintai/jnc_000103909144/?bc=100481651229</t>
  </si>
  <si>
    <t>アズ中野レジデンス</t>
  </si>
  <si>
    <t>https://suumo.jp/chintai/jnc_000103103326/?bc=100485043765</t>
  </si>
  <si>
    <t>アトリオフラッツ中野</t>
  </si>
  <si>
    <t>https://suumo.jp/chintai/jnc_000102396462/?bc=100479316852</t>
  </si>
  <si>
    <t>アンジュール中野</t>
  </si>
  <si>
    <t>https://suumo.jp/chintai/jnc_000103750571/?bc=100480207882</t>
  </si>
  <si>
    <t>https://suumo.jp/chintai/jnc_000104156762/?bc=100483887160</t>
  </si>
  <si>
    <t>イーストポイント中野</t>
  </si>
  <si>
    <t>https://suumo.jp/chintai/jnc_000102986866/?bc=100474005055</t>
  </si>
  <si>
    <t>カーサドルチェ中野</t>
  </si>
  <si>
    <t>https://suumo.jp/chintai/jnc_000103903819/?bc=100479658083</t>
  </si>
  <si>
    <t>クアードロ中野223</t>
  </si>
  <si>
    <t>https://suumo.jp/chintai/jnc_000103903822/?bc=100479661731</t>
  </si>
  <si>
    <t>https://suumo.jp/chintai/jnc_000103903821/?bc=100479659505</t>
  </si>
  <si>
    <t>https://suumo.jp/chintai/jnc_000103903824/?bc=100479662722</t>
  </si>
  <si>
    <t>https://suumo.jp/chintai/jnc_000103903823/?bc=100479662252</t>
  </si>
  <si>
    <t>https://suumo.jp/chintai/jnc_000103903825/?bc=100479663359</t>
  </si>
  <si>
    <t>https://suumo.jp/chintai/jnc_000103357981/?bc=100476846614</t>
  </si>
  <si>
    <t>コンフォルテハイム中野</t>
  </si>
  <si>
    <t>https://suumo.jp/chintai/jnc_000097205680/?bc=100486076474</t>
  </si>
  <si>
    <t>ドアーズ中野</t>
  </si>
  <si>
    <t>https://suumo.jp/chintai/jnc_000103563626/?bc=100478553478</t>
  </si>
  <si>
    <t>https://suumo.jp/chintai/jnc_000104229967/?bc=100484027253</t>
  </si>
  <si>
    <t>パルクＡＹＡ</t>
  </si>
  <si>
    <t>https://suumo.jp/chintai/jnc_000103006494/?bc=100478488635</t>
  </si>
  <si>
    <t>ビバグランデ桃林</t>
  </si>
  <si>
    <t>https://suumo.jp/chintai/jnc_000104357232/?bc=100485127668</t>
  </si>
  <si>
    <t>https://suumo.jp/chintai/jnc_000102633019/?bc=100471465201</t>
  </si>
  <si>
    <t>https://suumo.jp/chintai/jnc_000103032313/?bc=100482480835</t>
  </si>
  <si>
    <t>ライオンズフォーシア中野</t>
  </si>
  <si>
    <t>https://suumo.jp/chintai/jnc_000084485100/?bc=100482480946</t>
  </si>
  <si>
    <t>https://suumo.jp/chintai/jnc_000101685922/?bc=100461967385</t>
  </si>
  <si>
    <t>リテラス中野</t>
  </si>
  <si>
    <t>https://suumo.jp/chintai/jnc_000104510113/?bc=100485924033</t>
  </si>
  <si>
    <t>レコルト中野</t>
  </si>
  <si>
    <t>https://suumo.jp/chintai/jnc_000103762831/?bc=100480373582</t>
  </si>
  <si>
    <t>ロネスタ中野</t>
  </si>
  <si>
    <t>https://suumo.jp/chintai/jnc_000102633020/?bc=100471600959</t>
  </si>
  <si>
    <t>https://suumo.jp/chintai/jnc_000102087698/?bc=100452910715</t>
  </si>
  <si>
    <t>ＪＲ中央線 中野駅 10階建 築21年</t>
  </si>
  <si>
    <t>https://suumo.jp/chintai/jnc_000102905764/?bc=100479022300</t>
  </si>
  <si>
    <t>ＪＲ中央線 中野駅 3階建 築10年</t>
  </si>
  <si>
    <t>https://suumo.jp/chintai/jnc_000102396463/?bc=100476744328</t>
  </si>
  <si>
    <t>ＪＲ中央線 中野駅 3階建 築4年</t>
  </si>
  <si>
    <t>https://suumo.jp/chintai/jnc_000103792587/?bc=100473972796</t>
  </si>
  <si>
    <t>https://suumo.jp/chintai/jnc_000104286397/?bc=100484432518</t>
  </si>
  <si>
    <t>ＪＲ中央線 中野駅 3階建 築5年</t>
  </si>
  <si>
    <t>https://suumo.jp/chintai/jnc_000104373078/?bc=100485222305</t>
  </si>
  <si>
    <t>ＪＲ中央線 中野駅 3階建 築6年</t>
  </si>
  <si>
    <t>https://suumo.jp/chintai/jnc_000104510114/?bc=100486177932</t>
  </si>
  <si>
    <t>https://suumo.jp/chintai/jnc_000103756780/?bc=100480348026</t>
  </si>
  <si>
    <t>ＪＲ中央線 中野駅 4階建 築25年</t>
  </si>
  <si>
    <t>https://suumo.jp/chintai/jnc_000103735177/?bc=100479084346</t>
  </si>
  <si>
    <t>ＪＲ中央線 中野駅 4階建 築5年</t>
  </si>
  <si>
    <t>https://suumo.jp/chintai/jnc_000101191636/?bc=100478028282</t>
  </si>
  <si>
    <t>https://suumo.jp/chintai/jnc_000103802420/?bc=100472701810</t>
  </si>
  <si>
    <t>https://suumo.jp/chintai/jnc_000103575535/?bc=100479491372</t>
  </si>
  <si>
    <t>ＪＲ中央線 中野駅 5階建 新築</t>
  </si>
  <si>
    <t>https://suumo.jp/chintai/jnc_000104170650/?bc=100348154760</t>
  </si>
  <si>
    <t>ＪＲ中央線 中野駅 5階建 築16年</t>
  </si>
  <si>
    <t>https://suumo.jp/chintai/jnc_000103459322/?bc=100483458102</t>
  </si>
  <si>
    <t>https://suumo.jp/chintai/jnc_000104363643/?bc=100485377610</t>
  </si>
  <si>
    <t>https://suumo.jp/chintai/jnc_000097194182/?bc=100484141572</t>
  </si>
  <si>
    <t>ＪＲ中央線 中野駅 6階建 築37年</t>
  </si>
  <si>
    <t>https://suumo.jp/chintai/jnc_000104304029/?bc=100484945439</t>
  </si>
  <si>
    <t>https://suumo.jp/chintai/jnc_000103919959/?bc=100481683909</t>
  </si>
  <si>
    <t>ＪＲ中央線 中野駅 地下1地上4階建 築22年</t>
  </si>
  <si>
    <t>https://suumo.jp/chintai/jnc_000104241713/?bc=100484106861</t>
  </si>
  <si>
    <t>https://suumo.jp/chintai/jnc_000103106011/?bc=100480017835</t>
  </si>
  <si>
    <t>https://suumo.jp/chintai/jnc_000102897567/?bc=100478450676</t>
  </si>
  <si>
    <t>ＪＲ総武線 中野駅 5階建 築4年</t>
  </si>
  <si>
    <t>https://suumo.jp/chintai/jnc_000104276453/?bc=100484964593</t>
  </si>
  <si>
    <t>ｂｌｕｅｂｅｒｒｙ</t>
  </si>
  <si>
    <t>https://suumo.jp/chintai/jnc_000104108071/?bc=100483728954</t>
  </si>
  <si>
    <t>Grand Avenir</t>
  </si>
  <si>
    <t>https://suumo.jp/chintai/jnc_000103161993/?bc=100473194405</t>
  </si>
  <si>
    <t>https://suumo.jp/chintai/jnc_000103465729/?bc=100478002013</t>
  </si>
  <si>
    <t>Partire Nakano</t>
  </si>
  <si>
    <t>https://suumo.jp/chintai/jnc_000103837765/?bc=100481021448</t>
  </si>
  <si>
    <t>https://suumo.jp/chintai/jnc_000103239377/?bc=100476041195</t>
  </si>
  <si>
    <t>myplan中野 B</t>
  </si>
  <si>
    <t>https://suumo.jp/chintai/jnc_000104348343/?bc=100486088066</t>
  </si>
  <si>
    <t>https://suumo.jp/chintai/jnc_000104406910/?bc=100485054114</t>
  </si>
  <si>
    <t>https://suumo.jp/chintai/jnc_000103735173/?bc=100484279793</t>
  </si>
  <si>
    <t>https://suumo.jp/chintai/jnc_000104286398/?bc=100485216366</t>
  </si>
  <si>
    <t>イクス中野</t>
  </si>
  <si>
    <t>https://suumo.jp/chintai/jnc_000086740767/?bc=100483600888</t>
  </si>
  <si>
    <t>エグゼ中野　Ｖ</t>
  </si>
  <si>
    <t>https://suumo.jp/chintai/jnc_000100407881/?bc=100451031846</t>
  </si>
  <si>
    <t>カサベルデ中村</t>
  </si>
  <si>
    <t>https://suumo.jp/chintai/jnc_000104335092/?bc=100484845426</t>
  </si>
  <si>
    <t>カーサ巴新井Ｎ０．２</t>
  </si>
  <si>
    <t>https://suumo.jp/chintai/jnc_000103851584/?bc=100481298967</t>
  </si>
  <si>
    <t>ガーデンスクエア中野</t>
  </si>
  <si>
    <t>https://suumo.jp/chintai/jnc_000103903820/?bc=100479658940</t>
  </si>
  <si>
    <t>https://suumo.jp/chintai/jnc_000103903826/?bc=100479665381</t>
  </si>
  <si>
    <t>https://suumo.jp/chintai/jnc_000025535767/?bc=100476312772</t>
  </si>
  <si>
    <t>ケーズポート</t>
  </si>
  <si>
    <t>https://suumo.jp/chintai/jnc_000104464962/?bc=100485948805</t>
  </si>
  <si>
    <t>コーポ第一</t>
  </si>
  <si>
    <t>https://suumo.jp/chintai/jnc_000104076686/?bc=100483409244</t>
  </si>
  <si>
    <t>ステージファースト中野駅前</t>
  </si>
  <si>
    <t>https://suumo.jp/chintai/jnc_000103051102/?bc=100474662013</t>
  </si>
  <si>
    <t>トップ中野第2</t>
  </si>
  <si>
    <t>https://suumo.jp/chintai/jnc_000103625922/?bc=100479728939</t>
  </si>
  <si>
    <t>https://suumo.jp/chintai/jnc_000103084155/?bc=100475742714</t>
  </si>
  <si>
    <t>https://suumo.jp/chintai/jnc_000102869752/?bc=100473173564</t>
  </si>
  <si>
    <t>https://suumo.jp/chintai/jnc_000082503926/?bc=100485608863</t>
  </si>
  <si>
    <t>ドミール中野</t>
  </si>
  <si>
    <t>https://suumo.jp/chintai/jnc_000103317147/?bc=100476571144</t>
  </si>
  <si>
    <t>ハイツミハマ</t>
  </si>
  <si>
    <t>https://suumo.jp/chintai/jnc_000103192178/?bc=100475656049</t>
  </si>
  <si>
    <t>https://suumo.jp/chintai/jnc_000033082117/?bc=100480555916</t>
  </si>
  <si>
    <t>パールシティ中野</t>
  </si>
  <si>
    <t>https://suumo.jp/chintai/jnc_000092169989/?bc=100483016379</t>
  </si>
  <si>
    <t>https://suumo.jp/chintai/jnc_000097437481/?bc=100478810860</t>
  </si>
  <si>
    <t>https://suumo.jp/chintai/jnc_000057987757/?bc=100485939636</t>
  </si>
  <si>
    <t>プレシャス中野</t>
  </si>
  <si>
    <t>https://suumo.jp/chintai/jnc_000103702517/?bc=100483236083</t>
  </si>
  <si>
    <t>プログレッソ中野</t>
  </si>
  <si>
    <t>https://suumo.jp/chintai/jnc_000103680799/?bc=100479651602</t>
  </si>
  <si>
    <t>メゾン・ド・ハートレー</t>
  </si>
  <si>
    <t>https://suumo.jp/chintai/jnc_000102448610/?bc=100474689690</t>
  </si>
  <si>
    <t>https://suumo.jp/chintai/jnc_000104474365/?bc=100485904670</t>
  </si>
  <si>
    <t>https://suumo.jp/chintai/jnc_000101996702/?bc=100401453088</t>
  </si>
  <si>
    <t>ライオンズマンション中野第３</t>
  </si>
  <si>
    <t>https://suumo.jp/chintai/jnc_000104082021/?bc=100484133883</t>
  </si>
  <si>
    <t>https://suumo.jp/chintai/jnc_000070100361/?bc=100425764350</t>
  </si>
  <si>
    <t>中野ハイランドII</t>
  </si>
  <si>
    <t>https://suumo.jp/chintai/jnc_000104003994/?bc=100482128697</t>
  </si>
  <si>
    <t>中野パークス</t>
  </si>
  <si>
    <t>https://suumo.jp/chintai/jnc_000103680775/?bc=100479702535</t>
  </si>
  <si>
    <t>川瀬ビル</t>
  </si>
  <si>
    <t>https://suumo.jp/chintai/jnc_000101057125/?bc=100456396518</t>
  </si>
  <si>
    <t>渡辺ビル</t>
  </si>
  <si>
    <t>https://suumo.jp/chintai/jnc_000103006492/?bc=100479922378</t>
  </si>
  <si>
    <t>美山フラッツ</t>
  </si>
  <si>
    <t>https://suumo.jp/chintai/jnc_000103929252/?bc=100366885811</t>
  </si>
  <si>
    <t>Ａｄｖａｎｃｅ</t>
  </si>
  <si>
    <t>https://suumo.jp/chintai/jnc_000104117705/?bc=100483574444</t>
  </si>
  <si>
    <t>ＪＲ中央線 中野駅 2階建 築10年</t>
  </si>
  <si>
    <t>https://suumo.jp/chintai/jnc_000101433948/?bc=100459666229</t>
  </si>
  <si>
    <t>https://suumo.jp/chintai/jnc_000103695169/?bc=100480245451</t>
  </si>
  <si>
    <t>https://suumo.jp/chintai/jnc_000103465730/?bc=100477814597</t>
  </si>
  <si>
    <t>https://suumo.jp/chintai/jnc_000103162001/?bc=100475634660</t>
  </si>
  <si>
    <t>https://suumo.jp/chintai/jnc_000103162002/?bc=100475584986</t>
  </si>
  <si>
    <t>https://suumo.jp/chintai/jnc_000103856740/?bc=100481182852</t>
  </si>
  <si>
    <t>https://suumo.jp/chintai/jnc_000102601369/?bc=100477413482</t>
  </si>
  <si>
    <t>ＪＲ中央線 中野駅 2階建 築7年</t>
  </si>
  <si>
    <t>https://suumo.jp/chintai/jnc_000104132653/?bc=100483342792</t>
  </si>
  <si>
    <t>ＪＲ中央線 中野駅 2階建 築8年</t>
  </si>
  <si>
    <t>https://suumo.jp/chintai/jnc_000104363651/?bc=100364431821</t>
  </si>
  <si>
    <t>ＪＲ中央線 中野駅 3階建 築24年</t>
  </si>
  <si>
    <t>https://suumo.jp/chintai/jnc_000100289841/?bc=100450095034</t>
  </si>
  <si>
    <t>https://suumo.jp/chintai/jnc_000104378964/?bc=100485158177</t>
  </si>
  <si>
    <t>https://suumo.jp/chintai/jnc_000101771769/?bc=100463038050</t>
  </si>
  <si>
    <t>https://suumo.jp/chintai/jnc_000103680797/?bc=100466722194</t>
  </si>
  <si>
    <t>ＪＲ中央線 中野駅 4階建 築28年</t>
  </si>
  <si>
    <t>https://suumo.jp/chintai/jnc_000103873779/?bc=100481263502</t>
  </si>
  <si>
    <t>ＪＲ中央線 中野駅 4階建 築34年</t>
  </si>
  <si>
    <t>https://suumo.jp/chintai/jnc_000104348344/?bc=100485358029</t>
  </si>
  <si>
    <t>https://suumo.jp/chintai/jnc_000103403309/?bc=100478211409</t>
  </si>
  <si>
    <t>https://suumo.jp/chintai/jnc_000103735176/?bc=100479084354</t>
  </si>
  <si>
    <t>https://suumo.jp/chintai/jnc_000104117707/?bc=100483140386</t>
  </si>
  <si>
    <t>ＪＲ中央線 中野駅 5階建 築44年</t>
  </si>
  <si>
    <t>https://suumo.jp/chintai/jnc_000103792571/?bc=100480615423</t>
  </si>
  <si>
    <t>ＪＲ中央線 中野駅 5階建 築4年</t>
  </si>
  <si>
    <t>https://suumo.jp/chintai/jnc_000102719223/?bc=100482143668</t>
  </si>
  <si>
    <t>https://suumo.jp/chintai/jnc_000104363638/?bc=100485046629</t>
  </si>
  <si>
    <t>ＪＲ中央線 中野駅 8階建 築25年</t>
  </si>
  <si>
    <t>東京都中野区中央４</t>
  </si>
  <si>
    <t>https://suumo.jp/chintai/jnc_000104091962/?bc=100482942866</t>
  </si>
  <si>
    <t>https://suumo.jp/chintai/jnc_000103051103/?bc=100474672890</t>
  </si>
  <si>
    <t>ＪＲ中央線 中野駅 地下1地上4階建 築42年</t>
  </si>
  <si>
    <t>https://suumo.jp/chintai/jnc_000103192179/?bc=100475642327</t>
  </si>
  <si>
    <t>https://suumo.jp/chintai/jnc_000102901025/?bc=100473971148</t>
  </si>
  <si>
    <t>https://suumo.jp/chintai/jnc_000102822590/?bc=100473170013</t>
  </si>
  <si>
    <t>ＪＲ中央線 中野駅 地下1地上5階建 築8年</t>
  </si>
  <si>
    <t>https://suumo.jp/chintai/jnc_000102067696/?bc=100466187097</t>
  </si>
  <si>
    <t>ＪＲ総武線 中野駅 4階建 築10年</t>
  </si>
  <si>
    <t>https://suumo.jp/chintai/jnc_000104335116/?bc=100485196460</t>
  </si>
  <si>
    <t>ＪＲ総武線 中野駅 4階建 築35年</t>
  </si>
  <si>
    <t>https://suumo.jp/chintai/jnc_000057987765/?bc=100484722969</t>
  </si>
  <si>
    <t>ＪＲ総武線 中野駅 4階建 築6年</t>
  </si>
  <si>
    <t>https://suumo.jp/chintai/jnc_000103013878/?bc=100479877535</t>
  </si>
  <si>
    <t>https://suumo.jp/chintai/jnc_000102830038/?bc=100486000215</t>
  </si>
  <si>
    <t>ＰＥＲＳＩＣＡ　ＮＡＫＡＮＯ(ペルシカ中野  )</t>
  </si>
  <si>
    <t>https://suumo.jp/chintai/jnc_000102830039/?bc=100472693117</t>
  </si>
  <si>
    <t>https://suumo.jp/chintai/jnc_000103060652/?bc=100474619685</t>
  </si>
  <si>
    <t>コンフォール中野</t>
  </si>
  <si>
    <t>https://suumo.jp/chintai/jnc_000073850902/?bc=100486327780</t>
  </si>
  <si>
    <t>サン新井第二ビル</t>
  </si>
  <si>
    <t>https://suumo.jp/chintai/jnc_000104070146/?bc=100482730215</t>
  </si>
  <si>
    <t>メゾンブランシュ</t>
  </si>
  <si>
    <t>https://suumo.jp/chintai/jnc_000093446592/?bc=100482703706</t>
  </si>
  <si>
    <t>https://suumo.jp/chintai/jnc_000104082033/?bc=100482838823</t>
  </si>
  <si>
    <t>ＪＲ中央線 中野駅 3階建 築44年</t>
  </si>
  <si>
    <t>https://suumo.jp/chintai/jnc_000093446593/?bc=100482838825</t>
  </si>
  <si>
    <t>https://suumo.jp/chintai/jnc_000104519167/?bc=100486325032</t>
  </si>
  <si>
    <t>https://suumo.jp/chintai/jnc_000102843189/?bc=100483955076</t>
  </si>
  <si>
    <t>パームグローヴ</t>
  </si>
  <si>
    <t>https://suumo.jp/chintai/jnc_000104510107/?bc=100486166028</t>
  </si>
  <si>
    <t>レジディア中野II</t>
  </si>
  <si>
    <t>https://suumo.jp/chintai/jnc_000103144279/?bc=100484507663</t>
  </si>
  <si>
    <t>https://suumo.jp/chintai/jnc_000102527674/?bc=100470983870</t>
  </si>
  <si>
    <t>https://suumo.jp/chintai/jnc_000103231652/?bc=100475424476</t>
  </si>
  <si>
    <t>ＪＲ中央線 中野駅 2階建 築18年</t>
  </si>
  <si>
    <t>https://suumo.jp/chintai/jnc_000049253242/?bc=100482299147</t>
  </si>
  <si>
    <t>https://suumo.jp/chintai/jnc_000104510108/?bc=100486177935</t>
  </si>
  <si>
    <t>https://suumo.jp/chintai/jnc_000103161969/?bc=100475406240</t>
  </si>
  <si>
    <t>https://suumo.jp/chintai/jnc_000103536617/?bc=100485511533</t>
  </si>
  <si>
    <t>https://suumo.jp/chintai/jnc_000104070125/?bc=100482698446</t>
  </si>
  <si>
    <t>https://suumo.jp/chintai/jnc_000104286375/?bc=100484472819</t>
  </si>
  <si>
    <t>https://suumo.jp/chintai/jnc_000104286377/?bc=100484290723</t>
  </si>
  <si>
    <t>https://suumo.jp/chintai/jnc_000104070126/?bc=100482697789</t>
  </si>
  <si>
    <t>https://suumo.jp/chintai/jnc_000104055238/?bc=100483778475</t>
  </si>
  <si>
    <t>なかのサンクォーレ</t>
  </si>
  <si>
    <t>東京都中野区中野４</t>
  </si>
  <si>
    <t>https://suumo.jp/chintai/jnc_000104510072/?bc=100486187318</t>
  </si>
  <si>
    <t>アーバンコート</t>
  </si>
  <si>
    <t>https://suumo.jp/chintai/jnc_000103771427/?bc=100469432860</t>
  </si>
  <si>
    <t>クァドリフォリオ</t>
  </si>
  <si>
    <t>https://suumo.jp/chintai/jnc_000104426244/?bc=100486133583</t>
  </si>
  <si>
    <t>ビバグランデ楼蘭館</t>
  </si>
  <si>
    <t>https://suumo.jp/chintai/jnc_000103123133/?bc=100475398161</t>
  </si>
  <si>
    <t>https://suumo.jp/chintai/jnc_000103398724/?bc=100477225821</t>
  </si>
  <si>
    <t>ライオンズシティ中野</t>
  </si>
  <si>
    <t>https://suumo.jp/chintai/jnc_000104433301/?bc=100485988831</t>
  </si>
  <si>
    <t>https://suumo.jp/chintai/jnc_000103883950/?bc=100481334603</t>
  </si>
  <si>
    <t>https://suumo.jp/chintai/jnc_000103851583/?bc=100485333992</t>
  </si>
  <si>
    <t>https://suumo.jp/chintai/jnc_000104117672/?bc=100483142163</t>
  </si>
  <si>
    <t>https://suumo.jp/chintai/jnc_000104317177/?bc=100484714748</t>
  </si>
  <si>
    <t>https://suumo.jp/chintai/jnc_000103575536/?bc=100481243436</t>
  </si>
  <si>
    <t>https://suumo.jp/chintai/jnc_000104202907/?bc=100483775759</t>
  </si>
  <si>
    <t>https://suumo.jp/chintai/jnc_000104126128/?bc=100483118237</t>
  </si>
  <si>
    <t>https://suumo.jp/chintai/jnc_000102822592/?bc=100480750796</t>
  </si>
  <si>
    <t>https://suumo.jp/chintai/jnc_000104070145/?bc=100482715463</t>
  </si>
  <si>
    <t>ＪＲ中央線 中野駅 地下4地上26階建 築32年</t>
  </si>
  <si>
    <t>https://suumo.jp/chintai/jnc_000103410308/?bc=100477619449</t>
  </si>
  <si>
    <t>ＪＲ総武線 中野駅 7階建 築28年</t>
  </si>
  <si>
    <t>https://suumo.jp/chintai/jnc_000102818735/?bc=100485873630</t>
  </si>
  <si>
    <t>https://suumo.jp/chintai/jnc_000103447925/?bc=100477536772</t>
  </si>
  <si>
    <t>中央マンション</t>
  </si>
  <si>
    <t>https://suumo.jp/chintai/jnc_000103386556/?bc=100456705726</t>
  </si>
  <si>
    <t>https://suumo.jp/chintai/jnc_000104280471/?bc=100455872191</t>
  </si>
  <si>
    <t>https://suumo.jp/chintai/jnc_000100958960/?bc=100458992087</t>
  </si>
  <si>
    <t>https://suumo.jp/chintai/jnc_000103771430/?bc=100480429963</t>
  </si>
  <si>
    <t>https://suumo.jp/chintai/jnc_000103410305/?bc=100468138155</t>
  </si>
  <si>
    <t>https://suumo.jp/chintai/jnc_000100953447/?bc=100473972807</t>
  </si>
  <si>
    <t>https://suumo.jp/chintai/jnc_000104378962/?bc=100486093467</t>
  </si>
  <si>
    <t>中野5丁目戸建住宅</t>
  </si>
  <si>
    <t>3SLDK</t>
  </si>
  <si>
    <t>https://suumo.jp/chintai/jnc_000104426269/?bc=100485531447</t>
  </si>
  <si>
    <t>東京メトロ東西線 中野駅 地上3階建 築7年</t>
  </si>
  <si>
    <t>https://suumo.jp/chintai/jnc_000104378963/?bc=100485418264</t>
  </si>
  <si>
    <t>https://suumo.jp/chintai/jnc_000103353005/?bc=100476925861</t>
  </si>
  <si>
    <t>西武新宿線 新井薬師前駅 5階建 築3年</t>
  </si>
  <si>
    <t>東京都中野区松が丘２</t>
  </si>
  <si>
    <t>中野駅 バス10分 (バス停)江古田一丁目</t>
  </si>
  <si>
    <t>https://suumo.jp/chintai/jnc_000103024437/?bc=100485101448</t>
  </si>
  <si>
    <t>https://suumo.jp/chintai/jnc_000104442922/?bc=100485747178</t>
  </si>
  <si>
    <t>越後ハウス</t>
  </si>
  <si>
    <t>中野駅 バス5分 (バス停)下田橋</t>
  </si>
  <si>
    <t>https://suumo.jp/chintai/jnc_000104437852/?bc=100485959867</t>
  </si>
  <si>
    <t>パークアクシス新宿百人町</t>
  </si>
  <si>
    <t>東京都新宿区百人町３</t>
  </si>
  <si>
    <t>大久保駅</t>
  </si>
  <si>
    <t>https://suumo.jp/chintai/jnc_000104437851/?bc=100485996234</t>
  </si>
  <si>
    <t>https://suumo.jp/chintai/jnc_000104437857/?bc=100438299148</t>
  </si>
  <si>
    <t>https://suumo.jp/chintai/jnc_000104437858/?bc=100485971962</t>
  </si>
  <si>
    <t>https://suumo.jp/chintai/jnc_000104437864/?bc=100485951413</t>
  </si>
  <si>
    <t>https://suumo.jp/chintai/jnc_000104437863/?bc=100485985641</t>
  </si>
  <si>
    <t>https://suumo.jp/chintai/jnc_000103575278/?bc=100478751406</t>
  </si>
  <si>
    <t>https://suumo.jp/chintai/jnc_000104454692/?bc=100485785580</t>
  </si>
  <si>
    <t>ＪＲ中央線 大久保駅 7階建 築3年</t>
  </si>
  <si>
    <t>https://suumo.jp/chintai/jnc_000104449332/?bc=100485756167</t>
  </si>
  <si>
    <t>https://suumo.jp/chintai/jnc_000104449333/?bc=100444418911</t>
  </si>
  <si>
    <t>https://suumo.jp/chintai/jnc_000104449334/?bc=100485756216</t>
  </si>
  <si>
    <t>https://suumo.jp/chintai/jnc_000104442230/?bc=100485715664</t>
  </si>
  <si>
    <t>https://suumo.jp/chintai/jnc_000104449337/?bc=100485756158</t>
  </si>
  <si>
    <t>https://suumo.jp/chintai/jnc_000104416510/?bc=100460320767</t>
  </si>
  <si>
    <t>いずみニッテイハイツ北新宿</t>
  </si>
  <si>
    <t>東京都新宿区北新宿４</t>
  </si>
  <si>
    <t>https://suumo.jp/chintai/jnc_000104432890/?bc=100485002105</t>
  </si>
  <si>
    <t>プレミアムキューブG北新宿</t>
  </si>
  <si>
    <t>https://suumo.jp/chintai/jnc_000104085842/?bc=100428531677</t>
  </si>
  <si>
    <t>ヘーベル柏木</t>
  </si>
  <si>
    <t>東京都新宿区北新宿３</t>
  </si>
  <si>
    <t>https://suumo.jp/chintai/jnc_000104310265/?bc=100484738760</t>
  </si>
  <si>
    <t>メゾンドジュン</t>
  </si>
  <si>
    <t>https://suumo.jp/chintai/jnc_000104525313/?bc=100461421972</t>
  </si>
  <si>
    <t>ＪＲ中央線 大久保駅 8階建 築8年</t>
  </si>
  <si>
    <t>https://suumo.jp/chintai/jnc_000104437826/?bc=100485009751</t>
  </si>
  <si>
    <t>https://suumo.jp/chintai/jnc_000103654517/?bc=100480072375</t>
  </si>
  <si>
    <t>ＪＲ総武線 大久保駅 2階建 築22年</t>
  </si>
  <si>
    <t>https://suumo.jp/chintai/jnc_000103575275/?bc=100478985181</t>
  </si>
  <si>
    <t>https://suumo.jp/chintai/jnc_000104437846/?bc=100485928375</t>
  </si>
  <si>
    <t>https://suumo.jp/chintai/jnc_000104437843/?bc=100474865184</t>
  </si>
  <si>
    <t>https://suumo.jp/chintai/jnc_000103459024/?bc=100475615702</t>
  </si>
  <si>
    <t>https://suumo.jp/chintai/jnc_000104437845/?bc=100479320175</t>
  </si>
  <si>
    <t>https://suumo.jp/chintai/jnc_000103459026/?bc=100448276143</t>
  </si>
  <si>
    <t>https://suumo.jp/chintai/jnc_000104437844/?bc=100455657616</t>
  </si>
  <si>
    <t>https://suumo.jp/chintai/jnc_000104437850/?bc=100485986232</t>
  </si>
  <si>
    <t>https://suumo.jp/chintai/jnc_000104437853/?bc=100478850302</t>
  </si>
  <si>
    <t>https://suumo.jp/chintai/jnc_000104437848/?bc=100438474873</t>
  </si>
  <si>
    <t>https://suumo.jp/chintai/jnc_000104437855/?bc=100474865183</t>
  </si>
  <si>
    <t>https://suumo.jp/chintai/jnc_000103459031/?bc=100475615701</t>
  </si>
  <si>
    <t>https://suumo.jp/chintai/jnc_000104437854/?bc=100388028688</t>
  </si>
  <si>
    <t>https://suumo.jp/chintai/jnc_000104437856/?bc=100485857568</t>
  </si>
  <si>
    <t>https://suumo.jp/chintai/jnc_000104437861/?bc=100417183189</t>
  </si>
  <si>
    <t>https://suumo.jp/chintai/jnc_000104437859/?bc=100485953177</t>
  </si>
  <si>
    <t>https://suumo.jp/chintai/jnc_000103459035/?bc=100477893479</t>
  </si>
  <si>
    <t>https://suumo.jp/chintai/jnc_000104437865/?bc=100485956562</t>
  </si>
  <si>
    <t>https://suumo.jp/chintai/jnc_000104449330/?bc=100485756166</t>
  </si>
  <si>
    <t>https://suumo.jp/chintai/jnc_000104442220/?bc=100474322198</t>
  </si>
  <si>
    <t>https://suumo.jp/chintai/jnc_000104442222/?bc=100444418755</t>
  </si>
  <si>
    <t>https://suumo.jp/chintai/jnc_000104442221/?bc=100466505751</t>
  </si>
  <si>
    <t>https://suumo.jp/chintai/jnc_000104449331/?bc=100485785615</t>
  </si>
  <si>
    <t>https://suumo.jp/chintai/jnc_000104442224/?bc=100444420010</t>
  </si>
  <si>
    <t>https://suumo.jp/chintai/jnc_000104442227/?bc=100474322193</t>
  </si>
  <si>
    <t>https://suumo.jp/chintai/jnc_000104442228/?bc=100485715670</t>
  </si>
  <si>
    <t>https://suumo.jp/chintai/jnc_000104442229/?bc=100485715346</t>
  </si>
  <si>
    <t>https://suumo.jp/chintai/jnc_000104449335/?bc=100485756171</t>
  </si>
  <si>
    <t>https://suumo.jp/chintai/jnc_000103023835/?bc=100474322176</t>
  </si>
  <si>
    <t>https://suumo.jp/chintai/jnc_000104449338/?bc=100485785624</t>
  </si>
  <si>
    <t>https://suumo.jp/chintai/jnc_000103473396/?bc=100479613199</t>
  </si>
  <si>
    <t>コモドスクウエア北新宿</t>
  </si>
  <si>
    <t>https://suumo.jp/chintai/jnc_000100331586/?bc=100473139926</t>
  </si>
  <si>
    <t>ストーク北新宿</t>
  </si>
  <si>
    <t>https://suumo.jp/chintai/jnc_000104060180/?bc=100483091451</t>
  </si>
  <si>
    <t>レグノ・セレーノ</t>
  </si>
  <si>
    <t>https://suumo.jp/chintai/jnc_000104449284/?bc=100485729595</t>
  </si>
  <si>
    <t>ＪＲ中央線 東中野駅 9階建 築25年</t>
  </si>
  <si>
    <t>https://suumo.jp/chintai/jnc_000104437847/?bc=100478839532</t>
  </si>
  <si>
    <t>https://suumo.jp/chintai/jnc_000104437849/?bc=100455657589</t>
  </si>
  <si>
    <t>https://suumo.jp/chintai/jnc_000102658100/?bc=100483014071</t>
  </si>
  <si>
    <t>https://suumo.jp/chintai/jnc_000102725497/?bc=100476112329</t>
  </si>
  <si>
    <t>https://suumo.jp/chintai/jnc_000103575277/?bc=100478694012</t>
  </si>
  <si>
    <t>https://suumo.jp/chintai/jnc_000102725498/?bc=100475152136</t>
  </si>
  <si>
    <t>https://suumo.jp/chintai/jnc_000104437860/?bc=100485653127</t>
  </si>
  <si>
    <t>https://suumo.jp/chintai/jnc_000104437862/?bc=100475762974</t>
  </si>
  <si>
    <t>https://suumo.jp/chintai/jnc_000103105772/?bc=100475729067</t>
  </si>
  <si>
    <t>https://suumo.jp/chintai/jnc_000104442223/?bc=100473012088</t>
  </si>
  <si>
    <t>https://suumo.jp/chintai/jnc_000104442225/?bc=100447448175</t>
  </si>
  <si>
    <t>https://suumo.jp/chintai/jnc_000104449336/?bc=100485756215</t>
  </si>
  <si>
    <t>https://suumo.jp/chintai/jnc_000103536062/?bc=100486451247</t>
  </si>
  <si>
    <t>ＪＲ中央線 大久保駅 地上2階建 築66年</t>
  </si>
  <si>
    <t>https://suumo.jp/chintai/jnc_000104548540/?bc=100486425956</t>
  </si>
  <si>
    <t>フォーマット北新宿</t>
  </si>
  <si>
    <t>90-100</t>
  </si>
  <si>
    <t>https://suumo.jp/chintai/jnc_000103492439/?bc=100482745761</t>
  </si>
  <si>
    <t>ＪＲ中央線 中野駅 地下1地上13階建 築10年</t>
  </si>
  <si>
    <t>新中野駅</t>
  </si>
  <si>
    <t>https://suumo.jp/chintai/jnc_000104295986/?bc=100484552354</t>
  </si>
  <si>
    <t>AW中野松が丘</t>
  </si>
  <si>
    <t>東京都中野区松が丘１</t>
  </si>
  <si>
    <t>新井薬師前駅</t>
  </si>
  <si>
    <t>https://suumo.jp/chintai/jnc_000104295985/?bc=100484552353</t>
  </si>
  <si>
    <t>https://suumo.jp/chintai/jnc_000104295983/?bc=100484552358</t>
  </si>
  <si>
    <t>https://suumo.jp/chintai/jnc_000104295982/?bc=100484552361</t>
  </si>
  <si>
    <t>https://suumo.jp/chintai/jnc_000104304051/?bc=100485522301</t>
  </si>
  <si>
    <t>https://suumo.jp/chintai/jnc_000104295987/?bc=100484552359</t>
  </si>
  <si>
    <t>https://suumo.jp/chintai/jnc_000101699147/?bc=100485807288</t>
  </si>
  <si>
    <t>Stellar上高田</t>
  </si>
  <si>
    <t>東京都中野区上高田５</t>
  </si>
  <si>
    <t>https://suumo.jp/chintai/jnc_000101699152/?bc=100479799994</t>
  </si>
  <si>
    <t>https://suumo.jp/chintai/jnc_000101699153/?bc=100486265130</t>
  </si>
  <si>
    <t>https://suumo.jp/chintai/jnc_000102039943/?bc=100478902360</t>
  </si>
  <si>
    <t>アトリオフラッツ中野新井薬師</t>
  </si>
  <si>
    <t>https://suumo.jp/chintai/jnc_000103038501/?bc=100476144299</t>
  </si>
  <si>
    <t>アリビス中野</t>
  </si>
  <si>
    <t>東京都中野区上高田２</t>
  </si>
  <si>
    <t>https://suumo.jp/chintai/jnc_000102755804/?bc=100476144912</t>
  </si>
  <si>
    <t>https://suumo.jp/chintai/jnc_000102755813/?bc=100476182042</t>
  </si>
  <si>
    <t>https://suumo.jp/chintai/jnc_000103231664/?bc=100484527829</t>
  </si>
  <si>
    <t>https://suumo.jp/chintai/jnc_000104383909/?bc=100485210503</t>
  </si>
  <si>
    <t>https://suumo.jp/chintai/jnc_000103205285/?bc=100484819726</t>
  </si>
  <si>
    <t>エスティメゾン哲学堂</t>
  </si>
  <si>
    <t>https://suumo.jp/chintai/jnc_000104179478/?bc=100483561380</t>
  </si>
  <si>
    <t>カーサ・ディ・クオーレ</t>
  </si>
  <si>
    <t>https://suumo.jp/chintai/jnc_000102888109/?bc=100474170976</t>
  </si>
  <si>
    <t>ガーデンヴィラＭＩＹＡＢＩ</t>
  </si>
  <si>
    <t>https://suumo.jp/chintai/jnc_000101344610/?bc=100465659545</t>
  </si>
  <si>
    <t>ハーモニーレジデンス中野ＮＯＲＴＨ　ＡＲＡＩ</t>
  </si>
  <si>
    <t>東京都中野区新井５</t>
  </si>
  <si>
    <t>https://suumo.jp/chintai/jnc_000103685958/?bc=100480026555</t>
  </si>
  <si>
    <t>パティーナ中野</t>
  </si>
  <si>
    <t>東京都中野区新井４</t>
  </si>
  <si>
    <t>https://suumo.jp/chintai/jnc_000103969578/?bc=100483284869</t>
  </si>
  <si>
    <t>https://suumo.jp/chintai/jnc_000098572257/?bc=100437928170</t>
  </si>
  <si>
    <t>メゾン松ヶ丘</t>
  </si>
  <si>
    <t>https://suumo.jp/chintai/jnc_000100545724/?bc=100454106044</t>
  </si>
  <si>
    <t>ラティエラ中野新井</t>
  </si>
  <si>
    <t>https://suumo.jp/chintai/jnc_000100545734/?bc=100455536320</t>
  </si>
  <si>
    <t>https://suumo.jp/chintai/jnc_000100545732/?bc=100462922377</t>
  </si>
  <si>
    <t>https://suumo.jp/chintai/jnc_000100545740/?bc=100455393734</t>
  </si>
  <si>
    <t>https://suumo.jp/chintai/jnc_000104491993/?bc=100486373820</t>
  </si>
  <si>
    <t>https://suumo.jp/chintai/jnc_000102274390/?bc=100468300605</t>
  </si>
  <si>
    <t>https://suumo.jp/chintai/jnc_000102274393/?bc=100455217582</t>
  </si>
  <si>
    <t>https://suumo.jp/chintai/jnc_000103239322/?bc=100476034691</t>
  </si>
  <si>
    <t>ラミエーラ</t>
  </si>
  <si>
    <t>東京都中野区上高田３</t>
  </si>
  <si>
    <t>https://suumo.jp/chintai/jnc_000094378526/?bc=100483316455</t>
  </si>
  <si>
    <t>ワコーレ東中野III</t>
  </si>
  <si>
    <t>東京都中野区上高田１</t>
  </si>
  <si>
    <t>https://suumo.jp/chintai/jnc_000104442896/?bc=100486169451</t>
  </si>
  <si>
    <t>中野新井薬師レジデンス</t>
  </si>
  <si>
    <t>https://suumo.jp/chintai/jnc_000102572866/?bc=100479197679</t>
  </si>
  <si>
    <t>https://suumo.jp/chintai/jnc_000102595703/?bc=100470951182</t>
  </si>
  <si>
    <t>大川ビル</t>
  </si>
  <si>
    <t>https://suumo.jp/chintai/jnc_000028334075/?bc=100459002440</t>
  </si>
  <si>
    <t>山口方</t>
  </si>
  <si>
    <t>https://suumo.jp/chintai/jnc_000028334076/?bc=100459001575</t>
  </si>
  <si>
    <t>https://suumo.jp/chintai/jnc_000104010568/?bc=100483126480</t>
  </si>
  <si>
    <t>山科ハウス</t>
  </si>
  <si>
    <t>https://suumo.jp/chintai/jnc_000043048515/?bc=100473972103</t>
  </si>
  <si>
    <t>西武新宿線 新井薬師前駅 2階建 築46年</t>
  </si>
  <si>
    <t>https://suumo.jp/chintai/jnc_000043048516/?bc=100473970687</t>
  </si>
  <si>
    <t>https://suumo.jp/chintai/jnc_000101302171/?bc=100462834078</t>
  </si>
  <si>
    <t>西武新宿線 新井薬師前駅 2階建 築4年</t>
  </si>
  <si>
    <t>https://suumo.jp/chintai/jnc_000103239323/?bc=100476034661</t>
  </si>
  <si>
    <t>西武新宿線 新井薬師前駅 2階建 築7年</t>
  </si>
  <si>
    <t>https://suumo.jp/chintai/jnc_000103929265/?bc=100481651869</t>
  </si>
  <si>
    <t>西武新宿線 新井薬師前駅 3階建 築7年</t>
  </si>
  <si>
    <t>https://suumo.jp/chintai/jnc_000104117681/?bc=100480555896</t>
  </si>
  <si>
    <t>西武新宿線 新井薬師前駅 4階建 築14年</t>
  </si>
  <si>
    <t>https://suumo.jp/chintai/jnc_000102063297/?bc=100473440594</t>
  </si>
  <si>
    <t>西武新宿線 新井薬師前駅 4階建 築2年</t>
  </si>
  <si>
    <t>https://suumo.jp/chintai/jnc_000101344611/?bc=100465708306</t>
  </si>
  <si>
    <t>https://suumo.jp/chintai/jnc_000102572867/?bc=100484207166</t>
  </si>
  <si>
    <t>西武新宿線 新井薬師前駅 7階建 築2年</t>
  </si>
  <si>
    <t>https://suumo.jp/chintai/jnc_000104449825/?bc=100485753633</t>
  </si>
  <si>
    <t>https://suumo.jp/chintai/jnc_000103223546/?bc=100476309647</t>
  </si>
  <si>
    <t>西武新宿線 新井薬師前駅 8階建 築17年</t>
  </si>
  <si>
    <t>https://suumo.jp/chintai/jnc_000095580711/?bc=100483389287</t>
  </si>
  <si>
    <t>都営大江戸線 東中野駅 4階建 築35年</t>
  </si>
  <si>
    <t>https://suumo.jp/chintai/jnc_000104525879/?bc=100486370980</t>
  </si>
  <si>
    <t>ＪＲ中央線 中野駅 12階建 築5年</t>
  </si>
  <si>
    <t>https://suumo.jp/chintai/jnc_000058525304/?bc=100485127151</t>
  </si>
  <si>
    <t>ＪＲ中央線 中野駅 3階建 築18年</t>
  </si>
  <si>
    <t>https://suumo.jp/chintai/jnc_000103674648/?bc=100479627949</t>
  </si>
  <si>
    <t>ＪＲ中央線 中野駅 4階建 築3年</t>
  </si>
  <si>
    <t>https://suumo.jp/chintai/jnc_000103977433/?bc=100482318593</t>
  </si>
  <si>
    <t>https://suumo.jp/chintai/jnc_000103285853/?bc=100476559065</t>
  </si>
  <si>
    <t>ＪＲ中央線 中野駅 5階建 築14年</t>
  </si>
  <si>
    <t>https://suumo.jp/chintai/jnc_000102747043/?bc=100472100009</t>
  </si>
  <si>
    <t>ＪＲ中央線 中野駅 5階建 築1年</t>
  </si>
  <si>
    <t>https://suumo.jp/chintai/jnc_000102732898/?bc=100471991319</t>
  </si>
  <si>
    <t>https://suumo.jp/chintai/jnc_000102767907/?bc=100472273872</t>
  </si>
  <si>
    <t>https://suumo.jp/chintai/jnc_000102771889/?bc=100472509131</t>
  </si>
  <si>
    <t>https://suumo.jp/chintai/jnc_000103223482/?bc=100485812086</t>
  </si>
  <si>
    <t>https://suumo.jp/chintai/jnc_000104454974/?bc=100485774002</t>
  </si>
  <si>
    <t>https://suumo.jp/chintai/jnc_000100751262/?bc=100454128529</t>
  </si>
  <si>
    <t>ＪＲ中央線 中野駅 8階建 新築</t>
  </si>
  <si>
    <t>https://suumo.jp/chintai/jnc_000100802072/?bc=100466962262</t>
  </si>
  <si>
    <t>https://suumo.jp/chintai/jnc_000100802079/?bc=100466962150</t>
  </si>
  <si>
    <t>https://suumo.jp/chintai/jnc_000104499483/?bc=100486113020</t>
  </si>
  <si>
    <t>https://suumo.jp/chintai/jnc_000102303783/?bc=100473972373</t>
  </si>
  <si>
    <t>https://suumo.jp/chintai/jnc_000102280404/?bc=100466962480</t>
  </si>
  <si>
    <t>https://suumo.jp/chintai/jnc_000104525878/?bc=100486368414</t>
  </si>
  <si>
    <t>ＯＲＳＵＳ中野</t>
  </si>
  <si>
    <t>https://suumo.jp/chintai/jnc_000104082025/?bc=100476976874</t>
  </si>
  <si>
    <t>ＹＫＮ</t>
  </si>
  <si>
    <t>https://suumo.jp/chintai/jnc_000103386550/?bc=100485191898</t>
  </si>
  <si>
    <t>K sヴィラ中野B</t>
  </si>
  <si>
    <t>https://suumo.jp/chintai/jnc_000104357202/?bc=100485013639</t>
  </si>
  <si>
    <t>KATOビル</t>
  </si>
  <si>
    <t>https://suumo.jp/chintai/jnc_000104149194/?bc=100483347758</t>
  </si>
  <si>
    <t>K’ｓヴィラ中野Ａ</t>
  </si>
  <si>
    <t>https://suumo.jp/chintai/jnc_000103864712/?bc=100481211416</t>
  </si>
  <si>
    <t>PINY HILL(パイニーヒル)</t>
  </si>
  <si>
    <t>https://suumo.jp/chintai/jnc_000104464986/?bc=100485886968</t>
  </si>
  <si>
    <t>RISE NAKANO-MATSUGAOKA</t>
  </si>
  <si>
    <t>https://suumo.jp/chintai/jnc_000101050283/?bc=100460427269</t>
  </si>
  <si>
    <t>https://suumo.jp/chintai/jnc_000103717529/?bc=100480446496</t>
  </si>
  <si>
    <t>https://suumo.jp/chintai/jnc_000103551270/?bc=100478844911</t>
  </si>
  <si>
    <t>S-Farbe中野松が丘ANNEX</t>
  </si>
  <si>
    <t>https://suumo.jp/chintai/jnc_000104050085/?bc=100483328135</t>
  </si>
  <si>
    <t>Sky Rainbow KAMITAKADA</t>
  </si>
  <si>
    <t>https://suumo.jp/chintai/jnc_000104357203/?bc=100485023854</t>
  </si>
  <si>
    <t>https://suumo.jp/chintai/jnc_000103813536/?bc=100482802156</t>
  </si>
  <si>
    <t>felice新井薬師前I</t>
  </si>
  <si>
    <t>https://suumo.jp/chintai/jnc_000104241700/?bc=100484261214</t>
  </si>
  <si>
    <t>https://suumo.jp/chintai/jnc_000104363625/?bc=100415949667</t>
  </si>
  <si>
    <t>アオイビル</t>
  </si>
  <si>
    <t>https://suumo.jp/chintai/jnc_000013358002/?bc=100485638668</t>
  </si>
  <si>
    <t>アッパルタメント　プラート</t>
  </si>
  <si>
    <t>https://suumo.jp/chintai/jnc_000102039942/?bc=100482220821</t>
  </si>
  <si>
    <t>https://suumo.jp/chintai/jnc_000104034686/?bc=100482360340</t>
  </si>
  <si>
    <t>アプリコットハウス上高田</t>
  </si>
  <si>
    <t>https://suumo.jp/chintai/jnc_000104060446/?bc=100482360337</t>
  </si>
  <si>
    <t>https://suumo.jp/chintai/jnc_000104034687/?bc=100482360341</t>
  </si>
  <si>
    <t>https://suumo.jp/chintai/jnc_000104034688/?bc=100482360342</t>
  </si>
  <si>
    <t>https://suumo.jp/chintai/jnc_000104029325/?bc=100482360338</t>
  </si>
  <si>
    <t>https://suumo.jp/chintai/jnc_000103454467/?bc=100477614003</t>
  </si>
  <si>
    <t>https://suumo.jp/chintai/jnc_000103454466/?bc=100477613979</t>
  </si>
  <si>
    <t>https://suumo.jp/chintai/jnc_000104326784/?bc=100484786468</t>
  </si>
  <si>
    <t>アプリコットハウス中野</t>
  </si>
  <si>
    <t>https://suumo.jp/chintai/jnc_000103038502/?bc=100476144321</t>
  </si>
  <si>
    <t>https://suumo.jp/chintai/jnc_000103038499/?bc=100478049460</t>
  </si>
  <si>
    <t>https://suumo.jp/chintai/jnc_000102971525/?bc=100476022561</t>
  </si>
  <si>
    <t>https://suumo.jp/chintai/jnc_000103084159/?bc=100476144458</t>
  </si>
  <si>
    <t>https://suumo.jp/chintai/jnc_000102755805/?bc=100476145392</t>
  </si>
  <si>
    <t>https://suumo.jp/chintai/jnc_000102755802/?bc=100476144679</t>
  </si>
  <si>
    <t>https://suumo.jp/chintai/jnc_000102755807/?bc=100476144185</t>
  </si>
  <si>
    <t>https://suumo.jp/chintai/jnc_000102755814/?bc=100476144818</t>
  </si>
  <si>
    <t>https://suumo.jp/chintai/jnc_000102755811/?bc=100476145155</t>
  </si>
  <si>
    <t>https://suumo.jp/chintai/jnc_000102755816/?bc=100476144282</t>
  </si>
  <si>
    <t>https://suumo.jp/chintai/jnc_000103239320/?bc=100484527826</t>
  </si>
  <si>
    <t>https://suumo.jp/chintai/jnc_000104383907/?bc=100485210511</t>
  </si>
  <si>
    <t>https://suumo.jp/chintai/jnc_000104249789/?bc=100484341320</t>
  </si>
  <si>
    <t>イーグル松が丘</t>
  </si>
  <si>
    <t>https://suumo.jp/chintai/jnc_000099363898/?bc=100443606825</t>
  </si>
  <si>
    <t>ウエダハイム</t>
  </si>
  <si>
    <t>https://suumo.jp/chintai/jnc_000099363899/?bc=100443606818</t>
  </si>
  <si>
    <t>https://suumo.jp/chintai/jnc_000103762854/?bc=100480456066</t>
  </si>
  <si>
    <t>https://suumo.jp/chintai/jnc_000103205286/?bc=100477987545</t>
  </si>
  <si>
    <t>https://suumo.jp/chintai/jnc_000102417578/?bc=100478811591</t>
  </si>
  <si>
    <t>エルファーロ中野新井薬師</t>
  </si>
  <si>
    <t>https://suumo.jp/chintai/jnc_000104357189/?bc=100478257258</t>
  </si>
  <si>
    <t>カーサローサ</t>
  </si>
  <si>
    <t>https://suumo.jp/chintai/jnc_000100479123/?bc=100482711750</t>
  </si>
  <si>
    <t>キャパシタス中野</t>
  </si>
  <si>
    <t>https://suumo.jp/chintai/jnc_000102206009/?bc=100467759858</t>
  </si>
  <si>
    <t>https://suumo.jp/chintai/jnc_000104459188/?bc=100486090764</t>
  </si>
  <si>
    <t>クラース哲学堂公園</t>
  </si>
  <si>
    <t>https://suumo.jp/chintai/jnc_000104454996/?bc=100485793205</t>
  </si>
  <si>
    <t>クリスタルコート哲学堂</t>
  </si>
  <si>
    <t>https://suumo.jp/chintai/jnc_000104499551/?bc=100486130302</t>
  </si>
  <si>
    <t>クレマチス</t>
  </si>
  <si>
    <t>https://suumo.jp/chintai/jnc_000102165574/?bc=100467116196</t>
  </si>
  <si>
    <t>コートM&amp;A Part4</t>
  </si>
  <si>
    <t>https://suumo.jp/chintai/jnc_000103987610/?bc=100485928829</t>
  </si>
  <si>
    <t>サンエイアームス</t>
  </si>
  <si>
    <t>https://suumo.jp/chintai/jnc_000013455328/?bc=100483816751</t>
  </si>
  <si>
    <t>サンハイツ</t>
  </si>
  <si>
    <t>https://suumo.jp/chintai/jnc_000103903831/?bc=100481720848</t>
  </si>
  <si>
    <t>サン・ローレル</t>
  </si>
  <si>
    <t>https://suumo.jp/chintai/jnc_000104179503/?bc=100470880983</t>
  </si>
  <si>
    <t>シャルマン松が丘</t>
  </si>
  <si>
    <t>https://suumo.jp/chintai/jnc_000103690567/?bc=100480033350</t>
  </si>
  <si>
    <t>シンシア</t>
  </si>
  <si>
    <t>https://suumo.jp/chintai/jnc_000104132670/?bc=100483227043</t>
  </si>
  <si>
    <t>スカイコートグレース中野哲学堂</t>
  </si>
  <si>
    <t>https://suumo.jp/chintai/jnc_000103663189/?bc=100483954784</t>
  </si>
  <si>
    <t>https://suumo.jp/chintai/jnc_000055425411/?bc=100485621946</t>
  </si>
  <si>
    <t>スカイコート新宿落合第3</t>
  </si>
  <si>
    <t>東京都新宿区西落合２</t>
  </si>
  <si>
    <t>https://suumo.jp/chintai/jnc_000104070163/?bc=100482754322</t>
  </si>
  <si>
    <t>セトルミュー松ヶ丘</t>
  </si>
  <si>
    <t>https://suumo.jp/chintai/jnc_000104229972/?bc=100484096359</t>
  </si>
  <si>
    <t>センタービレッジ中野</t>
  </si>
  <si>
    <t>https://suumo.jp/chintai/jnc_000098555379/?bc=100447566717</t>
  </si>
  <si>
    <t>https://suumo.jp/chintai/jnc_000104459179/?bc=100485923422</t>
  </si>
  <si>
    <t>ゼニーヴ上高田II</t>
  </si>
  <si>
    <t>https://suumo.jp/chintai/jnc_000102296276/?bc=100468407723</t>
  </si>
  <si>
    <t>ソフィア薬師</t>
  </si>
  <si>
    <t>https://suumo.jp/chintai/jnc_000104179479/?bc=100485894084</t>
  </si>
  <si>
    <t>ダイナシティ中野新井薬師</t>
  </si>
  <si>
    <t>https://suumo.jp/chintai/jnc_000104335101/?bc=100481705540</t>
  </si>
  <si>
    <t>ダルタニアンコート</t>
  </si>
  <si>
    <t>https://suumo.jp/chintai/jnc_000103631789/?bc=100482716572</t>
  </si>
  <si>
    <t>ダンディライオンIII</t>
  </si>
  <si>
    <t>https://suumo.jp/chintai/jnc_000104207766/?bc=100483816067</t>
  </si>
  <si>
    <t>ニューハイム村上</t>
  </si>
  <si>
    <t>https://suumo.jp/chintai/jnc_000103032346/?bc=100474382249</t>
  </si>
  <si>
    <t>ハイツ保坂</t>
  </si>
  <si>
    <t>https://suumo.jp/chintai/jnc_000102572863/?bc=100480836611</t>
  </si>
  <si>
    <t>ハイムカトレア中野</t>
  </si>
  <si>
    <t>https://suumo.jp/chintai/jnc_000070963942/?bc=100484466116</t>
  </si>
  <si>
    <t>ハイム新山</t>
  </si>
  <si>
    <t>https://suumo.jp/chintai/jnc_000103969610/?bc=100481896254</t>
  </si>
  <si>
    <t>パイニーヒル</t>
  </si>
  <si>
    <t>https://suumo.jp/chintai/jnc_000104417239/?bc=100485557001</t>
  </si>
  <si>
    <t>https://suumo.jp/chintai/jnc_000104417240/?bc=100485949099</t>
  </si>
  <si>
    <t>https://suumo.jp/chintai/jnc_000104117670/?bc=100479393718</t>
  </si>
  <si>
    <t>パピ中野ラウンジ</t>
  </si>
  <si>
    <t>https://suumo.jp/chintai/jnc_000103909132/?bc=100481481953</t>
  </si>
  <si>
    <t>フォレスト中野Ａ</t>
  </si>
  <si>
    <t>https://suumo.jp/chintai/jnc_000069685864/?bc=100485396450</t>
  </si>
  <si>
    <t>ベルテ哲学堂</t>
  </si>
  <si>
    <t>https://suumo.jp/chintai/jnc_000104003973/?bc=100482283983</t>
  </si>
  <si>
    <t>ベルフローラ</t>
  </si>
  <si>
    <t>https://suumo.jp/chintai/jnc_000104126170/?bc=100483173420</t>
  </si>
  <si>
    <t>ベレ松が丘</t>
  </si>
  <si>
    <t>https://suumo.jp/chintai/jnc_000103231667/?bc=100475956722</t>
  </si>
  <si>
    <t>ホワイトハイツ</t>
  </si>
  <si>
    <t>https://suumo.jp/chintai/jnc_000104519161/?bc=100486237124</t>
  </si>
  <si>
    <t>マキシヴ中野</t>
  </si>
  <si>
    <t>https://suumo.jp/chintai/jnc_000104525887/?bc=100486278212</t>
  </si>
  <si>
    <t>https://suumo.jp/chintai/jnc_000103929267/?bc=100481669373</t>
  </si>
  <si>
    <t>https://suumo.jp/chintai/jnc_000103792575/?bc=100482349781</t>
  </si>
  <si>
    <t>https://suumo.jp/chintai/jnc_000104348360/?bc=100484925615</t>
  </si>
  <si>
    <t>ミモザ哲学堂</t>
  </si>
  <si>
    <t>https://suumo.jp/chintai/jnc_000104304057/?bc=100484752226</t>
  </si>
  <si>
    <t>https://suumo.jp/chintai/jnc_000104357208/?bc=100484994050</t>
  </si>
  <si>
    <t>メゾンアイエム</t>
  </si>
  <si>
    <t>https://suumo.jp/chintai/jnc_000104473678/?bc=100486091569</t>
  </si>
  <si>
    <t>メゾンクレイン(メゾンクレイン)</t>
  </si>
  <si>
    <t>https://suumo.jp/chintai/jnc_000101885858/?bc=100464239947</t>
  </si>
  <si>
    <t>メゾンクレール</t>
  </si>
  <si>
    <t>https://suumo.jp/chintai/jnc_000102307756/?bc=100483765688</t>
  </si>
  <si>
    <t>メゾンソレイユ</t>
  </si>
  <si>
    <t>https://suumo.jp/chintai/jnc_000102755819/?bc=100472156888</t>
  </si>
  <si>
    <t>メゾンパール</t>
  </si>
  <si>
    <t>https://suumo.jp/chintai/jnc_000102848047/?bc=100482657312</t>
  </si>
  <si>
    <t>メゾンフラワー東中野</t>
  </si>
  <si>
    <t>https://suumo.jp/chintai/jnc_000104229968/?bc=100485821394</t>
  </si>
  <si>
    <t>メゾンブランカ</t>
  </si>
  <si>
    <t>https://suumo.jp/chintai/jnc_000104076679/?bc=100483049314</t>
  </si>
  <si>
    <t>メゾン・フォレスト</t>
  </si>
  <si>
    <t>https://suumo.jp/chintai/jnc_000103743334/?bc=100480250843</t>
  </si>
  <si>
    <t>メゾン村上</t>
  </si>
  <si>
    <t>https://suumo.jp/chintai/jnc_000099961748/?bc=100447675074</t>
  </si>
  <si>
    <t>https://suumo.jp/chintai/jnc_000094984142/?bc=100412424262</t>
  </si>
  <si>
    <t>https://suumo.jp/chintai/jnc_000098572258/?bc=100437928169</t>
  </si>
  <si>
    <t>https://suumo.jp/chintai/jnc_000100566142/?bc=100452427598</t>
  </si>
  <si>
    <t>https://suumo.jp/chintai/jnc_000101487498/?bc=100475317855</t>
  </si>
  <si>
    <t>メゾン飛鳥</t>
  </si>
  <si>
    <t>https://suumo.jp/chintai/jnc_000103144294/?bc=100475513276</t>
  </si>
  <si>
    <t>ラシクラス・カリビアンIII</t>
  </si>
  <si>
    <t>https://suumo.jp/chintai/jnc_000100545723/?bc=100455413678</t>
  </si>
  <si>
    <t>https://suumo.jp/chintai/jnc_000100545731/?bc=100454129233</t>
  </si>
  <si>
    <t>https://suumo.jp/chintai/jnc_000100545728/?bc=100455402731</t>
  </si>
  <si>
    <t>https://suumo.jp/chintai/jnc_000100545737/?bc=100454104895</t>
  </si>
  <si>
    <t>https://suumo.jp/chintai/jnc_000104491992/?bc=100486373898</t>
  </si>
  <si>
    <t>https://suumo.jp/chintai/jnc_000102274389/?bc=100468262989</t>
  </si>
  <si>
    <t>https://suumo.jp/chintai/jnc_000100264594/?bc=100482931528</t>
  </si>
  <si>
    <t>ルミエール松が丘</t>
  </si>
  <si>
    <t>https://suumo.jp/chintai/jnc_000067161366/?bc=100475299863</t>
  </si>
  <si>
    <t>ルミネ月村</t>
  </si>
  <si>
    <t>https://suumo.jp/chintai/jnc_000103929314/?bc=100481688148</t>
  </si>
  <si>
    <t>ル・シェール</t>
  </si>
  <si>
    <t>https://suumo.jp/chintai/jnc_000104054969/?bc=100476268682</t>
  </si>
  <si>
    <t>ルーブル新宿西落合伍番館</t>
  </si>
  <si>
    <t>https://suumo.jp/chintai/jnc_000104491585/?bc=100486103040</t>
  </si>
  <si>
    <t>ルーブル新宿西落合六番館</t>
  </si>
  <si>
    <t>https://suumo.jp/chintai/jnc_000104076678/?bc=100483344567</t>
  </si>
  <si>
    <t>レインボー上高田</t>
  </si>
  <si>
    <t>https://suumo.jp/chintai/jnc_000104357205/?bc=100485013577</t>
  </si>
  <si>
    <t>レジデンスK3</t>
  </si>
  <si>
    <t>https://suumo.jp/chintai/jnc_000103658333/?bc=100480900141</t>
  </si>
  <si>
    <t>ヴィラ三條</t>
  </si>
  <si>
    <t>https://suumo.jp/chintai/jnc_000101898268/?bc=100475774488</t>
  </si>
  <si>
    <t>ヴェルデリア中野</t>
  </si>
  <si>
    <t>https://suumo.jp/chintai/jnc_000103118215/?bc=100484083046</t>
  </si>
  <si>
    <t>新井ハイツ</t>
  </si>
  <si>
    <t>https://suumo.jp/chintai/jnc_000103649654/?bc=100484147010</t>
  </si>
  <si>
    <t>東京メトロ東西線 中野駅 2階建 築57年</t>
  </si>
  <si>
    <t>https://suumo.jp/chintai/jnc_000104055248/?bc=100482673901</t>
  </si>
  <si>
    <t>松島ビル</t>
  </si>
  <si>
    <t>https://suumo.jp/chintai/jnc_000104202919/?bc=100483742241</t>
  </si>
  <si>
    <t>瀬谷ビル</t>
  </si>
  <si>
    <t>https://suumo.jp/chintai/jnc_000103536685/?bc=100478462736</t>
  </si>
  <si>
    <t>石井マンションＡ</t>
  </si>
  <si>
    <t>https://suumo.jp/chintai/jnc_000089451041/?bc=100448310126</t>
  </si>
  <si>
    <t>竹内ハウス</t>
  </si>
  <si>
    <t>https://suumo.jp/chintai/jnc_000104433307/?bc=100465229336</t>
  </si>
  <si>
    <t>第二マンション樹</t>
  </si>
  <si>
    <t>https://suumo.jp/chintai/jnc_000101977516/?bc=100485285072</t>
  </si>
  <si>
    <t>https://suumo.jp/chintai/jnc_000104326785/?bc=100484786471</t>
  </si>
  <si>
    <t>第八さかえビル</t>
  </si>
  <si>
    <t>https://suumo.jp/chintai/jnc_000104417247/?bc=100485551361</t>
  </si>
  <si>
    <t>薬師パレスマンション</t>
  </si>
  <si>
    <t>https://suumo.jp/chintai/jnc_000103947694/?bc=100481794055</t>
  </si>
  <si>
    <t>西武新宿線 新井薬師前駅 2階建 築16年</t>
  </si>
  <si>
    <t>https://suumo.jp/chintai/jnc_000104003974/?bc=100482173246</t>
  </si>
  <si>
    <t>西武新宿線 新井薬師前駅 2階建 築18年</t>
  </si>
  <si>
    <t>https://suumo.jp/chintai/jnc_000073391983/?bc=100486443604</t>
  </si>
  <si>
    <t>西武新宿線 新井薬師前駅 2階建 築23年</t>
  </si>
  <si>
    <t>東京都中野区江古田１</t>
  </si>
  <si>
    <t>https://suumo.jp/chintai/jnc_000101104297/?bc=100478796739</t>
  </si>
  <si>
    <t>西武新宿線 新井薬師前駅 2階建 築35年</t>
  </si>
  <si>
    <t>https://suumo.jp/chintai/jnc_000101809562/?bc=100483965046</t>
  </si>
  <si>
    <t>https://suumo.jp/chintai/jnc_000103060656/?bc=100475731065</t>
  </si>
  <si>
    <t>https://suumo.jp/chintai/jnc_000102177504/?bc=100473970267</t>
  </si>
  <si>
    <t>西武新宿線 新井薬師前駅 2階建 築55年</t>
  </si>
  <si>
    <t>https://suumo.jp/chintai/jnc_000102998269/?bc=100473970264</t>
  </si>
  <si>
    <t>西武新宿線 新井薬師前駅 2階建 築59年</t>
  </si>
  <si>
    <t>https://suumo.jp/chintai/jnc_000104459180/?bc=100486152679</t>
  </si>
  <si>
    <t>西武新宿線 新井薬師前駅 3階建 築10年</t>
  </si>
  <si>
    <t>https://suumo.jp/chintai/jnc_000103685959/?bc=100480184035</t>
  </si>
  <si>
    <t>西武新宿線 新井薬師前駅 3階建 築17年</t>
  </si>
  <si>
    <t>https://suumo.jp/chintai/jnc_000102701391/?bc=100477951075</t>
  </si>
  <si>
    <t>西武新宿線 新井薬師前駅 3階建 築21年</t>
  </si>
  <si>
    <t>https://suumo.jp/chintai/jnc_000104473679/?bc=100485947200</t>
  </si>
  <si>
    <t>西武新宿線 新井薬師前駅 3階建 築24年</t>
  </si>
  <si>
    <t>https://suumo.jp/chintai/jnc_000104335137/?bc=100484806448</t>
  </si>
  <si>
    <t>西武新宿線 新井薬師前駅 3階建 築2年</t>
  </si>
  <si>
    <t>https://suumo.jp/chintai/jnc_000104304058/?bc=100484694829</t>
  </si>
  <si>
    <t>https://suumo.jp/chintai/jnc_000103730509/?bc=100480184006</t>
  </si>
  <si>
    <t>https://suumo.jp/chintai/jnc_000104280476/?bc=100484588914</t>
  </si>
  <si>
    <t>https://suumo.jp/chintai/jnc_000102169507/?bc=100477308920</t>
  </si>
  <si>
    <t>西武新宿線 新井薬師前駅 3階建 築3年</t>
  </si>
  <si>
    <t>https://suumo.jp/chintai/jnc_000104510085/?bc=100486177929</t>
  </si>
  <si>
    <t>西武新宿線 新井薬師前駅 3階建 築9年</t>
  </si>
  <si>
    <t>https://suumo.jp/chintai/jnc_000103809271/?bc=100480727427</t>
  </si>
  <si>
    <t>https://suumo.jp/chintai/jnc_000101063097/?bc=100483092794</t>
  </si>
  <si>
    <t>西武新宿線 新井薬師前駅 4階建 築20年</t>
  </si>
  <si>
    <t>https://suumo.jp/chintai/jnc_000102063295/?bc=100473972157</t>
  </si>
  <si>
    <t>https://suumo.jp/chintai/jnc_000102417579/?bc=100478750355</t>
  </si>
  <si>
    <t>西武新宿線 新井薬師前駅 4階建 築3年</t>
  </si>
  <si>
    <t>https://suumo.jp/chintai/jnc_000102998266/?bc=100478489279</t>
  </si>
  <si>
    <t>西武新宿線 新井薬師前駅 4階建 築4年</t>
  </si>
  <si>
    <t>https://suumo.jp/chintai/jnc_000103465741/?bc=100483269996</t>
  </si>
  <si>
    <t>https://suumo.jp/chintai/jnc_000104055231/?bc=100483271984</t>
  </si>
  <si>
    <t>西武新宿線 新井薬師前駅 4階建 築6年</t>
  </si>
  <si>
    <t>https://suumo.jp/chintai/jnc_000104357204/?bc=100485007682</t>
  </si>
  <si>
    <t>https://suumo.jp/chintai/jnc_000104054970/?bc=100471111813</t>
  </si>
  <si>
    <t>西武新宿線 新井薬師前駅 5階建 築21年</t>
  </si>
  <si>
    <t>https://suumo.jp/chintai/jnc_000104192472/?bc=100381196862</t>
  </si>
  <si>
    <t>西武新宿線 新井薬師前駅 5階建 築5年</t>
  </si>
  <si>
    <t>https://suumo.jp/chintai/jnc_000104010571/?bc=100482351564</t>
  </si>
  <si>
    <t>西武新宿線 新井薬師前駅 5階建 築61年</t>
  </si>
  <si>
    <t>https://suumo.jp/chintai/jnc_000103248935/?bc=100474347642</t>
  </si>
  <si>
    <t>西武新宿線 新井薬師前駅 6階建 築17年</t>
  </si>
  <si>
    <t>https://suumo.jp/chintai/jnc_000103913709/?bc=100481950434</t>
  </si>
  <si>
    <t>西武新宿線 新井薬師前駅 6階建 築20年</t>
  </si>
  <si>
    <t>https://suumo.jp/chintai/jnc_000100483365/?bc=100474561814</t>
  </si>
  <si>
    <t>西武新宿線 新井薬師前駅 7階建 築22年</t>
  </si>
  <si>
    <t>https://suumo.jp/chintai/jnc_000102213032/?bc=100480384292</t>
  </si>
  <si>
    <t>https://suumo.jp/chintai/jnc_000103420713/?bc=100480750902</t>
  </si>
  <si>
    <t>西武新宿線 新井薬師前駅 7階建 築26年</t>
  </si>
  <si>
    <t>https://suumo.jp/chintai/jnc_000104464987/?bc=100485992444</t>
  </si>
  <si>
    <t>西武新宿線 新井薬師前駅 8階建 築15年</t>
  </si>
  <si>
    <t>https://suumo.jp/chintai/jnc_000103771457/?bc=100480814837</t>
  </si>
  <si>
    <t>https://suumo.jp/chintai/jnc_000103223547/?bc=100481490229</t>
  </si>
  <si>
    <t>https://suumo.jp/chintai/jnc_000103150920/?bc=100483772915</t>
  </si>
  <si>
    <t>西武新宿線 新井薬師前駅 地下1地上3階建 築11年</t>
  </si>
  <si>
    <t>https://suumo.jp/chintai/jnc_000104229969/?bc=100484004454</t>
  </si>
  <si>
    <t>西武新宿線 新井薬師前駅 地下1地上3階建 築19年</t>
  </si>
  <si>
    <t>https://suumo.jp/chintai/jnc_000103558069/?bc=100478616544</t>
  </si>
  <si>
    <t>西武新宿線 新井薬師前駅 地下1地上3階建 築5年</t>
  </si>
  <si>
    <t>https://suumo.jp/chintai/jnc_000103084154/?bc=100480359393</t>
  </si>
  <si>
    <t>西武新宿線 新井薬師前駅 地下1地上5階建 築19年</t>
  </si>
  <si>
    <t>https://suumo.jp/chintai/jnc_000086846347/?bc=100459001940</t>
  </si>
  <si>
    <t>鈴木ハイツ</t>
  </si>
  <si>
    <t>https://suumo.jp/chintai/jnc_000102396429/?bc=100478460703</t>
  </si>
  <si>
    <t>Ｂｅｌｌｅ　ｌｕｍｉｅｒｅ　薬師　ベル　ルミエール薬師</t>
  </si>
  <si>
    <t>https://suumo.jp/chintai/jnc_000104266145/?bc=100484584305</t>
  </si>
  <si>
    <t>ＣＬＥＭＥＮＴ（クレメント）</t>
  </si>
  <si>
    <t>https://suumo.jp/chintai/jnc_000104454966/?bc=100485781017</t>
  </si>
  <si>
    <t>https://suumo.jp/chintai/jnc_000104454967/?bc=100486184929</t>
  </si>
  <si>
    <t>https://suumo.jp/chintai/jnc_000103558027/?bc=100467088519</t>
  </si>
  <si>
    <t>https://suumo.jp/chintai/jnc_000103685963/?bc=100480752736</t>
  </si>
  <si>
    <t>ＪＲ中央線 中野駅 2階建 築33年</t>
  </si>
  <si>
    <t>https://suumo.jp/chintai/jnc_000103123109/?bc=100480750803</t>
  </si>
  <si>
    <t>ＪＲ中央線 中野駅 2階建 築38年</t>
  </si>
  <si>
    <t>https://suumo.jp/chintai/jnc_000102880968/?bc=100473120838</t>
  </si>
  <si>
    <t>ＪＲ中央線 中野駅 2階建 築41年</t>
  </si>
  <si>
    <t>https://suumo.jp/chintai/jnc_000102936801/?bc=100478347097</t>
  </si>
  <si>
    <t>ＪＲ中央線 中野駅 2階建 築57年</t>
  </si>
  <si>
    <t>https://suumo.jp/chintai/jnc_000103743343/?bc=100481182848</t>
  </si>
  <si>
    <t>ＪＲ中央線 中野駅 3階建 築32年</t>
  </si>
  <si>
    <t>https://suumo.jp/chintai/jnc_000088577078/?bc=100485753637</t>
  </si>
  <si>
    <t>ＪＲ中央線 中野駅 3階建 築34年</t>
  </si>
  <si>
    <t>https://suumo.jp/chintai/jnc_000101079639/?bc=100480395782</t>
  </si>
  <si>
    <t>https://suumo.jp/chintai/jnc_000103424482/?bc=100485317372</t>
  </si>
  <si>
    <t>https://suumo.jp/chintai/jnc_000103424483/?bc=100485502235</t>
  </si>
  <si>
    <t>https://suumo.jp/chintai/jnc_000104149193/?bc=100483673975</t>
  </si>
  <si>
    <t>https://suumo.jp/chintai/jnc_000104126126/?bc=100481346309</t>
  </si>
  <si>
    <t>ＪＲ中央線 中野駅 4階建 築10年</t>
  </si>
  <si>
    <t>https://suumo.jp/chintai/jnc_000103717508/?bc=100485781016</t>
  </si>
  <si>
    <t>ＪＲ中央線 中野駅 4階建 築13年</t>
  </si>
  <si>
    <t>https://suumo.jp/chintai/jnc_000104021457/?bc=100482294571</t>
  </si>
  <si>
    <t>ＪＲ中央線 中野駅 4階建 築17年</t>
  </si>
  <si>
    <t>https://suumo.jp/chintai/jnc_000104454975/?bc=100485781019</t>
  </si>
  <si>
    <t>https://suumo.jp/chintai/jnc_000104454969/?bc=100485784428</t>
  </si>
  <si>
    <t>https://suumo.jp/chintai/jnc_000102767903/?bc=100472273781</t>
  </si>
  <si>
    <t>https://suumo.jp/chintai/jnc_000103217919/?bc=100485826899</t>
  </si>
  <si>
    <t>https://suumo.jp/chintai/jnc_000102747041/?bc=100472099986</t>
  </si>
  <si>
    <t>https://suumo.jp/chintai/jnc_000102767905/?bc=100472273863</t>
  </si>
  <si>
    <t>https://suumo.jp/chintai/jnc_000103481448/?bc=100486113008</t>
  </si>
  <si>
    <t>https://suumo.jp/chintai/jnc_000102741073/?bc=100472273875</t>
  </si>
  <si>
    <t>https://suumo.jp/chintai/jnc_000102732896/?bc=100472273861</t>
  </si>
  <si>
    <t>https://suumo.jp/chintai/jnc_000102732899/?bc=100472509183</t>
  </si>
  <si>
    <t>https://suumo.jp/chintai/jnc_000102771890/?bc=100473336309</t>
  </si>
  <si>
    <t>https://suumo.jp/chintai/jnc_000102771887/?bc=100473336313</t>
  </si>
  <si>
    <t>https://suumo.jp/chintai/jnc_000102771892/?bc=100472509130</t>
  </si>
  <si>
    <t>https://suumo.jp/chintai/jnc_000103217922/?bc=100486113024</t>
  </si>
  <si>
    <t>https://suumo.jp/chintai/jnc_000104454973/?bc=100485774006</t>
  </si>
  <si>
    <t>https://suumo.jp/chintai/jnc_000102508384/?bc=100481791692</t>
  </si>
  <si>
    <t>ＪＲ中央線 中野駅 7階建 築27年</t>
  </si>
  <si>
    <t>https://suumo.jp/chintai/jnc_000100802068/?bc=100473971048</t>
  </si>
  <si>
    <t>https://suumo.jp/chintai/jnc_000100802071/?bc=100473970708</t>
  </si>
  <si>
    <t>https://suumo.jp/chintai/jnc_000100786889/?bc=100466748306</t>
  </si>
  <si>
    <t>https://suumo.jp/chintai/jnc_000100802076/?bc=100473970875</t>
  </si>
  <si>
    <t>https://suumo.jp/chintai/jnc_000104499482/?bc=100486113021</t>
  </si>
  <si>
    <t>https://suumo.jp/chintai/jnc_000102303782/?bc=100473971110</t>
  </si>
  <si>
    <t>https://suumo.jp/chintai/jnc_000101925205/?bc=100464818645</t>
  </si>
  <si>
    <t>Ｍａｉｓｏｎ Ｏｋａｄａ</t>
  </si>
  <si>
    <t>https://suumo.jp/chintai/jnc_000101809561/?bc=100464603018</t>
  </si>
  <si>
    <t>https://suumo.jp/chintai/jnc_000104454964/?bc=100461985496</t>
  </si>
  <si>
    <t>https://suumo.jp/chintai/jnc_000104454965/?bc=100486150798</t>
  </si>
  <si>
    <t>https://suumo.jp/chintai/jnc_000103558026/?bc=100464408030</t>
  </si>
  <si>
    <t>https://suumo.jp/chintai/jnc_000101074811/?bc=100478481985</t>
  </si>
  <si>
    <t>ＴＭハイツ</t>
  </si>
  <si>
    <t>https://suumo.jp/chintai/jnc_000103481457/?bc=100483384771</t>
  </si>
  <si>
    <t>Ｖｉｌｌａｇｅ・Ｐｌａｎｃｈｅ（ビラージュ・プランシュ）</t>
  </si>
  <si>
    <t>https://suumo.jp/chintai/jnc_000103424480/?bc=100477518504</t>
  </si>
  <si>
    <t>ｄｏ Ｌａ Ｔｏｕｒ 中野</t>
  </si>
  <si>
    <t>https://suumo.jp/chintai/jnc_000104235927/?bc=100484035086</t>
  </si>
  <si>
    <t>https://suumo.jp/chintai/jnc_000103424481/?bc=100477566824</t>
  </si>
  <si>
    <t>https://suumo.jp/chintai/jnc_000101234864/?bc=100457826761</t>
  </si>
  <si>
    <t>ｓｅ－ｋ－ｒｙｕ</t>
  </si>
  <si>
    <t>https://suumo.jp/chintai/jnc_000104304054/?bc=100485522299</t>
  </si>
  <si>
    <t>https://suumo.jp/chintai/jnc_000104304052/?bc=100485522302</t>
  </si>
  <si>
    <t>https://suumo.jp/chintai/jnc_000104304053/?bc=100485522300</t>
  </si>
  <si>
    <t>https://suumo.jp/chintai/jnc_000104373060/?bc=100485129137</t>
  </si>
  <si>
    <t>Cruce Amicus</t>
  </si>
  <si>
    <t>https://suumo.jp/chintai/jnc_000101699146/?bc=100479799950</t>
  </si>
  <si>
    <t>https://suumo.jp/chintai/jnc_000101699149/?bc=100479855862</t>
  </si>
  <si>
    <t>https://suumo.jp/chintai/jnc_000104139427/?bc=100483267508</t>
  </si>
  <si>
    <t>posada-rinca中野</t>
  </si>
  <si>
    <t>https://suumo.jp/chintai/jnc_000089199948/?bc=100476272509</t>
  </si>
  <si>
    <t>https://suumo.jp/chintai/jnc_000102710486/?bc=100479159113</t>
  </si>
  <si>
    <t>アニュ グレイス新井薬師</t>
  </si>
  <si>
    <t>https://suumo.jp/chintai/jnc_000103708144/?bc=100479023182</t>
  </si>
  <si>
    <t>https://suumo.jp/chintai/jnc_000103231663/?bc=100484527708</t>
  </si>
  <si>
    <t>https://suumo.jp/chintai/jnc_000103231665/?bc=100484527827</t>
  </si>
  <si>
    <t>https://suumo.jp/chintai/jnc_000102109213/?bc=100484772348</t>
  </si>
  <si>
    <t>エコフォレスト</t>
  </si>
  <si>
    <t>https://suumo.jp/chintai/jnc_000104474372/?bc=100486020625</t>
  </si>
  <si>
    <t>ガーデンヒルズ</t>
  </si>
  <si>
    <t>https://suumo.jp/chintai/jnc_000104126129/?bc=100483173417</t>
  </si>
  <si>
    <t>クレア新井</t>
  </si>
  <si>
    <t>https://suumo.jp/chintai/jnc_000101390453/?bc=100463404294</t>
  </si>
  <si>
    <t>クレヴィアリグゼ中野新井薬師</t>
  </si>
  <si>
    <t>https://suumo.jp/chintai/jnc_000103780343/?bc=100481116976</t>
  </si>
  <si>
    <t>コンフォリア中野</t>
  </si>
  <si>
    <t>https://suumo.jp/chintai/jnc_000100938850/?bc=100467394725</t>
  </si>
  <si>
    <t>https://suumo.jp/chintai/jnc_000103432775/?bc=100484526035</t>
  </si>
  <si>
    <t>https://suumo.jp/chintai/jnc_000103960416/?bc=100481827457</t>
  </si>
  <si>
    <t>サクラ中野上高田</t>
  </si>
  <si>
    <t>https://suumo.jp/chintai/jnc_000104392254/?bc=100485399866</t>
  </si>
  <si>
    <t>サニーハイツ</t>
  </si>
  <si>
    <t>https://suumo.jp/chintai/jnc_000103977502/?bc=100481968603</t>
  </si>
  <si>
    <t>シャンティコジマII</t>
  </si>
  <si>
    <t>https://suumo.jp/chintai/jnc_000104363628/?bc=100406033107</t>
  </si>
  <si>
    <t>スプランデュール</t>
  </si>
  <si>
    <t>https://suumo.jp/chintai/jnc_000104532474/?bc=100486393882</t>
  </si>
  <si>
    <t>デュオステージ中野</t>
  </si>
  <si>
    <t>https://suumo.jp/chintai/jnc_000104399633/?bc=100486007737</t>
  </si>
  <si>
    <t>https://suumo.jp/chintai/jnc_000104387650/?bc=100485940568</t>
  </si>
  <si>
    <t>https://suumo.jp/chintai/jnc_000104139426/?bc=100483259879</t>
  </si>
  <si>
    <t>https://suumo.jp/chintai/jnc_000103353004/?bc=100476804551</t>
  </si>
  <si>
    <t>パインヒルズ</t>
  </si>
  <si>
    <t>https://suumo.jp/chintai/jnc_000103024436/?bc=100474293877</t>
  </si>
  <si>
    <t>https://suumo.jp/chintai/jnc_000103708143/?bc=100479915049</t>
  </si>
  <si>
    <t>ビューラー上高田</t>
  </si>
  <si>
    <t>https://suumo.jp/chintai/jnc_000104433306/?bc=100485608105</t>
  </si>
  <si>
    <t>フェリアード</t>
  </si>
  <si>
    <t>https://suumo.jp/chintai/jnc_000104317178/?bc=100475277394</t>
  </si>
  <si>
    <t>フォトナ新井薬師前（旧：小久保マンション）</t>
  </si>
  <si>
    <t>https://suumo.jp/chintai/jnc_000104202916/?bc=100479413325</t>
  </si>
  <si>
    <t>プライムアーバン中野上高田</t>
  </si>
  <si>
    <t>https://suumo.jp/chintai/jnc_000103492425/?bc=100475586484</t>
  </si>
  <si>
    <t>https://suumo.jp/chintai/jnc_000100545749/?bc=100471757411</t>
  </si>
  <si>
    <t>https://suumo.jp/chintai/jnc_000100545748/?bc=100455361413</t>
  </si>
  <si>
    <t>https://suumo.jp/chintai/jnc_000102971516/?bc=100481983069</t>
  </si>
  <si>
    <t>リーラ中野</t>
  </si>
  <si>
    <t>https://suumo.jp/chintai/jnc_000103150917/?bc=100482066679</t>
  </si>
  <si>
    <t>https://suumo.jp/chintai/jnc_000104417246/?bc=100485951718</t>
  </si>
  <si>
    <t>レバランス畑口</t>
  </si>
  <si>
    <t>https://suumo.jp/chintai/jnc_000103123115/?bc=100480297541</t>
  </si>
  <si>
    <t>https://suumo.jp/chintai/jnc_000103663173/?bc=100479467795</t>
  </si>
  <si>
    <t>https://suumo.jp/chintai/jnc_000102144685/?bc=100473392778</t>
  </si>
  <si>
    <t>西武新宿線 新井薬師前駅 2階建 築11年</t>
  </si>
  <si>
    <t>https://suumo.jp/chintai/jnc_000102888110/?bc=100473167454</t>
  </si>
  <si>
    <t>西武新宿線 新井薬師前駅 2階建 築15年</t>
  </si>
  <si>
    <t>https://suumo.jp/chintai/jnc_000104392255/?bc=100485356796</t>
  </si>
  <si>
    <t>西武新宿線 新井薬師前駅 2階建 築45年</t>
  </si>
  <si>
    <t>https://suumo.jp/chintai/jnc_000101804407/?bc=100478053471</t>
  </si>
  <si>
    <t>https://suumo.jp/chintai/jnc_000104387669/?bc=100476048165</t>
  </si>
  <si>
    <t>https://suumo.jp/chintai/jnc_000103084161/?bc=100479367941</t>
  </si>
  <si>
    <t>西武新宿線 新井薬師前駅 3階建 築15年</t>
  </si>
  <si>
    <t>https://suumo.jp/chintai/jnc_000103727554/?bc=100479661817</t>
  </si>
  <si>
    <t>https://suumo.jp/chintai/jnc_000103492427/?bc=100480028203</t>
  </si>
  <si>
    <t>西武新宿線 新井薬師前駅 3階建 築20年</t>
  </si>
  <si>
    <t>https://suumo.jp/chintai/jnc_000104044403/?bc=100483268272</t>
  </si>
  <si>
    <t>西武新宿線 新井薬師前駅 4階建 新築</t>
  </si>
  <si>
    <t>https://suumo.jp/chintai/jnc_000103644385/?bc=100479368684</t>
  </si>
  <si>
    <t>西武新宿線 新井薬師前駅 4階建 築11年</t>
  </si>
  <si>
    <t>https://suumo.jp/chintai/jnc_000089087230/?bc=100480028208</t>
  </si>
  <si>
    <t>https://suumo.jp/chintai/jnc_000103432777/?bc=100477390765</t>
  </si>
  <si>
    <t>https://suumo.jp/chintai/jnc_000101158537/?bc=100460970384</t>
  </si>
  <si>
    <t>https://suumo.jp/chintai/jnc_000104482939/?bc=100484887455</t>
  </si>
  <si>
    <t>西武新宿線 新井薬師前駅 5階建 築56年</t>
  </si>
  <si>
    <t>https://suumo.jp/chintai/jnc_000103771406/?bc=100485866862</t>
  </si>
  <si>
    <t>https://suumo.jp/chintai/jnc_000104433305/?bc=100479830671</t>
  </si>
  <si>
    <t>https://suumo.jp/chintai/jnc_000101513115/?bc=100460817638</t>
  </si>
  <si>
    <t>西武新宿線 新井薬師前駅 9階建 築16年</t>
  </si>
  <si>
    <t>https://suumo.jp/chintai/jnc_000101396491/?bc=100461198429</t>
  </si>
  <si>
    <t>西武新宿線 新井薬師前駅 地下1地上9階建 築5年</t>
  </si>
  <si>
    <t>https://suumo.jp/chintai/jnc_000103454464/?bc=100479461110</t>
  </si>
  <si>
    <t>https://suumo.jp/chintai/jnc_000103815340/?bc=100483389289</t>
  </si>
  <si>
    <t>https://suumo.jp/chintai/jnc_000104510084/?bc=100486128351</t>
  </si>
  <si>
    <t>ＢＬＥＳＳ中野哲学堂　Ｅａｓｔ</t>
  </si>
  <si>
    <t>https://suumo.jp/chintai/jnc_000103851586/?bc=100481123578</t>
  </si>
  <si>
    <t>Ｂｅｌｌｅ　Ｌｅａｄ</t>
  </si>
  <si>
    <t>https://suumo.jp/chintai/jnc_000103873788/?bc=100481293745</t>
  </si>
  <si>
    <t>ＪＲ中央線 中野駅 2階建 築26年</t>
  </si>
  <si>
    <t>https://suumo.jp/chintai/jnc_000104426252/?bc=100485549957</t>
  </si>
  <si>
    <t>ＪＲ中央線 中野駅 3階建 築29年</t>
  </si>
  <si>
    <t>https://suumo.jp/chintai/jnc_000104417241/?bc=100485512745</t>
  </si>
  <si>
    <t>https://suumo.jp/chintai/jnc_000103223483/?bc=100485774050</t>
  </si>
  <si>
    <t>https://suumo.jp/chintai/jnc_000103223481/?bc=100486113017</t>
  </si>
  <si>
    <t>https://suumo.jp/chintai/jnc_000104510071/?bc=100486177919</t>
  </si>
  <si>
    <t>ＪＲ中央線 中野駅 7階建 築2年</t>
  </si>
  <si>
    <t>https://suumo.jp/chintai/jnc_000104399634/?bc=100485376532</t>
  </si>
  <si>
    <t>https://suumo.jp/chintai/jnc_000104132640/?bc=100483296041</t>
  </si>
  <si>
    <t>https://suumo.jp/chintai/jnc_000100802087/?bc=100473971103</t>
  </si>
  <si>
    <t>https://suumo.jp/chintai/jnc_000103440544/?bc=100480467904</t>
  </si>
  <si>
    <t>ＪＲ中央線 中野駅 地下1地上6階建 築19年</t>
  </si>
  <si>
    <t>https://suumo.jp/chintai/jnc_000104029323/?bc=100482340248</t>
  </si>
  <si>
    <t>ＪＲ総武線 中野駅 3階建 築42年</t>
  </si>
  <si>
    <t>https://suumo.jp/chintai/jnc_000101925204/?bc=100464819251</t>
  </si>
  <si>
    <t>https://suumo.jp/chintai/jnc_000090558265/?bc=100478473283</t>
  </si>
  <si>
    <t>ＴＹ　ＨＯＵＳＥ</t>
  </si>
  <si>
    <t>https://suumo.jp/chintai/jnc_000103212159/?bc=100475899036</t>
  </si>
  <si>
    <t>Ｖｉｌｌａ　ＳＵＢＡＲＵ</t>
  </si>
  <si>
    <t>https://suumo.jp/chintai/jnc_000103810875/?bc=100480712130</t>
  </si>
  <si>
    <t>ｋａｉｌｕａ</t>
  </si>
  <si>
    <t>https://suumo.jp/chintai/jnc_000104295984/?bc=100484552365</t>
  </si>
  <si>
    <t>https://suumo.jp/chintai/jnc_000102993427/?bc=100400716279</t>
  </si>
  <si>
    <t>B CITY APARTMENT NAKANO EAST</t>
  </si>
  <si>
    <t>https://suumo.jp/chintai/jnc_000102213040/?bc=100468930419</t>
  </si>
  <si>
    <t>https://suumo.jp/chintai/jnc_000104280459/?bc=100484885281</t>
  </si>
  <si>
    <t>CICADA　NAKANO</t>
  </si>
  <si>
    <t>https://suumo.jp/chintai/jnc_000104549002/?bc=100485369326</t>
  </si>
  <si>
    <t>https://suumo.jp/chintai/jnc_000100867701/?bc=100455593305</t>
  </si>
  <si>
    <t>FARE中野III</t>
  </si>
  <si>
    <t>https://suumo.jp/chintai/jnc_000104474371/?bc=100485962283</t>
  </si>
  <si>
    <t>FUKUMOTO BLD</t>
  </si>
  <si>
    <t>https://suumo.jp/chintai/jnc_000104261935/?bc=100484601319</t>
  </si>
  <si>
    <t>MKC新井薬師ハイツ</t>
  </si>
  <si>
    <t>https://suumo.jp/chintai/jnc_000103735165/?bc=100482171854</t>
  </si>
  <si>
    <t>https://suumo.jp/chintai/jnc_000073777529/?bc=100483716330</t>
  </si>
  <si>
    <t>Well-b薬師</t>
  </si>
  <si>
    <t>https://suumo.jp/chintai/jnc_000066367535/?bc=100484978284</t>
  </si>
  <si>
    <t>https://suumo.jp/chintai/jnc_000103551233/?bc=100453691759</t>
  </si>
  <si>
    <t>mer</t>
  </si>
  <si>
    <t>https://suumo.jp/chintai/jnc_000103674649/?bc=100480870367</t>
  </si>
  <si>
    <t>アルファ上高田</t>
  </si>
  <si>
    <t>https://suumo.jp/chintai/jnc_000104482944/?bc=100472207318</t>
  </si>
  <si>
    <t>アーバンハイツ</t>
  </si>
  <si>
    <t>https://suumo.jp/chintai/jnc_000104399646/?bc=100478462663</t>
  </si>
  <si>
    <t>https://suumo.jp/chintai/jnc_000104519160/?bc=100485535974</t>
  </si>
  <si>
    <t>アーバンプレイス中野IVB</t>
  </si>
  <si>
    <t>https://suumo.jp/chintai/jnc_000066764555/?bc=100476795509</t>
  </si>
  <si>
    <t>アーバンプレイス新井薬師前</t>
  </si>
  <si>
    <t>https://suumo.jp/chintai/jnc_000049200582/?bc=100417429349</t>
  </si>
  <si>
    <t>アーバンプレイス松ヶ丘</t>
  </si>
  <si>
    <t>https://suumo.jp/chintai/jnc_000104010569/?bc=100482170039</t>
  </si>
  <si>
    <t>クラシア中野</t>
  </si>
  <si>
    <t>https://suumo.jp/chintai/jnc_000103393224/?bc=100477133955</t>
  </si>
  <si>
    <t>クレセント村松</t>
  </si>
  <si>
    <t>https://suumo.jp/chintai/jnc_000103551580/?bc=100480685108</t>
  </si>
  <si>
    <t>グレースクイーン</t>
  </si>
  <si>
    <t>東京都練馬区旭丘１</t>
  </si>
  <si>
    <t>https://suumo.jp/chintai/jnc_000103500318/?bc=100477962034</t>
  </si>
  <si>
    <t>コンフォ－ト上高田</t>
  </si>
  <si>
    <t>https://suumo.jp/chintai/jnc_000103386540/?bc=100477128767</t>
  </si>
  <si>
    <t>コーポ金子</t>
  </si>
  <si>
    <t>https://suumo.jp/chintai/jnc_000104426250/?bc=100485684823</t>
  </si>
  <si>
    <t>サニーフィールド中野</t>
  </si>
  <si>
    <t>https://suumo.jp/chintai/jnc_000095814882/?bc=100417817969</t>
  </si>
  <si>
    <t>シダーハイツ</t>
  </si>
  <si>
    <t>https://suumo.jp/chintai/jnc_000104021459/?bc=100483929304</t>
  </si>
  <si>
    <t>シャレー薬師前</t>
  </si>
  <si>
    <t>https://suumo.jp/chintai/jnc_000102837172/?bc=100472987365</t>
  </si>
  <si>
    <t>シャンブル中野</t>
  </si>
  <si>
    <t>https://suumo.jp/chintai/jnc_000104156743/?bc=100483722890</t>
  </si>
  <si>
    <t>https://suumo.jp/chintai/jnc_000104399643/?bc=100485706455</t>
  </si>
  <si>
    <t>ジョイフル上高田</t>
  </si>
  <si>
    <t>https://suumo.jp/chintai/jnc_000102875077/?bc=100484172431</t>
  </si>
  <si>
    <t>https://suumo.jp/chintai/jnc_000088265412/?bc=100485819464</t>
  </si>
  <si>
    <t>スクエア新井薬師前</t>
  </si>
  <si>
    <t>https://suumo.jp/chintai/jnc_000104464938/?bc=100485933543</t>
  </si>
  <si>
    <t>https://suumo.jp/chintai/jnc_000085975830/?bc=100483816753</t>
  </si>
  <si>
    <t>ツインフォーラムウエスト</t>
  </si>
  <si>
    <t>https://suumo.jp/chintai/jnc_000050153721/?bc=100486093430</t>
  </si>
  <si>
    <t>デュオメゾン中野通り</t>
  </si>
  <si>
    <t>https://suumo.jp/chintai/jnc_000102023895/?bc=100467664490</t>
  </si>
  <si>
    <t>ドリーム中野</t>
  </si>
  <si>
    <t>https://suumo.jp/chintai/jnc_000104373062/?bc=100485145767</t>
  </si>
  <si>
    <t>ハイシティ中野</t>
  </si>
  <si>
    <t>https://suumo.jp/chintai/jnc_000104326794/?bc=100484786469</t>
  </si>
  <si>
    <t>ハイツシマザキ</t>
  </si>
  <si>
    <t>https://suumo.jp/chintai/jnc_000104368672/?bc=100485069252</t>
  </si>
  <si>
    <t>ハイツベルキャビン</t>
  </si>
  <si>
    <t>https://suumo.jp/chintai/jnc_000102572862/?bc=100480008660</t>
  </si>
  <si>
    <t>https://suumo.jp/chintai/jnc_000097985620/?bc=100408353980</t>
  </si>
  <si>
    <t>https://suumo.jp/chintai/jnc_000097985621/?bc=100477806159</t>
  </si>
  <si>
    <t>https://suumo.jp/chintai/jnc_000102914888/?bc=100398365331</t>
  </si>
  <si>
    <t>ハナサカス中野【女性専用】</t>
  </si>
  <si>
    <t>https://suumo.jp/chintai/jnc_000104357186/?bc=100485013444</t>
  </si>
  <si>
    <t>ハラスパジオ中野</t>
  </si>
  <si>
    <t>https://suumo.jp/chintai/jnc_000104207773/?bc=100483968392</t>
  </si>
  <si>
    <t>バードウィング上高田</t>
  </si>
  <si>
    <t>https://suumo.jp/chintai/jnc_000103798523/?bc=100481131061</t>
  </si>
  <si>
    <t>https://suumo.jp/chintai/jnc_000104132642/?bc=100483809148</t>
  </si>
  <si>
    <t>パレ・ドール中野</t>
  </si>
  <si>
    <t>https://suumo.jp/chintai/jnc_000104295988/?bc=100484764664</t>
  </si>
  <si>
    <t>パレ・ドール中野第２</t>
  </si>
  <si>
    <t>https://suumo.jp/chintai/jnc_000098609715/?bc=100481961374</t>
  </si>
  <si>
    <t>ファサードクロス</t>
  </si>
  <si>
    <t>https://suumo.jp/chintai/jnc_000103551230/?bc=100478804430</t>
  </si>
  <si>
    <t>ファーレ中野II</t>
  </si>
  <si>
    <t>https://suumo.jp/chintai/jnc_000104196465/?bc=100484083055</t>
  </si>
  <si>
    <t>フェリスステージ</t>
  </si>
  <si>
    <t>https://suumo.jp/chintai/jnc_000103717507/?bc=100480361909</t>
  </si>
  <si>
    <t>ブランシェ哲学堂通り</t>
  </si>
  <si>
    <t>https://suumo.jp/chintai/jnc_000103605596/?bc=100479225936</t>
  </si>
  <si>
    <t>プレール・ドゥーク中野上高田</t>
  </si>
  <si>
    <t>https://suumo.jp/chintai/jnc_000096533350/?bc=100485991761</t>
  </si>
  <si>
    <t>https://suumo.jp/chintai/jnc_000096533348/?bc=100405795919</t>
  </si>
  <si>
    <t>https://suumo.jp/chintai/jnc_000096533352/?bc=100418797587</t>
  </si>
  <si>
    <t>https://suumo.jp/chintai/jnc_000096533356/?bc=100450518637</t>
  </si>
  <si>
    <t>https://suumo.jp/chintai/jnc_000096533354/?bc=100486220301</t>
  </si>
  <si>
    <t>https://suumo.jp/chintai/jnc_000103837767/?bc=100480237260</t>
  </si>
  <si>
    <t>モンテローザ中野</t>
  </si>
  <si>
    <t>https://suumo.jp/chintai/jnc_000104464950/?bc=100485861664</t>
  </si>
  <si>
    <t>ライフピアフォルム</t>
  </si>
  <si>
    <t>https://suumo.jp/chintai/jnc_000104525886/?bc=100486296420</t>
  </si>
  <si>
    <t>ライフピア上高田</t>
  </si>
  <si>
    <t>https://suumo.jp/chintai/jnc_000073728757/?bc=100279784702</t>
  </si>
  <si>
    <t>ルミエールII</t>
  </si>
  <si>
    <t>https://suumo.jp/chintai/jnc_000104003962/?bc=100482136839</t>
  </si>
  <si>
    <t>レジデンス中野</t>
  </si>
  <si>
    <t>https://suumo.jp/chintai/jnc_000104015951/?bc=100483419657</t>
  </si>
  <si>
    <t>https://suumo.jp/chintai/jnc_000101241242/?bc=100345232451</t>
  </si>
  <si>
    <t>上高田ハイツ</t>
  </si>
  <si>
    <t>https://suumo.jp/chintai/jnc_000104063966/?bc=100482722539</t>
  </si>
  <si>
    <t>二葉荘</t>
  </si>
  <si>
    <t>https://suumo.jp/chintai/jnc_000100875965/?bc=100457511382</t>
  </si>
  <si>
    <t>本間荘</t>
  </si>
  <si>
    <t>https://suumo.jp/chintai/jnc_000051967169/?bc=100485617410</t>
  </si>
  <si>
    <t>松ヶ丘アーバンハイム</t>
  </si>
  <si>
    <t>https://suumo.jp/chintai/jnc_000062563427/?bc=100457511183</t>
  </si>
  <si>
    <t>森ハウス</t>
  </si>
  <si>
    <t>https://suumo.jp/chintai/jnc_000063736532/?bc=100456857666</t>
  </si>
  <si>
    <t>https://suumo.jp/chintai/jnc_000099954314/?bc=100447635257</t>
  </si>
  <si>
    <t>森岡ビル</t>
  </si>
  <si>
    <t>https://suumo.jp/chintai/jnc_000022759488/?bc=100467246299</t>
  </si>
  <si>
    <t>https://suumo.jp/chintai/jnc_000104357191/?bc=100454763974</t>
  </si>
  <si>
    <t>第２富士ビル</t>
  </si>
  <si>
    <t>https://suumo.jp/chintai/jnc_000101487465/?bc=100456228491</t>
  </si>
  <si>
    <t>美樹ハウス</t>
  </si>
  <si>
    <t>https://suumo.jp/chintai/jnc_000077404073/?bc=100482292305</t>
  </si>
  <si>
    <t>西武新宿線 新井薬師前駅 2階建 築10年</t>
  </si>
  <si>
    <t>https://suumo.jp/chintai/jnc_000102998268/?bc=100477079030</t>
  </si>
  <si>
    <t>https://suumo.jp/chintai/jnc_000104186918/?bc=100483901205</t>
  </si>
  <si>
    <t>西武新宿線 新井薬師前駅 2階建 築12年</t>
  </si>
  <si>
    <t>https://suumo.jp/chintai/jnc_000067280405/?bc=100479500139</t>
  </si>
  <si>
    <t>https://suumo.jp/chintai/jnc_000097985623/?bc=100481242193</t>
  </si>
  <si>
    <t>https://suumo.jp/chintai/jnc_000091780962/?bc=100436120262</t>
  </si>
  <si>
    <t>西武新宿線 新井薬師前駅 2階建 築39年</t>
  </si>
  <si>
    <t>https://suumo.jp/chintai/jnc_000102869758/?bc=100473971392</t>
  </si>
  <si>
    <t>西武新宿線 新井薬師前駅 2階建 築41年</t>
  </si>
  <si>
    <t>https://suumo.jp/chintai/jnc_000104126133/?bc=100483151010</t>
  </si>
  <si>
    <t>https://suumo.jp/chintai/jnc_000104196464/?bc=100483728649</t>
  </si>
  <si>
    <t>https://suumo.jp/chintai/jnc_000104363629/?bc=100477029682</t>
  </si>
  <si>
    <t>西武新宿線 新井薬師前駅 2階建 築47年</t>
  </si>
  <si>
    <t>https://suumo.jp/chintai/jnc_000102998252/?bc=100473970354</t>
  </si>
  <si>
    <t>https://suumo.jp/chintai/jnc_000063680152/?bc=100473970345</t>
  </si>
  <si>
    <t>https://suumo.jp/chintai/jnc_000063680151/?bc=100473971864</t>
  </si>
  <si>
    <t>https://suumo.jp/chintai/jnc_000066043194/?bc=100473972470</t>
  </si>
  <si>
    <t>西武新宿線 新井薬師前駅 2階建 築67年</t>
  </si>
  <si>
    <t>https://suumo.jp/chintai/jnc_000093087293/?bc=100392073980</t>
  </si>
  <si>
    <t>西武新宿線 新井薬師前駅 2階建 築70年</t>
  </si>
  <si>
    <t>https://suumo.jp/chintai/jnc_000104532507/?bc=100486336325</t>
  </si>
  <si>
    <t>西武新宿線 新井薬師前駅 3階建 築23年</t>
  </si>
  <si>
    <t>https://suumo.jp/chintai/jnc_000104399644/?bc=100484946339</t>
  </si>
  <si>
    <t>西武新宿線 新井薬師前駅 3階建 築25年</t>
  </si>
  <si>
    <t>https://suumo.jp/chintai/jnc_000104215451/?bc=100477552055</t>
  </si>
  <si>
    <t>西武新宿線 新井薬師前駅 3階建 築35年</t>
  </si>
  <si>
    <t>https://suumo.jp/chintai/jnc_000068255805/?bc=100486003372</t>
  </si>
  <si>
    <t>西武新宿線 新井薬師前駅 3階建 築40年</t>
  </si>
  <si>
    <t>https://suumo.jp/chintai/jnc_000104286384/?bc=100484425312</t>
  </si>
  <si>
    <t>西武新宿線 新井薬師前駅 3階建 築41年</t>
  </si>
  <si>
    <t>https://suumo.jp/chintai/jnc_000103542478/?bc=100478518623</t>
  </si>
  <si>
    <t>西武新宿線 新井薬師前駅 3階建 築6年</t>
  </si>
  <si>
    <t>https://suumo.jp/chintai/jnc_000050424351/?bc=100485418243</t>
  </si>
  <si>
    <t>https://suumo.jp/chintai/jnc_000103558025/?bc=100478518660</t>
  </si>
  <si>
    <t>西武新宿線 新井薬師前駅 4階建 築10年</t>
  </si>
  <si>
    <t>https://suumo.jp/chintai/jnc_000101402703/?bc=100476601809</t>
  </si>
  <si>
    <t>https://suumo.jp/chintai/jnc_000103619499/?bc=100479877708</t>
  </si>
  <si>
    <t>https://suumo.jp/chintai/jnc_000103111338/?bc=100475043413</t>
  </si>
  <si>
    <t>https://suumo.jp/chintai/jnc_000104304020/?bc=100484588915</t>
  </si>
  <si>
    <t>https://suumo.jp/chintai/jnc_000096557151/?bc=100484466102</t>
  </si>
  <si>
    <t>https://suumo.jp/chintai/jnc_000103111339/?bc=100475043415</t>
  </si>
  <si>
    <t>https://suumo.jp/chintai/jnc_000104482945/?bc=100473971261</t>
  </si>
  <si>
    <t>西武新宿線 新井薬師前駅 4階建 築40年</t>
  </si>
  <si>
    <t>https://suumo.jp/chintai/jnc_000104541568/?bc=100477937910</t>
  </si>
  <si>
    <t>https://suumo.jp/chintai/jnc_000089064023/?bc=100477337430</t>
  </si>
  <si>
    <t>https://suumo.jp/chintai/jnc_000104417242/?bc=100485581101</t>
  </si>
  <si>
    <t>西武新宿線 新井薬師前駅 4階建 築7年</t>
  </si>
  <si>
    <t>https://suumo.jp/chintai/jnc_000104474366/?bc=100485954952</t>
  </si>
  <si>
    <t>西武新宿線 新井薬師前駅 4階建 築9年</t>
  </si>
  <si>
    <t>https://suumo.jp/chintai/jnc_000078089239/?bc=100474186491</t>
  </si>
  <si>
    <t>西武新宿線 新井薬師前駅 5階建 築35年</t>
  </si>
  <si>
    <t>https://suumo.jp/chintai/jnc_000104280465/?bc=100467084206</t>
  </si>
  <si>
    <t>西武新宿線 新井薬師前駅 5階建 築8年</t>
  </si>
  <si>
    <t>https://suumo.jp/chintai/jnc_000104280466/?bc=100479430968</t>
  </si>
  <si>
    <t>https://suumo.jp/chintai/jnc_000104202908/?bc=100483775526</t>
  </si>
  <si>
    <t>西武新宿線 新井薬師前駅 6階建 築42年</t>
  </si>
  <si>
    <t>https://suumo.jp/chintai/jnc_000102998263/?bc=100481241765</t>
  </si>
  <si>
    <t>西武新宿線 新井薬師前駅 9階建 築10年</t>
  </si>
  <si>
    <t>https://suumo.jp/chintai/jnc_000102213041/?bc=100470036246</t>
  </si>
  <si>
    <t>https://suumo.jp/chintai/jnc_000103833571/?bc=100485065480</t>
  </si>
  <si>
    <t>西武新宿線 新井薬師前駅 9階建 築4年</t>
  </si>
  <si>
    <t>https://suumo.jp/chintai/jnc_000104304016/?bc=100485268570</t>
  </si>
  <si>
    <t>西武新宿線 新井薬師前駅 地下1地上4階建 築5年</t>
  </si>
  <si>
    <t>https://suumo.jp/chintai/jnc_000104474411/?bc=100485985075</t>
  </si>
  <si>
    <t>西武新宿線 新井薬師前駅 地下1地上7階建 築29年</t>
  </si>
  <si>
    <t>https://suumo.jp/chintai/jnc_000049274284/?bc=100459001101</t>
  </si>
  <si>
    <t>赤羽根荘</t>
  </si>
  <si>
    <t>https://suumo.jp/chintai/jnc_000097397262/?bc=100417494675</t>
  </si>
  <si>
    <t>青木アパートメント</t>
  </si>
  <si>
    <t>https://suumo.jp/chintai/jnc_000093087292/?bc=100405715016</t>
  </si>
  <si>
    <t>鶴岡荘</t>
  </si>
  <si>
    <t>https://suumo.jp/chintai/jnc_000104541563/?bc=100486396930</t>
  </si>
  <si>
    <t>Ｂｅｌｌｅ　Ｌｅａｄ　ＳＧ</t>
  </si>
  <si>
    <t>https://suumo.jp/chintai/jnc_000102232464/?bc=100468090427</t>
  </si>
  <si>
    <t>ＣＲＥＡＴＩＦ中野</t>
  </si>
  <si>
    <t>https://suumo.jp/chintai/jnc_000103436061/?bc=100477782275</t>
  </si>
  <si>
    <t>https://suumo.jp/chintai/jnc_000104126127/?bc=100483397481</t>
  </si>
  <si>
    <t>https://suumo.jp/chintai/jnc_000104406889/?bc=100485461851</t>
  </si>
  <si>
    <t>ＦＡＲＥ中野VI</t>
  </si>
  <si>
    <t>https://suumo.jp/chintai/jnc_000104426245/?bc=100485535804</t>
  </si>
  <si>
    <t>https://suumo.jp/chintai/jnc_000104392256/?bc=100426987957</t>
  </si>
  <si>
    <t>https://suumo.jp/chintai/jnc_000037655656/?bc=100483071370</t>
  </si>
  <si>
    <t>ＪＲ中央線 中野駅 2階建 築44年</t>
  </si>
  <si>
    <t>https://suumo.jp/chintai/jnc_000104348329/?bc=100480719565</t>
  </si>
  <si>
    <t>ＪＲ中央線 中野駅 2階建 築51年</t>
  </si>
  <si>
    <t>https://suumo.jp/chintai/jnc_000047634852/?bc=100477750776</t>
  </si>
  <si>
    <t>https://suumo.jp/chintai/jnc_000102155054/?bc=100477121278</t>
  </si>
  <si>
    <t>https://suumo.jp/chintai/jnc_000103804707/?bc=100480934766</t>
  </si>
  <si>
    <t>https://suumo.jp/chintai/jnc_000102238883/?bc=100480750836</t>
  </si>
  <si>
    <t>ＪＲ中央線 中野駅 9階建 築3年</t>
  </si>
  <si>
    <t>https://suumo.jp/chintai/jnc_000103440539/?bc=100477725917</t>
  </si>
  <si>
    <t>https://suumo.jp/chintai/jnc_000104117671/?bc=100483353317</t>
  </si>
  <si>
    <t>https://suumo.jp/chintai/jnc_000103546918/?bc=100479385332</t>
  </si>
  <si>
    <t>ＬＨ　ＮＡＫＡＮＯ</t>
  </si>
  <si>
    <t>https://suumo.jp/chintai/jnc_000028626930/?bc=100482159621</t>
  </si>
  <si>
    <t>ＬＵＯＲＥ新井薬師</t>
  </si>
  <si>
    <t>https://suumo.jp/chintai/jnc_000104163302/?bc=100483411976</t>
  </si>
  <si>
    <t>Ｒｙｏｃｏｈ　Ｒｅｓｉｄｅｎｃｅ　I</t>
  </si>
  <si>
    <t>https://suumo.jp/chintai/jnc_000102627512/?bc=100396725275</t>
  </si>
  <si>
    <t>https://suumo.jp/chintai/jnc_000103103328/?bc=100425615625</t>
  </si>
  <si>
    <t>https://suumo.jp/chintai/jnc_000020672093/?bc=100476417788</t>
  </si>
  <si>
    <t>ＴＯＭＡＴＯ　ＶＩＬＬＡＧＥ</t>
  </si>
  <si>
    <t>https://suumo.jp/chintai/jnc_000103883934/?bc=100481335325</t>
  </si>
  <si>
    <t>https://suumo.jp/chintai/jnc_000102971524/?bc=100478049465</t>
  </si>
  <si>
    <t>https://suumo.jp/chintai/jnc_000100545718/?bc=100455412245</t>
  </si>
  <si>
    <t>https://suumo.jp/chintai/jnc_000102563657/?bc=100470728574</t>
  </si>
  <si>
    <t>https://suumo.jp/chintai/jnc_000100545721/?bc=100455402735</t>
  </si>
  <si>
    <t>https://suumo.jp/chintai/jnc_000100545722/?bc=100455412206</t>
  </si>
  <si>
    <t>https://suumo.jp/chintai/jnc_000100545730/?bc=100455395872</t>
  </si>
  <si>
    <t>https://suumo.jp/chintai/jnc_000103960417/?bc=100348534678</t>
  </si>
  <si>
    <t>https://suumo.jp/chintai/jnc_000102747040/?bc=100472099991</t>
  </si>
  <si>
    <t>https://suumo.jp/chintai/jnc_000100802067/?bc=100480752713</t>
  </si>
  <si>
    <t>https://suumo.jp/chintai/jnc_000102580888/?bc=100480752712</t>
  </si>
  <si>
    <t>https://suumo.jp/chintai/jnc_000100757874/?bc=100473970964</t>
  </si>
  <si>
    <t>https://suumo.jp/chintai/jnc_000100757875/?bc=100466963107</t>
  </si>
  <si>
    <t>https://suumo.jp/chintai/jnc_000100802070/?bc=100466963073</t>
  </si>
  <si>
    <t>https://suumo.jp/chintai/jnc_000103536653/?bc=100478445786</t>
  </si>
  <si>
    <t>Lilac Roller 新井薬師</t>
  </si>
  <si>
    <t>https://suumo.jp/chintai/jnc_000102755810/?bc=100479478842</t>
  </si>
  <si>
    <t>https://suumo.jp/chintai/jnc_000102755809/?bc=100476144578</t>
  </si>
  <si>
    <t>https://suumo.jp/chintai/jnc_000103231662/?bc=100484527717</t>
  </si>
  <si>
    <t>https://suumo.jp/chintai/jnc_000104286382/?bc=100484469390</t>
  </si>
  <si>
    <t>ウェンゲン上高田</t>
  </si>
  <si>
    <t>https://suumo.jp/chintai/jnc_000104015696/?bc=100482197466</t>
  </si>
  <si>
    <t>コ-ト355</t>
  </si>
  <si>
    <t>https://suumo.jp/chintai/jnc_000101864565/?bc=100484279798</t>
  </si>
  <si>
    <t>シュロス中野</t>
  </si>
  <si>
    <t>https://suumo.jp/chintai/jnc_000104406902/?bc=100485406842</t>
  </si>
  <si>
    <t>https://suumo.jp/chintai/jnc_000104499487/?bc=100486088134</t>
  </si>
  <si>
    <t>スペースN</t>
  </si>
  <si>
    <t>https://suumo.jp/chintai/jnc_000104126171/?bc=100483173418</t>
  </si>
  <si>
    <t>パシフィック哲学堂マンション</t>
  </si>
  <si>
    <t>https://suumo.jp/chintai/jnc_000104357201/?bc=100485358693</t>
  </si>
  <si>
    <t>パークヒルズ中野</t>
  </si>
  <si>
    <t>https://suumo.jp/chintai/jnc_000104532478/?bc=100486297182</t>
  </si>
  <si>
    <t>マンション宍戸</t>
  </si>
  <si>
    <t>https://suumo.jp/chintai/jnc_000103611130/?bc=100481210940</t>
  </si>
  <si>
    <t>https://suumo.jp/chintai/jnc_000104510082/?bc=100486129351</t>
  </si>
  <si>
    <t>ミニヨン</t>
  </si>
  <si>
    <t>https://suumo.jp/chintai/jnc_000100746009/?bc=100432037296</t>
  </si>
  <si>
    <t>ルネマツトシ</t>
  </si>
  <si>
    <t>https://suumo.jp/chintai/jnc_000081616545/?bc=100435357529</t>
  </si>
  <si>
    <t>https://suumo.jp/chintai/jnc_000100746010/?bc=100432037297</t>
  </si>
  <si>
    <t>https://suumo.jp/chintai/jnc_000104050080/?bc=100482522083</t>
  </si>
  <si>
    <t>ワイズボックス</t>
  </si>
  <si>
    <t>https://suumo.jp/chintai/jnc_000099144898/?bc=100442003229</t>
  </si>
  <si>
    <t>上高田４丁目団地2号棟</t>
  </si>
  <si>
    <t>https://suumo.jp/chintai/jnc_000081616546/?bc=100452057416</t>
  </si>
  <si>
    <t>西武新宿線 新井薬師前駅 2階建 築34年</t>
  </si>
  <si>
    <t>https://suumo.jp/chintai/jnc_000103969588/?bc=100473392772</t>
  </si>
  <si>
    <t>西武新宿線 新井薬師前駅 3階建 築26年</t>
  </si>
  <si>
    <t>https://suumo.jp/chintai/jnc_000102296279/?bc=100484246094</t>
  </si>
  <si>
    <t>西武新宿線 新井薬師前駅 3階建 築31年</t>
  </si>
  <si>
    <t>https://suumo.jp/chintai/jnc_000103551241/?bc=100484745712</t>
  </si>
  <si>
    <t>https://suumo.jp/chintai/jnc_000104357207/?bc=100484972666</t>
  </si>
  <si>
    <t>西武新宿線 新井薬師前駅 3階建 築43年</t>
  </si>
  <si>
    <t>https://suumo.jp/chintai/jnc_000102854372/?bc=100472954414</t>
  </si>
  <si>
    <t>都営大江戸線 新江古田駅 4階建 築38年</t>
  </si>
  <si>
    <t>東京都中野区江古田２</t>
  </si>
  <si>
    <t>https://suumo.jp/chintai/jnc_000102417602/?bc=100469304253</t>
  </si>
  <si>
    <t>Ｂｒａｎｃｈｅ中野哲学堂</t>
  </si>
  <si>
    <t>https://suumo.jp/chintai/jnc_000103969585/?bc=100484887463</t>
  </si>
  <si>
    <t>ＪＲ中央線 中野駅 3階建 築35年</t>
  </si>
  <si>
    <t>https://suumo.jp/chintai/jnc_000102732894/?bc=100472273815</t>
  </si>
  <si>
    <t>https://suumo.jp/chintai/jnc_000102771886/?bc=100472509126</t>
  </si>
  <si>
    <t>https://suumo.jp/chintai/jnc_000102771885/?bc=100472509127</t>
  </si>
  <si>
    <t>https://suumo.jp/chintai/jnc_000103161974/?bc=100478328934</t>
  </si>
  <si>
    <t>ＪＲ総武線 中野駅 6階建 築40年</t>
  </si>
  <si>
    <t>https://suumo.jp/chintai/jnc_000104335103/?bc=100484239087</t>
  </si>
  <si>
    <t>https://suumo.jp/chintai/jnc_000103558029/?bc=100484787566</t>
  </si>
  <si>
    <t>https://suumo.jp/chintai/jnc_000103994748/?bc=100482137006</t>
  </si>
  <si>
    <t>片岡ビル</t>
  </si>
  <si>
    <t>https://suumo.jp/chintai/jnc_000101784002/?bc=100467108895</t>
  </si>
  <si>
    <t>https://suumo.jp/chintai/jnc_000104482303/?bc=100485994199</t>
  </si>
  <si>
    <t>西武新宿線 新井薬師前駅 2階建 築52年</t>
  </si>
  <si>
    <t>https://suumo.jp/chintai/jnc_000104286383/?bc=100484377161</t>
  </si>
  <si>
    <t>https://suumo.jp/chintai/jnc_000103447934/?bc=100483269995</t>
  </si>
  <si>
    <t>西武新宿線 新井薬師前駅 4階建 築39年</t>
  </si>
  <si>
    <t>https://suumo.jp/chintai/jnc_000097528956/?bc=100483151015</t>
  </si>
  <si>
    <t>ＮＨレジデンス中野</t>
  </si>
  <si>
    <t>https://suumo.jp/chintai/jnc_000101513112/?bc=100460063749</t>
  </si>
  <si>
    <t>Latierra（ラティエラ）中野新井</t>
  </si>
  <si>
    <t>https://suumo.jp/chintai/jnc_000101329947/?bc=100458640521</t>
  </si>
  <si>
    <t>https://suumo.jp/chintai/jnc_000102971523/?bc=100476144939</t>
  </si>
  <si>
    <t>https://suumo.jp/chintai/jnc_000102966888/?bc=100478049466</t>
  </si>
  <si>
    <t>https://suumo.jp/chintai/jnc_000102979647/?bc=100476144834</t>
  </si>
  <si>
    <t>https://suumo.jp/chintai/jnc_000102755808/?bc=100476145217</t>
  </si>
  <si>
    <t>https://suumo.jp/chintai/jnc_000103205284/?bc=100485394570</t>
  </si>
  <si>
    <t>https://suumo.jp/chintai/jnc_000104531835/?bc=100486356401</t>
  </si>
  <si>
    <t>エスポワール</t>
  </si>
  <si>
    <t>https://suumo.jp/chintai/jnc_000103929305/?bc=100481560732</t>
  </si>
  <si>
    <t>カーサピアッツァ中野松が丘</t>
  </si>
  <si>
    <t>https://suumo.jp/chintai/jnc_000103929307/?bc=100483113849</t>
  </si>
  <si>
    <t>https://suumo.jp/chintai/jnc_000103929308/?bc=100483133863</t>
  </si>
  <si>
    <t>https://suumo.jp/chintai/jnc_000103929310/?bc=100483133814</t>
  </si>
  <si>
    <t>https://suumo.jp/chintai/jnc_000103929311/?bc=100484349714</t>
  </si>
  <si>
    <t>https://suumo.jp/chintai/jnc_000103929313/?bc=100482918647</t>
  </si>
  <si>
    <t>https://suumo.jp/chintai/jnc_000104223015/?bc=100483929782</t>
  </si>
  <si>
    <t>グリーンパーク　松が丘</t>
  </si>
  <si>
    <t>https://suumo.jp/chintai/jnc_000103811853/?bc=100485890811</t>
  </si>
  <si>
    <t>ミハス中野新井薬師II</t>
  </si>
  <si>
    <t>https://suumo.jp/chintai/jnc_000102663960/?bc=100486003867</t>
  </si>
  <si>
    <t>https://suumo.jp/chintai/jnc_000104549004/?bc=100422127526</t>
  </si>
  <si>
    <t>ミハス中野新井薬師III</t>
  </si>
  <si>
    <t>https://suumo.jp/chintai/jnc_000102637984/?bc=100471341124</t>
  </si>
  <si>
    <t>メゾンアイ</t>
  </si>
  <si>
    <t>https://suumo.jp/chintai/jnc_000100545727/?bc=100456045126</t>
  </si>
  <si>
    <t>https://suumo.jp/chintai/jnc_000104491991/?bc=100486373920</t>
  </si>
  <si>
    <t>https://suumo.jp/chintai/jnc_000104491996/?bc=100486392100</t>
  </si>
  <si>
    <t>https://suumo.jp/chintai/jnc_000103730490/?bc=100480371762</t>
  </si>
  <si>
    <t>https://suumo.jp/chintai/jnc_000103730491/?bc=100482931986</t>
  </si>
  <si>
    <t>https://suumo.jp/chintai/jnc_000103814795/?bc=100480743635</t>
  </si>
  <si>
    <t>仮称）上高田２丁目メゾン</t>
  </si>
  <si>
    <t>https://suumo.jp/chintai/jnc_000104215479/?bc=100485826891</t>
  </si>
  <si>
    <t>西武新宿線 新井薬師前駅 3階建 築13年</t>
  </si>
  <si>
    <t>https://suumo.jp/chintai/jnc_000102672599/?bc=100485891625</t>
  </si>
  <si>
    <t>西武新宿線 新井薬師前駅 3階建 築4年</t>
  </si>
  <si>
    <t>https://suumo.jp/chintai/jnc_000104055252/?bc=100483268309</t>
  </si>
  <si>
    <t>https://suumo.jp/chintai/jnc_000104044402/?bc=100485045735</t>
  </si>
  <si>
    <t>https://suumo.jp/chintai/jnc_000104055253/?bc=100483268268</t>
  </si>
  <si>
    <t>https://suumo.jp/chintai/jnc_000104055254/?bc=100483268306</t>
  </si>
  <si>
    <t>https://suumo.jp/chintai/jnc_000104055256/?bc=100483489904</t>
  </si>
  <si>
    <t>https://suumo.jp/chintai/jnc_000104117682/?bc=100483115741</t>
  </si>
  <si>
    <t>https://suumo.jp/chintai/jnc_000101147194/?bc=100465659665</t>
  </si>
  <si>
    <t>https://suumo.jp/chintai/jnc_000103231729/?bc=100476309650</t>
  </si>
  <si>
    <t>https://suumo.jp/chintai/jnc_000102663959/?bc=100471568467</t>
  </si>
  <si>
    <t>https://suumo.jp/chintai/jnc_000102747039/?bc=100486113028</t>
  </si>
  <si>
    <t>https://suumo.jp/chintai/jnc_000102732893/?bc=100472273792</t>
  </si>
  <si>
    <t>https://suumo.jp/chintai/jnc_000102771884/?bc=100472509128</t>
  </si>
  <si>
    <t>https://suumo.jp/chintai/jnc_000103223480/?bc=100486113032</t>
  </si>
  <si>
    <t>https://suumo.jp/chintai/jnc_000100757877/?bc=100473971692</t>
  </si>
  <si>
    <t>https://suumo.jp/chintai/jnc_000100757879/?bc=100473970437</t>
  </si>
  <si>
    <t>https://suumo.jp/chintai/jnc_000104499481/?bc=100486113025</t>
  </si>
  <si>
    <t>https://suumo.jp/chintai/jnc_000104499486/?bc=100486113022</t>
  </si>
  <si>
    <t>https://suumo.jp/chintai/jnc_000103735157/?bc=100480785633</t>
  </si>
  <si>
    <t>https://suumo.jp/chintai/jnc_000103735158/?bc=100482387170</t>
  </si>
  <si>
    <t>https://suumo.jp/chintai/jnc_000100802081/?bc=100473970931</t>
  </si>
  <si>
    <t>https://suumo.jp/chintai/jnc_000104082037/?bc=100471338411</t>
  </si>
  <si>
    <t>Ｎａｎａｌａ（ナナラ）</t>
  </si>
  <si>
    <t>https://suumo.jp/chintai/jnc_000104082038/?bc=100468252764</t>
  </si>
  <si>
    <t>https://suumo.jp/chintai/jnc_000102971520/?bc=100474006794</t>
  </si>
  <si>
    <t>パステル中野</t>
  </si>
  <si>
    <t>https://suumo.jp/chintai/jnc_000100545735/?bc=100455361349</t>
  </si>
  <si>
    <t>https://suumo.jp/chintai/jnc_000100545736/?bc=100455361360</t>
  </si>
  <si>
    <t>https://suumo.jp/chintai/jnc_000100545742/?bc=100455402780</t>
  </si>
  <si>
    <t>https://suumo.jp/chintai/jnc_000102547832/?bc=100470560762</t>
  </si>
  <si>
    <t>中野区上高田二丁目</t>
  </si>
  <si>
    <t>https://suumo.jp/chintai/jnc_000104541562/?bc=100485013574</t>
  </si>
  <si>
    <t>野村Ｖビル</t>
  </si>
  <si>
    <t>https://suumo.jp/chintai/jnc_000092881825/?bc=100476780053</t>
  </si>
  <si>
    <t>ナカムラビル</t>
  </si>
  <si>
    <t>https://suumo.jp/chintai/jnc_000099041047/?bc=100441048571</t>
  </si>
  <si>
    <t>Celestia（セレスティア）松が丘</t>
  </si>
  <si>
    <t>https://suumo.jp/chintai/jnc_000099363909/?bc=100419488910</t>
  </si>
  <si>
    <t>Destiny</t>
  </si>
  <si>
    <t>https://suumo.jp/chintai/jnc_000100284034/?bc=100450053258</t>
  </si>
  <si>
    <t>https://suumo.jp/chintai/jnc_000104317185/?bc=100482680261</t>
  </si>
  <si>
    <t>K氏邸</t>
  </si>
  <si>
    <t>https://suumo.jp/chintai/jnc_000103929303/?bc=100485933686</t>
  </si>
  <si>
    <t>https://suumo.jp/chintai/jnc_000101329949/?bc=100477396460</t>
  </si>
  <si>
    <t>スカイプラザ中野</t>
  </si>
  <si>
    <t>https://suumo.jp/chintai/jnc_000098502258/?bc=100412212411</t>
  </si>
  <si>
    <t>セレスティア松が丘</t>
  </si>
  <si>
    <t>https://suumo.jp/chintai/jnc_000098502257/?bc=100430070496</t>
  </si>
  <si>
    <t>https://suumo.jp/chintai/jnc_000098502260/?bc=100443645716</t>
  </si>
  <si>
    <t>https://suumo.jp/chintai/jnc_000100311617/?bc=100450283229</t>
  </si>
  <si>
    <t>デスティニー</t>
  </si>
  <si>
    <t>https://suumo.jp/chintai/jnc_000100311618/?bc=100450291668</t>
  </si>
  <si>
    <t>https://suumo.jp/chintai/jnc_000100104369/?bc=100433082007</t>
  </si>
  <si>
    <t>上高田戸建</t>
  </si>
  <si>
    <t>https://suumo.jp/chintai/jnc_000100111327/?bc=100442773663</t>
  </si>
  <si>
    <t>https://suumo.jp/chintai/jnc_000103814794/?bc=100480743636</t>
  </si>
  <si>
    <t>https://suumo.jp/chintai/jnc_000103254749/?bc=100467303282</t>
  </si>
  <si>
    <t>藤和シティホームズ新井薬師前</t>
  </si>
  <si>
    <t>https://suumo.jp/chintai/jnc_000104044401/?bc=100483435135</t>
  </si>
  <si>
    <t>https://suumo.jp/chintai/jnc_000101338142/?bc=100481243406</t>
  </si>
  <si>
    <t>https://suumo.jp/chintai/jnc_000103346705/?bc=100485658280</t>
  </si>
  <si>
    <t>ＪＲ中央線 中野駅 地上2階建 新築</t>
  </si>
  <si>
    <t>https://suumo.jp/chintai/jnc_000100692009/?bc=100481316430</t>
  </si>
  <si>
    <t>TKビル</t>
  </si>
  <si>
    <t>https://suumo.jp/chintai/jnc_000102993422/?bc=100478951151</t>
  </si>
  <si>
    <t>ＪＲ総武線 中野駅 4階建 築34年</t>
  </si>
  <si>
    <t>https://suumo.jp/chintai/jnc_000103571148/?bc=100478688353</t>
  </si>
  <si>
    <t>T’s garden中野新井薬師前</t>
  </si>
  <si>
    <t>https://suumo.jp/chintai/jnc_000103581791/?bc=100478844141</t>
  </si>
  <si>
    <t>西武新宿線 新井薬師前駅 3階建 築32年</t>
  </si>
  <si>
    <t>https://suumo.jp/chintai/jnc_000100821985/?bc=100458952242</t>
  </si>
  <si>
    <t>Alivis新江古田</t>
  </si>
  <si>
    <t>東京都中野区江原町１</t>
  </si>
  <si>
    <t>新江古田駅</t>
  </si>
  <si>
    <t>https://suumo.jp/chintai/jnc_000103481420/?bc=100454551191</t>
  </si>
  <si>
    <t>https://suumo.jp/chintai/jnc_000100813714/?bc=100458952250</t>
  </si>
  <si>
    <t>https://suumo.jp/chintai/jnc_000103481418/?bc=100454551178</t>
  </si>
  <si>
    <t>https://suumo.jp/chintai/jnc_000100813721/?bc=100470617102</t>
  </si>
  <si>
    <t>https://suumo.jp/chintai/jnc_000103481427/?bc=100474512779</t>
  </si>
  <si>
    <t>https://suumo.jp/chintai/jnc_000100813723/?bc=100458952260</t>
  </si>
  <si>
    <t>https://suumo.jp/chintai/jnc_000103481429/?bc=100458682615</t>
  </si>
  <si>
    <t>https://suumo.jp/chintai/jnc_000103481425/?bc=100458534503</t>
  </si>
  <si>
    <t>https://suumo.jp/chintai/jnc_000100813722/?bc=100470617104</t>
  </si>
  <si>
    <t>https://suumo.jp/chintai/jnc_000103481428/?bc=100457511603</t>
  </si>
  <si>
    <t>https://suumo.jp/chintai/jnc_000103217918/?bc=100475180579</t>
  </si>
  <si>
    <t>https://suumo.jp/chintai/jnc_000100813720/?bc=100475181339</t>
  </si>
  <si>
    <t>https://suumo.jp/chintai/jnc_000103481426/?bc=100468224242</t>
  </si>
  <si>
    <t>https://suumo.jp/chintai/jnc_000103542477/?bc=100458952237</t>
  </si>
  <si>
    <t>https://suumo.jp/chintai/jnc_000100867704/?bc=100470617076</t>
  </si>
  <si>
    <t>https://suumo.jp/chintai/jnc_000103481439/?bc=100458948944</t>
  </si>
  <si>
    <t>https://suumo.jp/chintai/jnc_000100813732/?bc=100475181038</t>
  </si>
  <si>
    <t>https://suumo.jp/chintai/jnc_000103481437/?bc=100485937116</t>
  </si>
  <si>
    <t>https://suumo.jp/chintai/jnc_000103481438/?bc=100458534508</t>
  </si>
  <si>
    <t>https://suumo.jp/chintai/jnc_000104202911/?bc=100483779472</t>
  </si>
  <si>
    <t>https://suumo.jp/chintai/jnc_000100813724/?bc=100470617120</t>
  </si>
  <si>
    <t>https://suumo.jp/chintai/jnc_000103084157/?bc=100475181243</t>
  </si>
  <si>
    <t>https://suumo.jp/chintai/jnc_000103730492/?bc=100480101618</t>
  </si>
  <si>
    <t>LUONTO　HILLS</t>
  </si>
  <si>
    <t>https://suumo.jp/chintai/jnc_000103487522/?bc=100477874770</t>
  </si>
  <si>
    <t>https://suumo.jp/chintai/jnc_000103730494/?bc=100480101621</t>
  </si>
  <si>
    <t>https://suumo.jp/chintai/jnc_000103730495/?bc=100480101620</t>
  </si>
  <si>
    <t>https://suumo.jp/chintai/jnc_000103730496/?bc=100480101623</t>
  </si>
  <si>
    <t>https://suumo.jp/chintai/jnc_000103730497/?bc=100480101629</t>
  </si>
  <si>
    <t>https://suumo.jp/chintai/jnc_000103487525/?bc=100477874775</t>
  </si>
  <si>
    <t>https://suumo.jp/chintai/jnc_000103663171/?bc=100364876586</t>
  </si>
  <si>
    <t>e-net哲学堂</t>
  </si>
  <si>
    <t>https://suumo.jp/chintai/jnc_000103403292/?bc=100477227996</t>
  </si>
  <si>
    <t>アクサス中野新江古田</t>
  </si>
  <si>
    <t>https://suumo.jp/chintai/jnc_000058740942/?bc=100477951755</t>
  </si>
  <si>
    <t>クリスタルコート新江古田</t>
  </si>
  <si>
    <t>https://suumo.jp/chintai/jnc_000055670382/?bc=100474816987</t>
  </si>
  <si>
    <t>グラントウルース中野江原町</t>
  </si>
  <si>
    <t>https://suumo.jp/chintai/jnc_000104348319/?bc=100485362510</t>
  </si>
  <si>
    <t>シャトレ新江古田</t>
  </si>
  <si>
    <t>https://suumo.jp/chintai/jnc_000103465734/?bc=100479384899</t>
  </si>
  <si>
    <t>リブタス中野江原町</t>
  </si>
  <si>
    <t>https://suumo.jp/chintai/jnc_000103465735/?bc=100478518888</t>
  </si>
  <si>
    <t>https://suumo.jp/chintai/jnc_000103856741/?bc=100481613626</t>
  </si>
  <si>
    <t>レオパレスネオライフ江古田</t>
  </si>
  <si>
    <t>https://suumo.jp/chintai/jnc_000104211529/?bc=100484314882</t>
  </si>
  <si>
    <t>https://suumo.jp/chintai/jnc_000104280460/?bc=100484381250</t>
  </si>
  <si>
    <t>レオパレスネオライフ江古田II</t>
  </si>
  <si>
    <t>https://suumo.jp/chintai/jnc_000102206011/?bc=100475923033</t>
  </si>
  <si>
    <t>レオパレスＳＨＩＮＷＡ</t>
  </si>
  <si>
    <t>https://suumo.jp/chintai/jnc_000103487526/?bc=100478492393</t>
  </si>
  <si>
    <t>https://suumo.jp/chintai/jnc_000104280461/?bc=100484382747</t>
  </si>
  <si>
    <t>都営大江戸線 新江古田駅 2階建 築14年</t>
  </si>
  <si>
    <t>https://suumo.jp/chintai/jnc_000102280405/?bc=100483119343</t>
  </si>
  <si>
    <t>都営大江戸線 新江古田駅 2階建 築17年</t>
  </si>
  <si>
    <t>https://suumo.jp/chintai/jnc_000103500316/?bc=100477974103</t>
  </si>
  <si>
    <t>https://suumo.jp/chintai/jnc_000103454461/?bc=100478357684</t>
  </si>
  <si>
    <t>都営大江戸線 新江古田駅 2階建 築5年</t>
  </si>
  <si>
    <t>https://suumo.jp/chintai/jnc_000103465736/?bc=100478518681</t>
  </si>
  <si>
    <t>https://suumo.jp/chintai/jnc_000100975531/?bc=100476020431</t>
  </si>
  <si>
    <t>都営大江戸線 新江古田駅 3階建 新築</t>
  </si>
  <si>
    <t>https://suumo.jp/chintai/jnc_000103536628/?bc=100462049482</t>
  </si>
  <si>
    <t>https://suumo.jp/chintai/jnc_000103536636/?bc=100462049223</t>
  </si>
  <si>
    <t>https://suumo.jp/chintai/jnc_000103536638/?bc=100462049141</t>
  </si>
  <si>
    <t>https://suumo.jp/chintai/jnc_000103536634/?bc=100462323762</t>
  </si>
  <si>
    <t>https://suumo.jp/chintai/jnc_000100975534/?bc=100476020422</t>
  </si>
  <si>
    <t>https://suumo.jp/chintai/jnc_000103536644/?bc=100461404374</t>
  </si>
  <si>
    <t>https://suumo.jp/chintai/jnc_000103536639/?bc=100462049142</t>
  </si>
  <si>
    <t>https://suumo.jp/chintai/jnc_000059186361/?bc=100477948653</t>
  </si>
  <si>
    <t>都営大江戸線 新江古田駅 4階建 築6年</t>
  </si>
  <si>
    <t>https://suumo.jp/chintai/jnc_000100813716/?bc=100470617099</t>
  </si>
  <si>
    <t>https://suumo.jp/chintai/jnc_000103481422/?bc=100486118493</t>
  </si>
  <si>
    <t>https://suumo.jp/chintai/jnc_000100813715/?bc=100470617100</t>
  </si>
  <si>
    <t>https://suumo.jp/chintai/jnc_000103481421/?bc=100458682636</t>
  </si>
  <si>
    <t>https://suumo.jp/chintai/jnc_000103481423/?bc=100471669197</t>
  </si>
  <si>
    <t>https://suumo.jp/chintai/jnc_000100813718/?bc=100470617098</t>
  </si>
  <si>
    <t>https://suumo.jp/chintai/jnc_000103481424/?bc=100472932529</t>
  </si>
  <si>
    <t>https://suumo.jp/chintai/jnc_000103481430/?bc=100473680022</t>
  </si>
  <si>
    <t>https://suumo.jp/chintai/jnc_000100813729/?bc=100475098395</t>
  </si>
  <si>
    <t>https://suumo.jp/chintai/jnc_000103481434/?bc=100476540220</t>
  </si>
  <si>
    <t>https://suumo.jp/chintai/jnc_000100813728/?bc=100470617097</t>
  </si>
  <si>
    <t>https://suumo.jp/chintai/jnc_000103481433/?bc=100458682619</t>
  </si>
  <si>
    <t>https://suumo.jp/chintai/jnc_000100813730/?bc=100470617094</t>
  </si>
  <si>
    <t>https://suumo.jp/chintai/jnc_000103481435/?bc=100458948933</t>
  </si>
  <si>
    <t>https://suumo.jp/chintai/jnc_000103481436/?bc=100468304893</t>
  </si>
  <si>
    <t>https://suumo.jp/chintai/jnc_000103481443/?bc=100468304977</t>
  </si>
  <si>
    <t>https://suumo.jp/chintai/jnc_000100821989/?bc=100470617079</t>
  </si>
  <si>
    <t>https://suumo.jp/chintai/jnc_000103481442/?bc=100477790386</t>
  </si>
  <si>
    <t>https://suumo.jp/chintai/jnc_000100821993/?bc=100470617078</t>
  </si>
  <si>
    <t>https://suumo.jp/chintai/jnc_000103717511/?bc=100480376898</t>
  </si>
  <si>
    <t>Ramiuj</t>
  </si>
  <si>
    <t>https://suumo.jp/chintai/jnc_000096563599/?bc=100424547951</t>
  </si>
  <si>
    <t>https://suumo.jp/chintai/jnc_000103929256/?bc=100482679308</t>
  </si>
  <si>
    <t>ピュアメゾン</t>
  </si>
  <si>
    <t>https://suumo.jp/chintai/jnc_000103903833/?bc=100481718056</t>
  </si>
  <si>
    <t>https://suumo.jp/chintai/jnc_000104261930/?bc=100485574639</t>
  </si>
  <si>
    <t>ミッテルドルフ新江古田</t>
  </si>
  <si>
    <t>東京都中野区江古田３</t>
  </si>
  <si>
    <t>https://suumo.jp/chintai/jnc_000103919945/?bc=100481846532</t>
  </si>
  <si>
    <t>都営大江戸線 新江古田駅 2階建 築7年</t>
  </si>
  <si>
    <t>https://suumo.jp/chintai/jnc_000103536632/?bc=100462049177</t>
  </si>
  <si>
    <t>https://suumo.jp/chintai/jnc_000103536631/?bc=100462049296</t>
  </si>
  <si>
    <t>https://suumo.jp/chintai/jnc_000103563632/?bc=100471667443</t>
  </si>
  <si>
    <t>https://suumo.jp/chintai/jnc_000103536633/?bc=100461404548</t>
  </si>
  <si>
    <t>https://suumo.jp/chintai/jnc_000104387652/?bc=100485273368</t>
  </si>
  <si>
    <t>https://suumo.jp/chintai/jnc_000103536641/?bc=100471667440</t>
  </si>
  <si>
    <t>https://suumo.jp/chintai/jnc_000103536640/?bc=100461404467</t>
  </si>
  <si>
    <t>https://suumo.jp/chintai/jnc_000103536642/?bc=100461404495</t>
  </si>
  <si>
    <t>https://suumo.jp/chintai/jnc_000101625260/?bc=100483116481</t>
  </si>
  <si>
    <t>https://suumo.jp/chintai/jnc_000101625261/?bc=100484759359</t>
  </si>
  <si>
    <t>https://suumo.jp/chintai/jnc_000103536647/?bc=100461404364</t>
  </si>
  <si>
    <t>https://suumo.jp/chintai/jnc_000103594124/?bc=100483192725</t>
  </si>
  <si>
    <t>https://suumo.jp/chintai/jnc_000100997231/?bc=100461404407</t>
  </si>
  <si>
    <t>https://suumo.jp/chintai/jnc_000103792573/?bc=100483387559</t>
  </si>
  <si>
    <t>都営大江戸線 新江古田駅 3階建 築10年</t>
  </si>
  <si>
    <t>https://suumo.jp/chintai/jnc_000103723323/?bc=100484070243</t>
  </si>
  <si>
    <t>都営大江戸線 新江古田駅 3階建 築7年</t>
  </si>
  <si>
    <t>https://suumo.jp/chintai/jnc_000102993424/?bc=100474598528</t>
  </si>
  <si>
    <t>都営大江戸線 新江古田駅 地上2階建 築10年</t>
  </si>
  <si>
    <t>https://suumo.jp/chintai/jnc_000103792572/?bc=100483153711</t>
  </si>
  <si>
    <t>ＢＨテラス江古田</t>
  </si>
  <si>
    <t>https://suumo.jp/chintai/jnc_000104387651/?bc=100485273625</t>
  </si>
  <si>
    <t>Ｅｌｙｓｅｅｅｋｏｄａ</t>
  </si>
  <si>
    <t>https://suumo.jp/chintai/jnc_000101487454/?bc=100471202714</t>
  </si>
  <si>
    <t>Ｐｒｅｔｔｙ　Ｆｏｒｅｓｔ</t>
  </si>
  <si>
    <t>https://suumo.jp/chintai/jnc_000101487455/?bc=100472990906</t>
  </si>
  <si>
    <t>https://suumo.jp/chintai/jnc_000095682994/?bc=100483468867</t>
  </si>
  <si>
    <t>アリビオ江古田</t>
  </si>
  <si>
    <t>https://suumo.jp/chintai/jnc_000073669472/?bc=100472041095</t>
  </si>
  <si>
    <t>アーバンプレイス哲学堂III（サン）</t>
  </si>
  <si>
    <t>https://suumo.jp/chintai/jnc_000089283802/?bc=100484538803</t>
  </si>
  <si>
    <t>https://suumo.jp/chintai/jnc_000089214188/?bc=100413913113</t>
  </si>
  <si>
    <t>エステートハイツ</t>
  </si>
  <si>
    <t>https://suumo.jp/chintai/jnc_000097455834/?bc=100444207972</t>
  </si>
  <si>
    <t>エミグラント南長崎</t>
  </si>
  <si>
    <t>東京都豊島区南長崎６</t>
  </si>
  <si>
    <t>https://suumo.jp/chintai/jnc_000102616865/?bc=100482406609</t>
  </si>
  <si>
    <t>コーポ寿</t>
  </si>
  <si>
    <t>https://suumo.jp/chintai/jnc_000104310657/?bc=100484750305</t>
  </si>
  <si>
    <t>スタイルレジデンス新江古田</t>
  </si>
  <si>
    <t>https://suumo.jp/chintai/jnc_000104357196/?bc=100485362407</t>
  </si>
  <si>
    <t>ハーモニーテラス江原町</t>
  </si>
  <si>
    <t>https://suumo.jp/chintai/jnc_000103338526/?bc=100485511427</t>
  </si>
  <si>
    <t>ハーモニーテラス江原町II</t>
  </si>
  <si>
    <t>https://suumo.jp/chintai/jnc_000104163304/?bc=100484312090</t>
  </si>
  <si>
    <t>https://suumo.jp/chintai/jnc_000048920787/?bc=100485186875</t>
  </si>
  <si>
    <t>ライフピアバイオレット</t>
  </si>
  <si>
    <t>https://suumo.jp/chintai/jnc_000103717510/?bc=100466359331</t>
  </si>
  <si>
    <t>リバティヒルズ中野江原</t>
  </si>
  <si>
    <t>https://suumo.jp/chintai/jnc_000104335098/?bc=100484814821</t>
  </si>
  <si>
    <t>https://suumo.jp/chintai/jnc_000104412206/?bc=100485670522</t>
  </si>
  <si>
    <t>レオネクスト江原</t>
  </si>
  <si>
    <t>東京都中野区江原町３</t>
  </si>
  <si>
    <t>https://suumo.jp/chintai/jnc_000103735160/?bc=100481680777</t>
  </si>
  <si>
    <t>西武池袋線 東長崎駅 7階建 築35年</t>
  </si>
  <si>
    <t>https://suumo.jp/chintai/jnc_000103038495/?bc=100474417853</t>
  </si>
  <si>
    <t>都営大江戸線 新江古田駅 2階建 築19年</t>
  </si>
  <si>
    <t>https://suumo.jp/chintai/jnc_000102296278/?bc=100468111975</t>
  </si>
  <si>
    <t>都営大江戸線 新江古田駅 2階建 築33年</t>
  </si>
  <si>
    <t>https://suumo.jp/chintai/jnc_000090187656/?bc=100472231266</t>
  </si>
  <si>
    <t>都営大江戸線 新江古田駅 2階建 築36年</t>
  </si>
  <si>
    <t>https://suumo.jp/chintai/jnc_000103352974/?bc=100477400948</t>
  </si>
  <si>
    <t>https://suumo.jp/chintai/jnc_000104222968/?bc=100483961130</t>
  </si>
  <si>
    <t>https://suumo.jp/chintai/jnc_000103285854/?bc=100476375444</t>
  </si>
  <si>
    <t>アクレール江古田</t>
  </si>
  <si>
    <t>https://suumo.jp/chintai/jnc_000104459177/?bc=100486401487</t>
  </si>
  <si>
    <t>エフィール中野</t>
  </si>
  <si>
    <t>https://suumo.jp/chintai/jnc_000103594125/?bc=100478766049</t>
  </si>
  <si>
    <t>クレール中野（江原町）</t>
  </si>
  <si>
    <t>https://suumo.jp/chintai/jnc_000102192302/?bc=100479895744</t>
  </si>
  <si>
    <t>シャトーカネヨ江原</t>
  </si>
  <si>
    <t>https://suumo.jp/chintai/jnc_000100337273/?bc=100454978562</t>
  </si>
  <si>
    <t>都営大江戸線 新江古田駅 3階建 築39年</t>
  </si>
  <si>
    <t>https://suumo.jp/chintai/jnc_000100665017/?bc=100459902696</t>
  </si>
  <si>
    <t>https://suumo.jp/chintai/jnc_000104091964/?bc=100484851787</t>
  </si>
  <si>
    <t>https://suumo.jp/chintai/jnc_000103032315/?bc=100474346154</t>
  </si>
  <si>
    <t>都営大江戸線 落合南長崎駅 3階建 築56年</t>
  </si>
  <si>
    <t>https://suumo.jp/chintai/jnc_000103144282/?bc=100475245827</t>
  </si>
  <si>
    <t>鈴木マンション</t>
  </si>
  <si>
    <t>https://suumo.jp/chintai/jnc_000101369447/?bc=100458901384</t>
  </si>
  <si>
    <t>サンライズ中野江原町</t>
  </si>
  <si>
    <t>https://suumo.jp/chintai/jnc_000098284483/?bc=100472404575</t>
  </si>
  <si>
    <t>吉田テラスハウス</t>
  </si>
  <si>
    <t>https://suumo.jp/chintai/jnc_000103057581/?bc=100474579759</t>
  </si>
  <si>
    <t>https://suumo.jp/chintai/jnc_000101625259/?bc=100470566616</t>
  </si>
  <si>
    <t>https://suumo.jp/chintai/jnc_000104357199/?bc=100484944463</t>
  </si>
  <si>
    <t>https://suumo.jp/chintai/jnc_000101396447/?bc=100469773378</t>
  </si>
  <si>
    <t>https://suumo.jp/chintai/jnc_000101625262/?bc=100470570577</t>
  </si>
  <si>
    <t>https://suumo.jp/chintai/jnc_000101625265/?bc=100470570585</t>
  </si>
  <si>
    <t>https://suumo.jp/chintai/jnc_000104286379/?bc=100484951829</t>
  </si>
  <si>
    <t>https://suumo.jp/chintai/jnc_000101487456/?bc=100471202712</t>
  </si>
  <si>
    <t>https://suumo.jp/chintai/jnc_000101487459/?bc=100460096478</t>
  </si>
  <si>
    <t>https://suumo.jp/chintai/jnc_000063352315/?bc=100480651366</t>
  </si>
  <si>
    <t>https://suumo.jp/chintai/jnc_000103099954/?bc=100483859962</t>
  </si>
  <si>
    <t>Brillia東中野StationFront</t>
  </si>
  <si>
    <t>東中野駅</t>
  </si>
  <si>
    <t>https://suumo.jp/chintai/jnc_000103006527/?bc=100484083309</t>
  </si>
  <si>
    <t>THE PREMIUM CUBE G 東中野</t>
  </si>
  <si>
    <t>東京都中野区東中野５</t>
  </si>
  <si>
    <t>https://suumo.jp/chintai/jnc_000103987643/?bc=100480867533</t>
  </si>
  <si>
    <t>https://suumo.jp/chintai/jnc_000100822020/?bc=100484246876</t>
  </si>
  <si>
    <t>https://suumo.jp/chintai/jnc_000103611163/?bc=100479092749</t>
  </si>
  <si>
    <t>https://suumo.jp/chintai/jnc_000103144317/?bc=100481520516</t>
  </si>
  <si>
    <t>https://suumo.jp/chintai/jnc_000103938123/?bc=100482833200</t>
  </si>
  <si>
    <t>グランカーサ東中野</t>
  </si>
  <si>
    <t>https://suumo.jp/chintai/jnc_000103938124/?bc=100481984239</t>
  </si>
  <si>
    <t>https://suumo.jp/chintai/jnc_000104387404/?bc=100486285115</t>
  </si>
  <si>
    <t>グランヴァン東中野II</t>
  </si>
  <si>
    <t>https://suumo.jp/chintai/jnc_000104416509/?bc=100485510105</t>
  </si>
  <si>
    <t>グランヴァン東中野III</t>
  </si>
  <si>
    <t>https://suumo.jp/chintai/jnc_000101605821/?bc=100481785482</t>
  </si>
  <si>
    <t>グリーングラス北新宿</t>
  </si>
  <si>
    <t>https://suumo.jp/chintai/jnc_000101319455/?bc=100465514673</t>
  </si>
  <si>
    <t>コンフォリア・リヴ北新宿</t>
  </si>
  <si>
    <t>https://suumo.jp/chintai/jnc_000102361074/?bc=100465712404</t>
  </si>
  <si>
    <t>https://suumo.jp/chintai/jnc_000102361080/?bc=100462436855</t>
  </si>
  <si>
    <t>https://suumo.jp/chintai/jnc_000102361082/?bc=100485228477</t>
  </si>
  <si>
    <t>https://suumo.jp/chintai/jnc_000103947311/?bc=100481766446</t>
  </si>
  <si>
    <t>サンライズビル（住居）</t>
  </si>
  <si>
    <t>https://suumo.jp/chintai/jnc_000104222993/?bc=100485252893</t>
  </si>
  <si>
    <t>ザ・プレミアムキューブG東中野</t>
  </si>
  <si>
    <t>https://suumo.jp/chintai/jnc_000104222997/?bc=100474351598</t>
  </si>
  <si>
    <t>https://suumo.jp/chintai/jnc_000104222998/?bc=100479747293</t>
  </si>
  <si>
    <t>https://suumo.jp/chintai/jnc_000104223005/?bc=100480867136</t>
  </si>
  <si>
    <t>https://suumo.jp/chintai/jnc_000104050100/?bc=100482505888</t>
  </si>
  <si>
    <t>スタ－ハイツ</t>
  </si>
  <si>
    <t>https://suumo.jp/chintai/jnc_000104348327/?bc=100484978207</t>
  </si>
  <si>
    <t>トレス・ヴィダ</t>
  </si>
  <si>
    <t>https://suumo.jp/chintai/jnc_000104373059/?bc=100485126577</t>
  </si>
  <si>
    <t>ハウス上高田</t>
  </si>
  <si>
    <t>https://suumo.jp/chintai/jnc_000104097124/?bc=100483170974</t>
  </si>
  <si>
    <t>パークアクシス落合東中野</t>
  </si>
  <si>
    <t>東京都中野区東中野３</t>
  </si>
  <si>
    <t>https://suumo.jp/chintai/jnc_000103994790/?bc=100482117877</t>
  </si>
  <si>
    <t>フジビル</t>
  </si>
  <si>
    <t>https://suumo.jp/chintai/jnc_000103756804/?bc=100484721440</t>
  </si>
  <si>
    <t>プライムブリス東中野駅前</t>
  </si>
  <si>
    <t>https://suumo.jp/chintai/jnc_000103563257/?bc=100445387187</t>
  </si>
  <si>
    <t>メゾンエンゼル</t>
  </si>
  <si>
    <t>https://suumo.jp/chintai/jnc_000104341764/?bc=100484747334</t>
  </si>
  <si>
    <t>メディカルコート</t>
  </si>
  <si>
    <t>https://suumo.jp/chintai/jnc_000104156796/?bc=100483855545</t>
  </si>
  <si>
    <t>リバーストーン</t>
  </si>
  <si>
    <t>https://suumo.jp/chintai/jnc_000104215472/?bc=100484083303</t>
  </si>
  <si>
    <t>リバー・ストーン</t>
  </si>
  <si>
    <t>https://suumo.jp/chintai/jnc_000104295025/?bc=100484822623</t>
  </si>
  <si>
    <t>レジデンスアンドウ</t>
  </si>
  <si>
    <t>https://suumo.jp/chintai/jnc_000104156765/?bc=100484912658</t>
  </si>
  <si>
    <t>ワンルーフレジデンス中野</t>
  </si>
  <si>
    <t>https://suumo.jp/chintai/jnc_000104156764/?bc=100483389155</t>
  </si>
  <si>
    <t>https://suumo.jp/chintai/jnc_000104156766/?bc=100483389170</t>
  </si>
  <si>
    <t>https://suumo.jp/chintai/jnc_000104156770/?bc=100483389110</t>
  </si>
  <si>
    <t>https://suumo.jp/chintai/jnc_000104156772/?bc=100483389165</t>
  </si>
  <si>
    <t>https://suumo.jp/chintai/jnc_000104156776/?bc=100483389095</t>
  </si>
  <si>
    <t>https://suumo.jp/chintai/jnc_000104156777/?bc=100483389183</t>
  </si>
  <si>
    <t>https://suumo.jp/chintai/jnc_000104464967/?bc=100485854891</t>
  </si>
  <si>
    <t>https://suumo.jp/chintai/jnc_000103006522/?bc=100485470525</t>
  </si>
  <si>
    <t>三田東中野コーポ</t>
  </si>
  <si>
    <t>https://suumo.jp/chintai/jnc_000102637981/?bc=100483765689</t>
  </si>
  <si>
    <t>秋庭マンション</t>
  </si>
  <si>
    <t>https://suumo.jp/chintai/jnc_000103324583/?bc=100482299274</t>
  </si>
  <si>
    <t>都営大江戸線 東中野駅 7階建 築28年</t>
  </si>
  <si>
    <t>https://suumo.jp/chintai/jnc_000046416001/?bc=100482093936</t>
  </si>
  <si>
    <t>高橋マンション</t>
  </si>
  <si>
    <t>https://suumo.jp/chintai/jnc_000103324582/?bc=100475999920</t>
  </si>
  <si>
    <t>ＡＮＮＥＸ　Ｅ</t>
  </si>
  <si>
    <t>https://suumo.jp/chintai/jnc_000104179495/?bc=100483626039</t>
  </si>
  <si>
    <t>ＩＳＭ東中野</t>
  </si>
  <si>
    <t>https://suumo.jp/chintai/jnc_000102875073/?bc=100473397829</t>
  </si>
  <si>
    <t>https://suumo.jp/chintai/jnc_000102169523/?bc=100468970675</t>
  </si>
  <si>
    <t>ＪＲ中央線 東中野駅 10階建 築17年</t>
  </si>
  <si>
    <t>https://suumo.jp/chintai/jnc_000104097117/?bc=100484947010</t>
  </si>
  <si>
    <t>ＪＲ中央線 東中野駅 10階建 築5年</t>
  </si>
  <si>
    <t>https://suumo.jp/chintai/jnc_000103947716/?bc=100481884671</t>
  </si>
  <si>
    <t>ＪＲ中央線 東中野駅 12階建 築3年</t>
  </si>
  <si>
    <t>https://suumo.jp/chintai/jnc_000102371875/?bc=100477581694</t>
  </si>
  <si>
    <t>ＪＲ中央線 東中野駅 13階建 築2年</t>
  </si>
  <si>
    <t>https://suumo.jp/chintai/jnc_000104425521/?bc=100136908550</t>
  </si>
  <si>
    <t>ＪＲ中央線 東中野駅 3階建 築42年</t>
  </si>
  <si>
    <t>https://suumo.jp/chintai/jnc_000104356685/?bc=100481127780</t>
  </si>
  <si>
    <t>ＪＲ中央線 東中野駅 4階建 新築</t>
  </si>
  <si>
    <t>https://suumo.jp/chintai/jnc_000103851219/?bc=100481127798</t>
  </si>
  <si>
    <t>https://suumo.jp/chintai/jnc_000104498671/?bc=100486182322</t>
  </si>
  <si>
    <t>ＪＲ中央線 東中野駅 4階建 築1年</t>
  </si>
  <si>
    <t>https://suumo.jp/chintai/jnc_000104223007/?bc=100474523135</t>
  </si>
  <si>
    <t>ＪＲ中央線 東中野駅 5階建 築3年</t>
  </si>
  <si>
    <t>https://suumo.jp/chintai/jnc_000104426276/?bc=100485580144</t>
  </si>
  <si>
    <t>ＪＲ中央線 東中野駅 6階建 築56年</t>
  </si>
  <si>
    <t>https://suumo.jp/chintai/jnc_000104391713/?bc=100485904141</t>
  </si>
  <si>
    <t>ＪＲ中央線 東中野駅 8階建 築24年</t>
  </si>
  <si>
    <t>https://suumo.jp/chintai/jnc_000104437827/?bc=100485658919</t>
  </si>
  <si>
    <t>ＪＲ中央線 東中野駅 9階建 築10年</t>
  </si>
  <si>
    <t>https://suumo.jp/chintai/jnc_000104003998/?bc=100483179904</t>
  </si>
  <si>
    <t>ＪＲ中央線 東中野駅 地下1地上5階建 築58年</t>
  </si>
  <si>
    <t>https://suumo.jp/chintai/jnc_000101173853/?bc=100473584886</t>
  </si>
  <si>
    <t>ＪＲ総武線 東中野駅 12階建 築3年</t>
  </si>
  <si>
    <t>https://suumo.jp/chintai/jnc_000104156798/?bc=100483715435</t>
  </si>
  <si>
    <t>ＪＲ総武線 東中野駅 4階建 築34年</t>
  </si>
  <si>
    <t>https://suumo.jp/chintai/jnc_000103695180/?bc=100452877633</t>
  </si>
  <si>
    <t>ＪＲ総武線 東中野駅 5階建 築3年</t>
  </si>
  <si>
    <t>https://suumo.jp/chintai/jnc_000100946707/?bc=100469685987</t>
  </si>
  <si>
    <t>https://suumo.jp/chintai/jnc_000103649356/?bc=100483711806</t>
  </si>
  <si>
    <t>ＪＲ総武線 東中野駅 5階建 築46年</t>
  </si>
  <si>
    <t>https://suumo.jp/chintai/jnc_000104163315/?bc=100483446776</t>
  </si>
  <si>
    <t>ＪＲ総武線 東中野駅 8階建 築25年</t>
  </si>
  <si>
    <t>https://suumo.jp/chintai/jnc_000104454670/?bc=100485948996</t>
  </si>
  <si>
    <t>ＶＩＰ柏木</t>
  </si>
  <si>
    <t>https://suumo.jp/chintai/jnc_000103770557/?bc=100485617543</t>
  </si>
  <si>
    <t>AGRACES北新宿II</t>
  </si>
  <si>
    <t>https://suumo.jp/chintai/jnc_000103432783/?bc=100483997820</t>
  </si>
  <si>
    <t>Fortuna Higashinakano</t>
  </si>
  <si>
    <t>https://suumo.jp/chintai/jnc_000104117714/?bc=100485777534</t>
  </si>
  <si>
    <t>https://suumo.jp/chintai/jnc_000103558059/?bc=100481479607</t>
  </si>
  <si>
    <t>Graces東中野</t>
  </si>
  <si>
    <t>https://suumo.jp/chintai/jnc_000103558060/?bc=100481479526</t>
  </si>
  <si>
    <t>https://suumo.jp/chintai/jnc_000104464973/?bc=100485897343</t>
  </si>
  <si>
    <t>ISLES（アイルズ）東中野</t>
  </si>
  <si>
    <t>https://suumo.jp/chintai/jnc_000076983386/?bc=100475522307</t>
  </si>
  <si>
    <t>RCセンチュリー</t>
  </si>
  <si>
    <t>https://suumo.jp/chintai/jnc_000103447282/?bc=100477631039</t>
  </si>
  <si>
    <t>RELUXIA北新宿</t>
  </si>
  <si>
    <t>https://suumo.jp/chintai/jnc_000101953369/?bc=100481984157</t>
  </si>
  <si>
    <t>ReveResidence中野坂上</t>
  </si>
  <si>
    <t>https://suumo.jp/chintai/jnc_000103960465/?bc=100485999305</t>
  </si>
  <si>
    <t>https://suumo.jp/chintai/jnc_000104335121/?bc=100485172018</t>
  </si>
  <si>
    <t>https://suumo.jp/chintai/jnc_000103611161/?bc=100479331332</t>
  </si>
  <si>
    <t>https://suumo.jp/chintai/jnc_000103762847/?bc=100481588804</t>
  </si>
  <si>
    <t>https://suumo.jp/chintai/jnc_000104156807/?bc=100484340409</t>
  </si>
  <si>
    <t>https://suumo.jp/chintai/jnc_000103762848/?bc=100480611727</t>
  </si>
  <si>
    <t>https://suumo.jp/chintai/jnc_000104482962/?bc=100485999476</t>
  </si>
  <si>
    <t>https://suumo.jp/chintai/jnc_000103346704/?bc=100476780177</t>
  </si>
  <si>
    <t>TOP FIELD</t>
  </si>
  <si>
    <t>https://suumo.jp/chintai/jnc_000103248945/?bc=100476272564</t>
  </si>
  <si>
    <t>i-Suite HigashiNakano</t>
  </si>
  <si>
    <t>https://suumo.jp/chintai/jnc_000104399674/?bc=100485481427</t>
  </si>
  <si>
    <t>https://suumo.jp/chintai/jnc_000103248946/?bc=100481124704</t>
  </si>
  <si>
    <t>https://suumo.jp/chintai/jnc_000103285870/?bc=100476890437</t>
  </si>
  <si>
    <t>ふるーる東中野</t>
  </si>
  <si>
    <t>https://suumo.jp/chintai/jnc_000103217934/?bc=100478364310</t>
  </si>
  <si>
    <t>https://suumo.jp/chintai/jnc_000096867497/?bc=100475800568</t>
  </si>
  <si>
    <t>https://suumo.jp/chintai/jnc_000096518249/?bc=100422017062</t>
  </si>
  <si>
    <t>アイランドコーポ</t>
  </si>
  <si>
    <t>https://suumo.jp/chintai/jnc_000104417264/?bc=100486338930</t>
  </si>
  <si>
    <t>アイルズ東中野</t>
  </si>
  <si>
    <t>https://suumo.jp/chintai/jnc_000103903355/?bc=100483404611</t>
  </si>
  <si>
    <t>アルテシモベラ</t>
  </si>
  <si>
    <t>https://suumo.jp/chintai/jnc_000098351070/?bc=100436527992</t>
  </si>
  <si>
    <t>アヴィニティー東中野</t>
  </si>
  <si>
    <t>https://suumo.jp/chintai/jnc_000103536063/?bc=100482398751</t>
  </si>
  <si>
    <t>アークマーク東中野</t>
  </si>
  <si>
    <t>https://suumo.jp/chintai/jnc_000098617399/?bc=100443889190</t>
  </si>
  <si>
    <t>エイティハウス</t>
  </si>
  <si>
    <t>https://suumo.jp/chintai/jnc_000104021485/?bc=100483348083</t>
  </si>
  <si>
    <t>エヌエス　フィールド</t>
  </si>
  <si>
    <t>https://suumo.jp/chintai/jnc_000103182963/?bc=100473139922</t>
  </si>
  <si>
    <t>エミリーズイン</t>
  </si>
  <si>
    <t>https://suumo.jp/chintai/jnc_000103570825/?bc=100485545588</t>
  </si>
  <si>
    <t>オークハイツ</t>
  </si>
  <si>
    <t>https://suumo.jp/chintai/jnc_000104432888/?bc=100485745006</t>
  </si>
  <si>
    <t>https://suumo.jp/chintai/jnc_000094929118/?bc=100486257220</t>
  </si>
  <si>
    <t>https://suumo.jp/chintai/jnc_000104162756/?bc=100394459140</t>
  </si>
  <si>
    <t>オークパーク</t>
  </si>
  <si>
    <t>https://suumo.jp/chintai/jnc_000103814191/?bc=100481229207</t>
  </si>
  <si>
    <t>カルチャーコーポII</t>
  </si>
  <si>
    <t>https://suumo.jp/chintai/jnc_000103761979/?bc=100481130444</t>
  </si>
  <si>
    <t>カーサケルクス</t>
  </si>
  <si>
    <t>https://suumo.jp/chintai/jnc_000100315545/?bc=100471035541</t>
  </si>
  <si>
    <t>クレールＯＳＹ</t>
  </si>
  <si>
    <t>東京都中野区東中野４</t>
  </si>
  <si>
    <t>https://suumo.jp/chintai/jnc_000102213051/?bc=100458425923</t>
  </si>
  <si>
    <t>https://suumo.jp/chintai/jnc_000085459492/?bc=100445482215</t>
  </si>
  <si>
    <t>グランハイツ東中野</t>
  </si>
  <si>
    <t>https://suumo.jp/chintai/jnc_000104222990/?bc=100484438800</t>
  </si>
  <si>
    <t>https://suumo.jp/chintai/jnc_000102837196/?bc=100477773540</t>
  </si>
  <si>
    <t>https://suumo.jp/chintai/jnc_000104170657/?bc=100483716386</t>
  </si>
  <si>
    <t>グランピア東中野駅前</t>
  </si>
  <si>
    <t>https://suumo.jp/chintai/jnc_000103491791/?bc=100482475590</t>
  </si>
  <si>
    <t>https://suumo.jp/chintai/jnc_000103379765/?bc=100477951415</t>
  </si>
  <si>
    <t>https://suumo.jp/chintai/jnc_000102361075/?bc=100482514901</t>
  </si>
  <si>
    <t>https://suumo.jp/chintai/jnc_000102361079/?bc=100461442552</t>
  </si>
  <si>
    <t>https://suumo.jp/chintai/jnc_000102361084/?bc=100479320942</t>
  </si>
  <si>
    <t>https://suumo.jp/chintai/jnc_000102361085/?bc=100469036453</t>
  </si>
  <si>
    <t>https://suumo.jp/chintai/jnc_000103130117/?bc=100478218426</t>
  </si>
  <si>
    <t>コンフォリア東中野ＤＥＵＸ</t>
  </si>
  <si>
    <t>https://suumo.jp/chintai/jnc_000104438130/?bc=100485948656</t>
  </si>
  <si>
    <t>サクラハイツ</t>
  </si>
  <si>
    <t>https://suumo.jp/chintai/jnc_000104454986/?bc=100485793182</t>
  </si>
  <si>
    <t>サンライズアサヒビル</t>
  </si>
  <si>
    <t>https://suumo.jp/chintai/jnc_000104196482/?bc=100483727417</t>
  </si>
  <si>
    <t>サンライズ東中野</t>
  </si>
  <si>
    <t>https://suumo.jp/chintai/jnc_000104222995/?bc=100485252936</t>
  </si>
  <si>
    <t>https://suumo.jp/chintai/jnc_000104222994/?bc=100485252923</t>
  </si>
  <si>
    <t>https://suumo.jp/chintai/jnc_000104222996/?bc=100483943097</t>
  </si>
  <si>
    <t>https://suumo.jp/chintai/jnc_000104223001/?bc=100485252931</t>
  </si>
  <si>
    <t>https://suumo.jp/chintai/jnc_000104442918/?bc=100483942807</t>
  </si>
  <si>
    <t>https://suumo.jp/chintai/jnc_000104222999/?bc=100483124456</t>
  </si>
  <si>
    <t>https://suumo.jp/chintai/jnc_000103960462/?bc=100482018236</t>
  </si>
  <si>
    <t>シティハイム　ゾンネ</t>
  </si>
  <si>
    <t>https://suumo.jp/chintai/jnc_000091825426/?bc=100478804714</t>
  </si>
  <si>
    <t>シンシア東中野</t>
  </si>
  <si>
    <t>https://suumo.jp/chintai/jnc_000103575231/?bc=100479005400</t>
  </si>
  <si>
    <t>https://suumo.jp/chintai/jnc_000103454058/?bc=100479263205</t>
  </si>
  <si>
    <t>https://suumo.jp/chintai/jnc_000103362608/?bc=100486400209</t>
  </si>
  <si>
    <t>ジーズ・キャビン北新宿</t>
  </si>
  <si>
    <t>https://suumo.jp/chintai/jnc_000104491575/?bc=100486239007</t>
  </si>
  <si>
    <t>スカイコート新宿第7</t>
  </si>
  <si>
    <t>https://suumo.jp/chintai/jnc_000103750104/?bc=100480282309</t>
  </si>
  <si>
    <t>スカイコート新宿第8</t>
  </si>
  <si>
    <t>https://suumo.jp/chintai/jnc_000104473648/?bc=100485945398</t>
  </si>
  <si>
    <t>スペース</t>
  </si>
  <si>
    <t>https://suumo.jp/chintai/jnc_000104156742/?bc=100483366774</t>
  </si>
  <si>
    <t>センチュリーハイツ</t>
  </si>
  <si>
    <t>https://suumo.jp/chintai/jnc_000104003966/?bc=100483165279</t>
  </si>
  <si>
    <t>タウンハウス東中野</t>
  </si>
  <si>
    <t>https://suumo.jp/chintai/jnc_000103987638/?bc=100482032705</t>
  </si>
  <si>
    <t>トゥールビヨン</t>
  </si>
  <si>
    <t>https://suumo.jp/chintai/jnc_000104464980/?bc=100485876139</t>
  </si>
  <si>
    <t>トレス・プラタ東中野</t>
  </si>
  <si>
    <t>https://suumo.jp/chintai/jnc_000104003323/?bc=100474951859</t>
  </si>
  <si>
    <t>ドルチェ ドミール</t>
  </si>
  <si>
    <t>https://suumo.jp/chintai/jnc_000102880356/?bc=100477343177</t>
  </si>
  <si>
    <t>https://suumo.jp/chintai/jnc_000104464198/?bc=100485866986</t>
  </si>
  <si>
    <t>https://suumo.jp/chintai/jnc_000104499531/?bc=100486214607</t>
  </si>
  <si>
    <t>ハウスシュウ</t>
  </si>
  <si>
    <t>https://suumo.jp/chintai/jnc_000104492007/?bc=100486109249</t>
  </si>
  <si>
    <t>パティーナエーレ東中野</t>
  </si>
  <si>
    <t>https://suumo.jp/chintai/jnc_000104086236/?bc=100482868077</t>
  </si>
  <si>
    <t>https://suumo.jp/chintai/jnc_000098984448/?bc=100480866738</t>
  </si>
  <si>
    <t>https://suumo.jp/chintai/jnc_000104222333/?bc=100474380612</t>
  </si>
  <si>
    <t>パークサイドスクウェア北新宿</t>
  </si>
  <si>
    <t>https://suumo.jp/chintai/jnc_000103750511/?bc=100480299989</t>
  </si>
  <si>
    <t>フェリス中野</t>
  </si>
  <si>
    <t>https://suumo.jp/chintai/jnc_000103750512/?bc=100473440488</t>
  </si>
  <si>
    <t>https://suumo.jp/chintai/jnc_000103929263/?bc=100482928011</t>
  </si>
  <si>
    <t>https://suumo.jp/chintai/jnc_000049476705/?bc=100482936475</t>
  </si>
  <si>
    <t>フラットグランマ北新宿</t>
  </si>
  <si>
    <t>https://suumo.jp/chintai/jnc_000049493800/?bc=100483166296</t>
  </si>
  <si>
    <t>https://suumo.jp/chintai/jnc_000104532502/?bc=100486297351</t>
  </si>
  <si>
    <t>フローラ東中野</t>
  </si>
  <si>
    <t>https://suumo.jp/chintai/jnc_000104357247/?bc=100483920398</t>
  </si>
  <si>
    <t>プチハウス</t>
  </si>
  <si>
    <t>https://suumo.jp/chintai/jnc_000104241025/?bc=100484190409</t>
  </si>
  <si>
    <t>プライムアーバン新宿落合</t>
  </si>
  <si>
    <t>https://suumo.jp/chintai/jnc_000102671844/?bc=100472017257</t>
  </si>
  <si>
    <t>プラトリエ北新宿</t>
  </si>
  <si>
    <t>https://suumo.jp/chintai/jnc_000104473649/?bc=100419619031</t>
  </si>
  <si>
    <t>プレール・ドゥーク北新宿</t>
  </si>
  <si>
    <t>https://suumo.jp/chintai/jnc_000101124032/?bc=100480993003</t>
  </si>
  <si>
    <t>ベジフル北新宿弐番館</t>
  </si>
  <si>
    <t>https://suumo.jp/chintai/jnc_000103174912/?bc=100480993006</t>
  </si>
  <si>
    <t>https://suumo.jp/chintai/jnc_000047368838/?bc=100382374864</t>
  </si>
  <si>
    <t>マグノリア東中野</t>
  </si>
  <si>
    <t>https://suumo.jp/chintai/jnc_000104139474/?bc=100481037474</t>
  </si>
  <si>
    <t>マンション秀苑</t>
  </si>
  <si>
    <t>https://suumo.jp/chintai/jnc_000104004002/?bc=100330933858</t>
  </si>
  <si>
    <t>https://suumo.jp/chintai/jnc_000104222332/?bc=100077871811</t>
  </si>
  <si>
    <t>マートルプレイス北新宿</t>
  </si>
  <si>
    <t>https://suumo.jp/chintai/jnc_000103791975/?bc=100313494573</t>
  </si>
  <si>
    <t>https://suumo.jp/chintai/jnc_000101553038/?bc=100482375343</t>
  </si>
  <si>
    <t>ミュウ</t>
  </si>
  <si>
    <t>https://suumo.jp/chintai/jnc_000102805045/?bc=100484598211</t>
  </si>
  <si>
    <t>ミリアレジデンス北新宿</t>
  </si>
  <si>
    <t>https://suumo.jp/chintai/jnc_000104138612/?bc=100484597973</t>
  </si>
  <si>
    <t>https://suumo.jp/chintai/jnc_000104326817/?bc=100484727949</t>
  </si>
  <si>
    <t>メゾンアオイ</t>
  </si>
  <si>
    <t>https://suumo.jp/chintai/jnc_000104196481/?bc=100483724328</t>
  </si>
  <si>
    <t>メゾン沖田</t>
  </si>
  <si>
    <t>https://suumo.jp/chintai/jnc_000103162008/?bc=100475548397</t>
  </si>
  <si>
    <t>ラ・ヴィオレ東中野</t>
  </si>
  <si>
    <t>https://suumo.jp/chintai/jnc_000104525314/?bc=100486251535</t>
  </si>
  <si>
    <t>リバーパーク</t>
  </si>
  <si>
    <t>https://suumo.jp/chintai/jnc_000103269717/?bc=100476263297</t>
  </si>
  <si>
    <t>リード東中野</t>
  </si>
  <si>
    <t>https://suumo.jp/chintai/jnc_000053328509/?bc=100482505277</t>
  </si>
  <si>
    <t>ルミエール</t>
  </si>
  <si>
    <t>https://suumo.jp/chintai/jnc_000104509196/?bc=100486166052</t>
  </si>
  <si>
    <t>ルーブル北新宿</t>
  </si>
  <si>
    <t>https://suumo.jp/chintai/jnc_000104509197/?bc=100486411747</t>
  </si>
  <si>
    <t>https://suumo.jp/chintai/jnc_000104163305/?bc=100486396014</t>
  </si>
  <si>
    <t>レオパレスメゾン　紗々</t>
  </si>
  <si>
    <t>https://suumo.jp/chintai/jnc_000099504080/?bc=100440668536</t>
  </si>
  <si>
    <t>レオパレスＷＡＯ　ＷＡＯ</t>
  </si>
  <si>
    <t>https://suumo.jp/chintai/jnc_000104411699/?bc=100485566644</t>
  </si>
  <si>
    <t>https://suumo.jp/chintai/jnc_000101629241/?bc=100486396207</t>
  </si>
  <si>
    <t>https://suumo.jp/chintai/jnc_000103798538/?bc=100485753032</t>
  </si>
  <si>
    <t>レジデンス東中野</t>
  </si>
  <si>
    <t>https://suumo.jp/chintai/jnc_000104449861/?bc=100486401902</t>
  </si>
  <si>
    <t>https://suumo.jp/chintai/jnc_000104229987/?bc=100484201914</t>
  </si>
  <si>
    <t>ヴォーガコルテ東中野</t>
  </si>
  <si>
    <t>https://suumo.jp/chintai/jnc_000104317211/?bc=100484821615</t>
  </si>
  <si>
    <t>https://suumo.jp/chintai/jnc_000103977444/?bc=100482602354</t>
  </si>
  <si>
    <t>中野区上高田1丁目新築PJ</t>
  </si>
  <si>
    <t>https://suumo.jp/chintai/jnc_000097236211/?bc=100427265695</t>
  </si>
  <si>
    <t>八重垣荘</t>
  </si>
  <si>
    <t>https://suumo.jp/chintai/jnc_000104326006/?bc=100421651778</t>
  </si>
  <si>
    <t>大倉ビルディング</t>
  </si>
  <si>
    <t>https://suumo.jp/chintai/jnc_000100953453/?bc=100455772213</t>
  </si>
  <si>
    <t>小林コーポ</t>
  </si>
  <si>
    <t>https://suumo.jp/chintai/jnc_000083442985/?bc=100482767276</t>
  </si>
  <si>
    <t>新日桜２号マンション</t>
  </si>
  <si>
    <t>https://suumo.jp/chintai/jnc_000103465752/?bc=100477742310</t>
  </si>
  <si>
    <t>東中野ハイデンス</t>
  </si>
  <si>
    <t>https://suumo.jp/chintai/jnc_000104241723/?bc=100484079988</t>
  </si>
  <si>
    <t>板倉ビル</t>
  </si>
  <si>
    <t>https://suumo.jp/chintai/jnc_000103844272/?bc=100285923945</t>
  </si>
  <si>
    <t>秀栄荘</t>
  </si>
  <si>
    <t>https://suumo.jp/chintai/jnc_000103969582/?bc=100482268797</t>
  </si>
  <si>
    <t>都営大江戸線 東中野駅 2階建 新築</t>
  </si>
  <si>
    <t>https://suumo.jp/chintai/jnc_000103060685/?bc=100479827107</t>
  </si>
  <si>
    <t>都営大江戸線 東中野駅 2階建 築1年</t>
  </si>
  <si>
    <t>https://suumo.jp/chintai/jnc_000103575553/?bc=100478631838</t>
  </si>
  <si>
    <t>https://suumo.jp/chintai/jnc_000103649641/?bc=100479147465</t>
  </si>
  <si>
    <t>都営大江戸線 東中野駅 2階建 築20年</t>
  </si>
  <si>
    <t>https://suumo.jp/chintai/jnc_000100730540/?bc=100478328937</t>
  </si>
  <si>
    <t>都営大江戸線 東中野駅 2階建 築21年</t>
  </si>
  <si>
    <t>https://suumo.jp/chintai/jnc_000102318464/?bc=100468409899</t>
  </si>
  <si>
    <t>都営大江戸線 東中野駅 3階建 築34年</t>
  </si>
  <si>
    <t>https://suumo.jp/chintai/jnc_000104055242/?bc=100482561172</t>
  </si>
  <si>
    <t>都営大江戸線 東中野駅 3階建 築40年</t>
  </si>
  <si>
    <t>https://suumo.jp/chintai/jnc_000104222334/?bc=100474937820</t>
  </si>
  <si>
    <t>都営大江戸線 東中野駅 4階建 築23年</t>
  </si>
  <si>
    <t>https://suumo.jp/chintai/jnc_000103903356/?bc=100483358983</t>
  </si>
  <si>
    <t>都営大江戸線 東中野駅 7階建 築9年</t>
  </si>
  <si>
    <t>https://suumo.jp/chintai/jnc_000061565634/?bc=100483673666</t>
  </si>
  <si>
    <t>ＣＡＳＡ　ＥＳＰＩＮＡＣＡ</t>
  </si>
  <si>
    <t>https://suumo.jp/chintai/jnc_000104399675/?bc=100485344686</t>
  </si>
  <si>
    <t>https://suumo.jp/chintai/jnc_000104510145/?bc=100486161098</t>
  </si>
  <si>
    <t>ＪＲ中央線 東中野駅 10階建 築8年</t>
  </si>
  <si>
    <t>https://suumo.jp/chintai/jnc_000104086237/?bc=100482873866</t>
  </si>
  <si>
    <t>https://suumo.jp/chintai/jnc_000098993170/?bc=100460336438</t>
  </si>
  <si>
    <t>https://suumo.jp/chintai/jnc_000102208889/?bc=100482336863</t>
  </si>
  <si>
    <t>https://suumo.jp/chintai/jnc_000102371876/?bc=100479992172</t>
  </si>
  <si>
    <t>https://suumo.jp/chintai/jnc_000102371878/?bc=100483190267</t>
  </si>
  <si>
    <t>https://suumo.jp/chintai/jnc_000102395807/?bc=100472828411</t>
  </si>
  <si>
    <t>https://suumo.jp/chintai/jnc_000104295028/?bc=100484880568</t>
  </si>
  <si>
    <t>ＪＲ中央線 東中野駅 14階建 築6年</t>
  </si>
  <si>
    <t>https://suumo.jp/chintai/jnc_000061538712/?bc=100481344238</t>
  </si>
  <si>
    <t>ＪＲ中央線 東中野駅 2階建 築18年</t>
  </si>
  <si>
    <t>https://suumo.jp/chintai/jnc_000104003967/?bc=100481934975</t>
  </si>
  <si>
    <t>ＪＲ中央線 東中野駅 2階建 築19年</t>
  </si>
  <si>
    <t>https://suumo.jp/chintai/jnc_000103987640/?bc=100482660143</t>
  </si>
  <si>
    <t>ＪＲ中央線 東中野駅 2階建 築38年</t>
  </si>
  <si>
    <t>https://suumo.jp/chintai/jnc_000104406515/?bc=100485391519</t>
  </si>
  <si>
    <t>ＪＲ中央線 東中野駅 2階建 築52年</t>
  </si>
  <si>
    <t>https://suumo.jp/chintai/jnc_000101486728/?bc=100459831345</t>
  </si>
  <si>
    <t>ＪＲ中央線 東中野駅 2階建 築56年</t>
  </si>
  <si>
    <t>https://suumo.jp/chintai/jnc_000104499532/?bc=100485886181</t>
  </si>
  <si>
    <t>https://suumo.jp/chintai/jnc_000061723644/?bc=100451521425</t>
  </si>
  <si>
    <t>https://suumo.jp/chintai/jnc_000083592167/?bc=100476436398</t>
  </si>
  <si>
    <t>ＪＲ中央線 東中野駅 3階建 築10年</t>
  </si>
  <si>
    <t>https://suumo.jp/chintai/jnc_000083592166/?bc=100476436395</t>
  </si>
  <si>
    <t>https://suumo.jp/chintai/jnc_000104438131/?bc=100485658304</t>
  </si>
  <si>
    <t>ＪＲ中央線 東中野駅 3階建 築16年</t>
  </si>
  <si>
    <t>https://suumo.jp/chintai/jnc_000103368401/?bc=100482389955</t>
  </si>
  <si>
    <t>ＪＲ中央線 東中野駅 3階建 築19年</t>
  </si>
  <si>
    <t>https://suumo.jp/chintai/jnc_000102396487/?bc=100485939254</t>
  </si>
  <si>
    <t>ＪＲ中央線 東中野駅 3階建 築30年</t>
  </si>
  <si>
    <t>https://suumo.jp/chintai/jnc_000103825327/?bc=100482076237</t>
  </si>
  <si>
    <t>ＪＲ中央線 東中野駅 3階建 築35年</t>
  </si>
  <si>
    <t>https://suumo.jp/chintai/jnc_000104003322/?bc=100482133945</t>
  </si>
  <si>
    <t>ＪＲ中央線 東中野駅 3階建 築38年</t>
  </si>
  <si>
    <t>https://suumo.jp/chintai/jnc_000104249782/?bc=100484156044</t>
  </si>
  <si>
    <t>ＪＲ中央線 東中野駅 3階建 築5年</t>
  </si>
  <si>
    <t>https://suumo.jp/chintai/jnc_000103851217/?bc=100481127821</t>
  </si>
  <si>
    <t>https://suumo.jp/chintai/jnc_000103851216/?bc=100481127825</t>
  </si>
  <si>
    <t>https://suumo.jp/chintai/jnc_000103717520/?bc=100479992155</t>
  </si>
  <si>
    <t>ＪＲ中央線 東中野駅 4階建 築10年</t>
  </si>
  <si>
    <t>https://suumo.jp/chintai/jnc_000104416507/?bc=100485508843</t>
  </si>
  <si>
    <t>ＪＲ中央線 東中野駅 4階建 築38年</t>
  </si>
  <si>
    <t>https://suumo.jp/chintai/jnc_000104139473/?bc=100483297154</t>
  </si>
  <si>
    <t>ＪＲ中央線 東中野駅 4階建 築58年</t>
  </si>
  <si>
    <t>https://suumo.jp/chintai/jnc_000103269718/?bc=100476718342</t>
  </si>
  <si>
    <t>ＪＲ中央線 東中野駅 5階建 築19年</t>
  </si>
  <si>
    <t>https://suumo.jp/chintai/jnc_000104261943/?bc=100484242084</t>
  </si>
  <si>
    <t>ＪＲ中央線 東中野駅 5階建 築21年</t>
  </si>
  <si>
    <t>https://suumo.jp/chintai/jnc_000102843209/?bc=100476987921</t>
  </si>
  <si>
    <t>https://suumo.jp/chintai/jnc_000103473397/?bc=100478007946</t>
  </si>
  <si>
    <t>ＪＲ中央線 東中野駅 5階建 築30年</t>
  </si>
  <si>
    <t>https://suumo.jp/chintai/jnc_000104509198/?bc=100486183060</t>
  </si>
  <si>
    <t>https://suumo.jp/chintai/jnc_000102455156/?bc=100478631837</t>
  </si>
  <si>
    <t>https://suumo.jp/chintai/jnc_000076407426/?bc=100478356597</t>
  </si>
  <si>
    <t>ＪＲ中央線 東中野駅 5階建 築6年</t>
  </si>
  <si>
    <t>https://suumo.jp/chintai/jnc_000103473387/?bc=100477786039</t>
  </si>
  <si>
    <t>https://suumo.jp/chintai/jnc_000103162009/?bc=100481067437</t>
  </si>
  <si>
    <t>ＪＲ中央線 東中野駅 5階建 築9年</t>
  </si>
  <si>
    <t>https://suumo.jp/chintai/jnc_000091825427/?bc=100478518452</t>
  </si>
  <si>
    <t>ＪＲ中央線 東中野駅 6階建 築24年</t>
  </si>
  <si>
    <t>https://suumo.jp/chintai/jnc_000103581550/?bc=100478511073</t>
  </si>
  <si>
    <t>https://suumo.jp/chintai/jnc_000103473394/?bc=100477786101</t>
  </si>
  <si>
    <t>https://suumo.jp/chintai/jnc_000102805046/?bc=100473970375</t>
  </si>
  <si>
    <t>ＪＲ中央線 東中野駅 7階建 築15年</t>
  </si>
  <si>
    <t>https://suumo.jp/chintai/jnc_000104222331/?bc=100473971838</t>
  </si>
  <si>
    <t>https://suumo.jp/chintai/jnc_000101634164/?bc=100472828415</t>
  </si>
  <si>
    <t>https://suumo.jp/chintai/jnc_000104186380/?bc=100483611997</t>
  </si>
  <si>
    <t>ＪＲ中央線 東中野駅 7階建 築22年</t>
  </si>
  <si>
    <t>https://suumo.jp/chintai/jnc_000098351072/?bc=100483549184</t>
  </si>
  <si>
    <t>https://suumo.jp/chintai/jnc_000104509194/?bc=100486401498</t>
  </si>
  <si>
    <t>ＪＲ中央線 東中野駅 8階建 築22年</t>
  </si>
  <si>
    <t>https://suumo.jp/chintai/jnc_000091007595/?bc=100118337149</t>
  </si>
  <si>
    <t>ＪＲ中央線 東中野駅 8階建 築53年</t>
  </si>
  <si>
    <t>https://suumo.jp/chintai/jnc_000103122453/?bc=100475102822</t>
  </si>
  <si>
    <t>https://suumo.jp/chintai/jnc_000100563049/?bc=100456259246</t>
  </si>
  <si>
    <t>ＪＲ中央線 東中野駅 9階建 築5年</t>
  </si>
  <si>
    <t>https://suumo.jp/chintai/jnc_000102671846/?bc=100483324866</t>
  </si>
  <si>
    <t>https://suumo.jp/chintai/jnc_000102671847/?bc=100472094389</t>
  </si>
  <si>
    <t>https://suumo.jp/chintai/jnc_000103135303/?bc=100478811505</t>
  </si>
  <si>
    <t>ＪＲ中央線 東中野駅 地下1地上9階建 築19年</t>
  </si>
  <si>
    <t>https://suumo.jp/chintai/jnc_000103492453/?bc=100477989148</t>
  </si>
  <si>
    <t>https://suumo.jp/chintai/jnc_000103161333/?bc=100481344254</t>
  </si>
  <si>
    <t>ＪＲ総武線 東中野駅 11階建 築26年</t>
  </si>
  <si>
    <t>https://suumo.jp/chintai/jnc_000101128463/?bc=100470559335</t>
  </si>
  <si>
    <t>https://suumo.jp/chintai/jnc_000104426281/?bc=100485544915</t>
  </si>
  <si>
    <t>ＪＲ総武線 東中野駅 13階建 築17年</t>
  </si>
  <si>
    <t>https://suumo.jp/chintai/jnc_000049464540/?bc=100482715465</t>
  </si>
  <si>
    <t>ＪＲ総武線 東中野駅 3階建 築19年</t>
  </si>
  <si>
    <t>https://suumo.jp/chintai/jnc_000049471139/?bc=100482582870</t>
  </si>
  <si>
    <t>https://suumo.jp/chintai/jnc_000102208891/?bc=100477668004</t>
  </si>
  <si>
    <t>ＪＲ総武線 東中野駅 3階建 築20年</t>
  </si>
  <si>
    <t>https://suumo.jp/chintai/jnc_000103527142/?bc=100478324768</t>
  </si>
  <si>
    <t>ＪＲ総武線 東中野駅 3階建 築5年</t>
  </si>
  <si>
    <t>https://suumo.jp/chintai/jnc_000104222335/?bc=100484082066</t>
  </si>
  <si>
    <t>ＪＲ総武線 東中野駅 4階建 築11年</t>
  </si>
  <si>
    <t>https://suumo.jp/chintai/jnc_000104406915/?bc=100485411225</t>
  </si>
  <si>
    <t>ＪＲ総武線 東中野駅 4階建 築2年</t>
  </si>
  <si>
    <t>https://suumo.jp/chintai/jnc_000104229465/?bc=100483994009</t>
  </si>
  <si>
    <t>ＪＲ総武線 東中野駅 5階建 築31年</t>
  </si>
  <si>
    <t>https://suumo.jp/chintai/jnc_000103530298/?bc=100478274286</t>
  </si>
  <si>
    <t>ＪＲ総武線 東中野駅 9階建 築23年</t>
  </si>
  <si>
    <t>https://suumo.jp/chintai/jnc_000103379766/?bc=100477119794</t>
  </si>
  <si>
    <t>https://suumo.jp/chintai/jnc_000104295027/?bc=100484997299</t>
  </si>
  <si>
    <t>Ｌａ Ｄｏｕｃｅｕｒ東中野</t>
  </si>
  <si>
    <t>https://suumo.jp/chintai/jnc_000104003999/?bc=100482034165</t>
  </si>
  <si>
    <t>Ｐａｓｔｅｌ　ｔｒｅｅ</t>
  </si>
  <si>
    <t>https://suumo.jp/chintai/jnc_000103770556/?bc=100480424802</t>
  </si>
  <si>
    <t>https://suumo.jp/chintai/jnc_000103770558/?bc=100482395747</t>
  </si>
  <si>
    <t>https://suumo.jp/chintai/jnc_000096990774/?bc=100484667115</t>
  </si>
  <si>
    <t>FABRIC東中野Residence</t>
  </si>
  <si>
    <t>https://suumo.jp/chintai/jnc_000103873809/?bc=100481301263</t>
  </si>
  <si>
    <t>GranDuo東中野II</t>
  </si>
  <si>
    <t>https://suumo.jp/chintai/jnc_000103743377/?bc=100483778703</t>
  </si>
  <si>
    <t>HF東中野レジデンス</t>
  </si>
  <si>
    <t>https://suumo.jp/chintai/jnc_000103771449/?bc=100484035205</t>
  </si>
  <si>
    <t>https://suumo.jp/chintai/jnc_000104406914/?bc=100486004261</t>
  </si>
  <si>
    <t>https://suumo.jp/chintai/jnc_000103259876/?bc=100477784692</t>
  </si>
  <si>
    <t>https://suumo.jp/chintai/jnc_000104464942/?bc=100479191408</t>
  </si>
  <si>
    <t>アンソレイユもみじ山</t>
  </si>
  <si>
    <t>https://suumo.jp/chintai/jnc_000053132600/?bc=100485358898</t>
  </si>
  <si>
    <t>アートクレール東中野1号館</t>
  </si>
  <si>
    <t>https://suumo.jp/chintai/jnc_000101771776/?bc=100472863624</t>
  </si>
  <si>
    <t>クレストコート東中野</t>
  </si>
  <si>
    <t>https://suumo.jp/chintai/jnc_000103994794/?bc=100482254427</t>
  </si>
  <si>
    <t>https://suumo.jp/chintai/jnc_000103994795/?bc=100485545460</t>
  </si>
  <si>
    <t>https://suumo.jp/chintai/jnc_000103994798/?bc=100482120564</t>
  </si>
  <si>
    <t>https://suumo.jp/chintai/jnc_000102998316/?bc=100476687447</t>
  </si>
  <si>
    <t>https://suumo.jp/chintai/jnc_000100257760/?bc=100482186341</t>
  </si>
  <si>
    <t>https://suumo.jp/chintai/jnc_000099437318/?bc=100485785192</t>
  </si>
  <si>
    <t>https://suumo.jp/chintai/jnc_000100284066/?bc=100450402605</t>
  </si>
  <si>
    <t>https://suumo.jp/chintai/jnc_000101319456/?bc=100482151288</t>
  </si>
  <si>
    <t>https://suumo.jp/chintai/jnc_000101319458/?bc=100478839898</t>
  </si>
  <si>
    <t>https://suumo.jp/chintai/jnc_000102361081/?bc=100462436848</t>
  </si>
  <si>
    <t>https://suumo.jp/chintai/jnc_000102361083/?bc=100482160452</t>
  </si>
  <si>
    <t>https://suumo.jp/chintai/jnc_000104063958/?bc=100483771987</t>
  </si>
  <si>
    <t>サンウッド東中野</t>
  </si>
  <si>
    <t>https://suumo.jp/chintai/jnc_000104029335/?bc=100482325992</t>
  </si>
  <si>
    <t>https://suumo.jp/chintai/jnc_000103187354/?bc=100484172517</t>
  </si>
  <si>
    <t>スカイコートヒルズ北新宿</t>
  </si>
  <si>
    <t>https://suumo.jp/chintai/jnc_000103307454/?bc=100476744355</t>
  </si>
  <si>
    <t>セリタビル</t>
  </si>
  <si>
    <t>https://suumo.jp/chintai/jnc_000104138615/?bc=100485769534</t>
  </si>
  <si>
    <t>https://suumo.jp/chintai/jnc_000096937916/?bc=100468213270</t>
  </si>
  <si>
    <t>パークタワー東中野</t>
  </si>
  <si>
    <t>https://suumo.jp/chintai/jnc_000101487484/?bc=100481129466</t>
  </si>
  <si>
    <t>パークハビオ東中野</t>
  </si>
  <si>
    <t>https://suumo.jp/chintai/jnc_000102396489/?bc=100478343251</t>
  </si>
  <si>
    <t>ビューノ</t>
  </si>
  <si>
    <t>https://suumo.jp/chintai/jnc_000102555246/?bc=100485394932</t>
  </si>
  <si>
    <t>https://suumo.jp/chintai/jnc_000103527146/?bc=100484264499</t>
  </si>
  <si>
    <t>フォレストコート東中野</t>
  </si>
  <si>
    <t>https://suumo.jp/chintai/jnc_000102862667/?bc=100485785958</t>
  </si>
  <si>
    <t>https://suumo.jp/chintai/jnc_000101302161/?bc=100476942062</t>
  </si>
  <si>
    <t>https://suumo.jp/chintai/jnc_000103231717/?bc=100480866889</t>
  </si>
  <si>
    <t>https://suumo.jp/chintai/jnc_000098645774/?bc=100441101279</t>
  </si>
  <si>
    <t>https://suumo.jp/chintai/jnc_000104449862/?bc=100260560485</t>
  </si>
  <si>
    <t>ユニゾンタワー</t>
  </si>
  <si>
    <t>https://suumo.jp/chintai/jnc_000103909150/?bc=100475848713</t>
  </si>
  <si>
    <t>https://suumo.jp/chintai/jnc_000102672629/?bc=100472866957</t>
  </si>
  <si>
    <t>https://suumo.jp/chintai/jnc_000103909152/?bc=100482223046</t>
  </si>
  <si>
    <t>https://suumo.jp/chintai/jnc_000103223533/?bc=100345191667</t>
  </si>
  <si>
    <t>https://suumo.jp/chintai/jnc_000104076699/?bc=100482858697</t>
  </si>
  <si>
    <t>https://suumo.jp/chintai/jnc_000103947719/?bc=100482186211</t>
  </si>
  <si>
    <t>https://suumo.jp/chintai/jnc_000103330735/?bc=100477105517</t>
  </si>
  <si>
    <t>https://suumo.jp/chintai/jnc_000104519180/?bc=100486339628</t>
  </si>
  <si>
    <t>https://suumo.jp/chintai/jnc_000104091979/?bc=100483397477</t>
  </si>
  <si>
    <t>https://suumo.jp/chintai/jnc_000104091980/?bc=100480427993</t>
  </si>
  <si>
    <t>https://suumo.jp/chintai/jnc_000103909154/?bc=100482956444</t>
  </si>
  <si>
    <t>https://suumo.jp/chintai/jnc_000104442917/?bc=100485704303</t>
  </si>
  <si>
    <t>ラウレア</t>
  </si>
  <si>
    <t>https://suumo.jp/chintai/jnc_000104498670/?bc=100486218351</t>
  </si>
  <si>
    <t>ラミィ北新宿</t>
  </si>
  <si>
    <t>https://suumo.jp/chintai/jnc_000103762840/?bc=100485547908</t>
  </si>
  <si>
    <t>ラ・ミアカーサ東中野</t>
  </si>
  <si>
    <t>https://suumo.jp/chintai/jnc_000101472621/?bc=100463049714</t>
  </si>
  <si>
    <t>https://suumo.jp/chintai/jnc_000103864701/?bc=100483337374</t>
  </si>
  <si>
    <t>https://suumo.jp/chintai/jnc_000103685974/?bc=100480361917</t>
  </si>
  <si>
    <t>https://suumo.jp/chintai/jnc_000102538459/?bc=100472237424</t>
  </si>
  <si>
    <t>https://suumo.jp/chintai/jnc_000098654193/?bc=100471671963</t>
  </si>
  <si>
    <t>レジデンス東中野ガーデン</t>
  </si>
  <si>
    <t>https://suumo.jp/chintai/jnc_000104341766/?bc=100472702967</t>
  </si>
  <si>
    <t>https://suumo.jp/chintai/jnc_000104156763/?bc=100483389203</t>
  </si>
  <si>
    <t>https://suumo.jp/chintai/jnc_000104156775/?bc=100483389089</t>
  </si>
  <si>
    <t>https://suumo.jp/chintai/jnc_000104069534/?bc=100482949041</t>
  </si>
  <si>
    <t>ヴィクトワール北新宿</t>
  </si>
  <si>
    <t>https://suumo.jp/chintai/jnc_000103649642/?bc=100479430785</t>
  </si>
  <si>
    <t>仮称　上高田1丁目</t>
  </si>
  <si>
    <t>https://suumo.jp/chintai/jnc_000103649643/?bc=100479430788</t>
  </si>
  <si>
    <t>https://suumo.jp/chintai/jnc_000102732921/?bc=100471965430</t>
  </si>
  <si>
    <t>松屋ビル</t>
  </si>
  <si>
    <t>https://suumo.jp/chintai/jnc_000104438116/?bc=100464926309</t>
  </si>
  <si>
    <t>都営大江戸線 東中野駅 2階建 築33年</t>
  </si>
  <si>
    <t>https://suumo.jp/chintai/jnc_000090625321/?bc=100447243428</t>
  </si>
  <si>
    <t>都営大江戸線 東中野駅 3階建 築14年</t>
  </si>
  <si>
    <t>https://suumo.jp/chintai/jnc_000103987637/?bc=100486334255</t>
  </si>
  <si>
    <t>Ｄ－Ｒｏｏｍ東中野</t>
  </si>
  <si>
    <t>https://suumo.jp/chintai/jnc_000104464947/?bc=100483191616</t>
  </si>
  <si>
    <t>ＪＲ中央線 中野駅 2階建 新築</t>
  </si>
  <si>
    <t>https://suumo.jp/chintai/jnc_000104417262/?bc=100485692591</t>
  </si>
  <si>
    <t>https://suumo.jp/chintai/jnc_000103259878/?bc=100476205664</t>
  </si>
  <si>
    <t>https://suumo.jp/chintai/jnc_000104097118/?bc=100478371691</t>
  </si>
  <si>
    <t>https://suumo.jp/chintai/jnc_000102395805/?bc=100485826619</t>
  </si>
  <si>
    <t>https://suumo.jp/chintai/jnc_000101505667/?bc=100460344423</t>
  </si>
  <si>
    <t>ＪＲ中央線 東中野駅 15階建 築16年</t>
  </si>
  <si>
    <t>https://suumo.jp/chintai/jnc_000103977497/?bc=100482511952</t>
  </si>
  <si>
    <t>ＪＲ中央線 東中野駅 2階建 築12年</t>
  </si>
  <si>
    <t>https://suumo.jp/chintai/jnc_000103536675/?bc=100480789923</t>
  </si>
  <si>
    <t>ＪＲ中央線 東中野駅 2階建 築7年</t>
  </si>
  <si>
    <t>https://suumo.jp/chintai/jnc_000104215474/?bc=100483910599</t>
  </si>
  <si>
    <t>ＪＲ中央線 東中野駅 3階建 築11年</t>
  </si>
  <si>
    <t>https://suumo.jp/chintai/jnc_000104464975/?bc=100485897392</t>
  </si>
  <si>
    <t>https://suumo.jp/chintai/jnc_000042806222/?bc=100483292056</t>
  </si>
  <si>
    <t>ＪＲ中央線 東中野駅 3階建 築44年</t>
  </si>
  <si>
    <t>https://suumo.jp/chintai/jnc_000103851218/?bc=100481127812</t>
  </si>
  <si>
    <t>https://suumo.jp/chintai/jnc_000104054953/?bc=100482596563</t>
  </si>
  <si>
    <t>ＪＲ中央線 東中野駅 4階建 築2年</t>
  </si>
  <si>
    <t>https://suumo.jp/chintai/jnc_000061315020/?bc=100481137726</t>
  </si>
  <si>
    <t>https://suumo.jp/chintai/jnc_000053132601/?bc=100485398543</t>
  </si>
  <si>
    <t>ＪＲ中央線 東中野駅 5階建 築52年</t>
  </si>
  <si>
    <t>https://suumo.jp/chintai/jnc_000103771448/?bc=100480814842</t>
  </si>
  <si>
    <t>ＪＲ中央線 東中野駅 5階建 築7年</t>
  </si>
  <si>
    <t>https://suumo.jp/chintai/jnc_000101505666/?bc=100479461105</t>
  </si>
  <si>
    <t>https://suumo.jp/chintai/jnc_000103864703/?bc=100483192818</t>
  </si>
  <si>
    <t>https://suumo.jp/chintai/jnc_000103695177/?bc=100479799212</t>
  </si>
  <si>
    <t>https://suumo.jp/chintai/jnc_000103863936/?bc=100481446892</t>
  </si>
  <si>
    <t>ＪＲ中央線 東中野駅 7階建 築19年</t>
  </si>
  <si>
    <t>https://suumo.jp/chintai/jnc_000102118142/?bc=100478518627</t>
  </si>
  <si>
    <t>ＪＲ中央線 東中野駅 9階建 築8年</t>
  </si>
  <si>
    <t>https://suumo.jp/chintai/jnc_000103338553/?bc=100476707035</t>
  </si>
  <si>
    <t>ＪＲ中央線 東中野駅 地下1地上30階建 築20年</t>
  </si>
  <si>
    <t>https://suumo.jp/chintai/jnc_000104464976/?bc=100473972183</t>
  </si>
  <si>
    <t>ＪＲ中央線 東中野駅 地下2地上31階建 築19年</t>
  </si>
  <si>
    <t>https://suumo.jp/chintai/jnc_000103919963/?bc=100480118902</t>
  </si>
  <si>
    <t>https://suumo.jp/chintai/jnc_000102679429/?bc=100480789936</t>
  </si>
  <si>
    <t>https://suumo.jp/chintai/jnc_000104070152/?bc=100483322488</t>
  </si>
  <si>
    <t>https://suumo.jp/chintai/jnc_000104519181/?bc=100486370612</t>
  </si>
  <si>
    <t>https://suumo.jp/chintai/jnc_000104108080/?bc=100483180776</t>
  </si>
  <si>
    <t>https://suumo.jp/chintai/jnc_000102372518/?bc=100483257898</t>
  </si>
  <si>
    <t>ＪＲ総武線 東中野駅 12階建 築1年</t>
  </si>
  <si>
    <t>https://suumo.jp/chintai/jnc_000104156801/?bc=100483257879</t>
  </si>
  <si>
    <t>https://suumo.jp/chintai/jnc_000104156802/?bc=100484366594</t>
  </si>
  <si>
    <t>https://suumo.jp/chintai/jnc_000104156804/?bc=100484366592</t>
  </si>
  <si>
    <t>https://suumo.jp/chintai/jnc_000102998319/?bc=100479790333</t>
  </si>
  <si>
    <t>https://suumo.jp/chintai/jnc_000100270194/?bc=100483257877</t>
  </si>
  <si>
    <t>https://suumo.jp/chintai/jnc_000099392943/?bc=100467840242</t>
  </si>
  <si>
    <t>https://suumo.jp/chintai/jnc_000100276321/?bc=100485994196</t>
  </si>
  <si>
    <t>https://suumo.jp/chintai/jnc_000102888098/?bc=100477126540</t>
  </si>
  <si>
    <t>https://suumo.jp/chintai/jnc_000104086238/?bc=100482965688</t>
  </si>
  <si>
    <t>ＪＲ総武線 東中野駅 14階建 築11年</t>
  </si>
  <si>
    <t>https://suumo.jp/chintai/jnc_000097740329/?bc=100474752366</t>
  </si>
  <si>
    <t>ＪＲ総武線 東中野駅 2階建 築2年</t>
  </si>
  <si>
    <t>https://suumo.jp/chintai/jnc_000102405267/?bc=100478518252</t>
  </si>
  <si>
    <t>ＪＲ総武線 東中野駅 3階建 築11年</t>
  </si>
  <si>
    <t>https://suumo.jp/chintai/jnc_000102555247/?bc=100475553258</t>
  </si>
  <si>
    <t>https://suumo.jp/chintai/jnc_000100726557/?bc=100481966791</t>
  </si>
  <si>
    <t>ＪＲ総武線 東中野駅 3階建 築14年</t>
  </si>
  <si>
    <t>https://suumo.jp/chintai/jnc_000103317175/?bc=100477548669</t>
  </si>
  <si>
    <t>ＪＲ総武線 東中野駅 4階建 築49年</t>
  </si>
  <si>
    <t>https://suumo.jp/chintai/jnc_000098688127/?bc=100480545438</t>
  </si>
  <si>
    <t>https://suumo.jp/chintai/jnc_000103762844/?bc=100480613074</t>
  </si>
  <si>
    <t>ＪＲ総武線 東中野駅 地下1地上11階建 築19年</t>
  </si>
  <si>
    <t>https://suumo.jp/chintai/jnc_000103743378/?bc=100484342441</t>
  </si>
  <si>
    <t>https://suumo.jp/chintai/jnc_000103856294/?bc=100486097007</t>
  </si>
  <si>
    <t>ＰＯＭＯＮＡ</t>
  </si>
  <si>
    <t>https://suumo.jp/chintai/jnc_000097749326/?bc=100465183669</t>
  </si>
  <si>
    <t>Ｐｅｏｎｙ</t>
  </si>
  <si>
    <t>https://suumo.jp/chintai/jnc_000102979680/?bc=100482231848</t>
  </si>
  <si>
    <t>ＳＯＰＨＩＳＴＡ中野</t>
  </si>
  <si>
    <t>https://suumo.jp/chintai/jnc_000102979679/?bc=100482231823</t>
  </si>
  <si>
    <t>https://suumo.jp/chintai/jnc_000102979682/?bc=100482231958</t>
  </si>
  <si>
    <t>https://suumo.jp/chintai/jnc_000104398966/?bc=100485368429</t>
  </si>
  <si>
    <t>COCOFLAT東中野</t>
  </si>
  <si>
    <t>https://suumo.jp/chintai/jnc_000102225140/?bc=100468439524</t>
  </si>
  <si>
    <t>CREA中野坂上</t>
  </si>
  <si>
    <t>https://suumo.jp/chintai/jnc_000103792595/?bc=100482096407</t>
  </si>
  <si>
    <t>Charmaine東中野</t>
  </si>
  <si>
    <t>https://suumo.jp/chintai/jnc_000100327701/?bc=100471242049</t>
  </si>
  <si>
    <t>Cアーバンプレイス中野坂上IIIＢ</t>
  </si>
  <si>
    <t>https://suumo.jp/chintai/jnc_000103625937/?bc=100482399570</t>
  </si>
  <si>
    <t>Fullea東中野（フレアヒガシナカノ）</t>
  </si>
  <si>
    <t>https://suumo.jp/chintai/jnc_000103987136/?bc=100484859042</t>
  </si>
  <si>
    <t>KRハウス</t>
  </si>
  <si>
    <t>東京都新宿区北新宿１</t>
  </si>
  <si>
    <t>https://suumo.jp/chintai/jnc_000103987137/?bc=100484859082</t>
  </si>
  <si>
    <t>https://suumo.jp/chintai/jnc_000104170654/?bc=100485654037</t>
  </si>
  <si>
    <t>MANNA　A棟</t>
  </si>
  <si>
    <t>https://suumo.jp/chintai/jnc_000098264547/?bc=100471257107</t>
  </si>
  <si>
    <t>https://suumo.jp/chintai/jnc_000104170656/?bc=100485653960</t>
  </si>
  <si>
    <t>MANNA　B棟</t>
  </si>
  <si>
    <t>https://suumo.jp/chintai/jnc_000063808133/?bc=100144378240</t>
  </si>
  <si>
    <t>MOET</t>
  </si>
  <si>
    <t>https://suumo.jp/chintai/jnc_000102927937/?bc=100474709131</t>
  </si>
  <si>
    <t>RELUXIA　CITY　北新宿</t>
  </si>
  <si>
    <t>https://suumo.jp/chintai/jnc_000103078029/?bc=100475837859</t>
  </si>
  <si>
    <t>https://suumo.jp/chintai/jnc_000103570824/?bc=100478746810</t>
  </si>
  <si>
    <t>https://suumo.jp/chintai/jnc_000103873079/?bc=100485608997</t>
  </si>
  <si>
    <t>https://suumo.jp/chintai/jnc_000104426282/?bc=100485675221</t>
  </si>
  <si>
    <t>https://suumo.jp/chintai/jnc_000102103497/?bc=100484246881</t>
  </si>
  <si>
    <t>https://suumo.jp/chintai/jnc_000103762849/?bc=100483967051</t>
  </si>
  <si>
    <t>https://suumo.jp/chintai/jnc_000103680781/?bc=100481911559</t>
  </si>
  <si>
    <t>ときわハイツ</t>
  </si>
  <si>
    <t>https://suumo.jp/chintai/jnc_000100468613/?bc=100482728333</t>
  </si>
  <si>
    <t>アネックス大舘</t>
  </si>
  <si>
    <t>https://suumo.jp/chintai/jnc_000096582669/?bc=100406415289</t>
  </si>
  <si>
    <t>アパートメント435</t>
  </si>
  <si>
    <t>https://suumo.jp/chintai/jnc_000097762177/?bc=100416983100</t>
  </si>
  <si>
    <t>https://suumo.jp/chintai/jnc_000104425524/?bc=100485571866</t>
  </si>
  <si>
    <t>アパートメントＭ</t>
  </si>
  <si>
    <t>https://suumo.jp/chintai/jnc_000102324020/?bc=100485494312</t>
  </si>
  <si>
    <t>https://suumo.jp/chintai/jnc_000104310675/?bc=100484925123</t>
  </si>
  <si>
    <t>アーバンテラス東中野</t>
  </si>
  <si>
    <t>https://suumo.jp/chintai/jnc_000065953830/?bc=100243062445</t>
  </si>
  <si>
    <t>https://suumo.jp/chintai/jnc_000104060455/?bc=100482634899</t>
  </si>
  <si>
    <t>エステート東中野</t>
  </si>
  <si>
    <t>https://suumo.jp/chintai/jnc_000104378971/?bc=100456544277</t>
  </si>
  <si>
    <t>グランエッグス東中野</t>
  </si>
  <si>
    <t>https://suumo.jp/chintai/jnc_000104348352/?bc=100485051440</t>
  </si>
  <si>
    <t>https://suumo.jp/chintai/jnc_000101605822/?bc=100484526003</t>
  </si>
  <si>
    <t>https://suumo.jp/chintai/jnc_000032915629/?bc=100483896990</t>
  </si>
  <si>
    <t>グレースシャルマン</t>
  </si>
  <si>
    <t>https://suumo.jp/chintai/jnc_000088295952/?bc=100482197502</t>
  </si>
  <si>
    <t>グレースハイム</t>
  </si>
  <si>
    <t>https://suumo.jp/chintai/jnc_000100298316/?bc=100482159625</t>
  </si>
  <si>
    <t>ケリーズコーブ</t>
  </si>
  <si>
    <t>https://suumo.jp/chintai/jnc_000103658005/?bc=100041299296</t>
  </si>
  <si>
    <t>コンフォート柏木</t>
  </si>
  <si>
    <t>https://suumo.jp/chintai/jnc_000104223004/?bc=100483124318</t>
  </si>
  <si>
    <t>https://suumo.jp/chintai/jnc_000098302732/?bc=100482767996</t>
  </si>
  <si>
    <t>シティフラット25</t>
  </si>
  <si>
    <t>https://suumo.jp/chintai/jnc_000099803740/?bc=100459621968</t>
  </si>
  <si>
    <t>https://suumo.jp/chintai/jnc_000104076697/?bc=100482767515</t>
  </si>
  <si>
    <t>https://suumo.jp/chintai/jnc_000102771929/?bc=100474635487</t>
  </si>
  <si>
    <t>https://suumo.jp/chintai/jnc_000103513720/?bc=100485351029</t>
  </si>
  <si>
    <t>スカイコート新宿第10</t>
  </si>
  <si>
    <t>https://suumo.jp/chintai/jnc_000103277796/?bc=100476496424</t>
  </si>
  <si>
    <t>https://suumo.jp/chintai/jnc_000103435847/?bc=100477557752</t>
  </si>
  <si>
    <t>https://suumo.jp/chintai/jnc_000104179476/?bc=100483394833</t>
  </si>
  <si>
    <t>スワンレイク東中野</t>
  </si>
  <si>
    <t>https://suumo.jp/chintai/jnc_000090777153/?bc=100478147330</t>
  </si>
  <si>
    <t>セラフビル</t>
  </si>
  <si>
    <t>https://suumo.jp/chintai/jnc_000103179178/?bc=100476319487</t>
  </si>
  <si>
    <t>ソワフィーユ東中野</t>
  </si>
  <si>
    <t>https://suumo.jp/chintai/jnc_000104454988/?bc=100485948834</t>
  </si>
  <si>
    <t>ハイツ葉月</t>
  </si>
  <si>
    <t>https://suumo.jp/chintai/jnc_000104454989/?bc=100485948645</t>
  </si>
  <si>
    <t>https://suumo.jp/chintai/jnc_000102455281/?bc=100480721143</t>
  </si>
  <si>
    <t>ハーモニーテラス中野II</t>
  </si>
  <si>
    <t>https://suumo.jp/chintai/jnc_000098159071/?bc=100482222531</t>
  </si>
  <si>
    <t>https://suumo.jp/chintai/jnc_000103680802/?bc=100479541772</t>
  </si>
  <si>
    <t>https://suumo.jp/chintai/jnc_000104285626/?bc=100484455718</t>
  </si>
  <si>
    <t>バウスクロス北新宿</t>
  </si>
  <si>
    <t>https://suumo.jp/chintai/jnc_000104348342/?bc=100484920188</t>
  </si>
  <si>
    <t>パレステージ中野</t>
  </si>
  <si>
    <t>https://suumo.jp/chintai/jnc_000103750103/?bc=100480261464</t>
  </si>
  <si>
    <t>パークコート北新宿</t>
  </si>
  <si>
    <t>https://suumo.jp/chintai/jnc_000103481466/?bc=100481485284</t>
  </si>
  <si>
    <t>https://suumo.jp/chintai/jnc_000103032335/?bc=100486334281</t>
  </si>
  <si>
    <t>https://suumo.jp/chintai/jnc_000104417263/?bc=100485745034</t>
  </si>
  <si>
    <t>パーシモン東中野</t>
  </si>
  <si>
    <t>https://suumo.jp/chintai/jnc_000104433315/?bc=100485745017</t>
  </si>
  <si>
    <t>https://suumo.jp/chintai/jnc_000103474101/?bc=100477760927</t>
  </si>
  <si>
    <t>ビュー東中野</t>
  </si>
  <si>
    <t>https://suumo.jp/chintai/jnc_000089327147/?bc=100484761687</t>
  </si>
  <si>
    <t>ファインズコート北新宿</t>
  </si>
  <si>
    <t>https://suumo.jp/chintai/jnc_000101505645/?bc=100482772493</t>
  </si>
  <si>
    <t>フォレストステージ上高田</t>
  </si>
  <si>
    <t>https://suumo.jp/chintai/jnc_000104499534/?bc=100486107537</t>
  </si>
  <si>
    <t>ベルハウス</t>
  </si>
  <si>
    <t>https://suumo.jp/chintai/jnc_000104003324/?bc=100482728781</t>
  </si>
  <si>
    <t>ミストラル</t>
  </si>
  <si>
    <t>https://suumo.jp/chintai/jnc_000101624761/?bc=100466801626</t>
  </si>
  <si>
    <t>https://suumo.jp/chintai/jnc_000104138613/?bc=100472580138</t>
  </si>
  <si>
    <t>https://suumo.jp/chintai/jnc_000104063396/?bc=100482836177</t>
  </si>
  <si>
    <t>メゾンイシイ</t>
  </si>
  <si>
    <t>https://suumo.jp/chintai/jnc_000022859793/?bc=100478762521</t>
  </si>
  <si>
    <t>メゾン・ド・F</t>
  </si>
  <si>
    <t>https://suumo.jp/chintai/jnc_000102751107/?bc=100480120029</t>
  </si>
  <si>
    <t>メゾン・ド・エクセレ</t>
  </si>
  <si>
    <t>https://suumo.jp/chintai/jnc_000104003321/?bc=100482162162</t>
  </si>
  <si>
    <t>メゾン・ド・北新宿</t>
  </si>
  <si>
    <t>https://suumo.jp/chintai/jnc_000104357246/?bc=100482657607</t>
  </si>
  <si>
    <t>メゾン上ノ原</t>
  </si>
  <si>
    <t>https://suumo.jp/chintai/jnc_000104357233/?bc=100484627722</t>
  </si>
  <si>
    <t>ライフピアライジング</t>
  </si>
  <si>
    <t>https://suumo.jp/chintai/jnc_000104357234/?bc=100475395796</t>
  </si>
  <si>
    <t>https://suumo.jp/chintai/jnc_000104348326/?bc=100485941169</t>
  </si>
  <si>
    <t>ライフピア東中野Ａ棟</t>
  </si>
  <si>
    <t>https://suumo.jp/chintai/jnc_000103169867/?bc=100475432737</t>
  </si>
  <si>
    <t>ライブコア東中野</t>
  </si>
  <si>
    <t>https://suumo.jp/chintai/jnc_000104347521/?bc=100484917349</t>
  </si>
  <si>
    <t>ラブリハイツ北新宿第2</t>
  </si>
  <si>
    <t>https://suumo.jp/chintai/jnc_000103217338/?bc=100475880828</t>
  </si>
  <si>
    <t>リブフラット北新宿</t>
  </si>
  <si>
    <t>https://suumo.jp/chintai/jnc_000104474384/?bc=100486327540</t>
  </si>
  <si>
    <t>ルミエール中野一丁目</t>
  </si>
  <si>
    <t>https://suumo.jp/chintai/jnc_000104426266/?bc=100485608880</t>
  </si>
  <si>
    <t>https://suumo.jp/chintai/jnc_000103563640/?bc=100484750880</t>
  </si>
  <si>
    <t>https://suumo.jp/chintai/jnc_000104426267/?bc=100485868581</t>
  </si>
  <si>
    <t>https://suumo.jp/chintai/jnc_000104474385/?bc=100486327418</t>
  </si>
  <si>
    <t>https://suumo.jp/chintai/jnc_000103563641/?bc=100484587719</t>
  </si>
  <si>
    <t>https://suumo.jp/chintai/jnc_000104229977/?bc=100484466117</t>
  </si>
  <si>
    <t>中野一丁目コーポ</t>
  </si>
  <si>
    <t>https://suumo.jp/chintai/jnc_000103977445/?bc=100482602361</t>
  </si>
  <si>
    <t>https://suumo.jp/chintai/jnc_000100203679/?bc=100448683180</t>
  </si>
  <si>
    <t>大庭ビル</t>
  </si>
  <si>
    <t>https://suumo.jp/chintai/jnc_000103969608/?bc=100448613685</t>
  </si>
  <si>
    <t>山内ビル</t>
  </si>
  <si>
    <t>https://suumo.jp/chintai/jnc_000094247670/?bc=100474962365</t>
  </si>
  <si>
    <t>東中野ガーデン</t>
  </si>
  <si>
    <t>https://suumo.jp/chintai/jnc_000103969584/?bc=100482268809</t>
  </si>
  <si>
    <t>https://suumo.jp/chintai/jnc_000103611157/?bc=100483561552</t>
  </si>
  <si>
    <t>https://suumo.jp/chintai/jnc_000103611158/?bc=100478967133</t>
  </si>
  <si>
    <t>https://suumo.jp/chintai/jnc_000104357245/?bc=100475439539</t>
  </si>
  <si>
    <t>都営大江戸線 東中野駅 2階建 築99年以上</t>
  </si>
  <si>
    <t>https://suumo.jp/chintai/jnc_000102307782/?bc=100468284432</t>
  </si>
  <si>
    <t>都営大江戸線 東中野駅 7階建 築25年</t>
  </si>
  <si>
    <t>https://suumo.jp/chintai/jnc_000104356688/?bc=100485364072</t>
  </si>
  <si>
    <t>黒澤マンション</t>
  </si>
  <si>
    <t>https://suumo.jp/chintai/jnc_000104406901/?bc=100485403226</t>
  </si>
  <si>
    <t>ＢＰナカノ</t>
  </si>
  <si>
    <t>https://suumo.jp/chintai/jnc_000092128308/?bc=100483082913</t>
  </si>
  <si>
    <t>Ｃｏｎ　Ｂｒｉｏ東中野</t>
  </si>
  <si>
    <t>https://suumo.jp/chintai/jnc_000104179496/?bc=100483455871</t>
  </si>
  <si>
    <t>https://suumo.jp/chintai/jnc_000102875074/?bc=100473397830</t>
  </si>
  <si>
    <t>https://suumo.jp/chintai/jnc_000103046085/?bc=100474548062</t>
  </si>
  <si>
    <t>https://suumo.jp/chintai/jnc_000103994050/?bc=100482151187</t>
  </si>
  <si>
    <t>ＪＲ中央線 東中野駅 2階建 築10年</t>
  </si>
  <si>
    <t>https://suumo.jp/chintai/jnc_000102307783/?bc=100473971718</t>
  </si>
  <si>
    <t>https://suumo.jp/chintai/jnc_000103792596/?bc=100481015967</t>
  </si>
  <si>
    <t>ＪＲ中央線 東中野駅 2階建 築1年</t>
  </si>
  <si>
    <t>https://suumo.jp/chintai/jnc_000104326820/?bc=100484740748</t>
  </si>
  <si>
    <t>ＪＲ中央線 東中野駅 2階建 築20年</t>
  </si>
  <si>
    <t>https://suumo.jp/chintai/jnc_000103994799/?bc=100482055588</t>
  </si>
  <si>
    <t>ＪＲ中央線 東中野駅 2階建 築33年</t>
  </si>
  <si>
    <t>https://suumo.jp/chintai/jnc_000103743375/?bc=100480196759</t>
  </si>
  <si>
    <t>ＪＲ中央線 東中野駅 2階建 築35年</t>
  </si>
  <si>
    <t>https://suumo.jp/chintai/jnc_000104335119/?bc=100484815824</t>
  </si>
  <si>
    <t>https://suumo.jp/chintai/jnc_000103821807/?bc=100355207341</t>
  </si>
  <si>
    <t>https://suumo.jp/chintai/jnc_000101301440/?bc=100290906623</t>
  </si>
  <si>
    <t>https://suumo.jp/chintai/jnc_000068962161/?bc=100474625530</t>
  </si>
  <si>
    <t>ＪＲ中央線 東中野駅 2階建 築42年</t>
  </si>
  <si>
    <t>https://suumo.jp/chintai/jnc_000102771882/?bc=100472299660</t>
  </si>
  <si>
    <t>ＪＲ中央線 東中野駅 2階建 築60年</t>
  </si>
  <si>
    <t>https://suumo.jp/chintai/jnc_000102464194/?bc=100469785339</t>
  </si>
  <si>
    <t>https://suumo.jp/chintai/jnc_000104170655/?bc=100485654244</t>
  </si>
  <si>
    <t>ＪＲ中央線 東中野駅 2階建 築6年</t>
  </si>
  <si>
    <t>https://suumo.jp/chintai/jnc_000104373088/?bc=100485658367</t>
  </si>
  <si>
    <t>https://suumo.jp/chintai/jnc_000101208512/?bc=100475369433</t>
  </si>
  <si>
    <t>ＪＲ中央線 東中野駅 2階建 築8年</t>
  </si>
  <si>
    <t>https://suumo.jp/chintai/jnc_000101390438/?bc=100460743926</t>
  </si>
  <si>
    <t>https://suumo.jp/chintai/jnc_000098165391/?bc=100434751217</t>
  </si>
  <si>
    <t>https://suumo.jp/chintai/jnc_000104235631/?bc=100479046228</t>
  </si>
  <si>
    <t>ＪＲ中央線 東中野駅 2階建 築9年</t>
  </si>
  <si>
    <t>https://suumo.jp/chintai/jnc_000103199046/?bc=100476693440</t>
  </si>
  <si>
    <t>https://suumo.jp/chintai/jnc_000102771930/?bc=100474632403</t>
  </si>
  <si>
    <t>ＪＲ中央線 東中野駅 3階建 築36年</t>
  </si>
  <si>
    <t>https://suumo.jp/chintai/jnc_000104317183/?bc=100484658908</t>
  </si>
  <si>
    <t>ＪＲ中央線 東中野駅 3階建 築37年</t>
  </si>
  <si>
    <t>https://suumo.jp/chintai/jnc_000103977496/?bc=100483179566</t>
  </si>
  <si>
    <t>ＪＲ中央線 東中野駅 3階建 築8年</t>
  </si>
  <si>
    <t>https://suumo.jp/chintai/jnc_000103625938/?bc=100482730133</t>
  </si>
  <si>
    <t>https://suumo.jp/chintai/jnc_000103578607/?bc=100479525839</t>
  </si>
  <si>
    <t>https://suumo.jp/chintai/jnc_000104295026/?bc=100484536967</t>
  </si>
  <si>
    <t>ＪＲ中央線 東中野駅 4階建 築47年</t>
  </si>
  <si>
    <t>https://suumo.jp/chintai/jnc_000103316412/?bc=100477951434</t>
  </si>
  <si>
    <t>https://suumo.jp/chintai/jnc_000104363178/?bc=100485035890</t>
  </si>
  <si>
    <t>ＪＲ中央線 東中野駅 5階建 築48年</t>
  </si>
  <si>
    <t>https://suumo.jp/chintai/jnc_000102813964/?bc=100472951869</t>
  </si>
  <si>
    <t>https://suumo.jp/chintai/jnc_000104043941/?bc=100481346256</t>
  </si>
  <si>
    <t>ＪＲ中央線 東中野駅 7階建 築28年</t>
  </si>
  <si>
    <t>https://suumo.jp/chintai/jnc_000031498317/?bc=100099658359</t>
  </si>
  <si>
    <t>https://suumo.jp/chintai/jnc_000099954331/?bc=100293996443</t>
  </si>
  <si>
    <t>ＪＲ中央線 東中野駅 地下1地上4階建 築40年</t>
  </si>
  <si>
    <t>https://suumo.jp/chintai/jnc_000102799128/?bc=100478518826</t>
  </si>
  <si>
    <t>ＪＲ中央線 東中野駅 地下1地上4階建 築43年</t>
  </si>
  <si>
    <t>https://suumo.jp/chintai/jnc_000104442916/?bc=100485609671</t>
  </si>
  <si>
    <t>https://suumo.jp/chintai/jnc_000104454987/?bc=100485740811</t>
  </si>
  <si>
    <t>https://suumo.jp/chintai/jnc_000104169948/?bc=100483380859</t>
  </si>
  <si>
    <t>ＬＩＥＢＥ東中野</t>
  </si>
  <si>
    <t>https://suumo.jp/chintai/jnc_000103447960/?bc=100477397467</t>
  </si>
  <si>
    <t>マンションロックハイツ</t>
  </si>
  <si>
    <t>https://suumo.jp/chintai/jnc_000103424498/?bc=100482929905</t>
  </si>
  <si>
    <t>https://suumo.jp/chintai/jnc_000104464966/?bc=100485854879</t>
  </si>
  <si>
    <t>https://suumo.jp/chintai/jnc_000100594966/?bc=100483268307</t>
  </si>
  <si>
    <t>ジ・アパートメントヒルトップ中野</t>
  </si>
  <si>
    <t>https://suumo.jp/chintai/jnc_000102344565/?bc=100459529846</t>
  </si>
  <si>
    <t>https://suumo.jp/chintai/jnc_000103610291/?bc=100482930540</t>
  </si>
  <si>
    <t>https://suumo.jp/chintai/jnc_000103150940/?bc=100485991423</t>
  </si>
  <si>
    <t>ベルメゾン</t>
  </si>
  <si>
    <t>https://suumo.jp/chintai/jnc_000103380304/?bc=100478561849</t>
  </si>
  <si>
    <t>ホワイトハイムタナカ</t>
  </si>
  <si>
    <t>https://suumo.jp/chintai/jnc_000102936164/?bc=100482765982</t>
  </si>
  <si>
    <t>マンションアクティーフ</t>
  </si>
  <si>
    <t>https://suumo.jp/chintai/jnc_000104442913/?bc=100485673991</t>
  </si>
  <si>
    <t>都営大江戸線 東中野駅 4階建 築25年</t>
  </si>
  <si>
    <t>https://suumo.jp/chintai/jnc_000103169872/?bc=100475994458</t>
  </si>
  <si>
    <t>ＪＲ中央線 東中野駅 1階建 築34年</t>
  </si>
  <si>
    <t>https://suumo.jp/chintai/jnc_000103316411/?bc=100473336971</t>
  </si>
  <si>
    <t>https://suumo.jp/chintai/jnc_000103373363/?bc=100476928683</t>
  </si>
  <si>
    <t>ＪＲ総武線 東中野駅 6階建 築53年</t>
  </si>
  <si>
    <t>https://suumo.jp/chintai/jnc_000102103491/?bc=100470041083</t>
  </si>
  <si>
    <t>https://suumo.jp/chintai/jnc_000104163316/?bc=100484350877</t>
  </si>
  <si>
    <t>https://suumo.jp/chintai/jnc_000103307458/?bc=100485190419</t>
  </si>
  <si>
    <t>https://suumo.jp/chintai/jnc_000104510147/?bc=100486160779</t>
  </si>
  <si>
    <t>https://suumo.jp/chintai/jnc_000103625553/?bc=100479689061</t>
  </si>
  <si>
    <t>https://suumo.jp/chintai/jnc_000103727178/?bc=100483700494</t>
  </si>
  <si>
    <t>https://suumo.jp/chintai/jnc_000103244901/?bc=100485228482</t>
  </si>
  <si>
    <t>https://suumo.jp/chintai/jnc_000103727179/?bc=100485657223</t>
  </si>
  <si>
    <t>https://suumo.jp/chintai/jnc_000103244902/?bc=100479317273</t>
  </si>
  <si>
    <t>https://suumo.jp/chintai/jnc_000104223002/?bc=100479747332</t>
  </si>
  <si>
    <t>https://suumo.jp/chintai/jnc_000104229464/?bc=100484750639</t>
  </si>
  <si>
    <t>https://suumo.jp/chintai/jnc_000104498673/?bc=100486118955</t>
  </si>
  <si>
    <t>https://suumo.jp/chintai/jnc_000103130104/?bc=100475157156</t>
  </si>
  <si>
    <t>メゾン吉野</t>
  </si>
  <si>
    <t>https://suumo.jp/chintai/jnc_000101581643/?bc=100460839558</t>
  </si>
  <si>
    <t>https://suumo.jp/chintai/jnc_000103756330/?bc=100483191476</t>
  </si>
  <si>
    <t>https://suumo.jp/chintai/jnc_000103770562/?bc=100486347149</t>
  </si>
  <si>
    <t>https://suumo.jp/chintai/jnc_000103611154/?bc=100478983094</t>
  </si>
  <si>
    <t>ＪＲ中央線 東中野駅 5階建 築50年</t>
  </si>
  <si>
    <t>https://suumo.jp/chintai/jnc_000102344566/?bc=100467636118</t>
  </si>
  <si>
    <t>https://suumo.jp/chintai/jnc_000103513719/?bc=100478117880</t>
  </si>
  <si>
    <t>https://suumo.jp/chintai/jnc_000104229466/?bc=100484082060</t>
  </si>
  <si>
    <t>https://suumo.jp/chintai/jnc_000104531803/?bc=100484190003</t>
  </si>
  <si>
    <t>https://suumo.jp/chintai/jnc_000103636252/?bc=100479193319</t>
  </si>
  <si>
    <t>https://suumo.jp/chintai/jnc_000102538462/?bc=100470498078</t>
  </si>
  <si>
    <t>CREST COURT（クレストコート）東中野</t>
  </si>
  <si>
    <t>https://suumo.jp/chintai/jnc_000102538463/?bc=100470498077</t>
  </si>
  <si>
    <t>https://suumo.jp/chintai/jnc_000104202940/?bc=100483791546</t>
  </si>
  <si>
    <t>https://suumo.jp/chintai/jnc_000104499528/?bc=100481497254</t>
  </si>
  <si>
    <t>LA MIA CASA 東中野</t>
  </si>
  <si>
    <t>https://suumo.jp/chintai/jnc_000102633030/?bc=100437322405</t>
  </si>
  <si>
    <t>L’s　residence東中野</t>
  </si>
  <si>
    <t>https://suumo.jp/chintai/jnc_000103987639/?bc=100482732518</t>
  </si>
  <si>
    <t>https://suumo.jp/chintai/jnc_000100802110/?bc=100405487731</t>
  </si>
  <si>
    <t>trias143</t>
  </si>
  <si>
    <t>https://suumo.jp/chintai/jnc_000104464941/?bc=100479671732</t>
  </si>
  <si>
    <t>https://suumo.jp/chintai/jnc_000104464940/?bc=100479461128</t>
  </si>
  <si>
    <t>https://suumo.jp/chintai/jnc_000104464945/?bc=100479461121</t>
  </si>
  <si>
    <t>https://suumo.jp/chintai/jnc_000089638261/?bc=100482531184</t>
  </si>
  <si>
    <t>クライムヒルズ</t>
  </si>
  <si>
    <t>https://suumo.jp/chintai/jnc_000104442914/?bc=100485707531</t>
  </si>
  <si>
    <t>クラッシィタワー東中野</t>
  </si>
  <si>
    <t>https://suumo.jp/chintai/jnc_000104541599/?bc=100486363447</t>
  </si>
  <si>
    <t>https://suumo.jp/chintai/jnc_000103994792/?bc=100482120327</t>
  </si>
  <si>
    <t>https://suumo.jp/chintai/jnc_000103994793/?bc=100485826896</t>
  </si>
  <si>
    <t>https://suumo.jp/chintai/jnc_000103994796/?bc=100482466073</t>
  </si>
  <si>
    <t>https://suumo.jp/chintai/jnc_000102538464/?bc=100480299817</t>
  </si>
  <si>
    <t>https://suumo.jp/chintai/jnc_000100257759/?bc=100438662324</t>
  </si>
  <si>
    <t>https://suumo.jp/chintai/jnc_000103018686/?bc=100450156230</t>
  </si>
  <si>
    <t>https://suumo.jp/chintai/jnc_000100257761/?bc=100451387365</t>
  </si>
  <si>
    <t>https://suumo.jp/chintai/jnc_000104241721/?bc=100484199822</t>
  </si>
  <si>
    <t>https://suumo.jp/chintai/jnc_000102998318/?bc=100475281286</t>
  </si>
  <si>
    <t>https://suumo.jp/chintai/jnc_000099589304/?bc=100444812881</t>
  </si>
  <si>
    <t>https://suumo.jp/chintai/jnc_000100284065/?bc=100478115127</t>
  </si>
  <si>
    <t>https://suumo.jp/chintai/jnc_000104117715/?bc=100482863404</t>
  </si>
  <si>
    <t>https://suumo.jp/chintai/jnc_000104519169/?bc=100486328320</t>
  </si>
  <si>
    <t>https://suumo.jp/chintai/jnc_000104335117/?bc=100485617209</t>
  </si>
  <si>
    <t>https://suumo.jp/chintai/jnc_000103947718/?bc=100463006619</t>
  </si>
  <si>
    <t>ダイナフォート東中野</t>
  </si>
  <si>
    <t>https://suumo.jp/chintai/jnc_000102288111/?bc=100468066704</t>
  </si>
  <si>
    <t>https://suumo.jp/chintai/jnc_000104438129/?bc=100485824823</t>
  </si>
  <si>
    <t>https://suumo.jp/chintai/jnc_000104326822/?bc=100485179059</t>
  </si>
  <si>
    <t>https://suumo.jp/chintai/jnc_000104449863/?bc=100473947254</t>
  </si>
  <si>
    <t>https://suumo.jp/chintai/jnc_000102825449/?bc=100472995319</t>
  </si>
  <si>
    <t>https://suumo.jp/chintai/jnc_000102538458/?bc=100485138734</t>
  </si>
  <si>
    <t>https://suumo.jp/chintai/jnc_000103864700/?bc=100481651233</t>
  </si>
  <si>
    <t>https://suumo.jp/chintai/jnc_000104499529/?bc=100486204913</t>
  </si>
  <si>
    <t>https://suumo.jp/chintai/jnc_000104156767/?bc=100484938712</t>
  </si>
  <si>
    <t>https://suumo.jp/chintai/jnc_000104156769/?bc=100483389200</t>
  </si>
  <si>
    <t>https://suumo.jp/chintai/jnc_000104156774/?bc=100483389127</t>
  </si>
  <si>
    <t>https://suumo.jp/chintai/jnc_000104156778/?bc=100483389137</t>
  </si>
  <si>
    <t>https://suumo.jp/chintai/jnc_000103649644/?bc=100479370576</t>
  </si>
  <si>
    <t>https://suumo.jp/chintai/jnc_000103649645/?bc=100479430784</t>
  </si>
  <si>
    <t>https://suumo.jp/chintai/jnc_000104464946/?bc=100479325808</t>
  </si>
  <si>
    <t>https://suumo.jp/chintai/jnc_000104449859/?bc=100485929881</t>
  </si>
  <si>
    <t>https://suumo.jp/chintai/jnc_000089708251/?bc=100482469058</t>
  </si>
  <si>
    <t>ＪＲ中央線 東中野駅 2階建 築37年</t>
  </si>
  <si>
    <t>https://suumo.jp/chintai/jnc_000104004000/?bc=100482099630</t>
  </si>
  <si>
    <t>ＪＲ中央線 東中野駅 3階建 築1年</t>
  </si>
  <si>
    <t>https://suumo.jp/chintai/jnc_000100813760/?bc=100462943269</t>
  </si>
  <si>
    <t>ＪＲ中央線 東中野駅 3階建 築2年</t>
  </si>
  <si>
    <t>https://suumo.jp/chintai/jnc_000102532621/?bc=100470463020</t>
  </si>
  <si>
    <t>https://suumo.jp/chintai/jnc_000104525910/?bc=100486274217</t>
  </si>
  <si>
    <t>https://suumo.jp/chintai/jnc_000103798535/?bc=100480601406</t>
  </si>
  <si>
    <t>https://suumo.jp/chintai/jnc_000103798536/?bc=100480601410</t>
  </si>
  <si>
    <t>https://suumo.jp/chintai/jnc_000104326823/?bc=100484945645</t>
  </si>
  <si>
    <t>https://suumo.jp/chintai/jnc_000104454991/?bc=100485607316</t>
  </si>
  <si>
    <t>https://suumo.jp/chintai/jnc_000102825450/?bc=100485754390</t>
  </si>
  <si>
    <t>https://suumo.jp/chintai/jnc_000104156799/?bc=100484366603</t>
  </si>
  <si>
    <t>https://suumo.jp/chintai/jnc_000104156800/?bc=100484366687</t>
  </si>
  <si>
    <t>https://suumo.jp/chintai/jnc_000104156803/?bc=100484366685</t>
  </si>
  <si>
    <t>https://suumo.jp/chintai/jnc_000102586906/?bc=100483254376</t>
  </si>
  <si>
    <t>https://suumo.jp/chintai/jnc_000100276318/?bc=100438799235</t>
  </si>
  <si>
    <t>https://suumo.jp/chintai/jnc_000103118230/?bc=100469215376</t>
  </si>
  <si>
    <t>https://suumo.jp/chintai/jnc_000100276319/?bc=100467840328</t>
  </si>
  <si>
    <t>https://suumo.jp/chintai/jnc_000104156805/?bc=100483255134</t>
  </si>
  <si>
    <t>https://suumo.jp/chintai/jnc_000102998320/?bc=100484366600</t>
  </si>
  <si>
    <t>https://suumo.jp/chintai/jnc_000104097123/?bc=100482956243</t>
  </si>
  <si>
    <t>https://suumo.jp/chintai/jnc_000102979681/?bc=100482232336</t>
  </si>
  <si>
    <t>https://suumo.jp/chintai/jnc_000101395756/?bc=100476385629</t>
  </si>
  <si>
    <t>Kolet東中野</t>
  </si>
  <si>
    <t>https://suumo.jp/chintai/jnc_000104235938/?bc=100484036985</t>
  </si>
  <si>
    <t>セ－ロス氷川</t>
  </si>
  <si>
    <t>https://suumo.jp/chintai/jnc_000103644397/?bc=100479254321</t>
  </si>
  <si>
    <t>ジェイパーク東中野</t>
  </si>
  <si>
    <t>https://suumo.jp/chintai/jnc_000104363179/?bc=100482656119</t>
  </si>
  <si>
    <t>メゾン田中</t>
  </si>
  <si>
    <t>https://suumo.jp/chintai/jnc_000100376330/?bc=100479919020</t>
  </si>
  <si>
    <t>https://suumo.jp/chintai/jnc_000100584095/?bc=100452829883</t>
  </si>
  <si>
    <t>https://suumo.jp/chintai/jnc_000104139458/?bc=100483262319</t>
  </si>
  <si>
    <t>ＪＲ中央線 東中野駅 地下1地上2階建 築31年</t>
  </si>
  <si>
    <t>https://suumo.jp/chintai/jnc_000104207771/?bc=100483816063</t>
  </si>
  <si>
    <t>上高田1丁目戸建て</t>
  </si>
  <si>
    <t>https://suumo.jp/chintai/jnc_000104464944/?bc=100479413431</t>
  </si>
  <si>
    <t>https://suumo.jp/chintai/jnc_000104464943/?bc=100479389596</t>
  </si>
  <si>
    <t>https://suumo.jp/chintai/jnc_000103994797/?bc=100482124673</t>
  </si>
  <si>
    <t>https://suumo.jp/chintai/jnc_000104482960/?bc=100486151272</t>
  </si>
  <si>
    <t>パークタワー東中野グランドエア</t>
  </si>
  <si>
    <t>https://suumo.jp/chintai/jnc_000104241725/?bc=100484080255</t>
  </si>
  <si>
    <t>ブランズ東中野プレシアス</t>
  </si>
  <si>
    <t>https://suumo.jp/chintai/jnc_000103619511/?bc=100483520930</t>
  </si>
  <si>
    <t>プロスペアー東中野</t>
  </si>
  <si>
    <t>https://suumo.jp/chintai/jnc_000103897222/?bc=100475960654</t>
  </si>
  <si>
    <t>上高田ロイヤル（旅館業想定）</t>
  </si>
  <si>
    <t>https://suumo.jp/chintai/jnc_000100741844/?bc=100438499402</t>
  </si>
  <si>
    <t>中野６丁目戸建2階部分</t>
  </si>
  <si>
    <t>https://suumo.jp/chintai/jnc_000103837779/?bc=100480993004</t>
  </si>
  <si>
    <t>東中野ハイツ</t>
  </si>
  <si>
    <t>https://suumo.jp/chintai/jnc_000102078259/?bc=100484317082</t>
  </si>
  <si>
    <t>ＡＢパレス</t>
  </si>
  <si>
    <t>https://suumo.jp/chintai/jnc_000104464949/?bc=100479325810</t>
  </si>
  <si>
    <t>https://suumo.jp/chintai/jnc_000104464948/?bc=100483192713</t>
  </si>
  <si>
    <t>https://suumo.jp/chintai/jnc_000104510149/?bc=100486175760</t>
  </si>
  <si>
    <t>ＪＲ中央線 東中野駅 25階建 築2年</t>
  </si>
  <si>
    <t>https://suumo.jp/chintai/jnc_000103837780/?bc=100481006367</t>
  </si>
  <si>
    <t>ＪＲ中央線 東中野駅 3階建 築45年</t>
  </si>
  <si>
    <t>https://suumo.jp/chintai/jnc_000089226744/?bc=100485864106</t>
  </si>
  <si>
    <t>ＪＲ中央線 東中野駅 地下1地上25階建 築2年</t>
  </si>
  <si>
    <t>https://suumo.jp/chintai/jnc_000104280473/?bc=100484366572</t>
  </si>
  <si>
    <t>https://suumo.jp/chintai/jnc_000102928314/?bc=100449153555</t>
  </si>
  <si>
    <t>https://suumo.jp/chintai/jnc_000103625934/?bc=100482869593</t>
  </si>
  <si>
    <t>ＪＲ総武線 東中野駅 3階建 築31年</t>
  </si>
  <si>
    <t>https://suumo.jp/chintai/jnc_000102078260/?bc=100482060759</t>
  </si>
  <si>
    <t>ＪＲ総武線 東中野駅 3階建 築36年</t>
  </si>
  <si>
    <t>https://suumo.jp/chintai/jnc_000103380311/?bc=100477090650</t>
  </si>
  <si>
    <t>ＪＲ総武線 東中野駅 6階建 築14年</t>
  </si>
  <si>
    <t>https://suumo.jp/chintai/jnc_000104326818/?bc=100484765635</t>
  </si>
  <si>
    <t>大倉ハウス</t>
  </si>
  <si>
    <t>https://suumo.jp/chintai/jnc_000101977160/?bc=100465229338</t>
  </si>
  <si>
    <t>コーポ井上</t>
  </si>
  <si>
    <t>4K</t>
  </si>
  <si>
    <t>https://suumo.jp/chintai/jnc_000102971548/?bc=100472908754</t>
  </si>
  <si>
    <t>Ysマンション</t>
  </si>
  <si>
    <t>https://suumo.jp/chintai/jnc_000073624886/?bc=100484889076</t>
  </si>
  <si>
    <t>PAL WOOD</t>
  </si>
  <si>
    <t>東京都豊島区長崎５</t>
  </si>
  <si>
    <t>東長崎駅</t>
  </si>
  <si>
    <t>https://suumo.jp/chintai/jnc_000104070288/?bc=100358697424</t>
  </si>
  <si>
    <t>ウッディハイム</t>
  </si>
  <si>
    <t>東京都豊島区南長崎４</t>
  </si>
  <si>
    <t>https://suumo.jp/chintai/jnc_000104499753/?bc=100486335541</t>
  </si>
  <si>
    <t>エル・グランピア</t>
  </si>
  <si>
    <t>東京都豊島区南長崎５</t>
  </si>
  <si>
    <t>https://suumo.jp/chintai/jnc_000103500460/?bc=100477966401</t>
  </si>
  <si>
    <t>グレース松沢</t>
  </si>
  <si>
    <t>東京都豊島区長崎４</t>
  </si>
  <si>
    <t>https://suumo.jp/chintai/jnc_000104296191/?bc=100485188073</t>
  </si>
  <si>
    <t>ザ・パークハビオ東長崎</t>
  </si>
  <si>
    <t>https://suumo.jp/chintai/jnc_000102875126/?bc=100473209822</t>
  </si>
  <si>
    <t>https://suumo.jp/chintai/jnc_000103084325/?bc=100479882982</t>
  </si>
  <si>
    <t>メゾン　ブランドブラン</t>
  </si>
  <si>
    <t>https://suumo.jp/chintai/jnc_000104138651/?bc=100482113594</t>
  </si>
  <si>
    <t>ラシクラス西落合</t>
  </si>
  <si>
    <t>東京都新宿区西落合４</t>
  </si>
  <si>
    <t>https://suumo.jp/chintai/jnc_000104050183/?bc=100476554215</t>
  </si>
  <si>
    <t>ルミエールナガサキ</t>
  </si>
  <si>
    <t>https://suumo.jp/chintai/jnc_000103459372/?bc=100477683189</t>
  </si>
  <si>
    <t>ヴィラ長崎</t>
  </si>
  <si>
    <t>東京都豊島区長崎３</t>
  </si>
  <si>
    <t>https://suumo.jp/chintai/jnc_000104326995/?bc=100484759554</t>
  </si>
  <si>
    <t>西武池袋線 東長崎駅 10階建 築3年</t>
  </si>
  <si>
    <t>https://suumo.jp/chintai/jnc_000103695313/?bc=100480209726</t>
  </si>
  <si>
    <t>西武池袋線 東長崎駅 4階建 築2年</t>
  </si>
  <si>
    <t>https://suumo.jp/chintai/jnc_000104373212/?bc=100454117445</t>
  </si>
  <si>
    <t>西武池袋線 東長崎駅 4階建 築44年</t>
  </si>
  <si>
    <t>https://suumo.jp/chintai/jnc_000104519306/?bc=100486351440</t>
  </si>
  <si>
    <t>西武池袋線 東長崎駅 7階建 築24年</t>
  </si>
  <si>
    <t>https://suumo.jp/chintai/jnc_000103802513/?bc=100480889061</t>
  </si>
  <si>
    <t>都営大江戸線 落合南長崎駅 3階建 築35年</t>
  </si>
  <si>
    <t>https://suumo.jp/chintai/jnc_000103459380/?bc=100475999999</t>
  </si>
  <si>
    <t>ＨＹ’ｓ　東長崎</t>
  </si>
  <si>
    <t>https://suumo.jp/chintai/jnc_000047368946/?bc=100480690345</t>
  </si>
  <si>
    <t>ART SPACE</t>
  </si>
  <si>
    <t>https://suumo.jp/chintai/jnc_000103135483/?bc=100475242750</t>
  </si>
  <si>
    <t>CON-TWO</t>
  </si>
  <si>
    <t>https://suumo.jp/chintai/jnc_000099762532/?bc=100482351053</t>
  </si>
  <si>
    <t>M</t>
  </si>
  <si>
    <t>https://suumo.jp/chintai/jnc_000101286766/?bc=100241903081</t>
  </si>
  <si>
    <t>https://suumo.jp/chintai/jnc_000103884082/?bc=100482540540</t>
  </si>
  <si>
    <t>OLIO東長崎</t>
  </si>
  <si>
    <t>https://suumo.jp/chintai/jnc_000104054972/?bc=100482602958</t>
  </si>
  <si>
    <t>SEIWA　RESIDENCE</t>
  </si>
  <si>
    <t>https://suumo.jp/chintai/jnc_000103416023/?bc=100475477295</t>
  </si>
  <si>
    <t>「防音マンション」ラシクラス西落合</t>
  </si>
  <si>
    <t>https://suumo.jp/chintai/jnc_000104348485/?bc=100484969904</t>
  </si>
  <si>
    <t>アッファービレ</t>
  </si>
  <si>
    <t>https://suumo.jp/chintai/jnc_000104357370/?bc=100484969902</t>
  </si>
  <si>
    <t>https://suumo.jp/chintai/jnc_000103317359/?bc=100484352456</t>
  </si>
  <si>
    <t>アマデウス２１</t>
  </si>
  <si>
    <t>https://suumo.jp/chintai/jnc_000103106012/?bc=100477423669</t>
  </si>
  <si>
    <t>アーバン・クレスト</t>
  </si>
  <si>
    <t>https://suumo.jp/chintai/jnc_000103123112/?bc=100468557542</t>
  </si>
  <si>
    <t>https://suumo.jp/chintai/jnc_000104526011/?bc=100478972027</t>
  </si>
  <si>
    <t>イーストフローラ東長崎</t>
  </si>
  <si>
    <t>https://suumo.jp/chintai/jnc_000103563785/?bc=100478737033</t>
  </si>
  <si>
    <t>https://suumo.jp/chintai/jnc_000104426447/?bc=100486119344</t>
  </si>
  <si>
    <t>エスペラントメント</t>
  </si>
  <si>
    <t>https://suumo.jp/chintai/jnc_000050291265/?bc=100481011025</t>
  </si>
  <si>
    <t>キャロットタウン南長崎</t>
  </si>
  <si>
    <t>https://suumo.jp/chintai/jnc_000056876724/?bc=100478511980</t>
  </si>
  <si>
    <t>ココ雨宮</t>
  </si>
  <si>
    <t>https://suumo.jp/chintai/jnc_000104196592/?bc=100483677475</t>
  </si>
  <si>
    <t>コンフォート南長崎</t>
  </si>
  <si>
    <t>https://suumo.jp/chintai/jnc_000100344273/?bc=100451687393</t>
  </si>
  <si>
    <t>コーポ椎の木</t>
  </si>
  <si>
    <t>https://suumo.jp/chintai/jnc_000087124290/?bc=100481718050</t>
  </si>
  <si>
    <t>サウス長崎</t>
  </si>
  <si>
    <t>https://suumo.jp/chintai/jnc_000103686094/?bc=100479747109</t>
  </si>
  <si>
    <t>サニーハイツ東長崎</t>
  </si>
  <si>
    <t>https://suumo.jp/chintai/jnc_000103249057/?bc=100476570502</t>
  </si>
  <si>
    <t>シリウス</t>
  </si>
  <si>
    <t>https://suumo.jp/chintai/jnc_000104310742/?bc=100484689009</t>
  </si>
  <si>
    <t>https://suumo.jp/chintai/jnc_000103812552/?bc=100480725312</t>
  </si>
  <si>
    <t>ジヴェルニー</t>
  </si>
  <si>
    <t>https://suumo.jp/chintai/jnc_000104070289/?bc=100484172426</t>
  </si>
  <si>
    <t>スカイコート豊島南長崎</t>
  </si>
  <si>
    <t>https://suumo.jp/chintai/jnc_000103884101/?bc=100485609372</t>
  </si>
  <si>
    <t>https://suumo.jp/chintai/jnc_000103884102/?bc=100484172425</t>
  </si>
  <si>
    <t>https://suumo.jp/chintai/jnc_000104249153/?bc=100484466032</t>
  </si>
  <si>
    <t>セジョリ新宿西落合</t>
  </si>
  <si>
    <t>https://suumo.jp/chintai/jnc_000104310760/?bc=100484713825</t>
  </si>
  <si>
    <t>ソシエ東長崎</t>
  </si>
  <si>
    <t>https://suumo.jp/chintai/jnc_000103183064/?bc=100476553481</t>
  </si>
  <si>
    <t>トレス長崎</t>
  </si>
  <si>
    <t>https://suumo.jp/chintai/jnc_000104126267/?bc=100483151089</t>
  </si>
  <si>
    <t>ハイム長崎</t>
  </si>
  <si>
    <t>https://suumo.jp/chintai/jnc_000103920093/?bc=100483379277</t>
  </si>
  <si>
    <t>ハーモニーレジデンス東京ウエスト</t>
  </si>
  <si>
    <t>https://suumo.jp/chintai/jnc_000103519978/?bc=100007864174</t>
  </si>
  <si>
    <t>パルクレール</t>
  </si>
  <si>
    <t>https://suumo.jp/chintai/jnc_000090577935/?bc=100121291152</t>
  </si>
  <si>
    <t>ファミーユ長崎</t>
  </si>
  <si>
    <t>https://suumo.jp/chintai/jnc_000099384688/?bc=100330644543</t>
  </si>
  <si>
    <t>フラワーコーポ</t>
  </si>
  <si>
    <t>https://suumo.jp/chintai/jnc_000103812553/?bc=100480724724</t>
  </si>
  <si>
    <t>フロムファースト</t>
  </si>
  <si>
    <t>https://suumo.jp/chintai/jnc_000104541706/?bc=100486420317</t>
  </si>
  <si>
    <t>ブリリアントハイム</t>
  </si>
  <si>
    <t>https://suumo.jp/chintai/jnc_000103075187/?bc=100481501526</t>
  </si>
  <si>
    <t>プライム東長崎</t>
  </si>
  <si>
    <t>https://suumo.jp/chintai/jnc_000094518376/?bc=100473282076</t>
  </si>
  <si>
    <t>プランドールＴＣ東長崎＠</t>
  </si>
  <si>
    <t>https://suumo.jp/chintai/jnc_000103763013/?bc=100480350252</t>
  </si>
  <si>
    <t>プレジオ南長崎</t>
  </si>
  <si>
    <t>https://suumo.jp/chintai/jnc_000102971658/?bc=100481950421</t>
  </si>
  <si>
    <t>ボヌール東長崎</t>
  </si>
  <si>
    <t>https://suumo.jp/chintai/jnc_000103977802/?bc=100482124626</t>
  </si>
  <si>
    <t>マイファリエ十字街</t>
  </si>
  <si>
    <t>https://suumo.jp/chintai/jnc_000103586484/?bc=100478919806</t>
  </si>
  <si>
    <t>マーレ南長崎</t>
  </si>
  <si>
    <t>https://suumo.jp/chintai/jnc_000104483112/?bc=100486011487</t>
  </si>
  <si>
    <t>https://suumo.jp/chintai/jnc_000103812549/?bc=100480724136</t>
  </si>
  <si>
    <t>メゾン長崎</t>
  </si>
  <si>
    <t>https://suumo.jp/chintai/jnc_000104138653/?bc=100479921422</t>
  </si>
  <si>
    <t>https://suumo.jp/chintai/jnc_000104138655/?bc=100468973572</t>
  </si>
  <si>
    <t>https://suumo.jp/chintai/jnc_000104138654/?bc=100468974134</t>
  </si>
  <si>
    <t>https://suumo.jp/chintai/jnc_000104138652/?bc=100479613257</t>
  </si>
  <si>
    <t>https://suumo.jp/chintai/jnc_000104138658/?bc=100478918819</t>
  </si>
  <si>
    <t>https://suumo.jp/chintai/jnc_000104138657/?bc=100468974186</t>
  </si>
  <si>
    <t>https://suumo.jp/chintai/jnc_000104138659/?bc=100483859919</t>
  </si>
  <si>
    <t>https://suumo.jp/chintai/jnc_000104138661/?bc=100485326597</t>
  </si>
  <si>
    <t>https://suumo.jp/chintai/jnc_000104138660/?bc=100469018430</t>
  </si>
  <si>
    <t>https://suumo.jp/chintai/jnc_000103420789/?bc=100412085388</t>
  </si>
  <si>
    <t>ラヴィーダ東長崎</t>
  </si>
  <si>
    <t>https://suumo.jp/chintai/jnc_000103078587/?bc=100474894580</t>
  </si>
  <si>
    <t>https://suumo.jp/chintai/jnc_000103500459/?bc=100478183386</t>
  </si>
  <si>
    <t>https://suumo.jp/chintai/jnc_000082834318/?bc=100477762195</t>
  </si>
  <si>
    <t>ルネ東長崎</t>
  </si>
  <si>
    <t>https://suumo.jp/chintai/jnc_000102029474/?bc=100484823490</t>
  </si>
  <si>
    <t>レオネクストシエロ長崎</t>
  </si>
  <si>
    <t>https://suumo.jp/chintai/jnc_000102391162/?bc=100469079697</t>
  </si>
  <si>
    <t>https://suumo.jp/chintai/jnc_000104492101/?bc=100486067731</t>
  </si>
  <si>
    <t>レオネクスト落合南長崎</t>
  </si>
  <si>
    <t>https://suumo.jp/chintai/jnc_000104249956/?bc=100485187886</t>
  </si>
  <si>
    <t>レガーロ東長崎</t>
  </si>
  <si>
    <t>https://suumo.jp/chintai/jnc_000103844401/?bc=100481356417</t>
  </si>
  <si>
    <t>ワコーテ椎名町</t>
  </si>
  <si>
    <t>https://suumo.jp/chintai/jnc_000103844402/?bc=100481356421</t>
  </si>
  <si>
    <t>https://suumo.jp/chintai/jnc_000103987783/?bc=100482450039</t>
  </si>
  <si>
    <t>ヴィラローザ</t>
  </si>
  <si>
    <t>https://suumo.jp/chintai/jnc_000104510289/?bc=100486163679</t>
  </si>
  <si>
    <t>ヴェルデ長崎</t>
  </si>
  <si>
    <t>https://suumo.jp/chintai/jnc_000104426426/?bc=100481412285</t>
  </si>
  <si>
    <t>東京メトロ有楽町線 千川駅 2階建 築31年</t>
  </si>
  <si>
    <t>https://suumo.jp/chintai/jnc_000101147334/?bc=100458153719</t>
  </si>
  <si>
    <t>泉田荘</t>
  </si>
  <si>
    <t>https://suumo.jp/chintai/jnc_000104509221/?bc=100360690368</t>
  </si>
  <si>
    <t>西武PSビル</t>
  </si>
  <si>
    <t>https://suumo.jp/chintai/jnc_000104492103/?bc=100486107918</t>
  </si>
  <si>
    <t>西武池袋線 東長崎駅 2階建 築10年</t>
  </si>
  <si>
    <t>東京都豊島区千早３</t>
  </si>
  <si>
    <t>https://suumo.jp/chintai/jnc_000103843631/?bc=100288145248</t>
  </si>
  <si>
    <t>https://suumo.jp/chintai/jnc_000102063344/?bc=100300474531</t>
  </si>
  <si>
    <t>西武池袋線 東長崎駅 2階建 築12年</t>
  </si>
  <si>
    <t>https://suumo.jp/chintai/jnc_000102391163/?bc=100469079637</t>
  </si>
  <si>
    <t>https://suumo.jp/chintai/jnc_000103249058/?bc=100486405879</t>
  </si>
  <si>
    <t>西武池袋線 東長崎駅 2階建 築16年</t>
  </si>
  <si>
    <t>https://suumo.jp/chintai/jnc_000104317331/?bc=100484700280</t>
  </si>
  <si>
    <t>https://suumo.jp/chintai/jnc_000103187869/?bc=100475606432</t>
  </si>
  <si>
    <t>西武池袋線 東長崎駅 2階建 築21年</t>
  </si>
  <si>
    <t>https://suumo.jp/chintai/jnc_000104029443/?bc=100482292295</t>
  </si>
  <si>
    <t>西武池袋線 東長崎駅 2階建 築33年</t>
  </si>
  <si>
    <t>https://suumo.jp/chintai/jnc_000103771407/?bc=100480404505</t>
  </si>
  <si>
    <t>西武池袋線 東長崎駅 2階建 築35年</t>
  </si>
  <si>
    <t>https://suumo.jp/chintai/jnc_000102732881/?bc=100471975310</t>
  </si>
  <si>
    <t>https://suumo.jp/chintai/jnc_000104483092/?bc=100485994161</t>
  </si>
  <si>
    <t>西武池袋線 東長崎駅 2階建 築39年</t>
  </si>
  <si>
    <t>https://suumo.jp/chintai/jnc_000104085862/?bc=100483721089</t>
  </si>
  <si>
    <t>西武池袋線 東長崎駅 2階建 築3年</t>
  </si>
  <si>
    <t>https://suumo.jp/chintai/jnc_000102979813/?bc=100482578997</t>
  </si>
  <si>
    <t>西武池袋線 東長崎駅 3階建 築15年</t>
  </si>
  <si>
    <t>https://suumo.jp/chintai/jnc_000103637039/?bc=100479578274</t>
  </si>
  <si>
    <t>西武池袋線 東長崎駅 3階建 築4年</t>
  </si>
  <si>
    <t>https://suumo.jp/chintai/jnc_000104256665/?bc=100484573915</t>
  </si>
  <si>
    <t>西武池袋線 東長崎駅 3階建 築6年</t>
  </si>
  <si>
    <t>https://suumo.jp/chintai/jnc_000103570844/?bc=100478606642</t>
  </si>
  <si>
    <t>西武池袋線 東長崎駅 3階建 築7年</t>
  </si>
  <si>
    <t>https://suumo.jp/chintai/jnc_000104317350/?bc=100484684095</t>
  </si>
  <si>
    <t>西武池袋線 東長崎駅 3階建 築8年</t>
  </si>
  <si>
    <t>https://suumo.jp/chintai/jnc_000104138662/?bc=100479818907</t>
  </si>
  <si>
    <t>西武池袋線 東長崎駅 4階建 新築</t>
  </si>
  <si>
    <t>https://suumo.jp/chintai/jnc_000104138664/?bc=100472607464</t>
  </si>
  <si>
    <t>https://suumo.jp/chintai/jnc_000104138666/?bc=100472607486</t>
  </si>
  <si>
    <t>https://suumo.jp/chintai/jnc_000104138663/?bc=100479845929</t>
  </si>
  <si>
    <t>https://suumo.jp/chintai/jnc_000104138669/?bc=100472607461</t>
  </si>
  <si>
    <t>https://suumo.jp/chintai/jnc_000104138665/?bc=100471620367</t>
  </si>
  <si>
    <t>https://suumo.jp/chintai/jnc_000104138668/?bc=100472607498</t>
  </si>
  <si>
    <t>https://suumo.jp/chintai/jnc_000104138670/?bc=100472607488</t>
  </si>
  <si>
    <t>https://suumo.jp/chintai/jnc_000104138672/?bc=100472607460</t>
  </si>
  <si>
    <t>https://suumo.jp/chintai/jnc_000104138671/?bc=100472607463</t>
  </si>
  <si>
    <t>https://suumo.jp/chintai/jnc_000104532677/?bc=100486325944</t>
  </si>
  <si>
    <t>西武池袋線 東長崎駅 4階建 築23年</t>
  </si>
  <si>
    <t>https://suumo.jp/chintai/jnc_000103567707/?bc=100479089118</t>
  </si>
  <si>
    <t>https://suumo.jp/chintai/jnc_000104549120/?bc=100486453187</t>
  </si>
  <si>
    <t>https://suumo.jp/chintai/jnc_000103519972/?bc=100478147298</t>
  </si>
  <si>
    <t>西武池袋線 東長崎駅 4階建 築3年</t>
  </si>
  <si>
    <t>https://suumo.jp/chintai/jnc_000103506134/?bc=100478048116</t>
  </si>
  <si>
    <t>https://suumo.jp/chintai/jnc_000075910908/?bc=100484303492</t>
  </si>
  <si>
    <t>西武池袋線 東長崎駅 5階建 築27年</t>
  </si>
  <si>
    <t>https://suumo.jp/chintai/jnc_000104379098/?bc=100485171291</t>
  </si>
  <si>
    <t>https://suumo.jp/chintai/jnc_000103891953/?bc=100478616753</t>
  </si>
  <si>
    <t>西武池袋線 東長崎駅 6階建 築12年</t>
  </si>
  <si>
    <t>https://suumo.jp/chintai/jnc_000103151049/?bc=100478750427</t>
  </si>
  <si>
    <t>https://suumo.jp/chintai/jnc_000103644519/?bc=100479267866</t>
  </si>
  <si>
    <t>西武池袋線 東長崎駅 6階建 築35年</t>
  </si>
  <si>
    <t>https://suumo.jp/chintai/jnc_000102783829/?bc=100472924294</t>
  </si>
  <si>
    <t>西武池袋線 東長崎駅 6階建 築6年</t>
  </si>
  <si>
    <t>https://suumo.jp/chintai/jnc_000104426448/?bc=100485546146</t>
  </si>
  <si>
    <t>西武池袋線 東長崎駅 8階建 築15年</t>
  </si>
  <si>
    <t>https://suumo.jp/chintai/jnc_000103897346/?bc=100481454771</t>
  </si>
  <si>
    <t>西武池袋線 東長崎駅 9階建 築24年</t>
  </si>
  <si>
    <t>https://suumo.jp/chintai/jnc_000103903840/?bc=100481454766</t>
  </si>
  <si>
    <t>西武池袋線 東長崎駅 地下1地上4階建 新築</t>
  </si>
  <si>
    <t>https://suumo.jp/chintai/jnc_000103903841/?bc=100481454765</t>
  </si>
  <si>
    <t>https://suumo.jp/chintai/jnc_000103903842/?bc=100481454763</t>
  </si>
  <si>
    <t>https://suumo.jp/chintai/jnc_000103903843/?bc=100481454761</t>
  </si>
  <si>
    <t>https://suumo.jp/chintai/jnc_000103929475/?bc=100481640252</t>
  </si>
  <si>
    <t>西武池袋線 東長崎駅 地下1地上4階建 築45年</t>
  </si>
  <si>
    <t>https://suumo.jp/chintai/jnc_000103631882/?bc=100473248787</t>
  </si>
  <si>
    <t>豊島千早レジデンス</t>
  </si>
  <si>
    <t>https://suumo.jp/chintai/jnc_000104261591/?bc=100484348849</t>
  </si>
  <si>
    <t>都営大江戸線 新江古田駅 10階建 築6年</t>
  </si>
  <si>
    <t>https://suumo.jp/chintai/jnc_000102772049/?bc=100476481487</t>
  </si>
  <si>
    <t>音楽マンション セレナーデ東長崎</t>
  </si>
  <si>
    <t>https://suumo.jp/chintai/jnc_000048257417/?bc=100455216742</t>
  </si>
  <si>
    <t>飛龍屋ビル</t>
  </si>
  <si>
    <t>https://suumo.jp/chintai/jnc_000104335283/?bc=100484797048</t>
  </si>
  <si>
    <t>ＦＬＡＴＳ南長崎</t>
  </si>
  <si>
    <t>https://suumo.jp/chintai/jnc_000102452447/?bc=100486412348</t>
  </si>
  <si>
    <t>My　Style　vintage東長崎</t>
  </si>
  <si>
    <t>https://suumo.jp/chintai/jnc_000104348471/?bc=100484930251</t>
  </si>
  <si>
    <t>Oxalis長崎(オクサリスナガサキ)</t>
  </si>
  <si>
    <t>https://suumo.jp/chintai/jnc_000104076812/?bc=100482876862</t>
  </si>
  <si>
    <t>PEDIO.Y</t>
  </si>
  <si>
    <t>https://suumo.jp/chintai/jnc_000104407000/?bc=100485887966</t>
  </si>
  <si>
    <t>SOCIETY OPUS TWO</t>
  </si>
  <si>
    <t>https://suumo.jp/chintai/jnc_000103723443/?bc=100480550790</t>
  </si>
  <si>
    <t>trias362</t>
  </si>
  <si>
    <t>https://suumo.jp/chintai/jnc_000101578813/?bc=100480121417</t>
  </si>
  <si>
    <t>ウェルスクエア南長崎</t>
  </si>
  <si>
    <t>https://suumo.jp/chintai/jnc_000096759010/?bc=100423945024</t>
  </si>
  <si>
    <t>https://suumo.jp/chintai/jnc_000103014001/?bc=100474296313</t>
  </si>
  <si>
    <t>エミリブ東長崎</t>
  </si>
  <si>
    <t>https://suumo.jp/chintai/jnc_000104241906/?bc=100474562452</t>
  </si>
  <si>
    <t>https://suumo.jp/chintai/jnc_000101864653/?bc=100474570022</t>
  </si>
  <si>
    <t>https://suumo.jp/chintai/jnc_000102679534/?bc=100482747894</t>
  </si>
  <si>
    <t>カサーラ長崎</t>
  </si>
  <si>
    <t>https://suumo.jp/chintai/jnc_000103245180/?bc=100476258099</t>
  </si>
  <si>
    <t>コンパルティア東長崎</t>
  </si>
  <si>
    <t>https://suumo.jp/chintai/jnc_000103324710/?bc=100483713336</t>
  </si>
  <si>
    <t>https://suumo.jp/chintai/jnc_000102971670/?bc=100474114229</t>
  </si>
  <si>
    <t>https://suumo.jp/chintai/jnc_000103844432/?bc=100481424699</t>
  </si>
  <si>
    <t>https://suumo.jp/chintai/jnc_000101574405/?bc=100461612957</t>
  </si>
  <si>
    <t>https://suumo.jp/chintai/jnc_000103637029/?bc=100479499341</t>
  </si>
  <si>
    <t>https://suumo.jp/chintai/jnc_000101338305/?bc=100455613729</t>
  </si>
  <si>
    <t>プリマヴィータ</t>
  </si>
  <si>
    <t>https://suumo.jp/chintai/jnc_000102633143/?bc=100455613733</t>
  </si>
  <si>
    <t>https://suumo.jp/chintai/jnc_000102633144/?bc=100455613727</t>
  </si>
  <si>
    <t>https://suumo.jp/chintai/jnc_000102458559/?bc=100455613732</t>
  </si>
  <si>
    <t>https://suumo.jp/chintai/jnc_000103813540/?bc=100483240878</t>
  </si>
  <si>
    <t>メゾンド・シャルマン</t>
  </si>
  <si>
    <t>https://suumo.jp/chintai/jnc_000104010691/?bc=100482141309</t>
  </si>
  <si>
    <t>ユービ１０</t>
  </si>
  <si>
    <t>https://suumo.jp/chintai/jnc_000104010692/?bc=100482141306</t>
  </si>
  <si>
    <t>https://suumo.jp/chintai/jnc_000104010693/?bc=100482141305</t>
  </si>
  <si>
    <t>https://suumo.jp/chintai/jnc_000104010695/?bc=100482141307</t>
  </si>
  <si>
    <t>https://suumo.jp/chintai/jnc_000104010696/?bc=100482141304</t>
  </si>
  <si>
    <t>https://suumo.jp/chintai/jnc_000104010697/?bc=100482141302</t>
  </si>
  <si>
    <t>https://suumo.jp/chintai/jnc_000103269831/?bc=100476245331</t>
  </si>
  <si>
    <t>ルクレ東長崎</t>
  </si>
  <si>
    <t>https://suumo.jp/chintai/jnc_000100887932/?bc=100485399849</t>
  </si>
  <si>
    <t>ワールドレジデンス</t>
  </si>
  <si>
    <t>https://suumo.jp/chintai/jnc_000103474367/?bc=100477934927</t>
  </si>
  <si>
    <t>https://suumo.jp/chintai/jnc_000101738513/?bc=100478433169</t>
  </si>
  <si>
    <t>ヴィレッジ長崎</t>
  </si>
  <si>
    <t>https://suumo.jp/chintai/jnc_000103851688/?bc=100484006905</t>
  </si>
  <si>
    <t>https://suumo.jp/chintai/jnc_000103054841/?bc=100475382315</t>
  </si>
  <si>
    <t>西武池袋線 東長崎駅 11階建 築7年</t>
  </si>
  <si>
    <t>https://suumo.jp/chintai/jnc_000101886074/?bc=100474300776</t>
  </si>
  <si>
    <t>https://suumo.jp/chintai/jnc_000104156925/?bc=100483391826</t>
  </si>
  <si>
    <t>西武池袋線 東長崎駅 2階建 新築</t>
  </si>
  <si>
    <t>https://suumo.jp/chintai/jnc_000104156926/?bc=100483391824</t>
  </si>
  <si>
    <t>https://suumo.jp/chintai/jnc_000100889676/?bc=100485361558</t>
  </si>
  <si>
    <t>https://suumo.jp/chintai/jnc_000104076813/?bc=100482785352</t>
  </si>
  <si>
    <t>https://suumo.jp/chintai/jnc_000101584118/?bc=100482730909</t>
  </si>
  <si>
    <t>西武池袋線 東長崎駅 5階建 新築</t>
  </si>
  <si>
    <t>https://suumo.jp/chintai/jnc_000104132740/?bc=100483912899</t>
  </si>
  <si>
    <t>西武池袋線 東長崎駅 7階建 築14年</t>
  </si>
  <si>
    <t>https://suumo.jp/chintai/jnc_000103380424/?bc=100476135881</t>
  </si>
  <si>
    <t>西武池袋線 東長崎駅 9階建 築8年</t>
  </si>
  <si>
    <t>https://suumo.jp/chintai/jnc_000103903844/?bc=100481454762</t>
  </si>
  <si>
    <t>https://suumo.jp/chintai/jnc_000102645989/?bc=100471545910</t>
  </si>
  <si>
    <t>Ｌａ　Ｍａｉｓｏｎ　Ｄｅ　Ｐａｕｌ</t>
  </si>
  <si>
    <t>https://suumo.jp/chintai/jnc_000103078604/?bc=100474748296</t>
  </si>
  <si>
    <t>Ｌｕｍｉｎｏｕｓ東長崎</t>
  </si>
  <si>
    <t>https://suumo.jp/chintai/jnc_000103078605/?bc=100483378525</t>
  </si>
  <si>
    <t>https://suumo.jp/chintai/jnc_000103994909/?bc=100482293570</t>
  </si>
  <si>
    <t>CAMELLIA東長崎</t>
  </si>
  <si>
    <t>https://suumo.jp/chintai/jnc_000104163424/?bc=100483547635</t>
  </si>
  <si>
    <t>https://suumo.jp/chintai/jnc_000104029444/?bc=100482474756</t>
  </si>
  <si>
    <t>Stone ForestV</t>
  </si>
  <si>
    <t>https://suumo.jp/chintai/jnc_000045067274/?bc=100483904150</t>
  </si>
  <si>
    <t>アイコート東長崎</t>
  </si>
  <si>
    <t>https://suumo.jp/chintai/jnc_000063101497/?bc=100482984960</t>
  </si>
  <si>
    <t>アズール東長崎</t>
  </si>
  <si>
    <t>https://suumo.jp/chintai/jnc_000103780520/?bc=100480480896</t>
  </si>
  <si>
    <t>https://suumo.jp/chintai/jnc_000104417397/?bc=100485488584</t>
  </si>
  <si>
    <t>アドバンス東長崎</t>
  </si>
  <si>
    <t>https://suumo.jp/chintai/jnc_000104348470/?bc=100485561726</t>
  </si>
  <si>
    <t>https://suumo.jp/chintai/jnc_000102547059/?bc=100475880847</t>
  </si>
  <si>
    <t>アレンデール西落合</t>
  </si>
  <si>
    <t>https://suumo.jp/chintai/jnc_000102979833/?bc=100474108694</t>
  </si>
  <si>
    <t>アーバンヒルズ東長崎</t>
  </si>
  <si>
    <t>https://suumo.jp/chintai/jnc_000104458816/?bc=100486124495</t>
  </si>
  <si>
    <t>ウィンズ・パレ西落合</t>
  </si>
  <si>
    <t>https://suumo.jp/chintai/jnc_000103245172/?bc=100476064769</t>
  </si>
  <si>
    <t>エクレール長崎</t>
  </si>
  <si>
    <t>https://suumo.jp/chintai/jnc_000104272254/?bc=100485429602</t>
  </si>
  <si>
    <t>https://suumo.jp/chintai/jnc_000103649756/?bc=100479277988</t>
  </si>
  <si>
    <t>エムズミレナリオ</t>
  </si>
  <si>
    <t>https://suumo.jp/chintai/jnc_000103674217/?bc=100479616654</t>
  </si>
  <si>
    <t>キャッスル西落合</t>
  </si>
  <si>
    <t>https://suumo.jp/chintai/jnc_000103094786/?bc=100474899886</t>
  </si>
  <si>
    <t>https://suumo.jp/chintai/jnc_000074928789/?bc=100476540153</t>
  </si>
  <si>
    <t>キャビットハウス</t>
  </si>
  <si>
    <t>https://suumo.jp/chintai/jnc_000049901374/?bc=100407752170</t>
  </si>
  <si>
    <t>グラバー邸</t>
  </si>
  <si>
    <t>https://suumo.jp/chintai/jnc_000070703311/?bc=100472597951</t>
  </si>
  <si>
    <t>コラージュ東長崎</t>
  </si>
  <si>
    <t>https://suumo.jp/chintai/jnc_000044576002/?bc=100461437884</t>
  </si>
  <si>
    <t>コーポセーセェル</t>
  </si>
  <si>
    <t>https://suumo.jp/chintai/jnc_000101024212/?bc=100456159787</t>
  </si>
  <si>
    <t>コーポ梓</t>
  </si>
  <si>
    <t>https://suumo.jp/chintai/jnc_000098659733/?bc=100438544980</t>
  </si>
  <si>
    <t>コーポ長崎</t>
  </si>
  <si>
    <t>https://suumo.jp/chintai/jnc_000087520696/?bc=100402857428</t>
  </si>
  <si>
    <t>サカエハウスＡ棟</t>
  </si>
  <si>
    <t>https://suumo.jp/chintai/jnc_000102993475/?bc=100474233900</t>
  </si>
  <si>
    <t>https://suumo.jp/chintai/jnc_000103481609/?bc=100483183746</t>
  </si>
  <si>
    <t>https://suumo.jp/chintai/jnc_000104192531/?bc=100483948942</t>
  </si>
  <si>
    <t>https://suumo.jp/chintai/jnc_000104196590/?bc=100483733511</t>
  </si>
  <si>
    <t>ザ・パークメゾン南長崎の杜</t>
  </si>
  <si>
    <t>東京都豊島区南長崎３</t>
  </si>
  <si>
    <t>https://suumo.jp/chintai/jnc_000103763012/?bc=100480555256</t>
  </si>
  <si>
    <t>ジュネス香和Ｃ棟</t>
  </si>
  <si>
    <t>https://suumo.jp/chintai/jnc_000102573074/?bc=100458676471</t>
  </si>
  <si>
    <t>ジョイフル池袋西</t>
  </si>
  <si>
    <t>https://suumo.jp/chintai/jnc_000103611392/?bc=100479478544</t>
  </si>
  <si>
    <t>スプリングメロディー</t>
  </si>
  <si>
    <t>https://suumo.jp/chintai/jnc_000104149374/?bc=100479078541</t>
  </si>
  <si>
    <t>https://suumo.jp/chintai/jnc_000104465131/?bc=100486228289</t>
  </si>
  <si>
    <t>ソレイユ南長崎</t>
  </si>
  <si>
    <t>https://suumo.jp/chintai/jnc_000083704919/?bc=100429823677</t>
  </si>
  <si>
    <t>ハイツブラン</t>
  </si>
  <si>
    <t>https://suumo.jp/chintai/jnc_000094970786/?bc=100462221798</t>
  </si>
  <si>
    <t>ハーモニーテラス南長崎IV</t>
  </si>
  <si>
    <t>https://suumo.jp/chintai/jnc_000104348487/?bc=100484941250</t>
  </si>
  <si>
    <t>https://suumo.jp/chintai/jnc_000101702048/?bc=100462577745</t>
  </si>
  <si>
    <t>https://suumo.jp/chintai/jnc_000103663280/?bc=100479488220</t>
  </si>
  <si>
    <t>https://suumo.jp/chintai/jnc_000103833405/?bc=100480952657</t>
  </si>
  <si>
    <t>ハーモニーテラス西落合II</t>
  </si>
  <si>
    <t>https://suumo.jp/chintai/jnc_000096599150/?bc=100478228134</t>
  </si>
  <si>
    <t>パルゼ東長崎</t>
  </si>
  <si>
    <t>https://suumo.jp/chintai/jnc_000104509220/?bc=100486337814</t>
  </si>
  <si>
    <t>パロ西落合</t>
  </si>
  <si>
    <t>https://suumo.jp/chintai/jnc_000055051071/?bc=100455517121</t>
  </si>
  <si>
    <t>フォンテ東長崎</t>
  </si>
  <si>
    <t>https://suumo.jp/chintai/jnc_000102087840/?bc=100469430981</t>
  </si>
  <si>
    <t>https://suumo.jp/chintai/jnc_000068631299/?bc=100477147482</t>
  </si>
  <si>
    <t>フローラ南長崎</t>
  </si>
  <si>
    <t>https://suumo.jp/chintai/jnc_000104499754/?bc=100482968975</t>
  </si>
  <si>
    <t>ブライト東長崎</t>
  </si>
  <si>
    <t>https://suumo.jp/chintai/jnc_000104499755/?bc=100482968976</t>
  </si>
  <si>
    <t>https://suumo.jp/chintai/jnc_000104499756/?bc=100475934789</t>
  </si>
  <si>
    <t>https://suumo.jp/chintai/jnc_000103069492/?bc=100482670190</t>
  </si>
  <si>
    <t>プラチナフォルム東長崎</t>
  </si>
  <si>
    <t>https://suumo.jp/chintai/jnc_000098954979/?bc=100444921461</t>
  </si>
  <si>
    <t>ベルハイム東長崎</t>
  </si>
  <si>
    <t>東京都豊島区長崎６</t>
  </si>
  <si>
    <t>https://suumo.jp/chintai/jnc_000049644242/?bc=100482023931</t>
  </si>
  <si>
    <t>ライフピアセルリアン</t>
  </si>
  <si>
    <t>https://suumo.jp/chintai/jnc_000086902128/?bc=100282351660</t>
  </si>
  <si>
    <t>ラメゾン長崎6</t>
  </si>
  <si>
    <t>https://suumo.jp/chintai/jnc_000102468981/?bc=100469861927</t>
  </si>
  <si>
    <t>リノ西落合</t>
  </si>
  <si>
    <t>https://suumo.jp/chintai/jnc_000103581569/?bc=100478694053</t>
  </si>
  <si>
    <t>https://suumo.jp/chintai/jnc_000103393354/?bc=100477147486</t>
  </si>
  <si>
    <t>ルミネ南長崎</t>
  </si>
  <si>
    <t>https://suumo.jp/chintai/jnc_000103947788/?bc=100479262151</t>
  </si>
  <si>
    <t>共同住宅ながさき</t>
  </si>
  <si>
    <t>https://suumo.jp/chintai/jnc_000103873959/?bc=100481921050</t>
  </si>
  <si>
    <t>南長崎ヴィレッヂ</t>
  </si>
  <si>
    <t>https://suumo.jp/chintai/jnc_000103864860/?bc=100485500848</t>
  </si>
  <si>
    <t>https://suumo.jp/chintai/jnc_000104139650/?bc=100479402180</t>
  </si>
  <si>
    <t>東長崎センチュリー２１</t>
  </si>
  <si>
    <t>https://suumo.jp/chintai/jnc_000101581663/?bc=100481912850</t>
  </si>
  <si>
    <t>https://suumo.jp/chintai/jnc_000103977827/?bc=100481928834</t>
  </si>
  <si>
    <t>渡良ハウス</t>
  </si>
  <si>
    <t>https://suumo.jp/chintai/jnc_000101817996/?bc=100482492515</t>
  </si>
  <si>
    <t>https://suumo.jp/chintai/jnc_000103014000/?bc=100474228392</t>
  </si>
  <si>
    <t>https://suumo.jp/chintai/jnc_000103510919/?bc=100484006913</t>
  </si>
  <si>
    <t>https://suumo.jp/chintai/jnc_000104230125/?bc=100484006911</t>
  </si>
  <si>
    <t>https://suumo.jp/chintai/jnc_000104465135/?bc=100485946264</t>
  </si>
  <si>
    <t>https://suumo.jp/chintai/jnc_000101685457/?bc=100475424053</t>
  </si>
  <si>
    <t>西武池袋線 東長崎駅 2階建 築13年</t>
  </si>
  <si>
    <t>https://suumo.jp/chintai/jnc_000104464226/?bc=100486152535</t>
  </si>
  <si>
    <t>https://suumo.jp/chintai/jnc_000103792664/?bc=100480457901</t>
  </si>
  <si>
    <t>西武池袋線 東長崎駅 2階建 築27年</t>
  </si>
  <si>
    <t>https://suumo.jp/chintai/jnc_000103810895/?bc=100480585445</t>
  </si>
  <si>
    <t>西武池袋線 東長崎駅 2階建 築36年</t>
  </si>
  <si>
    <t>https://suumo.jp/chintai/jnc_000100137107/?bc=100480180668</t>
  </si>
  <si>
    <t>https://suumo.jp/chintai/jnc_000087576650/?bc=100470865119</t>
  </si>
  <si>
    <t>西武池袋線 東長崎駅 2階建 築55年</t>
  </si>
  <si>
    <t>https://suumo.jp/chintai/jnc_000103884103/?bc=100481345177</t>
  </si>
  <si>
    <t>西武池袋線 東長崎駅 2階建 築7年</t>
  </si>
  <si>
    <t>https://suumo.jp/chintai/jnc_000104499757/?bc=100481333636</t>
  </si>
  <si>
    <t>西武池袋線 東長崎駅 2階建 築8年</t>
  </si>
  <si>
    <t>https://suumo.jp/chintai/jnc_000104499758/?bc=100457561444</t>
  </si>
  <si>
    <t>https://suumo.jp/chintai/jnc_000101050415/?bc=100460743978</t>
  </si>
  <si>
    <t>https://suumo.jp/chintai/jnc_000103695314/?bc=100479824839</t>
  </si>
  <si>
    <t>https://suumo.jp/chintai/jnc_000104499759/?bc=100482778235</t>
  </si>
  <si>
    <t>https://suumo.jp/chintai/jnc_000104417398/?bc=100485523984</t>
  </si>
  <si>
    <t>西武池袋線 東長崎駅 3階建 築24年</t>
  </si>
  <si>
    <t>https://suumo.jp/chintai/jnc_000104483091/?bc=100485189290</t>
  </si>
  <si>
    <t>西武池袋線 東長崎駅 3階建 築25年</t>
  </si>
  <si>
    <t>https://suumo.jp/chintai/jnc_000096599154/?bc=100477969636</t>
  </si>
  <si>
    <t>西武池袋線 東長崎駅 3階建 築2年</t>
  </si>
  <si>
    <t>https://suumo.jp/chintai/jnc_000102573075/?bc=100469628402</t>
  </si>
  <si>
    <t>西武池袋線 東長崎駅 3階建 築42年</t>
  </si>
  <si>
    <t>https://suumo.jp/chintai/jnc_000070734998/?bc=100486251589</t>
  </si>
  <si>
    <t>西武池袋線 東長崎駅 3階建 築5年</t>
  </si>
  <si>
    <t>https://suumo.jp/chintai/jnc_000103743530/?bc=100479620888</t>
  </si>
  <si>
    <t>西武池袋線 東長崎駅 4階建 築20年</t>
  </si>
  <si>
    <t>https://suumo.jp/chintai/jnc_000104163425/?bc=100483613239</t>
  </si>
  <si>
    <t>https://suumo.jp/chintai/jnc_000074922608/?bc=100460214783</t>
  </si>
  <si>
    <t>西武池袋線 東長崎駅 4階建 築40年</t>
  </si>
  <si>
    <t>https://suumo.jp/chintai/jnc_000104004130/?bc=100482106834</t>
  </si>
  <si>
    <t>西武池袋線 東長崎駅 5階建 築4年</t>
  </si>
  <si>
    <t>https://suumo.jp/chintai/jnc_000104076809/?bc=100482803583</t>
  </si>
  <si>
    <t>西武池袋線 東長崎駅 5階建 築52年</t>
  </si>
  <si>
    <t>https://suumo.jp/chintai/jnc_000102987004/?bc=100475317936</t>
  </si>
  <si>
    <t>西武池袋線 東長崎駅 6階建 築36年</t>
  </si>
  <si>
    <t>https://suumo.jp/chintai/jnc_000097521935/?bc=100483953377</t>
  </si>
  <si>
    <t>西武池袋線 東長崎駅 6階建 築37年</t>
  </si>
  <si>
    <t>https://suumo.jp/chintai/jnc_000100137106/?bc=100484688082</t>
  </si>
  <si>
    <t>ＣＬＡＳＳＥＡI</t>
  </si>
  <si>
    <t>https://suumo.jp/chintai/jnc_000102719366/?bc=100472199114</t>
  </si>
  <si>
    <t>https://suumo.jp/chintai/jnc_000102452442/?bc=100469685730</t>
  </si>
  <si>
    <t>https://suumo.jp/chintai/jnc_000102452441/?bc=100469685735</t>
  </si>
  <si>
    <t>https://suumo.jp/chintai/jnc_000102448715/?bc=100469623528</t>
  </si>
  <si>
    <t>https://suumo.jp/chintai/jnc_000102452443/?bc=100469623532</t>
  </si>
  <si>
    <t>https://suumo.jp/chintai/jnc_000102452446/?bc=100486412343</t>
  </si>
  <si>
    <t>https://suumo.jp/chintai/jnc_000103380425/?bc=100477309526</t>
  </si>
  <si>
    <t>https://suumo.jp/chintai/jnc_000103977826/?bc=100482378130</t>
  </si>
  <si>
    <t>https://suumo.jp/chintai/jnc_000103380426/?bc=100479271182</t>
  </si>
  <si>
    <t>https://suumo.jp/chintai/jnc_000103994935/?bc=100482082116</t>
  </si>
  <si>
    <t>https://suumo.jp/chintai/jnc_000103386700/?bc=100484096180</t>
  </si>
  <si>
    <t>https://suumo.jp/chintai/jnc_000104004156/?bc=100482105628</t>
  </si>
  <si>
    <t>コートエバーグリーン</t>
  </si>
  <si>
    <t>https://suumo.jp/chintai/jnc_000104499726/?bc=100471277977</t>
  </si>
  <si>
    <t>パーシモンヒルズ</t>
  </si>
  <si>
    <t>https://suumo.jp/chintai/jnc_000103828592/?bc=100480872975</t>
  </si>
  <si>
    <t>https://suumo.jp/chintai/jnc_000103510915/?bc=100477317468</t>
  </si>
  <si>
    <t>メゾン長崎１</t>
  </si>
  <si>
    <t>https://suumo.jp/chintai/jnc_000104265711/?bc=100485176789</t>
  </si>
  <si>
    <t>https://suumo.jp/chintai/jnc_000104178869/?bc=100483566756</t>
  </si>
  <si>
    <t>第2コーポ岡部</t>
  </si>
  <si>
    <t>https://suumo.jp/chintai/jnc_000104499727/?bc=100478570265</t>
  </si>
  <si>
    <t>西武池袋線 東長崎駅 3階建 築36年</t>
  </si>
  <si>
    <t>https://suumo.jp/chintai/jnc_000097414622/?bc=100428431292</t>
  </si>
  <si>
    <t>第6山七コーポ</t>
  </si>
  <si>
    <t>https://suumo.jp/chintai/jnc_000097404446/?bc=100484472081</t>
  </si>
  <si>
    <t>西武池袋線 東長崎駅 2階建 築51年</t>
  </si>
  <si>
    <t>https://suumo.jp/chintai/jnc_000099832914/?bc=100484230045</t>
  </si>
  <si>
    <t>アナハイム</t>
  </si>
  <si>
    <t>https://suumo.jp/chintai/jnc_000104525353/?bc=100486256695</t>
  </si>
  <si>
    <t>ベルデュ－ル</t>
  </si>
  <si>
    <t>https://suumo.jp/chintai/jnc_000104010694/?bc=100482141308</t>
  </si>
  <si>
    <t>https://suumo.jp/chintai/jnc_000103474365/?bc=100477793901</t>
  </si>
  <si>
    <t>https://suumo.jp/chintai/jnc_000103474366/?bc=100477969634</t>
  </si>
  <si>
    <t>https://suumo.jp/chintai/jnc_000102837334/?bc=100480808576</t>
  </si>
  <si>
    <t>日神パレステージ東長崎</t>
  </si>
  <si>
    <t>https://suumo.jp/chintai/jnc_000103487599/?bc=100486289908</t>
  </si>
  <si>
    <t>https://suumo.jp/chintai/jnc_000104272255/?bc=100485884302</t>
  </si>
  <si>
    <t>ドゥーエ南長崎</t>
  </si>
  <si>
    <t>https://suumo.jp/chintai/jnc_000104272256/?bc=100484348272</t>
  </si>
  <si>
    <t>https://suumo.jp/chintai/jnc_000104117853/?bc=100483459491</t>
  </si>
  <si>
    <t>ベルメゾン長崎</t>
  </si>
  <si>
    <t>https://suumo.jp/chintai/jnc_000104357356/?bc=100484979863</t>
  </si>
  <si>
    <t>西武池袋線 東長崎駅 3階建 築31年</t>
  </si>
  <si>
    <t>https://suumo.jp/chintai/jnc_000103551378/?bc=100478449757</t>
  </si>
  <si>
    <t>カサ・ドゥラスノ</t>
  </si>
  <si>
    <t>https://suumo.jp/chintai/jnc_000103551377/?bc=100478448315</t>
  </si>
  <si>
    <t>カサ・メロコトン</t>
  </si>
  <si>
    <t>https://suumo.jp/chintai/jnc_000103218062/?bc=100476452690</t>
  </si>
  <si>
    <t>サンヴェール</t>
  </si>
  <si>
    <t>https://suumo.jp/chintai/jnc_000103702657/?bc=100481387307</t>
  </si>
  <si>
    <t>https://suumo.jp/chintai/jnc_000103702658/?bc=100479879064</t>
  </si>
  <si>
    <t>https://suumo.jp/chintai/jnc_000104004158/?bc=100482464852</t>
  </si>
  <si>
    <t>西武池袋線 東長崎駅 11階建 築31年</t>
  </si>
  <si>
    <t>https://suumo.jp/chintai/jnc_000102405415/?bc=100424809772</t>
  </si>
  <si>
    <t>西武池袋線 東長崎駅 3階建 築1年</t>
  </si>
  <si>
    <t>https://suumo.jp/chintai/jnc_000103558198/?bc=100478448304</t>
  </si>
  <si>
    <t>西武池袋線 東長崎駅 地上2階建 新築</t>
  </si>
  <si>
    <t>https://suumo.jp/chintai/jnc_000103558197/?bc=100480411857</t>
  </si>
  <si>
    <t>https://suumo.jp/chintai/jnc_000102970939/?bc=100473913506</t>
  </si>
  <si>
    <t>Ｃｌａｒｉｓｓｅ西落合</t>
  </si>
  <si>
    <t>https://suumo.jp/chintai/jnc_000102405414/?bc=100424746746</t>
  </si>
  <si>
    <t>ＤＯビル東長崎へーベルメゾン</t>
  </si>
  <si>
    <t>https://suumo.jp/chintai/jnc_000103969727/?bc=100472920562</t>
  </si>
  <si>
    <t>trias372</t>
  </si>
  <si>
    <t>椎名町駅</t>
  </si>
  <si>
    <t>https://suumo.jp/chintai/jnc_000102862788/?bc=100472964610</t>
  </si>
  <si>
    <t>https://suumo.jp/chintai/jnc_000104241860/?bc=100472964611</t>
  </si>
  <si>
    <t>https://suumo.jp/chintai/jnc_000104241861/?bc=100481884103</t>
  </si>
  <si>
    <t>https://suumo.jp/chintai/jnc_000104241862/?bc=100481892107</t>
  </si>
  <si>
    <t>https://suumo.jp/chintai/jnc_000104241863/?bc=100472964613</t>
  </si>
  <si>
    <t>https://suumo.jp/chintai/jnc_000104455056/?bc=100485775507</t>
  </si>
  <si>
    <t>https://suumo.jp/chintai/jnc_000104412323/?bc=100485439808</t>
  </si>
  <si>
    <t>エスポワール目白</t>
  </si>
  <si>
    <t>東京都豊島区目白４</t>
  </si>
  <si>
    <t>https://suumo.jp/chintai/jnc_000103750704/?bc=100463328138</t>
  </si>
  <si>
    <t>エミネンス目白</t>
  </si>
  <si>
    <t>https://suumo.jp/chintai/jnc_000104541726/?bc=100486386610</t>
  </si>
  <si>
    <t>オータムリーフ椎名町</t>
  </si>
  <si>
    <t>東京都豊島区南長崎１</t>
  </si>
  <si>
    <t>https://suumo.jp/chintai/jnc_000104317353/?bc=100484918777</t>
  </si>
  <si>
    <t>ザ・パークハビオ目白タワー</t>
  </si>
  <si>
    <t>東京都豊島区目白５</t>
  </si>
  <si>
    <t>https://suumo.jp/chintai/jnc_000104317354/?bc=100484918768</t>
  </si>
  <si>
    <t>https://suumo.jp/chintai/jnc_000104317355/?bc=100484751535</t>
  </si>
  <si>
    <t>https://suumo.jp/chintai/jnc_000094227647/?bc=100478747271</t>
  </si>
  <si>
    <t>パレス浜野</t>
  </si>
  <si>
    <t>東京都豊島区南長崎２</t>
  </si>
  <si>
    <t>https://suumo.jp/chintai/jnc_000104097223/?bc=100482962248</t>
  </si>
  <si>
    <t>目白 My village</t>
  </si>
  <si>
    <t>https://suumo.jp/chintai/jnc_000104178866/?bc=100483580598</t>
  </si>
  <si>
    <t>西武池袋線 椎名町駅 3階建 築70年</t>
  </si>
  <si>
    <t>https://suumo.jp/chintai/jnc_000094237485/?bc=100482286647</t>
  </si>
  <si>
    <t>西武池袋線 椎名町駅 地下1地上3階建 築31年</t>
  </si>
  <si>
    <t>https://suumo.jp/chintai/jnc_000104348483/?bc=100484916312</t>
  </si>
  <si>
    <t>Ever Win</t>
  </si>
  <si>
    <t>https://suumo.jp/chintai/jnc_000092269693/?bc=100471630614</t>
  </si>
  <si>
    <t>fortuna目白</t>
  </si>
  <si>
    <t>https://suumo.jp/chintai/jnc_000102464356/?bc=100483165265</t>
  </si>
  <si>
    <t>https://suumo.jp/chintai/jnc_000101699222/?bc=100462292664</t>
  </si>
  <si>
    <t>https://suumo.jp/chintai/jnc_000104399853/?bc=100485548419</t>
  </si>
  <si>
    <t>https://suumo.jp/chintai/jnc_000102822631/?bc=100472696583</t>
  </si>
  <si>
    <t>「防音マンション」ラシクラス目白通り</t>
  </si>
  <si>
    <t>https://suumo.jp/chintai/jnc_000098659722/?bc=100432597732</t>
  </si>
  <si>
    <t>ひかり荘</t>
  </si>
  <si>
    <t>https://suumo.jp/chintai/jnc_000103807503/?bc=100480668791</t>
  </si>
  <si>
    <t>アイ.エス.メジロレジデンス</t>
  </si>
  <si>
    <t>https://suumo.jp/chintai/jnc_000103277820/?bc=100483565157</t>
  </si>
  <si>
    <t>アリスタ</t>
  </si>
  <si>
    <t>https://suumo.jp/chintai/jnc_000103410507/?bc=100485044928</t>
  </si>
  <si>
    <t>アーク目白</t>
  </si>
  <si>
    <t>https://suumo.jp/chintai/jnc_000094462533/?bc=100485604744</t>
  </si>
  <si>
    <t>ガリシア南長崎</t>
  </si>
  <si>
    <t>https://suumo.jp/chintai/jnc_000104432896/?bc=100485627964</t>
  </si>
  <si>
    <t>キャラ目白</t>
  </si>
  <si>
    <t>https://suumo.jp/chintai/jnc_000102050397/?bc=100465974639</t>
  </si>
  <si>
    <t>クアルト目白</t>
  </si>
  <si>
    <t>https://suumo.jp/chintai/jnc_000104203073/?bc=100462187360</t>
  </si>
  <si>
    <t>https://suumo.jp/chintai/jnc_000102538637/?bc=100479316843</t>
  </si>
  <si>
    <t>クレスト</t>
  </si>
  <si>
    <t>https://suumo.jp/chintai/jnc_000099641447/?bc=100445171609</t>
  </si>
  <si>
    <t>クレッセント椎名町</t>
  </si>
  <si>
    <t>https://suumo.jp/chintai/jnc_000099571660/?bc=100445171616</t>
  </si>
  <si>
    <t>https://suumo.jp/chintai/jnc_000103658444/?bc=100479439319</t>
  </si>
  <si>
    <t>グランドソレイユ</t>
  </si>
  <si>
    <t>https://suumo.jp/chintai/jnc_000102508446/?bc=100470272621</t>
  </si>
  <si>
    <t>コーポ椎の実</t>
  </si>
  <si>
    <t>https://suumo.jp/chintai/jnc_000092115690/?bc=100402857367</t>
  </si>
  <si>
    <t>https://suumo.jp/chintai/jnc_000103481583/?bc=100478048202</t>
  </si>
  <si>
    <t>コーポ片山</t>
  </si>
  <si>
    <t>東京都豊島区長崎２</t>
  </si>
  <si>
    <t>https://suumo.jp/chintai/jnc_000103123346/?bc=100440713567</t>
  </si>
  <si>
    <t>サザングラス</t>
  </si>
  <si>
    <t>https://suumo.jp/chintai/jnc_000097508430/?bc=100486077358</t>
  </si>
  <si>
    <t>https://suumo.jp/chintai/jnc_000102538657/?bc=100482844523</t>
  </si>
  <si>
    <t>https://suumo.jp/chintai/jnc_000104541727/?bc=100486358376</t>
  </si>
  <si>
    <t>シャーメゾンＭ</t>
  </si>
  <si>
    <t>https://suumo.jp/chintai/jnc_000103217342/?bc=100475866905</t>
  </si>
  <si>
    <t>シンシア目白</t>
  </si>
  <si>
    <t>https://suumo.jp/chintai/jnc_000104363185/?bc=100486187416</t>
  </si>
  <si>
    <t>https://suumo.jp/chintai/jnc_000104373213/?bc=100231700019</t>
  </si>
  <si>
    <t>ジェルブロワ512</t>
  </si>
  <si>
    <t>https://suumo.jp/chintai/jnc_000082657338/?bc=100485999496</t>
  </si>
  <si>
    <t>ソフィア長崎</t>
  </si>
  <si>
    <t>https://suumo.jp/chintai/jnc_000086874128/?bc=100477805741</t>
  </si>
  <si>
    <t>ダイタクコーポ椎名町</t>
  </si>
  <si>
    <t>https://suumo.jp/chintai/jnc_000103205453/?bc=100474127264</t>
  </si>
  <si>
    <t>バレンシアコート</t>
  </si>
  <si>
    <t>https://suumo.jp/chintai/jnc_000103837886/?bc=100481030143</t>
  </si>
  <si>
    <t>パル・ボナール</t>
  </si>
  <si>
    <t>https://suumo.jp/chintai/jnc_000103111537/?bc=100484013365</t>
  </si>
  <si>
    <t>フェニックス目白５丁目</t>
  </si>
  <si>
    <t>https://suumo.jp/chintai/jnc_000104156928/?bc=100483454305</t>
  </si>
  <si>
    <t>フェルクルールプレスト目白</t>
  </si>
  <si>
    <t>https://suumo.jp/chintai/jnc_000104532696/?bc=100486297265</t>
  </si>
  <si>
    <t>プルミエ椎名町</t>
  </si>
  <si>
    <t>https://suumo.jp/chintai/jnc_000096531997/?bc=100392095827</t>
  </si>
  <si>
    <t>プレサンス新宿中落合メーディオ</t>
  </si>
  <si>
    <t>https://suumo.jp/chintai/jnc_000096531998/?bc=100447683818</t>
  </si>
  <si>
    <t>https://suumo.jp/chintai/jnc_000096532000/?bc=100392031586</t>
  </si>
  <si>
    <t>https://suumo.jp/chintai/jnc_000096532002/?bc=100392095597</t>
  </si>
  <si>
    <t>https://suumo.jp/chintai/jnc_000097028765/?bc=100476333321</t>
  </si>
  <si>
    <t>https://suumo.jp/chintai/jnc_000103110663/?bc=100480119695</t>
  </si>
  <si>
    <t>https://suumo.jp/chintai/jnc_000099785017/?bc=100481439282</t>
  </si>
  <si>
    <t>プレール・ドゥーク目白</t>
  </si>
  <si>
    <t>https://suumo.jp/chintai/jnc_000104256684/?bc=100484179196</t>
  </si>
  <si>
    <t>https://suumo.jp/chintai/jnc_000096533616/?bc=100482845700</t>
  </si>
  <si>
    <t>https://suumo.jp/chintai/jnc_000097337556/?bc=100482582203</t>
  </si>
  <si>
    <t>https://suumo.jp/chintai/jnc_000104357367/?bc=100419518926</t>
  </si>
  <si>
    <t>https://suumo.jp/chintai/jnc_000103436123/?bc=100477593605</t>
  </si>
  <si>
    <t>ライオンズマンション椎名町駅前通り</t>
  </si>
  <si>
    <t>https://suumo.jp/chintai/jnc_000103409551/?bc=100477309982</t>
  </si>
  <si>
    <t>ライブ長谷部</t>
  </si>
  <si>
    <t>https://suumo.jp/chintai/jnc_000093714347/?bc=100475854809</t>
  </si>
  <si>
    <t>ラシクラス目白通り</t>
  </si>
  <si>
    <t>https://suumo.jp/chintai/jnc_000103770566/?bc=100459598456</t>
  </si>
  <si>
    <t>ラテライト目白</t>
  </si>
  <si>
    <t>https://suumo.jp/chintai/jnc_000082357733/?bc=100478147337</t>
  </si>
  <si>
    <t>https://suumo.jp/chintai/jnc_000104029441/?bc=100484513857</t>
  </si>
  <si>
    <t>リエナハイツ</t>
  </si>
  <si>
    <t>https://suumo.jp/chintai/jnc_000102182695/?bc=100467353675</t>
  </si>
  <si>
    <t>リーブルファイン豊島区長崎</t>
  </si>
  <si>
    <t>https://suumo.jp/chintai/jnc_000102182693/?bc=100467353630</t>
  </si>
  <si>
    <t>https://suumo.jp/chintai/jnc_000102182700/?bc=100481002466</t>
  </si>
  <si>
    <t>https://suumo.jp/chintai/jnc_000104156225/?bc=100484048917</t>
  </si>
  <si>
    <t>ルクシェール新宿中落合</t>
  </si>
  <si>
    <t>https://suumo.jp/chintai/jnc_000103611389/?bc=100479427263</t>
  </si>
  <si>
    <t>ル・リオン池袋椎名町</t>
  </si>
  <si>
    <t>https://suumo.jp/chintai/jnc_000104541725/?bc=100481244387</t>
  </si>
  <si>
    <t>ルーブル椎名町</t>
  </si>
  <si>
    <t>https://suumo.jp/chintai/jnc_000103851686/?bc=100481597240</t>
  </si>
  <si>
    <t>https://suumo.jp/chintai/jnc_000103712997/?bc=100480190487</t>
  </si>
  <si>
    <t>レオパレス南長崎II</t>
  </si>
  <si>
    <t>https://suumo.jp/chintai/jnc_000104117879/?bc=100461555345</t>
  </si>
  <si>
    <t>ワイズハイム</t>
  </si>
  <si>
    <t>https://suumo.jp/chintai/jnc_000101634943/?bc=100461402768</t>
  </si>
  <si>
    <t>https://suumo.jp/chintai/jnc_000064732455/?bc=100484447348</t>
  </si>
  <si>
    <t>ヴェルト池袋ウエストフォート</t>
  </si>
  <si>
    <t>https://suumo.jp/chintai/jnc_000104392414/?bc=100485399525</t>
  </si>
  <si>
    <t>https://suumo.jp/chintai/jnc_000103690667/?bc=100480396250</t>
  </si>
  <si>
    <t>https://suumo.jp/chintai/jnc_000103792662/?bc=100485727457</t>
  </si>
  <si>
    <t>https://suumo.jp/chintai/jnc_000104092098/?bc=100483011685</t>
  </si>
  <si>
    <t>南長崎ハイツ</t>
  </si>
  <si>
    <t>https://suumo.jp/chintai/jnc_000104092099/?bc=100483011694</t>
  </si>
  <si>
    <t>https://suumo.jp/chintai/jnc_000103542615/?bc=100452188518</t>
  </si>
  <si>
    <t>小林第三ビル</t>
  </si>
  <si>
    <t>https://suumo.jp/chintai/jnc_000101837905/?bc=100483128636</t>
  </si>
  <si>
    <t>村田荘</t>
  </si>
  <si>
    <t>https://suumo.jp/chintai/jnc_000104317330/?bc=100485188138</t>
  </si>
  <si>
    <t>若竹ハイツ</t>
  </si>
  <si>
    <t>https://suumo.jp/chintai/jnc_000104392405/?bc=100485312838</t>
  </si>
  <si>
    <t>https://suumo.jp/chintai/jnc_000104148253/?bc=100483324461</t>
  </si>
  <si>
    <t>西武池袋線 椎名町駅 10階建 築12年</t>
  </si>
  <si>
    <t>https://suumo.jp/chintai/jnc_000103920094/?bc=100481831247</t>
  </si>
  <si>
    <t>西武池袋線 椎名町駅 10階建 築15年</t>
  </si>
  <si>
    <t>https://suumo.jp/chintai/jnc_000099794523/?bc=100481727413</t>
  </si>
  <si>
    <t>https://suumo.jp/chintai/jnc_000096599158/?bc=100480882778</t>
  </si>
  <si>
    <t>https://suumo.jp/chintai/jnc_000104392415/?bc=100485314502</t>
  </si>
  <si>
    <t>西武池袋線 椎名町駅 10階建 築23年</t>
  </si>
  <si>
    <t>https://suumo.jp/chintai/jnc_000103920092/?bc=100485737622</t>
  </si>
  <si>
    <t>https://suumo.jp/chintai/jnc_000103231014/?bc=100475994306</t>
  </si>
  <si>
    <t>西武池袋線 椎名町駅 10階建 築26年</t>
  </si>
  <si>
    <t>https://suumo.jp/chintai/jnc_000104347524/?bc=100484937624</t>
  </si>
  <si>
    <t>https://suumo.jp/chintai/jnc_000103403472/?bc=100478158611</t>
  </si>
  <si>
    <t>西武池袋線 椎名町駅 11階建 築20年</t>
  </si>
  <si>
    <t>https://suumo.jp/chintai/jnc_000103637032/?bc=100485774998</t>
  </si>
  <si>
    <t>西武池袋線 椎名町駅 12階建 築14年</t>
  </si>
  <si>
    <t>東京都豊島区西池袋４</t>
  </si>
  <si>
    <t>https://suumo.jp/chintai/jnc_000102587048/?bc=100470387197</t>
  </si>
  <si>
    <t>西武池袋線 椎名町駅 2階建 築45年</t>
  </si>
  <si>
    <t>https://suumo.jp/chintai/jnc_000103013997/?bc=100474183438</t>
  </si>
  <si>
    <t>https://suumo.jp/chintai/jnc_000102189722/?bc=100469822726</t>
  </si>
  <si>
    <t>西武池袋線 椎名町駅 3階建 新築</t>
  </si>
  <si>
    <t>https://suumo.jp/chintai/jnc_000102189728/?bc=100469822719</t>
  </si>
  <si>
    <t>https://suumo.jp/chintai/jnc_000102189727/?bc=100480479428</t>
  </si>
  <si>
    <t>https://suumo.jp/chintai/jnc_000103708249/?bc=100479935911</t>
  </si>
  <si>
    <t>西武池袋線 椎名町駅 3階建 築14年</t>
  </si>
  <si>
    <t>https://suumo.jp/chintai/jnc_000103277821/?bc=100476785992</t>
  </si>
  <si>
    <t>西武池袋線 椎名町駅 3階建 築16年</t>
  </si>
  <si>
    <t>https://suumo.jp/chintai/jnc_000103492574/?bc=100477935046</t>
  </si>
  <si>
    <t>西武池袋線 椎名町駅 3階建 築25年</t>
  </si>
  <si>
    <t>https://suumo.jp/chintai/jnc_000104317348/?bc=100484683007</t>
  </si>
  <si>
    <t>西武池袋線 椎名町駅 3階建 築28年</t>
  </si>
  <si>
    <t>https://suumo.jp/chintai/jnc_000104465128/?bc=100485870583</t>
  </si>
  <si>
    <t>https://suumo.jp/chintai/jnc_000084763221/?bc=100484705712</t>
  </si>
  <si>
    <t>西武池袋線 椎名町駅 3階建 築3年</t>
  </si>
  <si>
    <t>https://suumo.jp/chintai/jnc_000103837887/?bc=100481031877</t>
  </si>
  <si>
    <t>西武池袋線 椎名町駅 3階建 築7年</t>
  </si>
  <si>
    <t>https://suumo.jp/chintai/jnc_000103813539/?bc=100480542978</t>
  </si>
  <si>
    <t>西武池袋線 椎名町駅 4階建 築22年</t>
  </si>
  <si>
    <t>https://suumo.jp/chintai/jnc_000103611390/?bc=100478985944</t>
  </si>
  <si>
    <t>西武池袋線 椎名町駅 5階建 築16年</t>
  </si>
  <si>
    <t>https://suumo.jp/chintai/jnc_000103474375/?bc=100478338397</t>
  </si>
  <si>
    <t>西武池袋線 椎名町駅 5階建 築39年</t>
  </si>
  <si>
    <t>https://suumo.jp/chintai/jnc_000103600480/?bc=100478849087</t>
  </si>
  <si>
    <t>西武池袋線 椎名町駅 5階建 築4年</t>
  </si>
  <si>
    <t>https://suumo.jp/chintai/jnc_000096597994/?bc=100445899089</t>
  </si>
  <si>
    <t>西武池袋線 椎名町駅 8階建 築2年</t>
  </si>
  <si>
    <t>https://suumo.jp/chintai/jnc_000096597997/?bc=100446281967</t>
  </si>
  <si>
    <t>https://suumo.jp/chintai/jnc_000097052285/?bc=100448398324</t>
  </si>
  <si>
    <t>https://suumo.jp/chintai/jnc_000103110664/?bc=100477745061</t>
  </si>
  <si>
    <t>https://suumo.jp/chintai/jnc_000104442187/?bc=100474861693</t>
  </si>
  <si>
    <t>西武池袋線 椎名町駅 8階建 築7年</t>
  </si>
  <si>
    <t>https://suumo.jp/chintai/jnc_000103863967/?bc=100481487673</t>
  </si>
  <si>
    <t>西武池袋線 椎名町駅 地下1地上3階建 築28年</t>
  </si>
  <si>
    <t>https://suumo.jp/chintai/jnc_000104326994/?bc=100484763530</t>
  </si>
  <si>
    <t>西武池袋線 椎名町駅 地下1地上4階建 築27年</t>
  </si>
  <si>
    <t>https://suumo.jp/chintai/jnc_000104070286/?bc=100462845395</t>
  </si>
  <si>
    <t>都営大江戸線 落合南長崎駅 2階建 築31年</t>
  </si>
  <si>
    <t>https://suumo.jp/chintai/jnc_000104373201/?bc=100077923093</t>
  </si>
  <si>
    <t>長崎2丁目ハウスヌーボォ</t>
  </si>
  <si>
    <t>https://suumo.jp/chintai/jnc_000104379089/?bc=100091940498</t>
  </si>
  <si>
    <t>https://suumo.jp/chintai/jnc_000103891956/?bc=100482542236</t>
  </si>
  <si>
    <t>ＪＲ山手線 目白駅 5階建 築22年</t>
  </si>
  <si>
    <t>https://suumo.jp/chintai/jnc_000103183082/?bc=100482880214</t>
  </si>
  <si>
    <t>https://suumo.jp/chintai/jnc_000104459266/?bc=100485750994</t>
  </si>
  <si>
    <t>https://suumo.jp/chintai/jnc_000101665942/?bc=100461745538</t>
  </si>
  <si>
    <t>ＭＩ目白</t>
  </si>
  <si>
    <t>https://suumo.jp/chintai/jnc_000084763215/?bc=100471002723</t>
  </si>
  <si>
    <t>Ｔ’ｓ　Ｃｕｏｒｅ椎名町</t>
  </si>
  <si>
    <t>https://suumo.jp/chintai/jnc_000103708237/?bc=100485956719</t>
  </si>
  <si>
    <t>ＺＯＯＭ椎名町駅前</t>
  </si>
  <si>
    <t>https://suumo.jp/chintai/jnc_000103763010/?bc=100480349416</t>
  </si>
  <si>
    <t>3×3 CUBE</t>
  </si>
  <si>
    <t>https://suumo.jp/chintai/jnc_000104215579/?bc=100465209012</t>
  </si>
  <si>
    <t>BELTIS椎名町</t>
  </si>
  <si>
    <t>https://suumo.jp/chintai/jnc_000104455055/?bc=100485951243</t>
  </si>
  <si>
    <t>https://suumo.jp/chintai/jnc_000103969731/?bc=100481899016</t>
  </si>
  <si>
    <t>https://suumo.jp/chintai/jnc_000102411940/?bc=100417232198</t>
  </si>
  <si>
    <t>コンフォリア・リヴ下落合</t>
  </si>
  <si>
    <t>https://suumo.jp/chintai/jnc_000103735320/?bc=100480291838</t>
  </si>
  <si>
    <t>https://suumo.jp/chintai/jnc_000103594302/?bc=100482943191</t>
  </si>
  <si>
    <t>シャリエ椎名町</t>
  </si>
  <si>
    <t>https://suumo.jp/chintai/jnc_000103837321/?bc=100481070011</t>
  </si>
  <si>
    <t>スワンレイク目白</t>
  </si>
  <si>
    <t>https://suumo.jp/chintai/jnc_000104256662/?bc=100475334363</t>
  </si>
  <si>
    <t>タカホアパートメント</t>
  </si>
  <si>
    <t>https://suumo.jp/chintai/jnc_000102936941/?bc=100478919485</t>
  </si>
  <si>
    <t>https://suumo.jp/chintai/jnc_000104483090/?bc=100485975401</t>
  </si>
  <si>
    <t>フレンシア椎名町</t>
  </si>
  <si>
    <t>東京都豊島区長崎１</t>
  </si>
  <si>
    <t>https://suumo.jp/chintai/jnc_000104474538/?bc=100485975403</t>
  </si>
  <si>
    <t>https://suumo.jp/chintai/jnc_000104286533/?bc=100484472808</t>
  </si>
  <si>
    <t>https://suumo.jp/chintai/jnc_000021368594/?bc=100484473579</t>
  </si>
  <si>
    <t>プレール・ドゥーク新宿中落合II</t>
  </si>
  <si>
    <t>https://suumo.jp/chintai/jnc_000104004152/?bc=100482503051</t>
  </si>
  <si>
    <t>ラ・メゾン長崎XII（A.O.T）</t>
  </si>
  <si>
    <t>https://suumo.jp/chintai/jnc_000103717077/?bc=100480003270</t>
  </si>
  <si>
    <t>リビオレゾン目白通り</t>
  </si>
  <si>
    <t>https://suumo.jp/chintai/jnc_000104399854/?bc=100485354358</t>
  </si>
  <si>
    <t>目白ピアンタ</t>
  </si>
  <si>
    <t>https://suumo.jp/chintai/jnc_000104132737/?bc=100455411475</t>
  </si>
  <si>
    <t>西武池袋線 椎名町駅 12階建 築3年</t>
  </si>
  <si>
    <t>https://suumo.jp/chintai/jnc_000104034804/?bc=100485737594</t>
  </si>
  <si>
    <t>https://suumo.jp/chintai/jnc_000104261997/?bc=100486226600</t>
  </si>
  <si>
    <t>西武池袋線 椎名町駅 2階建 築17年</t>
  </si>
  <si>
    <t>https://suumo.jp/chintai/jnc_000102966931/?bc=100473844339</t>
  </si>
  <si>
    <t>https://suumo.jp/chintai/jnc_000104363205/?bc=100481132510</t>
  </si>
  <si>
    <t>https://suumo.jp/chintai/jnc_000104215580/?bc=100465851803</t>
  </si>
  <si>
    <t>西武池袋線 椎名町駅 3階建 築19年</t>
  </si>
  <si>
    <t>https://suumo.jp/chintai/jnc_000103223692/?bc=100475927775</t>
  </si>
  <si>
    <t>西武池袋線 椎名町駅 4階建 築4年</t>
  </si>
  <si>
    <t>https://suumo.jp/chintai/jnc_000055464833/?bc=100482764348</t>
  </si>
  <si>
    <t>西武池袋線 椎名町駅 5階建 築54年</t>
  </si>
  <si>
    <t>https://suumo.jp/chintai/jnc_000104170887/?bc=100483502581</t>
  </si>
  <si>
    <t>西武池袋線 椎名町駅 8階建 新築</t>
  </si>
  <si>
    <t>https://suumo.jp/chintai/jnc_000100079555/?bc=100483502585</t>
  </si>
  <si>
    <t>https://suumo.jp/chintai/jnc_000100897722/?bc=100485559283</t>
  </si>
  <si>
    <t>西武池袋線 椎名町駅 地下1地上4階建 築5年</t>
  </si>
  <si>
    <t>https://suumo.jp/chintai/jnc_000104368366/?bc=100480636114</t>
  </si>
  <si>
    <t>西武池袋線 椎名町駅 地下1地上4階建 築7年</t>
  </si>
  <si>
    <t>https://suumo.jp/chintai/jnc_000023297383/?bc=100484254443</t>
  </si>
  <si>
    <t>都営大江戸線 落合南長崎駅 10階建 築13年</t>
  </si>
  <si>
    <t>https://suumo.jp/chintai/jnc_000104465139/?bc=100476778831</t>
  </si>
  <si>
    <t>ＡＩＦＬＡＴ　ＭＥＪＩＲＯ</t>
  </si>
  <si>
    <t>https://suumo.jp/chintai/jnc_000103278773/?bc=100486399401</t>
  </si>
  <si>
    <t>https://suumo.jp/chintai/jnc_000104417422/?bc=100485510347</t>
  </si>
  <si>
    <t>https://suumo.jp/chintai/jnc_000103218058/?bc=100486101349</t>
  </si>
  <si>
    <t>Ｆｕｌｌｅａ椎名町</t>
  </si>
  <si>
    <t>https://suumo.jp/chintai/jnc_000104101653/?bc=100483114175</t>
  </si>
  <si>
    <t>ＧＥＮＯＶＩＡ椎名町</t>
  </si>
  <si>
    <t>https://suumo.jp/chintai/jnc_000103987780/?bc=100485575545</t>
  </si>
  <si>
    <t>https://suumo.jp/chintai/jnc_000103317361/?bc=100476889522</t>
  </si>
  <si>
    <t>ＪＲ山手線 目白駅 3階建 築6年</t>
  </si>
  <si>
    <t>https://suumo.jp/chintai/jnc_000103960632/?bc=100292850704</t>
  </si>
  <si>
    <t>ｎｏｔｉｃｅ椎名町</t>
  </si>
  <si>
    <t>https://suumo.jp/chintai/jnc_000103730561/?bc=100477745326</t>
  </si>
  <si>
    <t>https://suumo.jp/chintai/jnc_000100897720/?bc=100455217789</t>
  </si>
  <si>
    <t>https://suumo.jp/chintai/jnc_000101519063/?bc=100460582926</t>
  </si>
  <si>
    <t>Ludens椎名町</t>
  </si>
  <si>
    <t>https://suumo.jp/chintai/jnc_000101519064/?bc=100460346679</t>
  </si>
  <si>
    <t>https://suumo.jp/chintai/jnc_000101519065/?bc=100482729341</t>
  </si>
  <si>
    <t>https://suumo.jp/chintai/jnc_000101519066/?bc=100485742991</t>
  </si>
  <si>
    <t>https://suumo.jp/chintai/jnc_000101519070/?bc=100485500873</t>
  </si>
  <si>
    <t>https://suumo.jp/chintai/jnc_000101519072/?bc=100482918656</t>
  </si>
  <si>
    <t>https://suumo.jp/chintai/jnc_000103763009/?bc=100482738687</t>
  </si>
  <si>
    <t>Marvelous court 椎名町</t>
  </si>
  <si>
    <t>https://suumo.jp/chintai/jnc_000100503920/?bc=100399612462</t>
  </si>
  <si>
    <t>YM椎名町　椎名町ハイム</t>
  </si>
  <si>
    <t>https://suumo.jp/chintai/jnc_000054222928/?bc=100481038944</t>
  </si>
  <si>
    <t>みつこしハイツ</t>
  </si>
  <si>
    <t>https://suumo.jp/chintai/jnc_000101798382/?bc=100483128635</t>
  </si>
  <si>
    <t>みなみ荘</t>
  </si>
  <si>
    <t>https://suumo.jp/chintai/jnc_000103802511/?bc=100483128639</t>
  </si>
  <si>
    <t>https://suumo.jp/chintai/jnc_000080479812/?bc=100485931817</t>
  </si>
  <si>
    <t>アーバンプレイス椎名町</t>
  </si>
  <si>
    <t>https://suumo.jp/chintai/jnc_000103089852/?bc=100474867398</t>
  </si>
  <si>
    <t>インプレスト目白ヒルズ</t>
  </si>
  <si>
    <t>https://suumo.jp/chintai/jnc_000103317357/?bc=100477745645</t>
  </si>
  <si>
    <t>ウィンベルソロ西目白</t>
  </si>
  <si>
    <t>https://suumo.jp/chintai/jnc_000103702653/?bc=100477366063</t>
  </si>
  <si>
    <t>https://suumo.jp/chintai/jnc_000093236768/?bc=100480135758</t>
  </si>
  <si>
    <t>https://suumo.jp/chintai/jnc_000097539976/?bc=100477484516</t>
  </si>
  <si>
    <t>https://suumo.jp/chintai/jnc_000103994932/?bc=100482715599</t>
  </si>
  <si>
    <t>サンクチュアリ南長崎</t>
  </si>
  <si>
    <t>https://suumo.jp/chintai/jnc_000102448280/?bc=100481608633</t>
  </si>
  <si>
    <t>サンテミリオン目白西</t>
  </si>
  <si>
    <t>https://suumo.jp/chintai/jnc_000103183075/?bc=100475718156</t>
  </si>
  <si>
    <t>https://suumo.jp/chintai/jnc_000104139597/?bc=100485173488</t>
  </si>
  <si>
    <t>サンライズ</t>
  </si>
  <si>
    <t>https://suumo.jp/chintai/jnc_000101330111/?bc=100472940125</t>
  </si>
  <si>
    <t>シャルムコンフォート</t>
  </si>
  <si>
    <t>https://suumo.jp/chintai/jnc_000104341900/?bc=100334190682</t>
  </si>
  <si>
    <t>ジュネス椎名町</t>
  </si>
  <si>
    <t>https://suumo.jp/chintai/jnc_000103122483/?bc=100475110574</t>
  </si>
  <si>
    <t>ティアラタワー中落合</t>
  </si>
  <si>
    <t>https://suumo.jp/chintai/jnc_000104266232/?bc=100484318285</t>
  </si>
  <si>
    <t>トグル椎名町</t>
  </si>
  <si>
    <t>https://suumo.jp/chintai/jnc_000102862785/?bc=100481292171</t>
  </si>
  <si>
    <t>トップイン椎名町</t>
  </si>
  <si>
    <t>https://suumo.jp/chintai/jnc_000104348482/?bc=100484941248</t>
  </si>
  <si>
    <t>ハーモニーテラス南長崎II</t>
  </si>
  <si>
    <t>https://suumo.jp/chintai/jnc_000103205452/?bc=100475820666</t>
  </si>
  <si>
    <t>https://suumo.jp/chintai/jnc_000103891952/?bc=100481374766</t>
  </si>
  <si>
    <t>フラット・Ｆ</t>
  </si>
  <si>
    <t>https://suumo.jp/chintai/jnc_000103103355/?bc=100484713840</t>
  </si>
  <si>
    <t>ベル・アヴェニール</t>
  </si>
  <si>
    <t>https://suumo.jp/chintai/jnc_000104256681/?bc=100484129985</t>
  </si>
  <si>
    <t>https://suumo.jp/chintai/jnc_000102003671/?bc=100458759663</t>
  </si>
  <si>
    <t>メゾン南長崎</t>
  </si>
  <si>
    <t>https://suumo.jp/chintai/jnc_000060222521/?bc=100483886046</t>
  </si>
  <si>
    <t>https://suumo.jp/chintai/jnc_000104459250/?bc=100475152742</t>
  </si>
  <si>
    <t>ロード椎名町</t>
  </si>
  <si>
    <t>https://suumo.jp/chintai/jnc_000104541729/?bc=100486407728</t>
  </si>
  <si>
    <t>学生会館 BLAU目白[食事付き]</t>
  </si>
  <si>
    <t>https://suumo.jp/chintai/jnc_000060234358/?bc=100483900684</t>
  </si>
  <si>
    <t>西武池袋線 椎名町駅 2階建 築20年</t>
  </si>
  <si>
    <t>https://suumo.jp/chintai/jnc_000103212260/?bc=100475728368</t>
  </si>
  <si>
    <t>西武池袋線 椎名町駅 2階建 築36年</t>
  </si>
  <si>
    <t>https://suumo.jp/chintai/jnc_000095572158/?bc=100457561396</t>
  </si>
  <si>
    <t>西武池袋線 椎名町駅 2階建 築8年</t>
  </si>
  <si>
    <t>https://suumo.jp/chintai/jnc_000104272252/?bc=100280985302</t>
  </si>
  <si>
    <t>https://suumo.jp/chintai/jnc_000103884097/?bc=100481333640</t>
  </si>
  <si>
    <t>https://suumo.jp/chintai/jnc_000100787037/?bc=100458190739</t>
  </si>
  <si>
    <t>https://suumo.jp/chintai/jnc_000103780518/?bc=100482968772</t>
  </si>
  <si>
    <t>西武池袋線 椎名町駅 2階建 築9年</t>
  </si>
  <si>
    <t>https://suumo.jp/chintai/jnc_000103994933/?bc=100483673735</t>
  </si>
  <si>
    <t>https://suumo.jp/chintai/jnc_000102573100/?bc=100475820954</t>
  </si>
  <si>
    <t>https://suumo.jp/chintai/jnc_000103480999/?bc=100483625684</t>
  </si>
  <si>
    <t>https://suumo.jp/chintai/jnc_000103542616/?bc=100469815120</t>
  </si>
  <si>
    <t>西武池袋線 椎名町駅 4階建 新築</t>
  </si>
  <si>
    <t>https://suumo.jp/chintai/jnc_000103373427/?bc=100481078433</t>
  </si>
  <si>
    <t>西武池袋線 椎名町駅 4階建 築41年</t>
  </si>
  <si>
    <t>https://suumo.jp/chintai/jnc_000104230124/?bc=100483180101</t>
  </si>
  <si>
    <t>西武池袋線 椎名町駅 7階建 築17年</t>
  </si>
  <si>
    <t>https://suumo.jp/chintai/jnc_000103368537/?bc=100478737105</t>
  </si>
  <si>
    <t>西武池袋線 椎名町駅 地下1地上4階建 築34年</t>
  </si>
  <si>
    <t>https://suumo.jp/chintai/jnc_000104156929/?bc=100483380831</t>
  </si>
  <si>
    <t>都営大江戸線 落合南長崎駅 8階建 築11年</t>
  </si>
  <si>
    <t>https://suumo.jp/chintai/jnc_000103459017/?bc=100478176670</t>
  </si>
  <si>
    <t>ＢＲＩＣＫＳ目白</t>
  </si>
  <si>
    <t>https://suumo.jp/chintai/jnc_000104215582/?bc=100484959786</t>
  </si>
  <si>
    <t>不二レジデンス</t>
  </si>
  <si>
    <t>https://suumo.jp/chintai/jnc_000104215583/?bc=100486115422</t>
  </si>
  <si>
    <t>https://suumo.jp/chintai/jnc_000102573101/?bc=100470975706</t>
  </si>
  <si>
    <t>TAS椎名町レジデンス</t>
  </si>
  <si>
    <t>https://suumo.jp/chintai/jnc_000104499751/?bc=100486101248</t>
  </si>
  <si>
    <t>グレースハイツ椎名町</t>
  </si>
  <si>
    <t>https://suumo.jp/chintai/jnc_000103581836/?bc=100445941630</t>
  </si>
  <si>
    <t>https://suumo.jp/chintai/jnc_000104317356/?bc=100485126733</t>
  </si>
  <si>
    <t>https://suumo.jp/chintai/jnc_000049305346/?bc=100485032929</t>
  </si>
  <si>
    <t>フレグランス椎名町</t>
  </si>
  <si>
    <t>https://suumo.jp/chintai/jnc_000104156923/?bc=100483369048</t>
  </si>
  <si>
    <t>西武池袋線 椎名町駅 地下1地上6階建 築52年</t>
  </si>
  <si>
    <t>https://suumo.jp/chintai/jnc_000099470659/?bc=100480122776</t>
  </si>
  <si>
    <t>https://suumo.jp/chintai/jnc_000101039415/?bc=100485612920</t>
  </si>
  <si>
    <t>サンハウス小池</t>
  </si>
  <si>
    <t>https://suumo.jp/chintai/jnc_000098014009/?bc=100486240813</t>
  </si>
  <si>
    <t>シティーハイム健</t>
  </si>
  <si>
    <t>https://suumo.jp/chintai/jnc_000103619653/?bc=100479050271</t>
  </si>
  <si>
    <t>ファミーユK</t>
  </si>
  <si>
    <t>https://suumo.jp/chintai/jnc_000098868689/?bc=100484331329</t>
  </si>
  <si>
    <t>中銀南長崎マンシオン</t>
  </si>
  <si>
    <t>https://suumo.jp/chintai/jnc_000060060212/?bc=100458066826</t>
  </si>
  <si>
    <t>第一キャッスル</t>
  </si>
  <si>
    <t>https://suumo.jp/chintai/jnc_000103626079/?bc=100479052954</t>
  </si>
  <si>
    <t>西武池袋線 椎名町駅 2階建 築22年</t>
  </si>
  <si>
    <t>https://suumo.jp/chintai/jnc_000104117878/?bc=100483291465</t>
  </si>
  <si>
    <t>Foresta Uchiyama</t>
  </si>
  <si>
    <t>https://suumo.jp/chintai/jnc_000054538400/?bc=100482932439</t>
  </si>
  <si>
    <t>https://suumo.jp/chintai/jnc_000104097219/?bc=100483050591</t>
  </si>
  <si>
    <t>アウルフォレスト</t>
  </si>
  <si>
    <t>https://suumo.jp/chintai/jnc_000104010698/?bc=100477992741</t>
  </si>
  <si>
    <t>エキュルイユ</t>
  </si>
  <si>
    <t>https://suumo.jp/chintai/jnc_000103837320/?bc=100481052969</t>
  </si>
  <si>
    <t>https://suumo.jp/chintai/jnc_000104003350/?bc=100482139101</t>
  </si>
  <si>
    <t>ダイアパレス中落合</t>
  </si>
  <si>
    <t>https://suumo.jp/chintai/jnc_000104296193/?bc=100484498727</t>
  </si>
  <si>
    <t>フェリシア目白</t>
  </si>
  <si>
    <t>https://suumo.jp/chintai/jnc_000104054968/?bc=100482602870</t>
  </si>
  <si>
    <t>西武池袋線 椎名町駅 12階建 築28年</t>
  </si>
  <si>
    <t>https://suumo.jp/chintai/jnc_000104363203/?bc=100481132519</t>
  </si>
  <si>
    <t>https://suumo.jp/chintai/jnc_000104363204/?bc=100482608387</t>
  </si>
  <si>
    <t>https://suumo.jp/chintai/jnc_000104363207/?bc=100482608396</t>
  </si>
  <si>
    <t>https://suumo.jp/chintai/jnc_000104363206/?bc=100482608392</t>
  </si>
  <si>
    <t>https://suumo.jp/chintai/jnc_000104363210/?bc=100482608447</t>
  </si>
  <si>
    <t>https://suumo.jp/chintai/jnc_000104363211/?bc=100481132497</t>
  </si>
  <si>
    <t>https://suumo.jp/chintai/jnc_000104156924/?bc=100483391827</t>
  </si>
  <si>
    <t>西武池袋線 椎名町駅 3階建 築15年</t>
  </si>
  <si>
    <t>https://suumo.jp/chintai/jnc_000103448138/?bc=100478630035</t>
  </si>
  <si>
    <t>西武池袋線 椎名町駅 4階建 築24年</t>
  </si>
  <si>
    <t>https://suumo.jp/chintai/jnc_000104101654/?bc=100484438689</t>
  </si>
  <si>
    <t>西武池袋線 椎名町駅 6階建 築6年</t>
  </si>
  <si>
    <t>https://suumo.jp/chintai/jnc_000104368367/?bc=100480636113</t>
  </si>
  <si>
    <t>https://suumo.jp/chintai/jnc_000103060337/?bc=100474600293</t>
  </si>
  <si>
    <t>Kolet下落合</t>
  </si>
  <si>
    <t>https://suumo.jp/chintai/jnc_000103023778/?bc=100474923190</t>
  </si>
  <si>
    <t>https://suumo.jp/chintai/jnc_000104317349/?bc=100484697739</t>
  </si>
  <si>
    <t>パークホームズ落合南長崎</t>
  </si>
  <si>
    <t>https://suumo.jp/chintai/jnc_000103122462/?bc=100475144947</t>
  </si>
  <si>
    <t>ＪＲ山手線 目白駅 地上3階建 築4年</t>
  </si>
  <si>
    <t>https://suumo.jp/chintai/jnc_000103064946/?bc=100474674583</t>
  </si>
  <si>
    <t>https://suumo.jp/chintai/jnc_000102532766/?bc=100393093338</t>
  </si>
  <si>
    <t>https://suumo.jp/chintai/jnc_000103465896/?bc=100469571190</t>
  </si>
  <si>
    <t>https://suumo.jp/chintai/jnc_000103130179/?bc=100476938573</t>
  </si>
  <si>
    <t>https://suumo.jp/chintai/jnc_000101625402/?bc=100461427026</t>
  </si>
  <si>
    <t>https://suumo.jp/chintai/jnc_000102928411/?bc=100482929074</t>
  </si>
  <si>
    <t>https://suumo.jp/chintai/jnc_000104363208/?bc=100482608442</t>
  </si>
  <si>
    <t>https://suumo.jp/chintai/jnc_000104363209/?bc=100482608440</t>
  </si>
  <si>
    <t>https://suumo.jp/chintai/jnc_000104256682/?bc=100484268330</t>
  </si>
  <si>
    <t>西武池袋線 椎名町駅 6階建 築29年</t>
  </si>
  <si>
    <t>https://suumo.jp/chintai/jnc_000104249965/?bc=100484517337</t>
  </si>
  <si>
    <t>Ｋ・Ｒ目白</t>
  </si>
  <si>
    <t>https://suumo.jp/chintai/jnc_000104475772/?bc=100448486104</t>
  </si>
  <si>
    <t>アイビーテラスビル</t>
  </si>
  <si>
    <t>神奈川県川崎市中原区新城３</t>
  </si>
  <si>
    <t>武蔵新城駅</t>
  </si>
  <si>
    <t>https://suumo.jp/chintai/jnc_000104519171/?bc=100486327548</t>
  </si>
  <si>
    <t>Maison de bleu</t>
  </si>
  <si>
    <t>東京都中野区沼袋３</t>
  </si>
  <si>
    <t>沼袋駅</t>
  </si>
  <si>
    <t>https://suumo.jp/chintai/jnc_000103787148/?bc=100480250732</t>
  </si>
  <si>
    <t>blue palette 中野平和の森</t>
  </si>
  <si>
    <t>東京都中野区新井３</t>
  </si>
  <si>
    <t>https://suumo.jp/chintai/jnc_000102843205/?bc=100480672495</t>
  </si>
  <si>
    <t>アネクスYASAKI</t>
  </si>
  <si>
    <t>https://suumo.jp/chintai/jnc_000058525303/?bc=100484790940</t>
  </si>
  <si>
    <t>サンフォレスト</t>
  </si>
  <si>
    <t>https://suumo.jp/chintai/jnc_000104454997/?bc=100485549613</t>
  </si>
  <si>
    <t>パークサイドマンション松が丘</t>
  </si>
  <si>
    <t>https://suumo.jp/chintai/jnc_000098908656/?bc=100448310135</t>
  </si>
  <si>
    <t>https://suumo.jp/chintai/jnc_000103825334/?bc=100465582424</t>
  </si>
  <si>
    <t>https://suumo.jp/chintai/jnc_000086920781/?bc=100484383932</t>
  </si>
  <si>
    <t>モン・シャトー平和の森</t>
  </si>
  <si>
    <t>東京都中野区沼袋１</t>
  </si>
  <si>
    <t>https://suumo.jp/chintai/jnc_000092577667/?bc=100455112068</t>
  </si>
  <si>
    <t>川島ハウス</t>
  </si>
  <si>
    <t>https://suumo.jp/chintai/jnc_000103135300/?bc=100475319058</t>
  </si>
  <si>
    <t>https://suumo.jp/chintai/jnc_000103006513/?bc=100474160429</t>
  </si>
  <si>
    <t>西武新宿線 沼袋駅 2階建 築36年</t>
  </si>
  <si>
    <t>https://suumo.jp/chintai/jnc_000102998334/?bc=100473970689</t>
  </si>
  <si>
    <t>西武新宿線 沼袋駅 2階建 築63年</t>
  </si>
  <si>
    <t>https://suumo.jp/chintai/jnc_000103123138/?bc=100466986954</t>
  </si>
  <si>
    <t>西武新宿線 沼袋駅 4階建 築22年</t>
  </si>
  <si>
    <t>https://suumo.jp/chintai/jnc_000104179472/?bc=100485398934</t>
  </si>
  <si>
    <t>BENOIT中野</t>
  </si>
  <si>
    <t>https://suumo.jp/chintai/jnc_000103465732/?bc=100482475924</t>
  </si>
  <si>
    <t>https://suumo.jp/chintai/jnc_000069959618/?bc=100484762234</t>
  </si>
  <si>
    <t>nobliss中野</t>
  </si>
  <si>
    <t>https://suumo.jp/chintai/jnc_000104482953/?bc=100486015489</t>
  </si>
  <si>
    <t>the trias205</t>
  </si>
  <si>
    <t>東京都中野区沼袋２</t>
  </si>
  <si>
    <t>https://suumo.jp/chintai/jnc_000104482954/?bc=100486015695</t>
  </si>
  <si>
    <t>https://suumo.jp/chintai/jnc_000104286402/?bc=100484416510</t>
  </si>
  <si>
    <t>https://suumo.jp/chintai/jnc_000101234883/?bc=100479699708</t>
  </si>
  <si>
    <t>さつき荘</t>
  </si>
  <si>
    <t>https://suumo.jp/chintai/jnc_000101234884/?bc=100458051970</t>
  </si>
  <si>
    <t>https://suumo.jp/chintai/jnc_000075772262/?bc=100485461219</t>
  </si>
  <si>
    <t>https://suumo.jp/chintai/jnc_000058310407/?bc=100484478673</t>
  </si>
  <si>
    <t>アクティブハイツ</t>
  </si>
  <si>
    <t>https://suumo.jp/chintai/jnc_000102125721/?bc=100466747989</t>
  </si>
  <si>
    <t>アネックス中野１</t>
  </si>
  <si>
    <t>https://suumo.jp/chintai/jnc_000039510284/?bc=100464414751</t>
  </si>
  <si>
    <t>https://suumo.jp/chintai/jnc_000104003995/?bc=100482400357</t>
  </si>
  <si>
    <t>アーバンハイツ沼袋</t>
  </si>
  <si>
    <t>https://suumo.jp/chintai/jnc_000024065935/?bc=100485608109</t>
  </si>
  <si>
    <t>カームハウスC</t>
  </si>
  <si>
    <t>https://suumo.jp/chintai/jnc_000098053291/?bc=100482832137</t>
  </si>
  <si>
    <t>クレストール NB</t>
  </si>
  <si>
    <t>https://suumo.jp/chintai/jnc_000104063956/?bc=100482938143</t>
  </si>
  <si>
    <t>https://suumo.jp/chintai/jnc_000104532497/?bc=100486346889</t>
  </si>
  <si>
    <t>https://suumo.jp/chintai/jnc_000104433302/?bc=100485629761</t>
  </si>
  <si>
    <t>グランドール中野</t>
  </si>
  <si>
    <t>https://suumo.jp/chintai/jnc_000020997174/?bc=100449718453</t>
  </si>
  <si>
    <t>コスモス21</t>
  </si>
  <si>
    <t>https://suumo.jp/chintai/jnc_000100894673/?bc=100423125984</t>
  </si>
  <si>
    <t>https://suumo.jp/chintai/jnc_000102611988/?bc=100479716486</t>
  </si>
  <si>
    <t>コスモス沼袋</t>
  </si>
  <si>
    <t>https://suumo.jp/chintai/jnc_000102637957/?bc=100471339566</t>
  </si>
  <si>
    <t>コンフォート新井</t>
  </si>
  <si>
    <t>https://suumo.jp/chintai/jnc_000104368699/?bc=100485072981</t>
  </si>
  <si>
    <t>コンフォート沼袋</t>
  </si>
  <si>
    <t>https://suumo.jp/chintai/jnc_000032746641/?bc=100453136151</t>
  </si>
  <si>
    <t>コーポ阿部</t>
  </si>
  <si>
    <t>https://suumo.jp/chintai/jnc_000054177466/?bc=100478492906</t>
  </si>
  <si>
    <t>サン・モロズミ</t>
  </si>
  <si>
    <t>https://suumo.jp/chintai/jnc_000103150934/?bc=100475317971</t>
  </si>
  <si>
    <t>スカイコート中野沼袋</t>
  </si>
  <si>
    <t>https://suumo.jp/chintai/jnc_000101329970/?bc=100470396705</t>
  </si>
  <si>
    <t>https://suumo.jp/chintai/jnc_000103987629/?bc=100482066683</t>
  </si>
  <si>
    <t>https://suumo.jp/chintai/jnc_000104304032/?bc=100484595738</t>
  </si>
  <si>
    <t>https://suumo.jp/chintai/jnc_000103891854/?bc=100481408410</t>
  </si>
  <si>
    <t>https://suumo.jp/chintai/jnc_000103586370/?bc=100480178314</t>
  </si>
  <si>
    <t>https://suumo.jp/chintai/jnc_000104063941/?bc=100482723094</t>
  </si>
  <si>
    <t>スカイパレス新井</t>
  </si>
  <si>
    <t>https://suumo.jp/chintai/jnc_000102197461/?bc=100373551799</t>
  </si>
  <si>
    <t>ダイヤパレス沼袋</t>
  </si>
  <si>
    <t>https://suumo.jp/chintai/jnc_000102688108/?bc=100472369372</t>
  </si>
  <si>
    <t>トモイエレジデンス中野</t>
  </si>
  <si>
    <t>https://suumo.jp/chintai/jnc_000104341746/?bc=100485216894</t>
  </si>
  <si>
    <t>https://suumo.jp/chintai/jnc_000037666528/?bc=100485082961</t>
  </si>
  <si>
    <t>ハイムルーエ</t>
  </si>
  <si>
    <t>https://suumo.jp/chintai/jnc_000103006496/?bc=100474185665</t>
  </si>
  <si>
    <t>ハイム苗</t>
  </si>
  <si>
    <t>https://suumo.jp/chintai/jnc_000103695170/?bc=100481669905</t>
  </si>
  <si>
    <t>フォレストIV</t>
  </si>
  <si>
    <t>https://suumo.jp/chintai/jnc_000104541572/?bc=100480033294</t>
  </si>
  <si>
    <t>https://suumo.jp/chintai/jnc_000103410277/?bc=100483107046</t>
  </si>
  <si>
    <t>ブライズ中野江古田</t>
  </si>
  <si>
    <t>https://suumo.jp/chintai/jnc_000103762816/?bc=100480368665</t>
  </si>
  <si>
    <t>https://suumo.jp/chintai/jnc_000086104363/?bc=100481878365</t>
  </si>
  <si>
    <t>プライムハイツ</t>
  </si>
  <si>
    <t>https://suumo.jp/chintai/jnc_000099251898/?bc=100484933031</t>
  </si>
  <si>
    <t>プレジオ</t>
  </si>
  <si>
    <t>https://suumo.jp/chintai/jnc_000013452497/?bc=100426430937</t>
  </si>
  <si>
    <t>ペンションハウスコスモス２１</t>
  </si>
  <si>
    <t>https://suumo.jp/chintai/jnc_000044705249/?bc=100420387702</t>
  </si>
  <si>
    <t>https://suumo.jp/chintai/jnc_000101442763/?bc=100459247989</t>
  </si>
  <si>
    <t>メゾンオオノ</t>
  </si>
  <si>
    <t>https://suumo.jp/chintai/jnc_000103717519/?bc=100480033002</t>
  </si>
  <si>
    <t>メゾンローリエ</t>
  </si>
  <si>
    <t>東京都中野区沼袋４</t>
  </si>
  <si>
    <t>https://suumo.jp/chintai/jnc_000103771433/?bc=100480432319</t>
  </si>
  <si>
    <t>メゾン・ドゥ・デタント</t>
  </si>
  <si>
    <t>https://suumo.jp/chintai/jnc_000103346702/?bc=100476754987</t>
  </si>
  <si>
    <t>ラヴィクレールI</t>
  </si>
  <si>
    <t>https://suumo.jp/chintai/jnc_000103563629/?bc=100478725922</t>
  </si>
  <si>
    <t>ラ・セリーナ中野K・M・H</t>
  </si>
  <si>
    <t>https://suumo.jp/chintai/jnc_000103581798/?bc=100478811717</t>
  </si>
  <si>
    <t>リズ松ヶ丘</t>
  </si>
  <si>
    <t>https://suumo.jp/chintai/jnc_000103994784/?bc=100482065186</t>
  </si>
  <si>
    <t>ル・グラン中野沼袋</t>
  </si>
  <si>
    <t>https://suumo.jp/chintai/jnc_000104406888/?bc=100485461648</t>
  </si>
  <si>
    <t>ルートアイ</t>
  </si>
  <si>
    <t>https://suumo.jp/chintai/jnc_000103913722/?bc=100481715219</t>
  </si>
  <si>
    <t>レオパレスはなみずき</t>
  </si>
  <si>
    <t>https://suumo.jp/chintai/jnc_000104310667/?bc=100485741576</t>
  </si>
  <si>
    <t>レオパレスＧフォレスト沼袋</t>
  </si>
  <si>
    <t>https://suumo.jp/chintai/jnc_000101758412/?bc=100486396248</t>
  </si>
  <si>
    <t>https://suumo.jp/chintai/jnc_000080791472/?bc=100459810582</t>
  </si>
  <si>
    <t>レオパ－ド中野</t>
  </si>
  <si>
    <t>https://suumo.jp/chintai/jnc_000104426271/?bc=100183892181</t>
  </si>
  <si>
    <t>小堀ハイツ</t>
  </si>
  <si>
    <t>https://suumo.jp/chintai/jnc_000092577666/?bc=100457511201</t>
  </si>
  <si>
    <t>https://suumo.jp/chintai/jnc_000104373029/?bc=100485155404</t>
  </si>
  <si>
    <t>江古田4丁目</t>
  </si>
  <si>
    <t>東京都中野区江古田４</t>
  </si>
  <si>
    <t>https://suumo.jp/chintai/jnc_000103231709/?bc=100476012225</t>
  </si>
  <si>
    <t>沼袋2丁目</t>
  </si>
  <si>
    <t>https://suumo.jp/chintai/jnc_000103519890/?bc=100478192977</t>
  </si>
  <si>
    <t>沼袋２丁目コーポ</t>
  </si>
  <si>
    <t>https://suumo.jp/chintai/jnc_000103078484/?bc=100477400260</t>
  </si>
  <si>
    <t>西武新宿線 沼袋駅 10階建 築10年</t>
  </si>
  <si>
    <t>https://suumo.jp/chintai/jnc_000103674681/?bc=100481562486</t>
  </si>
  <si>
    <t>https://suumo.jp/chintai/jnc_000103324567/?bc=100468090792</t>
  </si>
  <si>
    <t>西武新宿線 沼袋駅 2階建 築16年</t>
  </si>
  <si>
    <t>https://suumo.jp/chintai/jnc_000103903867/?bc=100481464476</t>
  </si>
  <si>
    <t>西武新宿線 沼袋駅 2階建 築17年</t>
  </si>
  <si>
    <t>https://suumo.jp/chintai/jnc_000103913723/?bc=100481556815</t>
  </si>
  <si>
    <t>西武新宿線 沼袋駅 2階建 築18年</t>
  </si>
  <si>
    <t>https://suumo.jp/chintai/jnc_000104310668/?bc=100484638394</t>
  </si>
  <si>
    <t>西武新宿線 沼袋駅 2階建 築21年</t>
  </si>
  <si>
    <t>https://suumo.jp/chintai/jnc_000104310656/?bc=100484584443</t>
  </si>
  <si>
    <t>https://suumo.jp/chintai/jnc_000099251899/?bc=100484600569</t>
  </si>
  <si>
    <t>https://suumo.jp/chintai/jnc_000100933857/?bc=100480334932</t>
  </si>
  <si>
    <t>https://suumo.jp/chintai/jnc_000103771403/?bc=100480389546</t>
  </si>
  <si>
    <t>https://suumo.jp/chintai/jnc_000048787374/?bc=100485609768</t>
  </si>
  <si>
    <t>西武新宿線 沼袋駅 2階建 築40年</t>
  </si>
  <si>
    <t>https://suumo.jp/chintai/jnc_000103032331/?bc=100298401366</t>
  </si>
  <si>
    <t>https://suumo.jp/chintai/jnc_000101442765/?bc=100476987641</t>
  </si>
  <si>
    <t>西武新宿線 沼袋駅 2階建 築41年</t>
  </si>
  <si>
    <t>https://suumo.jp/chintai/jnc_000102633022/?bc=100451056357</t>
  </si>
  <si>
    <t>https://suumo.jp/chintai/jnc_000104417277/?bc=100485496774</t>
  </si>
  <si>
    <t>西武新宿線 沼袋駅 2階建 築42年</t>
  </si>
  <si>
    <t>https://suumo.jp/chintai/jnc_000102998304/?bc=100473971436</t>
  </si>
  <si>
    <t>西武新宿線 沼袋駅 2階建 築53年</t>
  </si>
  <si>
    <t>https://suumo.jp/chintai/jnc_000102732884/?bc=100472036802</t>
  </si>
  <si>
    <t>西武新宿線 沼袋駅 2階建 築5年</t>
  </si>
  <si>
    <t>https://suumo.jp/chintai/jnc_000104357192/?bc=100485216079</t>
  </si>
  <si>
    <t>https://suumo.jp/chintai/jnc_000092577668/?bc=100473972414</t>
  </si>
  <si>
    <t>https://suumo.jp/chintai/jnc_000104060454/?bc=100482698279</t>
  </si>
  <si>
    <t>西武新宿線 沼袋駅 2階建 築8年</t>
  </si>
  <si>
    <t>https://suumo.jp/chintai/jnc_000104525905/?bc=100486411063</t>
  </si>
  <si>
    <t>https://suumo.jp/chintai/jnc_000103551236/?bc=100478503280</t>
  </si>
  <si>
    <t>西武新宿線 沼袋駅 3階建 築18年</t>
  </si>
  <si>
    <t>https://suumo.jp/chintai/jnc_000104015962/?bc=100483447640</t>
  </si>
  <si>
    <t>西武新宿線 沼袋駅 3階建 築19年</t>
  </si>
  <si>
    <t>https://suumo.jp/chintai/jnc_000102109232/?bc=100466618634</t>
  </si>
  <si>
    <t>西武新宿線 沼袋駅 3階建 築32年</t>
  </si>
  <si>
    <t>https://suumo.jp/chintai/jnc_000103581800/?bc=100478750466</t>
  </si>
  <si>
    <t>西武新宿線 沼袋駅 3階建 築36年</t>
  </si>
  <si>
    <t>https://suumo.jp/chintai/jnc_000055906881/?bc=100475516161</t>
  </si>
  <si>
    <t>https://suumo.jp/chintai/jnc_000104426293/?bc=100485549610</t>
  </si>
  <si>
    <t>https://suumo.jp/chintai/jnc_000103828552/?bc=100480400489</t>
  </si>
  <si>
    <t>https://suumo.jp/chintai/jnc_000102605645/?bc=100471033456</t>
  </si>
  <si>
    <t>西武新宿線 沼袋駅 3階建 築40年</t>
  </si>
  <si>
    <t>https://suumo.jp/chintai/jnc_000103410278/?bc=100477282241</t>
  </si>
  <si>
    <t>西武新宿線 沼袋駅 3階建 築8年</t>
  </si>
  <si>
    <t>https://suumo.jp/chintai/jnc_000103144283/?bc=100478323821</t>
  </si>
  <si>
    <t>https://suumo.jp/chintai/jnc_000103175167/?bc=100477608661</t>
  </si>
  <si>
    <t>https://suumo.jp/chintai/jnc_000103771410/?bc=100482749886</t>
  </si>
  <si>
    <t>https://suumo.jp/chintai/jnc_000070698798/?bc=100485005147</t>
  </si>
  <si>
    <t>西武新宿線 沼袋駅 4階建 築4年</t>
  </si>
  <si>
    <t>https://suumo.jp/chintai/jnc_000104541564/?bc=100486394745</t>
  </si>
  <si>
    <t>西武新宿線 沼袋駅 4階建 築5年</t>
  </si>
  <si>
    <t>https://suumo.jp/chintai/jnc_000104519159/?bc=100486230707</t>
  </si>
  <si>
    <t>https://suumo.jp/chintai/jnc_000104076676/?bc=100482787626</t>
  </si>
  <si>
    <t>西武新宿線 沼袋駅 5階建 築11年</t>
  </si>
  <si>
    <t>https://suumo.jp/chintai/jnc_000103909146/?bc=100481555225</t>
  </si>
  <si>
    <t>香林館</t>
  </si>
  <si>
    <t>https://suumo.jp/chintai/jnc_000103969577/?bc=100481895987</t>
  </si>
  <si>
    <t>ＪＲ中央線 中野駅 2階建 築37年</t>
  </si>
  <si>
    <t>https://suumo.jp/chintai/jnc_000103575538/?bc=100478645210</t>
  </si>
  <si>
    <t>ＪＲ中央線 中野駅 4階建 築11年</t>
  </si>
  <si>
    <t>https://suumo.jp/chintai/jnc_000104170642/?bc=100483491916</t>
  </si>
  <si>
    <t>ＪＲ中央線 中野駅 5階建 築2年</t>
  </si>
  <si>
    <t>https://suumo.jp/chintai/jnc_000103465733/?bc=100478018111</t>
  </si>
  <si>
    <t>https://suumo.jp/chintai/jnc_000102458406/?bc=100484104859</t>
  </si>
  <si>
    <t>ＪＲ総武線 中野駅 2階建 築37年</t>
  </si>
  <si>
    <t>https://suumo.jp/chintai/jnc_000104249777/?bc=100484121594</t>
  </si>
  <si>
    <t>Ｎ・Ｆｌａｔ</t>
  </si>
  <si>
    <t>https://suumo.jp/chintai/jnc_000103078485/?bc=100474779185</t>
  </si>
  <si>
    <t>ＳＴＲＩＰＥＳ</t>
  </si>
  <si>
    <t>https://suumo.jp/chintai/jnc_000104015963/?bc=100482197602</t>
  </si>
  <si>
    <t>ａｖｖｉｏ</t>
  </si>
  <si>
    <t>https://suumo.jp/chintai/jnc_000104179473/?bc=100483721420</t>
  </si>
  <si>
    <t>https://suumo.jp/chintai/jnc_000104482952/?bc=100486015103</t>
  </si>
  <si>
    <t>https://suumo.jp/chintai/jnc_000102986869/?bc=100474017635</t>
  </si>
  <si>
    <t>https://suumo.jp/chintai/jnc_000104286401/?bc=100484415405</t>
  </si>
  <si>
    <t>https://suumo.jp/chintai/jnc_000103909147/?bc=100481521645</t>
  </si>
  <si>
    <t>グラン・タヱ</t>
  </si>
  <si>
    <t>https://suumo.jp/chintai/jnc_000102641812/?bc=100480465880</t>
  </si>
  <si>
    <t>https://suumo.jp/chintai/jnc_000102637988/?bc=100472500700</t>
  </si>
  <si>
    <t>https://suumo.jp/chintai/jnc_000102443744/?bc=100441197429</t>
  </si>
  <si>
    <t>https://suumo.jp/chintai/jnc_000103393218/?bc=100477151469</t>
  </si>
  <si>
    <t>ファームシャトー</t>
  </si>
  <si>
    <t>https://suumo.jp/chintai/jnc_000103883929/?bc=100481667770</t>
  </si>
  <si>
    <t>ルオント中野</t>
  </si>
  <si>
    <t>https://suumo.jp/chintai/jnc_000101279575/?bc=100459041478</t>
  </si>
  <si>
    <t>レオパレスソレイユＮＡＫＡＮＯ</t>
  </si>
  <si>
    <t>https://suumo.jp/chintai/jnc_000103060677/?bc=100482550805</t>
  </si>
  <si>
    <t>ロシェ沼袋</t>
  </si>
  <si>
    <t>https://suumo.jp/chintai/jnc_000103575539/?bc=100478633040</t>
  </si>
  <si>
    <t>沼袋コーポラス</t>
  </si>
  <si>
    <t>https://suumo.jp/chintai/jnc_000104519172/?bc=100486296835</t>
  </si>
  <si>
    <t>西武新宿線 沼袋駅 2階建 築25年</t>
  </si>
  <si>
    <t>https://suumo.jp/chintai/jnc_000104086235/?bc=100483721050</t>
  </si>
  <si>
    <t>西武新宿線 沼袋駅 3階建 築11年</t>
  </si>
  <si>
    <t>https://suumo.jp/chintai/jnc_000103032330/?bc=100484600560</t>
  </si>
  <si>
    <t>https://suumo.jp/chintai/jnc_000103046075/?bc=100482299135</t>
  </si>
  <si>
    <t>西武新宿線 沼袋駅 3階建 築14年</t>
  </si>
  <si>
    <t>https://suumo.jp/chintai/jnc_000103060678/?bc=100475941580</t>
  </si>
  <si>
    <t>https://suumo.jp/chintai/jnc_000104249776/?bc=100483918804</t>
  </si>
  <si>
    <t>https://suumo.jp/chintai/jnc_000103780354/?bc=100481342109</t>
  </si>
  <si>
    <t>https://suumo.jp/chintai/jnc_000104266140/?bc=100484263653</t>
  </si>
  <si>
    <t>西武新宿線 沼袋駅 3階建 築20年</t>
  </si>
  <si>
    <t>https://suumo.jp/chintai/jnc_000104426294/?bc=100485780827</t>
  </si>
  <si>
    <t>西武新宿線 沼袋駅 5階建 築41年</t>
  </si>
  <si>
    <t>https://suumo.jp/chintai/jnc_000102443745/?bc=100439734379</t>
  </si>
  <si>
    <t>https://suumo.jp/chintai/jnc_000103780353/?bc=100481302539</t>
  </si>
  <si>
    <t>Ａｒｔｅ　哲学堂</t>
  </si>
  <si>
    <t>https://suumo.jp/chintai/jnc_000101258999/?bc=100473971661</t>
  </si>
  <si>
    <t>ＪＲ中央線 中野駅 3階建 築22年</t>
  </si>
  <si>
    <t>https://suumo.jp/chintai/jnc_000103873780/?bc=100481285498</t>
  </si>
  <si>
    <t>ＪＲ中央線 中野駅 4階建 築37年</t>
  </si>
  <si>
    <t>https://suumo.jp/chintai/jnc_000104170643/?bc=100483673956</t>
  </si>
  <si>
    <t>https://suumo.jp/chintai/jnc_000102679423/?bc=100471825571</t>
  </si>
  <si>
    <t>CONTEL　NAKANO</t>
  </si>
  <si>
    <t>https://suumo.jp/chintai/jnc_000065362545/?bc=100485778782</t>
  </si>
  <si>
    <t>https://suumo.jp/chintai/jnc_000104442905/?bc=100485829807</t>
  </si>
  <si>
    <t>https://suumo.jp/chintai/jnc_000100009741/?bc=100448076636</t>
  </si>
  <si>
    <t>DORM中野</t>
  </si>
  <si>
    <t>https://suumo.jp/chintai/jnc_000103123139/?bc=100475229123</t>
  </si>
  <si>
    <t>Luciole</t>
  </si>
  <si>
    <t>https://suumo.jp/chintai/jnc_000056717462/?bc=100482475592</t>
  </si>
  <si>
    <t>https://suumo.jp/chintai/jnc_000104499521/?bc=100486244012</t>
  </si>
  <si>
    <t>アミューズ・ラ・クール中野</t>
  </si>
  <si>
    <t>https://suumo.jp/chintai/jnc_000103611125/?bc=100478987704</t>
  </si>
  <si>
    <t>アルトリオ</t>
  </si>
  <si>
    <t>https://suumo.jp/chintai/jnc_000102633008/?bc=100471606359</t>
  </si>
  <si>
    <t>アークピア</t>
  </si>
  <si>
    <t>https://suumo.jp/chintai/jnc_000100231180/?bc=100449682620</t>
  </si>
  <si>
    <t>アーバンスクエア沼袋B棟</t>
  </si>
  <si>
    <t>https://suumo.jp/chintai/jnc_000087873597/?bc=100473643328</t>
  </si>
  <si>
    <t>アーバンプレイス沼袋B棟</t>
  </si>
  <si>
    <t>https://suumo.jp/chintai/jnc_000104442906/?bc=100485853077</t>
  </si>
  <si>
    <t>アーバンプレイス沼袋VII　Ａ</t>
  </si>
  <si>
    <t>https://suumo.jp/chintai/jnc_000103743337/?bc=100397115290</t>
  </si>
  <si>
    <t>アーバンプレイス沼袋VＢ</t>
  </si>
  <si>
    <t>https://suumo.jp/chintai/jnc_000101379359/?bc=100458798650</t>
  </si>
  <si>
    <t>ウエストフィールド</t>
  </si>
  <si>
    <t>https://suumo.jp/chintai/jnc_000104304018/?bc=100484622270</t>
  </si>
  <si>
    <t>エルボックス　ナカノ</t>
  </si>
  <si>
    <t>https://suumo.jp/chintai/jnc_000103393232/?bc=100477152342</t>
  </si>
  <si>
    <t>エンジェルマンション１１番館</t>
  </si>
  <si>
    <t>https://suumo.jp/chintai/jnc_000104215470/?bc=100484564055</t>
  </si>
  <si>
    <t>クレア中野野方</t>
  </si>
  <si>
    <t>東京都中野区野方３</t>
  </si>
  <si>
    <t>https://suumo.jp/chintai/jnc_000103454489/?bc=100477614000</t>
  </si>
  <si>
    <t>グリーンヒルズ松ヶ丘</t>
  </si>
  <si>
    <t>https://suumo.jp/chintai/jnc_000104525880/?bc=100486292418</t>
  </si>
  <si>
    <t>コーポカトレア</t>
  </si>
  <si>
    <t>https://suumo.jp/chintai/jnc_000104070128/?bc=100482932670</t>
  </si>
  <si>
    <t>サウスウインド</t>
  </si>
  <si>
    <t>https://suumo.jp/chintai/jnc_000053958634/?bc=100471610963</t>
  </si>
  <si>
    <t>シエスタルイス</t>
  </si>
  <si>
    <t>https://suumo.jp/chintai/jnc_000103330731/?bc=100478342471</t>
  </si>
  <si>
    <t>ジュリアス中野</t>
  </si>
  <si>
    <t>https://suumo.jp/chintai/jnc_000102719241/?bc=100471848747</t>
  </si>
  <si>
    <t>ジョイ</t>
  </si>
  <si>
    <t>https://suumo.jp/chintai/jnc_000104387664/?bc=100476802049</t>
  </si>
  <si>
    <t>スカイタウン沼袋</t>
  </si>
  <si>
    <t>https://suumo.jp/chintai/jnc_000104387663/?bc=100482582639</t>
  </si>
  <si>
    <t>https://suumo.jp/chintai/jnc_000101983064/?bc=100464355649</t>
  </si>
  <si>
    <t>セゾン沼袋</t>
  </si>
  <si>
    <t>https://suumo.jp/chintai/jnc_000073092506/?bc=100484123211</t>
  </si>
  <si>
    <t>https://suumo.jp/chintai/jnc_000071823994/?bc=100454487335</t>
  </si>
  <si>
    <t>https://suumo.jp/chintai/jnc_000103798530/?bc=100480618516</t>
  </si>
  <si>
    <t>https://suumo.jp/chintai/jnc_000104474409/?bc=100387595220</t>
  </si>
  <si>
    <t>セレシア哲学堂</t>
  </si>
  <si>
    <t>https://suumo.jp/chintai/jnc_000104474410/?bc=100361817599</t>
  </si>
  <si>
    <t>https://suumo.jp/chintai/jnc_000103994787/?bc=100482075918</t>
  </si>
  <si>
    <t>ソフィアカラーズ(家具付き)</t>
  </si>
  <si>
    <t>https://suumo.jp/chintai/jnc_000101634789/?bc=100480034828</t>
  </si>
  <si>
    <t>ソフィアスカイ</t>
  </si>
  <si>
    <t>https://suumo.jp/chintai/jnc_000103500348/?bc=100480026390</t>
  </si>
  <si>
    <t>ソフィアツリー</t>
  </si>
  <si>
    <t>https://suumo.jp/chintai/jnc_000057863814/?bc=100483885884</t>
  </si>
  <si>
    <t>ソフィアマジック</t>
  </si>
  <si>
    <t>https://suumo.jp/chintai/jnc_000103563652/?bc=100484562269</t>
  </si>
  <si>
    <t>タロハウス</t>
  </si>
  <si>
    <t>https://suumo.jp/chintai/jnc_000104474398/?bc=100484599383</t>
  </si>
  <si>
    <t>https://suumo.jp/chintai/jnc_000102805444/?bc=100484082739</t>
  </si>
  <si>
    <t>ダンズM中野</t>
  </si>
  <si>
    <t>https://suumo.jp/chintai/jnc_000104207767/?bc=100483816060</t>
  </si>
  <si>
    <t>ハイツ和</t>
  </si>
  <si>
    <t>https://suumo.jp/chintai/jnc_000103514130/?bc=100481961994</t>
  </si>
  <si>
    <t>ハウス中野</t>
  </si>
  <si>
    <t>https://suumo.jp/chintai/jnc_000087614507/?bc=100472677755</t>
  </si>
  <si>
    <t>ハーモニーテラス沼袋</t>
  </si>
  <si>
    <t>https://suumo.jp/chintai/jnc_000104215466/?bc=100484139773</t>
  </si>
  <si>
    <t>https://suumo.jp/chintai/jnc_000104249774/?bc=100484160430</t>
  </si>
  <si>
    <t>https://suumo.jp/chintai/jnc_000103695172/?bc=100479810092</t>
  </si>
  <si>
    <t>フェリスライリー</t>
  </si>
  <si>
    <t>https://suumo.jp/chintai/jnc_000101574726/?bc=100460762826</t>
  </si>
  <si>
    <t>フォレスタ中野</t>
  </si>
  <si>
    <t>https://suumo.jp/chintai/jnc_000102951921/?bc=100418571393</t>
  </si>
  <si>
    <t>https://suumo.jp/chintai/jnc_000103217915/?bc=100475847130</t>
  </si>
  <si>
    <t>https://suumo.jp/chintai/jnc_000102814411/?bc=100479026750</t>
  </si>
  <si>
    <t>フローラ松が丘</t>
  </si>
  <si>
    <t>https://suumo.jp/chintai/jnc_000034225752/?bc=100474221299</t>
  </si>
  <si>
    <t>https://suumo.jp/chintai/jnc_000102232497/?bc=100472696647</t>
  </si>
  <si>
    <t>プルミエ沼袋</t>
  </si>
  <si>
    <t>https://suumo.jp/chintai/jnc_000102954817/?bc=100474489577</t>
  </si>
  <si>
    <t>https://suumo.jp/chintai/jnc_000102484772/?bc=100470002924</t>
  </si>
  <si>
    <t>プレール中野</t>
  </si>
  <si>
    <t>https://suumo.jp/chintai/jnc_000104433312/?bc=100485620549</t>
  </si>
  <si>
    <t>メゾンアライ中野３号</t>
  </si>
  <si>
    <t>https://suumo.jp/chintai/jnc_000104060453/?bc=100482667797</t>
  </si>
  <si>
    <t>https://suumo.jp/chintai/jnc_000019621175/?bc=100482668037</t>
  </si>
  <si>
    <t>https://suumo.jp/chintai/jnc_000036938400/?bc=100485164520</t>
  </si>
  <si>
    <t>https://suumo.jp/chintai/jnc_000104412202/?bc=100485434815</t>
  </si>
  <si>
    <t>メゾンタカハシ</t>
  </si>
  <si>
    <t>https://suumo.jp/chintai/jnc_000097852814/?bc=100477781958</t>
  </si>
  <si>
    <t>メゾン・ド・エムロード</t>
  </si>
  <si>
    <t>https://suumo.jp/chintai/jnc_000102521285/?bc=100483397345</t>
  </si>
  <si>
    <t>ユニオン・スクエア</t>
  </si>
  <si>
    <t>https://suumo.jp/chintai/jnc_000055670416/?bc=100475834971</t>
  </si>
  <si>
    <t>https://suumo.jp/chintai/jnc_000071332759/?bc=100482938373</t>
  </si>
  <si>
    <t>https://suumo.jp/chintai/jnc_000099353898/?bc=100444344413</t>
  </si>
  <si>
    <t>リバーサイド若葉</t>
  </si>
  <si>
    <t>https://suumo.jp/chintai/jnc_000101373685/?bc=100479251034</t>
  </si>
  <si>
    <t>一番館マンション</t>
  </si>
  <si>
    <t>https://suumo.jp/chintai/jnc_000100464619/?bc=100484143978</t>
  </si>
  <si>
    <t>中津ハイツ</t>
  </si>
  <si>
    <t>https://suumo.jp/chintai/jnc_000092849276/?bc=100472997152</t>
  </si>
  <si>
    <t>原口荘</t>
  </si>
  <si>
    <t>https://suumo.jp/chintai/jnc_000100946668/?bc=100455756557</t>
  </si>
  <si>
    <t>宮竹ビル</t>
  </si>
  <si>
    <t>https://suumo.jp/chintai/jnc_000057496427/?bc=100407718422</t>
  </si>
  <si>
    <t>村上ハイツＰＡＲＴ2</t>
  </si>
  <si>
    <t>https://suumo.jp/chintai/jnc_000060517494/?bc=100385491175</t>
  </si>
  <si>
    <t>松美荘</t>
  </si>
  <si>
    <t>https://suumo.jp/chintai/jnc_000094336892/?bc=100408229960</t>
  </si>
  <si>
    <t>https://suumo.jp/chintai/jnc_000104348345/?bc=100484953109</t>
  </si>
  <si>
    <t>沼袋4丁目</t>
  </si>
  <si>
    <t>https://suumo.jp/chintai/jnc_000102189685/?bc=100484474263</t>
  </si>
  <si>
    <t>沼袋ハイム</t>
  </si>
  <si>
    <t>https://suumo.jp/chintai/jnc_000103695173/?bc=100479810046</t>
  </si>
  <si>
    <t>西武新宿線 沼袋駅 2階建 築10年</t>
  </si>
  <si>
    <t>https://suumo.jp/chintai/jnc_000087887732/?bc=100473965839</t>
  </si>
  <si>
    <t>https://suumo.jp/chintai/jnc_000052191659/?bc=100473970859</t>
  </si>
  <si>
    <t>https://suumo.jp/chintai/jnc_000103223524/?bc=100484169760</t>
  </si>
  <si>
    <t>https://suumo.jp/chintai/jnc_000102814412/?bc=100479089517</t>
  </si>
  <si>
    <t>西武新宿線 沼袋駅 2階建 築22年</t>
  </si>
  <si>
    <t>https://suumo.jp/chintai/jnc_000103658345/?bc=100479547854</t>
  </si>
  <si>
    <t>西武新宿線 沼袋駅 2階建 築28年</t>
  </si>
  <si>
    <t>https://suumo.jp/chintai/jnc_000090224632/?bc=100467825260</t>
  </si>
  <si>
    <t>西武新宿線 沼袋駅 2階建 築2年</t>
  </si>
  <si>
    <t>https://suumo.jp/chintai/jnc_000102998303/?bc=100479457673</t>
  </si>
  <si>
    <t>https://suumo.jp/chintai/jnc_000103123140/?bc=100478123129</t>
  </si>
  <si>
    <t>https://suumo.jp/chintai/jnc_000104186937/?bc=100484159457</t>
  </si>
  <si>
    <t>西武新宿線 沼袋駅 2階建 築30年</t>
  </si>
  <si>
    <t>https://suumo.jp/chintai/jnc_000102998302/?bc=100473970605</t>
  </si>
  <si>
    <t>西武新宿線 沼袋駅 2階建 築34年</t>
  </si>
  <si>
    <t>https://suumo.jp/chintai/jnc_000100231192/?bc=100478123135</t>
  </si>
  <si>
    <t>西武新宿線 沼袋駅 2階建 築3年</t>
  </si>
  <si>
    <t>https://suumo.jp/chintai/jnc_000100468607/?bc=100479251029</t>
  </si>
  <si>
    <t>西武新宿線 沼袋駅 2階建 築48年</t>
  </si>
  <si>
    <t>https://suumo.jp/chintai/jnc_000104222985/?bc=100483952664</t>
  </si>
  <si>
    <t>西武新宿線 沼袋駅 2階建 築4年</t>
  </si>
  <si>
    <t>https://suumo.jp/chintai/jnc_000104249775/?bc=100484156035</t>
  </si>
  <si>
    <t>https://suumo.jp/chintai/jnc_000103519886/?bc=100478220098</t>
  </si>
  <si>
    <t>https://suumo.jp/chintai/jnc_000102805445/?bc=100473971130</t>
  </si>
  <si>
    <t>https://suumo.jp/chintai/jnc_000102169519/?bc=100478044660</t>
  </si>
  <si>
    <t>https://suumo.jp/chintai/jnc_000104510115/?bc=100486149714</t>
  </si>
  <si>
    <t>https://suumo.jp/chintai/jnc_000104519173/?bc=100486212894</t>
  </si>
  <si>
    <t>西武新宿線 沼袋駅 3階建 築23年</t>
  </si>
  <si>
    <t>https://suumo.jp/chintai/jnc_000104117708/?bc=100483084422</t>
  </si>
  <si>
    <t>西武新宿線 沼袋駅 3階建 築27年</t>
  </si>
  <si>
    <t>https://suumo.jp/chintai/jnc_000104117709/?bc=100483084425</t>
  </si>
  <si>
    <t>https://suumo.jp/chintai/jnc_000103833569/?bc=100481136914</t>
  </si>
  <si>
    <t>https://suumo.jp/chintai/jnc_000104163301/?bc=100483500667</t>
  </si>
  <si>
    <t>https://suumo.jp/chintai/jnc_000104378965/?bc=100485158175</t>
  </si>
  <si>
    <t>https://suumo.jp/chintai/jnc_000103514131/?bc=100483510330</t>
  </si>
  <si>
    <t>西武新宿線 沼袋駅 3階建 築37年</t>
  </si>
  <si>
    <t>https://suumo.jp/chintai/jnc_000102197462/?bc=100484158730</t>
  </si>
  <si>
    <t>西武新宿線 沼袋駅 4階建 築41年</t>
  </si>
  <si>
    <t>https://suumo.jp/chintai/jnc_000103695150/?bc=100481562487</t>
  </si>
  <si>
    <t>https://suumo.jp/chintai/jnc_000103338544/?bc=100478341678</t>
  </si>
  <si>
    <t>https://suumo.jp/chintai/jnc_000104256495/?bc=100484207244</t>
  </si>
  <si>
    <t>西武新宿線 沼袋駅 5階建 築4年</t>
  </si>
  <si>
    <t>https://suumo.jp/chintai/jnc_000101364617/?bc=100483724070</t>
  </si>
  <si>
    <t>西武新宿線 沼袋駅 5階建 築56年</t>
  </si>
  <si>
    <t>https://suumo.jp/chintai/jnc_000104464936/?bc=100477305928</t>
  </si>
  <si>
    <t>西武新宿線 沼袋駅 6階建 築26年</t>
  </si>
  <si>
    <t>https://suumo.jp/chintai/jnc_000102688123/?bc=100438562050</t>
  </si>
  <si>
    <t>西武新宿線 沼袋駅 地下1地上4階建 築4年</t>
  </si>
  <si>
    <t>https://suumo.jp/chintai/jnc_000104464969/?bc=100486224799</t>
  </si>
  <si>
    <t>https://suumo.jp/chintai/jnc_000101783983/?bc=100477734181</t>
  </si>
  <si>
    <t>https://suumo.jp/chintai/jnc_000103873803/?bc=100481308985</t>
  </si>
  <si>
    <t>ＢＥＷＥＬプラス</t>
  </si>
  <si>
    <t>https://suumo.jp/chintai/jnc_000102837165/?bc=100484367831</t>
  </si>
  <si>
    <t>ＣＩＣＡＤＡ ＲＥＳＩＤＥＮＣＥ ＮＡＫＡＮＯ</t>
  </si>
  <si>
    <t>https://suumo.jp/chintai/jnc_000104433303/?bc=100485741519</t>
  </si>
  <si>
    <t>https://suumo.jp/chintai/jnc_000103118216/?bc=100484367723</t>
  </si>
  <si>
    <t>https://suumo.jp/chintai/jnc_000103357983/?bc=100453215697</t>
  </si>
  <si>
    <t>ｃｅｎｔ４ｃｅ</t>
  </si>
  <si>
    <t>https://suumo.jp/chintai/jnc_000103357984/?bc=100453215692</t>
  </si>
  <si>
    <t>https://suumo.jp/chintai/jnc_000103743370/?bc=100480244105</t>
  </si>
  <si>
    <t>ベルトリー沼袋</t>
  </si>
  <si>
    <t>https://suumo.jp/chintai/jnc_000104179490/?bc=100481771462</t>
  </si>
  <si>
    <t>メゾンクレドール</t>
  </si>
  <si>
    <t>https://suumo.jp/chintai/jnc_000103913721/?bc=100482564814</t>
  </si>
  <si>
    <t>メゾネット沼袋駅前</t>
  </si>
  <si>
    <t>https://suumo.jp/chintai/jnc_000103913720/?bc=100482564815</t>
  </si>
  <si>
    <t>https://suumo.jp/chintai/jnc_000104399666/?bc=100482565067</t>
  </si>
  <si>
    <t>西武新宿線 沼袋駅 2階建 新築</t>
  </si>
  <si>
    <t>https://suumo.jp/chintai/jnc_000104101588/?bc=100482565064</t>
  </si>
  <si>
    <t>https://suumo.jp/chintai/jnc_000104202947/?bc=100441687212</t>
  </si>
  <si>
    <t>サンシャイン・レジデンス松が丘</t>
  </si>
  <si>
    <t>https://suumo.jp/chintai/jnc_000104179493/?bc=100483713325</t>
  </si>
  <si>
    <t>ルーブル中野沼袋</t>
  </si>
  <si>
    <t>https://suumo.jp/chintai/jnc_000087683780/?bc=100484880534</t>
  </si>
  <si>
    <t>ロアール江古田</t>
  </si>
  <si>
    <t>https://suumo.jp/chintai/jnc_000103702518/?bc=100478214576</t>
  </si>
  <si>
    <t>三田沼袋コーポ</t>
  </si>
  <si>
    <t>https://suumo.jp/chintai/jnc_000103546915/?bc=100478639779</t>
  </si>
  <si>
    <t>小作ビル</t>
  </si>
  <si>
    <t>https://suumo.jp/chintai/jnc_000079086900/?bc=100476627631</t>
  </si>
  <si>
    <t>箭内マンション</t>
  </si>
  <si>
    <t>https://suumo.jp/chintai/jnc_000104202948/?bc=100453843698</t>
  </si>
  <si>
    <t>西武新宿線 沼袋駅 2階建 築31年</t>
  </si>
  <si>
    <t>https://suumo.jp/chintai/jnc_000104335096/?bc=100484881599</t>
  </si>
  <si>
    <t>西武新宿線 沼袋駅 6階建 築19年</t>
  </si>
  <si>
    <t>https://suumo.jp/chintai/jnc_000103317169/?bc=100477508119</t>
  </si>
  <si>
    <t>https://suumo.jp/chintai/jnc_000103873783/?bc=100481308986</t>
  </si>
  <si>
    <t>グラシア沼袋</t>
  </si>
  <si>
    <t>https://suumo.jp/chintai/jnc_000104117674/?bc=100483107891</t>
  </si>
  <si>
    <t>グリーンハイム</t>
  </si>
  <si>
    <t>https://suumo.jp/chintai/jnc_000101505688/?bc=100460251051</t>
  </si>
  <si>
    <t>https://suumo.jp/chintai/jnc_000102324390/?bc=100481742861</t>
  </si>
  <si>
    <t>ヴェラＳＫ</t>
  </si>
  <si>
    <t>https://suumo.jp/chintai/jnc_000038176940/?bc=100208398879</t>
  </si>
  <si>
    <t>翠雲荘</t>
  </si>
  <si>
    <t>https://suumo.jp/chintai/jnc_000103558030/?bc=100478805464</t>
  </si>
  <si>
    <t>西武新宿線 沼袋駅 4階建 築43年</t>
  </si>
  <si>
    <t>https://suumo.jp/chintai/jnc_000056339611/?bc=100337970233</t>
  </si>
  <si>
    <t>都営大江戸線 新江古田駅 4階建 築54年</t>
  </si>
  <si>
    <t>https://suumo.jp/chintai/jnc_000102986868/?bc=100474017634</t>
  </si>
  <si>
    <t>https://suumo.jp/chintai/jnc_000104286400/?bc=100484413783</t>
  </si>
  <si>
    <t>https://suumo.jp/chintai/jnc_000103095172/?bc=100474895414</t>
  </si>
  <si>
    <t>グレイシャス沼袋</t>
  </si>
  <si>
    <t>https://suumo.jp/chintai/jnc_000102936795/?bc=100473570361</t>
  </si>
  <si>
    <t>パークフロント中野新井薬師</t>
  </si>
  <si>
    <t>https://suumo.jp/chintai/jnc_000103771405/?bc=100480429967</t>
  </si>
  <si>
    <t>ファームシャトーII</t>
  </si>
  <si>
    <t>https://suumo.jp/chintai/jnc_000103804706/?bc=100482565095</t>
  </si>
  <si>
    <t>ライオンズマンション中野平和の森公園</t>
  </si>
  <si>
    <t>https://suumo.jp/chintai/jnc_000104341747/?bc=100484885280</t>
  </si>
  <si>
    <t>https://suumo.jp/chintai/jnc_000103536673/?bc=100478318341</t>
  </si>
  <si>
    <t>沼袋へーベルハウス</t>
  </si>
  <si>
    <t>https://suumo.jp/chintai/jnc_000102928294/?bc=100476744337</t>
  </si>
  <si>
    <t>西武新宿線 新井薬師前駅 14階建 築25年</t>
  </si>
  <si>
    <t>https://suumo.jp/chintai/jnc_000102473328/?bc=100477354121</t>
  </si>
  <si>
    <t>西武新宿線 沼袋駅 3階建 新築</t>
  </si>
  <si>
    <t>https://suumo.jp/chintai/jnc_000102328207/?bc=100465983182</t>
  </si>
  <si>
    <t>https://suumo.jp/chintai/jnc_000104215463/?bc=100484248649</t>
  </si>
  <si>
    <t>https://suumo.jp/chintai/jnc_000104474396/?bc=100485947750</t>
  </si>
  <si>
    <t>https://suumo.jp/chintai/jnc_000102328209/?bc=100467956816</t>
  </si>
  <si>
    <t>https://suumo.jp/chintai/jnc_000098732791/?bc=100442846058</t>
  </si>
  <si>
    <t>https://suumo.jp/chintai/jnc_000103111357/?bc=100474931845</t>
  </si>
  <si>
    <t>西武新宿線 沼袋駅 5階建 築5年</t>
  </si>
  <si>
    <t>https://suumo.jp/chintai/jnc_000104373030/?bc=100485134360</t>
  </si>
  <si>
    <t>https://suumo.jp/chintai/jnc_000104310654/?bc=100483900046</t>
  </si>
  <si>
    <t>ＪＲ中央線 中野駅 3階建 新築</t>
  </si>
  <si>
    <t>https://suumo.jp/chintai/jnc_000030648763/?bc=100477977486</t>
  </si>
  <si>
    <t>https://suumo.jp/chintai/jnc_000103809269/?bc=100480781788</t>
  </si>
  <si>
    <t>ＪＲ中央線 中野駅 地下1地上7階建 築24年</t>
  </si>
  <si>
    <t>https://suumo.jp/chintai/jnc_000104295939/?bc=100486339863</t>
  </si>
  <si>
    <t>ＬｅＢｏｉｓ中野</t>
  </si>
  <si>
    <t>https://suumo.jp/chintai/jnc_000102328204/?bc=100453259077</t>
  </si>
  <si>
    <t>Ｌｉｂｅｒｔｅ沼袋</t>
  </si>
  <si>
    <t>https://suumo.jp/chintai/jnc_000102328206/?bc=100453477429</t>
  </si>
  <si>
    <t>https://suumo.jp/chintai/jnc_000102469318/?bc=100472538829</t>
  </si>
  <si>
    <t>ＷＡＬＤ Ｎ</t>
  </si>
  <si>
    <t>https://suumo.jp/chintai/jnc_000102469319/?bc=100472538773</t>
  </si>
  <si>
    <t>https://suumo.jp/chintai/jnc_000103144280/?bc=100475186150</t>
  </si>
  <si>
    <t>エクセル中野</t>
  </si>
  <si>
    <t>https://suumo.jp/chintai/jnc_000103524032/?bc=100486301319</t>
  </si>
  <si>
    <t>シティハウス中野テラス</t>
  </si>
  <si>
    <t>https://suumo.jp/chintai/jnc_000104326811/?bc=100479202055</t>
  </si>
  <si>
    <t>タチマンション沼袋</t>
  </si>
  <si>
    <t>https://suumo.jp/chintai/jnc_000101390410/?bc=100457511415</t>
  </si>
  <si>
    <t>朝日クレスパリオ中野新井薬師</t>
  </si>
  <si>
    <t>https://suumo.jp/chintai/jnc_000098502264/?bc=100465929423</t>
  </si>
  <si>
    <t>https://suumo.jp/chintai/jnc_000098502263/?bc=100445422415</t>
  </si>
  <si>
    <t>https://suumo.jp/chintai/jnc_000098502266/?bc=100454560551</t>
  </si>
  <si>
    <t>https://suumo.jp/chintai/jnc_000104326813/?bc=100480750784</t>
  </si>
  <si>
    <t>https://suumo.jp/chintai/jnc_000099029398/?bc=100475147580</t>
  </si>
  <si>
    <t>西武新宿線 沼袋駅 7階建 築30年</t>
  </si>
  <si>
    <t>https://suumo.jp/chintai/jnc_000099029397/?bc=100440964736</t>
  </si>
  <si>
    <t>https://suumo.jp/chintai/jnc_000103558028/?bc=100485447965</t>
  </si>
  <si>
    <t>西武新宿線 沼袋駅 7階建 築8年</t>
  </si>
  <si>
    <t>https://suumo.jp/chintai/jnc_000104310655/?bc=100483266386</t>
  </si>
  <si>
    <t>https://suumo.jp/chintai/jnc_000104295940/?bc=100486339846</t>
  </si>
  <si>
    <t>https://suumo.jp/chintai/jnc_000077276484/?bc=100424402184</t>
  </si>
  <si>
    <t>松ヶ丘2丁目19戸建</t>
  </si>
  <si>
    <t>https://suumo.jp/chintai/jnc_000104304033/?bc=100484572578</t>
  </si>
  <si>
    <t>西武新宿線 沼袋駅 地上3階建 築12年</t>
  </si>
  <si>
    <t>https://suumo.jp/chintai/jnc_000103352692/?bc=100476804549</t>
  </si>
  <si>
    <t>クロスコート目白Ｂ</t>
  </si>
  <si>
    <t>目白駅</t>
  </si>
  <si>
    <t>https://suumo.jp/chintai/jnc_000103352693/?bc=100478725893</t>
  </si>
  <si>
    <t>ＪＲ山手線 目白駅 2階建 築6年</t>
  </si>
  <si>
    <t>https://suumo.jp/chintai/jnc_000104132241/?bc=100483215555</t>
  </si>
  <si>
    <t>The　Well　Mejiro</t>
  </si>
  <si>
    <t>https://suumo.jp/chintai/jnc_000104449287/?bc=100485724194</t>
  </si>
  <si>
    <t>https://suumo.jp/chintai/jnc_000103575236/?bc=100478629210</t>
  </si>
  <si>
    <t>アネックス・メグ</t>
  </si>
  <si>
    <t>https://suumo.jp/chintai/jnc_000101694595/?bc=100462098041</t>
  </si>
  <si>
    <t>https://suumo.jp/chintai/jnc_000095471946/?bc=100415751340</t>
  </si>
  <si>
    <t>グリーンコート</t>
  </si>
  <si>
    <t>https://suumo.jp/chintai/jnc_000104049653/?bc=100482505783</t>
  </si>
  <si>
    <t>チェリッシュ目白Ａ</t>
  </si>
  <si>
    <t>https://suumo.jp/chintai/jnc_000103976362/?bc=100482133075</t>
  </si>
  <si>
    <t>プライムアーバン目白</t>
  </si>
  <si>
    <t>https://suumo.jp/chintai/jnc_000103178947/?bc=100484521200</t>
  </si>
  <si>
    <t>ラフォンテ目白</t>
  </si>
  <si>
    <t>https://suumo.jp/chintai/jnc_000103742504/?bc=100486338015</t>
  </si>
  <si>
    <t>リリエンベルグ目白壱番館</t>
  </si>
  <si>
    <t>https://suumo.jp/chintai/jnc_000096945820/?bc=100462385357</t>
  </si>
  <si>
    <t>https://suumo.jp/chintai/jnc_000103742505/?bc=100485550946</t>
  </si>
  <si>
    <t>https://suumo.jp/chintai/jnc_000104280007/?bc=100484476011</t>
  </si>
  <si>
    <t>ル　ヴァンヴェール　目白</t>
  </si>
  <si>
    <t>https://suumo.jp/chintai/jnc_000102961719/?bc=100473889407</t>
  </si>
  <si>
    <t>https://suumo.jp/chintai/jnc_000098223974/?bc=100423125985</t>
  </si>
  <si>
    <t>レクシード目白</t>
  </si>
  <si>
    <t>https://suumo.jp/chintai/jnc_000104202525/?bc=100486399427</t>
  </si>
  <si>
    <t>https://suumo.jp/chintai/jnc_000104442186/?bc=100486337827</t>
  </si>
  <si>
    <t>https://suumo.jp/chintai/jnc_000104391714/?bc=100477692132</t>
  </si>
  <si>
    <t>御留山アパートメント</t>
  </si>
  <si>
    <t>https://suumo.jp/chintai/jnc_000104372521/?bc=100448111132</t>
  </si>
  <si>
    <t>ＡＤＸ目白</t>
  </si>
  <si>
    <t>https://suumo.jp/chintai/jnc_000103802177/?bc=100482975268</t>
  </si>
  <si>
    <t>ＪＲ山手線 目白駅 11階建 築21年</t>
  </si>
  <si>
    <t>https://suumo.jp/chintai/jnc_000096937202/?bc=100476886858</t>
  </si>
  <si>
    <t>https://suumo.jp/chintai/jnc_000104207493/?bc=100483781547</t>
  </si>
  <si>
    <t>ＪＲ山手線 目白駅 2階建 築4年</t>
  </si>
  <si>
    <t>https://suumo.jp/chintai/jnc_000104285640/?bc=100484942374</t>
  </si>
  <si>
    <t>ＪＲ山手線 目白駅 3階建 築22年</t>
  </si>
  <si>
    <t>https://suumo.jp/chintai/jnc_000102751110/?bc=100472256677</t>
  </si>
  <si>
    <t>ＪＲ山手線 目白駅 4階建 築40年</t>
  </si>
  <si>
    <t>https://suumo.jp/chintai/jnc_000103750106/?bc=100423199252</t>
  </si>
  <si>
    <t>ＪＲ山手線 目白駅 地下1地上3階建 築8年</t>
  </si>
  <si>
    <t>https://suumo.jp/chintai/jnc_000103268875/?bc=100478186453</t>
  </si>
  <si>
    <t>https://suumo.jp/chintai/jnc_000104107314/?bc=100483079787</t>
  </si>
  <si>
    <t>ダイナシティ目白</t>
  </si>
  <si>
    <t>https://suumo.jp/chintai/jnc_000103330327/?bc=100482282502</t>
  </si>
  <si>
    <t>https://suumo.jp/chintai/jnc_000093435755/?bc=100480258646</t>
  </si>
  <si>
    <t>ルミエール目白</t>
  </si>
  <si>
    <t>https://suumo.jp/chintai/jnc_000103734404/?bc=100481714195</t>
  </si>
  <si>
    <t>https://suumo.jp/chintai/jnc_000103947312/?bc=100481795589</t>
  </si>
  <si>
    <t>目白パークヒルズ</t>
  </si>
  <si>
    <t>https://suumo.jp/chintai/jnc_000103346182/?bc=100480409757</t>
  </si>
  <si>
    <t>https://suumo.jp/chintai/jnc_000102086906/?bc=100470260463</t>
  </si>
  <si>
    <t>ＪＲ山手線 目白駅 6階建 築9年</t>
  </si>
  <si>
    <t>https://suumo.jp/chintai/jnc_000100331589/?bc=100432487552</t>
  </si>
  <si>
    <t>サンライズ目白</t>
  </si>
  <si>
    <t>https://suumo.jp/chintai/jnc_000061658147/?bc=100482265750</t>
  </si>
  <si>
    <t>メゾン・ド・パラディ</t>
  </si>
  <si>
    <t>https://suumo.jp/chintai/jnc_000103969747/?bc=100481886774</t>
  </si>
  <si>
    <t>メゾン・フェリエ</t>
  </si>
  <si>
    <t>https://suumo.jp/chintai/jnc_000103734403/?bc=100486337749</t>
  </si>
  <si>
    <t>https://suumo.jp/chintai/jnc_000103937420/?bc=100481734178</t>
  </si>
  <si>
    <t>https://suumo.jp/chintai/jnc_000103734405/?bc=100480850893</t>
  </si>
  <si>
    <t>https://suumo.jp/chintai/jnc_000104015687/?bc=100486399734</t>
  </si>
  <si>
    <t>https://suumo.jp/chintai/jnc_000104069538/?bc=100483534150</t>
  </si>
  <si>
    <t>目白ニコルハウス</t>
  </si>
  <si>
    <t>https://suumo.jp/chintai/jnc_000104255988/?bc=100484881536</t>
  </si>
  <si>
    <t>ＪＲ山手線 目白駅 4階建 築1年</t>
  </si>
  <si>
    <t>https://suumo.jp/chintai/jnc_000103791979/?bc=100480445949</t>
  </si>
  <si>
    <t>Kens’  目白</t>
  </si>
  <si>
    <t>https://suumo.jp/chintai/jnc_000096014710/?bc=100475620419</t>
  </si>
  <si>
    <t>リトルズトーン目白下落合</t>
  </si>
  <si>
    <t>https://suumo.jp/chintai/jnc_000104483113/?bc=100486098146</t>
  </si>
  <si>
    <t>アーバンライフ目白駅前</t>
  </si>
  <si>
    <t>東京都豊島区目白１</t>
  </si>
  <si>
    <t>https://suumo.jp/chintai/jnc_000104271768/?bc=100485267895</t>
  </si>
  <si>
    <t>ラクラス目白</t>
  </si>
  <si>
    <t>https://suumo.jp/chintai/jnc_000104076249/?bc=100457007226</t>
  </si>
  <si>
    <t>https://suumo.jp/chintai/jnc_000104276179/?bc=100484340796</t>
  </si>
  <si>
    <t>ＪＲ山手線 目白駅 11階建 築20年</t>
  </si>
  <si>
    <t>https://suumo.jp/chintai/jnc_000103717076/?bc=100484682994</t>
  </si>
  <si>
    <t>ＪＲ山手線 目白駅 3階建 築37年</t>
  </si>
  <si>
    <t>https://suumo.jp/chintai/jnc_000103969225/?bc=100483071509</t>
  </si>
  <si>
    <t>ＪＲ山手線 目白駅 3階建 築5年</t>
  </si>
  <si>
    <t>https://suumo.jp/chintai/jnc_000104303519/?bc=100484767248</t>
  </si>
  <si>
    <t>ＪＲ山手線 目白駅 地下1地上11階建 築20年</t>
  </si>
  <si>
    <t>https://suumo.jp/chintai/jnc_000097306566/?bc=100483995839</t>
  </si>
  <si>
    <t>ＮＳ　Ｍｅｊｉｒｏ</t>
  </si>
  <si>
    <t>https://suumo.jp/chintai/jnc_000101574800/?bc=100460758973</t>
  </si>
  <si>
    <t>Apartment惣</t>
  </si>
  <si>
    <t>目白駅 バス6分 (バス停)練馬車庫前行き</t>
  </si>
  <si>
    <t>https://suumo.jp/chintai/jnc_000103756343/?bc=100480814804</t>
  </si>
  <si>
    <t>ARKMARK新宿西落合</t>
  </si>
  <si>
    <t>落合南長崎駅</t>
  </si>
  <si>
    <t>https://suumo.jp/chintai/jnc_000103069490/?bc=100474707354</t>
  </si>
  <si>
    <t>CASTIA南長崎B号棟</t>
  </si>
  <si>
    <t>https://suumo.jp/chintai/jnc_000102951705/?bc=100475445474</t>
  </si>
  <si>
    <t>LUCENTCOURT西落合</t>
  </si>
  <si>
    <t>東京都新宿区西落合３</t>
  </si>
  <si>
    <t>https://suumo.jp/chintai/jnc_000104108243/?bc=100483286926</t>
  </si>
  <si>
    <t>T‘s Cuore MUSE落合南長崎</t>
  </si>
  <si>
    <t>https://suumo.jp/chintai/jnc_000104117876/?bc=100483286970</t>
  </si>
  <si>
    <t>https://suumo.jp/chintai/jnc_000104117877/?bc=100483127211</t>
  </si>
  <si>
    <t>https://suumo.jp/chintai/jnc_000103873106/?bc=100483721394</t>
  </si>
  <si>
    <t>ZOOM新宿西落合</t>
  </si>
  <si>
    <t>東京都新宿区西落合１</t>
  </si>
  <si>
    <t>https://suumo.jp/chintai/jnc_000103481002/?bc=100477835302</t>
  </si>
  <si>
    <t>アリーチェ中落合</t>
  </si>
  <si>
    <t>https://suumo.jp/chintai/jnc_000103903394/?bc=100484136536</t>
  </si>
  <si>
    <t>ガリシア新宿西落合II</t>
  </si>
  <si>
    <t>https://suumo.jp/chintai/jnc_000102332442/?bc=100479270891</t>
  </si>
  <si>
    <t>キャスティア南長崎</t>
  </si>
  <si>
    <t>https://suumo.jp/chintai/jnc_000101032565/?bc=100471076535</t>
  </si>
  <si>
    <t>クリアル落合南長崎</t>
  </si>
  <si>
    <t>https://suumo.jp/chintai/jnc_000101886071/?bc=100438147365</t>
  </si>
  <si>
    <t>サウスコーラル</t>
  </si>
  <si>
    <t>https://suumo.jp/chintai/jnc_000098288573/?bc=100476099326</t>
  </si>
  <si>
    <t>https://suumo.jp/chintai/jnc_000104391734/?bc=100485195322</t>
  </si>
  <si>
    <t>ザ・テラス西落合</t>
  </si>
  <si>
    <t>https://suumo.jp/chintai/jnc_000102624536/?bc=100475532541</t>
  </si>
  <si>
    <t>セザール中落合</t>
  </si>
  <si>
    <t>https://suumo.jp/chintai/jnc_000102177103/?bc=100476411273</t>
  </si>
  <si>
    <t>パークアクシス新宿西落合</t>
  </si>
  <si>
    <t>https://suumo.jp/chintai/jnc_000100257126/?bc=100476791273</t>
  </si>
  <si>
    <t>フラッフィー落合南長崎</t>
  </si>
  <si>
    <t>https://suumo.jp/chintai/jnc_000103481003/?bc=100478027687</t>
  </si>
  <si>
    <t>https://suumo.jp/chintai/jnc_000103837334/?bc=100481466778</t>
  </si>
  <si>
    <t>ミオテゾーロ哲学堂カーザ</t>
  </si>
  <si>
    <t>https://suumo.jp/chintai/jnc_000103798689/?bc=100483134803</t>
  </si>
  <si>
    <t>メゾン岩崎</t>
  </si>
  <si>
    <t>https://suumo.jp/chintai/jnc_000103685618/?bc=100479859116</t>
  </si>
  <si>
    <t>ル・クール西落合</t>
  </si>
  <si>
    <t>https://suumo.jp/chintai/jnc_000103183076/?bc=100478528399</t>
  </si>
  <si>
    <t>西武池袋線 椎名町駅 3階建 築8年</t>
  </si>
  <si>
    <t>https://suumo.jp/chintai/jnc_000072765402/?bc=100478767599</t>
  </si>
  <si>
    <t>西落合ハイツ</t>
  </si>
  <si>
    <t>https://suumo.jp/chintai/jnc_000103694589/?bc=100484431859</t>
  </si>
  <si>
    <t>都営大江戸線 落合南長崎駅 2階建 築33年</t>
  </si>
  <si>
    <t>https://suumo.jp/chintai/jnc_000104126286/?bc=100483169142</t>
  </si>
  <si>
    <t>都営大江戸線 落合南長崎駅 3階建 新築</t>
  </si>
  <si>
    <t>https://suumo.jp/chintai/jnc_000103593456/?bc=100478767634</t>
  </si>
  <si>
    <t>都営大江戸線 落合南長崎駅 3階建 築47年</t>
  </si>
  <si>
    <t>https://suumo.jp/chintai/jnc_000103491818/?bc=100483044417</t>
  </si>
  <si>
    <t>都営大江戸線 落合南長崎駅 5階建 築3年</t>
  </si>
  <si>
    <t>https://suumo.jp/chintai/jnc_000103908831/?bc=100481562451</t>
  </si>
  <si>
    <t>都営大江戸線 落合南長崎駅 5階建 築5年</t>
  </si>
  <si>
    <t>https://suumo.jp/chintai/jnc_000103809137/?bc=100480917232</t>
  </si>
  <si>
    <t>都営大江戸線 落合南長崎駅 5階建 築6年</t>
  </si>
  <si>
    <t>https://suumo.jp/chintai/jnc_000098338003/?bc=100433088522</t>
  </si>
  <si>
    <t>都営大江戸線 落合南長崎駅 6階建 築25年</t>
  </si>
  <si>
    <t>https://suumo.jp/chintai/jnc_000101886072/?bc=100450196432</t>
  </si>
  <si>
    <t>https://suumo.jp/chintai/jnc_000102605720/?bc=100471030014</t>
  </si>
  <si>
    <t>https://suumo.jp/chintai/jnc_000103843623/?bc=100481050972</t>
  </si>
  <si>
    <t>都営大江戸線 落合南長崎駅 地下1地上4階建 築2年</t>
  </si>
  <si>
    <t>https://suumo.jp/chintai/jnc_000104387416/?bc=100485411221</t>
  </si>
  <si>
    <t>https://suumo.jp/chintai/jnc_000104391738/?bc=100485170707</t>
  </si>
  <si>
    <t>都営大江戸線 落合南長崎駅 地下1地上4階建 築4年</t>
  </si>
  <si>
    <t>https://suumo.jp/chintai/jnc_000090888356/?bc=100387895603</t>
  </si>
  <si>
    <t>高田ビル</t>
  </si>
  <si>
    <t>https://suumo.jp/chintai/jnc_000104265708/?bc=100480720614</t>
  </si>
  <si>
    <t>Ｕ ＳＱＵＡＲＥ ２</t>
  </si>
  <si>
    <t>https://suumo.jp/chintai/jnc_000103570843/?bc=100478708186</t>
  </si>
  <si>
    <t>GRANPARK西落合</t>
  </si>
  <si>
    <t>https://suumo.jp/chintai/jnc_000103610324/?bc=100427654436</t>
  </si>
  <si>
    <t>KNOTS西落合</t>
  </si>
  <si>
    <t>https://suumo.jp/chintai/jnc_000096532028/?bc=100484215629</t>
  </si>
  <si>
    <t>https://suumo.jp/chintai/jnc_000104126287/?bc=100483172232</t>
  </si>
  <si>
    <t>KRコーポ</t>
  </si>
  <si>
    <t>https://suumo.jp/chintai/jnc_000103717084/?bc=100480354533</t>
  </si>
  <si>
    <t>あおばトラスト中落合</t>
  </si>
  <si>
    <t>https://suumo.jp/chintai/jnc_000102477304/?bc=100474745216</t>
  </si>
  <si>
    <t>https://suumo.jp/chintai/jnc_000103813463/?bc=100485820672</t>
  </si>
  <si>
    <t>https://suumo.jp/chintai/jnc_000103416502/?bc=100482176471</t>
  </si>
  <si>
    <t>ちきゅうハウス</t>
  </si>
  <si>
    <t>https://suumo.jp/chintai/jnc_000104091512/?bc=100484936841</t>
  </si>
  <si>
    <t>アルンハイム</t>
  </si>
  <si>
    <t>https://suumo.jp/chintai/jnc_000104525352/?bc=100486334256</t>
  </si>
  <si>
    <t>アヴァンティ哲学堂公園</t>
  </si>
  <si>
    <t>https://suumo.jp/chintai/jnc_000104473680/?bc=100486328073</t>
  </si>
  <si>
    <t>アーバイル新宿西落合</t>
  </si>
  <si>
    <t>https://suumo.jp/chintai/jnc_000097643248/?bc=100428899991</t>
  </si>
  <si>
    <t>イッツ哲学堂公園</t>
  </si>
  <si>
    <t>https://suumo.jp/chintai/jnc_000102825177/?bc=100472830264</t>
  </si>
  <si>
    <t>オアーゼ新宿西落合レジデンス</t>
  </si>
  <si>
    <t>https://suumo.jp/chintai/jnc_000104473677/?bc=100485886122</t>
  </si>
  <si>
    <t>カーサピアッツァ新宿西落合</t>
  </si>
  <si>
    <t>https://suumo.jp/chintai/jnc_000104271773/?bc=100484548992</t>
  </si>
  <si>
    <t>ガリシア新宿西落合</t>
  </si>
  <si>
    <t>https://suumo.jp/chintai/jnc_000104295048/?bc=100484314058</t>
  </si>
  <si>
    <t>https://suumo.jp/chintai/jnc_000103883465/?bc=100481667771</t>
  </si>
  <si>
    <t>ガーラ新宿西落合</t>
  </si>
  <si>
    <t>https://suumo.jp/chintai/jnc_000103763011/?bc=100482747908</t>
  </si>
  <si>
    <t>キャッスル小島</t>
  </si>
  <si>
    <t>https://suumo.jp/chintai/jnc_000102616453/?bc=100480362504</t>
  </si>
  <si>
    <t>グランヴァン西落合</t>
  </si>
  <si>
    <t>https://suumo.jp/chintai/jnc_000102809885/?bc=100477812079</t>
  </si>
  <si>
    <t>https://suumo.jp/chintai/jnc_000103680262/?bc=100481077836</t>
  </si>
  <si>
    <t>https://suumo.jp/chintai/jnc_000103843621/?bc=100481198644</t>
  </si>
  <si>
    <t>グリーンヒルＶＩＩ</t>
  </si>
  <si>
    <t>https://suumo.jp/chintai/jnc_000103969745/?bc=100473599855</t>
  </si>
  <si>
    <t>コーポときわ</t>
  </si>
  <si>
    <t>https://suumo.jp/chintai/jnc_000103969744/?bc=100473597524</t>
  </si>
  <si>
    <t>https://suumo.jp/chintai/jnc_000104509215/?bc=100476073687</t>
  </si>
  <si>
    <t>コーポ文化村</t>
  </si>
  <si>
    <t>https://suumo.jp/chintai/jnc_000102688217/?bc=100475051660</t>
  </si>
  <si>
    <t>コーポ若松</t>
  </si>
  <si>
    <t>https://suumo.jp/chintai/jnc_000102688216/?bc=100481038940</t>
  </si>
  <si>
    <t>https://suumo.jp/chintai/jnc_000104425547/?bc=100483897005</t>
  </si>
  <si>
    <t>コーポ落合</t>
  </si>
  <si>
    <t>https://suumo.jp/chintai/jnc_000101165488/?bc=100468790364</t>
  </si>
  <si>
    <t>サニーマイホーム</t>
  </si>
  <si>
    <t>https://suumo.jp/chintai/jnc_000104509218/?bc=100486125412</t>
  </si>
  <si>
    <t>シティハイム西落合</t>
  </si>
  <si>
    <t>https://suumo.jp/chintai/jnc_000103481416/?bc=100478986414</t>
  </si>
  <si>
    <t>シャトー白馬</t>
  </si>
  <si>
    <t>https://suumo.jp/chintai/jnc_000104178868/?bc=100484083136</t>
  </si>
  <si>
    <t>スカイコート新宿落合南長崎駅前</t>
  </si>
  <si>
    <t>https://suumo.jp/chintai/jnc_000104437838/?bc=100485775455</t>
  </si>
  <si>
    <t>https://suumo.jp/chintai/jnc_000103362631/?bc=100477030590</t>
  </si>
  <si>
    <t>スカイドリーム西落合</t>
  </si>
  <si>
    <t>https://suumo.jp/chintai/jnc_000104116897/?bc=100483107171</t>
  </si>
  <si>
    <t>スペース新宿中落合</t>
  </si>
  <si>
    <t>https://suumo.jp/chintai/jnc_000104426446/?bc=100481584167</t>
  </si>
  <si>
    <t>ティアラ目白AVENUE</t>
  </si>
  <si>
    <t>https://suumo.jp/chintai/jnc_000103947798/?bc=100477248340</t>
  </si>
  <si>
    <t>https://suumo.jp/chintai/jnc_000104256663/?bc=100484575625</t>
  </si>
  <si>
    <t>https://suumo.jp/chintai/jnc_000103929496/?bc=100481740341</t>
  </si>
  <si>
    <t>ティエドゥール椎名町</t>
  </si>
  <si>
    <t>https://suumo.jp/chintai/jnc_000096532018/?bc=100358632295</t>
  </si>
  <si>
    <t>ディアレイシャス落合南長崎</t>
  </si>
  <si>
    <t>https://suumo.jp/chintai/jnc_000096532017/?bc=100381527155</t>
  </si>
  <si>
    <t>https://suumo.jp/chintai/jnc_000100821251/?bc=100454796115</t>
  </si>
  <si>
    <t>https://suumo.jp/chintai/jnc_000096532020/?bc=100359133083</t>
  </si>
  <si>
    <t>https://suumo.jp/chintai/jnc_000096532023/?bc=100351484409</t>
  </si>
  <si>
    <t>https://suumo.jp/chintai/jnc_000096532022/?bc=100374800927</t>
  </si>
  <si>
    <t>https://suumo.jp/chintai/jnc_000096532021/?bc=100359916439</t>
  </si>
  <si>
    <t>https://suumo.jp/chintai/jnc_000102003067/?bc=100475903854</t>
  </si>
  <si>
    <t>https://suumo.jp/chintai/jnc_000103277827/?bc=100473911086</t>
  </si>
  <si>
    <t>https://suumo.jp/chintai/jnc_000096532026/?bc=100377938444</t>
  </si>
  <si>
    <t>https://suumo.jp/chintai/jnc_000100588959/?bc=100452887880</t>
  </si>
  <si>
    <t>https://suumo.jp/chintai/jnc_000068093410/?bc=100485038741</t>
  </si>
  <si>
    <t>トア・ロード</t>
  </si>
  <si>
    <t>https://suumo.jp/chintai/jnc_000103742527/?bc=100480564575</t>
  </si>
  <si>
    <t>バーミープレイス西落合</t>
  </si>
  <si>
    <t>https://suumo.jp/chintai/jnc_000102477302/?bc=100471318908</t>
  </si>
  <si>
    <t>パークコート中落合</t>
  </si>
  <si>
    <t>https://suumo.jp/chintai/jnc_000102417194/?bc=100473033723</t>
  </si>
  <si>
    <t>フラッツ西落合</t>
  </si>
  <si>
    <t>https://suumo.jp/chintai/jnc_000102386207/?bc=100473033720</t>
  </si>
  <si>
    <t>https://suumo.jp/chintai/jnc_000067958385/?bc=100479690985</t>
  </si>
  <si>
    <t>フローレンス目白</t>
  </si>
  <si>
    <t>https://suumo.jp/chintai/jnc_000089206675/?bc=100483742897</t>
  </si>
  <si>
    <t>プルミエ</t>
  </si>
  <si>
    <t>https://suumo.jp/chintai/jnc_000103701889/?bc=100480182437</t>
  </si>
  <si>
    <t>プレール・ドゥーク目白アベニュー</t>
  </si>
  <si>
    <t>https://suumo.jp/chintai/jnc_000104132246/?bc=100483283311</t>
  </si>
  <si>
    <t>https://suumo.jp/chintai/jnc_000103686093/?bc=100479858896</t>
  </si>
  <si>
    <t>プレール椎名町</t>
  </si>
  <si>
    <t>https://suumo.jp/chintai/jnc_000104034286/?bc=100482733588</t>
  </si>
  <si>
    <t>ベルシード新宿中落合</t>
  </si>
  <si>
    <t>https://suumo.jp/chintai/jnc_000104049658/?bc=100482509535</t>
  </si>
  <si>
    <t>https://suumo.jp/chintai/jnc_000102404602/?bc=100471260757</t>
  </si>
  <si>
    <t>https://suumo.jp/chintai/jnc_000104482299/?bc=100486150704</t>
  </si>
  <si>
    <t>ベルジュール落合</t>
  </si>
  <si>
    <t>https://suumo.jp/chintai/jnc_000104540970/?bc=100473506122</t>
  </si>
  <si>
    <t>ベルペトラ</t>
  </si>
  <si>
    <t>https://suumo.jp/chintai/jnc_000103094783/?bc=100475094586</t>
  </si>
  <si>
    <t>https://suumo.jp/chintai/jnc_000104265706/?bc=100484336265</t>
  </si>
  <si>
    <t>https://suumo.jp/chintai/jnc_000101722218/?bc=100477342481</t>
  </si>
  <si>
    <t>ペアルージュ西落合</t>
  </si>
  <si>
    <t>https://suumo.jp/chintai/jnc_000104028807/?bc=100482314605</t>
  </si>
  <si>
    <t>ペガサスマンション目白</t>
  </si>
  <si>
    <t>https://suumo.jp/chintai/jnc_000103727593/?bc=100480068704</t>
  </si>
  <si>
    <t>ボヌール南長崎</t>
  </si>
  <si>
    <t>https://suumo.jp/chintai/jnc_000104442997/?bc=100485870102</t>
  </si>
  <si>
    <t>https://suumo.jp/chintai/jnc_000104085859/?bc=100483326151</t>
  </si>
  <si>
    <t>マインプラッツ</t>
  </si>
  <si>
    <t>https://suumo.jp/chintai/jnc_000104081726/?bc=100483159052</t>
  </si>
  <si>
    <t>https://suumo.jp/chintai/jnc_000104347544/?bc=100485290056</t>
  </si>
  <si>
    <t>https://suumo.jp/chintai/jnc_000096532030/?bc=100482849859</t>
  </si>
  <si>
    <t>メイクスデザイン新宿落合</t>
  </si>
  <si>
    <t>https://suumo.jp/chintai/jnc_000096532032/?bc=100370603129</t>
  </si>
  <si>
    <t>https://suumo.jp/chintai/jnc_000104169966/?bc=100483481751</t>
  </si>
  <si>
    <t>メゾンウィング</t>
  </si>
  <si>
    <t>https://suumo.jp/chintai/jnc_000102572173/?bc=100465174582</t>
  </si>
  <si>
    <t>メゾン・ド・ハジメ</t>
  </si>
  <si>
    <t>https://suumo.jp/chintai/jnc_000102829292/?bc=100465174557</t>
  </si>
  <si>
    <t>https://suumo.jp/chintai/jnc_000103947797/?bc=100481786094</t>
  </si>
  <si>
    <t>メゾン・ド・ブラン南長崎</t>
  </si>
  <si>
    <t>https://suumo.jp/chintai/jnc_000103903393/?bc=100482376482</t>
  </si>
  <si>
    <t>ユナイテッドグロー西落合</t>
  </si>
  <si>
    <t>https://suumo.jp/chintai/jnc_000103987152/?bc=100482533657</t>
  </si>
  <si>
    <t>リオ　リブロ</t>
  </si>
  <si>
    <t>https://suumo.jp/chintai/jnc_000103987153/?bc=100482533630</t>
  </si>
  <si>
    <t>https://suumo.jp/chintai/jnc_000098673889/?bc=100465411921</t>
  </si>
  <si>
    <t>https://suumo.jp/chintai/jnc_000104368370/?bc=100485219598</t>
  </si>
  <si>
    <t>ルーブル中落合</t>
  </si>
  <si>
    <t>https://suumo.jp/chintai/jnc_000103908828/?bc=100485094527</t>
  </si>
  <si>
    <t>https://suumo.jp/chintai/jnc_000102208603/?bc=100480204909</t>
  </si>
  <si>
    <t>https://suumo.jp/chintai/jnc_000102842747/?bc=100482505536</t>
  </si>
  <si>
    <t>https://suumo.jp/chintai/jnc_000104004155/?bc=100482109159</t>
  </si>
  <si>
    <t>ルーブル南長崎</t>
  </si>
  <si>
    <t>https://suumo.jp/chintai/jnc_000103742529/?bc=100480511502</t>
  </si>
  <si>
    <t>ルーブル新宿西落合II</t>
  </si>
  <si>
    <t>https://suumo.jp/chintai/jnc_000104043955/?bc=100483047072</t>
  </si>
  <si>
    <t>ルーブル新宿西落合八番館</t>
  </si>
  <si>
    <t>https://suumo.jp/chintai/jnc_000103727192/?bc=100476278830</t>
  </si>
  <si>
    <t>ルーブル新宿西落合参番館</t>
  </si>
  <si>
    <t>https://suumo.jp/chintai/jnc_000104235642/?bc=100486396090</t>
  </si>
  <si>
    <t>レオパレス目白通</t>
  </si>
  <si>
    <t>https://suumo.jp/chintai/jnc_000102829288/?bc=100473304845</t>
  </si>
  <si>
    <t>レジデンス新宿中落合</t>
  </si>
  <si>
    <t>https://suumo.jp/chintai/jnc_000103432603/?bc=100477688773</t>
  </si>
  <si>
    <t>https://suumo.jp/chintai/jnc_000104411712/?bc=100485555694</t>
  </si>
  <si>
    <t>レジデンス新宿中落合スクエア</t>
  </si>
  <si>
    <t>https://suumo.jp/chintai/jnc_000101245605/?bc=100420080050</t>
  </si>
  <si>
    <t>レピュア落合南長崎駅前</t>
  </si>
  <si>
    <t>https://suumo.jp/chintai/jnc_000103575251/?bc=100478800201</t>
  </si>
  <si>
    <t>https://suumo.jp/chintai/jnc_000099810561/?bc=100484188464</t>
  </si>
  <si>
    <t>https://suumo.jp/chintai/jnc_000104391732/?bc=100485279758</t>
  </si>
  <si>
    <t>https://suumo.jp/chintai/jnc_000100889506/?bc=100471594397</t>
  </si>
  <si>
    <t>https://suumo.jp/chintai/jnc_000088608086/?bc=100485819853</t>
  </si>
  <si>
    <t>ロジュマン大裕</t>
  </si>
  <si>
    <t>https://suumo.jp/chintai/jnc_000102125828/?bc=100466734571</t>
  </si>
  <si>
    <t>ロビハウス</t>
  </si>
  <si>
    <t>https://suumo.jp/chintai/jnc_000103447309/?bc=100477628295</t>
  </si>
  <si>
    <t>ヴィル中落合</t>
  </si>
  <si>
    <t>https://suumo.jp/chintai/jnc_000103447313/?bc=100477628299</t>
  </si>
  <si>
    <t>https://suumo.jp/chintai/jnc_000103447316/?bc=100477628291</t>
  </si>
  <si>
    <t>https://suumo.jp/chintai/jnc_000102390730/?bc=100476996399</t>
  </si>
  <si>
    <t>三豊ビル</t>
  </si>
  <si>
    <t>https://suumo.jp/chintai/jnc_000104356698/?bc=100484994056</t>
  </si>
  <si>
    <t>仮称）西落合１丁目メゾン</t>
  </si>
  <si>
    <t>https://suumo.jp/chintai/jnc_000104356700/?bc=100484994061</t>
  </si>
  <si>
    <t>https://suumo.jp/chintai/jnc_000103403473/?bc=100477223816</t>
  </si>
  <si>
    <t>冨士ハイム</t>
  </si>
  <si>
    <t>https://suumo.jp/chintai/jnc_000016984217/?bc=100474562734</t>
  </si>
  <si>
    <t>哲学堂フラッツ</t>
  </si>
  <si>
    <t>https://suumo.jp/chintai/jnc_000103987782/?bc=100482019439</t>
  </si>
  <si>
    <t>第７ユービコーポ</t>
  </si>
  <si>
    <t>https://suumo.jp/chintai/jnc_000059341805/?bc=100484001510</t>
  </si>
  <si>
    <t>綾部マンション</t>
  </si>
  <si>
    <t>https://suumo.jp/chintai/jnc_000103883463/?bc=100481342093</t>
  </si>
  <si>
    <t>都営大江戸線 落合南長崎駅 10階建 築17年</t>
  </si>
  <si>
    <t>https://suumo.jp/chintai/jnc_000103707812/?bc=100479969853</t>
  </si>
  <si>
    <t>都営大江戸線 落合南長崎駅 10階建 築23年</t>
  </si>
  <si>
    <t>https://suumo.jp/chintai/jnc_000104138647/?bc=100483337904</t>
  </si>
  <si>
    <t>https://suumo.jp/chintai/jnc_000103610325/?bc=100466701731</t>
  </si>
  <si>
    <t>都営大江戸線 落合南長崎駅 2階建 新築</t>
  </si>
  <si>
    <t>https://suumo.jp/chintai/jnc_000104398995/?bc=100485356356</t>
  </si>
  <si>
    <t>都営大江戸線 落合南長崎駅 2階建 築14年</t>
  </si>
  <si>
    <t>https://suumo.jp/chintai/jnc_000102595339/?bc=100477807677</t>
  </si>
  <si>
    <t>都営大江戸線 落合南長崎駅 2階建 築17年</t>
  </si>
  <si>
    <t>https://suumo.jp/chintai/jnc_000104442206/?bc=100485702124</t>
  </si>
  <si>
    <t>都営大江戸線 落合南長崎駅 2階建 築21年</t>
  </si>
  <si>
    <t>https://suumo.jp/chintai/jnc_000102417195/?bc=100471573888</t>
  </si>
  <si>
    <t>都営大江戸線 落合南長崎駅 2階建 築24年</t>
  </si>
  <si>
    <t>https://suumo.jp/chintai/jnc_000102452189/?bc=100471573898</t>
  </si>
  <si>
    <t>https://suumo.jp/chintai/jnc_000103223696/?bc=100474374409</t>
  </si>
  <si>
    <t>都営大江戸線 落合南長崎駅 2階建 築32年</t>
  </si>
  <si>
    <t>https://suumo.jp/chintai/jnc_000098665082/?bc=100471576451</t>
  </si>
  <si>
    <t>https://suumo.jp/chintai/jnc_000103938280/?bc=100481740909</t>
  </si>
  <si>
    <t>都営大江戸線 落合南長崎駅 2階建 築8年</t>
  </si>
  <si>
    <t>https://suumo.jp/chintai/jnc_000104107337/?bc=100483171364</t>
  </si>
  <si>
    <t>都営大江戸線 落合南長崎駅 3階建 築10年</t>
  </si>
  <si>
    <t>https://suumo.jp/chintai/jnc_000103987154/?bc=100483900060</t>
  </si>
  <si>
    <t>都営大江戸線 落合南長崎駅 3階建 築11年</t>
  </si>
  <si>
    <t>https://suumo.jp/chintai/jnc_000103987155/?bc=100482072296</t>
  </si>
  <si>
    <t>https://suumo.jp/chintai/jnc_000103756342/?bc=100480324341</t>
  </si>
  <si>
    <t>都営大江戸線 落合南長崎駅 3階建 築13年</t>
  </si>
  <si>
    <t>https://suumo.jp/chintai/jnc_000102595340/?bc=100470387186</t>
  </si>
  <si>
    <t>https://suumo.jp/chintai/jnc_000103908830/?bc=100481236943</t>
  </si>
  <si>
    <t>https://suumo.jp/chintai/jnc_000103723461/?bc=100480257882</t>
  </si>
  <si>
    <t>都営大江戸線 落合南長崎駅 3階建 築16年</t>
  </si>
  <si>
    <t>https://suumo.jp/chintai/jnc_000104442998/?bc=100485778628</t>
  </si>
  <si>
    <t>https://suumo.jp/chintai/jnc_000102638090/?bc=100471328950</t>
  </si>
  <si>
    <t>https://suumo.jp/chintai/jnc_000104125659/?bc=100483171372</t>
  </si>
  <si>
    <t>都営大江戸線 落合南長崎駅 3階建 築8年</t>
  </si>
  <si>
    <t>https://suumo.jp/chintai/jnc_000104540971/?bc=100486444080</t>
  </si>
  <si>
    <t>都営大江戸線 落合南長崎駅 4階建 築26年</t>
  </si>
  <si>
    <t>https://suumo.jp/chintai/jnc_000103182512/?bc=100477718223</t>
  </si>
  <si>
    <t>都営大江戸線 落合南長崎駅 4階建 築27年</t>
  </si>
  <si>
    <t>https://suumo.jp/chintai/jnc_000103837335/?bc=100485173020</t>
  </si>
  <si>
    <t>https://suumo.jp/chintai/jnc_000103770595/?bc=100480399627</t>
  </si>
  <si>
    <t>都営大江戸線 落合南長崎駅 4階建 築28年</t>
  </si>
  <si>
    <t>https://suumo.jp/chintai/jnc_000104454679/?bc=100486047319</t>
  </si>
  <si>
    <t>都営大江戸線 落合南長崎駅 4階建 築5年</t>
  </si>
  <si>
    <t>https://suumo.jp/chintai/jnc_000101783614/?bc=100474157848</t>
  </si>
  <si>
    <t>https://suumo.jp/chintai/jnc_000096749298/?bc=100484306281</t>
  </si>
  <si>
    <t>都営大江戸線 落合南長崎駅 4階建 築6年</t>
  </si>
  <si>
    <t>https://suumo.jp/chintai/jnc_000104043956/?bc=100482713070</t>
  </si>
  <si>
    <t>都営大江戸線 落合南長崎駅 5階建 築12年</t>
  </si>
  <si>
    <t>https://suumo.jp/chintai/jnc_000102978983/?bc=100478776403</t>
  </si>
  <si>
    <t>都営大江戸線 落合南長崎駅 5階建 築20年</t>
  </si>
  <si>
    <t>https://suumo.jp/chintai/jnc_000103928531/?bc=100481650575</t>
  </si>
  <si>
    <t>都営大江戸線 落合南長崎駅 5階建 築22年</t>
  </si>
  <si>
    <t>https://suumo.jp/chintai/jnc_000103960633/?bc=100476898095</t>
  </si>
  <si>
    <t>都営大江戸線 落合南長崎駅 5階建 築25年</t>
  </si>
  <si>
    <t>https://suumo.jp/chintai/jnc_000104039680/?bc=100485502893</t>
  </si>
  <si>
    <t>都営大江戸線 落合南長崎駅 5階建 築28年</t>
  </si>
  <si>
    <t>https://suumo.jp/chintai/jnc_000101301473/?bc=100419016874</t>
  </si>
  <si>
    <t>都営大江戸線 落合南長崎駅 5階建 築2年</t>
  </si>
  <si>
    <t>https://suumo.jp/chintai/jnc_000103636284/?bc=100479181003</t>
  </si>
  <si>
    <t>https://suumo.jp/chintai/jnc_000103662825/?bc=100479467890</t>
  </si>
  <si>
    <t>https://suumo.jp/chintai/jnc_000104425546/?bc=100485529449</t>
  </si>
  <si>
    <t>https://suumo.jp/chintai/jnc_000103083609/?bc=100476088267</t>
  </si>
  <si>
    <t>都営大江戸線 落合南長崎駅 5階建 築7年</t>
  </si>
  <si>
    <t>https://suumo.jp/chintai/jnc_000104107339/?bc=100483350919</t>
  </si>
  <si>
    <t>https://suumo.jp/chintai/jnc_000102231799/?bc=100472832776</t>
  </si>
  <si>
    <t>都営大江戸線 落合南長崎駅 5階建 築9年</t>
  </si>
  <si>
    <t>https://suumo.jp/chintai/jnc_000104276186/?bc=100484348917</t>
  </si>
  <si>
    <t>都営大江戸線 落合南長崎駅 6階建 築11年</t>
  </si>
  <si>
    <t>https://suumo.jp/chintai/jnc_000104378572/?bc=100484581598</t>
  </si>
  <si>
    <t>https://suumo.jp/chintai/jnc_000094090925/?bc=100486175803</t>
  </si>
  <si>
    <t>都営大江戸線 落合南長崎駅 6階建 築19年</t>
  </si>
  <si>
    <t>https://suumo.jp/chintai/jnc_000103903395/?bc=100481487663</t>
  </si>
  <si>
    <t>都営大江戸線 落合南長崎駅 6階建 築24年</t>
  </si>
  <si>
    <t>https://suumo.jp/chintai/jnc_000104178867/?bc=100470973736</t>
  </si>
  <si>
    <t>都営大江戸線 落合南長崎駅 6階建 築28年</t>
  </si>
  <si>
    <t>https://suumo.jp/chintai/jnc_000101265193/?bc=100477091355</t>
  </si>
  <si>
    <t>都営大江戸線 落合南長崎駅 7階建 築16年</t>
  </si>
  <si>
    <t>https://suumo.jp/chintai/jnc_000103117896/?bc=100477822497</t>
  </si>
  <si>
    <t>https://suumo.jp/chintai/jnc_000104303535/?bc=100484581611</t>
  </si>
  <si>
    <t>https://suumo.jp/chintai/jnc_000096123631/?bc=100471341879</t>
  </si>
  <si>
    <t>都営大江戸線 落合南長崎駅 7階建 築22年</t>
  </si>
  <si>
    <t>https://suumo.jp/chintai/jnc_000070271250/?bc=100485038524</t>
  </si>
  <si>
    <t>https://suumo.jp/chintai/jnc_000104186398/?bc=100483612447</t>
  </si>
  <si>
    <t>都営大江戸線 落合南長崎駅 7階建 築23年</t>
  </si>
  <si>
    <t>https://suumo.jp/chintai/jnc_000104454684/?bc=100486090094</t>
  </si>
  <si>
    <t>https://suumo.jp/chintai/jnc_000103976392/?bc=100481962100</t>
  </si>
  <si>
    <t>都営大江戸線 落合南長崎駅 9階建 築20年</t>
  </si>
  <si>
    <t>https://suumo.jp/chintai/jnc_000104372540/?bc=100438291587</t>
  </si>
  <si>
    <t>https://suumo.jp/chintai/jnc_000103908829/?bc=100481972724</t>
  </si>
  <si>
    <t>https://suumo.jp/chintai/jnc_000102208604/?bc=100478136792</t>
  </si>
  <si>
    <t>https://suumo.jp/chintai/jnc_000102612150/?bc=100471102773</t>
  </si>
  <si>
    <t>都営大江戸線 落合南長崎駅 9階建 築21年</t>
  </si>
  <si>
    <t>https://suumo.jp/chintai/jnc_000104043953/?bc=100482531257</t>
  </si>
  <si>
    <t>都営大江戸線 落合南長崎駅 9階建 築7年</t>
  </si>
  <si>
    <t>https://suumo.jp/chintai/jnc_000097587918/?bc=100462434748</t>
  </si>
  <si>
    <t>都営大江戸線 落合南長崎駅 9階建 築9年</t>
  </si>
  <si>
    <t>https://suumo.jp/chintai/jnc_000104107338/?bc=100483179835</t>
  </si>
  <si>
    <t>https://suumo.jp/chintai/jnc_000104101253/?bc=100483127178</t>
  </si>
  <si>
    <t>ＡＬＩＶＩＯ西落合</t>
  </si>
  <si>
    <t>https://suumo.jp/chintai/jnc_000102927965/?bc=100482118809</t>
  </si>
  <si>
    <t>ＡＸＡＳ新宿中落合</t>
  </si>
  <si>
    <t>https://suumo.jp/chintai/jnc_000102182211/?bc=100482503183</t>
  </si>
  <si>
    <t>https://suumo.jp/chintai/jnc_000103636285/?bc=100483884297</t>
  </si>
  <si>
    <t>ＨＹｓ 新宿西落合</t>
  </si>
  <si>
    <t>https://suumo.jp/chintai/jnc_000104454677/?bc=100485942394</t>
  </si>
  <si>
    <t>ＭＡＩＳＯＮ　ＮＯＡＨ</t>
  </si>
  <si>
    <t>https://suumo.jp/chintai/jnc_000104442999/?bc=100485719378</t>
  </si>
  <si>
    <t>ＯＬＩＯ南長崎</t>
  </si>
  <si>
    <t>https://suumo.jp/chintai/jnc_000102532241/?bc=100470398363</t>
  </si>
  <si>
    <t>ＶＥＲＴ中落合IＡ</t>
  </si>
  <si>
    <t>https://suumo.jp/chintai/jnc_000103863968/?bc=100481229098</t>
  </si>
  <si>
    <t>https://suumo.jp/chintai/jnc_000103779712/?bc=100481067075</t>
  </si>
  <si>
    <t>ＺＥＳＴＹ西落合</t>
  </si>
  <si>
    <t>https://suumo.jp/chintai/jnc_000104132247/?bc=100483505124</t>
  </si>
  <si>
    <t>https://suumo.jp/chintai/jnc_000102997531/?bc=100474277926</t>
  </si>
  <si>
    <t>https://suumo.jp/chintai/jnc_000103762014/?bc=100482112711</t>
  </si>
  <si>
    <t>アンジュール西落合</t>
  </si>
  <si>
    <t>https://suumo.jp/chintai/jnc_000103750518/?bc=100475945811</t>
  </si>
  <si>
    <t>セレスティア中野上高田</t>
  </si>
  <si>
    <t>https://suumo.jp/chintai/jnc_000103750515/?bc=100475945814</t>
  </si>
  <si>
    <t>https://suumo.jp/chintai/jnc_000103750520/?bc=100475945796</t>
  </si>
  <si>
    <t>https://suumo.jp/chintai/jnc_000103750516/?bc=100475945788</t>
  </si>
  <si>
    <t>https://suumo.jp/chintai/jnc_000103750519/?bc=100475945823</t>
  </si>
  <si>
    <t>https://suumo.jp/chintai/jnc_000103750521/?bc=100475945793</t>
  </si>
  <si>
    <t>https://suumo.jp/chintai/jnc_000103750517/?bc=100475945801</t>
  </si>
  <si>
    <t>https://suumo.jp/chintai/jnc_000103750526/?bc=100475945807</t>
  </si>
  <si>
    <t>https://suumo.jp/chintai/jnc_000103750523/?bc=100475945792</t>
  </si>
  <si>
    <t>https://suumo.jp/chintai/jnc_000103750528/?bc=100475945831</t>
  </si>
  <si>
    <t>https://suumo.jp/chintai/jnc_000103750524/?bc=100475945826</t>
  </si>
  <si>
    <t>https://suumo.jp/chintai/jnc_000103750527/?bc=100475945802</t>
  </si>
  <si>
    <t>https://suumo.jp/chintai/jnc_000103750525/?bc=100477147726</t>
  </si>
  <si>
    <t>https://suumo.jp/chintai/jnc_000103750529/?bc=100475945820</t>
  </si>
  <si>
    <t>https://suumo.jp/chintai/jnc_000103750534/?bc=100475913717</t>
  </si>
  <si>
    <t>https://suumo.jp/chintai/jnc_000103750531/?bc=100475917812</t>
  </si>
  <si>
    <t>https://suumo.jp/chintai/jnc_000103750536/?bc=100475909684</t>
  </si>
  <si>
    <t>https://suumo.jp/chintai/jnc_000103750532/?bc=100475915131</t>
  </si>
  <si>
    <t>https://suumo.jp/chintai/jnc_000103750535/?bc=100475911331</t>
  </si>
  <si>
    <t>https://suumo.jp/chintai/jnc_000103750533/?bc=100475914538</t>
  </si>
  <si>
    <t>https://suumo.jp/chintai/jnc_000104261589/?bc=100484466037</t>
  </si>
  <si>
    <t>ソフィア哲学堂</t>
  </si>
  <si>
    <t>https://suumo.jp/chintai/jnc_000057454791/?bc=100472130831</t>
  </si>
  <si>
    <t>https://suumo.jp/chintai/jnc_000104454680/?bc=100485844880</t>
  </si>
  <si>
    <t>パルティーレ西落合</t>
  </si>
  <si>
    <t>https://suumo.jp/chintai/jnc_000103324125/?bc=100476917076</t>
  </si>
  <si>
    <t>https://suumo.jp/chintai/jnc_000103585737/?bc=100474956470</t>
  </si>
  <si>
    <t>https://suumo.jp/chintai/jnc_000102077616/?bc=100482025033</t>
  </si>
  <si>
    <t>https://suumo.jp/chintai/jnc_000104473681/?bc=100485961808</t>
  </si>
  <si>
    <t>パークコート哲学堂</t>
  </si>
  <si>
    <t>https://suumo.jp/chintai/jnc_000104060186/?bc=100477243338</t>
  </si>
  <si>
    <t>パークサイド西落合</t>
  </si>
  <si>
    <t>https://suumo.jp/chintai/jnc_000098337318/?bc=100476790514</t>
  </si>
  <si>
    <t>https://suumo.jp/chintai/jnc_000104449309/?bc=100486040262</t>
  </si>
  <si>
    <t>プライムヒル哲学堂</t>
  </si>
  <si>
    <t>https://suumo.jp/chintai/jnc_000103851239/?bc=100481111877</t>
  </si>
  <si>
    <t>プルームガーデンI</t>
  </si>
  <si>
    <t>https://suumo.jp/chintai/jnc_000103843629/?bc=100481111874</t>
  </si>
  <si>
    <t>プルームガーデンII</t>
  </si>
  <si>
    <t>https://suumo.jp/chintai/jnc_000102086937/?bc=100466420686</t>
  </si>
  <si>
    <t>ベルーガ</t>
  </si>
  <si>
    <t>https://suumo.jp/chintai/jnc_000104229488/?bc=100470372632</t>
  </si>
  <si>
    <t>メゾン トレフル</t>
  </si>
  <si>
    <t>https://suumo.jp/chintai/jnc_000104117880/?bc=100477031081</t>
  </si>
  <si>
    <t>メゾンドゥエコー</t>
  </si>
  <si>
    <t>https://suumo.jp/chintai/jnc_000103513730/?bc=100477903285</t>
  </si>
  <si>
    <t>ラヴィエール中落合</t>
  </si>
  <si>
    <t>https://suumo.jp/chintai/jnc_000099034906/?bc=100441101629</t>
  </si>
  <si>
    <t>中落合4丁目貸家</t>
  </si>
  <si>
    <t>https://suumo.jp/chintai/jnc_000104356699/?bc=100484994054</t>
  </si>
  <si>
    <t>https://suumo.jp/chintai/jnc_000104222358/?bc=100471169234</t>
  </si>
  <si>
    <t>都営大江戸線 落合南長崎駅 2階建 築12年</t>
  </si>
  <si>
    <t>https://suumo.jp/chintai/jnc_000104265709/?bc=100484461644</t>
  </si>
  <si>
    <t>都営大江戸線 落合南長崎駅 2階建 築19年</t>
  </si>
  <si>
    <t>https://suumo.jp/chintai/jnc_000104498696/?bc=100486117784</t>
  </si>
  <si>
    <t>https://suumo.jp/chintai/jnc_000103770598/?bc=100483192680</t>
  </si>
  <si>
    <t>都営大江戸線 落合南長崎駅 2階建 築4年</t>
  </si>
  <si>
    <t>https://suumo.jp/chintai/jnc_000103843627/?bc=100481274894</t>
  </si>
  <si>
    <t>都営大江戸線 落合南長崎駅 2階建 築9年</t>
  </si>
  <si>
    <t>https://suumo.jp/chintai/jnc_000102165199/?bc=100467138718</t>
  </si>
  <si>
    <t>https://suumo.jp/chintai/jnc_000104482302/?bc=100486004093</t>
  </si>
  <si>
    <t>https://suumo.jp/chintai/jnc_000103750542/?bc=100479719650</t>
  </si>
  <si>
    <t>都営大江戸線 落合南長崎駅 3階建 築1年</t>
  </si>
  <si>
    <t>https://suumo.jp/chintai/jnc_000103750539/?bc=100486057253</t>
  </si>
  <si>
    <t>https://suumo.jp/chintai/jnc_000103750544/?bc=100479719640</t>
  </si>
  <si>
    <t>https://suumo.jp/chintai/jnc_000103750540/?bc=100479719637</t>
  </si>
  <si>
    <t>https://suumo.jp/chintai/jnc_000103750543/?bc=100479719524</t>
  </si>
  <si>
    <t>https://suumo.jp/chintai/jnc_000103750545/?bc=100483191741</t>
  </si>
  <si>
    <t>https://suumo.jp/chintai/jnc_000103750541/?bc=100486057285</t>
  </si>
  <si>
    <t>https://suumo.jp/chintai/jnc_000103750550/?bc=100479719653</t>
  </si>
  <si>
    <t>https://suumo.jp/chintai/jnc_000103750547/?bc=100483191740</t>
  </si>
  <si>
    <t>https://suumo.jp/chintai/jnc_000103750552/?bc=100479719638</t>
  </si>
  <si>
    <t>https://suumo.jp/chintai/jnc_000103750548/?bc=100483191693</t>
  </si>
  <si>
    <t>https://suumo.jp/chintai/jnc_000103750551/?bc=100479719643</t>
  </si>
  <si>
    <t>https://suumo.jp/chintai/jnc_000103750549/?bc=100483191697</t>
  </si>
  <si>
    <t>https://suumo.jp/chintai/jnc_000103750557/?bc=100486057569</t>
  </si>
  <si>
    <t>https://suumo.jp/chintai/jnc_000103750554/?bc=100479719651</t>
  </si>
  <si>
    <t>https://suumo.jp/chintai/jnc_000103750559/?bc=100486057573</t>
  </si>
  <si>
    <t>https://suumo.jp/chintai/jnc_000103750555/?bc=100479719644</t>
  </si>
  <si>
    <t>https://suumo.jp/chintai/jnc_000103750558/?bc=100486057584</t>
  </si>
  <si>
    <t>https://suumo.jp/chintai/jnc_000103750556/?bc=100479719664</t>
  </si>
  <si>
    <t>https://suumo.jp/chintai/jnc_000104295050/?bc=100484490171</t>
  </si>
  <si>
    <t>都営大江戸線 落合南長崎駅 4階建 築10年</t>
  </si>
  <si>
    <t>https://suumo.jp/chintai/jnc_000104261590/?bc=100484682992</t>
  </si>
  <si>
    <t>都営大江戸線 落合南長崎駅 5階建 築13年</t>
  </si>
  <si>
    <t>https://suumo.jp/chintai/jnc_000104316382/?bc=100484683034</t>
  </si>
  <si>
    <t>https://suumo.jp/chintai/jnc_000104060187/?bc=100469616996</t>
  </si>
  <si>
    <t>https://suumo.jp/chintai/jnc_000104156229/?bc=100483375237</t>
  </si>
  <si>
    <t>都営大江戸線 落合南長崎駅 6階建 築2年</t>
  </si>
  <si>
    <t>https://suumo.jp/chintai/jnc_000102923018/?bc=100481707089</t>
  </si>
  <si>
    <t>都営大江戸線 落合南長崎駅 6階建 築33年</t>
  </si>
  <si>
    <t>https://suumo.jp/chintai/jnc_000103585738/?bc=100462872625</t>
  </si>
  <si>
    <t>都営大江戸線 落合南長崎駅 9階建 築1年</t>
  </si>
  <si>
    <t>https://suumo.jp/chintai/jnc_000102117501/?bc=100481856166</t>
  </si>
  <si>
    <t>https://suumo.jp/chintai/jnc_000104464224/?bc=100485903179</t>
  </si>
  <si>
    <t>都営大江戸線 落合南長崎駅 地下1地上6階建 築47年</t>
  </si>
  <si>
    <t>https://suumo.jp/chintai/jnc_000103337922/?bc=100478211327</t>
  </si>
  <si>
    <t>https://suumo.jp/chintai/jnc_000104525334/?bc=100486394196</t>
  </si>
  <si>
    <t>Ａｇｌａｉａ　新宿西落合</t>
  </si>
  <si>
    <t>https://suumo.jp/chintai/jnc_000104525333/?bc=100486335778</t>
  </si>
  <si>
    <t>https://suumo.jp/chintai/jnc_000104525336/?bc=100486335779</t>
  </si>
  <si>
    <t>https://suumo.jp/chintai/jnc_000104525337/?bc=100486335823</t>
  </si>
  <si>
    <t>https://suumo.jp/chintai/jnc_000104525341/?bc=100486335758</t>
  </si>
  <si>
    <t>https://suumo.jp/chintai/jnc_000104525340/?bc=100486335818</t>
  </si>
  <si>
    <t>https://suumo.jp/chintai/jnc_000104525343/?bc=100486335775</t>
  </si>
  <si>
    <t>https://suumo.jp/chintai/jnc_000104525344/?bc=100486394239</t>
  </si>
  <si>
    <t>https://suumo.jp/chintai/jnc_000104525348/?bc=100486335767</t>
  </si>
  <si>
    <t>https://suumo.jp/chintai/jnc_000104525347/?bc=100486335825</t>
  </si>
  <si>
    <t>https://suumo.jp/chintai/jnc_000104525350/?bc=100486335828</t>
  </si>
  <si>
    <t>https://suumo.jp/chintai/jnc_000104531831/?bc=100486335789</t>
  </si>
  <si>
    <t>https://suumo.jp/chintai/jnc_000104531828/?bc=100486335801</t>
  </si>
  <si>
    <t>https://suumo.jp/chintai/jnc_000104531832/?bc=100486335786</t>
  </si>
  <si>
    <t>https://suumo.jp/chintai/jnc_000102224446/?bc=100471282394</t>
  </si>
  <si>
    <t>ＣＥＲＩＳＩＥＲ</t>
  </si>
  <si>
    <t>https://suumo.jp/chintai/jnc_000104101252/?bc=100474923238</t>
  </si>
  <si>
    <t>https://suumo.jp/chintai/jnc_000104265707/?bc=100484648474</t>
  </si>
  <si>
    <t>https://suumo.jp/chintai/jnc_000104442207/?bc=100486001380</t>
  </si>
  <si>
    <t>Ｃａｓａ　ｄｅ　Ｅｓｐｅｒａｎｚａ(カーサデエスペランサ)</t>
  </si>
  <si>
    <t>https://suumo.jp/chintai/jnc_000102251311/?bc=100354445042</t>
  </si>
  <si>
    <t>Ｌａ　Ｄｏｕｃｅｕｒ西落合</t>
  </si>
  <si>
    <t>https://suumo.jp/chintai/jnc_000104271772/?bc=100484544378</t>
  </si>
  <si>
    <t>B CITY APARTMENT SHINJUKU NW</t>
  </si>
  <si>
    <t>https://suumo.jp/chintai/jnc_000104222357/?bc=100484341327</t>
  </si>
  <si>
    <t>https://suumo.jp/chintai/jnc_000103398381/?bc=100482028167</t>
  </si>
  <si>
    <t>FUSION SHINJUKU NISHIOCHIAI</t>
  </si>
  <si>
    <t>https://suumo.jp/chintai/jnc_000066626929/?bc=100473317785</t>
  </si>
  <si>
    <t>K-house中落合</t>
  </si>
  <si>
    <t>https://suumo.jp/chintai/jnc_000104454682/?bc=100485779909</t>
  </si>
  <si>
    <t>LAPiS西落合</t>
  </si>
  <si>
    <t>https://suumo.jp/chintai/jnc_000103863970/?bc=100481240627</t>
  </si>
  <si>
    <t>M´哲学堂公園</t>
  </si>
  <si>
    <t>https://suumo.jp/chintai/jnc_000095757373/?bc=100485369234</t>
  </si>
  <si>
    <t>Parc Lux</t>
  </si>
  <si>
    <t>https://suumo.jp/chintai/jnc_000104156226/?bc=100483734108</t>
  </si>
  <si>
    <t>https://suumo.jp/chintai/jnc_000104108242/?bc=100483235249</t>
  </si>
  <si>
    <t>https://suumo.jp/chintai/jnc_000104108241/?bc=100483286975</t>
  </si>
  <si>
    <t>https://suumo.jp/chintai/jnc_000104108245/?bc=100483286995</t>
  </si>
  <si>
    <t>https://suumo.jp/chintai/jnc_000104108244/?bc=100483286940</t>
  </si>
  <si>
    <t>https://suumo.jp/chintai/jnc_000104108247/?bc=100483287065</t>
  </si>
  <si>
    <t>https://suumo.jp/chintai/jnc_000104108246/?bc=100483096068</t>
  </si>
  <si>
    <t>https://suumo.jp/chintai/jnc_000103307603/?bc=100477071979</t>
  </si>
  <si>
    <t>あすかパレス南長崎</t>
  </si>
  <si>
    <t>https://suumo.jp/chintai/jnc_000100897725/?bc=100482895715</t>
  </si>
  <si>
    <t>https://suumo.jp/chintai/jnc_000104117874/?bc=100483392434</t>
  </si>
  <si>
    <t>アーバンプレイス目白IIIA</t>
  </si>
  <si>
    <t>https://suumo.jp/chintai/jnc_000104187068/?bc=100483092272</t>
  </si>
  <si>
    <t>https://suumo.jp/chintai/jnc_000098316481/?bc=100421946755</t>
  </si>
  <si>
    <t>https://suumo.jp/chintai/jnc_000093271554/?bc=100399804285</t>
  </si>
  <si>
    <t>アーバンプレイス目白IIIＢ</t>
  </si>
  <si>
    <t>https://suumo.jp/chintai/jnc_000085708382/?bc=100486085285</t>
  </si>
  <si>
    <t>アーバンプレイス落合南長崎駅前</t>
  </si>
  <si>
    <t>https://suumo.jp/chintai/jnc_000089397489/?bc=100481715977</t>
  </si>
  <si>
    <t>エコー中落合</t>
  </si>
  <si>
    <t>https://suumo.jp/chintai/jnc_000097784401/?bc=100431542916</t>
  </si>
  <si>
    <t>https://suumo.jp/chintai/jnc_000103873955/?bc=100481441978</t>
  </si>
  <si>
    <t>カトレア南長崎</t>
  </si>
  <si>
    <t>https://suumo.jp/chintai/jnc_000104357368/?bc=100485000721</t>
  </si>
  <si>
    <t>https://suumo.jp/chintai/jnc_000102177605/?bc=100467364329</t>
  </si>
  <si>
    <t>https://suumo.jp/chintai/jnc_000104442208/?bc=100485928930</t>
  </si>
  <si>
    <t>https://suumo.jp/chintai/jnc_000102601507/?bc=100470983908</t>
  </si>
  <si>
    <t>グランシアター ネオ トキワ</t>
  </si>
  <si>
    <t>https://suumo.jp/chintai/jnc_000102601508/?bc=100470983888</t>
  </si>
  <si>
    <t>https://suumo.jp/chintai/jnc_000102601509/?bc=100470983893</t>
  </si>
  <si>
    <t>https://suumo.jp/chintai/jnc_000103643860/?bc=100479624037</t>
  </si>
  <si>
    <t>グランテリア西落合</t>
  </si>
  <si>
    <t>https://suumo.jp/chintai/jnc_000103277828/?bc=100476806568</t>
  </si>
  <si>
    <t>https://suumo.jp/chintai/jnc_000104509216/?bc=100482146036</t>
  </si>
  <si>
    <t>ソフィアテンポ</t>
  </si>
  <si>
    <t>https://suumo.jp/chintai/jnc_000104255999/?bc=100484521880</t>
  </si>
  <si>
    <t>ソフィアユニゾン</t>
  </si>
  <si>
    <t>https://suumo.jp/chintai/jnc_000078612942/?bc=100480567748</t>
  </si>
  <si>
    <t>ソフィアリベルテ</t>
  </si>
  <si>
    <t>https://suumo.jp/chintai/jnc_000104416546/?bc=100485518167</t>
  </si>
  <si>
    <t>https://suumo.jp/chintai/jnc_000082012615/?bc=100459098216</t>
  </si>
  <si>
    <t>ドミー西落合Ａ棟</t>
  </si>
  <si>
    <t>https://suumo.jp/chintai/jnc_000097539978/?bc=100475222656</t>
  </si>
  <si>
    <t>ヌーヴォープリエール</t>
  </si>
  <si>
    <t>https://suumo.jp/chintai/jnc_000102936942/?bc=100483950290</t>
  </si>
  <si>
    <t>https://suumo.jp/chintai/jnc_000104169964/?bc=100483518001</t>
  </si>
  <si>
    <t>ハイツ落合</t>
  </si>
  <si>
    <t>https://suumo.jp/chintai/jnc_000101837906/?bc=100460743925</t>
  </si>
  <si>
    <t>ハーモニーテラス南長崎III</t>
  </si>
  <si>
    <t>https://suumo.jp/chintai/jnc_000103969236/?bc=100149025987</t>
  </si>
  <si>
    <t>ファースト西落合</t>
  </si>
  <si>
    <t>https://suumo.jp/chintai/jnc_000103762009/?bc=100480351133</t>
  </si>
  <si>
    <t>フォンテーヌ落合</t>
  </si>
  <si>
    <t>https://suumo.jp/chintai/jnc_000104296190/?bc=100475335960</t>
  </si>
  <si>
    <t>https://suumo.jp/chintai/jnc_000103123345/?bc=100475935954</t>
  </si>
  <si>
    <t>https://suumo.jp/chintai/jnc_000104326039/?bc=100485400521</t>
  </si>
  <si>
    <t>https://suumo.jp/chintai/jnc_000103685617/?bc=100480224079</t>
  </si>
  <si>
    <t>ミルーム中落合</t>
  </si>
  <si>
    <t>https://suumo.jp/chintai/jnc_000102997528/?bc=100477095844</t>
  </si>
  <si>
    <t>https://suumo.jp/chintai/jnc_000096532031/?bc=100474756118</t>
  </si>
  <si>
    <t>https://suumo.jp/chintai/jnc_000103567403/?bc=100484572862</t>
  </si>
  <si>
    <t>メゾン ド ラリエ</t>
  </si>
  <si>
    <t>https://suumo.jp/chintai/jnc_000103393353/?bc=100477147485</t>
  </si>
  <si>
    <t>レジデンス南長崎</t>
  </si>
  <si>
    <t>https://suumo.jp/chintai/jnc_000104256664/?bc=100484196187</t>
  </si>
  <si>
    <t>レジデンス南長崎II</t>
  </si>
  <si>
    <t>https://suumo.jp/chintai/jnc_000104334643/?bc=100484834738</t>
  </si>
  <si>
    <t>レトアテラス西落合</t>
  </si>
  <si>
    <t>https://suumo.jp/chintai/jnc_000102448284/?bc=100474793742</t>
  </si>
  <si>
    <t>ロイヤルハウス</t>
  </si>
  <si>
    <t>https://suumo.jp/chintai/jnc_000048606959/?bc=100484709688</t>
  </si>
  <si>
    <t>https://suumo.jp/chintai/jnc_000104458814/?bc=100486238425</t>
  </si>
  <si>
    <t>https://suumo.jp/chintai/jnc_000103938279/?bc=100481709315</t>
  </si>
  <si>
    <t>南長崎第２マンション</t>
  </si>
  <si>
    <t>https://suumo.jp/chintai/jnc_000100609235/?bc=100452822380</t>
  </si>
  <si>
    <t>山京パレス中落合</t>
  </si>
  <si>
    <t>https://suumo.jp/chintai/jnc_000103473421/?bc=100477765520</t>
  </si>
  <si>
    <t>https://suumo.jp/chintai/jnc_000102888240/?bc=100473189045</t>
  </si>
  <si>
    <t>第2江川ビル</t>
  </si>
  <si>
    <t>https://suumo.jp/chintai/jnc_000097867410/?bc=100366247807</t>
  </si>
  <si>
    <t>落合ハウス</t>
  </si>
  <si>
    <t>https://suumo.jp/chintai/jnc_000103409576/?bc=100481972743</t>
  </si>
  <si>
    <t>西武新宿線 新井薬師前駅 5階建 築10年</t>
  </si>
  <si>
    <t>https://suumo.jp/chintai/jnc_000103873107/?bc=100481343923</t>
  </si>
  <si>
    <t>都営大江戸線 落合南長崎駅 2階建 築10年</t>
  </si>
  <si>
    <t>https://suumo.jp/chintai/jnc_000102457937/?bc=100469769539</t>
  </si>
  <si>
    <t>https://suumo.jp/chintai/jnc_000096887854/?bc=100481344250</t>
  </si>
  <si>
    <t>都営大江戸線 落合南長崎駅 2階建 築22年</t>
  </si>
  <si>
    <t>https://suumo.jp/chintai/jnc_000103416503/?bc=100478100760</t>
  </si>
  <si>
    <t>https://suumo.jp/chintai/jnc_000100914322/?bc=100459049085</t>
  </si>
  <si>
    <t>https://suumo.jp/chintai/jnc_000104186397/?bc=100483617703</t>
  </si>
  <si>
    <t>https://suumo.jp/chintai/jnc_000095757374/?bc=100485372043</t>
  </si>
  <si>
    <t>https://suumo.jp/chintai/jnc_000104138646/?bc=100483510343</t>
  </si>
  <si>
    <t>https://suumo.jp/chintai/jnc_000098284159/?bc=100485343692</t>
  </si>
  <si>
    <t>都営大江戸線 落合南長崎駅 2階建 築65年</t>
  </si>
  <si>
    <t>https://suumo.jp/chintai/jnc_000104256000/?bc=100484103117</t>
  </si>
  <si>
    <t>都営大江戸線 落合南長崎駅 2階建 築6年</t>
  </si>
  <si>
    <t>https://suumo.jp/chintai/jnc_000083042787/?bc=100485404616</t>
  </si>
  <si>
    <t>https://suumo.jp/chintai/jnc_000100723343/?bc=100475820961</t>
  </si>
  <si>
    <t>都営大江戸線 落合南長崎駅 2階建 築7年</t>
  </si>
  <si>
    <t>https://suumo.jp/chintai/jnc_000103680263/?bc=100479877555</t>
  </si>
  <si>
    <t>https://suumo.jp/chintai/jnc_000095572160/?bc=100457561461</t>
  </si>
  <si>
    <t>https://suumo.jp/chintai/jnc_000101174027/?bc=100458190764</t>
  </si>
  <si>
    <t>https://suumo.jp/chintai/jnc_000103285469/?bc=100476776427</t>
  </si>
  <si>
    <t>https://suumo.jp/chintai/jnc_000101935756/?bc=100464842050</t>
  </si>
  <si>
    <t>東京都豊島区池袋３</t>
  </si>
  <si>
    <t>https://suumo.jp/chintai/jnc_000104203071/?bc=100483758672</t>
  </si>
  <si>
    <t>https://suumo.jp/chintai/jnc_000104044514/?bc=100482470834</t>
  </si>
  <si>
    <t>https://suumo.jp/chintai/jnc_000104044513/?bc=100485558582</t>
  </si>
  <si>
    <t>https://suumo.jp/chintai/jnc_000104044517/?bc=100483766339</t>
  </si>
  <si>
    <t>https://suumo.jp/chintai/jnc_000104044516/?bc=100483766667</t>
  </si>
  <si>
    <t>https://suumo.jp/chintai/jnc_000104126285/?bc=100483169151</t>
  </si>
  <si>
    <t>https://suumo.jp/chintai/jnc_000104126284/?bc=100483169159</t>
  </si>
  <si>
    <t>https://suumo.jp/chintai/jnc_000091337339/?bc=100465268300</t>
  </si>
  <si>
    <t>https://suumo.jp/chintai/jnc_000103151047/?bc=100481919630</t>
  </si>
  <si>
    <t>https://suumo.jp/chintai/jnc_000103013998/?bc=100484065501</t>
  </si>
  <si>
    <t>https://suumo.jp/chintai/jnc_000104125660/?bc=100482938391</t>
  </si>
  <si>
    <t>都営大江戸線 落合南長崎駅 4階建 築37年</t>
  </si>
  <si>
    <t>https://suumo.jp/chintai/jnc_000103599938/?bc=100478805530</t>
  </si>
  <si>
    <t>都営大江戸線 落合南長崎駅 4階建 築43年</t>
  </si>
  <si>
    <t>https://suumo.jp/chintai/jnc_000104454683/?bc=100485780025</t>
  </si>
  <si>
    <t>都営大江戸線 落合南長崎駅 4階建 築9年</t>
  </si>
  <si>
    <t>https://suumo.jp/chintai/jnc_000103316457/?bc=100476552798</t>
  </si>
  <si>
    <t>都営大江戸線 落合南長崎駅 5階建 築11年</t>
  </si>
  <si>
    <t>https://suumo.jp/chintai/jnc_000104411713/?bc=100485488976</t>
  </si>
  <si>
    <t>https://suumo.jp/chintai/jnc_000100916185/?bc=100479181004</t>
  </si>
  <si>
    <t>https://suumo.jp/chintai/jnc_000104304182/?bc=100484581603</t>
  </si>
  <si>
    <t>都営大江戸線 落合南長崎駅 5階建 築38年</t>
  </si>
  <si>
    <t>https://suumo.jp/chintai/jnc_000104276185/?bc=100484979907</t>
  </si>
  <si>
    <t>https://suumo.jp/chintai/jnc_000104241045/?bc=100484065473</t>
  </si>
  <si>
    <t>https://suumo.jp/chintai/jnc_000103306730/?bc=100476503704</t>
  </si>
  <si>
    <t>https://suumo.jp/chintai/jnc_000103937449/?bc=100481724299</t>
  </si>
  <si>
    <t>https://suumo.jp/chintai/jnc_000104406527/?bc=100485228406</t>
  </si>
  <si>
    <t>都営大江戸線 落合南長崎駅 6階建 築38年</t>
  </si>
  <si>
    <t>https://suumo.jp/chintai/jnc_000097784403/?bc=100474756054</t>
  </si>
  <si>
    <t>https://suumo.jp/chintai/jnc_000104525338/?bc=100486335812</t>
  </si>
  <si>
    <t>https://suumo.jp/chintai/jnc_000104525339/?bc=100486335811</t>
  </si>
  <si>
    <t>https://suumo.jp/chintai/jnc_000104525345/?bc=100486335814</t>
  </si>
  <si>
    <t>https://suumo.jp/chintai/jnc_000104525346/?bc=100486335817</t>
  </si>
  <si>
    <t>https://suumo.jp/chintai/jnc_000104525351/?bc=100486335809</t>
  </si>
  <si>
    <t>https://suumo.jp/chintai/jnc_000104531833/?bc=100486335790</t>
  </si>
  <si>
    <t>https://suumo.jp/chintai/jnc_000104531834/?bc=100486335784</t>
  </si>
  <si>
    <t>https://suumo.jp/chintai/jnc_000104044515/?bc=100482470832</t>
  </si>
  <si>
    <t>1SDK</t>
  </si>
  <si>
    <t>https://suumo.jp/chintai/jnc_000104044518/?bc=100482470835</t>
  </si>
  <si>
    <t>https://suumo.jp/chintai/jnc_000098617423/?bc=100457271102</t>
  </si>
  <si>
    <t>メトロハイツ西落合</t>
  </si>
  <si>
    <t>https://suumo.jp/chintai/jnc_000103416021/?bc=100477320998</t>
  </si>
  <si>
    <t>ウェンゲン落合</t>
  </si>
  <si>
    <t>https://suumo.jp/chintai/jnc_000099879833/?bc=100447734834</t>
  </si>
  <si>
    <t>グランドゥール南長崎</t>
  </si>
  <si>
    <t>https://suumo.jp/chintai/jnc_000102261454/?bc=100468207322</t>
  </si>
  <si>
    <t>コスモ落合</t>
  </si>
  <si>
    <t>https://suumo.jp/chintai/jnc_000104021009/?bc=100482246154</t>
  </si>
  <si>
    <t>コーポ田中</t>
  </si>
  <si>
    <t>https://suumo.jp/chintai/jnc_000088335821/?bc=100482071409</t>
  </si>
  <si>
    <t>パル・豊島館</t>
  </si>
  <si>
    <t>https://suumo.jp/chintai/jnc_000102279716/?bc=100472975358</t>
  </si>
  <si>
    <t>西落合ファミリーマンション</t>
  </si>
  <si>
    <t>https://suumo.jp/chintai/jnc_000102880390/?bc=100196985547</t>
  </si>
  <si>
    <t>都営大江戸線 落合南長崎駅 2階建 築45年</t>
  </si>
  <si>
    <t>https://suumo.jp/chintai/jnc_000101885093/?bc=100472665259</t>
  </si>
  <si>
    <t>https://suumo.jp/chintai/jnc_000100439120/?bc=100451274113</t>
  </si>
  <si>
    <t>都営大江戸線 落合南長崎駅 5階建 築31年</t>
  </si>
  <si>
    <t>https://suumo.jp/chintai/jnc_000087217639/?bc=100481609336</t>
  </si>
  <si>
    <t>https://suumo.jp/chintai/jnc_000104454681/?bc=100485779218</t>
  </si>
  <si>
    <t>https://suumo.jp/chintai/jnc_000060261485/?bc=100482414836</t>
  </si>
  <si>
    <t>かたばみ苑第一棟</t>
  </si>
  <si>
    <t>https://suumo.jp/chintai/jnc_000103571145/?bc=100485331304</t>
  </si>
  <si>
    <t>クレッセント江原</t>
  </si>
  <si>
    <t>https://suumo.jp/chintai/jnc_000104039400/?bc=100482428608</t>
  </si>
  <si>
    <t>https://suumo.jp/chintai/jnc_000103807295/?bc=100480816314</t>
  </si>
  <si>
    <t>https://suumo.jp/chintai/jnc_000103807296/?bc=100485555700</t>
  </si>
  <si>
    <t>https://suumo.jp/chintai/jnc_000101653331/?bc=100461622664</t>
  </si>
  <si>
    <t>秋野ハイツ</t>
  </si>
  <si>
    <t>https://suumo.jp/chintai/jnc_000080247170/?bc=100483419664</t>
  </si>
  <si>
    <t>西落合ハウス</t>
  </si>
  <si>
    <t>https://suumo.jp/chintai/jnc_000103815328/?bc=100483177428</t>
  </si>
  <si>
    <t>https://suumo.jp/chintai/jnc_000103373134/?bc=100482278078</t>
  </si>
  <si>
    <t>https://suumo.jp/chintai/jnc_000087204644/?bc=100481637508</t>
  </si>
  <si>
    <t>都営大江戸線 落合南長崎駅 7階建 築7年</t>
  </si>
  <si>
    <t>https://suumo.jp/chintai/jnc_000102182213/?bc=100469015188</t>
  </si>
  <si>
    <t>https://suumo.jp/chintai/jnc_000100839692/?bc=100470149332</t>
  </si>
  <si>
    <t>https://suumo.jp/chintai/jnc_000104326034/?bc=100484505683</t>
  </si>
  <si>
    <t>Euphoria中落合（ユーフォリア中落合）</t>
  </si>
  <si>
    <t>https://suumo.jp/chintai/jnc_000104326035/?bc=100484509108</t>
  </si>
  <si>
    <t>https://suumo.jp/chintai/jnc_000104326036/?bc=100484510412</t>
  </si>
  <si>
    <t>https://suumo.jp/chintai/jnc_000104326038/?bc=100484514995</t>
  </si>
  <si>
    <t>https://suumo.jp/chintai/jnc_000104326037/?bc=100484513102</t>
  </si>
  <si>
    <t>https://suumo.jp/chintai/jnc_000103959572/?bc=100482105935</t>
  </si>
  <si>
    <t>アビタシオン落合</t>
  </si>
  <si>
    <t>https://suumo.jp/chintai/jnc_000104116898/?bc=100483575172</t>
  </si>
  <si>
    <t>https://suumo.jp/chintai/jnc_000103316453/?bc=100478979199</t>
  </si>
  <si>
    <t>https://suumo.jp/chintai/jnc_000103750514/?bc=100475945812</t>
  </si>
  <si>
    <t>https://suumo.jp/chintai/jnc_000103750530/?bc=100475918725</t>
  </si>
  <si>
    <t>https://suumo.jp/chintai/jnc_000103750522/?bc=100475945809</t>
  </si>
  <si>
    <t>https://suumo.jp/chintai/jnc_000104043954/?bc=100484712363</t>
  </si>
  <si>
    <t>ソフィア中落合</t>
  </si>
  <si>
    <t>https://suumo.jp/chintai/jnc_000103959570/?bc=100482071410</t>
  </si>
  <si>
    <t>https://suumo.jp/chintai/jnc_000101864297/?bc=100472931398</t>
  </si>
  <si>
    <t>https://suumo.jp/chintai/jnc_000096616807/?bc=100423475889</t>
  </si>
  <si>
    <t>https://suumo.jp/chintai/jnc_000075130411/?bc=100468534692</t>
  </si>
  <si>
    <t>メゾンドヒロオ</t>
  </si>
  <si>
    <t>https://suumo.jp/chintai/jnc_000103694588/?bc=100480331500</t>
  </si>
  <si>
    <t>メゾンＵ</t>
  </si>
  <si>
    <t>https://suumo.jp/chintai/jnc_000104261588/?bc=100484933198</t>
  </si>
  <si>
    <t>中落合パーク・ホームズ</t>
  </si>
  <si>
    <t>https://suumo.jp/chintai/jnc_000098061622/?bc=100433210327</t>
  </si>
  <si>
    <t>中落合戸建</t>
  </si>
  <si>
    <t>https://suumo.jp/chintai/jnc_000104356701/?bc=100484994059</t>
  </si>
  <si>
    <t>https://suumo.jp/chintai/jnc_000104132249/?bc=100471222744</t>
  </si>
  <si>
    <t>西落合３丁目テラスハウス</t>
  </si>
  <si>
    <t>https://suumo.jp/chintai/jnc_000104347540/?bc=100484964703</t>
  </si>
  <si>
    <t>都営大江戸線 落合南長崎駅 15階建 築25年</t>
  </si>
  <si>
    <t>https://suumo.jp/chintai/jnc_000103770596/?bc=100482608383</t>
  </si>
  <si>
    <t>https://suumo.jp/chintai/jnc_000103239348/?bc=100483358868</t>
  </si>
  <si>
    <t>https://suumo.jp/chintai/jnc_000103239363/?bc=100483358866</t>
  </si>
  <si>
    <t>https://suumo.jp/chintai/jnc_000103239356/?bc=100483358867</t>
  </si>
  <si>
    <t>https://suumo.jp/chintai/jnc_000103239370/?bc=100483358865</t>
  </si>
  <si>
    <t>https://suumo.jp/chintai/jnc_000103750538/?bc=100486057245</t>
  </si>
  <si>
    <t>https://suumo.jp/chintai/jnc_000103750553/?bc=100475989510</t>
  </si>
  <si>
    <t>https://suumo.jp/chintai/jnc_000103994070/?bc=100485609673</t>
  </si>
  <si>
    <t>都営大江戸線 落合南長崎駅 3階建 築33年</t>
  </si>
  <si>
    <t>https://suumo.jp/chintai/jnc_000104148255/?bc=100483350696</t>
  </si>
  <si>
    <t>都営大江戸線 落合南長崎駅 5階建 築4年</t>
  </si>
  <si>
    <t>https://suumo.jp/chintai/jnc_000103575252/?bc=100478626257</t>
  </si>
  <si>
    <t>https://suumo.jp/chintai/jnc_000103976395/?bc=100482107677</t>
  </si>
  <si>
    <t>都営大江戸線 落合南長崎駅 6階建 築51年</t>
  </si>
  <si>
    <t>https://suumo.jp/chintai/jnc_000103994071/?bc=100484377136</t>
  </si>
  <si>
    <t>都営大江戸線 落合南長崎駅 8階建 築31年</t>
  </si>
  <si>
    <t>https://suumo.jp/chintai/jnc_000096636887/?bc=100473491937</t>
  </si>
  <si>
    <t>https://suumo.jp/chintai/jnc_000104411714/?bc=100485460454</t>
  </si>
  <si>
    <t>都営大江戸線 落合南長崎駅 地上3階建 築6年</t>
  </si>
  <si>
    <t>https://suumo.jp/chintai/jnc_000104132248/?bc=100471222745</t>
  </si>
  <si>
    <t>https://suumo.jp/chintai/jnc_000103465041/?bc=100478607416</t>
  </si>
  <si>
    <t>アーバンヴィラ西落合</t>
  </si>
  <si>
    <t>https://suumo.jp/chintai/jnc_000045939057/?bc=100479209362</t>
  </si>
  <si>
    <t>哲学堂マンション</t>
  </si>
  <si>
    <t>https://suumo.jp/chintai/jnc_000103459018/?bc=100478159427</t>
  </si>
  <si>
    <t>都営大江戸線 落合南長崎駅 3階建 築37年</t>
  </si>
  <si>
    <t>https://suumo.jp/chintai/jnc_000104015694/?bc=100484261407</t>
  </si>
  <si>
    <t>アイレスト新宿西落合</t>
  </si>
  <si>
    <t>https://suumo.jp/chintai/jnc_000090022925/?bc=100484995844</t>
  </si>
  <si>
    <t>カステリーナ</t>
  </si>
  <si>
    <t>https://suumo.jp/chintai/jnc_000098345742/?bc=100435975761</t>
  </si>
  <si>
    <t>https://suumo.jp/chintai/jnc_000103402593/?bc=100477247671</t>
  </si>
  <si>
    <t>https://suumo.jp/chintai/jnc_000102071017/?bc=100470511900</t>
  </si>
  <si>
    <t>https://suumo.jp/chintai/jnc_000103599937/?bc=100478830630</t>
  </si>
  <si>
    <t>中落合３２７邸（武井邸）</t>
  </si>
  <si>
    <t>https://suumo.jp/chintai/jnc_000077021779/?bc=100486372596</t>
  </si>
  <si>
    <t>新宿区</t>
  </si>
  <si>
    <t>https://suumo.jp/chintai/jnc_000103367992/?bc=100483962511</t>
  </si>
  <si>
    <t>西落合３丁目戸建</t>
  </si>
  <si>
    <t>https://suumo.jp/chintai/jnc_000104003353/?bc=100482107956</t>
  </si>
  <si>
    <t>都営大江戸線 落合南長崎駅 5階建 築42年</t>
  </si>
  <si>
    <t>https://suumo.jp/chintai/jnc_000101970964/?bc=100461530246</t>
  </si>
  <si>
    <t>https://suumo.jp/chintai/jnc_000104214970/?bc=100483905868</t>
  </si>
  <si>
    <t>都営大江戸線 落合南長崎駅 地上2階建 築27年</t>
  </si>
  <si>
    <t>https://suumo.jp/chintai/jnc_000103690309/?bc=100479769336</t>
  </si>
  <si>
    <t>都営大江戸線 落合南長崎駅 地上3階建 築3年</t>
  </si>
  <si>
    <t>https://suumo.jp/chintai/jnc_000104464225/?bc=100485949078</t>
  </si>
  <si>
    <t>ミューズハイムウエスト</t>
  </si>
  <si>
    <t>https://suumo.jp/chintai/jnc_000103864706/?bc=100481199965</t>
  </si>
  <si>
    <t>アドリアーノ</t>
  </si>
  <si>
    <t>落合駅</t>
  </si>
  <si>
    <t>https://suumo.jp/chintai/jnc_000103891852/?bc=100481513672</t>
  </si>
  <si>
    <t>グローリス中野</t>
  </si>
  <si>
    <t>https://suumo.jp/chintai/jnc_000104304030/?bc=100484558080</t>
  </si>
  <si>
    <t>https://suumo.jp/chintai/jnc_000103735184/?bc=100480188186</t>
  </si>
  <si>
    <t>ドミール東中野</t>
  </si>
  <si>
    <t>https://suumo.jp/chintai/jnc_000069752760/?bc=100258230075</t>
  </si>
  <si>
    <t>ラフォーレ上高田</t>
  </si>
  <si>
    <t>https://suumo.jp/chintai/jnc_000104392258/?bc=100485361721</t>
  </si>
  <si>
    <t>上高田四丁目計画</t>
  </si>
  <si>
    <t>https://suumo.jp/chintai/jnc_000104392259/?bc=100485361819</t>
  </si>
  <si>
    <t>https://suumo.jp/chintai/jnc_000104392260/?bc=100484762339</t>
  </si>
  <si>
    <t>https://suumo.jp/chintai/jnc_000104392263/?bc=100484762351</t>
  </si>
  <si>
    <t>https://suumo.jp/chintai/jnc_000104392262/?bc=100484762334</t>
  </si>
  <si>
    <t>https://suumo.jp/chintai/jnc_000104392291/?bc=100485286778</t>
  </si>
  <si>
    <t>和か水マンション</t>
  </si>
  <si>
    <t>https://suumo.jp/chintai/jnc_000103810812/?bc=100480709178</t>
  </si>
  <si>
    <t>小滝橋ＫＫハイツ</t>
  </si>
  <si>
    <t>https://suumo.jp/chintai/jnc_000104108059/?bc=100483006643</t>
  </si>
  <si>
    <t>東京メトロ東西線 落合駅 2階建 築9年</t>
  </si>
  <si>
    <t>https://suumo.jp/chintai/jnc_000103928502/?bc=100481716404</t>
  </si>
  <si>
    <t>東京メトロ東西線 落合駅 3階建 築12年</t>
  </si>
  <si>
    <t>https://suumo.jp/chintai/jnc_000103357784/?bc=100476556157</t>
  </si>
  <si>
    <t>東京メトロ東西線 落合駅 3階建 築49年</t>
  </si>
  <si>
    <t>https://suumo.jp/chintai/jnc_000103802423/?bc=100480618397</t>
  </si>
  <si>
    <t>東京メトロ東西線 落合駅 4階建 築28年</t>
  </si>
  <si>
    <t>https://suumo.jp/chintai/jnc_000103032338/?bc=100484207167</t>
  </si>
  <si>
    <t>東京メトロ東西線 落合駅 5階建 築3年</t>
  </si>
  <si>
    <t>https://suumo.jp/chintai/jnc_000100852545/?bc=100484207149</t>
  </si>
  <si>
    <t>https://suumo.jp/chintai/jnc_000103625946/?bc=100481910857</t>
  </si>
  <si>
    <t>https://suumo.jp/chintai/jnc_000104108079/?bc=100483396826</t>
  </si>
  <si>
    <t>都営大江戸線 東中野駅 6階建 築5年</t>
  </si>
  <si>
    <t>https://suumo.jp/chintai/jnc_000103883951/?bc=100481721389</t>
  </si>
  <si>
    <t>ＪＲ中央線 中野駅 4階建 築31年</t>
  </si>
  <si>
    <t>https://suumo.jp/chintai/jnc_000103259872/?bc=100485044035</t>
  </si>
  <si>
    <t>https://suumo.jp/chintai/jnc_000104474402/?bc=100485929886</t>
  </si>
  <si>
    <t>ＪＲ総武線 東中野駅 10階建 築30年</t>
  </si>
  <si>
    <t>https://suumo.jp/chintai/jnc_000104348328/?bc=100485044015</t>
  </si>
  <si>
    <t>ＪＲ総武線 東中野駅 2階建 築26年</t>
  </si>
  <si>
    <t>https://suumo.jp/chintai/jnc_000098704214/?bc=100483326411</t>
  </si>
  <si>
    <t>TWEED東中野</t>
  </si>
  <si>
    <t>https://suumo.jp/chintai/jnc_000104107288/?bc=100483235318</t>
  </si>
  <si>
    <t>T′s Cuore MUSE落合</t>
  </si>
  <si>
    <t>https://suumo.jp/chintai/jnc_000104116873/?bc=100483329883</t>
  </si>
  <si>
    <t>https://suumo.jp/chintai/jnc_000104125632/?bc=100483235315</t>
  </si>
  <si>
    <t>https://suumo.jp/chintai/jnc_000104116874/?bc=100483330051</t>
  </si>
  <si>
    <t>https://suumo.jp/chintai/jnc_000104107290/?bc=100483329909</t>
  </si>
  <si>
    <t>https://suumo.jp/chintai/jnc_000104125633/?bc=100483235321</t>
  </si>
  <si>
    <t>https://suumo.jp/chintai/jnc_000104107291/?bc=100483110311</t>
  </si>
  <si>
    <t>https://suumo.jp/chintai/jnc_000104116876/?bc=100483330100</t>
  </si>
  <si>
    <t>https://suumo.jp/chintai/jnc_000104303513/?bc=100484707196</t>
  </si>
  <si>
    <t>bliss上落合（ブリス上落合）</t>
  </si>
  <si>
    <t>https://suumo.jp/chintai/jnc_000104015950/?bc=100483419773</t>
  </si>
  <si>
    <t>ふる－る東中野</t>
  </si>
  <si>
    <t>https://suumo.jp/chintai/jnc_000101543983/?bc=100479618090</t>
  </si>
  <si>
    <t>アーバンタナカ</t>
  </si>
  <si>
    <t>https://suumo.jp/chintai/jnc_000104417268/?bc=100485549215</t>
  </si>
  <si>
    <t>アーバンプレイス高田馬場＆Ｕ</t>
  </si>
  <si>
    <t>https://suumo.jp/chintai/jnc_000104107296/?bc=100480772624</t>
  </si>
  <si>
    <t>エルミ上落合</t>
  </si>
  <si>
    <t>https://suumo.jp/chintai/jnc_000102966643/?bc=100474188066</t>
  </si>
  <si>
    <t>https://suumo.jp/chintai/jnc_000103089838/?bc=100485574296</t>
  </si>
  <si>
    <t>https://suumo.jp/chintai/jnc_000104107299/?bc=100478031737</t>
  </si>
  <si>
    <t>https://suumo.jp/chintai/jnc_000103089840/?bc=100473945073</t>
  </si>
  <si>
    <t>https://suumo.jp/chintai/jnc_000104107301/?bc=100473858941</t>
  </si>
  <si>
    <t>https://suumo.jp/chintai/jnc_000103089842/?bc=100474525868</t>
  </si>
  <si>
    <t>https://suumo.jp/chintai/jnc_000104132235/?bc=100483838575</t>
  </si>
  <si>
    <t>https://suumo.jp/chintai/jnc_000102966648/?bc=100483458626</t>
  </si>
  <si>
    <t>https://suumo.jp/chintai/jnc_000104387401/?bc=100485558587</t>
  </si>
  <si>
    <t>ガーデンハイツ一号館</t>
  </si>
  <si>
    <t>https://suumo.jp/chintai/jnc_000102799684/?bc=100430994165</t>
  </si>
  <si>
    <t>グランデ東中野</t>
  </si>
  <si>
    <t>https://suumo.jp/chintai/jnc_000097266986/?bc=100427468066</t>
  </si>
  <si>
    <t>コーポ高橋</t>
  </si>
  <si>
    <t>https://suumo.jp/chintai/jnc_000104416504/?bc=100484489073</t>
  </si>
  <si>
    <t>ジョイフル落合</t>
  </si>
  <si>
    <t>https://suumo.jp/chintai/jnc_000102943144/?bc=100479193199</t>
  </si>
  <si>
    <t>セリオ落合東中野</t>
  </si>
  <si>
    <t>https://suumo.jp/chintai/jnc_000103903872/?bc=100481853871</t>
  </si>
  <si>
    <t>https://suumo.jp/chintai/jnc_000103903874/?bc=100482038471</t>
  </si>
  <si>
    <t>https://suumo.jp/chintai/jnc_000103338527/?bc=100476713135</t>
  </si>
  <si>
    <t>セーブル</t>
  </si>
  <si>
    <t>https://suumo.jp/chintai/jnc_000104334629/?bc=100485173680</t>
  </si>
  <si>
    <t>ソレイユヤマカワ</t>
  </si>
  <si>
    <t>https://suumo.jp/chintai/jnc_000103278554/?bc=100476751303</t>
  </si>
  <si>
    <t>ハイネスコート</t>
  </si>
  <si>
    <t>https://suumo.jp/chintai/jnc_000104412219/?bc=100485493688</t>
  </si>
  <si>
    <t>パークハウス東中野リヴゴーシュ</t>
  </si>
  <si>
    <t>https://suumo.jp/chintai/jnc_000104285622/?bc=100486165687</t>
  </si>
  <si>
    <t>ファーストシティ上落合</t>
  </si>
  <si>
    <t>https://suumo.jp/chintai/jnc_000104372517/?bc=100485105859</t>
  </si>
  <si>
    <t>フォーブル落合</t>
  </si>
  <si>
    <t>https://suumo.jp/chintai/jnc_000103625943/?bc=100483428770</t>
  </si>
  <si>
    <t>プラウドフラット東中野</t>
  </si>
  <si>
    <t>https://suumo.jp/chintai/jnc_000103625944/?bc=100479686057</t>
  </si>
  <si>
    <t>https://suumo.jp/chintai/jnc_000103487536/?bc=100483362838</t>
  </si>
  <si>
    <t>プラチナフォルム東中野</t>
  </si>
  <si>
    <t>https://suumo.jp/chintai/jnc_000013354233/?bc=100473380044</t>
  </si>
  <si>
    <t>プレステージ上落合</t>
  </si>
  <si>
    <t>https://suumo.jp/chintai/jnc_000101763537/?bc=100483049290</t>
  </si>
  <si>
    <t>プレール高田馬場</t>
  </si>
  <si>
    <t>https://suumo.jp/chintai/jnc_000104464188/?bc=100478209799</t>
  </si>
  <si>
    <t>ヘーベル落合</t>
  </si>
  <si>
    <t>https://suumo.jp/chintai/jnc_000104383902/?bc=100485297706</t>
  </si>
  <si>
    <t>メゾン ブラン</t>
  </si>
  <si>
    <t>https://suumo.jp/chintai/jnc_000104383903/?bc=100485606693</t>
  </si>
  <si>
    <t>https://suumo.jp/chintai/jnc_000104383904/?bc=100485606664</t>
  </si>
  <si>
    <t>https://suumo.jp/chintai/jnc_000102484779/?bc=100483576806</t>
  </si>
  <si>
    <t>モン・シャトー上高田</t>
  </si>
  <si>
    <t>https://suumo.jp/chintai/jnc_000103690595/?bc=100479922390</t>
  </si>
  <si>
    <t>リリエンベルグ弐番館</t>
  </si>
  <si>
    <t>https://suumo.jp/chintai/jnc_000104310674/?bc=100484923727</t>
  </si>
  <si>
    <t>https://suumo.jp/chintai/jnc_000103938127/?bc=100481987486</t>
  </si>
  <si>
    <t>レオパレスボストンハウスIII</t>
  </si>
  <si>
    <t>https://suumo.jp/chintai/jnc_000104492010/?bc=100486131078</t>
  </si>
  <si>
    <t>レオパレス落合</t>
  </si>
  <si>
    <t>https://suumo.jp/chintai/jnc_000102274406/?bc=100441874128</t>
  </si>
  <si>
    <t>https://suumo.jp/chintai/jnc_000103610285/?bc=100481294648</t>
  </si>
  <si>
    <t>レジディア上落合</t>
  </si>
  <si>
    <t>https://suumo.jp/chintai/jnc_000103969218/?bc=100481966336</t>
  </si>
  <si>
    <t>https://suumo.jp/chintai/jnc_000102818423/?bc=100478552835</t>
  </si>
  <si>
    <t>https://suumo.jp/chintai/jnc_000104186374/?bc=100483890523</t>
  </si>
  <si>
    <t>https://suumo.jp/chintai/jnc_000103487232/?bc=100484457849</t>
  </si>
  <si>
    <t>https://suumo.jp/chintai/jnc_000087364398/?bc=100358544297</t>
  </si>
  <si>
    <t>伊藤ビル</t>
  </si>
  <si>
    <t>https://suumo.jp/chintai/jnc_000102951932/?bc=100479370215</t>
  </si>
  <si>
    <t>東京メトロ東西線 落合駅 10階建 築12年</t>
  </si>
  <si>
    <t>https://suumo.jp/chintai/jnc_000103913725/?bc=100481829590</t>
  </si>
  <si>
    <t>https://suumo.jp/chintai/jnc_000103929297/?bc=100481736422</t>
  </si>
  <si>
    <t>https://suumo.jp/chintai/jnc_000103798073/?bc=100480649745</t>
  </si>
  <si>
    <t>東京メトロ東西線 落合駅 10階建 築17年</t>
  </si>
  <si>
    <t>https://suumo.jp/chintai/jnc_000103994054/?bc=100484342440</t>
  </si>
  <si>
    <t>https://suumo.jp/chintai/jnc_000104412221/?bc=100485958153</t>
  </si>
  <si>
    <t>東京メトロ東西線 落合駅 2階建 築12年</t>
  </si>
  <si>
    <t>https://suumo.jp/chintai/jnc_000103873072/?bc=100481261600</t>
  </si>
  <si>
    <t>東京メトロ東西線 落合駅 2階建 築16年</t>
  </si>
  <si>
    <t>https://suumo.jp/chintai/jnc_000101548724/?bc=100479877565</t>
  </si>
  <si>
    <t>東京メトロ東西線 落合駅 2階建 築21年</t>
  </si>
  <si>
    <t>https://suumo.jp/chintai/jnc_000103368385/?bc=100482656123</t>
  </si>
  <si>
    <t>東京メトロ東西線 落合駅 2階建 築22年</t>
  </si>
  <si>
    <t>https://suumo.jp/chintai/jnc_000104464189/?bc=100478179371</t>
  </si>
  <si>
    <t>東京メトロ東西線 落合駅 2階建 築30年</t>
  </si>
  <si>
    <t>https://suumo.jp/chintai/jnc_000104525311/?bc=100345727598</t>
  </si>
  <si>
    <t>東京メトロ東西線 落合駅 2階建 築38年</t>
  </si>
  <si>
    <t>https://suumo.jp/chintai/jnc_000086655418/?bc=100483179572</t>
  </si>
  <si>
    <t>東京メトロ東西線 落合駅 2階建 築3年</t>
  </si>
  <si>
    <t>https://suumo.jp/chintai/jnc_000102512986/?bc=100470285064</t>
  </si>
  <si>
    <t>東京メトロ東西線 落合駅 2階建 築48年</t>
  </si>
  <si>
    <t>https://suumo.jp/chintai/jnc_000104156184/?bc=100483370381</t>
  </si>
  <si>
    <t>東京メトロ東西線 落合駅 3階建 新築</t>
  </si>
  <si>
    <t>https://suumo.jp/chintai/jnc_000104156186/?bc=100483370378</t>
  </si>
  <si>
    <t>https://suumo.jp/chintai/jnc_000104156183/?bc=100483370561</t>
  </si>
  <si>
    <t>https://suumo.jp/chintai/jnc_000104156187/?bc=100483370566</t>
  </si>
  <si>
    <t>https://suumo.jp/chintai/jnc_000104156188/?bc=100483370305</t>
  </si>
  <si>
    <t>https://suumo.jp/chintai/jnc_000104138603/?bc=100483272059</t>
  </si>
  <si>
    <t>https://suumo.jp/chintai/jnc_000104156190/?bc=100483370298</t>
  </si>
  <si>
    <t>https://suumo.jp/chintai/jnc_000104316349/?bc=100484700226</t>
  </si>
  <si>
    <t>東京メトロ東西線 落合駅 3階建 築11年</t>
  </si>
  <si>
    <t>https://suumo.jp/chintai/jnc_000103464996/?bc=100477948695</t>
  </si>
  <si>
    <t>東京メトロ東西線 落合駅 3階建 築15年</t>
  </si>
  <si>
    <t>https://suumo.jp/chintai/jnc_000104241699/?bc=100484273557</t>
  </si>
  <si>
    <t>https://suumo.jp/chintai/jnc_000104399640/?bc=100485358895</t>
  </si>
  <si>
    <t>東京メトロ東西線 落合駅 3階建 築22年</t>
  </si>
  <si>
    <t>https://suumo.jp/chintai/jnc_000104399641/?bc=100485358906</t>
  </si>
  <si>
    <t>https://suumo.jp/chintai/jnc_000104399642/?bc=100485357899</t>
  </si>
  <si>
    <t>https://suumo.jp/chintai/jnc_000103031792/?bc=100474626750</t>
  </si>
  <si>
    <t>東京メトロ東西線 落合駅 3階建 築28年</t>
  </si>
  <si>
    <t>https://suumo.jp/chintai/jnc_000104473638/?bc=100485929885</t>
  </si>
  <si>
    <t>東京メトロ東西線 落合駅 3階建 築2年</t>
  </si>
  <si>
    <t>https://suumo.jp/chintai/jnc_000104416500/?bc=100485511744</t>
  </si>
  <si>
    <t>東京メトロ東西線 落合駅 3階建 築37年</t>
  </si>
  <si>
    <t>https://suumo.jp/chintai/jnc_000101425179/?bc=100459372823</t>
  </si>
  <si>
    <t>東京メトロ東西線 落合駅 3階建 築7年</t>
  </si>
  <si>
    <t>https://suumo.jp/chintai/jnc_000104107303/?bc=100482169245</t>
  </si>
  <si>
    <t>東京メトロ東西線 落合駅 4階建 新築</t>
  </si>
  <si>
    <t>https://suumo.jp/chintai/jnc_000102970909/?bc=100482934567</t>
  </si>
  <si>
    <t>https://suumo.jp/chintai/jnc_000103094752/?bc=100480356585</t>
  </si>
  <si>
    <t>https://suumo.jp/chintai/jnc_000103863928/?bc=100481736426</t>
  </si>
  <si>
    <t>https://suumo.jp/chintai/jnc_000102970911/?bc=100473923461</t>
  </si>
  <si>
    <t>https://suumo.jp/chintai/jnc_000103094754/?bc=100480372564</t>
  </si>
  <si>
    <t>https://suumo.jp/chintai/jnc_000104132238/?bc=100483625246</t>
  </si>
  <si>
    <t>https://suumo.jp/chintai/jnc_000103094756/?bc=100480373250</t>
  </si>
  <si>
    <t>https://suumo.jp/chintai/jnc_000103094757/?bc=100480376697</t>
  </si>
  <si>
    <t>https://suumo.jp/chintai/jnc_000104186373/?bc=100485338050</t>
  </si>
  <si>
    <t>https://suumo.jp/chintai/jnc_000102970913/?bc=100485338374</t>
  </si>
  <si>
    <t>https://suumo.jp/chintai/jnc_000103094758/?bc=100480374640</t>
  </si>
  <si>
    <t>https://suumo.jp/chintai/jnc_000062076133/?bc=100486123565</t>
  </si>
  <si>
    <t>東京メトロ東西線 落合駅 4階建 築23年</t>
  </si>
  <si>
    <t>https://suumo.jp/chintai/jnc_000099610767/?bc=100440613365</t>
  </si>
  <si>
    <t>東京メトロ東西線 落合駅 4階建 築38年</t>
  </si>
  <si>
    <t>https://suumo.jp/chintai/jnc_000096031898/?bc=100466478029</t>
  </si>
  <si>
    <t>https://suumo.jp/chintai/jnc_000103977449/?bc=100482022299</t>
  </si>
  <si>
    <t>東京メトロ東西線 落合駅 5階建 築21年</t>
  </si>
  <si>
    <t>https://suumo.jp/chintai/jnc_000104126160/?bc=100482450590</t>
  </si>
  <si>
    <t>https://suumo.jp/chintai/jnc_000104387667/?bc=100485272872</t>
  </si>
  <si>
    <t>https://suumo.jp/chintai/jnc_000103625945/?bc=100479322274</t>
  </si>
  <si>
    <t>https://suumo.jp/chintai/jnc_000103762850/?bc=100480359421</t>
  </si>
  <si>
    <t>https://suumo.jp/chintai/jnc_000103558035/?bc=100478503274</t>
  </si>
  <si>
    <t>東京メトロ東西線 落合駅 5階建 築7年</t>
  </si>
  <si>
    <t>https://suumo.jp/chintai/jnc_000103695178/?bc=100479877415</t>
  </si>
  <si>
    <t>東京メトロ東西線 落合駅 9階建 築20年</t>
  </si>
  <si>
    <t>https://suumo.jp/chintai/jnc_000104317210/?bc=100484718382</t>
  </si>
  <si>
    <t>https://suumo.jp/chintai/jnc_000095379461/?bc=100412089703</t>
  </si>
  <si>
    <t>梅田荘</t>
  </si>
  <si>
    <t>https://suumo.jp/chintai/jnc_000104186378/?bc=100483593554</t>
  </si>
  <si>
    <t>Ｂｅレジデンス北新宿</t>
  </si>
  <si>
    <t>https://suumo.jp/chintai/jnc_000104050103/?bc=100482970014</t>
  </si>
  <si>
    <t>Ｈｉｌｌｔｏｐ　Ａ</t>
  </si>
  <si>
    <t>https://suumo.jp/chintai/jnc_000086430437/?bc=100482203089</t>
  </si>
  <si>
    <t>Ｈｉｌｌｔｏｐ　Ｂ</t>
  </si>
  <si>
    <t>https://suumo.jp/chintai/jnc_000086672516/?bc=100482161770</t>
  </si>
  <si>
    <t>https://suumo.jp/chintai/jnc_000098665781/?bc=100483294509</t>
  </si>
  <si>
    <t>ＪＲ中央線 中野駅 2階建 築1年</t>
  </si>
  <si>
    <t>https://suumo.jp/chintai/jnc_000103770544/?bc=100480479420</t>
  </si>
  <si>
    <t>https://suumo.jp/chintai/jnc_000104276449/?bc=100474653513</t>
  </si>
  <si>
    <t>ＪＲ中央線 東中野駅 3階建 築32年</t>
  </si>
  <si>
    <t>https://suumo.jp/chintai/jnc_000103750513/?bc=100468886168</t>
  </si>
  <si>
    <t>https://suumo.jp/chintai/jnc_000103837766/?bc=100480833328</t>
  </si>
  <si>
    <t>https://suumo.jp/chintai/jnc_000099509797/?bc=100467253761</t>
  </si>
  <si>
    <t>ＪＲ中央線 東中野駅 4階建 築18年</t>
  </si>
  <si>
    <t>https://suumo.jp/chintai/jnc_000102039287/?bc=100465919394</t>
  </si>
  <si>
    <t>https://suumo.jp/chintai/jnc_000103969587/?bc=100482330626</t>
  </si>
  <si>
    <t>ＪＲ中央線 東中野駅 4階建 築23年</t>
  </si>
  <si>
    <t>https://suumo.jp/chintai/jnc_000103307433/?bc=100484152041</t>
  </si>
  <si>
    <t>https://suumo.jp/chintai/jnc_000104464979/?bc=100485897341</t>
  </si>
  <si>
    <t>ＪＲ中央線 東中野駅 9階建 築15年</t>
  </si>
  <si>
    <t>https://suumo.jp/chintai/jnc_000103031802/?bc=100481829421</t>
  </si>
  <si>
    <t>ＪＲ山手線 高田馬場駅 5階建 築10年</t>
  </si>
  <si>
    <t>https://suumo.jp/chintai/jnc_000103500336/?bc=100482777278</t>
  </si>
  <si>
    <t>ＪＲ総武線 東中野駅 3階建 築8年</t>
  </si>
  <si>
    <t>https://suumo.jp/chintai/jnc_000104417267/?bc=100485488973</t>
  </si>
  <si>
    <t>ＪＲ総武線 東中野駅 9階建 築15年</t>
  </si>
  <si>
    <t>https://suumo.jp/chintai/jnc_000103786799/?bc=100482442988</t>
  </si>
  <si>
    <t>ＰＲＩＭＥ　ＵＲＢＡＮ　東中野　ＣＯＵＲＴ</t>
  </si>
  <si>
    <t>https://suumo.jp/chintai/jnc_000103987143/?bc=100483050605</t>
  </si>
  <si>
    <t>https://suumo.jp/chintai/jnc_000062337772/?bc=100486092117</t>
  </si>
  <si>
    <t>Ｔ’ｓ　ｇａｒｄｅｎ中野</t>
  </si>
  <si>
    <t>https://suumo.jp/chintai/jnc_000103536055/?bc=100478467155</t>
  </si>
  <si>
    <t>GRANT HOMES 上落合</t>
  </si>
  <si>
    <t>https://suumo.jp/chintai/jnc_000103771414/?bc=100480429962</t>
  </si>
  <si>
    <t>Tテラス</t>
  </si>
  <si>
    <t>https://suumo.jp/chintai/jnc_000104149215/?bc=100479824950</t>
  </si>
  <si>
    <t>アールレジデンス東中野</t>
  </si>
  <si>
    <t>https://suumo.jp/chintai/jnc_000104107297/?bc=100473945140</t>
  </si>
  <si>
    <t>https://suumo.jp/chintai/jnc_000103089839/?bc=100473945072</t>
  </si>
  <si>
    <t>https://suumo.jp/chintai/jnc_000104132233/?bc=100483398042</t>
  </si>
  <si>
    <t>https://suumo.jp/chintai/jnc_000102887598/?bc=100485047850</t>
  </si>
  <si>
    <t>オークレール上落合</t>
  </si>
  <si>
    <t>https://suumo.jp/chintai/jnc_000103903345/?bc=100482088928</t>
  </si>
  <si>
    <t>ガーデンコートアネックス</t>
  </si>
  <si>
    <t>https://suumo.jp/chintai/jnc_000103947307/?bc=100475235462</t>
  </si>
  <si>
    <t>https://suumo.jp/chintai/jnc_000103416002/?bc=100480860497</t>
  </si>
  <si>
    <t>https://suumo.jp/chintai/jnc_000102108491/?bc=100472252027</t>
  </si>
  <si>
    <t>クレール上落合</t>
  </si>
  <si>
    <t>https://suumo.jp/chintai/jnc_000101104879/?bc=100456895160</t>
  </si>
  <si>
    <t>コンフォリア・リヴ東中野</t>
  </si>
  <si>
    <t>https://suumo.jp/chintai/jnc_000103690577/?bc=100484531199</t>
  </si>
  <si>
    <t>https://suumo.jp/chintai/jnc_000101180685/?bc=100479800306</t>
  </si>
  <si>
    <t>https://suumo.jp/chintai/jnc_000101851830/?bc=100478343105</t>
  </si>
  <si>
    <t>https://suumo.jp/chintai/jnc_000103690578/?bc=100479906644</t>
  </si>
  <si>
    <t>https://suumo.jp/chintai/jnc_000101851828/?bc=100478114361</t>
  </si>
  <si>
    <t>https://suumo.jp/chintai/jnc_000103680780/?bc=100479022049</t>
  </si>
  <si>
    <t>https://suumo.jp/chintai/jnc_000101837761/?bc=100457499434</t>
  </si>
  <si>
    <t>https://suumo.jp/chintai/jnc_000101104881/?bc=100473675904</t>
  </si>
  <si>
    <t>https://suumo.jp/chintai/jnc_000101837760/?bc=100471514060</t>
  </si>
  <si>
    <t>https://suumo.jp/chintai/jnc_000101837759/?bc=100457499432</t>
  </si>
  <si>
    <t>https://suumo.jp/chintai/jnc_000103690572/?bc=100479877215</t>
  </si>
  <si>
    <t>https://suumo.jp/chintai/jnc_000102312126/?bc=100481018692</t>
  </si>
  <si>
    <t>サンファスト東中野</t>
  </si>
  <si>
    <t>https://suumo.jp/chintai/jnc_000103285440/?bc=100479401723</t>
  </si>
  <si>
    <t>ステージファースト上落合</t>
  </si>
  <si>
    <t>https://suumo.jp/chintai/jnc_000104474404/?bc=100485953928</t>
  </si>
  <si>
    <t>https://suumo.jp/chintai/jnc_000098158435/?bc=100434675541</t>
  </si>
  <si>
    <t>ノアズフラット</t>
  </si>
  <si>
    <t>https://suumo.jp/chintai/jnc_000100517279/?bc=100465172962</t>
  </si>
  <si>
    <t>フロレスタ</t>
  </si>
  <si>
    <t>https://suumo.jp/chintai/jnc_000104499539/?bc=100486395291</t>
  </si>
  <si>
    <t>https://suumo.jp/chintai/jnc_000102951930/?bc=100474786793</t>
  </si>
  <si>
    <t>https://suumo.jp/chintai/jnc_000104492009/?bc=100441841151</t>
  </si>
  <si>
    <t>ラ・テラス落合</t>
  </si>
  <si>
    <t>https://suumo.jp/chintai/jnc_000100870014/?bc=100477517871</t>
  </si>
  <si>
    <t>https://suumo.jp/chintai/jnc_000096826749/?bc=100477342475</t>
  </si>
  <si>
    <t>ルーアン</t>
  </si>
  <si>
    <t>https://suumo.jp/chintai/jnc_000083638213/?bc=100480902524</t>
  </si>
  <si>
    <t>レガリア東中野レジデンスWEST</t>
  </si>
  <si>
    <t>https://suumo.jp/chintai/jnc_000104162762/?bc=100483542948</t>
  </si>
  <si>
    <t>レジディア高田馬場</t>
  </si>
  <si>
    <t>https://suumo.jp/chintai/jnc_000103459016/?bc=100481593353</t>
  </si>
  <si>
    <t>https://suumo.jp/chintai/jnc_000104316377/?bc=100484750983</t>
  </si>
  <si>
    <t>https://suumo.jp/chintai/jnc_000103761998/?bc=100480421695</t>
  </si>
  <si>
    <t>https://suumo.jp/chintai/jnc_000104261933/?bc=100484234149</t>
  </si>
  <si>
    <t>https://suumo.jp/chintai/jnc_000104398960/?bc=100485332143</t>
  </si>
  <si>
    <t>村上邸</t>
  </si>
  <si>
    <t>https://suumo.jp/chintai/jnc_000104499541/?bc=100486325940</t>
  </si>
  <si>
    <t>https://suumo.jp/chintai/jnc_000104525911/?bc=100486370990</t>
  </si>
  <si>
    <t>https://suumo.jp/chintai/jnc_000103791976/?bc=100465929327</t>
  </si>
  <si>
    <t>https://suumo.jp/chintai/jnc_000102049928/?bc=100454606818</t>
  </si>
  <si>
    <t>https://suumo.jp/chintai/jnc_000104003325/?bc=100482100060</t>
  </si>
  <si>
    <t>https://suumo.jp/chintai/jnc_000103791977/?bc=100465929360</t>
  </si>
  <si>
    <t>https://suumo.jp/chintai/jnc_000101358301/?bc=100459037153</t>
  </si>
  <si>
    <t>https://suumo.jp/chintai/jnc_000104149220/?bc=100480409760</t>
  </si>
  <si>
    <t>東京メトロ東西線 落合駅 11階建 築19年</t>
  </si>
  <si>
    <t>https://suumo.jp/chintai/jnc_000103454481/?bc=100477725920</t>
  </si>
  <si>
    <t>東京メトロ東西線 落合駅 13階建 築16年</t>
  </si>
  <si>
    <t>https://suumo.jp/chintai/jnc_000102186691/?bc=100472407520</t>
  </si>
  <si>
    <t>東京メトロ東西線 落合駅 2階建 築15年</t>
  </si>
  <si>
    <t>https://suumo.jp/chintai/jnc_000101224221/?bc=100482679244</t>
  </si>
  <si>
    <t>https://suumo.jp/chintai/jnc_000104125637/?bc=100484139488</t>
  </si>
  <si>
    <t>https://suumo.jp/chintai/jnc_000104125638/?bc=100484139499</t>
  </si>
  <si>
    <t>https://suumo.jp/chintai/jnc_000103695153/?bc=100479799207</t>
  </si>
  <si>
    <t>https://suumo.jp/chintai/jnc_000101224223/?bc=100466221927</t>
  </si>
  <si>
    <t>https://suumo.jp/chintai/jnc_000101917038/?bc=100477154755</t>
  </si>
  <si>
    <t>https://suumo.jp/chintai/jnc_000104125639/?bc=100483490688</t>
  </si>
  <si>
    <t>https://suumo.jp/chintai/jnc_000103695154/?bc=100479799206</t>
  </si>
  <si>
    <t>https://suumo.jp/chintai/jnc_000103695155/?bc=100472260496</t>
  </si>
  <si>
    <t>https://suumo.jp/chintai/jnc_000101864564/?bc=100478218356</t>
  </si>
  <si>
    <t>https://suumo.jp/chintai/jnc_000101224219/?bc=100473972814</t>
  </si>
  <si>
    <t>https://suumo.jp/chintai/jnc_000104028791/?bc=100480992981</t>
  </si>
  <si>
    <t>https://suumo.jp/chintai/jnc_000103424079/?bc=100480789676</t>
  </si>
  <si>
    <t>https://suumo.jp/chintai/jnc_000098164902/?bc=100486282120</t>
  </si>
  <si>
    <t>東京メトロ東西線 落合駅 3階建 築35年</t>
  </si>
  <si>
    <t>https://suumo.jp/chintai/jnc_000103530295/?bc=100479032289</t>
  </si>
  <si>
    <t>https://suumo.jp/chintai/jnc_000102966649/?bc=100482934598</t>
  </si>
  <si>
    <t>https://suumo.jp/chintai/jnc_000104138607/?bc=100473921622</t>
  </si>
  <si>
    <t>https://suumo.jp/chintai/jnc_000103094751/?bc=100473948592</t>
  </si>
  <si>
    <t>https://suumo.jp/chintai/jnc_000104169943/?bc=100483949366</t>
  </si>
  <si>
    <t>https://suumo.jp/chintai/jnc_000102887599/?bc=100483284115</t>
  </si>
  <si>
    <t>東京メトロ東西線 落合駅 4階建 築2年</t>
  </si>
  <si>
    <t>https://suumo.jp/chintai/jnc_000103938129/?bc=100481742385</t>
  </si>
  <si>
    <t>東京メトロ東西線 落合駅 5階建 築20年</t>
  </si>
  <si>
    <t>https://suumo.jp/chintai/jnc_000102627531/?bc=100469632395</t>
  </si>
  <si>
    <t>https://suumo.jp/chintai/jnc_000103306697/?bc=100480028205</t>
  </si>
  <si>
    <t>https://suumo.jp/chintai/jnc_000102312127/?bc=100481190313</t>
  </si>
  <si>
    <t>東京メトロ東西線 落合駅 5階建 築59年</t>
  </si>
  <si>
    <t>https://suumo.jp/chintai/jnc_000104178864/?bc=100483768086</t>
  </si>
  <si>
    <t>東京メトロ東西線 落合駅 6階建 築3年</t>
  </si>
  <si>
    <t>https://suumo.jp/chintai/jnc_000103473418/?bc=100477772063</t>
  </si>
  <si>
    <t>https://suumo.jp/chintai/jnc_000104326029/?bc=100484921725</t>
  </si>
  <si>
    <t>https://suumo.jp/chintai/jnc_000103791988/?bc=100480564564</t>
  </si>
  <si>
    <t>https://suumo.jp/chintai/jnc_000100872906/?bc=100481489892</t>
  </si>
  <si>
    <t>https://suumo.jp/chintai/jnc_000083638214/?bc=100475328300</t>
  </si>
  <si>
    <t>東京メトロ東西線 落合駅 地下1地上3階建 築18年</t>
  </si>
  <si>
    <t>https://suumo.jp/chintai/jnc_000103771450/?bc=100483968396</t>
  </si>
  <si>
    <t>石井ガーデンマンションI</t>
  </si>
  <si>
    <t>https://suumo.jp/chintai/jnc_000104265677/?bc=100480568380</t>
  </si>
  <si>
    <t>ＪＲ中央線 東中野駅 3階建 築12年</t>
  </si>
  <si>
    <t>https://suumo.jp/chintai/jnc_000103644384/?bc=100447602402</t>
  </si>
  <si>
    <t>ＪＲ総武線 東中野駅 1階建 築15年</t>
  </si>
  <si>
    <t>https://suumo.jp/chintai/jnc_000102979684/?bc=100473931854</t>
  </si>
  <si>
    <t>https://suumo.jp/chintai/jnc_000104214951/?bc=100483888211</t>
  </si>
  <si>
    <t>Ｌａｇｕｎａ　Ｓｅｃａ　（ラグナセカ）</t>
  </si>
  <si>
    <t>https://suumo.jp/chintai/jnc_000104214952/?bc=100483888215</t>
  </si>
  <si>
    <t>https://suumo.jp/chintai/jnc_000104214953/?bc=100483888209</t>
  </si>
  <si>
    <t>https://suumo.jp/chintai/jnc_000103786800/?bc=100485875044</t>
  </si>
  <si>
    <t>https://suumo.jp/chintai/jnc_000102017116/?bc=100446137282</t>
  </si>
  <si>
    <t>https://suumo.jp/chintai/jnc_000103987140/?bc=100482165523</t>
  </si>
  <si>
    <t>https://suumo.jp/chintai/jnc_000103786802/?bc=100459324115</t>
  </si>
  <si>
    <t>https://suumo.jp/chintai/jnc_000101344197/?bc=100459050273</t>
  </si>
  <si>
    <t>https://suumo.jp/chintai/jnc_000103929296/?bc=100481659038</t>
  </si>
  <si>
    <t>ＲＥＳＩＤＥＮＣＥ東中野(レジデンス東中野)</t>
  </si>
  <si>
    <t>https://suumo.jp/chintai/jnc_000102405268/?bc=100469209458</t>
  </si>
  <si>
    <t>https://suumo.jp/chintai/jnc_000104117716/?bc=100483145830</t>
  </si>
  <si>
    <t>FLORA東中野</t>
  </si>
  <si>
    <t>https://suumo.jp/chintai/jnc_000102287542/?bc=100479306599</t>
  </si>
  <si>
    <t>https://suumo.jp/chintai/jnc_000103994041/?bc=100482495139</t>
  </si>
  <si>
    <t>MIURA-I</t>
  </si>
  <si>
    <t>https://suumo.jp/chintai/jnc_000103994042/?bc=100482222526</t>
  </si>
  <si>
    <t>https://suumo.jp/chintai/jnc_000102710510/?bc=100471827100</t>
  </si>
  <si>
    <t>RIOILHA</t>
  </si>
  <si>
    <t>https://suumo.jp/chintai/jnc_000104116875/?bc=100483235326</t>
  </si>
  <si>
    <t>https://suumo.jp/chintai/jnc_000104107292/?bc=100483110177</t>
  </si>
  <si>
    <t>https://suumo.jp/chintai/jnc_000104116877/?bc=100483330230</t>
  </si>
  <si>
    <t>https://suumo.jp/chintai/jnc_000103730188/?bc=100480277316</t>
  </si>
  <si>
    <t>かつらマンション</t>
  </si>
  <si>
    <t>https://suumo.jp/chintai/jnc_000101629609/?bc=100461284889</t>
  </si>
  <si>
    <t>https://suumo.jp/chintai/jnc_000102837173/?bc=100475994521</t>
  </si>
  <si>
    <t>アミューズ上高田II</t>
  </si>
  <si>
    <t>https://suumo.jp/chintai/jnc_000103780342/?bc=100481599540</t>
  </si>
  <si>
    <t>アーバンプレイス中野EAST</t>
  </si>
  <si>
    <t>https://suumo.jp/chintai/jnc_000103929264/?bc=100482071401</t>
  </si>
  <si>
    <t>アーバンプレイス東中野II</t>
  </si>
  <si>
    <t>https://suumo.jp/chintai/jnc_000104060456/?bc=100482832203</t>
  </si>
  <si>
    <t>アーバンプレイス東中野IV</t>
  </si>
  <si>
    <t>https://suumo.jp/chintai/jnc_000103278574/?bc=100480184009</t>
  </si>
  <si>
    <t>https://suumo.jp/chintai/jnc_000104442897/?bc=100485276893</t>
  </si>
  <si>
    <t>アーバンプレイス落合VI</t>
  </si>
  <si>
    <t>https://suumo.jp/chintai/jnc_000103205276/?bc=100475782610</t>
  </si>
  <si>
    <t>アーバンプレイス高田馬場X</t>
  </si>
  <si>
    <t>https://suumo.jp/chintai/jnc_000104412220/?bc=100485561723</t>
  </si>
  <si>
    <t>https://suumo.jp/chintai/jnc_000103393231/?bc=100477145544</t>
  </si>
  <si>
    <t>アーバンプレス高田馬場X</t>
  </si>
  <si>
    <t>https://suumo.jp/chintai/jnc_000103658001/?bc=100469485048</t>
  </si>
  <si>
    <t>エトワール落合</t>
  </si>
  <si>
    <t>https://suumo.jp/chintai/jnc_000102436344/?bc=100469619338</t>
  </si>
  <si>
    <t>https://suumo.jp/chintai/jnc_000103908813/?bc=100481784065</t>
  </si>
  <si>
    <t>エルシオンＴＡＫＥＤＡ</t>
  </si>
  <si>
    <t>https://suumo.jp/chintai/jnc_000103770543/?bc=100480389982</t>
  </si>
  <si>
    <t>カーサマグノリア</t>
  </si>
  <si>
    <t>https://suumo.jp/chintai/jnc_000103761964/?bc=100484163342</t>
  </si>
  <si>
    <t>https://suumo.jp/chintai/jnc_000103362602/?bc=100314284596</t>
  </si>
  <si>
    <t>グランツT2</t>
  </si>
  <si>
    <t>https://suumo.jp/chintai/jnc_000104215475/?bc=100480423872</t>
  </si>
  <si>
    <t>グランリュクス</t>
  </si>
  <si>
    <t>https://suumo.jp/chintai/jnc_000104215450/?bc=100474702728</t>
  </si>
  <si>
    <t>コンフォート石田</t>
  </si>
  <si>
    <t>https://suumo.jp/chintai/jnc_000103631800/?bc=100479124782</t>
  </si>
  <si>
    <t>コーポ偕和１</t>
  </si>
  <si>
    <t>https://suumo.jp/chintai/jnc_000023585828/?bc=100486453589</t>
  </si>
  <si>
    <t>コーポ新宿</t>
  </si>
  <si>
    <t>https://suumo.jp/chintai/jnc_000103828362/?bc=100480890738</t>
  </si>
  <si>
    <t>https://suumo.jp/chintai/jnc_000044982764/?bc=100485549705</t>
  </si>
  <si>
    <t>https://suumo.jp/chintai/jnc_000104540914/?bc=100486412301</t>
  </si>
  <si>
    <t>スカイコート新宿落合第４</t>
  </si>
  <si>
    <t>https://suumo.jp/chintai/jnc_000086640712/?bc=100483721422</t>
  </si>
  <si>
    <t>セザール東中野</t>
  </si>
  <si>
    <t>https://suumo.jp/chintai/jnc_000062556787/?bc=100481521649</t>
  </si>
  <si>
    <t>ソフィアアスター</t>
  </si>
  <si>
    <t>https://suumo.jp/chintai/jnc_000062556789/?bc=100484932974</t>
  </si>
  <si>
    <t>https://suumo.jp/chintai/jnc_000102039271/?bc=100482523837</t>
  </si>
  <si>
    <t>トーシンフェニックス落合駅前</t>
  </si>
  <si>
    <t>https://suumo.jp/chintai/jnc_000038239799/?bc=100475935757</t>
  </si>
  <si>
    <t>ハイツイマイ</t>
  </si>
  <si>
    <t>https://suumo.jp/chintai/jnc_000103610286/?bc=100479031816</t>
  </si>
  <si>
    <t>ハーモニーテラス上落合</t>
  </si>
  <si>
    <t>https://suumo.jp/chintai/jnc_000104044391/?bc=100482489520</t>
  </si>
  <si>
    <t>ハーモニーテラス落合</t>
  </si>
  <si>
    <t>https://suumo.jp/chintai/jnc_000103987130/?bc=100483501753</t>
  </si>
  <si>
    <t>パークヒルズ落合</t>
  </si>
  <si>
    <t>https://suumo.jp/chintai/jnc_000104509149/?bc=100486346968</t>
  </si>
  <si>
    <t>https://suumo.jp/chintai/jnc_000104326793/?bc=100484859016</t>
  </si>
  <si>
    <t>メゾンパ－クサイド</t>
  </si>
  <si>
    <t>https://suumo.jp/chintai/jnc_000104261945/?bc=100484277343</t>
  </si>
  <si>
    <t>メゾン・ド・レクトゥール</t>
  </si>
  <si>
    <t>https://suumo.jp/chintai/jnc_000104050102/?bc=100485529759</t>
  </si>
  <si>
    <t>ライオンズマンション中野東</t>
  </si>
  <si>
    <t>https://suumo.jp/chintai/jnc_000102078265/?bc=100474742517</t>
  </si>
  <si>
    <t>https://suumo.jp/chintai/jnc_000104192466/?bc=100483775381</t>
  </si>
  <si>
    <t>https://suumo.jp/chintai/jnc_000103756773/?bc=100480323878</t>
  </si>
  <si>
    <t>ラ・フォレスタ</t>
  </si>
  <si>
    <t>https://suumo.jp/chintai/jnc_000103231718/?bc=100476795476</t>
  </si>
  <si>
    <t>三越東中野マンション</t>
  </si>
  <si>
    <t>https://suumo.jp/chintai/jnc_000104454990/?bc=100485770152</t>
  </si>
  <si>
    <t>https://suumo.jp/chintai/jnc_000102332252/?bc=100479899029</t>
  </si>
  <si>
    <t>https://suumo.jp/chintai/jnc_000104438132/?bc=100485770197</t>
  </si>
  <si>
    <t>https://suumo.jp/chintai/jnc_000104368673/?bc=100485076425</t>
  </si>
  <si>
    <t>https://suumo.jp/chintai/jnc_000104368674/?bc=100484762314</t>
  </si>
  <si>
    <t>https://suumo.jp/chintai/jnc_000104392261/?bc=100484762322</t>
  </si>
  <si>
    <t>https://suumo.jp/chintai/jnc_000103465740/?bc=100477737226</t>
  </si>
  <si>
    <t>大渕荘</t>
  </si>
  <si>
    <t>https://suumo.jp/chintai/jnc_000103994039/?bc=100486341552</t>
  </si>
  <si>
    <t>東京メトロ東西線 落合駅 12階建 築27年</t>
  </si>
  <si>
    <t>https://suumo.jp/chintai/jnc_000104518509/?bc=100486405815</t>
  </si>
  <si>
    <t>https://suumo.jp/chintai/jnc_000103987132/?bc=100482587022</t>
  </si>
  <si>
    <t>東京メトロ東西線 落合駅 2階建 築11年</t>
  </si>
  <si>
    <t>https://suumo.jp/chintai/jnc_000104417269/?bc=100485544561</t>
  </si>
  <si>
    <t>https://suumo.jp/chintai/jnc_000102854378/?bc=100473971777</t>
  </si>
  <si>
    <t>https://suumo.jp/chintai/jnc_000092128316/?bc=100479877752</t>
  </si>
  <si>
    <t>東京メトロ東西線 落合駅 2階建 築2年</t>
  </si>
  <si>
    <t>https://suumo.jp/chintai/jnc_000103750094/?bc=100484544183</t>
  </si>
  <si>
    <t>東京メトロ東西線 落合駅 2階建 築61年</t>
  </si>
  <si>
    <t>https://suumo.jp/chintai/jnc_000103610287/?bc=100481562164</t>
  </si>
  <si>
    <t>https://suumo.jp/chintai/jnc_000101319442/?bc=100377522750</t>
  </si>
  <si>
    <t>https://suumo.jp/chintai/jnc_000104392265/?bc=100485222609</t>
  </si>
  <si>
    <t>https://suumo.jp/chintai/jnc_000104138604/?bc=100483271934</t>
  </si>
  <si>
    <t>https://suumo.jp/chintai/jnc_000104139475/?bc=100483268297</t>
  </si>
  <si>
    <t>https://suumo.jp/chintai/jnc_000104049638/?bc=100482535027</t>
  </si>
  <si>
    <t>https://suumo.jp/chintai/jnc_000104437823/?bc=100485572309</t>
  </si>
  <si>
    <t>東京メトロ東西線 落合駅 3階建 築39年</t>
  </si>
  <si>
    <t>https://suumo.jp/chintai/jnc_000102118144/?bc=100484207151</t>
  </si>
  <si>
    <t>https://suumo.jp/chintai/jnc_000104398959/?bc=100485358910</t>
  </si>
  <si>
    <t>https://suumo.jp/chintai/jnc_000102718689/?bc=100473972179</t>
  </si>
  <si>
    <t>東京メトロ東西線 落合駅 9階建 築22年</t>
  </si>
  <si>
    <t>https://suumo.jp/chintai/jnc_000104417265/?bc=100485470900</t>
  </si>
  <si>
    <t>東京メトロ東西線 落合駅 地下1地上8階建 築40年</t>
  </si>
  <si>
    <t>https://suumo.jp/chintai/jnc_000096582670/?bc=100480184001</t>
  </si>
  <si>
    <t>https://suumo.jp/chintai/jnc_000104215473/?bc=100483885724</t>
  </si>
  <si>
    <t>https://suumo.jp/chintai/jnc_000104454667/?bc=100485766855</t>
  </si>
  <si>
    <t>美宝ハイツ</t>
  </si>
  <si>
    <t>https://suumo.jp/chintai/jnc_000104416503/?bc=100486453596</t>
  </si>
  <si>
    <t>美宝ハイツ落合</t>
  </si>
  <si>
    <t>https://suumo.jp/chintai/jnc_000089984798/?bc=100486237920</t>
  </si>
  <si>
    <t>都営大江戸線 東中野駅 2階建 築6年</t>
  </si>
  <si>
    <t>https://suumo.jp/chintai/jnc_000087802241/?bc=100484600771</t>
  </si>
  <si>
    <t>https://suumo.jp/chintai/jnc_000103006526/?bc=100475945461</t>
  </si>
  <si>
    <t>８７ｈｏｕｓｅ０２</t>
  </si>
  <si>
    <t>https://suumo.jp/chintai/jnc_000103897223/?bc=100481428979</t>
  </si>
  <si>
    <t>ＪＲ中央線 中野駅 2階建 築11年</t>
  </si>
  <si>
    <t>https://suumo.jp/chintai/jnc_000103346723/?bc=100476907137</t>
  </si>
  <si>
    <t>ＪＲ中央線 東中野駅 2階建 築11年</t>
  </si>
  <si>
    <t>https://suumo.jp/chintai/jnc_000103285872/?bc=100481346322</t>
  </si>
  <si>
    <t>ＪＲ中央線 東中野駅 2階建 築14年</t>
  </si>
  <si>
    <t>https://suumo.jp/chintai/jnc_000103919950/?bc=100390774078</t>
  </si>
  <si>
    <t>ＪＲ中央線 東中野駅 2階建 築15年</t>
  </si>
  <si>
    <t>https://suumo.jp/chintai/jnc_000102484806/?bc=100470322223</t>
  </si>
  <si>
    <t>https://suumo.jp/chintai/jnc_000103195238/?bc=100475678011</t>
  </si>
  <si>
    <t>Ｌｅｓ，Ｓｏｒｂｉｅｒｓ東中野</t>
  </si>
  <si>
    <t>https://suumo.jp/chintai/jnc_000104138605/?bc=100483716487</t>
  </si>
  <si>
    <t>Lino Ochiai</t>
  </si>
  <si>
    <t>https://suumo.jp/chintai/jnc_000103987642/?bc=100481994582</t>
  </si>
  <si>
    <t>https://suumo.jp/chintai/jnc_000104169941/?bc=100483852539</t>
  </si>
  <si>
    <t>東京メトロ東西線 落合駅 5階建 築6年</t>
  </si>
  <si>
    <t>https://suumo.jp/chintai/jnc_000103994045/?bc=100482033750</t>
  </si>
  <si>
    <t>東京メトロ東西線 落合駅 地下2地上14階建 築20年</t>
  </si>
  <si>
    <t>https://suumo.jp/chintai/jnc_000104303514/?bc=100484573844</t>
  </si>
  <si>
    <t>https://suumo.jp/chintai/jnc_000103976342/?bc=100483771701</t>
  </si>
  <si>
    <t>ＦＬＡＭＰ</t>
  </si>
  <si>
    <t>https://suumo.jp/chintai/jnc_000104271763/?bc=100485362701</t>
  </si>
  <si>
    <t>https://suumo.jp/chintai/jnc_000104214949/?bc=100483910602</t>
  </si>
  <si>
    <t>ＪＲ中央線 東中野駅 地下1地上5階建 築6年</t>
  </si>
  <si>
    <t>https://suumo.jp/chintai/jnc_000104492008/?bc=100486041506</t>
  </si>
  <si>
    <t>アーサメイジャー</t>
  </si>
  <si>
    <t>https://suumo.jp/chintai/jnc_000104149209/?bc=100483757594</t>
  </si>
  <si>
    <t>https://suumo.jp/chintai/jnc_000100822017/?bc=100483724323</t>
  </si>
  <si>
    <t>サンハイツ落合</t>
  </si>
  <si>
    <t>https://suumo.jp/chintai/jnc_000103717066/?bc=100480013436</t>
  </si>
  <si>
    <t>宮越マンション</t>
  </si>
  <si>
    <t>https://suumo.jp/chintai/jnc_000103717065/?bc=100479981027</t>
  </si>
  <si>
    <t>東京メトロ東西線 落合駅 4階建 築47年</t>
  </si>
  <si>
    <t>https://suumo.jp/chintai/jnc_000103742496/?bc=100485413492</t>
  </si>
  <si>
    <t>https://suumo.jp/chintai/jnc_000103459326/?bc=100477650183</t>
  </si>
  <si>
    <t>藤和東中野コープ</t>
  </si>
  <si>
    <t>https://suumo.jp/chintai/jnc_000104170651/?bc=100483809068</t>
  </si>
  <si>
    <t>https://suumo.jp/chintai/jnc_000104499538/?bc=100486084725</t>
  </si>
  <si>
    <t>ＪＲ総武線 東中野駅 8階建 築36年</t>
  </si>
  <si>
    <t>https://suumo.jp/chintai/jnc_000101817873/?bc=100470224002</t>
  </si>
  <si>
    <t>LEGALAND東中野</t>
  </si>
  <si>
    <t>https://suumo.jp/chintai/jnc_000103690574/?bc=100479872698</t>
  </si>
  <si>
    <t>https://suumo.jp/chintai/jnc_000103690575/?bc=100485052096</t>
  </si>
  <si>
    <t>https://suumo.jp/chintai/jnc_000103690576/?bc=100479799771</t>
  </si>
  <si>
    <t>https://suumo.jp/chintai/jnc_000103144290/?bc=100473250616</t>
  </si>
  <si>
    <t>https://suumo.jp/chintai/jnc_000101851827/?bc=100480866765</t>
  </si>
  <si>
    <t>https://suumo.jp/chintai/jnc_000102777660/?bc=100482841900</t>
  </si>
  <si>
    <t>https://suumo.jp/chintai/jnc_000104464968/?bc=100364224730</t>
  </si>
  <si>
    <t>コンフォート中野</t>
  </si>
  <si>
    <t>https://suumo.jp/chintai/jnc_000103695151/?bc=100479880055</t>
  </si>
  <si>
    <t>https://suumo.jp/chintai/jnc_000103161981/?bc=100477119630</t>
  </si>
  <si>
    <t>https://suumo.jp/chintai/jnc_000103702508/?bc=100479852009</t>
  </si>
  <si>
    <t>https://suumo.jp/chintai/jnc_000101917036/?bc=100473970312</t>
  </si>
  <si>
    <t>https://suumo.jp/chintai/jnc_000102109244/?bc=100484207148</t>
  </si>
  <si>
    <t>https://suumo.jp/chintai/jnc_000103324587/?bc=100485411220</t>
  </si>
  <si>
    <t>https://suumo.jp/chintai/jnc_000103459327/?bc=100477688376</t>
  </si>
  <si>
    <t>田島ハウス</t>
  </si>
  <si>
    <t>https://suumo.jp/chintai/jnc_000103844276/?bc=100477976278</t>
  </si>
  <si>
    <t>https://suumo.jp/chintai/jnc_000103373365/?bc=100478053702</t>
  </si>
  <si>
    <t>https://suumo.jp/chintai/jnc_000103440564/?bc=100482930993</t>
  </si>
  <si>
    <t>https://suumo.jp/chintai/jnc_000104432895/?bc=100471894784</t>
  </si>
  <si>
    <t>ＪＲ山手線 高田馬場駅 11階建 築5年</t>
  </si>
  <si>
    <t>https://suumo.jp/chintai/jnc_000104432892/?bc=100478447831</t>
  </si>
  <si>
    <t>ＸＥＢＥＣ北新宿（ジーベックキタシンジュク）</t>
  </si>
  <si>
    <t>https://suumo.jp/chintai/jnc_000104432893/?bc=100478447840</t>
  </si>
  <si>
    <t>https://suumo.jp/chintai/jnc_000104432894/?bc=100471888113</t>
  </si>
  <si>
    <t>https://suumo.jp/chintai/jnc_000104464974/?bc=100483550073</t>
  </si>
  <si>
    <t>アイレックス</t>
  </si>
  <si>
    <t>https://suumo.jp/chintai/jnc_000104107298/?bc=100483101529</t>
  </si>
  <si>
    <t>https://suumo.jp/chintai/jnc_000103585710/?bc=100478856029</t>
  </si>
  <si>
    <t>https://suumo.jp/chintai/jnc_000104107302/?bc=100478845717</t>
  </si>
  <si>
    <t>https://suumo.jp/chintai/jnc_000103585711/?bc=100479821765</t>
  </si>
  <si>
    <t>https://suumo.jp/chintai/jnc_000103144289/?bc=100463132633</t>
  </si>
  <si>
    <t>https://suumo.jp/chintai/jnc_000103144291/?bc=100473220214</t>
  </si>
  <si>
    <t>https://suumo.jp/chintai/jnc_000103690573/?bc=100479877886</t>
  </si>
  <si>
    <t>https://suumo.jp/chintai/jnc_000104163317/?bc=100486421623</t>
  </si>
  <si>
    <t>シーアイマンション東中野パークサイド</t>
  </si>
  <si>
    <t>https://suumo.jp/chintai/jnc_000104482963/?bc=100486406543</t>
  </si>
  <si>
    <t>https://suumo.jp/chintai/jnc_000103903875/?bc=100481501428</t>
  </si>
  <si>
    <t>https://suumo.jp/chintai/jnc_000104249119/?bc=100435691076</t>
  </si>
  <si>
    <t>ファミーユメゾン</t>
  </si>
  <si>
    <t>https://suumo.jp/chintai/jnc_000101961762/?bc=100465062790</t>
  </si>
  <si>
    <t>北新宿サマリアマンション</t>
  </si>
  <si>
    <t>https://suumo.jp/chintai/jnc_000104482964/?bc=100485988840</t>
  </si>
  <si>
    <t>https://suumo.jp/chintai/jnc_000103913726/?bc=100481651187</t>
  </si>
  <si>
    <t>https://suumo.jp/chintai/jnc_000103994052/?bc=100483236718</t>
  </si>
  <si>
    <t>https://suumo.jp/chintai/jnc_000103161980/?bc=100466962105</t>
  </si>
  <si>
    <t>https://suumo.jp/chintai/jnc_000100847082/?bc=100463345017</t>
  </si>
  <si>
    <t>https://suumo.jp/chintai/jnc_000103161982/?bc=100473033970</t>
  </si>
  <si>
    <t>https://suumo.jp/chintai/jnc_000104138608/?bc=100479138814</t>
  </si>
  <si>
    <t>https://suumo.jp/chintai/jnc_000103585712/?bc=100480375698</t>
  </si>
  <si>
    <t>https://suumo.jp/chintai/jnc_000104138609/?bc=100485338502</t>
  </si>
  <si>
    <t>https://suumo.jp/chintai/jnc_000103585713/?bc=100480376345</t>
  </si>
  <si>
    <t>https://suumo.jp/chintai/jnc_000104163318/?bc=100483547027</t>
  </si>
  <si>
    <t>東京メトロ東西線 落合駅 6階建 築31年</t>
  </si>
  <si>
    <t>https://suumo.jp/chintai/jnc_000102777016/?bc=100472353041</t>
  </si>
  <si>
    <t>東建柏木マンション</t>
  </si>
  <si>
    <t>https://suumo.jp/chintai/jnc_000103386568/?bc=100483968389</t>
  </si>
  <si>
    <t>石井ガーデンマンションII</t>
  </si>
  <si>
    <t>https://suumo.jp/chintai/jnc_000104519170/?bc=100486349399</t>
  </si>
  <si>
    <t>ＪＲ中央線 中野駅 12階建 築24年</t>
  </si>
  <si>
    <t>https://suumo.jp/chintai/jnc_000103987141/?bc=100462943122</t>
  </si>
  <si>
    <t>https://suumo.jp/chintai/jnc_000101757993/?bc=100479337024</t>
  </si>
  <si>
    <t>https://suumo.jp/chintai/jnc_000103987142/?bc=100482009731</t>
  </si>
  <si>
    <t>https://suumo.jp/chintai/jnc_000101344198/?bc=100480609078</t>
  </si>
  <si>
    <t>https://suumo.jp/chintai/jnc_000103843587/?bc=100486111237</t>
  </si>
  <si>
    <t>2SDK</t>
  </si>
  <si>
    <t>https://suumo.jp/chintai/jnc_000103798066/?bc=100480601399</t>
  </si>
  <si>
    <t>東京メトロ東西線 落合駅 地上3階建 築4年</t>
  </si>
  <si>
    <t>https://suumo.jp/chintai/jnc_000103798065/?bc=100480585166</t>
  </si>
  <si>
    <t>Ｋｏｌｅｔ落合０２</t>
  </si>
  <si>
    <t>https://suumo.jp/chintai/jnc_000090261203/?bc=100482444116</t>
  </si>
  <si>
    <t>https://suumo.jp/chintai/jnc_000102197472/?bc=100475470678</t>
  </si>
  <si>
    <t>東京メトロ東西線 落合駅 8階建 築6年</t>
  </si>
  <si>
    <t>https://suumo.jp/chintai/jnc_000104241724/?bc=100484082174</t>
  </si>
  <si>
    <t>https://suumo.jp/chintai/jnc_000082648797/?bc=100472480181</t>
  </si>
  <si>
    <t>https://suumo.jp/chintai/jnc_000104148219/?bc=100484528378</t>
  </si>
  <si>
    <t>https://suumo.jp/chintai/jnc_000104229988/?bc=100484117051</t>
  </si>
  <si>
    <t>Ｂｒｉｌｌｉａ東中野Ｐａｒｋｓｉｄｅ　Ｈｉｌｌｓ</t>
  </si>
  <si>
    <t>https://suumo.jp/chintai/jnc_000104178841/?bc=100486088062</t>
  </si>
  <si>
    <t>ＪＲ総武線 東中野駅 14階建 築54年</t>
  </si>
  <si>
    <t>https://suumo.jp/chintai/jnc_000090251430/?bc=100482511199</t>
  </si>
  <si>
    <t>https://suumo.jp/chintai/jnc_000104186916/?bc=100483629168</t>
  </si>
  <si>
    <t>上高田１丁目戸建</t>
  </si>
  <si>
    <t>https://suumo.jp/chintai/jnc_000104070293/?bc=100485786170</t>
  </si>
  <si>
    <t>K・メゾン</t>
  </si>
  <si>
    <t>東京都豊島区千早２</t>
  </si>
  <si>
    <t>要町駅</t>
  </si>
  <si>
    <t>https://suumo.jp/chintai/jnc_000104076818/?bc=100485497924</t>
  </si>
  <si>
    <t>東京メトロ有楽町線 要町駅 2階建 築23年</t>
  </si>
  <si>
    <t>https://suumo.jp/chintai/jnc_000104412324/?bc=100485514527</t>
  </si>
  <si>
    <t>ベネボレンス千早</t>
  </si>
  <si>
    <t>https://suumo.jp/chintai/jnc_000104438135/?bc=100485652600</t>
  </si>
  <si>
    <t>アイフェリーク中野</t>
  </si>
  <si>
    <t>東京都中野区丸山１</t>
  </si>
  <si>
    <t>野方駅</t>
  </si>
  <si>
    <t>https://suumo.jp/chintai/jnc_000080180080/?bc=100480367560</t>
  </si>
  <si>
    <t>ルーブル野方</t>
  </si>
  <si>
    <t>https://suumo.jp/chintai/jnc_000102725774/?bc=100483308094</t>
  </si>
  <si>
    <t>my　plan　R</t>
  </si>
  <si>
    <t>https://suumo.jp/chintai/jnc_000102725771/?bc=100482931530</t>
  </si>
  <si>
    <t>アイ中野</t>
  </si>
  <si>
    <t>https://suumo.jp/chintai/jnc_000103649670/?bc=100483270997</t>
  </si>
  <si>
    <t>パンセＡ</t>
  </si>
  <si>
    <t>東京都中野区野方４</t>
  </si>
  <si>
    <t>https://suumo.jp/chintai/jnc_000103513725/?bc=100478087113</t>
  </si>
  <si>
    <t>エスカイア高田馬場</t>
  </si>
  <si>
    <t>高田馬場駅</t>
  </si>
  <si>
    <t>https://suumo.jp/chintai/jnc_000104156216/?bc=100484529706</t>
  </si>
  <si>
    <t>グランハイツ高田馬場</t>
  </si>
  <si>
    <t>https://suumo.jp/chintai/jnc_000101395776/?bc=100464825694</t>
  </si>
  <si>
    <t>https://suumo.jp/chintai/jnc_000103198561/?bc=100474121148</t>
  </si>
  <si>
    <t>グローリオシェルト高田馬場</t>
  </si>
  <si>
    <t>https://suumo.jp/chintai/jnc_000101291922/?bc=100348528086</t>
  </si>
  <si>
    <t>テラス高田馬場</t>
  </si>
  <si>
    <t>https://suumo.jp/chintai/jnc_000104411705/?bc=100485487294</t>
  </si>
  <si>
    <t>ハーモニーレジデンス高田馬場</t>
  </si>
  <si>
    <t>東京都新宿区高田馬場２</t>
  </si>
  <si>
    <t>https://suumo.jp/chintai/jnc_000102039297/?bc=100476394381</t>
  </si>
  <si>
    <t>パルフェ・ド・ステージ</t>
  </si>
  <si>
    <t>https://suumo.jp/chintai/jnc_000102108524/?bc=100467066092</t>
  </si>
  <si>
    <t>高野荘</t>
  </si>
  <si>
    <t>https://suumo.jp/chintai/jnc_000104178858/?bc=100483580595</t>
  </si>
  <si>
    <t>ＪＲ山手線 目白駅 3階建 築47年</t>
  </si>
  <si>
    <t>https://suumo.jp/chintai/jnc_000104169961/?bc=100483750271</t>
  </si>
  <si>
    <t>ＪＲ山手線 高田馬場駅 15階建 築16年</t>
  </si>
  <si>
    <t>https://suumo.jp/chintai/jnc_000102182203/?bc=100475667881</t>
  </si>
  <si>
    <t>ＪＲ山手線 高田馬場駅 3階建 築38年</t>
  </si>
  <si>
    <t>https://suumo.jp/chintai/jnc_000103376429/?bc=100482407654</t>
  </si>
  <si>
    <t>https://suumo.jp/chintai/jnc_000102055817/?bc=100481182004</t>
  </si>
  <si>
    <t>GranDuo高田馬場クレスト</t>
  </si>
  <si>
    <t>https://suumo.jp/chintai/jnc_000102062868/?bc=100467813244</t>
  </si>
  <si>
    <t>https://suumo.jp/chintai/jnc_000104107313/?bc=100483272202</t>
  </si>
  <si>
    <t>UYO高田馬場ザレジデンス</t>
  </si>
  <si>
    <t>https://suumo.jp/chintai/jnc_000032113219/?bc=100481670830</t>
  </si>
  <si>
    <t>アリーチェ高田馬場</t>
  </si>
  <si>
    <t>https://suumo.jp/chintai/jnc_000104148224/?bc=100483308502</t>
  </si>
  <si>
    <t>https://suumo.jp/chintai/jnc_000103959530/?bc=100482378142</t>
  </si>
  <si>
    <t>ウィステリア高田馬場</t>
  </si>
  <si>
    <t>https://suumo.jp/chintai/jnc_000101402332/?bc=100473303083</t>
  </si>
  <si>
    <t>https://suumo.jp/chintai/jnc_000104303529/?bc=100485624127</t>
  </si>
  <si>
    <t>https://suumo.jp/chintai/jnc_000104138639/?bc=100485192828</t>
  </si>
  <si>
    <t>https://suumo.jp/chintai/jnc_000104525326/?bc=100474261348</t>
  </si>
  <si>
    <t>https://suumo.jp/chintai/jnc_000103385922/?bc=100482841693</t>
  </si>
  <si>
    <t>https://suumo.jp/chintai/jnc_000102364703/?bc=100471342032</t>
  </si>
  <si>
    <t>https://suumo.jp/chintai/jnc_000104138640/?bc=100483350560</t>
  </si>
  <si>
    <t>https://suumo.jp/chintai/jnc_000104531821/?bc=100486345036</t>
  </si>
  <si>
    <t>https://suumo.jp/chintai/jnc_000102783384/?bc=100483997362</t>
  </si>
  <si>
    <t>ケーオーメゾン高田馬場</t>
  </si>
  <si>
    <t>https://suumo.jp/chintai/jnc_000102783383/?bc=100475721259</t>
  </si>
  <si>
    <t>https://suumo.jp/chintai/jnc_000104196091/?bc=100483731261</t>
  </si>
  <si>
    <t>コーポ太田</t>
  </si>
  <si>
    <t>https://suumo.jp/chintai/jnc_000103903370/?bc=100486139208</t>
  </si>
  <si>
    <t>サニースポット</t>
  </si>
  <si>
    <t>https://suumo.jp/chintai/jnc_000055370400/?bc=100463453102</t>
  </si>
  <si>
    <t>https://suumo.jp/chintai/jnc_000096590571/?bc=100484024874</t>
  </si>
  <si>
    <t>https://suumo.jp/chintai/jnc_000065422479/?bc=100473983266</t>
  </si>
  <si>
    <t>https://suumo.jp/chintai/jnc_000104255994/?bc=100484984814</t>
  </si>
  <si>
    <t>サンパティオ高田馬場</t>
  </si>
  <si>
    <t>https://suumo.jp/chintai/jnc_000101329200/?bc=100478460898</t>
  </si>
  <si>
    <t>スカイコート高田馬場第２</t>
  </si>
  <si>
    <t>https://suumo.jp/chintai/jnc_000103843607/?bc=100481155489</t>
  </si>
  <si>
    <t>ドゥ・オランジュ</t>
  </si>
  <si>
    <t>https://suumo.jp/chintai/jnc_000103454069/?bc=100477631038</t>
  </si>
  <si>
    <t>ドムス・スタイル高田馬場</t>
  </si>
  <si>
    <t>https://suumo.jp/chintai/jnc_000103928521/?bc=100481840062</t>
  </si>
  <si>
    <t>https://suumo.jp/chintai/jnc_000104178856/?bc=100474307704</t>
  </si>
  <si>
    <t>ハイム白雲</t>
  </si>
  <si>
    <t>東京都新宿区高田馬場１</t>
  </si>
  <si>
    <t>https://suumo.jp/chintai/jnc_000103454073/?bc=100477743299</t>
  </si>
  <si>
    <t>バウスステージ高田馬場</t>
  </si>
  <si>
    <t>https://suumo.jp/chintai/jnc_000103238940/?bc=100482840677</t>
  </si>
  <si>
    <t>フェニックス高田馬場弐番館</t>
  </si>
  <si>
    <t>https://suumo.jp/chintai/jnc_000104326028/?bc=100486150214</t>
  </si>
  <si>
    <t>https://suumo.jp/chintai/jnc_000104363183/?bc=100483038093</t>
  </si>
  <si>
    <t>フラット新宿1</t>
  </si>
  <si>
    <t>https://suumo.jp/chintai/jnc_000103324121/?bc=100476791241</t>
  </si>
  <si>
    <t>プラムハウス</t>
  </si>
  <si>
    <t>https://suumo.jp/chintai/jnc_000067914924/?bc=100483715896</t>
  </si>
  <si>
    <t>マンションプリエール</t>
  </si>
  <si>
    <t>https://suumo.jp/chintai/jnc_000085731212/?bc=100484153957</t>
  </si>
  <si>
    <t>https://suumo.jp/chintai/jnc_000104229484/?bc=100483715921</t>
  </si>
  <si>
    <t>https://suumo.jp/chintai/jnc_000104265695/?bc=100484277280</t>
  </si>
  <si>
    <t>メゾンフジサワ(メゾンフジサワ)</t>
  </si>
  <si>
    <t>https://suumo.jp/chintai/jnc_000104363192/?bc=100485058767</t>
  </si>
  <si>
    <t>メゾン高田馬場</t>
  </si>
  <si>
    <t>https://suumo.jp/chintai/jnc_000103851228/?bc=100481330548</t>
  </si>
  <si>
    <t>ユナイテッドグロー高田馬場</t>
  </si>
  <si>
    <t>https://suumo.jp/chintai/jnc_000101204772/?bc=100460440027</t>
  </si>
  <si>
    <t>ルクレ高田馬場</t>
  </si>
  <si>
    <t>https://suumo.jp/chintai/jnc_000104107325/?bc=100486293218</t>
  </si>
  <si>
    <t>ルネサンスコート高田馬場Patria</t>
  </si>
  <si>
    <t>https://suumo.jp/chintai/jnc_000103316439/?bc=100481125357</t>
  </si>
  <si>
    <t>ルネサンスコート高田馬場Ｃａｌｍｅ</t>
  </si>
  <si>
    <t>https://suumo.jp/chintai/jnc_000103169318/?bc=100473538879</t>
  </si>
  <si>
    <t>https://suumo.jp/chintai/jnc_000103316440/?bc=100485403152</t>
  </si>
  <si>
    <t>https://suumo.jp/chintai/jnc_000104303530/?bc=100476429633</t>
  </si>
  <si>
    <t>ヴェルデュール高田馬場</t>
  </si>
  <si>
    <t>https://suumo.jp/chintai/jnc_000104096801/?bc=100482480937</t>
  </si>
  <si>
    <t>https://suumo.jp/chintai/jnc_000103294282/?bc=100476706009</t>
  </si>
  <si>
    <t>https://suumo.jp/chintai/jnc_000103987149/?bc=100475331386</t>
  </si>
  <si>
    <t>https://suumo.jp/chintai/jnc_000103294283/?bc=100476005179</t>
  </si>
  <si>
    <t>https://suumo.jp/chintai/jnc_000103727189/?bc=100485105149</t>
  </si>
  <si>
    <t>https://suumo.jp/chintai/jnc_000103294284/?bc=100478385999</t>
  </si>
  <si>
    <t>https://suumo.jp/chintai/jnc_000103891511/?bc=100481941251</t>
  </si>
  <si>
    <t>https://suumo.jp/chintai/jnc_000053059970/?bc=100478797012</t>
  </si>
  <si>
    <t>北川荘</t>
  </si>
  <si>
    <t>https://suumo.jp/chintai/jnc_000104295038/?bc=100484686326</t>
  </si>
  <si>
    <t>寿ハイツ</t>
  </si>
  <si>
    <t>https://suumo.jp/chintai/jnc_000103883457/?bc=100481358916</t>
  </si>
  <si>
    <t>戸塚ハイム</t>
  </si>
  <si>
    <t>https://suumo.jp/chintai/jnc_000104473665/?bc=100486324841</t>
  </si>
  <si>
    <t>第2青美ハイツ</t>
  </si>
  <si>
    <t>https://suumo.jp/chintai/jnc_000103198555/?bc=100475733384</t>
  </si>
  <si>
    <t>金井荘</t>
  </si>
  <si>
    <t>https://suumo.jp/chintai/jnc_000103454070/?bc=100478380424</t>
  </si>
  <si>
    <t>ＪＲ山手線 高田馬場駅 10階建 築6年</t>
  </si>
  <si>
    <t>https://suumo.jp/chintai/jnc_000103976381/?bc=100481932629</t>
  </si>
  <si>
    <t>https://suumo.jp/chintai/jnc_000104276178/?bc=100484336509</t>
  </si>
  <si>
    <t>ＪＲ山手線 高田馬場駅 12階建 築24年</t>
  </si>
  <si>
    <t>https://suumo.jp/chintai/jnc_000104310252/?bc=100476727163</t>
  </si>
  <si>
    <t>ＪＲ山手線 高田馬場駅 13階建 築10年</t>
  </si>
  <si>
    <t>https://suumo.jp/chintai/jnc_000104003340/?bc=100482133550</t>
  </si>
  <si>
    <t>https://suumo.jp/chintai/jnc_000103734414/?bc=100480146709</t>
  </si>
  <si>
    <t>https://suumo.jp/chintai/jnc_000103316443/?bc=100481067236</t>
  </si>
  <si>
    <t>https://suumo.jp/chintai/jnc_000103928522/?bc=100482224050</t>
  </si>
  <si>
    <t>https://suumo.jp/chintai/jnc_000104326024/?bc=100484742122</t>
  </si>
  <si>
    <t>https://suumo.jp/chintai/jnc_000104178861/?bc=100483750034</t>
  </si>
  <si>
    <t>https://suumo.jp/chintai/jnc_000103402592/?bc=100485498273</t>
  </si>
  <si>
    <t>https://suumo.jp/chintai/jnc_000102379472/?bc=100476618523</t>
  </si>
  <si>
    <t>https://suumo.jp/chintai/jnc_000104178862/?bc=100483536200</t>
  </si>
  <si>
    <t>https://suumo.jp/chintai/jnc_000103779707/?bc=100480258090</t>
  </si>
  <si>
    <t>ＪＲ山手線 高田馬場駅 2階建 新築</t>
  </si>
  <si>
    <t>https://suumo.jp/chintai/jnc_000104372531/?bc=100485141353</t>
  </si>
  <si>
    <t>ＪＲ山手線 高田馬場駅 2階建 築25年</t>
  </si>
  <si>
    <t>https://suumo.jp/chintai/jnc_000104316376/?bc=100485777744</t>
  </si>
  <si>
    <t>ＪＲ山手線 高田馬場駅 2階建 築34年</t>
  </si>
  <si>
    <t>https://suumo.jp/chintai/jnc_000075691645/?bc=100480566285</t>
  </si>
  <si>
    <t>ＪＲ山手線 高田馬場駅 2階建 築39年</t>
  </si>
  <si>
    <t>https://suumo.jp/chintai/jnc_000053059971/?bc=100478797079</t>
  </si>
  <si>
    <t>ＪＲ山手線 高田馬場駅 2階建 築48年</t>
  </si>
  <si>
    <t>https://suumo.jp/chintai/jnc_000104378565/?bc=100485197362</t>
  </si>
  <si>
    <t>ＪＲ山手線 高田馬場駅 3階建 築34年</t>
  </si>
  <si>
    <t>https://suumo.jp/chintai/jnc_000103459015/?bc=100480789910</t>
  </si>
  <si>
    <t>https://suumo.jp/chintai/jnc_000097912874/?bc=100483271944</t>
  </si>
  <si>
    <t>ＪＲ山手線 高田馬場駅 4階建 築21年</t>
  </si>
  <si>
    <t>https://suumo.jp/chintai/jnc_000104138637/?bc=100483274225</t>
  </si>
  <si>
    <t>ＪＲ山手線 高田馬場駅 4階建 築3年</t>
  </si>
  <si>
    <t>https://suumo.jp/chintai/jnc_000103316442/?bc=100478517893</t>
  </si>
  <si>
    <t>https://suumo.jp/chintai/jnc_000103843609/?bc=100481096918</t>
  </si>
  <si>
    <t>ＪＲ山手線 高田馬場駅 5階建 築18年</t>
  </si>
  <si>
    <t>https://suumo.jp/chintai/jnc_000104156217/?bc=100483674129</t>
  </si>
  <si>
    <t>https://suumo.jp/chintai/jnc_000104509212/?bc=100486213775</t>
  </si>
  <si>
    <t>ＪＲ山手線 高田馬場駅 5階建 築19年</t>
  </si>
  <si>
    <t>https://suumo.jp/chintai/jnc_000101180172/?bc=100475152002</t>
  </si>
  <si>
    <t>ＪＲ山手線 高田馬場駅 5階建 築6年</t>
  </si>
  <si>
    <t>https://suumo.jp/chintai/jnc_000103447306/?bc=100480789585</t>
  </si>
  <si>
    <t>ＪＲ山手線 高田馬場駅 6階建 築14年</t>
  </si>
  <si>
    <t>https://suumo.jp/chintai/jnc_000101358304/?bc=100480789839</t>
  </si>
  <si>
    <t>ＪＲ山手線 高田馬場駅 7階建 築29年</t>
  </si>
  <si>
    <t>https://suumo.jp/chintai/jnc_000103667865/?bc=100481346293</t>
  </si>
  <si>
    <t>ＪＲ山手線 高田馬場駅 地下1地上11階建 築25年</t>
  </si>
  <si>
    <t>https://suumo.jp/chintai/jnc_000104148223/?bc=100483485623</t>
  </si>
  <si>
    <t>ASTILE高田馬場</t>
  </si>
  <si>
    <t>https://suumo.jp/chintai/jnc_000098443330/?bc=100483486519</t>
  </si>
  <si>
    <t>https://suumo.jp/chintai/jnc_000102678958/?bc=100471644321</t>
  </si>
  <si>
    <t>https://suumo.jp/chintai/jnc_000102055816/?bc=100466048918</t>
  </si>
  <si>
    <t>https://suumo.jp/chintai/jnc_000104356697/?bc=100485007958</t>
  </si>
  <si>
    <t>M&amp;M</t>
  </si>
  <si>
    <t>https://suumo.jp/chintai/jnc_000103994066/?bc=100458528159</t>
  </si>
  <si>
    <t>My Style 高田馬場壱番館</t>
  </si>
  <si>
    <t>https://suumo.jp/chintai/jnc_000104202530/?bc=100483742200</t>
  </si>
  <si>
    <t>PRIME　HILLS　SHINJUKU</t>
  </si>
  <si>
    <t>https://suumo.jp/chintai/jnc_000103742523/?bc=100481544097</t>
  </si>
  <si>
    <t>WHARF　bo-on　高田馬場</t>
  </si>
  <si>
    <t>https://suumo.jp/chintai/jnc_000103643840/?bc=100481544380</t>
  </si>
  <si>
    <t>https://suumo.jp/chintai/jnc_000103643842/?bc=100480313203</t>
  </si>
  <si>
    <t>https://suumo.jp/chintai/jnc_000103643849/?bc=100481544409</t>
  </si>
  <si>
    <t>https://suumo.jp/chintai/jnc_000104076256/?bc=100482802664</t>
  </si>
  <si>
    <t>アルムヨシダ</t>
  </si>
  <si>
    <t>https://suumo.jp/chintai/jnc_000104021004/?bc=100349553004</t>
  </si>
  <si>
    <t>クロノス高田馬場</t>
  </si>
  <si>
    <t>https://suumo.jp/chintai/jnc_000100389824/?bc=100450991649</t>
  </si>
  <si>
    <t>https://suumo.jp/chintai/jnc_000103198559/?bc=100474121163</t>
  </si>
  <si>
    <t>https://suumo.jp/chintai/jnc_000103198562/?bc=100474121188</t>
  </si>
  <si>
    <t>https://suumo.jp/chintai/jnc_000103198558/?bc=100474121182</t>
  </si>
  <si>
    <t>https://suumo.jp/chintai/jnc_000103198563/?bc=100474121171</t>
  </si>
  <si>
    <t>https://suumo.jp/chintai/jnc_000103198565/?bc=100474121151</t>
  </si>
  <si>
    <t>https://suumo.jp/chintai/jnc_000103198567/?bc=100474121162</t>
  </si>
  <si>
    <t>https://suumo.jp/chintai/jnc_000103198568/?bc=100474121155</t>
  </si>
  <si>
    <t>https://suumo.jp/chintai/jnc_000103198571/?bc=100474121166</t>
  </si>
  <si>
    <t>https://suumo.jp/chintai/jnc_000103198570/?bc=100474121184</t>
  </si>
  <si>
    <t>https://suumo.jp/chintai/jnc_000103843610/?bc=100483574933</t>
  </si>
  <si>
    <t>パークシティ高田馬場</t>
  </si>
  <si>
    <t>https://suumo.jp/chintai/jnc_000103825115/?bc=100476100518</t>
  </si>
  <si>
    <t>https://suumo.jp/chintai/jnc_000103734415/?bc=100481264514</t>
  </si>
  <si>
    <t>https://suumo.jp/chintai/jnc_000103837319/?bc=100484774878</t>
  </si>
  <si>
    <t>ブランシエラおとめ山公園</t>
  </si>
  <si>
    <t>https://suumo.jp/chintai/jnc_000104473656/?bc=100475629930</t>
  </si>
  <si>
    <t>ル　マノアール</t>
  </si>
  <si>
    <t>https://suumo.jp/chintai/jnc_000104261575/?bc=100474925845</t>
  </si>
  <si>
    <t>https://suumo.jp/chintai/jnc_000102829269/?bc=100484683043</t>
  </si>
  <si>
    <t>https://suumo.jp/chintai/jnc_000103717081/?bc=100480080386</t>
  </si>
  <si>
    <t>https://suumo.jp/chintai/jnc_000103727188/?bc=100482485512</t>
  </si>
  <si>
    <t>https://suumo.jp/chintai/jnc_000101753098/?bc=100462862082</t>
  </si>
  <si>
    <t>https://suumo.jp/chintai/jnc_000103459007/?bc=100477650182</t>
  </si>
  <si>
    <t>三葉ビル</t>
  </si>
  <si>
    <t>https://suumo.jp/chintai/jnc_000103550610/?bc=100478804401</t>
  </si>
  <si>
    <t>ＡＬＥＲＯ　Ｔａｋａｄａｎｏｂａｂａ　アレーロ高田馬場</t>
  </si>
  <si>
    <t>https://suumo.jp/chintai/jnc_000103094763/?bc=100484683033</t>
  </si>
  <si>
    <t>ＪＲ山手線 高田馬場駅 10階建 築10年</t>
  </si>
  <si>
    <t>https://suumo.jp/chintai/jnc_000095595255/?bc=100484878362</t>
  </si>
  <si>
    <t>https://suumo.jp/chintai/jnc_000104398984/?bc=100485881185</t>
  </si>
  <si>
    <t>ＪＲ山手線 高田馬場駅 12階建 築57年</t>
  </si>
  <si>
    <t>https://suumo.jp/chintai/jnc_000103756334/?bc=100485923557</t>
  </si>
  <si>
    <t>https://suumo.jp/chintai/jnc_000103376427/?bc=100480923657</t>
  </si>
  <si>
    <t>https://suumo.jp/chintai/jnc_000104211349/?bc=100485065461</t>
  </si>
  <si>
    <t>https://suumo.jp/chintai/jnc_000103376426/?bc=100480923631</t>
  </si>
  <si>
    <t>https://suumo.jp/chintai/jnc_000103519525/?bc=100483287636</t>
  </si>
  <si>
    <t>https://suumo.jp/chintai/jnc_000103376430/?bc=100480923682</t>
  </si>
  <si>
    <t>https://suumo.jp/chintai/jnc_000103527001/?bc=100480923609</t>
  </si>
  <si>
    <t>https://suumo.jp/chintai/jnc_000103527002/?bc=100482407672</t>
  </si>
  <si>
    <t>https://suumo.jp/chintai/jnc_000103527004/?bc=100480923644</t>
  </si>
  <si>
    <t>https://suumo.jp/chintai/jnc_000103527003/?bc=100480923620</t>
  </si>
  <si>
    <t>https://suumo.jp/chintai/jnc_000103863953/?bc=100481249016</t>
  </si>
  <si>
    <t>https://suumo.jp/chintai/jnc_000104107328/?bc=100483143231</t>
  </si>
  <si>
    <t>https://suumo.jp/chintai/jnc_000103863954/?bc=100481249032</t>
  </si>
  <si>
    <t>https://suumo.jp/chintai/jnc_000103563259/?bc=100479251748</t>
  </si>
  <si>
    <t>https://suumo.jp/chintai/jnc_000103863955/?bc=100481362257</t>
  </si>
  <si>
    <t>https://suumo.jp/chintai/jnc_000103742515/?bc=100473556501</t>
  </si>
  <si>
    <t>Ｊｏ’ｓ　Ｒｅｓｉｄｅｎｃｅ　高田馬場</t>
  </si>
  <si>
    <t>https://suumo.jp/chintai/jnc_000103742516/?bc=100473556475</t>
  </si>
  <si>
    <t>https://suumo.jp/chintai/jnc_000103742521/?bc=100473703512</t>
  </si>
  <si>
    <t>https://suumo.jp/chintai/jnc_000103873096/?bc=100482729387</t>
  </si>
  <si>
    <t>Ｐａｌｗａｙｓ高田馬場</t>
  </si>
  <si>
    <t>https://suumo.jp/chintai/jnc_000103873097/?bc=100481360313</t>
  </si>
  <si>
    <t>https://suumo.jp/chintai/jnc_000104491576/?bc=100486067703</t>
  </si>
  <si>
    <t>ＳＹＦＯＲＭＥ　ＴＡＫＡＤＡＮＯＢＡＢＡ２</t>
  </si>
  <si>
    <t>https://suumo.jp/chintai/jnc_000104116890/?bc=100483509150</t>
  </si>
  <si>
    <t>Cozy 高田馬場</t>
  </si>
  <si>
    <t>https://suumo.jp/chintai/jnc_000104464216/?bc=100486088514</t>
  </si>
  <si>
    <t>https://suumo.jp/chintai/jnc_000103134547/?bc=100354554139</t>
  </si>
  <si>
    <t>Tレジデンス</t>
  </si>
  <si>
    <t>https://suumo.jp/chintai/jnc_000099914660/?bc=100451693741</t>
  </si>
  <si>
    <t>みらいえ高田馬場</t>
  </si>
  <si>
    <t>https://suumo.jp/chintai/jnc_000104021003/?bc=100484927499</t>
  </si>
  <si>
    <t>https://suumo.jp/chintai/jnc_000103928519/?bc=100481670833</t>
  </si>
  <si>
    <t>アドバンス高田馬場</t>
  </si>
  <si>
    <t>https://suumo.jp/chintai/jnc_000104132245/?bc=100483308216</t>
  </si>
  <si>
    <t>アビテヒデミ</t>
  </si>
  <si>
    <t>https://suumo.jp/chintai/jnc_000102611557/?bc=100471139602</t>
  </si>
  <si>
    <t>アーバンプレイス高田馬場α</t>
  </si>
  <si>
    <t>https://suumo.jp/chintai/jnc_000104069550/?bc=100483914684</t>
  </si>
  <si>
    <t>アーバンプレイス高田馬場Ｗｅｓｔ</t>
  </si>
  <si>
    <t>https://suumo.jp/chintai/jnc_000067225720/?bc=100479067817</t>
  </si>
  <si>
    <t>カーサ戸辺</t>
  </si>
  <si>
    <t>https://suumo.jp/chintai/jnc_000075464630/?bc=100288992313</t>
  </si>
  <si>
    <t>クレフ　プレステージ</t>
  </si>
  <si>
    <t>https://suumo.jp/chintai/jnc_000104211350/?bc=100472472848</t>
  </si>
  <si>
    <t>コーポアルプ</t>
  </si>
  <si>
    <t>https://suumo.jp/chintai/jnc_000104449304/?bc=100477500251</t>
  </si>
  <si>
    <t>https://suumo.jp/chintai/jnc_000102725422/?bc=100481126549</t>
  </si>
  <si>
    <t>https://suumo.jp/chintai/jnc_000103542043/?bc=100486005132</t>
  </si>
  <si>
    <t>サニーサイドヒル</t>
  </si>
  <si>
    <t>https://suumo.jp/chintai/jnc_000104458805/?bc=100486166428</t>
  </si>
  <si>
    <t>ハイシティ高田馬場</t>
  </si>
  <si>
    <t>https://suumo.jp/chintai/jnc_000104310245/?bc=100484764101</t>
  </si>
  <si>
    <t>https://suumo.jp/chintai/jnc_000103439942/?bc=100477585612</t>
  </si>
  <si>
    <t>https://suumo.jp/chintai/jnc_000104222354/?bc=100485216871</t>
  </si>
  <si>
    <t>ハーモニーテラス高田馬場</t>
  </si>
  <si>
    <t>https://suumo.jp/chintai/jnc_000104442201/?bc=100473343217</t>
  </si>
  <si>
    <t>https://suumo.jp/chintai/jnc_000103825105/?bc=100473940542</t>
  </si>
  <si>
    <t>https://suumo.jp/chintai/jnc_000104464221/?bc=100486088804</t>
  </si>
  <si>
    <t>ビクタス高田馬場</t>
  </si>
  <si>
    <t>https://suumo.jp/chintai/jnc_000104391725/?bc=100485547825</t>
  </si>
  <si>
    <t>メゾンヒルズ４２８</t>
  </si>
  <si>
    <t>https://suumo.jp/chintai/jnc_000104391726/?bc=100485316393</t>
  </si>
  <si>
    <t>https://suumo.jp/chintai/jnc_000100975170/?bc=100482112261</t>
  </si>
  <si>
    <t>ユーコート高田馬場</t>
  </si>
  <si>
    <t>https://suumo.jp/chintai/jnc_000104280016/?bc=100485546141</t>
  </si>
  <si>
    <t>https://suumo.jp/chintai/jnc_000103722913/?bc=100482875534</t>
  </si>
  <si>
    <t>https://suumo.jp/chintai/jnc_000070994419/?bc=100481913903</t>
  </si>
  <si>
    <t>レジデンス高田馬場</t>
  </si>
  <si>
    <t>https://suumo.jp/chintai/jnc_000103473412/?bc=100461778894</t>
  </si>
  <si>
    <t>大島ハイツ</t>
  </si>
  <si>
    <t>https://suumo.jp/chintai/jnc_000050501802/?bc=100471683870</t>
  </si>
  <si>
    <t>東京メトロ東西線 高田馬場駅 2階建 築14年</t>
  </si>
  <si>
    <t>https://suumo.jp/chintai/jnc_000103268894/?bc=100482930921</t>
  </si>
  <si>
    <t>東陽ビルディング</t>
  </si>
  <si>
    <t>https://suumo.jp/chintai/jnc_000102829280/?bc=100472811430</t>
  </si>
  <si>
    <t>松井アパート</t>
  </si>
  <si>
    <t>https://suumo.jp/chintai/jnc_000082069184/?bc=100333930387</t>
  </si>
  <si>
    <t>第３青美ハイツ</t>
  </si>
  <si>
    <t>https://suumo.jp/chintai/jnc_000104214964/?bc=100483864957</t>
  </si>
  <si>
    <t>鬼澤荘</t>
  </si>
  <si>
    <t>https://suumo.jp/chintai/jnc_000101737525/?bc=100462648946</t>
  </si>
  <si>
    <t>https://suumo.jp/chintai/jnc_000103402591/?bc=100477350260</t>
  </si>
  <si>
    <t>https://suumo.jp/chintai/jnc_000104076257/?bc=100483135379</t>
  </si>
  <si>
    <t>https://suumo.jp/chintai/jnc_000104437834/?bc=100486087982</t>
  </si>
  <si>
    <t>ＪＲ山手線 高田馬場駅 2階建 築14年</t>
  </si>
  <si>
    <t>https://suumo.jp/chintai/jnc_000102922319/?bc=100473496428</t>
  </si>
  <si>
    <t>ＪＲ山手線 高田馬場駅 2階建 築40年</t>
  </si>
  <si>
    <t>https://suumo.jp/chintai/jnc_000103337911/?bc=100483888606</t>
  </si>
  <si>
    <t>ＪＲ山手線 高田馬場駅 2階建 築6年</t>
  </si>
  <si>
    <t>https://suumo.jp/chintai/jnc_000104116891/?bc=100483458289</t>
  </si>
  <si>
    <t>ＪＲ山手線 高田馬場駅 2階建 築9年</t>
  </si>
  <si>
    <t>https://suumo.jp/chintai/jnc_000104464217/?bc=100486106425</t>
  </si>
  <si>
    <t>https://suumo.jp/chintai/jnc_000104378566/?bc=100485160621</t>
  </si>
  <si>
    <t>ＪＲ山手線 高田馬場駅 4階建 築40年</t>
  </si>
  <si>
    <t>https://suumo.jp/chintai/jnc_000104138638/?bc=100483612531</t>
  </si>
  <si>
    <t>ＪＲ山手線 高田馬場駅 5階建 築21年</t>
  </si>
  <si>
    <t>https://suumo.jp/chintai/jnc_000104458809/?bc=100471991522</t>
  </si>
  <si>
    <t>ＪＲ山手線 高田馬場駅 5階建 築39年</t>
  </si>
  <si>
    <t>https://suumo.jp/chintai/jnc_000104498674/?bc=100486113135</t>
  </si>
  <si>
    <t>ＪＲ山手線 高田馬場駅 5階建 築43年</t>
  </si>
  <si>
    <t>https://suumo.jp/chintai/jnc_000104363182/?bc=100485310179</t>
  </si>
  <si>
    <t>https://suumo.jp/chintai/jnc_000103439943/?bc=100478289216</t>
  </si>
  <si>
    <t>https://suumo.jp/chintai/jnc_000104116889/?bc=100483199543</t>
  </si>
  <si>
    <t>ＪＲ山手線 高田馬場駅 5階建 築46年</t>
  </si>
  <si>
    <t>https://suumo.jp/chintai/jnc_000102927956/?bc=100473703455</t>
  </si>
  <si>
    <t>https://suumo.jp/chintai/jnc_000073589653/?bc=100484194369</t>
  </si>
  <si>
    <t>Ｎ・Ｙ・ＴＯＲＴＵＧＡ(エヌ・ワイ・トルトゥーガ)</t>
  </si>
  <si>
    <t>https://suumo.jp/chintai/jnc_000104525325/?bc=100486351436</t>
  </si>
  <si>
    <t>東京メトロ東西線 高田馬場駅 地上3階建 築4年</t>
  </si>
  <si>
    <t>https://suumo.jp/chintai/jnc_000103843595/?bc=100478872473</t>
  </si>
  <si>
    <t>SYFORME　TAKADANOBABAII</t>
  </si>
  <si>
    <t>https://suumo.jp/chintai/jnc_000103599924/?bc=100474714677</t>
  </si>
  <si>
    <t>https://suumo.jp/chintai/jnc_000104526005/?bc=100484183672</t>
  </si>
  <si>
    <t>レジデンス星野</t>
  </si>
  <si>
    <t>東京都豊島区高田３</t>
  </si>
  <si>
    <t>https://suumo.jp/chintai/jnc_000072641299/?bc=100485160023</t>
  </si>
  <si>
    <t>村上コーポ　　日本人のみ</t>
  </si>
  <si>
    <t>https://suumo.jp/chintai/jnc_000103712580/?bc=100479967577</t>
  </si>
  <si>
    <t>防音部屋完備】SYFORME TAKADANOBABAII</t>
  </si>
  <si>
    <t>https://suumo.jp/chintai/jnc_000103416019/?bc=100479102199</t>
  </si>
  <si>
    <t>馬場ハウス</t>
  </si>
  <si>
    <t>https://suumo.jp/chintai/jnc_000103204674/?bc=100475904162</t>
  </si>
  <si>
    <t>高田馬場住宅</t>
  </si>
  <si>
    <t>https://suumo.jp/chintai/jnc_000103110649/?bc=100471598481</t>
  </si>
  <si>
    <t>ＪＲ山手線 高田馬場駅 3階建 築56年</t>
  </si>
  <si>
    <t>https://suumo.jp/chintai/jnc_000072950668/?bc=100462883637</t>
  </si>
  <si>
    <t>ＪＲ山手線 高田馬場駅 4階建 築48年</t>
  </si>
  <si>
    <t>https://suumo.jp/chintai/jnc_000103643843/?bc=100480313160</t>
  </si>
  <si>
    <t>https://suumo.jp/chintai/jnc_000103643847/?bc=100480313256</t>
  </si>
  <si>
    <t>https://suumo.jp/chintai/jnc_000103023776/?bc=100413684873</t>
  </si>
  <si>
    <t>https://suumo.jp/chintai/jnc_000104028821/?bc=100482378380</t>
  </si>
  <si>
    <t>SoKo PARCO</t>
  </si>
  <si>
    <t>https://suumo.jp/chintai/jnc_000104442202/?bc=100483778665</t>
  </si>
  <si>
    <t>https://suumo.jp/chintai/jnc_000104398969/?bc=100475299052</t>
  </si>
  <si>
    <t>プラウド高田馬場</t>
  </si>
  <si>
    <t>https://suumo.jp/chintai/jnc_000104509211/?bc=100486361302</t>
  </si>
  <si>
    <t>https://suumo.jp/chintai/jnc_000103976385/?bc=100484844986</t>
  </si>
  <si>
    <t>https://suumo.jp/chintai/jnc_000103756336/?bc=100481925821</t>
  </si>
  <si>
    <t>https://suumo.jp/chintai/jnc_000102792257/?bc=100477694253</t>
  </si>
  <si>
    <t>https://suumo.jp/chintai/jnc_000102792258/?bc=100475322321</t>
  </si>
  <si>
    <t>https://suumo.jp/chintai/jnc_000103078043/?bc=100458687194</t>
  </si>
  <si>
    <t>高田馬場三丁目戸建</t>
  </si>
  <si>
    <t>https://suumo.jp/chintai/jnc_000103064950/?bc=100454216025</t>
  </si>
  <si>
    <t>高田馬場戸建</t>
  </si>
  <si>
    <t>https://suumo.jp/chintai/jnc_000103057429/?bc=100455481633</t>
  </si>
  <si>
    <t>https://suumo.jp/chintai/jnc_000104518522/?bc=100486411809</t>
  </si>
  <si>
    <t>https://suumo.jp/chintai/jnc_000103987150/?bc=100484713767</t>
  </si>
  <si>
    <t>https://suumo.jp/chintai/jnc_000103756337/?bc=100482139948</t>
  </si>
  <si>
    <t>https://suumo.jp/chintai/jnc_000103742517/?bc=100473694098</t>
  </si>
  <si>
    <t>https://suumo.jp/chintai/jnc_000103742519/?bc=100473694091</t>
  </si>
  <si>
    <t>https://suumo.jp/chintai/jnc_000103742520/?bc=100473694039</t>
  </si>
  <si>
    <t>https://suumo.jp/chintai/jnc_000104432904/?bc=100486218402</t>
  </si>
  <si>
    <t>https://suumo.jp/chintai/jnc_000103324105/?bc=100477594421</t>
  </si>
  <si>
    <t>https://suumo.jp/chintai/jnc_000104295039/?bc=100484570464</t>
  </si>
  <si>
    <t>ヴェルフォーレ・W</t>
  </si>
  <si>
    <t>https://suumo.jp/chintai/jnc_000104303531/?bc=100485224985</t>
  </si>
  <si>
    <t>ＪＲ山手線 高田馬場駅 地下1地上4階建 築37年</t>
  </si>
  <si>
    <t>https://suumo.jp/chintai/jnc_000103416006/?bc=100480790588</t>
  </si>
  <si>
    <t>https://suumo.jp/chintai/jnc_000103424093/?bc=100480329436</t>
  </si>
  <si>
    <t>ＪＲ山手線 高田馬場駅 14階建 築57年</t>
  </si>
  <si>
    <t>https://suumo.jp/chintai/jnc_000104531817/?bc=100486323513</t>
  </si>
  <si>
    <t>Kolet高田馬場</t>
  </si>
  <si>
    <t>https://suumo.jp/chintai/jnc_000104442199/?bc=100479445922</t>
  </si>
  <si>
    <t>https://suumo.jp/chintai/jnc_000104442197/?bc=100458003702</t>
  </si>
  <si>
    <t>https://suumo.jp/chintai/jnc_000104442200/?bc=100479445923</t>
  </si>
  <si>
    <t>https://suumo.jp/chintai/jnc_000103825112/?bc=100483345296</t>
  </si>
  <si>
    <t>https://suumo.jp/chintai/jnc_000103825113/?bc=100475677791</t>
  </si>
  <si>
    <t>https://suumo.jp/chintai/jnc_000104425526/?bc=100485536278</t>
  </si>
  <si>
    <t>https://suumo.jp/chintai/jnc_000104125655/?bc=100483185506</t>
  </si>
  <si>
    <t>ＪＲ山手線 高田馬場駅 7階建 築1年</t>
  </si>
  <si>
    <t>https://suumo.jp/chintai/jnc_000103825119/?bc=100481024223</t>
  </si>
  <si>
    <t>https://suumo.jp/chintai/jnc_000103833400/?bc=100473644465</t>
  </si>
  <si>
    <t>https://suumo.jp/chintai/jnc_000103833401/?bc=100473694007</t>
  </si>
  <si>
    <t>https://suumo.jp/chintai/jnc_000101737526/?bc=100471404734</t>
  </si>
  <si>
    <t>下落合戸建</t>
  </si>
  <si>
    <t>https://suumo.jp/chintai/jnc_000102783380/?bc=100463911383</t>
  </si>
  <si>
    <t>千成ビル</t>
  </si>
  <si>
    <t>https://suumo.jp/chintai/jnc_000101433619/?bc=100459404301</t>
  </si>
  <si>
    <t>https://suumo.jp/chintai/jnc_000103618818/?bc=100464340465</t>
  </si>
  <si>
    <t>ＪＲ山手線 高田馬場駅 6階建 築51年</t>
  </si>
  <si>
    <t>https://suumo.jp/chintai/jnc_000102443278/?bc=100469278710</t>
  </si>
  <si>
    <t>Rental Market Overview by Station:</t>
  </si>
  <si>
    <t>Rental Market Overview by Floor Plan:</t>
  </si>
  <si>
    <t xml:space="preserve">This table summarizes the rental market by station, showing how prices and property characteristics vary by location. For each station, the number of available listings is shown </t>
  </si>
  <si>
    <t>This table summarizes the rental market by floor plan, showing how prices and property characteristics vary across different unit types.</t>
  </si>
  <si>
    <r>
      <rPr>
        <sz val="11"/>
        <color rgb="FF000000"/>
        <rFont val="Calibri"/>
        <scheme val="minor"/>
      </rPr>
      <t xml:space="preserve">and color-coded to indicate data availability: </t>
    </r>
    <r>
      <rPr>
        <b/>
        <sz val="11"/>
        <color rgb="FF000000"/>
        <rFont val="Calibri"/>
        <scheme val="minor"/>
      </rPr>
      <t>green</t>
    </r>
    <r>
      <rPr>
        <sz val="11"/>
        <color rgb="FF000000"/>
        <rFont val="Calibri"/>
        <scheme val="minor"/>
      </rPr>
      <t xml:space="preserve"> means more than 100 listings, </t>
    </r>
    <r>
      <rPr>
        <b/>
        <sz val="11"/>
        <color rgb="FF000000"/>
        <rFont val="Calibri"/>
        <scheme val="minor"/>
      </rPr>
      <t xml:space="preserve"> yellow</t>
    </r>
    <r>
      <rPr>
        <sz val="11"/>
        <color rgb="FF000000"/>
        <rFont val="Calibri"/>
        <scheme val="minor"/>
      </rPr>
      <t xml:space="preserve"> means 30-100 listings, and </t>
    </r>
    <r>
      <rPr>
        <b/>
        <sz val="11"/>
        <color rgb="FF000000"/>
        <rFont val="Calibri"/>
        <scheme val="minor"/>
      </rPr>
      <t>red</t>
    </r>
    <r>
      <rPr>
        <sz val="11"/>
        <color rgb="FF000000"/>
        <rFont val="Calibri"/>
        <scheme val="minor"/>
      </rPr>
      <t xml:space="preserve"> means fewer than 30 listings. Stations with fewer listings </t>
    </r>
  </si>
  <si>
    <t xml:space="preserve">For each floor plan, the number of available listings is shown and color-coded according to the same schema used in the table on the </t>
  </si>
  <si>
    <r>
      <t xml:space="preserve">should be interpreted with caution. The </t>
    </r>
    <r>
      <rPr>
        <b/>
        <sz val="11"/>
        <color rgb="FF000000"/>
        <rFont val="Calibri"/>
        <scheme val="minor"/>
      </rPr>
      <t>Top Floor Plan</t>
    </r>
    <r>
      <rPr>
        <sz val="11"/>
        <color rgb="FF000000"/>
        <rFont val="Calibri"/>
        <scheme val="minor"/>
      </rPr>
      <t xml:space="preserve"> column shows the most common unit type for each station, which helps when comparing prices since floor plan strongly</t>
    </r>
  </si>
  <si>
    <r>
      <t xml:space="preserve">left, indicating how common each unit type is in the market. The table also includes </t>
    </r>
    <r>
      <rPr>
        <b/>
        <sz val="11"/>
        <color rgb="FF000000"/>
        <rFont val="Calibri"/>
        <scheme val="minor"/>
      </rPr>
      <t>Median Area</t>
    </r>
    <r>
      <rPr>
        <sz val="11"/>
        <color rgb="FF000000"/>
        <rFont val="Calibri"/>
        <scheme val="minor"/>
      </rPr>
      <t xml:space="preserve"> and </t>
    </r>
    <r>
      <rPr>
        <b/>
        <sz val="11"/>
        <color rgb="FF000000"/>
        <rFont val="Calibri"/>
        <scheme val="minor"/>
      </rPr>
      <t>Area IQR</t>
    </r>
    <r>
      <rPr>
        <sz val="11"/>
        <color rgb="FF000000"/>
        <rFont val="Calibri"/>
        <scheme val="minor"/>
      </rPr>
      <t xml:space="preserve">, which describe </t>
    </r>
  </si>
  <si>
    <r>
      <rPr>
        <sz val="11"/>
        <color rgb="FF000000"/>
        <rFont val="Calibri"/>
        <scheme val="minor"/>
      </rPr>
      <t xml:space="preserve">affects rent. The table also includes </t>
    </r>
    <r>
      <rPr>
        <b/>
        <sz val="11"/>
        <color rgb="FF000000"/>
        <rFont val="Calibri"/>
        <scheme val="minor"/>
      </rPr>
      <t>Median DTS</t>
    </r>
    <r>
      <rPr>
        <sz val="11"/>
        <color rgb="FF000000"/>
        <rFont val="Calibri"/>
        <scheme val="minor"/>
      </rPr>
      <t xml:space="preserve"> (Distance to Station), </t>
    </r>
    <r>
      <rPr>
        <b/>
        <sz val="11"/>
        <color rgb="FF000000"/>
        <rFont val="Calibri"/>
        <scheme val="minor"/>
      </rPr>
      <t>Median Building Age</t>
    </r>
    <r>
      <rPr>
        <sz val="11"/>
        <color rgb="FF000000"/>
        <rFont val="Calibri"/>
        <scheme val="minor"/>
      </rPr>
      <t xml:space="preserve">, and </t>
    </r>
    <r>
      <rPr>
        <b/>
        <sz val="11"/>
        <color rgb="FF000000"/>
        <rFont val="Calibri"/>
        <scheme val="minor"/>
      </rPr>
      <t>Median Building Size</t>
    </r>
    <r>
      <rPr>
        <sz val="11"/>
        <color rgb="FF000000"/>
        <rFont val="Calibri"/>
        <scheme val="minor"/>
      </rPr>
      <t xml:space="preserve">, which describe the typical property characteristics at each </t>
    </r>
  </si>
  <si>
    <t xml:space="preserve">the typically size of properties and the range where the middle 50% of unit sizes fall, helping show typical space without being </t>
  </si>
  <si>
    <t xml:space="preserve">location. These measures help identify general trends and building conditions across stations. For example, someone looking for a newer building (e.g., less than 5 years old) can </t>
  </si>
  <si>
    <r>
      <t xml:space="preserve">affected by unusually small or large units. In addition, the table shows </t>
    </r>
    <r>
      <rPr>
        <b/>
        <sz val="11"/>
        <color rgb="FF242424"/>
        <rFont val="Calibri"/>
        <scheme val="minor"/>
      </rPr>
      <t xml:space="preserve">Median Rent </t>
    </r>
    <r>
      <rPr>
        <sz val="11"/>
        <color rgb="FF242424"/>
        <rFont val="Calibri"/>
        <scheme val="minor"/>
      </rPr>
      <t xml:space="preserve">and </t>
    </r>
    <r>
      <rPr>
        <b/>
        <sz val="11"/>
        <color rgb="FF242424"/>
        <rFont val="Calibri"/>
        <scheme val="minor"/>
      </rPr>
      <t xml:space="preserve">Rent IQR </t>
    </r>
    <r>
      <rPr>
        <sz val="11"/>
        <color rgb="FF242424"/>
        <rFont val="Calibri"/>
        <scheme val="minor"/>
      </rPr>
      <t xml:space="preserve">for each floor plan. </t>
    </r>
    <r>
      <rPr>
        <b/>
        <sz val="11"/>
        <color rgb="FF242424"/>
        <rFont val="Calibri"/>
        <scheme val="minor"/>
      </rPr>
      <t>Median Rent</t>
    </r>
  </si>
  <si>
    <r>
      <rPr>
        <sz val="11"/>
        <color rgb="FF000000"/>
        <rFont val="Calibri"/>
      </rPr>
      <t xml:space="preserve">compare the </t>
    </r>
    <r>
      <rPr>
        <b/>
        <sz val="11"/>
        <color rgb="FF000000"/>
        <rFont val="Calibri"/>
      </rPr>
      <t>Median Building Age</t>
    </r>
    <r>
      <rPr>
        <sz val="11"/>
        <color rgb="FF000000"/>
        <rFont val="Calibri"/>
      </rPr>
      <t xml:space="preserve"> values to find suitable stations. The same approach can be used to compare distance to the station or typical building size. Finally, the table</t>
    </r>
  </si>
  <si>
    <r>
      <t xml:space="preserve">represents the typical monthly rent for that unit type, while </t>
    </r>
    <r>
      <rPr>
        <b/>
        <sz val="11"/>
        <color rgb="FF000000"/>
        <rFont val="Calibri"/>
        <scheme val="minor"/>
      </rPr>
      <t>Rent IQR</t>
    </r>
    <r>
      <rPr>
        <sz val="11"/>
        <color rgb="FF000000"/>
        <rFont val="Calibri"/>
        <scheme val="minor"/>
      </rPr>
      <t xml:space="preserve"> shows the range where the middle 50% of rental prices fall, helping </t>
    </r>
  </si>
  <si>
    <r>
      <rPr>
        <sz val="11"/>
        <color rgb="FF000000"/>
        <rFont val="Calibri"/>
        <scheme val="minor"/>
      </rPr>
      <t xml:space="preserve">shows the </t>
    </r>
    <r>
      <rPr>
        <b/>
        <sz val="11"/>
        <color rgb="FF000000"/>
        <rFont val="Calibri"/>
        <scheme val="minor"/>
      </rPr>
      <t>Median Rent</t>
    </r>
    <r>
      <rPr>
        <sz val="11"/>
        <color rgb="FF000000"/>
        <rFont val="Calibri"/>
        <scheme val="minor"/>
      </rPr>
      <t xml:space="preserve"> and </t>
    </r>
    <r>
      <rPr>
        <b/>
        <sz val="11"/>
        <color rgb="FF000000"/>
        <rFont val="Calibri"/>
        <scheme val="minor"/>
      </rPr>
      <t>Rent IQR</t>
    </r>
    <r>
      <rPr>
        <sz val="11"/>
        <color rgb="FF000000"/>
        <rFont val="Calibri"/>
        <scheme val="minor"/>
      </rPr>
      <t xml:space="preserve"> for each station. The former represents the typical monthly rent for properties near that station. The latter stands for "Interquartile Range"</t>
    </r>
  </si>
  <si>
    <t xml:space="preserve">describe typical price variation without being dominated by extreme values. As previously mentioned, rent is influenced by other </t>
  </si>
  <si>
    <t>and shows the range where the middle 50% of rental prices fall, helping describe typical price variation without being affected by unusually high or low values. Because rent is</t>
  </si>
  <si>
    <t>factors outside the scope of this table, so these values should be viewed as general market trends rather than exact pricing guidelines</t>
  </si>
  <si>
    <t>influenced by many factors, such as property size and floor plan, this range should be viewed as a general overview of rental prices rather than a strict budget guideline.</t>
  </si>
  <si>
    <t># of Listings</t>
  </si>
  <si>
    <t>Median DTS</t>
  </si>
  <si>
    <t>Top Floor Plan</t>
  </si>
  <si>
    <t>Median Building Age</t>
  </si>
  <si>
    <t>Median Building Size</t>
  </si>
  <si>
    <t>Median Rent</t>
  </si>
  <si>
    <t>Rent IQR</t>
  </si>
  <si>
    <t>Median Area</t>
  </si>
  <si>
    <t>Area IQR</t>
  </si>
  <si>
    <t>Average of rent (¥)</t>
  </si>
  <si>
    <t>Grand Total</t>
  </si>
  <si>
    <t>feature</t>
  </si>
  <si>
    <t>scaled_coefficient</t>
  </si>
  <si>
    <t>scaled_feature_std</t>
  </si>
  <si>
    <t xml:space="preserve">coefficient </t>
  </si>
  <si>
    <t>reference_category</t>
  </si>
  <si>
    <t>Interpretations:</t>
  </si>
  <si>
    <t>area</t>
  </si>
  <si>
    <t>Area</t>
  </si>
  <si>
    <t>Larger units generally have higher rent. For every additional square meter (m²) of space, rent increases by about</t>
  </si>
  <si>
    <t>building_age</t>
  </si>
  <si>
    <t>(Room Size)</t>
  </si>
  <si>
    <t>¥2380, assuming all other factors stay the same. For example, a 60m² unit would be expected to cost about ¥23800</t>
  </si>
  <si>
    <t>building_size</t>
  </si>
  <si>
    <t>more per month than a similar 50m² unit.</t>
  </si>
  <si>
    <t>Building Age</t>
  </si>
  <si>
    <t>Older buildings tend to have lower rent. For each additional year of building age, rent decreases by about ¥1004, assuming</t>
  </si>
  <si>
    <t>floor_plan_1K</t>
  </si>
  <si>
    <t>everything else remains constant. This means a unit in a 20-year-old building would be expected to cost about ¥10040</t>
  </si>
  <si>
    <t>floor_plan_1LDK</t>
  </si>
  <si>
    <t>less per month than a comparable unit in a 10-year-old building.</t>
  </si>
  <si>
    <t>floor_plan_1LK</t>
  </si>
  <si>
    <t>Building Size</t>
  </si>
  <si>
    <t>Units located in taller buildings tend to rent for more. Each additional floor in a building is associated with an increae in rent</t>
  </si>
  <si>
    <t>floor_plan_1R</t>
  </si>
  <si>
    <t xml:space="preserve">(Total Number </t>
  </si>
  <si>
    <t xml:space="preserve">of about ¥2361, all else equal. For example, a unit in a 10-floor building would be expected to cost about ¥23610 more </t>
  </si>
  <si>
    <t>floor_plan_1SDK</t>
  </si>
  <si>
    <t>of Floors)</t>
  </si>
  <si>
    <t xml:space="preserve">per month than a similar unit in a 5-floor building. </t>
  </si>
  <si>
    <t>floor_plan_1SK</t>
  </si>
  <si>
    <t>Floor</t>
  </si>
  <si>
    <t xml:space="preserve">Apartments located on higher floors generally have slightly higher rent. Moving up one floor increases rent by about ¥1099 on </t>
  </si>
  <si>
    <t>floor_plan_1SLDK</t>
  </si>
  <si>
    <t>(Which Floor</t>
  </si>
  <si>
    <t xml:space="preserve">average, assuming other features are the same. For instance, a unit on the fourth floor would be expected to cost about </t>
  </si>
  <si>
    <t>floor_plan_2DK</t>
  </si>
  <si>
    <t>Unit Is On)</t>
  </si>
  <si>
    <t>¥1099 more per month than the same unit on the third floor.</t>
  </si>
  <si>
    <t>floor_plan_2K</t>
  </si>
  <si>
    <t>Floor Plan</t>
  </si>
  <si>
    <t>Different apartment layouts affect rent compared to a 1DK unit, which is used as the reference point for comparison. Smaller</t>
  </si>
  <si>
    <t>floor_plan_2LDK</t>
  </si>
  <si>
    <t>(Layout Type)</t>
  </si>
  <si>
    <t xml:space="preserve">or simpler layouts typically have lower rent, while larger or more complex layouts tend to have higher rent. For example, a 1R </t>
  </si>
  <si>
    <t>floor_plan_2SDK</t>
  </si>
  <si>
    <t xml:space="preserve">unit is expected to rent for about ¥2776 less per month than a 1DK unit, while a 2DK unit is expected to rent for about ¥1143 </t>
  </si>
  <si>
    <t>floor_plan_2SK</t>
  </si>
  <si>
    <t>more per month than a 1DK, assuming all other features remain the same.</t>
  </si>
  <si>
    <t>floor_plan_2SLDK</t>
  </si>
  <si>
    <t>floor_plan_3DK</t>
  </si>
  <si>
    <t>floor_plan_3K</t>
  </si>
  <si>
    <t>floor_plan_3LDK</t>
  </si>
  <si>
    <t>floor_plan_3SLDK</t>
  </si>
  <si>
    <t>floor_plan_4DK</t>
  </si>
  <si>
    <t>floor_plan_4K</t>
  </si>
  <si>
    <t>floor_plan_4LDK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</si>
</sst>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rgb="FF000000"/>
      <name val="Calibri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42424"/>
      <name val="Calibri"/>
      <scheme val="minor"/>
    </font>
    <font>
      <b/>
      <sz val="11"/>
      <color rgb="FF242424"/>
      <name val="Calibri"/>
      <scheme val="minor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1"/>
      <color rgb="FF242424"/>
      <name val="Consolas"/>
      <charset val="1"/>
    </font>
    <font>
      <sz val="11"/>
      <color rgb="FF000000"/>
      <name val="Calibri"/>
    </font>
    <font>
      <b/>
      <sz val="11"/>
      <color rgb="FF000000"/>
      <name val="Calibri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31">
    <xf numFmtId="0" fontId="0" fillId="0" borderId="0" xfId="0"/>
    <xf numFmtId="0" fontId="0" fillId="33" borderId="10" xfId="0" applyFill="1" applyBorder="1"/>
    <xf numFmtId="0" fontId="19" fillId="34" borderId="10" xfId="0" applyFont="1" applyFill="1" applyBorder="1"/>
    <xf numFmtId="0" fontId="14" fillId="34" borderId="10" xfId="0" applyFont="1" applyFill="1" applyBorder="1"/>
    <xf numFmtId="0" fontId="19" fillId="34" borderId="11" xfId="0" applyFont="1" applyFill="1" applyBorder="1"/>
    <xf numFmtId="0" fontId="0" fillId="33" borderId="12" xfId="0" applyFill="1" applyBorder="1"/>
    <xf numFmtId="0" fontId="19" fillId="34" borderId="13" xfId="0" applyFont="1" applyFill="1" applyBorder="1"/>
    <xf numFmtId="0" fontId="0" fillId="33" borderId="13" xfId="0" applyFill="1" applyBorder="1"/>
    <xf numFmtId="164" fontId="0" fillId="33" borderId="10" xfId="0" applyNumberFormat="1" applyFill="1" applyBorder="1"/>
    <xf numFmtId="0" fontId="14" fillId="34" borderId="11" xfId="0" applyFont="1" applyFill="1" applyBorder="1"/>
    <xf numFmtId="0" fontId="0" fillId="33" borderId="14" xfId="0" applyFill="1" applyBorder="1"/>
    <xf numFmtId="0" fontId="0" fillId="33" borderId="11" xfId="0" applyFill="1" applyBorder="1"/>
    <xf numFmtId="0" fontId="0" fillId="33" borderId="15" xfId="0" applyFill="1" applyBorder="1"/>
    <xf numFmtId="0" fontId="21" fillId="0" borderId="0" xfId="42"/>
    <xf numFmtId="0" fontId="22" fillId="34" borderId="10" xfId="0" applyFont="1" applyFill="1" applyBorder="1"/>
    <xf numFmtId="0" fontId="0" fillId="0" borderId="0" xfId="0" pivotButton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4" fillId="35" borderId="0" xfId="0" applyFont="1" applyFill="1"/>
    <xf numFmtId="0" fontId="25" fillId="35" borderId="0" xfId="0" applyFont="1" applyFill="1"/>
    <xf numFmtId="0" fontId="0" fillId="35" borderId="0" xfId="0" applyFill="1"/>
    <xf numFmtId="0" fontId="20" fillId="35" borderId="0" xfId="0" applyFont="1" applyFill="1"/>
    <xf numFmtId="0" fontId="26" fillId="35" borderId="0" xfId="0" applyFont="1" applyFill="1"/>
    <xf numFmtId="0" fontId="31" fillId="35" borderId="0" xfId="0" applyFont="1" applyFill="1"/>
    <xf numFmtId="0" fontId="0" fillId="35" borderId="0" xfId="0" applyFill="1" applyBorder="1"/>
    <xf numFmtId="0" fontId="23" fillId="35" borderId="0" xfId="0" applyFont="1" applyFill="1" applyBorder="1"/>
    <xf numFmtId="0" fontId="17" fillId="35" borderId="0" xfId="0" applyFont="1" applyFill="1" applyBorder="1"/>
    <xf numFmtId="0" fontId="1" fillId="35" borderId="0" xfId="0" applyFont="1" applyFill="1"/>
    <xf numFmtId="0" fontId="1" fillId="0" borderId="0" xfId="0" applyFont="1"/>
    <xf numFmtId="0" fontId="1" fillId="35" borderId="0" xfId="0" applyFont="1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 vs.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HOUSING_TABLE!$J$1</c:f>
              <c:strCache>
                <c:ptCount val="1"/>
                <c:pt idx="0">
                  <c:v>area ( m²)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HOUSING_TABLE!$D$2:$D$4772</c:f>
              <c:numCache>
                <c:formatCode>General</c:formatCode>
                <c:ptCount val="4771"/>
                <c:pt idx="0">
                  <c:v>110000</c:v>
                </c:pt>
                <c:pt idx="1">
                  <c:v>153000</c:v>
                </c:pt>
                <c:pt idx="2">
                  <c:v>130000</c:v>
                </c:pt>
                <c:pt idx="3">
                  <c:v>133000</c:v>
                </c:pt>
                <c:pt idx="4">
                  <c:v>73000</c:v>
                </c:pt>
                <c:pt idx="5">
                  <c:v>95000</c:v>
                </c:pt>
                <c:pt idx="6">
                  <c:v>145000</c:v>
                </c:pt>
                <c:pt idx="7">
                  <c:v>100000</c:v>
                </c:pt>
                <c:pt idx="8">
                  <c:v>108000</c:v>
                </c:pt>
                <c:pt idx="9">
                  <c:v>103000</c:v>
                </c:pt>
                <c:pt idx="10">
                  <c:v>63000</c:v>
                </c:pt>
                <c:pt idx="11">
                  <c:v>65000</c:v>
                </c:pt>
                <c:pt idx="12">
                  <c:v>160000</c:v>
                </c:pt>
                <c:pt idx="13">
                  <c:v>108000</c:v>
                </c:pt>
                <c:pt idx="14">
                  <c:v>128000</c:v>
                </c:pt>
                <c:pt idx="15">
                  <c:v>74000</c:v>
                </c:pt>
                <c:pt idx="16">
                  <c:v>99000</c:v>
                </c:pt>
                <c:pt idx="17">
                  <c:v>89000</c:v>
                </c:pt>
                <c:pt idx="18">
                  <c:v>128000</c:v>
                </c:pt>
                <c:pt idx="19">
                  <c:v>153000</c:v>
                </c:pt>
                <c:pt idx="20">
                  <c:v>63000</c:v>
                </c:pt>
                <c:pt idx="21">
                  <c:v>103000</c:v>
                </c:pt>
                <c:pt idx="22">
                  <c:v>155000</c:v>
                </c:pt>
                <c:pt idx="23">
                  <c:v>155000</c:v>
                </c:pt>
                <c:pt idx="24">
                  <c:v>155000</c:v>
                </c:pt>
                <c:pt idx="25">
                  <c:v>160000</c:v>
                </c:pt>
                <c:pt idx="26">
                  <c:v>94000</c:v>
                </c:pt>
                <c:pt idx="27">
                  <c:v>95000</c:v>
                </c:pt>
                <c:pt idx="28">
                  <c:v>110000</c:v>
                </c:pt>
                <c:pt idx="29">
                  <c:v>93000</c:v>
                </c:pt>
                <c:pt idx="30">
                  <c:v>92000</c:v>
                </c:pt>
                <c:pt idx="31">
                  <c:v>89000</c:v>
                </c:pt>
                <c:pt idx="32">
                  <c:v>90000</c:v>
                </c:pt>
                <c:pt idx="33">
                  <c:v>126000</c:v>
                </c:pt>
                <c:pt idx="34">
                  <c:v>127000</c:v>
                </c:pt>
                <c:pt idx="35">
                  <c:v>76000</c:v>
                </c:pt>
                <c:pt idx="36">
                  <c:v>143000</c:v>
                </c:pt>
                <c:pt idx="37">
                  <c:v>143000</c:v>
                </c:pt>
                <c:pt idx="38">
                  <c:v>144000</c:v>
                </c:pt>
                <c:pt idx="39">
                  <c:v>145000</c:v>
                </c:pt>
                <c:pt idx="40">
                  <c:v>145000</c:v>
                </c:pt>
                <c:pt idx="41">
                  <c:v>85000</c:v>
                </c:pt>
                <c:pt idx="42">
                  <c:v>107000</c:v>
                </c:pt>
                <c:pt idx="43">
                  <c:v>95000</c:v>
                </c:pt>
                <c:pt idx="44">
                  <c:v>80000</c:v>
                </c:pt>
                <c:pt idx="45">
                  <c:v>95500</c:v>
                </c:pt>
                <c:pt idx="46">
                  <c:v>92000</c:v>
                </c:pt>
                <c:pt idx="47">
                  <c:v>90000</c:v>
                </c:pt>
                <c:pt idx="48">
                  <c:v>107000</c:v>
                </c:pt>
                <c:pt idx="49">
                  <c:v>108000</c:v>
                </c:pt>
                <c:pt idx="50">
                  <c:v>59000</c:v>
                </c:pt>
                <c:pt idx="51">
                  <c:v>59000</c:v>
                </c:pt>
                <c:pt idx="52">
                  <c:v>60000</c:v>
                </c:pt>
                <c:pt idx="53">
                  <c:v>102000</c:v>
                </c:pt>
                <c:pt idx="54">
                  <c:v>100000</c:v>
                </c:pt>
                <c:pt idx="55">
                  <c:v>130000</c:v>
                </c:pt>
                <c:pt idx="56">
                  <c:v>116000</c:v>
                </c:pt>
                <c:pt idx="57">
                  <c:v>139000</c:v>
                </c:pt>
                <c:pt idx="58">
                  <c:v>140000</c:v>
                </c:pt>
                <c:pt idx="59">
                  <c:v>120000</c:v>
                </c:pt>
                <c:pt idx="60">
                  <c:v>141000</c:v>
                </c:pt>
                <c:pt idx="61">
                  <c:v>95000</c:v>
                </c:pt>
                <c:pt idx="62">
                  <c:v>84000</c:v>
                </c:pt>
                <c:pt idx="63">
                  <c:v>94000</c:v>
                </c:pt>
                <c:pt idx="64">
                  <c:v>88000</c:v>
                </c:pt>
                <c:pt idx="65">
                  <c:v>100000</c:v>
                </c:pt>
                <c:pt idx="66">
                  <c:v>120000</c:v>
                </c:pt>
                <c:pt idx="67">
                  <c:v>72000</c:v>
                </c:pt>
                <c:pt idx="68">
                  <c:v>84000</c:v>
                </c:pt>
                <c:pt idx="69">
                  <c:v>58000</c:v>
                </c:pt>
                <c:pt idx="70">
                  <c:v>58000</c:v>
                </c:pt>
                <c:pt idx="71">
                  <c:v>57000</c:v>
                </c:pt>
                <c:pt idx="72">
                  <c:v>88000</c:v>
                </c:pt>
                <c:pt idx="73">
                  <c:v>58000</c:v>
                </c:pt>
                <c:pt idx="74">
                  <c:v>70000</c:v>
                </c:pt>
                <c:pt idx="75">
                  <c:v>68000</c:v>
                </c:pt>
                <c:pt idx="76">
                  <c:v>75000</c:v>
                </c:pt>
                <c:pt idx="77">
                  <c:v>91000</c:v>
                </c:pt>
                <c:pt idx="78">
                  <c:v>95000</c:v>
                </c:pt>
                <c:pt idx="79">
                  <c:v>107000</c:v>
                </c:pt>
                <c:pt idx="80">
                  <c:v>125000</c:v>
                </c:pt>
                <c:pt idx="81">
                  <c:v>78000</c:v>
                </c:pt>
                <c:pt idx="82">
                  <c:v>78000</c:v>
                </c:pt>
                <c:pt idx="83">
                  <c:v>79000</c:v>
                </c:pt>
                <c:pt idx="84">
                  <c:v>67000</c:v>
                </c:pt>
                <c:pt idx="85">
                  <c:v>83000</c:v>
                </c:pt>
                <c:pt idx="86">
                  <c:v>108000</c:v>
                </c:pt>
                <c:pt idx="87">
                  <c:v>109000</c:v>
                </c:pt>
                <c:pt idx="88">
                  <c:v>110000</c:v>
                </c:pt>
                <c:pt idx="89">
                  <c:v>127000</c:v>
                </c:pt>
                <c:pt idx="90">
                  <c:v>108000</c:v>
                </c:pt>
                <c:pt idx="91">
                  <c:v>105000</c:v>
                </c:pt>
                <c:pt idx="92">
                  <c:v>122000</c:v>
                </c:pt>
                <c:pt idx="93">
                  <c:v>125000</c:v>
                </c:pt>
                <c:pt idx="94">
                  <c:v>120000</c:v>
                </c:pt>
                <c:pt idx="95">
                  <c:v>65000</c:v>
                </c:pt>
                <c:pt idx="96">
                  <c:v>83000</c:v>
                </c:pt>
                <c:pt idx="97">
                  <c:v>66000</c:v>
                </c:pt>
                <c:pt idx="98">
                  <c:v>60000</c:v>
                </c:pt>
                <c:pt idx="99">
                  <c:v>78500</c:v>
                </c:pt>
                <c:pt idx="100">
                  <c:v>80000</c:v>
                </c:pt>
                <c:pt idx="101">
                  <c:v>79500</c:v>
                </c:pt>
                <c:pt idx="102">
                  <c:v>62000</c:v>
                </c:pt>
                <c:pt idx="103">
                  <c:v>62000</c:v>
                </c:pt>
                <c:pt idx="104">
                  <c:v>80000</c:v>
                </c:pt>
                <c:pt idx="105">
                  <c:v>65000</c:v>
                </c:pt>
                <c:pt idx="106">
                  <c:v>65000</c:v>
                </c:pt>
                <c:pt idx="107">
                  <c:v>110000</c:v>
                </c:pt>
                <c:pt idx="108">
                  <c:v>118000</c:v>
                </c:pt>
                <c:pt idx="109">
                  <c:v>58000</c:v>
                </c:pt>
                <c:pt idx="110">
                  <c:v>103000</c:v>
                </c:pt>
                <c:pt idx="111">
                  <c:v>94000</c:v>
                </c:pt>
                <c:pt idx="112">
                  <c:v>84000</c:v>
                </c:pt>
                <c:pt idx="113">
                  <c:v>75000</c:v>
                </c:pt>
                <c:pt idx="114">
                  <c:v>80000</c:v>
                </c:pt>
                <c:pt idx="115">
                  <c:v>89000</c:v>
                </c:pt>
                <c:pt idx="116">
                  <c:v>90000</c:v>
                </c:pt>
                <c:pt idx="117">
                  <c:v>77000</c:v>
                </c:pt>
                <c:pt idx="118">
                  <c:v>107000</c:v>
                </c:pt>
                <c:pt idx="119">
                  <c:v>109000</c:v>
                </c:pt>
                <c:pt idx="120">
                  <c:v>84000</c:v>
                </c:pt>
                <c:pt idx="121">
                  <c:v>83000</c:v>
                </c:pt>
                <c:pt idx="122">
                  <c:v>95000</c:v>
                </c:pt>
                <c:pt idx="123">
                  <c:v>102000</c:v>
                </c:pt>
                <c:pt idx="124">
                  <c:v>105000</c:v>
                </c:pt>
                <c:pt idx="125">
                  <c:v>127000</c:v>
                </c:pt>
                <c:pt idx="126">
                  <c:v>93000</c:v>
                </c:pt>
                <c:pt idx="127">
                  <c:v>92000</c:v>
                </c:pt>
                <c:pt idx="128">
                  <c:v>94000</c:v>
                </c:pt>
                <c:pt idx="129">
                  <c:v>88000</c:v>
                </c:pt>
                <c:pt idx="130">
                  <c:v>127000</c:v>
                </c:pt>
                <c:pt idx="131">
                  <c:v>120000</c:v>
                </c:pt>
                <c:pt idx="132">
                  <c:v>78000</c:v>
                </c:pt>
                <c:pt idx="133">
                  <c:v>79000</c:v>
                </c:pt>
                <c:pt idx="134">
                  <c:v>90000</c:v>
                </c:pt>
                <c:pt idx="135">
                  <c:v>92000</c:v>
                </c:pt>
                <c:pt idx="136">
                  <c:v>125000</c:v>
                </c:pt>
                <c:pt idx="137">
                  <c:v>95500</c:v>
                </c:pt>
                <c:pt idx="138">
                  <c:v>125000</c:v>
                </c:pt>
                <c:pt idx="139">
                  <c:v>124000</c:v>
                </c:pt>
                <c:pt idx="140">
                  <c:v>95000</c:v>
                </c:pt>
                <c:pt idx="141">
                  <c:v>115000</c:v>
                </c:pt>
                <c:pt idx="142">
                  <c:v>120000</c:v>
                </c:pt>
                <c:pt idx="143">
                  <c:v>35000</c:v>
                </c:pt>
                <c:pt idx="144">
                  <c:v>105000</c:v>
                </c:pt>
                <c:pt idx="145">
                  <c:v>70000</c:v>
                </c:pt>
                <c:pt idx="146">
                  <c:v>65000</c:v>
                </c:pt>
                <c:pt idx="147">
                  <c:v>91000</c:v>
                </c:pt>
                <c:pt idx="148">
                  <c:v>58000</c:v>
                </c:pt>
                <c:pt idx="149">
                  <c:v>60000</c:v>
                </c:pt>
                <c:pt idx="150">
                  <c:v>84000</c:v>
                </c:pt>
                <c:pt idx="151">
                  <c:v>133000</c:v>
                </c:pt>
                <c:pt idx="152">
                  <c:v>144000</c:v>
                </c:pt>
                <c:pt idx="153">
                  <c:v>145000</c:v>
                </c:pt>
                <c:pt idx="154">
                  <c:v>78400</c:v>
                </c:pt>
                <c:pt idx="155">
                  <c:v>112000</c:v>
                </c:pt>
                <c:pt idx="156">
                  <c:v>108000</c:v>
                </c:pt>
                <c:pt idx="157">
                  <c:v>151000</c:v>
                </c:pt>
                <c:pt idx="158">
                  <c:v>151000</c:v>
                </c:pt>
                <c:pt idx="159">
                  <c:v>124000</c:v>
                </c:pt>
                <c:pt idx="160">
                  <c:v>125000</c:v>
                </c:pt>
                <c:pt idx="161">
                  <c:v>85000</c:v>
                </c:pt>
                <c:pt idx="162">
                  <c:v>202000</c:v>
                </c:pt>
                <c:pt idx="163">
                  <c:v>214000</c:v>
                </c:pt>
                <c:pt idx="164">
                  <c:v>122000</c:v>
                </c:pt>
                <c:pt idx="165">
                  <c:v>188000</c:v>
                </c:pt>
                <c:pt idx="166">
                  <c:v>147000</c:v>
                </c:pt>
                <c:pt idx="167">
                  <c:v>225000</c:v>
                </c:pt>
                <c:pt idx="168">
                  <c:v>165000</c:v>
                </c:pt>
                <c:pt idx="169">
                  <c:v>165000</c:v>
                </c:pt>
                <c:pt idx="170">
                  <c:v>169000</c:v>
                </c:pt>
                <c:pt idx="171">
                  <c:v>163000</c:v>
                </c:pt>
                <c:pt idx="172">
                  <c:v>165000</c:v>
                </c:pt>
                <c:pt idx="173">
                  <c:v>165000</c:v>
                </c:pt>
                <c:pt idx="174">
                  <c:v>205000</c:v>
                </c:pt>
                <c:pt idx="175">
                  <c:v>143000</c:v>
                </c:pt>
                <c:pt idx="176">
                  <c:v>150000</c:v>
                </c:pt>
                <c:pt idx="177">
                  <c:v>149000</c:v>
                </c:pt>
                <c:pt idx="178">
                  <c:v>150000</c:v>
                </c:pt>
                <c:pt idx="179">
                  <c:v>205000</c:v>
                </c:pt>
                <c:pt idx="180">
                  <c:v>142000</c:v>
                </c:pt>
                <c:pt idx="181">
                  <c:v>217000</c:v>
                </c:pt>
                <c:pt idx="182">
                  <c:v>218000</c:v>
                </c:pt>
                <c:pt idx="183">
                  <c:v>177000</c:v>
                </c:pt>
                <c:pt idx="184">
                  <c:v>177000</c:v>
                </c:pt>
                <c:pt idx="185">
                  <c:v>143000</c:v>
                </c:pt>
                <c:pt idx="186">
                  <c:v>120000</c:v>
                </c:pt>
                <c:pt idx="187">
                  <c:v>132000</c:v>
                </c:pt>
                <c:pt idx="188">
                  <c:v>210000</c:v>
                </c:pt>
                <c:pt idx="189">
                  <c:v>260000</c:v>
                </c:pt>
                <c:pt idx="190">
                  <c:v>110000</c:v>
                </c:pt>
                <c:pt idx="191">
                  <c:v>150000</c:v>
                </c:pt>
                <c:pt idx="192">
                  <c:v>144000</c:v>
                </c:pt>
                <c:pt idx="193">
                  <c:v>145000</c:v>
                </c:pt>
                <c:pt idx="194">
                  <c:v>165000</c:v>
                </c:pt>
                <c:pt idx="195">
                  <c:v>165000</c:v>
                </c:pt>
                <c:pt idx="196">
                  <c:v>152000</c:v>
                </c:pt>
                <c:pt idx="197">
                  <c:v>163000</c:v>
                </c:pt>
                <c:pt idx="198">
                  <c:v>120000</c:v>
                </c:pt>
                <c:pt idx="199">
                  <c:v>165000</c:v>
                </c:pt>
                <c:pt idx="200">
                  <c:v>152000</c:v>
                </c:pt>
                <c:pt idx="201">
                  <c:v>202000</c:v>
                </c:pt>
                <c:pt idx="202">
                  <c:v>214000</c:v>
                </c:pt>
                <c:pt idx="203">
                  <c:v>165000</c:v>
                </c:pt>
                <c:pt idx="204">
                  <c:v>165000</c:v>
                </c:pt>
                <c:pt idx="205">
                  <c:v>169000</c:v>
                </c:pt>
                <c:pt idx="206">
                  <c:v>177000</c:v>
                </c:pt>
                <c:pt idx="207">
                  <c:v>122000</c:v>
                </c:pt>
                <c:pt idx="208">
                  <c:v>150000</c:v>
                </c:pt>
                <c:pt idx="209">
                  <c:v>154000</c:v>
                </c:pt>
                <c:pt idx="210">
                  <c:v>148000</c:v>
                </c:pt>
                <c:pt idx="211">
                  <c:v>163000</c:v>
                </c:pt>
                <c:pt idx="212">
                  <c:v>165000</c:v>
                </c:pt>
                <c:pt idx="213">
                  <c:v>144000</c:v>
                </c:pt>
                <c:pt idx="214">
                  <c:v>145000</c:v>
                </c:pt>
                <c:pt idx="215">
                  <c:v>143000</c:v>
                </c:pt>
                <c:pt idx="216">
                  <c:v>163000</c:v>
                </c:pt>
                <c:pt idx="217">
                  <c:v>120000</c:v>
                </c:pt>
                <c:pt idx="218">
                  <c:v>217000</c:v>
                </c:pt>
                <c:pt idx="219">
                  <c:v>165000</c:v>
                </c:pt>
                <c:pt idx="220">
                  <c:v>205000</c:v>
                </c:pt>
                <c:pt idx="221">
                  <c:v>205000</c:v>
                </c:pt>
                <c:pt idx="222">
                  <c:v>205000</c:v>
                </c:pt>
                <c:pt idx="223">
                  <c:v>136000</c:v>
                </c:pt>
                <c:pt idx="224">
                  <c:v>205000</c:v>
                </c:pt>
                <c:pt idx="225">
                  <c:v>205000</c:v>
                </c:pt>
                <c:pt idx="226">
                  <c:v>205000</c:v>
                </c:pt>
                <c:pt idx="227">
                  <c:v>160000</c:v>
                </c:pt>
                <c:pt idx="228">
                  <c:v>150000</c:v>
                </c:pt>
                <c:pt idx="229">
                  <c:v>142000</c:v>
                </c:pt>
                <c:pt idx="230">
                  <c:v>149000</c:v>
                </c:pt>
                <c:pt idx="231">
                  <c:v>148000</c:v>
                </c:pt>
                <c:pt idx="232">
                  <c:v>100000</c:v>
                </c:pt>
                <c:pt idx="233">
                  <c:v>100000</c:v>
                </c:pt>
                <c:pt idx="234">
                  <c:v>68000</c:v>
                </c:pt>
                <c:pt idx="235">
                  <c:v>58000</c:v>
                </c:pt>
                <c:pt idx="236">
                  <c:v>80000</c:v>
                </c:pt>
                <c:pt idx="237">
                  <c:v>113000</c:v>
                </c:pt>
                <c:pt idx="238">
                  <c:v>65000</c:v>
                </c:pt>
                <c:pt idx="239">
                  <c:v>71000</c:v>
                </c:pt>
                <c:pt idx="240">
                  <c:v>66000</c:v>
                </c:pt>
                <c:pt idx="241">
                  <c:v>50000</c:v>
                </c:pt>
                <c:pt idx="242">
                  <c:v>74000</c:v>
                </c:pt>
                <c:pt idx="243">
                  <c:v>54000</c:v>
                </c:pt>
                <c:pt idx="244">
                  <c:v>64000</c:v>
                </c:pt>
                <c:pt idx="245">
                  <c:v>67000</c:v>
                </c:pt>
                <c:pt idx="246">
                  <c:v>68000</c:v>
                </c:pt>
                <c:pt idx="247">
                  <c:v>82000</c:v>
                </c:pt>
                <c:pt idx="248">
                  <c:v>67900</c:v>
                </c:pt>
                <c:pt idx="249">
                  <c:v>68000</c:v>
                </c:pt>
                <c:pt idx="250">
                  <c:v>104000</c:v>
                </c:pt>
                <c:pt idx="251">
                  <c:v>69000</c:v>
                </c:pt>
                <c:pt idx="252">
                  <c:v>59500</c:v>
                </c:pt>
                <c:pt idx="253">
                  <c:v>64000</c:v>
                </c:pt>
                <c:pt idx="254">
                  <c:v>88000</c:v>
                </c:pt>
                <c:pt idx="255">
                  <c:v>125000</c:v>
                </c:pt>
                <c:pt idx="256">
                  <c:v>104000</c:v>
                </c:pt>
                <c:pt idx="257">
                  <c:v>90000</c:v>
                </c:pt>
                <c:pt idx="258">
                  <c:v>104000</c:v>
                </c:pt>
                <c:pt idx="259">
                  <c:v>74000</c:v>
                </c:pt>
                <c:pt idx="260">
                  <c:v>60000</c:v>
                </c:pt>
                <c:pt idx="261">
                  <c:v>53000</c:v>
                </c:pt>
                <c:pt idx="262">
                  <c:v>60000</c:v>
                </c:pt>
                <c:pt idx="263">
                  <c:v>105000</c:v>
                </c:pt>
                <c:pt idx="264">
                  <c:v>64000</c:v>
                </c:pt>
                <c:pt idx="265">
                  <c:v>64000</c:v>
                </c:pt>
                <c:pt idx="266">
                  <c:v>72000</c:v>
                </c:pt>
                <c:pt idx="267">
                  <c:v>42000</c:v>
                </c:pt>
                <c:pt idx="268">
                  <c:v>56000</c:v>
                </c:pt>
                <c:pt idx="269">
                  <c:v>55000</c:v>
                </c:pt>
                <c:pt idx="270">
                  <c:v>50000</c:v>
                </c:pt>
                <c:pt idx="271">
                  <c:v>55000</c:v>
                </c:pt>
                <c:pt idx="272">
                  <c:v>108000</c:v>
                </c:pt>
                <c:pt idx="273">
                  <c:v>109000</c:v>
                </c:pt>
                <c:pt idx="274">
                  <c:v>59500</c:v>
                </c:pt>
                <c:pt idx="275">
                  <c:v>64000</c:v>
                </c:pt>
                <c:pt idx="276">
                  <c:v>64000</c:v>
                </c:pt>
                <c:pt idx="277">
                  <c:v>67000</c:v>
                </c:pt>
                <c:pt idx="278">
                  <c:v>88000</c:v>
                </c:pt>
                <c:pt idx="279">
                  <c:v>65000</c:v>
                </c:pt>
                <c:pt idx="280">
                  <c:v>55000</c:v>
                </c:pt>
                <c:pt idx="281">
                  <c:v>55000</c:v>
                </c:pt>
                <c:pt idx="282">
                  <c:v>50000</c:v>
                </c:pt>
                <c:pt idx="283">
                  <c:v>65000</c:v>
                </c:pt>
                <c:pt idx="284">
                  <c:v>75000</c:v>
                </c:pt>
                <c:pt idx="285">
                  <c:v>80000</c:v>
                </c:pt>
                <c:pt idx="286">
                  <c:v>82000</c:v>
                </c:pt>
                <c:pt idx="287">
                  <c:v>178000</c:v>
                </c:pt>
                <c:pt idx="288">
                  <c:v>68000</c:v>
                </c:pt>
                <c:pt idx="289">
                  <c:v>103000</c:v>
                </c:pt>
                <c:pt idx="290">
                  <c:v>70000</c:v>
                </c:pt>
                <c:pt idx="291">
                  <c:v>104000</c:v>
                </c:pt>
                <c:pt idx="292">
                  <c:v>65000</c:v>
                </c:pt>
                <c:pt idx="293">
                  <c:v>178000</c:v>
                </c:pt>
                <c:pt idx="294">
                  <c:v>195000</c:v>
                </c:pt>
                <c:pt idx="295">
                  <c:v>75000</c:v>
                </c:pt>
                <c:pt idx="296">
                  <c:v>68000</c:v>
                </c:pt>
                <c:pt idx="297">
                  <c:v>70000</c:v>
                </c:pt>
                <c:pt idx="298">
                  <c:v>71000</c:v>
                </c:pt>
                <c:pt idx="299">
                  <c:v>66000</c:v>
                </c:pt>
                <c:pt idx="300">
                  <c:v>149000</c:v>
                </c:pt>
                <c:pt idx="301">
                  <c:v>60000</c:v>
                </c:pt>
                <c:pt idx="302">
                  <c:v>149000</c:v>
                </c:pt>
                <c:pt idx="303">
                  <c:v>59000</c:v>
                </c:pt>
                <c:pt idx="304">
                  <c:v>59000</c:v>
                </c:pt>
                <c:pt idx="305">
                  <c:v>70000</c:v>
                </c:pt>
                <c:pt idx="306">
                  <c:v>108000</c:v>
                </c:pt>
                <c:pt idx="307">
                  <c:v>109000</c:v>
                </c:pt>
                <c:pt idx="308">
                  <c:v>118000</c:v>
                </c:pt>
                <c:pt idx="309">
                  <c:v>246000</c:v>
                </c:pt>
                <c:pt idx="310">
                  <c:v>246000</c:v>
                </c:pt>
                <c:pt idx="311">
                  <c:v>130000</c:v>
                </c:pt>
                <c:pt idx="312">
                  <c:v>153000</c:v>
                </c:pt>
                <c:pt idx="313">
                  <c:v>185000</c:v>
                </c:pt>
                <c:pt idx="314">
                  <c:v>144000</c:v>
                </c:pt>
                <c:pt idx="315">
                  <c:v>99000</c:v>
                </c:pt>
                <c:pt idx="316">
                  <c:v>120000</c:v>
                </c:pt>
                <c:pt idx="317">
                  <c:v>235000</c:v>
                </c:pt>
                <c:pt idx="318">
                  <c:v>205000</c:v>
                </c:pt>
                <c:pt idx="319">
                  <c:v>235000</c:v>
                </c:pt>
                <c:pt idx="320">
                  <c:v>115000</c:v>
                </c:pt>
                <c:pt idx="321">
                  <c:v>120000</c:v>
                </c:pt>
                <c:pt idx="322">
                  <c:v>100000</c:v>
                </c:pt>
                <c:pt idx="323">
                  <c:v>150000</c:v>
                </c:pt>
                <c:pt idx="324">
                  <c:v>115000</c:v>
                </c:pt>
                <c:pt idx="325">
                  <c:v>115000</c:v>
                </c:pt>
                <c:pt idx="326">
                  <c:v>120000</c:v>
                </c:pt>
                <c:pt idx="327">
                  <c:v>250000</c:v>
                </c:pt>
                <c:pt idx="328">
                  <c:v>252000</c:v>
                </c:pt>
                <c:pt idx="329">
                  <c:v>258000</c:v>
                </c:pt>
                <c:pt idx="330">
                  <c:v>266000</c:v>
                </c:pt>
                <c:pt idx="331">
                  <c:v>265000</c:v>
                </c:pt>
                <c:pt idx="332">
                  <c:v>261000</c:v>
                </c:pt>
                <c:pt idx="333">
                  <c:v>267000</c:v>
                </c:pt>
                <c:pt idx="334">
                  <c:v>238000</c:v>
                </c:pt>
                <c:pt idx="335">
                  <c:v>292000</c:v>
                </c:pt>
                <c:pt idx="336">
                  <c:v>240000</c:v>
                </c:pt>
                <c:pt idx="337">
                  <c:v>280000</c:v>
                </c:pt>
                <c:pt idx="338">
                  <c:v>175000</c:v>
                </c:pt>
                <c:pt idx="339">
                  <c:v>195000</c:v>
                </c:pt>
                <c:pt idx="340">
                  <c:v>214000</c:v>
                </c:pt>
                <c:pt idx="341">
                  <c:v>214000</c:v>
                </c:pt>
                <c:pt idx="342">
                  <c:v>214000</c:v>
                </c:pt>
                <c:pt idx="343">
                  <c:v>210000</c:v>
                </c:pt>
                <c:pt idx="344">
                  <c:v>230000</c:v>
                </c:pt>
                <c:pt idx="345">
                  <c:v>222000</c:v>
                </c:pt>
                <c:pt idx="346">
                  <c:v>245000</c:v>
                </c:pt>
                <c:pt idx="347">
                  <c:v>173000</c:v>
                </c:pt>
                <c:pt idx="348">
                  <c:v>267000</c:v>
                </c:pt>
                <c:pt idx="349">
                  <c:v>238000</c:v>
                </c:pt>
                <c:pt idx="350">
                  <c:v>210000</c:v>
                </c:pt>
                <c:pt idx="351">
                  <c:v>211000</c:v>
                </c:pt>
                <c:pt idx="352">
                  <c:v>240000</c:v>
                </c:pt>
                <c:pt idx="353">
                  <c:v>130000</c:v>
                </c:pt>
                <c:pt idx="354">
                  <c:v>138000</c:v>
                </c:pt>
                <c:pt idx="355">
                  <c:v>138000</c:v>
                </c:pt>
                <c:pt idx="356">
                  <c:v>138000</c:v>
                </c:pt>
                <c:pt idx="357">
                  <c:v>248000</c:v>
                </c:pt>
                <c:pt idx="358">
                  <c:v>248000</c:v>
                </c:pt>
                <c:pt idx="359">
                  <c:v>248000</c:v>
                </c:pt>
                <c:pt idx="360">
                  <c:v>220000</c:v>
                </c:pt>
                <c:pt idx="361">
                  <c:v>235000</c:v>
                </c:pt>
                <c:pt idx="362">
                  <c:v>240000</c:v>
                </c:pt>
                <c:pt idx="363">
                  <c:v>250000</c:v>
                </c:pt>
                <c:pt idx="364">
                  <c:v>235000</c:v>
                </c:pt>
                <c:pt idx="365">
                  <c:v>240000</c:v>
                </c:pt>
                <c:pt idx="366">
                  <c:v>250000</c:v>
                </c:pt>
                <c:pt idx="367">
                  <c:v>145000</c:v>
                </c:pt>
                <c:pt idx="368">
                  <c:v>145000</c:v>
                </c:pt>
                <c:pt idx="369">
                  <c:v>212000</c:v>
                </c:pt>
                <c:pt idx="370">
                  <c:v>214000</c:v>
                </c:pt>
                <c:pt idx="371">
                  <c:v>214000</c:v>
                </c:pt>
                <c:pt idx="372">
                  <c:v>242000</c:v>
                </c:pt>
                <c:pt idx="373">
                  <c:v>242000</c:v>
                </c:pt>
                <c:pt idx="374">
                  <c:v>200000</c:v>
                </c:pt>
                <c:pt idx="375">
                  <c:v>200000</c:v>
                </c:pt>
                <c:pt idx="376">
                  <c:v>278000</c:v>
                </c:pt>
                <c:pt idx="377">
                  <c:v>281000</c:v>
                </c:pt>
                <c:pt idx="378">
                  <c:v>430000</c:v>
                </c:pt>
                <c:pt idx="379">
                  <c:v>430000</c:v>
                </c:pt>
                <c:pt idx="380">
                  <c:v>320000</c:v>
                </c:pt>
                <c:pt idx="381">
                  <c:v>320000</c:v>
                </c:pt>
                <c:pt idx="382">
                  <c:v>320000</c:v>
                </c:pt>
                <c:pt idx="383">
                  <c:v>320000</c:v>
                </c:pt>
                <c:pt idx="384">
                  <c:v>320000</c:v>
                </c:pt>
                <c:pt idx="385">
                  <c:v>320000</c:v>
                </c:pt>
                <c:pt idx="386">
                  <c:v>214000</c:v>
                </c:pt>
                <c:pt idx="387">
                  <c:v>214000</c:v>
                </c:pt>
                <c:pt idx="388">
                  <c:v>210000</c:v>
                </c:pt>
                <c:pt idx="389">
                  <c:v>211000</c:v>
                </c:pt>
                <c:pt idx="390">
                  <c:v>211000</c:v>
                </c:pt>
                <c:pt idx="391">
                  <c:v>214000</c:v>
                </c:pt>
                <c:pt idx="392">
                  <c:v>214000</c:v>
                </c:pt>
                <c:pt idx="393">
                  <c:v>215000</c:v>
                </c:pt>
                <c:pt idx="394">
                  <c:v>380000</c:v>
                </c:pt>
                <c:pt idx="395">
                  <c:v>380000</c:v>
                </c:pt>
                <c:pt idx="396">
                  <c:v>214000</c:v>
                </c:pt>
                <c:pt idx="397">
                  <c:v>200000</c:v>
                </c:pt>
                <c:pt idx="398">
                  <c:v>200000</c:v>
                </c:pt>
                <c:pt idx="399">
                  <c:v>380000</c:v>
                </c:pt>
                <c:pt idx="400">
                  <c:v>380000</c:v>
                </c:pt>
                <c:pt idx="401">
                  <c:v>380000</c:v>
                </c:pt>
                <c:pt idx="402">
                  <c:v>108000</c:v>
                </c:pt>
                <c:pt idx="403">
                  <c:v>137000</c:v>
                </c:pt>
                <c:pt idx="404">
                  <c:v>130000</c:v>
                </c:pt>
                <c:pt idx="405">
                  <c:v>138000</c:v>
                </c:pt>
                <c:pt idx="406">
                  <c:v>110000</c:v>
                </c:pt>
                <c:pt idx="407">
                  <c:v>122000</c:v>
                </c:pt>
                <c:pt idx="408">
                  <c:v>125000</c:v>
                </c:pt>
                <c:pt idx="409">
                  <c:v>106000</c:v>
                </c:pt>
                <c:pt idx="410">
                  <c:v>145000</c:v>
                </c:pt>
                <c:pt idx="411">
                  <c:v>148000</c:v>
                </c:pt>
                <c:pt idx="412">
                  <c:v>99000</c:v>
                </c:pt>
                <c:pt idx="413">
                  <c:v>85000</c:v>
                </c:pt>
                <c:pt idx="414">
                  <c:v>132000</c:v>
                </c:pt>
                <c:pt idx="415">
                  <c:v>106000</c:v>
                </c:pt>
                <c:pt idx="416">
                  <c:v>99000</c:v>
                </c:pt>
                <c:pt idx="417">
                  <c:v>145000</c:v>
                </c:pt>
                <c:pt idx="418">
                  <c:v>148000</c:v>
                </c:pt>
                <c:pt idx="419">
                  <c:v>108000</c:v>
                </c:pt>
                <c:pt idx="420">
                  <c:v>85000</c:v>
                </c:pt>
                <c:pt idx="421">
                  <c:v>137000</c:v>
                </c:pt>
                <c:pt idx="422">
                  <c:v>123000</c:v>
                </c:pt>
                <c:pt idx="423">
                  <c:v>137000</c:v>
                </c:pt>
                <c:pt idx="424">
                  <c:v>130000</c:v>
                </c:pt>
                <c:pt idx="425">
                  <c:v>138000</c:v>
                </c:pt>
                <c:pt idx="426">
                  <c:v>125000</c:v>
                </c:pt>
                <c:pt idx="427">
                  <c:v>130000</c:v>
                </c:pt>
                <c:pt idx="428">
                  <c:v>115000</c:v>
                </c:pt>
                <c:pt idx="429">
                  <c:v>124000</c:v>
                </c:pt>
                <c:pt idx="430">
                  <c:v>108000</c:v>
                </c:pt>
                <c:pt idx="431">
                  <c:v>124000</c:v>
                </c:pt>
                <c:pt idx="432">
                  <c:v>130000</c:v>
                </c:pt>
                <c:pt idx="433">
                  <c:v>136000</c:v>
                </c:pt>
                <c:pt idx="434">
                  <c:v>153000</c:v>
                </c:pt>
                <c:pt idx="435">
                  <c:v>86000</c:v>
                </c:pt>
                <c:pt idx="436">
                  <c:v>100000</c:v>
                </c:pt>
                <c:pt idx="437">
                  <c:v>100000</c:v>
                </c:pt>
                <c:pt idx="438">
                  <c:v>101000</c:v>
                </c:pt>
                <c:pt idx="439">
                  <c:v>63000</c:v>
                </c:pt>
                <c:pt idx="440">
                  <c:v>102000</c:v>
                </c:pt>
                <c:pt idx="441">
                  <c:v>92000</c:v>
                </c:pt>
                <c:pt idx="442">
                  <c:v>90000</c:v>
                </c:pt>
                <c:pt idx="443">
                  <c:v>70000</c:v>
                </c:pt>
                <c:pt idx="444">
                  <c:v>75000</c:v>
                </c:pt>
                <c:pt idx="445">
                  <c:v>76000</c:v>
                </c:pt>
                <c:pt idx="446">
                  <c:v>77000</c:v>
                </c:pt>
                <c:pt idx="447">
                  <c:v>58000</c:v>
                </c:pt>
                <c:pt idx="448">
                  <c:v>56000</c:v>
                </c:pt>
                <c:pt idx="449">
                  <c:v>56000</c:v>
                </c:pt>
                <c:pt idx="450">
                  <c:v>60000</c:v>
                </c:pt>
                <c:pt idx="451">
                  <c:v>60000</c:v>
                </c:pt>
                <c:pt idx="452">
                  <c:v>65000</c:v>
                </c:pt>
                <c:pt idx="453">
                  <c:v>65000</c:v>
                </c:pt>
                <c:pt idx="454">
                  <c:v>54000</c:v>
                </c:pt>
                <c:pt idx="455">
                  <c:v>107800</c:v>
                </c:pt>
                <c:pt idx="456">
                  <c:v>108800</c:v>
                </c:pt>
                <c:pt idx="457">
                  <c:v>108699.999999999</c:v>
                </c:pt>
                <c:pt idx="458">
                  <c:v>109300</c:v>
                </c:pt>
                <c:pt idx="459">
                  <c:v>77000</c:v>
                </c:pt>
                <c:pt idx="460">
                  <c:v>78000</c:v>
                </c:pt>
                <c:pt idx="461">
                  <c:v>75000</c:v>
                </c:pt>
                <c:pt idx="462">
                  <c:v>78000</c:v>
                </c:pt>
                <c:pt idx="463">
                  <c:v>79000</c:v>
                </c:pt>
                <c:pt idx="464">
                  <c:v>92000</c:v>
                </c:pt>
                <c:pt idx="465">
                  <c:v>88000</c:v>
                </c:pt>
                <c:pt idx="466">
                  <c:v>117000</c:v>
                </c:pt>
                <c:pt idx="467">
                  <c:v>137000</c:v>
                </c:pt>
                <c:pt idx="468">
                  <c:v>135000</c:v>
                </c:pt>
                <c:pt idx="469">
                  <c:v>75000</c:v>
                </c:pt>
                <c:pt idx="470">
                  <c:v>63000</c:v>
                </c:pt>
                <c:pt idx="471">
                  <c:v>82000</c:v>
                </c:pt>
                <c:pt idx="472">
                  <c:v>86000</c:v>
                </c:pt>
                <c:pt idx="473">
                  <c:v>93000</c:v>
                </c:pt>
                <c:pt idx="474">
                  <c:v>79000</c:v>
                </c:pt>
                <c:pt idx="475">
                  <c:v>75000</c:v>
                </c:pt>
                <c:pt idx="476">
                  <c:v>76000</c:v>
                </c:pt>
                <c:pt idx="477">
                  <c:v>80500</c:v>
                </c:pt>
                <c:pt idx="478">
                  <c:v>92000</c:v>
                </c:pt>
                <c:pt idx="479">
                  <c:v>99000</c:v>
                </c:pt>
                <c:pt idx="480">
                  <c:v>63000</c:v>
                </c:pt>
                <c:pt idx="481">
                  <c:v>72000</c:v>
                </c:pt>
                <c:pt idx="482">
                  <c:v>76000</c:v>
                </c:pt>
                <c:pt idx="483">
                  <c:v>73000</c:v>
                </c:pt>
                <c:pt idx="484">
                  <c:v>107000</c:v>
                </c:pt>
                <c:pt idx="485">
                  <c:v>105000</c:v>
                </c:pt>
                <c:pt idx="486">
                  <c:v>110000</c:v>
                </c:pt>
                <c:pt idx="487">
                  <c:v>97000</c:v>
                </c:pt>
                <c:pt idx="488">
                  <c:v>67000</c:v>
                </c:pt>
                <c:pt idx="489">
                  <c:v>85000</c:v>
                </c:pt>
                <c:pt idx="490">
                  <c:v>82000</c:v>
                </c:pt>
                <c:pt idx="491">
                  <c:v>106000</c:v>
                </c:pt>
                <c:pt idx="492">
                  <c:v>108000</c:v>
                </c:pt>
                <c:pt idx="493">
                  <c:v>108000</c:v>
                </c:pt>
                <c:pt idx="494">
                  <c:v>111000</c:v>
                </c:pt>
                <c:pt idx="495">
                  <c:v>112000</c:v>
                </c:pt>
                <c:pt idx="496">
                  <c:v>109000</c:v>
                </c:pt>
                <c:pt idx="497">
                  <c:v>110000</c:v>
                </c:pt>
                <c:pt idx="498">
                  <c:v>59000</c:v>
                </c:pt>
                <c:pt idx="499">
                  <c:v>57000</c:v>
                </c:pt>
                <c:pt idx="500">
                  <c:v>55000</c:v>
                </c:pt>
                <c:pt idx="501">
                  <c:v>60000</c:v>
                </c:pt>
                <c:pt idx="502">
                  <c:v>34000</c:v>
                </c:pt>
                <c:pt idx="503">
                  <c:v>59000</c:v>
                </c:pt>
                <c:pt idx="504">
                  <c:v>82000</c:v>
                </c:pt>
                <c:pt idx="505">
                  <c:v>125000</c:v>
                </c:pt>
                <c:pt idx="506">
                  <c:v>77000</c:v>
                </c:pt>
                <c:pt idx="507">
                  <c:v>75000</c:v>
                </c:pt>
                <c:pt idx="508">
                  <c:v>78000</c:v>
                </c:pt>
                <c:pt idx="509">
                  <c:v>79000</c:v>
                </c:pt>
                <c:pt idx="510">
                  <c:v>58000</c:v>
                </c:pt>
                <c:pt idx="511">
                  <c:v>86000</c:v>
                </c:pt>
                <c:pt idx="512">
                  <c:v>67500</c:v>
                </c:pt>
                <c:pt idx="513">
                  <c:v>59000</c:v>
                </c:pt>
                <c:pt idx="514">
                  <c:v>65000</c:v>
                </c:pt>
                <c:pt idx="515">
                  <c:v>55000</c:v>
                </c:pt>
                <c:pt idx="516">
                  <c:v>75000</c:v>
                </c:pt>
                <c:pt idx="517">
                  <c:v>65000</c:v>
                </c:pt>
                <c:pt idx="518">
                  <c:v>65000</c:v>
                </c:pt>
                <c:pt idx="519">
                  <c:v>86000</c:v>
                </c:pt>
                <c:pt idx="520">
                  <c:v>34000</c:v>
                </c:pt>
                <c:pt idx="521">
                  <c:v>76000</c:v>
                </c:pt>
                <c:pt idx="522">
                  <c:v>63000</c:v>
                </c:pt>
                <c:pt idx="523">
                  <c:v>85000</c:v>
                </c:pt>
                <c:pt idx="524">
                  <c:v>108000</c:v>
                </c:pt>
                <c:pt idx="525">
                  <c:v>110000</c:v>
                </c:pt>
                <c:pt idx="526">
                  <c:v>99000</c:v>
                </c:pt>
                <c:pt idx="527">
                  <c:v>73000</c:v>
                </c:pt>
                <c:pt idx="528">
                  <c:v>70000</c:v>
                </c:pt>
                <c:pt idx="529">
                  <c:v>77000</c:v>
                </c:pt>
                <c:pt idx="530">
                  <c:v>106000</c:v>
                </c:pt>
                <c:pt idx="531">
                  <c:v>108000</c:v>
                </c:pt>
                <c:pt idx="532">
                  <c:v>92000</c:v>
                </c:pt>
                <c:pt idx="533">
                  <c:v>90000</c:v>
                </c:pt>
                <c:pt idx="534">
                  <c:v>79000</c:v>
                </c:pt>
                <c:pt idx="535">
                  <c:v>77000</c:v>
                </c:pt>
                <c:pt idx="536">
                  <c:v>108000</c:v>
                </c:pt>
                <c:pt idx="537">
                  <c:v>140000</c:v>
                </c:pt>
                <c:pt idx="538">
                  <c:v>96000</c:v>
                </c:pt>
                <c:pt idx="539">
                  <c:v>106000</c:v>
                </c:pt>
                <c:pt idx="540">
                  <c:v>108800</c:v>
                </c:pt>
                <c:pt idx="541">
                  <c:v>100000</c:v>
                </c:pt>
                <c:pt idx="542">
                  <c:v>100000</c:v>
                </c:pt>
                <c:pt idx="543">
                  <c:v>100000</c:v>
                </c:pt>
                <c:pt idx="544">
                  <c:v>100000</c:v>
                </c:pt>
                <c:pt idx="545">
                  <c:v>106000</c:v>
                </c:pt>
                <c:pt idx="546">
                  <c:v>110000</c:v>
                </c:pt>
                <c:pt idx="547">
                  <c:v>110000</c:v>
                </c:pt>
                <c:pt idx="548">
                  <c:v>75000</c:v>
                </c:pt>
                <c:pt idx="549">
                  <c:v>86000</c:v>
                </c:pt>
                <c:pt idx="550">
                  <c:v>122000</c:v>
                </c:pt>
                <c:pt idx="551">
                  <c:v>60000</c:v>
                </c:pt>
                <c:pt idx="552">
                  <c:v>107000</c:v>
                </c:pt>
                <c:pt idx="553">
                  <c:v>109000</c:v>
                </c:pt>
                <c:pt idx="554">
                  <c:v>100000</c:v>
                </c:pt>
                <c:pt idx="555">
                  <c:v>87000</c:v>
                </c:pt>
                <c:pt idx="556">
                  <c:v>108000</c:v>
                </c:pt>
                <c:pt idx="557">
                  <c:v>108000</c:v>
                </c:pt>
                <c:pt idx="558">
                  <c:v>140000</c:v>
                </c:pt>
                <c:pt idx="559">
                  <c:v>75000</c:v>
                </c:pt>
                <c:pt idx="560">
                  <c:v>162000</c:v>
                </c:pt>
                <c:pt idx="561">
                  <c:v>163000</c:v>
                </c:pt>
                <c:pt idx="562">
                  <c:v>189000</c:v>
                </c:pt>
                <c:pt idx="563">
                  <c:v>196000</c:v>
                </c:pt>
                <c:pt idx="564">
                  <c:v>145000</c:v>
                </c:pt>
                <c:pt idx="565">
                  <c:v>165000</c:v>
                </c:pt>
                <c:pt idx="566">
                  <c:v>160000</c:v>
                </c:pt>
                <c:pt idx="567">
                  <c:v>157000</c:v>
                </c:pt>
                <c:pt idx="568">
                  <c:v>146000</c:v>
                </c:pt>
                <c:pt idx="569">
                  <c:v>166000</c:v>
                </c:pt>
                <c:pt idx="570">
                  <c:v>135000</c:v>
                </c:pt>
                <c:pt idx="571">
                  <c:v>189000</c:v>
                </c:pt>
                <c:pt idx="572">
                  <c:v>196000</c:v>
                </c:pt>
                <c:pt idx="573">
                  <c:v>170000</c:v>
                </c:pt>
                <c:pt idx="574">
                  <c:v>163000</c:v>
                </c:pt>
                <c:pt idx="575">
                  <c:v>145000</c:v>
                </c:pt>
                <c:pt idx="576">
                  <c:v>160000</c:v>
                </c:pt>
                <c:pt idx="577">
                  <c:v>158000</c:v>
                </c:pt>
                <c:pt idx="578">
                  <c:v>170000</c:v>
                </c:pt>
                <c:pt idx="579">
                  <c:v>203000</c:v>
                </c:pt>
                <c:pt idx="580">
                  <c:v>129000</c:v>
                </c:pt>
                <c:pt idx="581">
                  <c:v>44000</c:v>
                </c:pt>
                <c:pt idx="582">
                  <c:v>46000</c:v>
                </c:pt>
                <c:pt idx="583">
                  <c:v>44000</c:v>
                </c:pt>
                <c:pt idx="584">
                  <c:v>78000</c:v>
                </c:pt>
                <c:pt idx="585">
                  <c:v>78000</c:v>
                </c:pt>
                <c:pt idx="586">
                  <c:v>78000</c:v>
                </c:pt>
                <c:pt idx="587">
                  <c:v>78000</c:v>
                </c:pt>
                <c:pt idx="588">
                  <c:v>76000</c:v>
                </c:pt>
                <c:pt idx="589">
                  <c:v>66000</c:v>
                </c:pt>
                <c:pt idx="590">
                  <c:v>97000</c:v>
                </c:pt>
                <c:pt idx="591">
                  <c:v>97000</c:v>
                </c:pt>
                <c:pt idx="592">
                  <c:v>63000</c:v>
                </c:pt>
                <c:pt idx="593">
                  <c:v>62000</c:v>
                </c:pt>
                <c:pt idx="594">
                  <c:v>65000</c:v>
                </c:pt>
                <c:pt idx="595">
                  <c:v>65000</c:v>
                </c:pt>
                <c:pt idx="596">
                  <c:v>65000</c:v>
                </c:pt>
                <c:pt idx="597">
                  <c:v>64000</c:v>
                </c:pt>
                <c:pt idx="598">
                  <c:v>77000</c:v>
                </c:pt>
                <c:pt idx="599">
                  <c:v>82000</c:v>
                </c:pt>
                <c:pt idx="600">
                  <c:v>62000</c:v>
                </c:pt>
                <c:pt idx="601">
                  <c:v>65000</c:v>
                </c:pt>
                <c:pt idx="602">
                  <c:v>65000</c:v>
                </c:pt>
                <c:pt idx="603">
                  <c:v>64000</c:v>
                </c:pt>
                <c:pt idx="604">
                  <c:v>67000</c:v>
                </c:pt>
                <c:pt idx="605">
                  <c:v>80000</c:v>
                </c:pt>
                <c:pt idx="606">
                  <c:v>73000</c:v>
                </c:pt>
                <c:pt idx="607">
                  <c:v>77000</c:v>
                </c:pt>
                <c:pt idx="608">
                  <c:v>84000</c:v>
                </c:pt>
                <c:pt idx="609">
                  <c:v>48000</c:v>
                </c:pt>
                <c:pt idx="610">
                  <c:v>55000</c:v>
                </c:pt>
                <c:pt idx="611">
                  <c:v>45000</c:v>
                </c:pt>
                <c:pt idx="612">
                  <c:v>53000</c:v>
                </c:pt>
                <c:pt idx="613">
                  <c:v>53000</c:v>
                </c:pt>
                <c:pt idx="614">
                  <c:v>57000</c:v>
                </c:pt>
                <c:pt idx="615">
                  <c:v>57000</c:v>
                </c:pt>
                <c:pt idx="616">
                  <c:v>86000</c:v>
                </c:pt>
                <c:pt idx="617">
                  <c:v>59000</c:v>
                </c:pt>
                <c:pt idx="618">
                  <c:v>65000</c:v>
                </c:pt>
                <c:pt idx="619">
                  <c:v>70000</c:v>
                </c:pt>
                <c:pt idx="620">
                  <c:v>72000</c:v>
                </c:pt>
                <c:pt idx="621">
                  <c:v>52000</c:v>
                </c:pt>
                <c:pt idx="622">
                  <c:v>69000</c:v>
                </c:pt>
                <c:pt idx="623">
                  <c:v>96000</c:v>
                </c:pt>
                <c:pt idx="624">
                  <c:v>100000</c:v>
                </c:pt>
                <c:pt idx="625">
                  <c:v>92000</c:v>
                </c:pt>
                <c:pt idx="626">
                  <c:v>66000</c:v>
                </c:pt>
                <c:pt idx="627">
                  <c:v>62000</c:v>
                </c:pt>
                <c:pt idx="628">
                  <c:v>58000</c:v>
                </c:pt>
                <c:pt idx="629">
                  <c:v>80000</c:v>
                </c:pt>
                <c:pt idx="630">
                  <c:v>75000</c:v>
                </c:pt>
                <c:pt idx="631">
                  <c:v>73000</c:v>
                </c:pt>
                <c:pt idx="632">
                  <c:v>59000</c:v>
                </c:pt>
                <c:pt idx="633">
                  <c:v>80000</c:v>
                </c:pt>
                <c:pt idx="634">
                  <c:v>64000</c:v>
                </c:pt>
                <c:pt idx="635">
                  <c:v>63000</c:v>
                </c:pt>
                <c:pt idx="636">
                  <c:v>58000</c:v>
                </c:pt>
                <c:pt idx="637">
                  <c:v>67000</c:v>
                </c:pt>
                <c:pt idx="638">
                  <c:v>69000</c:v>
                </c:pt>
                <c:pt idx="639">
                  <c:v>78000</c:v>
                </c:pt>
                <c:pt idx="640">
                  <c:v>49000</c:v>
                </c:pt>
                <c:pt idx="641">
                  <c:v>77000</c:v>
                </c:pt>
                <c:pt idx="642">
                  <c:v>69000</c:v>
                </c:pt>
                <c:pt idx="643">
                  <c:v>77000</c:v>
                </c:pt>
                <c:pt idx="644">
                  <c:v>57000</c:v>
                </c:pt>
                <c:pt idx="645">
                  <c:v>55000</c:v>
                </c:pt>
                <c:pt idx="646">
                  <c:v>59000</c:v>
                </c:pt>
                <c:pt idx="647">
                  <c:v>60000</c:v>
                </c:pt>
                <c:pt idx="648">
                  <c:v>64000</c:v>
                </c:pt>
                <c:pt idx="649">
                  <c:v>80000</c:v>
                </c:pt>
                <c:pt idx="650">
                  <c:v>58000</c:v>
                </c:pt>
                <c:pt idx="651">
                  <c:v>62000</c:v>
                </c:pt>
                <c:pt idx="652">
                  <c:v>77000</c:v>
                </c:pt>
                <c:pt idx="653">
                  <c:v>69000</c:v>
                </c:pt>
                <c:pt idx="654">
                  <c:v>52000</c:v>
                </c:pt>
                <c:pt idx="655">
                  <c:v>69000</c:v>
                </c:pt>
                <c:pt idx="656">
                  <c:v>70000</c:v>
                </c:pt>
                <c:pt idx="657">
                  <c:v>65000</c:v>
                </c:pt>
                <c:pt idx="658">
                  <c:v>104000</c:v>
                </c:pt>
                <c:pt idx="659">
                  <c:v>124000</c:v>
                </c:pt>
                <c:pt idx="660">
                  <c:v>130000</c:v>
                </c:pt>
                <c:pt idx="661">
                  <c:v>86000</c:v>
                </c:pt>
                <c:pt idx="662">
                  <c:v>80000</c:v>
                </c:pt>
                <c:pt idx="663">
                  <c:v>57000</c:v>
                </c:pt>
                <c:pt idx="664">
                  <c:v>57000</c:v>
                </c:pt>
                <c:pt idx="665">
                  <c:v>66000</c:v>
                </c:pt>
                <c:pt idx="666">
                  <c:v>84000</c:v>
                </c:pt>
                <c:pt idx="667">
                  <c:v>96000</c:v>
                </c:pt>
                <c:pt idx="668">
                  <c:v>100000</c:v>
                </c:pt>
                <c:pt idx="669">
                  <c:v>92000</c:v>
                </c:pt>
                <c:pt idx="670">
                  <c:v>44000</c:v>
                </c:pt>
                <c:pt idx="671">
                  <c:v>46000</c:v>
                </c:pt>
                <c:pt idx="672">
                  <c:v>44000</c:v>
                </c:pt>
                <c:pt idx="673">
                  <c:v>78000</c:v>
                </c:pt>
                <c:pt idx="674">
                  <c:v>78000</c:v>
                </c:pt>
                <c:pt idx="675">
                  <c:v>76000</c:v>
                </c:pt>
                <c:pt idx="676">
                  <c:v>78000</c:v>
                </c:pt>
                <c:pt idx="677">
                  <c:v>78000</c:v>
                </c:pt>
                <c:pt idx="678">
                  <c:v>87000</c:v>
                </c:pt>
                <c:pt idx="679">
                  <c:v>89000</c:v>
                </c:pt>
                <c:pt idx="680">
                  <c:v>65000</c:v>
                </c:pt>
                <c:pt idx="681">
                  <c:v>91000</c:v>
                </c:pt>
                <c:pt idx="682">
                  <c:v>89000</c:v>
                </c:pt>
                <c:pt idx="683">
                  <c:v>87000</c:v>
                </c:pt>
                <c:pt idx="684">
                  <c:v>90000</c:v>
                </c:pt>
                <c:pt idx="685">
                  <c:v>295000</c:v>
                </c:pt>
                <c:pt idx="686">
                  <c:v>175000</c:v>
                </c:pt>
                <c:pt idx="687">
                  <c:v>175000</c:v>
                </c:pt>
                <c:pt idx="688">
                  <c:v>104000</c:v>
                </c:pt>
                <c:pt idx="689">
                  <c:v>155000</c:v>
                </c:pt>
                <c:pt idx="690">
                  <c:v>150000</c:v>
                </c:pt>
                <c:pt idx="691">
                  <c:v>122000</c:v>
                </c:pt>
                <c:pt idx="692">
                  <c:v>87000</c:v>
                </c:pt>
                <c:pt idx="693">
                  <c:v>110000</c:v>
                </c:pt>
                <c:pt idx="694">
                  <c:v>125000</c:v>
                </c:pt>
                <c:pt idx="695">
                  <c:v>240000</c:v>
                </c:pt>
                <c:pt idx="696">
                  <c:v>240000</c:v>
                </c:pt>
                <c:pt idx="697">
                  <c:v>240000</c:v>
                </c:pt>
                <c:pt idx="698">
                  <c:v>243000</c:v>
                </c:pt>
                <c:pt idx="699">
                  <c:v>243000</c:v>
                </c:pt>
                <c:pt idx="700">
                  <c:v>243000</c:v>
                </c:pt>
                <c:pt idx="701">
                  <c:v>245000</c:v>
                </c:pt>
                <c:pt idx="702">
                  <c:v>245000</c:v>
                </c:pt>
                <c:pt idx="703">
                  <c:v>245000</c:v>
                </c:pt>
                <c:pt idx="704">
                  <c:v>255000</c:v>
                </c:pt>
                <c:pt idx="705">
                  <c:v>255000</c:v>
                </c:pt>
                <c:pt idx="706">
                  <c:v>255000</c:v>
                </c:pt>
                <c:pt idx="707">
                  <c:v>260000</c:v>
                </c:pt>
                <c:pt idx="708">
                  <c:v>280000</c:v>
                </c:pt>
                <c:pt idx="709">
                  <c:v>210000</c:v>
                </c:pt>
                <c:pt idx="710">
                  <c:v>152000</c:v>
                </c:pt>
                <c:pt idx="711">
                  <c:v>132000</c:v>
                </c:pt>
                <c:pt idx="712">
                  <c:v>236000</c:v>
                </c:pt>
                <c:pt idx="713">
                  <c:v>222000</c:v>
                </c:pt>
                <c:pt idx="714">
                  <c:v>280000</c:v>
                </c:pt>
                <c:pt idx="715">
                  <c:v>165000</c:v>
                </c:pt>
                <c:pt idx="716">
                  <c:v>195000</c:v>
                </c:pt>
                <c:pt idx="717">
                  <c:v>148000</c:v>
                </c:pt>
                <c:pt idx="718">
                  <c:v>148000</c:v>
                </c:pt>
                <c:pt idx="719">
                  <c:v>226000</c:v>
                </c:pt>
                <c:pt idx="720">
                  <c:v>290000</c:v>
                </c:pt>
                <c:pt idx="721">
                  <c:v>290000</c:v>
                </c:pt>
                <c:pt idx="722">
                  <c:v>290000</c:v>
                </c:pt>
                <c:pt idx="723">
                  <c:v>300000</c:v>
                </c:pt>
                <c:pt idx="724">
                  <c:v>300000</c:v>
                </c:pt>
                <c:pt idx="725">
                  <c:v>300000</c:v>
                </c:pt>
                <c:pt idx="726">
                  <c:v>280000</c:v>
                </c:pt>
                <c:pt idx="727">
                  <c:v>295000</c:v>
                </c:pt>
                <c:pt idx="728">
                  <c:v>315000</c:v>
                </c:pt>
                <c:pt idx="729">
                  <c:v>210000</c:v>
                </c:pt>
                <c:pt idx="730">
                  <c:v>210000</c:v>
                </c:pt>
                <c:pt idx="731">
                  <c:v>230000</c:v>
                </c:pt>
                <c:pt idx="732">
                  <c:v>230000</c:v>
                </c:pt>
                <c:pt idx="733">
                  <c:v>278000</c:v>
                </c:pt>
                <c:pt idx="734">
                  <c:v>278000</c:v>
                </c:pt>
                <c:pt idx="735">
                  <c:v>278000</c:v>
                </c:pt>
                <c:pt idx="736">
                  <c:v>226000</c:v>
                </c:pt>
                <c:pt idx="737">
                  <c:v>146000</c:v>
                </c:pt>
                <c:pt idx="738">
                  <c:v>146000</c:v>
                </c:pt>
                <c:pt idx="739">
                  <c:v>118000</c:v>
                </c:pt>
                <c:pt idx="740">
                  <c:v>97000</c:v>
                </c:pt>
                <c:pt idx="741">
                  <c:v>117000</c:v>
                </c:pt>
                <c:pt idx="742">
                  <c:v>89000</c:v>
                </c:pt>
                <c:pt idx="743">
                  <c:v>98000</c:v>
                </c:pt>
                <c:pt idx="744">
                  <c:v>80000</c:v>
                </c:pt>
                <c:pt idx="745">
                  <c:v>97000</c:v>
                </c:pt>
                <c:pt idx="746">
                  <c:v>80000</c:v>
                </c:pt>
                <c:pt idx="747">
                  <c:v>83000</c:v>
                </c:pt>
                <c:pt idx="748">
                  <c:v>118000</c:v>
                </c:pt>
                <c:pt idx="749">
                  <c:v>117000</c:v>
                </c:pt>
                <c:pt idx="750">
                  <c:v>89000</c:v>
                </c:pt>
                <c:pt idx="751">
                  <c:v>98000</c:v>
                </c:pt>
                <c:pt idx="752">
                  <c:v>220000</c:v>
                </c:pt>
                <c:pt idx="753">
                  <c:v>164000</c:v>
                </c:pt>
                <c:pt idx="754">
                  <c:v>200000</c:v>
                </c:pt>
                <c:pt idx="755">
                  <c:v>177000</c:v>
                </c:pt>
                <c:pt idx="756">
                  <c:v>177000</c:v>
                </c:pt>
                <c:pt idx="757">
                  <c:v>165000</c:v>
                </c:pt>
                <c:pt idx="758">
                  <c:v>56000</c:v>
                </c:pt>
                <c:pt idx="759">
                  <c:v>64000</c:v>
                </c:pt>
                <c:pt idx="760">
                  <c:v>74000</c:v>
                </c:pt>
                <c:pt idx="761">
                  <c:v>66000</c:v>
                </c:pt>
                <c:pt idx="762">
                  <c:v>115000</c:v>
                </c:pt>
                <c:pt idx="763">
                  <c:v>74000</c:v>
                </c:pt>
                <c:pt idx="764">
                  <c:v>66000</c:v>
                </c:pt>
                <c:pt idx="765">
                  <c:v>150000</c:v>
                </c:pt>
                <c:pt idx="766">
                  <c:v>150000</c:v>
                </c:pt>
                <c:pt idx="767">
                  <c:v>155000</c:v>
                </c:pt>
                <c:pt idx="768">
                  <c:v>225000</c:v>
                </c:pt>
                <c:pt idx="769">
                  <c:v>270000</c:v>
                </c:pt>
                <c:pt idx="770">
                  <c:v>151000</c:v>
                </c:pt>
                <c:pt idx="771">
                  <c:v>146000</c:v>
                </c:pt>
                <c:pt idx="772">
                  <c:v>152000</c:v>
                </c:pt>
                <c:pt idx="773">
                  <c:v>146000</c:v>
                </c:pt>
                <c:pt idx="774">
                  <c:v>152000</c:v>
                </c:pt>
                <c:pt idx="775">
                  <c:v>125000</c:v>
                </c:pt>
                <c:pt idx="776">
                  <c:v>169000</c:v>
                </c:pt>
                <c:pt idx="777">
                  <c:v>92000</c:v>
                </c:pt>
                <c:pt idx="778">
                  <c:v>169000</c:v>
                </c:pt>
                <c:pt idx="779">
                  <c:v>151000</c:v>
                </c:pt>
                <c:pt idx="780">
                  <c:v>142000</c:v>
                </c:pt>
                <c:pt idx="781">
                  <c:v>152000</c:v>
                </c:pt>
                <c:pt idx="782">
                  <c:v>92000</c:v>
                </c:pt>
                <c:pt idx="783">
                  <c:v>125000</c:v>
                </c:pt>
                <c:pt idx="784">
                  <c:v>133000</c:v>
                </c:pt>
                <c:pt idx="785">
                  <c:v>160000</c:v>
                </c:pt>
                <c:pt idx="786">
                  <c:v>88000</c:v>
                </c:pt>
                <c:pt idx="787">
                  <c:v>167000</c:v>
                </c:pt>
                <c:pt idx="788">
                  <c:v>150000</c:v>
                </c:pt>
                <c:pt idx="789">
                  <c:v>85000</c:v>
                </c:pt>
                <c:pt idx="790">
                  <c:v>125000</c:v>
                </c:pt>
                <c:pt idx="791">
                  <c:v>110000</c:v>
                </c:pt>
                <c:pt idx="792">
                  <c:v>132000</c:v>
                </c:pt>
                <c:pt idx="793">
                  <c:v>125000</c:v>
                </c:pt>
                <c:pt idx="794">
                  <c:v>148000</c:v>
                </c:pt>
                <c:pt idx="795">
                  <c:v>36000</c:v>
                </c:pt>
                <c:pt idx="796">
                  <c:v>86000</c:v>
                </c:pt>
                <c:pt idx="797">
                  <c:v>130000</c:v>
                </c:pt>
                <c:pt idx="798">
                  <c:v>82000</c:v>
                </c:pt>
                <c:pt idx="799">
                  <c:v>82000</c:v>
                </c:pt>
                <c:pt idx="800">
                  <c:v>121000</c:v>
                </c:pt>
                <c:pt idx="801">
                  <c:v>73000</c:v>
                </c:pt>
                <c:pt idx="802">
                  <c:v>92000</c:v>
                </c:pt>
                <c:pt idx="803">
                  <c:v>74000</c:v>
                </c:pt>
                <c:pt idx="804">
                  <c:v>78000</c:v>
                </c:pt>
                <c:pt idx="805">
                  <c:v>102000</c:v>
                </c:pt>
                <c:pt idx="806">
                  <c:v>84000</c:v>
                </c:pt>
                <c:pt idx="807">
                  <c:v>84000</c:v>
                </c:pt>
                <c:pt idx="808">
                  <c:v>65000</c:v>
                </c:pt>
                <c:pt idx="809">
                  <c:v>70000</c:v>
                </c:pt>
                <c:pt idx="810">
                  <c:v>58000</c:v>
                </c:pt>
                <c:pt idx="811">
                  <c:v>146000</c:v>
                </c:pt>
                <c:pt idx="812">
                  <c:v>151000</c:v>
                </c:pt>
                <c:pt idx="813">
                  <c:v>147000</c:v>
                </c:pt>
                <c:pt idx="814">
                  <c:v>152000</c:v>
                </c:pt>
                <c:pt idx="815">
                  <c:v>148000</c:v>
                </c:pt>
                <c:pt idx="816">
                  <c:v>153000</c:v>
                </c:pt>
                <c:pt idx="817">
                  <c:v>148000</c:v>
                </c:pt>
                <c:pt idx="818">
                  <c:v>153000</c:v>
                </c:pt>
                <c:pt idx="819">
                  <c:v>115000</c:v>
                </c:pt>
                <c:pt idx="820">
                  <c:v>77000</c:v>
                </c:pt>
                <c:pt idx="821">
                  <c:v>76000</c:v>
                </c:pt>
                <c:pt idx="822">
                  <c:v>69000</c:v>
                </c:pt>
                <c:pt idx="823">
                  <c:v>87000</c:v>
                </c:pt>
                <c:pt idx="824">
                  <c:v>126000</c:v>
                </c:pt>
                <c:pt idx="825">
                  <c:v>100000</c:v>
                </c:pt>
                <c:pt idx="826">
                  <c:v>133000</c:v>
                </c:pt>
                <c:pt idx="827">
                  <c:v>100000</c:v>
                </c:pt>
                <c:pt idx="828">
                  <c:v>110000</c:v>
                </c:pt>
                <c:pt idx="829">
                  <c:v>130000</c:v>
                </c:pt>
                <c:pt idx="830">
                  <c:v>53000</c:v>
                </c:pt>
                <c:pt idx="831">
                  <c:v>65000</c:v>
                </c:pt>
                <c:pt idx="832">
                  <c:v>52000</c:v>
                </c:pt>
                <c:pt idx="833">
                  <c:v>93000</c:v>
                </c:pt>
                <c:pt idx="834">
                  <c:v>95000</c:v>
                </c:pt>
                <c:pt idx="835">
                  <c:v>64000</c:v>
                </c:pt>
                <c:pt idx="836">
                  <c:v>126000</c:v>
                </c:pt>
                <c:pt idx="837">
                  <c:v>130000</c:v>
                </c:pt>
                <c:pt idx="838">
                  <c:v>115000</c:v>
                </c:pt>
                <c:pt idx="839">
                  <c:v>119000</c:v>
                </c:pt>
                <c:pt idx="840">
                  <c:v>107000</c:v>
                </c:pt>
                <c:pt idx="841">
                  <c:v>110000</c:v>
                </c:pt>
                <c:pt idx="842">
                  <c:v>64000</c:v>
                </c:pt>
                <c:pt idx="843">
                  <c:v>52000</c:v>
                </c:pt>
                <c:pt idx="844">
                  <c:v>36000</c:v>
                </c:pt>
                <c:pt idx="845">
                  <c:v>82000</c:v>
                </c:pt>
                <c:pt idx="846">
                  <c:v>93000</c:v>
                </c:pt>
                <c:pt idx="847">
                  <c:v>95000</c:v>
                </c:pt>
                <c:pt idx="848">
                  <c:v>82000</c:v>
                </c:pt>
                <c:pt idx="849">
                  <c:v>85000</c:v>
                </c:pt>
                <c:pt idx="850">
                  <c:v>85000</c:v>
                </c:pt>
                <c:pt idx="851">
                  <c:v>86000</c:v>
                </c:pt>
                <c:pt idx="852">
                  <c:v>130000</c:v>
                </c:pt>
                <c:pt idx="853">
                  <c:v>79000</c:v>
                </c:pt>
                <c:pt idx="854">
                  <c:v>97000</c:v>
                </c:pt>
                <c:pt idx="855">
                  <c:v>92000</c:v>
                </c:pt>
                <c:pt idx="856">
                  <c:v>78000</c:v>
                </c:pt>
                <c:pt idx="857">
                  <c:v>61000</c:v>
                </c:pt>
                <c:pt idx="858">
                  <c:v>93000</c:v>
                </c:pt>
                <c:pt idx="859">
                  <c:v>146000</c:v>
                </c:pt>
                <c:pt idx="860">
                  <c:v>147000</c:v>
                </c:pt>
                <c:pt idx="861">
                  <c:v>152000</c:v>
                </c:pt>
                <c:pt idx="862">
                  <c:v>148000</c:v>
                </c:pt>
                <c:pt idx="863">
                  <c:v>148000</c:v>
                </c:pt>
                <c:pt idx="864">
                  <c:v>160000</c:v>
                </c:pt>
                <c:pt idx="865">
                  <c:v>125000</c:v>
                </c:pt>
                <c:pt idx="866">
                  <c:v>148000</c:v>
                </c:pt>
                <c:pt idx="867">
                  <c:v>143000</c:v>
                </c:pt>
                <c:pt idx="868">
                  <c:v>133000</c:v>
                </c:pt>
                <c:pt idx="869">
                  <c:v>132000</c:v>
                </c:pt>
                <c:pt idx="870">
                  <c:v>134000</c:v>
                </c:pt>
                <c:pt idx="871">
                  <c:v>152000</c:v>
                </c:pt>
                <c:pt idx="872">
                  <c:v>69000</c:v>
                </c:pt>
                <c:pt idx="873">
                  <c:v>125000</c:v>
                </c:pt>
                <c:pt idx="874">
                  <c:v>74000</c:v>
                </c:pt>
                <c:pt idx="875">
                  <c:v>62000</c:v>
                </c:pt>
                <c:pt idx="876">
                  <c:v>121000</c:v>
                </c:pt>
                <c:pt idx="877">
                  <c:v>147000</c:v>
                </c:pt>
                <c:pt idx="878">
                  <c:v>152000</c:v>
                </c:pt>
                <c:pt idx="879">
                  <c:v>130000</c:v>
                </c:pt>
                <c:pt idx="880">
                  <c:v>195000</c:v>
                </c:pt>
                <c:pt idx="881">
                  <c:v>192000</c:v>
                </c:pt>
                <c:pt idx="882">
                  <c:v>200000</c:v>
                </c:pt>
                <c:pt idx="883">
                  <c:v>194000</c:v>
                </c:pt>
                <c:pt idx="884">
                  <c:v>126000</c:v>
                </c:pt>
                <c:pt idx="885">
                  <c:v>149000</c:v>
                </c:pt>
                <c:pt idx="886">
                  <c:v>140000</c:v>
                </c:pt>
                <c:pt idx="887">
                  <c:v>155000</c:v>
                </c:pt>
                <c:pt idx="888">
                  <c:v>189000</c:v>
                </c:pt>
                <c:pt idx="889">
                  <c:v>188000</c:v>
                </c:pt>
                <c:pt idx="890">
                  <c:v>194000</c:v>
                </c:pt>
                <c:pt idx="891">
                  <c:v>172000</c:v>
                </c:pt>
                <c:pt idx="892">
                  <c:v>88000</c:v>
                </c:pt>
                <c:pt idx="893">
                  <c:v>190000</c:v>
                </c:pt>
                <c:pt idx="894">
                  <c:v>160000</c:v>
                </c:pt>
                <c:pt idx="895">
                  <c:v>200000</c:v>
                </c:pt>
                <c:pt idx="896">
                  <c:v>165000</c:v>
                </c:pt>
                <c:pt idx="897">
                  <c:v>205000</c:v>
                </c:pt>
                <c:pt idx="898">
                  <c:v>210000</c:v>
                </c:pt>
                <c:pt idx="899">
                  <c:v>150000</c:v>
                </c:pt>
                <c:pt idx="900">
                  <c:v>130000</c:v>
                </c:pt>
                <c:pt idx="901">
                  <c:v>133000</c:v>
                </c:pt>
                <c:pt idx="902">
                  <c:v>153000</c:v>
                </c:pt>
                <c:pt idx="903">
                  <c:v>170000</c:v>
                </c:pt>
                <c:pt idx="904">
                  <c:v>227000</c:v>
                </c:pt>
                <c:pt idx="905">
                  <c:v>168000</c:v>
                </c:pt>
                <c:pt idx="906">
                  <c:v>253000</c:v>
                </c:pt>
                <c:pt idx="907">
                  <c:v>248000</c:v>
                </c:pt>
                <c:pt idx="908">
                  <c:v>131000</c:v>
                </c:pt>
                <c:pt idx="909">
                  <c:v>160000</c:v>
                </c:pt>
                <c:pt idx="910">
                  <c:v>180000</c:v>
                </c:pt>
                <c:pt idx="911">
                  <c:v>168000</c:v>
                </c:pt>
                <c:pt idx="912">
                  <c:v>218000</c:v>
                </c:pt>
                <c:pt idx="913">
                  <c:v>137000</c:v>
                </c:pt>
                <c:pt idx="914">
                  <c:v>188000</c:v>
                </c:pt>
                <c:pt idx="915">
                  <c:v>194000</c:v>
                </c:pt>
                <c:pt idx="916">
                  <c:v>181000</c:v>
                </c:pt>
                <c:pt idx="917">
                  <c:v>130000</c:v>
                </c:pt>
                <c:pt idx="918">
                  <c:v>160000</c:v>
                </c:pt>
                <c:pt idx="919">
                  <c:v>180000</c:v>
                </c:pt>
                <c:pt idx="920">
                  <c:v>192000</c:v>
                </c:pt>
                <c:pt idx="921">
                  <c:v>200000</c:v>
                </c:pt>
                <c:pt idx="922">
                  <c:v>194000</c:v>
                </c:pt>
                <c:pt idx="923">
                  <c:v>126000</c:v>
                </c:pt>
                <c:pt idx="924">
                  <c:v>172000</c:v>
                </c:pt>
                <c:pt idx="925">
                  <c:v>224000</c:v>
                </c:pt>
                <c:pt idx="926">
                  <c:v>227000</c:v>
                </c:pt>
                <c:pt idx="927">
                  <c:v>130000</c:v>
                </c:pt>
                <c:pt idx="928">
                  <c:v>150000</c:v>
                </c:pt>
                <c:pt idx="929">
                  <c:v>155000</c:v>
                </c:pt>
                <c:pt idx="930">
                  <c:v>195000</c:v>
                </c:pt>
                <c:pt idx="931">
                  <c:v>189000</c:v>
                </c:pt>
                <c:pt idx="932">
                  <c:v>146000</c:v>
                </c:pt>
                <c:pt idx="933">
                  <c:v>181000</c:v>
                </c:pt>
                <c:pt idx="934">
                  <c:v>70000</c:v>
                </c:pt>
                <c:pt idx="935">
                  <c:v>69000</c:v>
                </c:pt>
                <c:pt idx="936">
                  <c:v>70000</c:v>
                </c:pt>
                <c:pt idx="937">
                  <c:v>74000</c:v>
                </c:pt>
                <c:pt idx="938">
                  <c:v>69000</c:v>
                </c:pt>
                <c:pt idx="939">
                  <c:v>126000</c:v>
                </c:pt>
                <c:pt idx="940">
                  <c:v>130000</c:v>
                </c:pt>
                <c:pt idx="941">
                  <c:v>130000</c:v>
                </c:pt>
                <c:pt idx="942">
                  <c:v>65000</c:v>
                </c:pt>
                <c:pt idx="943">
                  <c:v>59000</c:v>
                </c:pt>
                <c:pt idx="944">
                  <c:v>61000</c:v>
                </c:pt>
                <c:pt idx="945">
                  <c:v>75000</c:v>
                </c:pt>
                <c:pt idx="946">
                  <c:v>95000</c:v>
                </c:pt>
                <c:pt idx="947">
                  <c:v>115000</c:v>
                </c:pt>
                <c:pt idx="948">
                  <c:v>140000</c:v>
                </c:pt>
                <c:pt idx="949">
                  <c:v>98000</c:v>
                </c:pt>
                <c:pt idx="950">
                  <c:v>54000</c:v>
                </c:pt>
                <c:pt idx="951">
                  <c:v>143000</c:v>
                </c:pt>
                <c:pt idx="952">
                  <c:v>55000</c:v>
                </c:pt>
                <c:pt idx="953">
                  <c:v>50000</c:v>
                </c:pt>
                <c:pt idx="954">
                  <c:v>54000</c:v>
                </c:pt>
                <c:pt idx="955">
                  <c:v>58000</c:v>
                </c:pt>
                <c:pt idx="956">
                  <c:v>61000</c:v>
                </c:pt>
                <c:pt idx="957">
                  <c:v>28000</c:v>
                </c:pt>
                <c:pt idx="958">
                  <c:v>33000</c:v>
                </c:pt>
                <c:pt idx="959">
                  <c:v>60000</c:v>
                </c:pt>
                <c:pt idx="960">
                  <c:v>62000</c:v>
                </c:pt>
                <c:pt idx="961">
                  <c:v>68000</c:v>
                </c:pt>
                <c:pt idx="962">
                  <c:v>86000</c:v>
                </c:pt>
                <c:pt idx="963">
                  <c:v>73000</c:v>
                </c:pt>
                <c:pt idx="964">
                  <c:v>84000</c:v>
                </c:pt>
                <c:pt idx="965">
                  <c:v>134000</c:v>
                </c:pt>
                <c:pt idx="966">
                  <c:v>199500</c:v>
                </c:pt>
                <c:pt idx="967">
                  <c:v>75000</c:v>
                </c:pt>
                <c:pt idx="968">
                  <c:v>131000</c:v>
                </c:pt>
                <c:pt idx="969">
                  <c:v>44000</c:v>
                </c:pt>
                <c:pt idx="970">
                  <c:v>92000</c:v>
                </c:pt>
                <c:pt idx="971">
                  <c:v>75000</c:v>
                </c:pt>
                <c:pt idx="972">
                  <c:v>65000</c:v>
                </c:pt>
                <c:pt idx="973">
                  <c:v>88000</c:v>
                </c:pt>
                <c:pt idx="974">
                  <c:v>66000</c:v>
                </c:pt>
                <c:pt idx="975">
                  <c:v>70000</c:v>
                </c:pt>
                <c:pt idx="976">
                  <c:v>67000</c:v>
                </c:pt>
                <c:pt idx="977">
                  <c:v>73000</c:v>
                </c:pt>
                <c:pt idx="978">
                  <c:v>70000</c:v>
                </c:pt>
                <c:pt idx="979">
                  <c:v>70000</c:v>
                </c:pt>
                <c:pt idx="980">
                  <c:v>71000</c:v>
                </c:pt>
                <c:pt idx="981">
                  <c:v>74000</c:v>
                </c:pt>
                <c:pt idx="982">
                  <c:v>70000</c:v>
                </c:pt>
                <c:pt idx="983">
                  <c:v>95000</c:v>
                </c:pt>
                <c:pt idx="984">
                  <c:v>73000</c:v>
                </c:pt>
                <c:pt idx="985">
                  <c:v>63000</c:v>
                </c:pt>
                <c:pt idx="986">
                  <c:v>77000</c:v>
                </c:pt>
                <c:pt idx="987">
                  <c:v>97000</c:v>
                </c:pt>
                <c:pt idx="988">
                  <c:v>70000</c:v>
                </c:pt>
                <c:pt idx="989">
                  <c:v>120000</c:v>
                </c:pt>
                <c:pt idx="990">
                  <c:v>126000</c:v>
                </c:pt>
                <c:pt idx="991">
                  <c:v>125000</c:v>
                </c:pt>
                <c:pt idx="992">
                  <c:v>130000</c:v>
                </c:pt>
                <c:pt idx="993">
                  <c:v>80000</c:v>
                </c:pt>
                <c:pt idx="994">
                  <c:v>95000</c:v>
                </c:pt>
                <c:pt idx="995">
                  <c:v>95000</c:v>
                </c:pt>
                <c:pt idx="996">
                  <c:v>80000</c:v>
                </c:pt>
                <c:pt idx="997">
                  <c:v>131000</c:v>
                </c:pt>
                <c:pt idx="998">
                  <c:v>55000</c:v>
                </c:pt>
                <c:pt idx="999">
                  <c:v>54000</c:v>
                </c:pt>
                <c:pt idx="1000">
                  <c:v>58000</c:v>
                </c:pt>
                <c:pt idx="1001">
                  <c:v>119000</c:v>
                </c:pt>
                <c:pt idx="1002">
                  <c:v>127000</c:v>
                </c:pt>
                <c:pt idx="1003">
                  <c:v>65000</c:v>
                </c:pt>
                <c:pt idx="1004">
                  <c:v>86000</c:v>
                </c:pt>
                <c:pt idx="1005">
                  <c:v>88000</c:v>
                </c:pt>
                <c:pt idx="1006">
                  <c:v>119000</c:v>
                </c:pt>
                <c:pt idx="1007">
                  <c:v>123000</c:v>
                </c:pt>
                <c:pt idx="1008">
                  <c:v>188000</c:v>
                </c:pt>
                <c:pt idx="1009">
                  <c:v>120000</c:v>
                </c:pt>
                <c:pt idx="1010">
                  <c:v>107000</c:v>
                </c:pt>
                <c:pt idx="1011">
                  <c:v>110000</c:v>
                </c:pt>
                <c:pt idx="1012">
                  <c:v>107000</c:v>
                </c:pt>
                <c:pt idx="1013">
                  <c:v>110000</c:v>
                </c:pt>
                <c:pt idx="1014">
                  <c:v>212000</c:v>
                </c:pt>
                <c:pt idx="1015">
                  <c:v>127000</c:v>
                </c:pt>
                <c:pt idx="1016">
                  <c:v>147000</c:v>
                </c:pt>
                <c:pt idx="1017">
                  <c:v>101000</c:v>
                </c:pt>
                <c:pt idx="1018">
                  <c:v>88000</c:v>
                </c:pt>
                <c:pt idx="1019">
                  <c:v>122000</c:v>
                </c:pt>
                <c:pt idx="1020">
                  <c:v>127000</c:v>
                </c:pt>
                <c:pt idx="1021">
                  <c:v>147000</c:v>
                </c:pt>
                <c:pt idx="1022">
                  <c:v>101000</c:v>
                </c:pt>
                <c:pt idx="1023">
                  <c:v>190000</c:v>
                </c:pt>
                <c:pt idx="1024">
                  <c:v>212000</c:v>
                </c:pt>
                <c:pt idx="1025">
                  <c:v>211000</c:v>
                </c:pt>
                <c:pt idx="1026">
                  <c:v>212000</c:v>
                </c:pt>
                <c:pt idx="1027">
                  <c:v>220000</c:v>
                </c:pt>
                <c:pt idx="1028">
                  <c:v>330000</c:v>
                </c:pt>
                <c:pt idx="1029">
                  <c:v>175000</c:v>
                </c:pt>
                <c:pt idx="1030">
                  <c:v>265000</c:v>
                </c:pt>
                <c:pt idx="1031">
                  <c:v>198000</c:v>
                </c:pt>
                <c:pt idx="1032">
                  <c:v>281000</c:v>
                </c:pt>
                <c:pt idx="1033">
                  <c:v>230000</c:v>
                </c:pt>
                <c:pt idx="1034">
                  <c:v>198000</c:v>
                </c:pt>
                <c:pt idx="1035">
                  <c:v>190000</c:v>
                </c:pt>
                <c:pt idx="1036">
                  <c:v>190000</c:v>
                </c:pt>
                <c:pt idx="1037">
                  <c:v>212000</c:v>
                </c:pt>
                <c:pt idx="1038">
                  <c:v>211000</c:v>
                </c:pt>
                <c:pt idx="1039">
                  <c:v>140000</c:v>
                </c:pt>
                <c:pt idx="1040">
                  <c:v>212000</c:v>
                </c:pt>
                <c:pt idx="1041">
                  <c:v>220000</c:v>
                </c:pt>
                <c:pt idx="1042">
                  <c:v>205000</c:v>
                </c:pt>
                <c:pt idx="1043">
                  <c:v>330000</c:v>
                </c:pt>
                <c:pt idx="1044">
                  <c:v>230000</c:v>
                </c:pt>
                <c:pt idx="1045">
                  <c:v>205000</c:v>
                </c:pt>
                <c:pt idx="1046">
                  <c:v>240000</c:v>
                </c:pt>
                <c:pt idx="1047">
                  <c:v>310000</c:v>
                </c:pt>
                <c:pt idx="1048">
                  <c:v>310000</c:v>
                </c:pt>
                <c:pt idx="1049">
                  <c:v>322000</c:v>
                </c:pt>
                <c:pt idx="1050">
                  <c:v>322000</c:v>
                </c:pt>
                <c:pt idx="1051">
                  <c:v>355000</c:v>
                </c:pt>
                <c:pt idx="1052">
                  <c:v>355000</c:v>
                </c:pt>
                <c:pt idx="1053">
                  <c:v>235000</c:v>
                </c:pt>
                <c:pt idx="1054">
                  <c:v>310000</c:v>
                </c:pt>
                <c:pt idx="1055">
                  <c:v>355000</c:v>
                </c:pt>
                <c:pt idx="1056">
                  <c:v>340000</c:v>
                </c:pt>
                <c:pt idx="1057">
                  <c:v>340000</c:v>
                </c:pt>
                <c:pt idx="1058">
                  <c:v>340000</c:v>
                </c:pt>
                <c:pt idx="1059">
                  <c:v>340000</c:v>
                </c:pt>
                <c:pt idx="1060">
                  <c:v>340000</c:v>
                </c:pt>
                <c:pt idx="1061">
                  <c:v>135000</c:v>
                </c:pt>
                <c:pt idx="1062">
                  <c:v>137000</c:v>
                </c:pt>
                <c:pt idx="1063">
                  <c:v>55000</c:v>
                </c:pt>
                <c:pt idx="1064">
                  <c:v>145000</c:v>
                </c:pt>
                <c:pt idx="1065">
                  <c:v>144000</c:v>
                </c:pt>
                <c:pt idx="1066">
                  <c:v>141000</c:v>
                </c:pt>
                <c:pt idx="1067">
                  <c:v>147000</c:v>
                </c:pt>
                <c:pt idx="1068">
                  <c:v>146000</c:v>
                </c:pt>
                <c:pt idx="1069">
                  <c:v>147000</c:v>
                </c:pt>
                <c:pt idx="1070">
                  <c:v>171000</c:v>
                </c:pt>
                <c:pt idx="1071">
                  <c:v>145000</c:v>
                </c:pt>
                <c:pt idx="1072">
                  <c:v>144000</c:v>
                </c:pt>
                <c:pt idx="1073">
                  <c:v>141000</c:v>
                </c:pt>
                <c:pt idx="1074">
                  <c:v>147000</c:v>
                </c:pt>
                <c:pt idx="1075">
                  <c:v>146000</c:v>
                </c:pt>
                <c:pt idx="1076">
                  <c:v>147000</c:v>
                </c:pt>
                <c:pt idx="1077">
                  <c:v>95000</c:v>
                </c:pt>
                <c:pt idx="1078">
                  <c:v>145000</c:v>
                </c:pt>
                <c:pt idx="1079">
                  <c:v>106000</c:v>
                </c:pt>
                <c:pt idx="1080">
                  <c:v>75000</c:v>
                </c:pt>
                <c:pt idx="1081">
                  <c:v>141000</c:v>
                </c:pt>
                <c:pt idx="1082">
                  <c:v>145000</c:v>
                </c:pt>
                <c:pt idx="1083">
                  <c:v>85000</c:v>
                </c:pt>
                <c:pt idx="1084">
                  <c:v>159000</c:v>
                </c:pt>
                <c:pt idx="1085">
                  <c:v>192000</c:v>
                </c:pt>
                <c:pt idx="1086">
                  <c:v>226000</c:v>
                </c:pt>
                <c:pt idx="1087">
                  <c:v>231000</c:v>
                </c:pt>
                <c:pt idx="1088">
                  <c:v>229000</c:v>
                </c:pt>
                <c:pt idx="1089">
                  <c:v>234000</c:v>
                </c:pt>
                <c:pt idx="1090">
                  <c:v>228000</c:v>
                </c:pt>
                <c:pt idx="1091">
                  <c:v>172000</c:v>
                </c:pt>
                <c:pt idx="1092">
                  <c:v>193000</c:v>
                </c:pt>
                <c:pt idx="1093">
                  <c:v>227000</c:v>
                </c:pt>
                <c:pt idx="1094">
                  <c:v>193000</c:v>
                </c:pt>
                <c:pt idx="1095">
                  <c:v>198000</c:v>
                </c:pt>
                <c:pt idx="1096">
                  <c:v>194000</c:v>
                </c:pt>
                <c:pt idx="1097">
                  <c:v>231000</c:v>
                </c:pt>
                <c:pt idx="1098">
                  <c:v>195000</c:v>
                </c:pt>
                <c:pt idx="1099">
                  <c:v>232000</c:v>
                </c:pt>
                <c:pt idx="1100">
                  <c:v>237000</c:v>
                </c:pt>
                <c:pt idx="1101">
                  <c:v>197000</c:v>
                </c:pt>
                <c:pt idx="1102">
                  <c:v>192000</c:v>
                </c:pt>
                <c:pt idx="1103">
                  <c:v>226000</c:v>
                </c:pt>
                <c:pt idx="1104">
                  <c:v>229000</c:v>
                </c:pt>
                <c:pt idx="1105">
                  <c:v>228000</c:v>
                </c:pt>
                <c:pt idx="1106">
                  <c:v>172000</c:v>
                </c:pt>
                <c:pt idx="1107">
                  <c:v>227000</c:v>
                </c:pt>
                <c:pt idx="1108">
                  <c:v>193000</c:v>
                </c:pt>
                <c:pt idx="1109">
                  <c:v>231000</c:v>
                </c:pt>
                <c:pt idx="1110">
                  <c:v>195000</c:v>
                </c:pt>
                <c:pt idx="1111">
                  <c:v>232000</c:v>
                </c:pt>
                <c:pt idx="1112">
                  <c:v>182000</c:v>
                </c:pt>
                <c:pt idx="1113">
                  <c:v>197000</c:v>
                </c:pt>
                <c:pt idx="1114">
                  <c:v>75000</c:v>
                </c:pt>
                <c:pt idx="1115">
                  <c:v>80000</c:v>
                </c:pt>
                <c:pt idx="1116">
                  <c:v>120000</c:v>
                </c:pt>
                <c:pt idx="1117">
                  <c:v>90000</c:v>
                </c:pt>
                <c:pt idx="1118">
                  <c:v>246000</c:v>
                </c:pt>
                <c:pt idx="1119">
                  <c:v>262000</c:v>
                </c:pt>
                <c:pt idx="1120">
                  <c:v>267000</c:v>
                </c:pt>
                <c:pt idx="1121">
                  <c:v>275000</c:v>
                </c:pt>
                <c:pt idx="1122">
                  <c:v>342000</c:v>
                </c:pt>
                <c:pt idx="1123">
                  <c:v>269000</c:v>
                </c:pt>
                <c:pt idx="1124">
                  <c:v>276000</c:v>
                </c:pt>
                <c:pt idx="1125">
                  <c:v>293000</c:v>
                </c:pt>
                <c:pt idx="1126">
                  <c:v>298000</c:v>
                </c:pt>
                <c:pt idx="1127">
                  <c:v>246000</c:v>
                </c:pt>
                <c:pt idx="1128">
                  <c:v>262000</c:v>
                </c:pt>
                <c:pt idx="1129">
                  <c:v>276000</c:v>
                </c:pt>
                <c:pt idx="1130">
                  <c:v>190000</c:v>
                </c:pt>
                <c:pt idx="1131">
                  <c:v>190000</c:v>
                </c:pt>
                <c:pt idx="1132">
                  <c:v>300000</c:v>
                </c:pt>
                <c:pt idx="1133">
                  <c:v>205000</c:v>
                </c:pt>
                <c:pt idx="1134">
                  <c:v>87000</c:v>
                </c:pt>
                <c:pt idx="1135">
                  <c:v>91000</c:v>
                </c:pt>
                <c:pt idx="1136">
                  <c:v>92000</c:v>
                </c:pt>
                <c:pt idx="1137">
                  <c:v>94000</c:v>
                </c:pt>
                <c:pt idx="1138">
                  <c:v>106000</c:v>
                </c:pt>
                <c:pt idx="1139">
                  <c:v>106000</c:v>
                </c:pt>
                <c:pt idx="1140">
                  <c:v>114000</c:v>
                </c:pt>
                <c:pt idx="1141">
                  <c:v>168000</c:v>
                </c:pt>
                <c:pt idx="1142">
                  <c:v>116000</c:v>
                </c:pt>
                <c:pt idx="1143">
                  <c:v>130000</c:v>
                </c:pt>
                <c:pt idx="1144">
                  <c:v>175000</c:v>
                </c:pt>
                <c:pt idx="1145">
                  <c:v>175500</c:v>
                </c:pt>
                <c:pt idx="1146">
                  <c:v>176000</c:v>
                </c:pt>
                <c:pt idx="1147">
                  <c:v>176500</c:v>
                </c:pt>
                <c:pt idx="1148">
                  <c:v>133500</c:v>
                </c:pt>
                <c:pt idx="1149">
                  <c:v>147000</c:v>
                </c:pt>
                <c:pt idx="1150">
                  <c:v>132000</c:v>
                </c:pt>
                <c:pt idx="1151">
                  <c:v>123000</c:v>
                </c:pt>
                <c:pt idx="1152">
                  <c:v>106000</c:v>
                </c:pt>
                <c:pt idx="1153">
                  <c:v>124500</c:v>
                </c:pt>
                <c:pt idx="1154">
                  <c:v>125000</c:v>
                </c:pt>
                <c:pt idx="1155">
                  <c:v>80000</c:v>
                </c:pt>
                <c:pt idx="1156">
                  <c:v>147000</c:v>
                </c:pt>
                <c:pt idx="1157">
                  <c:v>148000</c:v>
                </c:pt>
                <c:pt idx="1158">
                  <c:v>148000</c:v>
                </c:pt>
                <c:pt idx="1159">
                  <c:v>149000</c:v>
                </c:pt>
                <c:pt idx="1160">
                  <c:v>156000</c:v>
                </c:pt>
                <c:pt idx="1161">
                  <c:v>159000</c:v>
                </c:pt>
                <c:pt idx="1162">
                  <c:v>160000</c:v>
                </c:pt>
                <c:pt idx="1163">
                  <c:v>96000</c:v>
                </c:pt>
                <c:pt idx="1164">
                  <c:v>90000</c:v>
                </c:pt>
                <c:pt idx="1165">
                  <c:v>128000</c:v>
                </c:pt>
                <c:pt idx="1166">
                  <c:v>129000</c:v>
                </c:pt>
                <c:pt idx="1167">
                  <c:v>68000</c:v>
                </c:pt>
                <c:pt idx="1168">
                  <c:v>54000</c:v>
                </c:pt>
                <c:pt idx="1169">
                  <c:v>54000</c:v>
                </c:pt>
                <c:pt idx="1170">
                  <c:v>80000</c:v>
                </c:pt>
                <c:pt idx="1171">
                  <c:v>54000</c:v>
                </c:pt>
                <c:pt idx="1172">
                  <c:v>54000</c:v>
                </c:pt>
                <c:pt idx="1173">
                  <c:v>103000</c:v>
                </c:pt>
                <c:pt idx="1174">
                  <c:v>96000</c:v>
                </c:pt>
                <c:pt idx="1175">
                  <c:v>132000</c:v>
                </c:pt>
                <c:pt idx="1176">
                  <c:v>128000</c:v>
                </c:pt>
                <c:pt idx="1177">
                  <c:v>130000</c:v>
                </c:pt>
                <c:pt idx="1178">
                  <c:v>106000</c:v>
                </c:pt>
                <c:pt idx="1179">
                  <c:v>129000</c:v>
                </c:pt>
                <c:pt idx="1180">
                  <c:v>128000</c:v>
                </c:pt>
                <c:pt idx="1181">
                  <c:v>147000</c:v>
                </c:pt>
                <c:pt idx="1182">
                  <c:v>90000</c:v>
                </c:pt>
                <c:pt idx="1183">
                  <c:v>151000</c:v>
                </c:pt>
                <c:pt idx="1184">
                  <c:v>97000</c:v>
                </c:pt>
                <c:pt idx="1185">
                  <c:v>124500</c:v>
                </c:pt>
                <c:pt idx="1186">
                  <c:v>125000</c:v>
                </c:pt>
                <c:pt idx="1187">
                  <c:v>133000</c:v>
                </c:pt>
                <c:pt idx="1188">
                  <c:v>175000</c:v>
                </c:pt>
                <c:pt idx="1189">
                  <c:v>175500</c:v>
                </c:pt>
                <c:pt idx="1190">
                  <c:v>177500</c:v>
                </c:pt>
                <c:pt idx="1191">
                  <c:v>176000</c:v>
                </c:pt>
                <c:pt idx="1192">
                  <c:v>176500</c:v>
                </c:pt>
                <c:pt idx="1193">
                  <c:v>133500</c:v>
                </c:pt>
                <c:pt idx="1194">
                  <c:v>147000</c:v>
                </c:pt>
                <c:pt idx="1195">
                  <c:v>148000</c:v>
                </c:pt>
                <c:pt idx="1196">
                  <c:v>149000</c:v>
                </c:pt>
                <c:pt idx="1197">
                  <c:v>156000</c:v>
                </c:pt>
                <c:pt idx="1198">
                  <c:v>159000</c:v>
                </c:pt>
                <c:pt idx="1199">
                  <c:v>160000</c:v>
                </c:pt>
                <c:pt idx="1200">
                  <c:v>151000</c:v>
                </c:pt>
                <c:pt idx="1201">
                  <c:v>128000</c:v>
                </c:pt>
                <c:pt idx="1202">
                  <c:v>77000</c:v>
                </c:pt>
                <c:pt idx="1203">
                  <c:v>63000</c:v>
                </c:pt>
                <c:pt idx="1204">
                  <c:v>77000</c:v>
                </c:pt>
                <c:pt idx="1205">
                  <c:v>73000</c:v>
                </c:pt>
                <c:pt idx="1206">
                  <c:v>81000</c:v>
                </c:pt>
                <c:pt idx="1207">
                  <c:v>80000</c:v>
                </c:pt>
                <c:pt idx="1208">
                  <c:v>83000</c:v>
                </c:pt>
                <c:pt idx="1209">
                  <c:v>91000</c:v>
                </c:pt>
                <c:pt idx="1210">
                  <c:v>109000</c:v>
                </c:pt>
                <c:pt idx="1211">
                  <c:v>109000</c:v>
                </c:pt>
                <c:pt idx="1212">
                  <c:v>94000</c:v>
                </c:pt>
                <c:pt idx="1213">
                  <c:v>96000</c:v>
                </c:pt>
                <c:pt idx="1214">
                  <c:v>60000</c:v>
                </c:pt>
                <c:pt idx="1215">
                  <c:v>68000</c:v>
                </c:pt>
                <c:pt idx="1216">
                  <c:v>117000</c:v>
                </c:pt>
                <c:pt idx="1217">
                  <c:v>84000</c:v>
                </c:pt>
                <c:pt idx="1218">
                  <c:v>83000</c:v>
                </c:pt>
                <c:pt idx="1219">
                  <c:v>87000</c:v>
                </c:pt>
                <c:pt idx="1220">
                  <c:v>88000</c:v>
                </c:pt>
                <c:pt idx="1221">
                  <c:v>90000</c:v>
                </c:pt>
                <c:pt idx="1222">
                  <c:v>90000</c:v>
                </c:pt>
                <c:pt idx="1223">
                  <c:v>91000</c:v>
                </c:pt>
                <c:pt idx="1224">
                  <c:v>105000</c:v>
                </c:pt>
                <c:pt idx="1225">
                  <c:v>125500</c:v>
                </c:pt>
                <c:pt idx="1226">
                  <c:v>132500</c:v>
                </c:pt>
                <c:pt idx="1227">
                  <c:v>125500</c:v>
                </c:pt>
                <c:pt idx="1228">
                  <c:v>135500</c:v>
                </c:pt>
                <c:pt idx="1229">
                  <c:v>126000</c:v>
                </c:pt>
                <c:pt idx="1230">
                  <c:v>133000</c:v>
                </c:pt>
                <c:pt idx="1231">
                  <c:v>136000</c:v>
                </c:pt>
                <c:pt idx="1232">
                  <c:v>126500</c:v>
                </c:pt>
                <c:pt idx="1233">
                  <c:v>133500</c:v>
                </c:pt>
                <c:pt idx="1234">
                  <c:v>136500</c:v>
                </c:pt>
                <c:pt idx="1235">
                  <c:v>126000</c:v>
                </c:pt>
                <c:pt idx="1236">
                  <c:v>133500</c:v>
                </c:pt>
                <c:pt idx="1237">
                  <c:v>83000</c:v>
                </c:pt>
                <c:pt idx="1238">
                  <c:v>45000</c:v>
                </c:pt>
                <c:pt idx="1239">
                  <c:v>45000</c:v>
                </c:pt>
                <c:pt idx="1240">
                  <c:v>97000</c:v>
                </c:pt>
                <c:pt idx="1241">
                  <c:v>97000</c:v>
                </c:pt>
                <c:pt idx="1242">
                  <c:v>119000</c:v>
                </c:pt>
                <c:pt idx="1243">
                  <c:v>98000</c:v>
                </c:pt>
                <c:pt idx="1244">
                  <c:v>92000</c:v>
                </c:pt>
                <c:pt idx="1245">
                  <c:v>90000</c:v>
                </c:pt>
                <c:pt idx="1246">
                  <c:v>78000</c:v>
                </c:pt>
                <c:pt idx="1247">
                  <c:v>88000</c:v>
                </c:pt>
                <c:pt idx="1248">
                  <c:v>56000</c:v>
                </c:pt>
                <c:pt idx="1249">
                  <c:v>62000</c:v>
                </c:pt>
                <c:pt idx="1250">
                  <c:v>63000</c:v>
                </c:pt>
                <c:pt idx="1251">
                  <c:v>53000</c:v>
                </c:pt>
                <c:pt idx="1252">
                  <c:v>95000</c:v>
                </c:pt>
                <c:pt idx="1253">
                  <c:v>53000</c:v>
                </c:pt>
                <c:pt idx="1254">
                  <c:v>85000</c:v>
                </c:pt>
                <c:pt idx="1255">
                  <c:v>93000</c:v>
                </c:pt>
                <c:pt idx="1256">
                  <c:v>112300</c:v>
                </c:pt>
                <c:pt idx="1257">
                  <c:v>58400</c:v>
                </c:pt>
                <c:pt idx="1258">
                  <c:v>80000</c:v>
                </c:pt>
                <c:pt idx="1259">
                  <c:v>89000</c:v>
                </c:pt>
                <c:pt idx="1260">
                  <c:v>95000</c:v>
                </c:pt>
                <c:pt idx="1261">
                  <c:v>83000</c:v>
                </c:pt>
                <c:pt idx="1262">
                  <c:v>84000</c:v>
                </c:pt>
                <c:pt idx="1263">
                  <c:v>115000</c:v>
                </c:pt>
                <c:pt idx="1264">
                  <c:v>65000</c:v>
                </c:pt>
                <c:pt idx="1265">
                  <c:v>99000</c:v>
                </c:pt>
                <c:pt idx="1266">
                  <c:v>90000</c:v>
                </c:pt>
                <c:pt idx="1267">
                  <c:v>59000</c:v>
                </c:pt>
                <c:pt idx="1268">
                  <c:v>53000</c:v>
                </c:pt>
                <c:pt idx="1269">
                  <c:v>50000</c:v>
                </c:pt>
                <c:pt idx="1270">
                  <c:v>73000</c:v>
                </c:pt>
                <c:pt idx="1271">
                  <c:v>110500</c:v>
                </c:pt>
                <c:pt idx="1272">
                  <c:v>115000</c:v>
                </c:pt>
                <c:pt idx="1273">
                  <c:v>90000</c:v>
                </c:pt>
                <c:pt idx="1274">
                  <c:v>70000</c:v>
                </c:pt>
                <c:pt idx="1275">
                  <c:v>62000</c:v>
                </c:pt>
                <c:pt idx="1276">
                  <c:v>83000</c:v>
                </c:pt>
                <c:pt idx="1277">
                  <c:v>80000</c:v>
                </c:pt>
                <c:pt idx="1278">
                  <c:v>65000</c:v>
                </c:pt>
                <c:pt idx="1279">
                  <c:v>102000</c:v>
                </c:pt>
                <c:pt idx="1280">
                  <c:v>105000</c:v>
                </c:pt>
                <c:pt idx="1281">
                  <c:v>101500</c:v>
                </c:pt>
                <c:pt idx="1282">
                  <c:v>102000</c:v>
                </c:pt>
                <c:pt idx="1283">
                  <c:v>83000</c:v>
                </c:pt>
                <c:pt idx="1284">
                  <c:v>80000</c:v>
                </c:pt>
                <c:pt idx="1285">
                  <c:v>74000</c:v>
                </c:pt>
                <c:pt idx="1286">
                  <c:v>98000</c:v>
                </c:pt>
                <c:pt idx="1287">
                  <c:v>66000</c:v>
                </c:pt>
                <c:pt idx="1288">
                  <c:v>70000</c:v>
                </c:pt>
                <c:pt idx="1289">
                  <c:v>53000</c:v>
                </c:pt>
                <c:pt idx="1290">
                  <c:v>73000</c:v>
                </c:pt>
                <c:pt idx="1291">
                  <c:v>86000</c:v>
                </c:pt>
                <c:pt idx="1292">
                  <c:v>70000</c:v>
                </c:pt>
                <c:pt idx="1293">
                  <c:v>75000</c:v>
                </c:pt>
                <c:pt idx="1294">
                  <c:v>75000</c:v>
                </c:pt>
                <c:pt idx="1295">
                  <c:v>73000</c:v>
                </c:pt>
                <c:pt idx="1296">
                  <c:v>73000</c:v>
                </c:pt>
                <c:pt idx="1297">
                  <c:v>73000</c:v>
                </c:pt>
                <c:pt idx="1298">
                  <c:v>70000</c:v>
                </c:pt>
                <c:pt idx="1299">
                  <c:v>98000</c:v>
                </c:pt>
                <c:pt idx="1300">
                  <c:v>147000</c:v>
                </c:pt>
                <c:pt idx="1301">
                  <c:v>148000</c:v>
                </c:pt>
                <c:pt idx="1302">
                  <c:v>145000</c:v>
                </c:pt>
                <c:pt idx="1303">
                  <c:v>149000</c:v>
                </c:pt>
                <c:pt idx="1304">
                  <c:v>156000</c:v>
                </c:pt>
                <c:pt idx="1305">
                  <c:v>159000</c:v>
                </c:pt>
                <c:pt idx="1306">
                  <c:v>61000</c:v>
                </c:pt>
                <c:pt idx="1307">
                  <c:v>63000</c:v>
                </c:pt>
                <c:pt idx="1308">
                  <c:v>55000</c:v>
                </c:pt>
                <c:pt idx="1309">
                  <c:v>92000</c:v>
                </c:pt>
                <c:pt idx="1310">
                  <c:v>79000</c:v>
                </c:pt>
                <c:pt idx="1311">
                  <c:v>164000</c:v>
                </c:pt>
                <c:pt idx="1312">
                  <c:v>164000</c:v>
                </c:pt>
                <c:pt idx="1313">
                  <c:v>90000</c:v>
                </c:pt>
                <c:pt idx="1314">
                  <c:v>80000</c:v>
                </c:pt>
                <c:pt idx="1315">
                  <c:v>66000</c:v>
                </c:pt>
                <c:pt idx="1316">
                  <c:v>55000</c:v>
                </c:pt>
                <c:pt idx="1317">
                  <c:v>80000</c:v>
                </c:pt>
                <c:pt idx="1318">
                  <c:v>58000</c:v>
                </c:pt>
                <c:pt idx="1319">
                  <c:v>55000</c:v>
                </c:pt>
                <c:pt idx="1320">
                  <c:v>63000</c:v>
                </c:pt>
                <c:pt idx="1321">
                  <c:v>49000</c:v>
                </c:pt>
                <c:pt idx="1322">
                  <c:v>56000</c:v>
                </c:pt>
                <c:pt idx="1323">
                  <c:v>58000</c:v>
                </c:pt>
                <c:pt idx="1324">
                  <c:v>88000</c:v>
                </c:pt>
                <c:pt idx="1325">
                  <c:v>62000</c:v>
                </c:pt>
                <c:pt idx="1326">
                  <c:v>95000</c:v>
                </c:pt>
                <c:pt idx="1327">
                  <c:v>83000</c:v>
                </c:pt>
                <c:pt idx="1328">
                  <c:v>60000</c:v>
                </c:pt>
                <c:pt idx="1329">
                  <c:v>65000</c:v>
                </c:pt>
                <c:pt idx="1330">
                  <c:v>65000</c:v>
                </c:pt>
                <c:pt idx="1331">
                  <c:v>70000</c:v>
                </c:pt>
                <c:pt idx="1332">
                  <c:v>62000</c:v>
                </c:pt>
                <c:pt idx="1333">
                  <c:v>55000</c:v>
                </c:pt>
                <c:pt idx="1334">
                  <c:v>83000</c:v>
                </c:pt>
                <c:pt idx="1335">
                  <c:v>85000</c:v>
                </c:pt>
                <c:pt idx="1336">
                  <c:v>74000</c:v>
                </c:pt>
                <c:pt idx="1337">
                  <c:v>98000</c:v>
                </c:pt>
                <c:pt idx="1338">
                  <c:v>83000</c:v>
                </c:pt>
                <c:pt idx="1339">
                  <c:v>80000</c:v>
                </c:pt>
                <c:pt idx="1340">
                  <c:v>97500</c:v>
                </c:pt>
                <c:pt idx="1341">
                  <c:v>102000</c:v>
                </c:pt>
                <c:pt idx="1342">
                  <c:v>86000</c:v>
                </c:pt>
                <c:pt idx="1343">
                  <c:v>105000</c:v>
                </c:pt>
                <c:pt idx="1344">
                  <c:v>102000</c:v>
                </c:pt>
                <c:pt idx="1345">
                  <c:v>69000</c:v>
                </c:pt>
                <c:pt idx="1346">
                  <c:v>117000</c:v>
                </c:pt>
                <c:pt idx="1347">
                  <c:v>119000</c:v>
                </c:pt>
                <c:pt idx="1348">
                  <c:v>105000</c:v>
                </c:pt>
                <c:pt idx="1349">
                  <c:v>105000</c:v>
                </c:pt>
                <c:pt idx="1350">
                  <c:v>109000</c:v>
                </c:pt>
                <c:pt idx="1351">
                  <c:v>109000</c:v>
                </c:pt>
                <c:pt idx="1352">
                  <c:v>78000</c:v>
                </c:pt>
                <c:pt idx="1353">
                  <c:v>112300</c:v>
                </c:pt>
                <c:pt idx="1354">
                  <c:v>63000</c:v>
                </c:pt>
                <c:pt idx="1355">
                  <c:v>87000</c:v>
                </c:pt>
                <c:pt idx="1356">
                  <c:v>87000</c:v>
                </c:pt>
                <c:pt idx="1357">
                  <c:v>92000</c:v>
                </c:pt>
                <c:pt idx="1358">
                  <c:v>90000</c:v>
                </c:pt>
                <c:pt idx="1359">
                  <c:v>87000</c:v>
                </c:pt>
                <c:pt idx="1360">
                  <c:v>81000</c:v>
                </c:pt>
                <c:pt idx="1361">
                  <c:v>97000</c:v>
                </c:pt>
                <c:pt idx="1362">
                  <c:v>97000</c:v>
                </c:pt>
                <c:pt idx="1363">
                  <c:v>98000</c:v>
                </c:pt>
                <c:pt idx="1364">
                  <c:v>86000</c:v>
                </c:pt>
                <c:pt idx="1365">
                  <c:v>91000</c:v>
                </c:pt>
                <c:pt idx="1366">
                  <c:v>87000</c:v>
                </c:pt>
                <c:pt idx="1367">
                  <c:v>55000</c:v>
                </c:pt>
                <c:pt idx="1368">
                  <c:v>85000</c:v>
                </c:pt>
                <c:pt idx="1369">
                  <c:v>102000</c:v>
                </c:pt>
                <c:pt idx="1370">
                  <c:v>129000</c:v>
                </c:pt>
                <c:pt idx="1371">
                  <c:v>126000</c:v>
                </c:pt>
                <c:pt idx="1372">
                  <c:v>127000</c:v>
                </c:pt>
                <c:pt idx="1373">
                  <c:v>62000</c:v>
                </c:pt>
                <c:pt idx="1374">
                  <c:v>55000</c:v>
                </c:pt>
                <c:pt idx="1375">
                  <c:v>70000</c:v>
                </c:pt>
                <c:pt idx="1376">
                  <c:v>60000</c:v>
                </c:pt>
                <c:pt idx="1377">
                  <c:v>58000</c:v>
                </c:pt>
                <c:pt idx="1378">
                  <c:v>65000</c:v>
                </c:pt>
                <c:pt idx="1379">
                  <c:v>66000</c:v>
                </c:pt>
                <c:pt idx="1380">
                  <c:v>72000</c:v>
                </c:pt>
                <c:pt idx="1381">
                  <c:v>75000</c:v>
                </c:pt>
                <c:pt idx="1382">
                  <c:v>77000</c:v>
                </c:pt>
                <c:pt idx="1383">
                  <c:v>90000</c:v>
                </c:pt>
                <c:pt idx="1384">
                  <c:v>89000</c:v>
                </c:pt>
                <c:pt idx="1385">
                  <c:v>82000</c:v>
                </c:pt>
                <c:pt idx="1386">
                  <c:v>75000</c:v>
                </c:pt>
                <c:pt idx="1387">
                  <c:v>115000</c:v>
                </c:pt>
                <c:pt idx="1388">
                  <c:v>122500</c:v>
                </c:pt>
                <c:pt idx="1389">
                  <c:v>125500</c:v>
                </c:pt>
                <c:pt idx="1390">
                  <c:v>132500</c:v>
                </c:pt>
                <c:pt idx="1391">
                  <c:v>125500</c:v>
                </c:pt>
                <c:pt idx="1392">
                  <c:v>135500</c:v>
                </c:pt>
                <c:pt idx="1393">
                  <c:v>126000</c:v>
                </c:pt>
                <c:pt idx="1394">
                  <c:v>133000</c:v>
                </c:pt>
                <c:pt idx="1395">
                  <c:v>136000</c:v>
                </c:pt>
                <c:pt idx="1396">
                  <c:v>126500</c:v>
                </c:pt>
                <c:pt idx="1397">
                  <c:v>133500</c:v>
                </c:pt>
                <c:pt idx="1398">
                  <c:v>136500</c:v>
                </c:pt>
                <c:pt idx="1399">
                  <c:v>126000</c:v>
                </c:pt>
                <c:pt idx="1400">
                  <c:v>133500</c:v>
                </c:pt>
                <c:pt idx="1401">
                  <c:v>85000</c:v>
                </c:pt>
                <c:pt idx="1402">
                  <c:v>147000</c:v>
                </c:pt>
                <c:pt idx="1403">
                  <c:v>148000</c:v>
                </c:pt>
                <c:pt idx="1404">
                  <c:v>145000</c:v>
                </c:pt>
                <c:pt idx="1405">
                  <c:v>149000</c:v>
                </c:pt>
                <c:pt idx="1406">
                  <c:v>156000</c:v>
                </c:pt>
                <c:pt idx="1407">
                  <c:v>159000</c:v>
                </c:pt>
                <c:pt idx="1408">
                  <c:v>65000</c:v>
                </c:pt>
                <c:pt idx="1409">
                  <c:v>65000</c:v>
                </c:pt>
                <c:pt idx="1410">
                  <c:v>129000</c:v>
                </c:pt>
                <c:pt idx="1411">
                  <c:v>126000</c:v>
                </c:pt>
                <c:pt idx="1412">
                  <c:v>127000</c:v>
                </c:pt>
                <c:pt idx="1413">
                  <c:v>65000</c:v>
                </c:pt>
                <c:pt idx="1414">
                  <c:v>105000</c:v>
                </c:pt>
                <c:pt idx="1415">
                  <c:v>72000</c:v>
                </c:pt>
                <c:pt idx="1416">
                  <c:v>73000</c:v>
                </c:pt>
                <c:pt idx="1417">
                  <c:v>75000</c:v>
                </c:pt>
                <c:pt idx="1418">
                  <c:v>73000</c:v>
                </c:pt>
                <c:pt idx="1419">
                  <c:v>108000</c:v>
                </c:pt>
                <c:pt idx="1420">
                  <c:v>90000</c:v>
                </c:pt>
                <c:pt idx="1421">
                  <c:v>109000</c:v>
                </c:pt>
                <c:pt idx="1422">
                  <c:v>135000</c:v>
                </c:pt>
                <c:pt idx="1423">
                  <c:v>163000</c:v>
                </c:pt>
                <c:pt idx="1424">
                  <c:v>164000</c:v>
                </c:pt>
                <c:pt idx="1425">
                  <c:v>213000</c:v>
                </c:pt>
                <c:pt idx="1426">
                  <c:v>180000</c:v>
                </c:pt>
                <c:pt idx="1427">
                  <c:v>116000</c:v>
                </c:pt>
                <c:pt idx="1428">
                  <c:v>110000</c:v>
                </c:pt>
                <c:pt idx="1429">
                  <c:v>181000</c:v>
                </c:pt>
                <c:pt idx="1430">
                  <c:v>222000</c:v>
                </c:pt>
                <c:pt idx="1431">
                  <c:v>124000</c:v>
                </c:pt>
                <c:pt idx="1432">
                  <c:v>122000</c:v>
                </c:pt>
                <c:pt idx="1433">
                  <c:v>135000</c:v>
                </c:pt>
                <c:pt idx="1434">
                  <c:v>143000</c:v>
                </c:pt>
                <c:pt idx="1435">
                  <c:v>205000</c:v>
                </c:pt>
                <c:pt idx="1436">
                  <c:v>174000</c:v>
                </c:pt>
                <c:pt idx="1437">
                  <c:v>196000</c:v>
                </c:pt>
                <c:pt idx="1438">
                  <c:v>175000</c:v>
                </c:pt>
                <c:pt idx="1439">
                  <c:v>150000</c:v>
                </c:pt>
                <c:pt idx="1440">
                  <c:v>142000</c:v>
                </c:pt>
                <c:pt idx="1441">
                  <c:v>122000</c:v>
                </c:pt>
                <c:pt idx="1442">
                  <c:v>143000</c:v>
                </c:pt>
                <c:pt idx="1443">
                  <c:v>148000</c:v>
                </c:pt>
                <c:pt idx="1444">
                  <c:v>135000</c:v>
                </c:pt>
                <c:pt idx="1445">
                  <c:v>138000</c:v>
                </c:pt>
                <c:pt idx="1446">
                  <c:v>135000</c:v>
                </c:pt>
                <c:pt idx="1447">
                  <c:v>137000</c:v>
                </c:pt>
                <c:pt idx="1448">
                  <c:v>150000</c:v>
                </c:pt>
                <c:pt idx="1449">
                  <c:v>145000</c:v>
                </c:pt>
                <c:pt idx="1450">
                  <c:v>145000</c:v>
                </c:pt>
                <c:pt idx="1451">
                  <c:v>169000</c:v>
                </c:pt>
                <c:pt idx="1452">
                  <c:v>173000</c:v>
                </c:pt>
                <c:pt idx="1453">
                  <c:v>243000</c:v>
                </c:pt>
                <c:pt idx="1454">
                  <c:v>243000</c:v>
                </c:pt>
                <c:pt idx="1455">
                  <c:v>196000</c:v>
                </c:pt>
                <c:pt idx="1456">
                  <c:v>110000</c:v>
                </c:pt>
                <c:pt idx="1457">
                  <c:v>130000</c:v>
                </c:pt>
                <c:pt idx="1458">
                  <c:v>95000</c:v>
                </c:pt>
                <c:pt idx="1459">
                  <c:v>110000</c:v>
                </c:pt>
                <c:pt idx="1460">
                  <c:v>124000</c:v>
                </c:pt>
                <c:pt idx="1461">
                  <c:v>123000</c:v>
                </c:pt>
                <c:pt idx="1462">
                  <c:v>150000</c:v>
                </c:pt>
                <c:pt idx="1463">
                  <c:v>110000</c:v>
                </c:pt>
                <c:pt idx="1464">
                  <c:v>132000</c:v>
                </c:pt>
                <c:pt idx="1465">
                  <c:v>116000</c:v>
                </c:pt>
                <c:pt idx="1466">
                  <c:v>110000</c:v>
                </c:pt>
                <c:pt idx="1467">
                  <c:v>173000</c:v>
                </c:pt>
                <c:pt idx="1468">
                  <c:v>145000</c:v>
                </c:pt>
                <c:pt idx="1469">
                  <c:v>120000</c:v>
                </c:pt>
                <c:pt idx="1470">
                  <c:v>180000</c:v>
                </c:pt>
                <c:pt idx="1471">
                  <c:v>175000</c:v>
                </c:pt>
                <c:pt idx="1472">
                  <c:v>170000</c:v>
                </c:pt>
                <c:pt idx="1473">
                  <c:v>145000</c:v>
                </c:pt>
                <c:pt idx="1474">
                  <c:v>153000</c:v>
                </c:pt>
                <c:pt idx="1475">
                  <c:v>165000</c:v>
                </c:pt>
                <c:pt idx="1476">
                  <c:v>160000</c:v>
                </c:pt>
                <c:pt idx="1477">
                  <c:v>143000</c:v>
                </c:pt>
                <c:pt idx="1478">
                  <c:v>95000</c:v>
                </c:pt>
                <c:pt idx="1479">
                  <c:v>110000</c:v>
                </c:pt>
                <c:pt idx="1480">
                  <c:v>152000</c:v>
                </c:pt>
                <c:pt idx="1481">
                  <c:v>96000</c:v>
                </c:pt>
                <c:pt idx="1482">
                  <c:v>150000</c:v>
                </c:pt>
                <c:pt idx="1483">
                  <c:v>130000</c:v>
                </c:pt>
                <c:pt idx="1484">
                  <c:v>110500</c:v>
                </c:pt>
                <c:pt idx="1485">
                  <c:v>222000</c:v>
                </c:pt>
                <c:pt idx="1486">
                  <c:v>181000</c:v>
                </c:pt>
                <c:pt idx="1487">
                  <c:v>143000</c:v>
                </c:pt>
                <c:pt idx="1488">
                  <c:v>148000</c:v>
                </c:pt>
                <c:pt idx="1489">
                  <c:v>138000</c:v>
                </c:pt>
                <c:pt idx="1490">
                  <c:v>243000</c:v>
                </c:pt>
                <c:pt idx="1491">
                  <c:v>196000</c:v>
                </c:pt>
                <c:pt idx="1492">
                  <c:v>80000</c:v>
                </c:pt>
                <c:pt idx="1493">
                  <c:v>110000</c:v>
                </c:pt>
                <c:pt idx="1494">
                  <c:v>180000</c:v>
                </c:pt>
                <c:pt idx="1495">
                  <c:v>132000</c:v>
                </c:pt>
                <c:pt idx="1496">
                  <c:v>143000</c:v>
                </c:pt>
                <c:pt idx="1497">
                  <c:v>87000</c:v>
                </c:pt>
                <c:pt idx="1498">
                  <c:v>115000</c:v>
                </c:pt>
                <c:pt idx="1499">
                  <c:v>122000</c:v>
                </c:pt>
                <c:pt idx="1500">
                  <c:v>78000</c:v>
                </c:pt>
                <c:pt idx="1501">
                  <c:v>75000</c:v>
                </c:pt>
                <c:pt idx="1502">
                  <c:v>90000</c:v>
                </c:pt>
                <c:pt idx="1503">
                  <c:v>85000</c:v>
                </c:pt>
                <c:pt idx="1504">
                  <c:v>55000</c:v>
                </c:pt>
                <c:pt idx="1505">
                  <c:v>55000</c:v>
                </c:pt>
                <c:pt idx="1506">
                  <c:v>59000</c:v>
                </c:pt>
                <c:pt idx="1507">
                  <c:v>45000</c:v>
                </c:pt>
                <c:pt idx="1508">
                  <c:v>146000</c:v>
                </c:pt>
                <c:pt idx="1509">
                  <c:v>62000</c:v>
                </c:pt>
                <c:pt idx="1510">
                  <c:v>55000</c:v>
                </c:pt>
                <c:pt idx="1511">
                  <c:v>58000</c:v>
                </c:pt>
                <c:pt idx="1512">
                  <c:v>46500</c:v>
                </c:pt>
                <c:pt idx="1513">
                  <c:v>52000</c:v>
                </c:pt>
                <c:pt idx="1514">
                  <c:v>52500</c:v>
                </c:pt>
                <c:pt idx="1515">
                  <c:v>64000</c:v>
                </c:pt>
                <c:pt idx="1516">
                  <c:v>57000</c:v>
                </c:pt>
                <c:pt idx="1517">
                  <c:v>50000</c:v>
                </c:pt>
                <c:pt idx="1518">
                  <c:v>63000</c:v>
                </c:pt>
                <c:pt idx="1519">
                  <c:v>84000</c:v>
                </c:pt>
                <c:pt idx="1520">
                  <c:v>54000</c:v>
                </c:pt>
                <c:pt idx="1521">
                  <c:v>53000</c:v>
                </c:pt>
                <c:pt idx="1522">
                  <c:v>53000</c:v>
                </c:pt>
                <c:pt idx="1523">
                  <c:v>44000</c:v>
                </c:pt>
                <c:pt idx="1524">
                  <c:v>44000</c:v>
                </c:pt>
                <c:pt idx="1525">
                  <c:v>72000</c:v>
                </c:pt>
                <c:pt idx="1526">
                  <c:v>117200</c:v>
                </c:pt>
                <c:pt idx="1527">
                  <c:v>65000</c:v>
                </c:pt>
                <c:pt idx="1528">
                  <c:v>70000</c:v>
                </c:pt>
                <c:pt idx="1529">
                  <c:v>68000</c:v>
                </c:pt>
                <c:pt idx="1530">
                  <c:v>77000</c:v>
                </c:pt>
                <c:pt idx="1531">
                  <c:v>53000</c:v>
                </c:pt>
                <c:pt idx="1532">
                  <c:v>59000</c:v>
                </c:pt>
                <c:pt idx="1533">
                  <c:v>55000</c:v>
                </c:pt>
                <c:pt idx="1534">
                  <c:v>63000</c:v>
                </c:pt>
                <c:pt idx="1535">
                  <c:v>53000</c:v>
                </c:pt>
                <c:pt idx="1536">
                  <c:v>55000</c:v>
                </c:pt>
                <c:pt idx="1537">
                  <c:v>55000</c:v>
                </c:pt>
                <c:pt idx="1538">
                  <c:v>30000</c:v>
                </c:pt>
                <c:pt idx="1539">
                  <c:v>67000</c:v>
                </c:pt>
                <c:pt idx="1540">
                  <c:v>50000</c:v>
                </c:pt>
                <c:pt idx="1541">
                  <c:v>118000</c:v>
                </c:pt>
                <c:pt idx="1542">
                  <c:v>58000</c:v>
                </c:pt>
                <c:pt idx="1543">
                  <c:v>65000</c:v>
                </c:pt>
                <c:pt idx="1544">
                  <c:v>40000</c:v>
                </c:pt>
                <c:pt idx="1545">
                  <c:v>100000</c:v>
                </c:pt>
                <c:pt idx="1546">
                  <c:v>55000</c:v>
                </c:pt>
                <c:pt idx="1547">
                  <c:v>89000</c:v>
                </c:pt>
                <c:pt idx="1548">
                  <c:v>110000</c:v>
                </c:pt>
                <c:pt idx="1549">
                  <c:v>140000</c:v>
                </c:pt>
                <c:pt idx="1550">
                  <c:v>140000</c:v>
                </c:pt>
                <c:pt idx="1551">
                  <c:v>140000</c:v>
                </c:pt>
                <c:pt idx="1552">
                  <c:v>141000</c:v>
                </c:pt>
                <c:pt idx="1553">
                  <c:v>141000</c:v>
                </c:pt>
                <c:pt idx="1554">
                  <c:v>58000</c:v>
                </c:pt>
                <c:pt idx="1555">
                  <c:v>40000</c:v>
                </c:pt>
                <c:pt idx="1556">
                  <c:v>47000</c:v>
                </c:pt>
                <c:pt idx="1557">
                  <c:v>73000</c:v>
                </c:pt>
                <c:pt idx="1558">
                  <c:v>65000</c:v>
                </c:pt>
                <c:pt idx="1559">
                  <c:v>110000</c:v>
                </c:pt>
                <c:pt idx="1560">
                  <c:v>63000</c:v>
                </c:pt>
                <c:pt idx="1561">
                  <c:v>35000</c:v>
                </c:pt>
                <c:pt idx="1562">
                  <c:v>28000</c:v>
                </c:pt>
                <c:pt idx="1563">
                  <c:v>62000</c:v>
                </c:pt>
                <c:pt idx="1564">
                  <c:v>44000</c:v>
                </c:pt>
                <c:pt idx="1565">
                  <c:v>54000</c:v>
                </c:pt>
                <c:pt idx="1566">
                  <c:v>63000</c:v>
                </c:pt>
                <c:pt idx="1567">
                  <c:v>60000</c:v>
                </c:pt>
                <c:pt idx="1568">
                  <c:v>95000</c:v>
                </c:pt>
                <c:pt idx="1569">
                  <c:v>50000</c:v>
                </c:pt>
                <c:pt idx="1570">
                  <c:v>49000</c:v>
                </c:pt>
                <c:pt idx="1571">
                  <c:v>68000</c:v>
                </c:pt>
                <c:pt idx="1572">
                  <c:v>55000</c:v>
                </c:pt>
                <c:pt idx="1573">
                  <c:v>52000</c:v>
                </c:pt>
                <c:pt idx="1574">
                  <c:v>55000</c:v>
                </c:pt>
                <c:pt idx="1575">
                  <c:v>46000</c:v>
                </c:pt>
                <c:pt idx="1576">
                  <c:v>44000</c:v>
                </c:pt>
                <c:pt idx="1577">
                  <c:v>40000</c:v>
                </c:pt>
                <c:pt idx="1578">
                  <c:v>44000</c:v>
                </c:pt>
                <c:pt idx="1579">
                  <c:v>53000</c:v>
                </c:pt>
                <c:pt idx="1580">
                  <c:v>28000</c:v>
                </c:pt>
                <c:pt idx="1581">
                  <c:v>44000</c:v>
                </c:pt>
                <c:pt idx="1582">
                  <c:v>54000</c:v>
                </c:pt>
                <c:pt idx="1583">
                  <c:v>29000</c:v>
                </c:pt>
                <c:pt idx="1584">
                  <c:v>27000</c:v>
                </c:pt>
                <c:pt idx="1585">
                  <c:v>64000</c:v>
                </c:pt>
                <c:pt idx="1586">
                  <c:v>72000</c:v>
                </c:pt>
                <c:pt idx="1587">
                  <c:v>90000</c:v>
                </c:pt>
                <c:pt idx="1588">
                  <c:v>62000</c:v>
                </c:pt>
                <c:pt idx="1589">
                  <c:v>55000</c:v>
                </c:pt>
                <c:pt idx="1590">
                  <c:v>82000</c:v>
                </c:pt>
                <c:pt idx="1591">
                  <c:v>77000</c:v>
                </c:pt>
                <c:pt idx="1592">
                  <c:v>100000</c:v>
                </c:pt>
                <c:pt idx="1593">
                  <c:v>68000</c:v>
                </c:pt>
                <c:pt idx="1594">
                  <c:v>110000</c:v>
                </c:pt>
                <c:pt idx="1595">
                  <c:v>92000</c:v>
                </c:pt>
                <c:pt idx="1596">
                  <c:v>80000</c:v>
                </c:pt>
                <c:pt idx="1597">
                  <c:v>141000</c:v>
                </c:pt>
                <c:pt idx="1598">
                  <c:v>80000</c:v>
                </c:pt>
                <c:pt idx="1599">
                  <c:v>55000</c:v>
                </c:pt>
                <c:pt idx="1600">
                  <c:v>58000</c:v>
                </c:pt>
                <c:pt idx="1601">
                  <c:v>60000</c:v>
                </c:pt>
                <c:pt idx="1602">
                  <c:v>84000</c:v>
                </c:pt>
                <c:pt idx="1603">
                  <c:v>90000</c:v>
                </c:pt>
                <c:pt idx="1604">
                  <c:v>75000</c:v>
                </c:pt>
                <c:pt idx="1605">
                  <c:v>97000</c:v>
                </c:pt>
                <c:pt idx="1606">
                  <c:v>97000</c:v>
                </c:pt>
                <c:pt idx="1607">
                  <c:v>58000</c:v>
                </c:pt>
                <c:pt idx="1608">
                  <c:v>115000</c:v>
                </c:pt>
                <c:pt idx="1609">
                  <c:v>118000</c:v>
                </c:pt>
                <c:pt idx="1610">
                  <c:v>110000</c:v>
                </c:pt>
                <c:pt idx="1611">
                  <c:v>78000</c:v>
                </c:pt>
                <c:pt idx="1612">
                  <c:v>78000</c:v>
                </c:pt>
                <c:pt idx="1613">
                  <c:v>29000</c:v>
                </c:pt>
                <c:pt idx="1614">
                  <c:v>53000</c:v>
                </c:pt>
                <c:pt idx="1615">
                  <c:v>27000</c:v>
                </c:pt>
                <c:pt idx="1616">
                  <c:v>80000</c:v>
                </c:pt>
                <c:pt idx="1617">
                  <c:v>143000</c:v>
                </c:pt>
                <c:pt idx="1618">
                  <c:v>152000</c:v>
                </c:pt>
                <c:pt idx="1619">
                  <c:v>158000</c:v>
                </c:pt>
                <c:pt idx="1620">
                  <c:v>84000</c:v>
                </c:pt>
                <c:pt idx="1621">
                  <c:v>75000</c:v>
                </c:pt>
                <c:pt idx="1622">
                  <c:v>48000</c:v>
                </c:pt>
                <c:pt idx="1623">
                  <c:v>38000</c:v>
                </c:pt>
                <c:pt idx="1624">
                  <c:v>60000</c:v>
                </c:pt>
                <c:pt idx="1625">
                  <c:v>72000</c:v>
                </c:pt>
                <c:pt idx="1626">
                  <c:v>94000</c:v>
                </c:pt>
                <c:pt idx="1627">
                  <c:v>118000</c:v>
                </c:pt>
                <c:pt idx="1628">
                  <c:v>143000</c:v>
                </c:pt>
                <c:pt idx="1629">
                  <c:v>152000</c:v>
                </c:pt>
                <c:pt idx="1630">
                  <c:v>158000</c:v>
                </c:pt>
                <c:pt idx="1631">
                  <c:v>82000</c:v>
                </c:pt>
                <c:pt idx="1632">
                  <c:v>82000</c:v>
                </c:pt>
                <c:pt idx="1633">
                  <c:v>107000</c:v>
                </c:pt>
                <c:pt idx="1634">
                  <c:v>110000</c:v>
                </c:pt>
                <c:pt idx="1635">
                  <c:v>111000</c:v>
                </c:pt>
                <c:pt idx="1636">
                  <c:v>47000</c:v>
                </c:pt>
                <c:pt idx="1637">
                  <c:v>92000</c:v>
                </c:pt>
                <c:pt idx="1638">
                  <c:v>212500</c:v>
                </c:pt>
                <c:pt idx="1639">
                  <c:v>238000</c:v>
                </c:pt>
                <c:pt idx="1640">
                  <c:v>290000</c:v>
                </c:pt>
                <c:pt idx="1641">
                  <c:v>235000</c:v>
                </c:pt>
                <c:pt idx="1642">
                  <c:v>236000</c:v>
                </c:pt>
                <c:pt idx="1643">
                  <c:v>237000</c:v>
                </c:pt>
                <c:pt idx="1644">
                  <c:v>170000</c:v>
                </c:pt>
                <c:pt idx="1645">
                  <c:v>212500</c:v>
                </c:pt>
                <c:pt idx="1646">
                  <c:v>238000</c:v>
                </c:pt>
                <c:pt idx="1647">
                  <c:v>290000</c:v>
                </c:pt>
                <c:pt idx="1648">
                  <c:v>235000</c:v>
                </c:pt>
                <c:pt idx="1649">
                  <c:v>236000</c:v>
                </c:pt>
                <c:pt idx="1650">
                  <c:v>237000</c:v>
                </c:pt>
                <c:pt idx="1651">
                  <c:v>143000</c:v>
                </c:pt>
                <c:pt idx="1652">
                  <c:v>203000</c:v>
                </c:pt>
                <c:pt idx="1653">
                  <c:v>213500</c:v>
                </c:pt>
                <c:pt idx="1654">
                  <c:v>203500</c:v>
                </c:pt>
                <c:pt idx="1655">
                  <c:v>116000</c:v>
                </c:pt>
                <c:pt idx="1656">
                  <c:v>140000</c:v>
                </c:pt>
                <c:pt idx="1657">
                  <c:v>142500</c:v>
                </c:pt>
                <c:pt idx="1658">
                  <c:v>144000</c:v>
                </c:pt>
                <c:pt idx="1659">
                  <c:v>128000</c:v>
                </c:pt>
                <c:pt idx="1660">
                  <c:v>120000</c:v>
                </c:pt>
                <c:pt idx="1661">
                  <c:v>125000</c:v>
                </c:pt>
                <c:pt idx="1662">
                  <c:v>105000</c:v>
                </c:pt>
                <c:pt idx="1663">
                  <c:v>105000</c:v>
                </c:pt>
                <c:pt idx="1664">
                  <c:v>130000</c:v>
                </c:pt>
                <c:pt idx="1665">
                  <c:v>95000</c:v>
                </c:pt>
                <c:pt idx="1666">
                  <c:v>95000</c:v>
                </c:pt>
                <c:pt idx="1667">
                  <c:v>95000</c:v>
                </c:pt>
                <c:pt idx="1668">
                  <c:v>99000</c:v>
                </c:pt>
                <c:pt idx="1669">
                  <c:v>120000</c:v>
                </c:pt>
                <c:pt idx="1670">
                  <c:v>95000</c:v>
                </c:pt>
                <c:pt idx="1671">
                  <c:v>116000</c:v>
                </c:pt>
                <c:pt idx="1672">
                  <c:v>142500</c:v>
                </c:pt>
                <c:pt idx="1673">
                  <c:v>143000</c:v>
                </c:pt>
                <c:pt idx="1674">
                  <c:v>143000</c:v>
                </c:pt>
                <c:pt idx="1675">
                  <c:v>143000</c:v>
                </c:pt>
                <c:pt idx="1676">
                  <c:v>140000</c:v>
                </c:pt>
                <c:pt idx="1677">
                  <c:v>110000</c:v>
                </c:pt>
                <c:pt idx="1678">
                  <c:v>192000</c:v>
                </c:pt>
                <c:pt idx="1679">
                  <c:v>125000</c:v>
                </c:pt>
                <c:pt idx="1680">
                  <c:v>213000</c:v>
                </c:pt>
                <c:pt idx="1681">
                  <c:v>203000</c:v>
                </c:pt>
                <c:pt idx="1682">
                  <c:v>213500</c:v>
                </c:pt>
                <c:pt idx="1683">
                  <c:v>149000</c:v>
                </c:pt>
                <c:pt idx="1684">
                  <c:v>116000</c:v>
                </c:pt>
                <c:pt idx="1685">
                  <c:v>116000</c:v>
                </c:pt>
                <c:pt idx="1686">
                  <c:v>93000</c:v>
                </c:pt>
                <c:pt idx="1687">
                  <c:v>125000</c:v>
                </c:pt>
                <c:pt idx="1688">
                  <c:v>79000</c:v>
                </c:pt>
                <c:pt idx="1689">
                  <c:v>75000</c:v>
                </c:pt>
                <c:pt idx="1690">
                  <c:v>116000</c:v>
                </c:pt>
                <c:pt idx="1691">
                  <c:v>116000</c:v>
                </c:pt>
                <c:pt idx="1692">
                  <c:v>105000</c:v>
                </c:pt>
                <c:pt idx="1693">
                  <c:v>77000</c:v>
                </c:pt>
                <c:pt idx="1694">
                  <c:v>238000</c:v>
                </c:pt>
                <c:pt idx="1695">
                  <c:v>238000</c:v>
                </c:pt>
                <c:pt idx="1696">
                  <c:v>226500</c:v>
                </c:pt>
                <c:pt idx="1697">
                  <c:v>213000</c:v>
                </c:pt>
                <c:pt idx="1698">
                  <c:v>227000</c:v>
                </c:pt>
                <c:pt idx="1699">
                  <c:v>227500</c:v>
                </c:pt>
                <c:pt idx="1700">
                  <c:v>203000</c:v>
                </c:pt>
                <c:pt idx="1701">
                  <c:v>170000</c:v>
                </c:pt>
                <c:pt idx="1702">
                  <c:v>170000</c:v>
                </c:pt>
                <c:pt idx="1703">
                  <c:v>187000</c:v>
                </c:pt>
                <c:pt idx="1704">
                  <c:v>190000</c:v>
                </c:pt>
                <c:pt idx="1705">
                  <c:v>188000</c:v>
                </c:pt>
                <c:pt idx="1706">
                  <c:v>191000</c:v>
                </c:pt>
                <c:pt idx="1707">
                  <c:v>188000</c:v>
                </c:pt>
                <c:pt idx="1708">
                  <c:v>191000</c:v>
                </c:pt>
                <c:pt idx="1709">
                  <c:v>143000</c:v>
                </c:pt>
                <c:pt idx="1710">
                  <c:v>157000</c:v>
                </c:pt>
                <c:pt idx="1711">
                  <c:v>157000</c:v>
                </c:pt>
                <c:pt idx="1712">
                  <c:v>157000</c:v>
                </c:pt>
                <c:pt idx="1713">
                  <c:v>157000</c:v>
                </c:pt>
                <c:pt idx="1714">
                  <c:v>160000</c:v>
                </c:pt>
                <c:pt idx="1715">
                  <c:v>236000</c:v>
                </c:pt>
                <c:pt idx="1716">
                  <c:v>234000</c:v>
                </c:pt>
                <c:pt idx="1717">
                  <c:v>246000</c:v>
                </c:pt>
                <c:pt idx="1718">
                  <c:v>237000</c:v>
                </c:pt>
                <c:pt idx="1719">
                  <c:v>249000</c:v>
                </c:pt>
                <c:pt idx="1720">
                  <c:v>221000</c:v>
                </c:pt>
                <c:pt idx="1721">
                  <c:v>143000</c:v>
                </c:pt>
                <c:pt idx="1722">
                  <c:v>157000</c:v>
                </c:pt>
                <c:pt idx="1723">
                  <c:v>190000</c:v>
                </c:pt>
                <c:pt idx="1724">
                  <c:v>188000</c:v>
                </c:pt>
                <c:pt idx="1725">
                  <c:v>191000</c:v>
                </c:pt>
                <c:pt idx="1726">
                  <c:v>188000</c:v>
                </c:pt>
                <c:pt idx="1727">
                  <c:v>191000</c:v>
                </c:pt>
                <c:pt idx="1728">
                  <c:v>164000</c:v>
                </c:pt>
                <c:pt idx="1729">
                  <c:v>199000</c:v>
                </c:pt>
                <c:pt idx="1730">
                  <c:v>203000</c:v>
                </c:pt>
                <c:pt idx="1731">
                  <c:v>157000</c:v>
                </c:pt>
                <c:pt idx="1732">
                  <c:v>226500</c:v>
                </c:pt>
                <c:pt idx="1733">
                  <c:v>227000</c:v>
                </c:pt>
                <c:pt idx="1734">
                  <c:v>227500</c:v>
                </c:pt>
                <c:pt idx="1735">
                  <c:v>203500</c:v>
                </c:pt>
                <c:pt idx="1736">
                  <c:v>236000</c:v>
                </c:pt>
                <c:pt idx="1737">
                  <c:v>232000</c:v>
                </c:pt>
                <c:pt idx="1738">
                  <c:v>234000</c:v>
                </c:pt>
                <c:pt idx="1739">
                  <c:v>246000</c:v>
                </c:pt>
                <c:pt idx="1740">
                  <c:v>237000</c:v>
                </c:pt>
                <c:pt idx="1741">
                  <c:v>249000</c:v>
                </c:pt>
                <c:pt idx="1742">
                  <c:v>238000</c:v>
                </c:pt>
                <c:pt idx="1743">
                  <c:v>217000</c:v>
                </c:pt>
                <c:pt idx="1744">
                  <c:v>231000</c:v>
                </c:pt>
                <c:pt idx="1745">
                  <c:v>165000</c:v>
                </c:pt>
                <c:pt idx="1746">
                  <c:v>238000</c:v>
                </c:pt>
                <c:pt idx="1747">
                  <c:v>232000</c:v>
                </c:pt>
                <c:pt idx="1748">
                  <c:v>238000</c:v>
                </c:pt>
                <c:pt idx="1749">
                  <c:v>215000</c:v>
                </c:pt>
                <c:pt idx="1750">
                  <c:v>200000</c:v>
                </c:pt>
                <c:pt idx="1751">
                  <c:v>180000</c:v>
                </c:pt>
                <c:pt idx="1752">
                  <c:v>260000</c:v>
                </c:pt>
                <c:pt idx="1753">
                  <c:v>390000</c:v>
                </c:pt>
                <c:pt idx="1754">
                  <c:v>400000</c:v>
                </c:pt>
                <c:pt idx="1755">
                  <c:v>250000</c:v>
                </c:pt>
                <c:pt idx="1756">
                  <c:v>250000</c:v>
                </c:pt>
                <c:pt idx="1757">
                  <c:v>268000</c:v>
                </c:pt>
                <c:pt idx="1758">
                  <c:v>250000</c:v>
                </c:pt>
                <c:pt idx="1759">
                  <c:v>239000</c:v>
                </c:pt>
                <c:pt idx="1760">
                  <c:v>247000</c:v>
                </c:pt>
                <c:pt idx="1761">
                  <c:v>260000</c:v>
                </c:pt>
                <c:pt idx="1762">
                  <c:v>390000</c:v>
                </c:pt>
                <c:pt idx="1763">
                  <c:v>400000</c:v>
                </c:pt>
                <c:pt idx="1764">
                  <c:v>350000</c:v>
                </c:pt>
                <c:pt idx="1765">
                  <c:v>350000</c:v>
                </c:pt>
                <c:pt idx="1766">
                  <c:v>350000</c:v>
                </c:pt>
                <c:pt idx="1767">
                  <c:v>256000</c:v>
                </c:pt>
                <c:pt idx="1768">
                  <c:v>256000</c:v>
                </c:pt>
                <c:pt idx="1769">
                  <c:v>230000</c:v>
                </c:pt>
                <c:pt idx="1770">
                  <c:v>268000</c:v>
                </c:pt>
                <c:pt idx="1771">
                  <c:v>250000</c:v>
                </c:pt>
                <c:pt idx="1772">
                  <c:v>250000</c:v>
                </c:pt>
                <c:pt idx="1773">
                  <c:v>250000</c:v>
                </c:pt>
                <c:pt idx="1774">
                  <c:v>560000</c:v>
                </c:pt>
                <c:pt idx="1775">
                  <c:v>560000</c:v>
                </c:pt>
                <c:pt idx="1776">
                  <c:v>330000</c:v>
                </c:pt>
                <c:pt idx="1777">
                  <c:v>330000</c:v>
                </c:pt>
                <c:pt idx="1778">
                  <c:v>114000</c:v>
                </c:pt>
                <c:pt idx="1779">
                  <c:v>115500</c:v>
                </c:pt>
                <c:pt idx="1780">
                  <c:v>114000</c:v>
                </c:pt>
                <c:pt idx="1781">
                  <c:v>115500</c:v>
                </c:pt>
                <c:pt idx="1782">
                  <c:v>114000</c:v>
                </c:pt>
                <c:pt idx="1783">
                  <c:v>115500</c:v>
                </c:pt>
                <c:pt idx="1784">
                  <c:v>114000</c:v>
                </c:pt>
                <c:pt idx="1785">
                  <c:v>115500</c:v>
                </c:pt>
                <c:pt idx="1786">
                  <c:v>115500</c:v>
                </c:pt>
                <c:pt idx="1787">
                  <c:v>114000</c:v>
                </c:pt>
                <c:pt idx="1788">
                  <c:v>115500</c:v>
                </c:pt>
                <c:pt idx="1789">
                  <c:v>115000</c:v>
                </c:pt>
                <c:pt idx="1790">
                  <c:v>114000</c:v>
                </c:pt>
                <c:pt idx="1791">
                  <c:v>115500</c:v>
                </c:pt>
                <c:pt idx="1792">
                  <c:v>115000</c:v>
                </c:pt>
                <c:pt idx="1793">
                  <c:v>115000</c:v>
                </c:pt>
                <c:pt idx="1794">
                  <c:v>116500</c:v>
                </c:pt>
                <c:pt idx="1795">
                  <c:v>115000</c:v>
                </c:pt>
                <c:pt idx="1796">
                  <c:v>116500</c:v>
                </c:pt>
                <c:pt idx="1797">
                  <c:v>116500</c:v>
                </c:pt>
                <c:pt idx="1798">
                  <c:v>115500</c:v>
                </c:pt>
                <c:pt idx="1799">
                  <c:v>189000</c:v>
                </c:pt>
                <c:pt idx="1800">
                  <c:v>115000</c:v>
                </c:pt>
                <c:pt idx="1801">
                  <c:v>90000</c:v>
                </c:pt>
                <c:pt idx="1802">
                  <c:v>90000</c:v>
                </c:pt>
                <c:pt idx="1803">
                  <c:v>91000</c:v>
                </c:pt>
                <c:pt idx="1804">
                  <c:v>94000</c:v>
                </c:pt>
                <c:pt idx="1805">
                  <c:v>92000</c:v>
                </c:pt>
                <c:pt idx="1806">
                  <c:v>95000</c:v>
                </c:pt>
                <c:pt idx="1807">
                  <c:v>95000</c:v>
                </c:pt>
                <c:pt idx="1808">
                  <c:v>47000</c:v>
                </c:pt>
                <c:pt idx="1809">
                  <c:v>78000</c:v>
                </c:pt>
                <c:pt idx="1810">
                  <c:v>73000</c:v>
                </c:pt>
                <c:pt idx="1811">
                  <c:v>79500</c:v>
                </c:pt>
                <c:pt idx="1812">
                  <c:v>75000</c:v>
                </c:pt>
                <c:pt idx="1813">
                  <c:v>74000</c:v>
                </c:pt>
                <c:pt idx="1814">
                  <c:v>79000</c:v>
                </c:pt>
                <c:pt idx="1815">
                  <c:v>82000</c:v>
                </c:pt>
                <c:pt idx="1816">
                  <c:v>83000</c:v>
                </c:pt>
                <c:pt idx="1817">
                  <c:v>86000</c:v>
                </c:pt>
                <c:pt idx="1818">
                  <c:v>88000</c:v>
                </c:pt>
                <c:pt idx="1819">
                  <c:v>89000</c:v>
                </c:pt>
                <c:pt idx="1820">
                  <c:v>86000</c:v>
                </c:pt>
                <c:pt idx="1821">
                  <c:v>88000</c:v>
                </c:pt>
                <c:pt idx="1822">
                  <c:v>89000</c:v>
                </c:pt>
                <c:pt idx="1823">
                  <c:v>74000</c:v>
                </c:pt>
                <c:pt idx="1824">
                  <c:v>79000</c:v>
                </c:pt>
                <c:pt idx="1825">
                  <c:v>114000</c:v>
                </c:pt>
                <c:pt idx="1826">
                  <c:v>115500</c:v>
                </c:pt>
                <c:pt idx="1827">
                  <c:v>115500</c:v>
                </c:pt>
                <c:pt idx="1828">
                  <c:v>115500</c:v>
                </c:pt>
                <c:pt idx="1829">
                  <c:v>115500</c:v>
                </c:pt>
                <c:pt idx="1830">
                  <c:v>115000</c:v>
                </c:pt>
                <c:pt idx="1831">
                  <c:v>116500</c:v>
                </c:pt>
                <c:pt idx="1832">
                  <c:v>191000</c:v>
                </c:pt>
                <c:pt idx="1833">
                  <c:v>73000</c:v>
                </c:pt>
                <c:pt idx="1834">
                  <c:v>187000</c:v>
                </c:pt>
                <c:pt idx="1835">
                  <c:v>189000</c:v>
                </c:pt>
                <c:pt idx="1836">
                  <c:v>187000</c:v>
                </c:pt>
                <c:pt idx="1837">
                  <c:v>189000</c:v>
                </c:pt>
                <c:pt idx="1838">
                  <c:v>189000</c:v>
                </c:pt>
                <c:pt idx="1839">
                  <c:v>187000</c:v>
                </c:pt>
                <c:pt idx="1840">
                  <c:v>189000</c:v>
                </c:pt>
                <c:pt idx="1841">
                  <c:v>191000</c:v>
                </c:pt>
                <c:pt idx="1842">
                  <c:v>189000</c:v>
                </c:pt>
                <c:pt idx="1843">
                  <c:v>191000</c:v>
                </c:pt>
                <c:pt idx="1844">
                  <c:v>189000</c:v>
                </c:pt>
                <c:pt idx="1845">
                  <c:v>191000</c:v>
                </c:pt>
                <c:pt idx="1846">
                  <c:v>189000</c:v>
                </c:pt>
                <c:pt idx="1847">
                  <c:v>191000</c:v>
                </c:pt>
                <c:pt idx="1848">
                  <c:v>191000</c:v>
                </c:pt>
                <c:pt idx="1849">
                  <c:v>192000</c:v>
                </c:pt>
                <c:pt idx="1850">
                  <c:v>190000</c:v>
                </c:pt>
                <c:pt idx="1851">
                  <c:v>192000</c:v>
                </c:pt>
                <c:pt idx="1852">
                  <c:v>210000</c:v>
                </c:pt>
                <c:pt idx="1853">
                  <c:v>116000</c:v>
                </c:pt>
                <c:pt idx="1854">
                  <c:v>112000</c:v>
                </c:pt>
                <c:pt idx="1855">
                  <c:v>140000</c:v>
                </c:pt>
                <c:pt idx="1856">
                  <c:v>140000</c:v>
                </c:pt>
                <c:pt idx="1857">
                  <c:v>140000</c:v>
                </c:pt>
                <c:pt idx="1858">
                  <c:v>142000</c:v>
                </c:pt>
                <c:pt idx="1859">
                  <c:v>142000</c:v>
                </c:pt>
                <c:pt idx="1860">
                  <c:v>140000</c:v>
                </c:pt>
                <c:pt idx="1861">
                  <c:v>140000</c:v>
                </c:pt>
                <c:pt idx="1862">
                  <c:v>189000</c:v>
                </c:pt>
                <c:pt idx="1863">
                  <c:v>189000</c:v>
                </c:pt>
                <c:pt idx="1864">
                  <c:v>189000</c:v>
                </c:pt>
                <c:pt idx="1865">
                  <c:v>189000</c:v>
                </c:pt>
                <c:pt idx="1866">
                  <c:v>183000</c:v>
                </c:pt>
                <c:pt idx="1867">
                  <c:v>191000</c:v>
                </c:pt>
                <c:pt idx="1868">
                  <c:v>191000</c:v>
                </c:pt>
                <c:pt idx="1869">
                  <c:v>191000</c:v>
                </c:pt>
                <c:pt idx="1870">
                  <c:v>150500</c:v>
                </c:pt>
                <c:pt idx="1871">
                  <c:v>149000</c:v>
                </c:pt>
                <c:pt idx="1872">
                  <c:v>192000</c:v>
                </c:pt>
                <c:pt idx="1873">
                  <c:v>192000</c:v>
                </c:pt>
                <c:pt idx="1874">
                  <c:v>210000</c:v>
                </c:pt>
                <c:pt idx="1875">
                  <c:v>120000</c:v>
                </c:pt>
                <c:pt idx="1876">
                  <c:v>116000</c:v>
                </c:pt>
                <c:pt idx="1877">
                  <c:v>152000</c:v>
                </c:pt>
                <c:pt idx="1878">
                  <c:v>152000</c:v>
                </c:pt>
                <c:pt idx="1879">
                  <c:v>120000</c:v>
                </c:pt>
                <c:pt idx="1880">
                  <c:v>183000</c:v>
                </c:pt>
                <c:pt idx="1881">
                  <c:v>150500</c:v>
                </c:pt>
                <c:pt idx="1882">
                  <c:v>149000</c:v>
                </c:pt>
                <c:pt idx="1883">
                  <c:v>71000</c:v>
                </c:pt>
                <c:pt idx="1884">
                  <c:v>44000</c:v>
                </c:pt>
                <c:pt idx="1885">
                  <c:v>52000</c:v>
                </c:pt>
                <c:pt idx="1886">
                  <c:v>48000</c:v>
                </c:pt>
                <c:pt idx="1887">
                  <c:v>47000</c:v>
                </c:pt>
                <c:pt idx="1888">
                  <c:v>61000</c:v>
                </c:pt>
                <c:pt idx="1889">
                  <c:v>75000</c:v>
                </c:pt>
                <c:pt idx="1890">
                  <c:v>66000</c:v>
                </c:pt>
                <c:pt idx="1891">
                  <c:v>70000</c:v>
                </c:pt>
                <c:pt idx="1892">
                  <c:v>74000</c:v>
                </c:pt>
                <c:pt idx="1893">
                  <c:v>48000</c:v>
                </c:pt>
                <c:pt idx="1894">
                  <c:v>58000</c:v>
                </c:pt>
                <c:pt idx="1895">
                  <c:v>58000</c:v>
                </c:pt>
                <c:pt idx="1896">
                  <c:v>106000</c:v>
                </c:pt>
                <c:pt idx="1897">
                  <c:v>58000</c:v>
                </c:pt>
                <c:pt idx="1898">
                  <c:v>48000</c:v>
                </c:pt>
                <c:pt idx="1899">
                  <c:v>61000</c:v>
                </c:pt>
                <c:pt idx="1900">
                  <c:v>48000</c:v>
                </c:pt>
                <c:pt idx="1901">
                  <c:v>70000</c:v>
                </c:pt>
                <c:pt idx="1902">
                  <c:v>74000</c:v>
                </c:pt>
                <c:pt idx="1903">
                  <c:v>98000</c:v>
                </c:pt>
                <c:pt idx="1904">
                  <c:v>90000</c:v>
                </c:pt>
                <c:pt idx="1905">
                  <c:v>110000</c:v>
                </c:pt>
                <c:pt idx="1906">
                  <c:v>85000</c:v>
                </c:pt>
                <c:pt idx="1907">
                  <c:v>90000</c:v>
                </c:pt>
                <c:pt idx="1908">
                  <c:v>82000</c:v>
                </c:pt>
                <c:pt idx="1909">
                  <c:v>88000</c:v>
                </c:pt>
                <c:pt idx="1910">
                  <c:v>73000</c:v>
                </c:pt>
                <c:pt idx="1911">
                  <c:v>73000</c:v>
                </c:pt>
                <c:pt idx="1912">
                  <c:v>188000</c:v>
                </c:pt>
                <c:pt idx="1913">
                  <c:v>230000</c:v>
                </c:pt>
                <c:pt idx="1914">
                  <c:v>230000</c:v>
                </c:pt>
                <c:pt idx="1915">
                  <c:v>230000</c:v>
                </c:pt>
                <c:pt idx="1916">
                  <c:v>180000</c:v>
                </c:pt>
                <c:pt idx="1917">
                  <c:v>223000</c:v>
                </c:pt>
                <c:pt idx="1918">
                  <c:v>188000</c:v>
                </c:pt>
                <c:pt idx="1919">
                  <c:v>183000</c:v>
                </c:pt>
                <c:pt idx="1920">
                  <c:v>184000</c:v>
                </c:pt>
                <c:pt idx="1921">
                  <c:v>223000</c:v>
                </c:pt>
                <c:pt idx="1922">
                  <c:v>183000</c:v>
                </c:pt>
                <c:pt idx="1923">
                  <c:v>184000</c:v>
                </c:pt>
                <c:pt idx="1924">
                  <c:v>145000</c:v>
                </c:pt>
                <c:pt idx="1925">
                  <c:v>158000</c:v>
                </c:pt>
                <c:pt idx="1926">
                  <c:v>140000</c:v>
                </c:pt>
                <c:pt idx="1927">
                  <c:v>139500</c:v>
                </c:pt>
                <c:pt idx="1928">
                  <c:v>140000</c:v>
                </c:pt>
                <c:pt idx="1929">
                  <c:v>140500</c:v>
                </c:pt>
                <c:pt idx="1930">
                  <c:v>141500</c:v>
                </c:pt>
                <c:pt idx="1931">
                  <c:v>140000</c:v>
                </c:pt>
                <c:pt idx="1932">
                  <c:v>143000</c:v>
                </c:pt>
                <c:pt idx="1933">
                  <c:v>144000</c:v>
                </c:pt>
                <c:pt idx="1934">
                  <c:v>144000</c:v>
                </c:pt>
                <c:pt idx="1935">
                  <c:v>107000</c:v>
                </c:pt>
                <c:pt idx="1936">
                  <c:v>158000</c:v>
                </c:pt>
                <c:pt idx="1937">
                  <c:v>146000</c:v>
                </c:pt>
                <c:pt idx="1938">
                  <c:v>151000</c:v>
                </c:pt>
                <c:pt idx="1939">
                  <c:v>152000</c:v>
                </c:pt>
                <c:pt idx="1940">
                  <c:v>85000</c:v>
                </c:pt>
                <c:pt idx="1941">
                  <c:v>140000</c:v>
                </c:pt>
                <c:pt idx="1942">
                  <c:v>140000</c:v>
                </c:pt>
                <c:pt idx="1943">
                  <c:v>139500</c:v>
                </c:pt>
                <c:pt idx="1944">
                  <c:v>141500</c:v>
                </c:pt>
                <c:pt idx="1945">
                  <c:v>67000</c:v>
                </c:pt>
                <c:pt idx="1946">
                  <c:v>102000</c:v>
                </c:pt>
                <c:pt idx="1947">
                  <c:v>87000</c:v>
                </c:pt>
                <c:pt idx="1948">
                  <c:v>140000</c:v>
                </c:pt>
                <c:pt idx="1949">
                  <c:v>78000</c:v>
                </c:pt>
                <c:pt idx="1950">
                  <c:v>148000</c:v>
                </c:pt>
                <c:pt idx="1951">
                  <c:v>93000</c:v>
                </c:pt>
                <c:pt idx="1952">
                  <c:v>95000</c:v>
                </c:pt>
                <c:pt idx="1953">
                  <c:v>105000</c:v>
                </c:pt>
                <c:pt idx="1954">
                  <c:v>105000</c:v>
                </c:pt>
                <c:pt idx="1955">
                  <c:v>145000</c:v>
                </c:pt>
                <c:pt idx="1956">
                  <c:v>155000</c:v>
                </c:pt>
                <c:pt idx="1957">
                  <c:v>159000</c:v>
                </c:pt>
                <c:pt idx="1958">
                  <c:v>163000</c:v>
                </c:pt>
                <c:pt idx="1959">
                  <c:v>157000</c:v>
                </c:pt>
                <c:pt idx="1960">
                  <c:v>165000</c:v>
                </c:pt>
                <c:pt idx="1961">
                  <c:v>159000</c:v>
                </c:pt>
                <c:pt idx="1962">
                  <c:v>167000</c:v>
                </c:pt>
                <c:pt idx="1963">
                  <c:v>179000</c:v>
                </c:pt>
                <c:pt idx="1964">
                  <c:v>110000</c:v>
                </c:pt>
                <c:pt idx="1965">
                  <c:v>77000</c:v>
                </c:pt>
                <c:pt idx="1966">
                  <c:v>125000</c:v>
                </c:pt>
                <c:pt idx="1967">
                  <c:v>100000</c:v>
                </c:pt>
                <c:pt idx="1968">
                  <c:v>125000</c:v>
                </c:pt>
                <c:pt idx="1969">
                  <c:v>142000</c:v>
                </c:pt>
                <c:pt idx="1970">
                  <c:v>148000</c:v>
                </c:pt>
                <c:pt idx="1971">
                  <c:v>177000</c:v>
                </c:pt>
                <c:pt idx="1972">
                  <c:v>136000</c:v>
                </c:pt>
                <c:pt idx="1973">
                  <c:v>143000</c:v>
                </c:pt>
                <c:pt idx="1974">
                  <c:v>146000</c:v>
                </c:pt>
                <c:pt idx="1975">
                  <c:v>79000</c:v>
                </c:pt>
                <c:pt idx="1976">
                  <c:v>130000</c:v>
                </c:pt>
                <c:pt idx="1977">
                  <c:v>155000</c:v>
                </c:pt>
                <c:pt idx="1978">
                  <c:v>164000</c:v>
                </c:pt>
                <c:pt idx="1979">
                  <c:v>140000</c:v>
                </c:pt>
                <c:pt idx="1980">
                  <c:v>110000</c:v>
                </c:pt>
                <c:pt idx="1981">
                  <c:v>144000</c:v>
                </c:pt>
                <c:pt idx="1982">
                  <c:v>170000</c:v>
                </c:pt>
                <c:pt idx="1983">
                  <c:v>78000</c:v>
                </c:pt>
                <c:pt idx="1984">
                  <c:v>151000</c:v>
                </c:pt>
                <c:pt idx="1985">
                  <c:v>105000</c:v>
                </c:pt>
                <c:pt idx="1986">
                  <c:v>179000</c:v>
                </c:pt>
                <c:pt idx="1987">
                  <c:v>198000</c:v>
                </c:pt>
                <c:pt idx="1988">
                  <c:v>93000</c:v>
                </c:pt>
                <c:pt idx="1989">
                  <c:v>142000</c:v>
                </c:pt>
                <c:pt idx="1990">
                  <c:v>78000</c:v>
                </c:pt>
                <c:pt idx="1991">
                  <c:v>104000</c:v>
                </c:pt>
                <c:pt idx="1992">
                  <c:v>130000</c:v>
                </c:pt>
                <c:pt idx="1993">
                  <c:v>135000</c:v>
                </c:pt>
                <c:pt idx="1994">
                  <c:v>113000</c:v>
                </c:pt>
                <c:pt idx="1995">
                  <c:v>120000</c:v>
                </c:pt>
                <c:pt idx="1996">
                  <c:v>120000</c:v>
                </c:pt>
                <c:pt idx="1997">
                  <c:v>73000</c:v>
                </c:pt>
                <c:pt idx="1998">
                  <c:v>116000</c:v>
                </c:pt>
                <c:pt idx="1999">
                  <c:v>140000</c:v>
                </c:pt>
                <c:pt idx="2000">
                  <c:v>130000</c:v>
                </c:pt>
                <c:pt idx="2001">
                  <c:v>142000</c:v>
                </c:pt>
                <c:pt idx="2002">
                  <c:v>144000</c:v>
                </c:pt>
                <c:pt idx="2003">
                  <c:v>140000</c:v>
                </c:pt>
                <c:pt idx="2004">
                  <c:v>135000</c:v>
                </c:pt>
                <c:pt idx="2005">
                  <c:v>145000</c:v>
                </c:pt>
                <c:pt idx="2006">
                  <c:v>150000</c:v>
                </c:pt>
                <c:pt idx="2007">
                  <c:v>65000</c:v>
                </c:pt>
                <c:pt idx="2008">
                  <c:v>141000</c:v>
                </c:pt>
                <c:pt idx="2009">
                  <c:v>133000</c:v>
                </c:pt>
                <c:pt idx="2010">
                  <c:v>120000</c:v>
                </c:pt>
                <c:pt idx="2011">
                  <c:v>92000</c:v>
                </c:pt>
                <c:pt idx="2012">
                  <c:v>98000</c:v>
                </c:pt>
                <c:pt idx="2013">
                  <c:v>90000</c:v>
                </c:pt>
                <c:pt idx="2014">
                  <c:v>60000</c:v>
                </c:pt>
                <c:pt idx="2015">
                  <c:v>120000</c:v>
                </c:pt>
                <c:pt idx="2016">
                  <c:v>120000</c:v>
                </c:pt>
                <c:pt idx="2017">
                  <c:v>117000</c:v>
                </c:pt>
                <c:pt idx="2018">
                  <c:v>126000</c:v>
                </c:pt>
                <c:pt idx="2019">
                  <c:v>99000</c:v>
                </c:pt>
                <c:pt idx="2020">
                  <c:v>115000</c:v>
                </c:pt>
                <c:pt idx="2021">
                  <c:v>70000</c:v>
                </c:pt>
                <c:pt idx="2022">
                  <c:v>74000</c:v>
                </c:pt>
                <c:pt idx="2023">
                  <c:v>74000</c:v>
                </c:pt>
                <c:pt idx="2024">
                  <c:v>77000</c:v>
                </c:pt>
                <c:pt idx="2025">
                  <c:v>94000</c:v>
                </c:pt>
                <c:pt idx="2026">
                  <c:v>75000</c:v>
                </c:pt>
                <c:pt idx="2027">
                  <c:v>66000</c:v>
                </c:pt>
                <c:pt idx="2028">
                  <c:v>105000</c:v>
                </c:pt>
                <c:pt idx="2029">
                  <c:v>143000</c:v>
                </c:pt>
                <c:pt idx="2030">
                  <c:v>109000</c:v>
                </c:pt>
                <c:pt idx="2031">
                  <c:v>119000</c:v>
                </c:pt>
                <c:pt idx="2032">
                  <c:v>121000</c:v>
                </c:pt>
                <c:pt idx="2033">
                  <c:v>140000</c:v>
                </c:pt>
                <c:pt idx="2034">
                  <c:v>130000</c:v>
                </c:pt>
                <c:pt idx="2035">
                  <c:v>79000</c:v>
                </c:pt>
                <c:pt idx="2036">
                  <c:v>140000</c:v>
                </c:pt>
                <c:pt idx="2037">
                  <c:v>144000</c:v>
                </c:pt>
                <c:pt idx="2038">
                  <c:v>148000</c:v>
                </c:pt>
                <c:pt idx="2039">
                  <c:v>149000</c:v>
                </c:pt>
                <c:pt idx="2040">
                  <c:v>126000</c:v>
                </c:pt>
                <c:pt idx="2041">
                  <c:v>75000</c:v>
                </c:pt>
                <c:pt idx="2042">
                  <c:v>73000</c:v>
                </c:pt>
                <c:pt idx="2043">
                  <c:v>65000</c:v>
                </c:pt>
                <c:pt idx="2044">
                  <c:v>130000</c:v>
                </c:pt>
                <c:pt idx="2045">
                  <c:v>144000</c:v>
                </c:pt>
                <c:pt idx="2046">
                  <c:v>140000</c:v>
                </c:pt>
                <c:pt idx="2047">
                  <c:v>135000</c:v>
                </c:pt>
                <c:pt idx="2048">
                  <c:v>139000</c:v>
                </c:pt>
                <c:pt idx="2049">
                  <c:v>145000</c:v>
                </c:pt>
                <c:pt idx="2050">
                  <c:v>79000</c:v>
                </c:pt>
                <c:pt idx="2051">
                  <c:v>86000</c:v>
                </c:pt>
                <c:pt idx="2052">
                  <c:v>92000</c:v>
                </c:pt>
                <c:pt idx="2053">
                  <c:v>97000</c:v>
                </c:pt>
                <c:pt idx="2054">
                  <c:v>75000</c:v>
                </c:pt>
                <c:pt idx="2055">
                  <c:v>68000</c:v>
                </c:pt>
                <c:pt idx="2056">
                  <c:v>96000</c:v>
                </c:pt>
                <c:pt idx="2057">
                  <c:v>75000</c:v>
                </c:pt>
                <c:pt idx="2058">
                  <c:v>72000</c:v>
                </c:pt>
                <c:pt idx="2059">
                  <c:v>70000</c:v>
                </c:pt>
                <c:pt idx="2060">
                  <c:v>95000</c:v>
                </c:pt>
                <c:pt idx="2061">
                  <c:v>72000</c:v>
                </c:pt>
                <c:pt idx="2062">
                  <c:v>115000</c:v>
                </c:pt>
                <c:pt idx="2063">
                  <c:v>125000</c:v>
                </c:pt>
                <c:pt idx="2064">
                  <c:v>125000</c:v>
                </c:pt>
                <c:pt idx="2065">
                  <c:v>57000</c:v>
                </c:pt>
                <c:pt idx="2066">
                  <c:v>119000</c:v>
                </c:pt>
                <c:pt idx="2067">
                  <c:v>110000</c:v>
                </c:pt>
                <c:pt idx="2068">
                  <c:v>145000</c:v>
                </c:pt>
                <c:pt idx="2069">
                  <c:v>112000</c:v>
                </c:pt>
                <c:pt idx="2070">
                  <c:v>73000</c:v>
                </c:pt>
                <c:pt idx="2071">
                  <c:v>74000</c:v>
                </c:pt>
                <c:pt idx="2072">
                  <c:v>77000</c:v>
                </c:pt>
                <c:pt idx="2073">
                  <c:v>110000</c:v>
                </c:pt>
                <c:pt idx="2074">
                  <c:v>110000</c:v>
                </c:pt>
                <c:pt idx="2075">
                  <c:v>72000</c:v>
                </c:pt>
                <c:pt idx="2076">
                  <c:v>68000</c:v>
                </c:pt>
                <c:pt idx="2077">
                  <c:v>106000</c:v>
                </c:pt>
                <c:pt idx="2078">
                  <c:v>117000</c:v>
                </c:pt>
                <c:pt idx="2079">
                  <c:v>126000</c:v>
                </c:pt>
                <c:pt idx="2080">
                  <c:v>106000</c:v>
                </c:pt>
                <c:pt idx="2081">
                  <c:v>100000</c:v>
                </c:pt>
                <c:pt idx="2082">
                  <c:v>69500</c:v>
                </c:pt>
                <c:pt idx="2083">
                  <c:v>113000</c:v>
                </c:pt>
                <c:pt idx="2084">
                  <c:v>85000</c:v>
                </c:pt>
                <c:pt idx="2085">
                  <c:v>63000</c:v>
                </c:pt>
                <c:pt idx="2086">
                  <c:v>60000</c:v>
                </c:pt>
                <c:pt idx="2087">
                  <c:v>80000</c:v>
                </c:pt>
                <c:pt idx="2088">
                  <c:v>80000</c:v>
                </c:pt>
                <c:pt idx="2089">
                  <c:v>149000</c:v>
                </c:pt>
                <c:pt idx="2090">
                  <c:v>146000</c:v>
                </c:pt>
                <c:pt idx="2091">
                  <c:v>73000</c:v>
                </c:pt>
                <c:pt idx="2092">
                  <c:v>81000</c:v>
                </c:pt>
                <c:pt idx="2093">
                  <c:v>120000</c:v>
                </c:pt>
                <c:pt idx="2094">
                  <c:v>81000</c:v>
                </c:pt>
                <c:pt idx="2095">
                  <c:v>85000</c:v>
                </c:pt>
                <c:pt idx="2096">
                  <c:v>75000</c:v>
                </c:pt>
                <c:pt idx="2097">
                  <c:v>89000</c:v>
                </c:pt>
                <c:pt idx="2098">
                  <c:v>90000</c:v>
                </c:pt>
                <c:pt idx="2099">
                  <c:v>92000</c:v>
                </c:pt>
                <c:pt idx="2100">
                  <c:v>101000</c:v>
                </c:pt>
                <c:pt idx="2101">
                  <c:v>109000</c:v>
                </c:pt>
                <c:pt idx="2102">
                  <c:v>110000</c:v>
                </c:pt>
                <c:pt idx="2103">
                  <c:v>119000</c:v>
                </c:pt>
                <c:pt idx="2104">
                  <c:v>108000</c:v>
                </c:pt>
                <c:pt idx="2105">
                  <c:v>119000</c:v>
                </c:pt>
                <c:pt idx="2106">
                  <c:v>116000</c:v>
                </c:pt>
                <c:pt idx="2107">
                  <c:v>112000</c:v>
                </c:pt>
                <c:pt idx="2108">
                  <c:v>45000</c:v>
                </c:pt>
                <c:pt idx="2109">
                  <c:v>90000</c:v>
                </c:pt>
                <c:pt idx="2110">
                  <c:v>65000</c:v>
                </c:pt>
                <c:pt idx="2111">
                  <c:v>85000</c:v>
                </c:pt>
                <c:pt idx="2112">
                  <c:v>75000</c:v>
                </c:pt>
                <c:pt idx="2113">
                  <c:v>70000</c:v>
                </c:pt>
                <c:pt idx="2114">
                  <c:v>55000</c:v>
                </c:pt>
                <c:pt idx="2115">
                  <c:v>112000</c:v>
                </c:pt>
                <c:pt idx="2116">
                  <c:v>108000</c:v>
                </c:pt>
                <c:pt idx="2117">
                  <c:v>120000</c:v>
                </c:pt>
                <c:pt idx="2118">
                  <c:v>67000</c:v>
                </c:pt>
                <c:pt idx="2119">
                  <c:v>80000</c:v>
                </c:pt>
                <c:pt idx="2120">
                  <c:v>100000</c:v>
                </c:pt>
                <c:pt idx="2121">
                  <c:v>85000</c:v>
                </c:pt>
                <c:pt idx="2122">
                  <c:v>112000</c:v>
                </c:pt>
                <c:pt idx="2123">
                  <c:v>120000</c:v>
                </c:pt>
                <c:pt idx="2124">
                  <c:v>87000</c:v>
                </c:pt>
                <c:pt idx="2125">
                  <c:v>133000</c:v>
                </c:pt>
                <c:pt idx="2126">
                  <c:v>119000</c:v>
                </c:pt>
                <c:pt idx="2127">
                  <c:v>110000</c:v>
                </c:pt>
                <c:pt idx="2128">
                  <c:v>145000</c:v>
                </c:pt>
                <c:pt idx="2129">
                  <c:v>143000</c:v>
                </c:pt>
                <c:pt idx="2130">
                  <c:v>140000</c:v>
                </c:pt>
                <c:pt idx="2131">
                  <c:v>144000</c:v>
                </c:pt>
                <c:pt idx="2132">
                  <c:v>148000</c:v>
                </c:pt>
                <c:pt idx="2133">
                  <c:v>123000</c:v>
                </c:pt>
                <c:pt idx="2134">
                  <c:v>87000</c:v>
                </c:pt>
                <c:pt idx="2135">
                  <c:v>70000</c:v>
                </c:pt>
                <c:pt idx="2136">
                  <c:v>79000</c:v>
                </c:pt>
                <c:pt idx="2137">
                  <c:v>30000</c:v>
                </c:pt>
                <c:pt idx="2138">
                  <c:v>52000</c:v>
                </c:pt>
                <c:pt idx="2139">
                  <c:v>57000</c:v>
                </c:pt>
                <c:pt idx="2140">
                  <c:v>58000</c:v>
                </c:pt>
                <c:pt idx="2141">
                  <c:v>85000</c:v>
                </c:pt>
                <c:pt idx="2142">
                  <c:v>85000</c:v>
                </c:pt>
                <c:pt idx="2143">
                  <c:v>75000</c:v>
                </c:pt>
                <c:pt idx="2144">
                  <c:v>98000</c:v>
                </c:pt>
                <c:pt idx="2145">
                  <c:v>60000</c:v>
                </c:pt>
                <c:pt idx="2146">
                  <c:v>75000</c:v>
                </c:pt>
                <c:pt idx="2147">
                  <c:v>66000</c:v>
                </c:pt>
                <c:pt idx="2148">
                  <c:v>74000</c:v>
                </c:pt>
                <c:pt idx="2149">
                  <c:v>124000</c:v>
                </c:pt>
                <c:pt idx="2150">
                  <c:v>120000</c:v>
                </c:pt>
                <c:pt idx="2151">
                  <c:v>130000</c:v>
                </c:pt>
                <c:pt idx="2152">
                  <c:v>74000</c:v>
                </c:pt>
                <c:pt idx="2153">
                  <c:v>65000</c:v>
                </c:pt>
                <c:pt idx="2154">
                  <c:v>85000</c:v>
                </c:pt>
                <c:pt idx="2155">
                  <c:v>119000</c:v>
                </c:pt>
                <c:pt idx="2156">
                  <c:v>121000</c:v>
                </c:pt>
                <c:pt idx="2157">
                  <c:v>70000</c:v>
                </c:pt>
                <c:pt idx="2158">
                  <c:v>68000</c:v>
                </c:pt>
                <c:pt idx="2159">
                  <c:v>123000</c:v>
                </c:pt>
                <c:pt idx="2160">
                  <c:v>106500</c:v>
                </c:pt>
                <c:pt idx="2161">
                  <c:v>116000</c:v>
                </c:pt>
                <c:pt idx="2162">
                  <c:v>120000</c:v>
                </c:pt>
                <c:pt idx="2163">
                  <c:v>86000</c:v>
                </c:pt>
                <c:pt idx="2164">
                  <c:v>92000</c:v>
                </c:pt>
                <c:pt idx="2165">
                  <c:v>97000</c:v>
                </c:pt>
                <c:pt idx="2166">
                  <c:v>149000</c:v>
                </c:pt>
                <c:pt idx="2167">
                  <c:v>146000</c:v>
                </c:pt>
                <c:pt idx="2168">
                  <c:v>150000</c:v>
                </c:pt>
                <c:pt idx="2169">
                  <c:v>85000</c:v>
                </c:pt>
                <c:pt idx="2170">
                  <c:v>117000</c:v>
                </c:pt>
                <c:pt idx="2171">
                  <c:v>126000</c:v>
                </c:pt>
                <c:pt idx="2172">
                  <c:v>65000</c:v>
                </c:pt>
                <c:pt idx="2173">
                  <c:v>125000</c:v>
                </c:pt>
                <c:pt idx="2174">
                  <c:v>129000</c:v>
                </c:pt>
                <c:pt idx="2175">
                  <c:v>117000</c:v>
                </c:pt>
                <c:pt idx="2176">
                  <c:v>126000</c:v>
                </c:pt>
                <c:pt idx="2177">
                  <c:v>126000</c:v>
                </c:pt>
                <c:pt idx="2178">
                  <c:v>137000</c:v>
                </c:pt>
                <c:pt idx="2179">
                  <c:v>100000</c:v>
                </c:pt>
                <c:pt idx="2180">
                  <c:v>106000</c:v>
                </c:pt>
                <c:pt idx="2181">
                  <c:v>120000</c:v>
                </c:pt>
                <c:pt idx="2182">
                  <c:v>110000</c:v>
                </c:pt>
                <c:pt idx="2183">
                  <c:v>110000</c:v>
                </c:pt>
                <c:pt idx="2184">
                  <c:v>105000</c:v>
                </c:pt>
                <c:pt idx="2185">
                  <c:v>90000</c:v>
                </c:pt>
                <c:pt idx="2186">
                  <c:v>80000</c:v>
                </c:pt>
                <c:pt idx="2187">
                  <c:v>140000</c:v>
                </c:pt>
                <c:pt idx="2188">
                  <c:v>106000</c:v>
                </c:pt>
                <c:pt idx="2189">
                  <c:v>130000</c:v>
                </c:pt>
                <c:pt idx="2190">
                  <c:v>79000</c:v>
                </c:pt>
                <c:pt idx="2191">
                  <c:v>123000</c:v>
                </c:pt>
                <c:pt idx="2192">
                  <c:v>103000</c:v>
                </c:pt>
                <c:pt idx="2193">
                  <c:v>154000</c:v>
                </c:pt>
                <c:pt idx="2194">
                  <c:v>155000</c:v>
                </c:pt>
                <c:pt idx="2195">
                  <c:v>239800</c:v>
                </c:pt>
                <c:pt idx="2196">
                  <c:v>192000</c:v>
                </c:pt>
                <c:pt idx="2197">
                  <c:v>200000</c:v>
                </c:pt>
                <c:pt idx="2198">
                  <c:v>215000</c:v>
                </c:pt>
                <c:pt idx="2199">
                  <c:v>221000</c:v>
                </c:pt>
                <c:pt idx="2200">
                  <c:v>225000</c:v>
                </c:pt>
                <c:pt idx="2201">
                  <c:v>164000</c:v>
                </c:pt>
                <c:pt idx="2202">
                  <c:v>95000</c:v>
                </c:pt>
                <c:pt idx="2203">
                  <c:v>184000</c:v>
                </c:pt>
                <c:pt idx="2204">
                  <c:v>180000</c:v>
                </c:pt>
                <c:pt idx="2205">
                  <c:v>185000</c:v>
                </c:pt>
                <c:pt idx="2206">
                  <c:v>168000</c:v>
                </c:pt>
                <c:pt idx="2207">
                  <c:v>168000</c:v>
                </c:pt>
                <c:pt idx="2208">
                  <c:v>170000</c:v>
                </c:pt>
                <c:pt idx="2209">
                  <c:v>175000</c:v>
                </c:pt>
                <c:pt idx="2210">
                  <c:v>180000</c:v>
                </c:pt>
                <c:pt idx="2211">
                  <c:v>174000</c:v>
                </c:pt>
                <c:pt idx="2212">
                  <c:v>176000</c:v>
                </c:pt>
                <c:pt idx="2213">
                  <c:v>167000</c:v>
                </c:pt>
                <c:pt idx="2214">
                  <c:v>168000</c:v>
                </c:pt>
                <c:pt idx="2215">
                  <c:v>200000</c:v>
                </c:pt>
                <c:pt idx="2216">
                  <c:v>180000</c:v>
                </c:pt>
                <c:pt idx="2217">
                  <c:v>198700</c:v>
                </c:pt>
                <c:pt idx="2218">
                  <c:v>195000</c:v>
                </c:pt>
                <c:pt idx="2219">
                  <c:v>170000</c:v>
                </c:pt>
                <c:pt idx="2220">
                  <c:v>210000</c:v>
                </c:pt>
                <c:pt idx="2221">
                  <c:v>290000</c:v>
                </c:pt>
                <c:pt idx="2222">
                  <c:v>185000</c:v>
                </c:pt>
                <c:pt idx="2223">
                  <c:v>185000</c:v>
                </c:pt>
                <c:pt idx="2224">
                  <c:v>137000</c:v>
                </c:pt>
                <c:pt idx="2225">
                  <c:v>145000</c:v>
                </c:pt>
                <c:pt idx="2226">
                  <c:v>145000</c:v>
                </c:pt>
                <c:pt idx="2227">
                  <c:v>168000</c:v>
                </c:pt>
                <c:pt idx="2228">
                  <c:v>98000</c:v>
                </c:pt>
                <c:pt idx="2229">
                  <c:v>225000</c:v>
                </c:pt>
                <c:pt idx="2230">
                  <c:v>237000</c:v>
                </c:pt>
                <c:pt idx="2231">
                  <c:v>267000</c:v>
                </c:pt>
                <c:pt idx="2232">
                  <c:v>215000</c:v>
                </c:pt>
                <c:pt idx="2233">
                  <c:v>233000</c:v>
                </c:pt>
                <c:pt idx="2234">
                  <c:v>241000</c:v>
                </c:pt>
                <c:pt idx="2235">
                  <c:v>211000</c:v>
                </c:pt>
                <c:pt idx="2236">
                  <c:v>247000</c:v>
                </c:pt>
                <c:pt idx="2237">
                  <c:v>226000</c:v>
                </c:pt>
                <c:pt idx="2238">
                  <c:v>238000</c:v>
                </c:pt>
                <c:pt idx="2239">
                  <c:v>193000</c:v>
                </c:pt>
                <c:pt idx="2240">
                  <c:v>203000</c:v>
                </c:pt>
                <c:pt idx="2241">
                  <c:v>150000</c:v>
                </c:pt>
                <c:pt idx="2242">
                  <c:v>164000</c:v>
                </c:pt>
                <c:pt idx="2243">
                  <c:v>192000</c:v>
                </c:pt>
                <c:pt idx="2244">
                  <c:v>190000</c:v>
                </c:pt>
                <c:pt idx="2245">
                  <c:v>192000</c:v>
                </c:pt>
                <c:pt idx="2246">
                  <c:v>196000</c:v>
                </c:pt>
                <c:pt idx="2247">
                  <c:v>192000</c:v>
                </c:pt>
                <c:pt idx="2248">
                  <c:v>185000</c:v>
                </c:pt>
                <c:pt idx="2249">
                  <c:v>190000</c:v>
                </c:pt>
                <c:pt idx="2250">
                  <c:v>191000</c:v>
                </c:pt>
                <c:pt idx="2251">
                  <c:v>197000</c:v>
                </c:pt>
                <c:pt idx="2252">
                  <c:v>130000</c:v>
                </c:pt>
                <c:pt idx="2253">
                  <c:v>156000</c:v>
                </c:pt>
                <c:pt idx="2254">
                  <c:v>156000</c:v>
                </c:pt>
                <c:pt idx="2255">
                  <c:v>85000</c:v>
                </c:pt>
                <c:pt idx="2256">
                  <c:v>115000</c:v>
                </c:pt>
                <c:pt idx="2257">
                  <c:v>134000</c:v>
                </c:pt>
                <c:pt idx="2258">
                  <c:v>155000</c:v>
                </c:pt>
                <c:pt idx="2259">
                  <c:v>164000</c:v>
                </c:pt>
                <c:pt idx="2260">
                  <c:v>221000</c:v>
                </c:pt>
                <c:pt idx="2261">
                  <c:v>225000</c:v>
                </c:pt>
                <c:pt idx="2262">
                  <c:v>135000</c:v>
                </c:pt>
                <c:pt idx="2263">
                  <c:v>167000</c:v>
                </c:pt>
                <c:pt idx="2264">
                  <c:v>290000</c:v>
                </c:pt>
                <c:pt idx="2265">
                  <c:v>155000</c:v>
                </c:pt>
                <c:pt idx="2266">
                  <c:v>137000</c:v>
                </c:pt>
                <c:pt idx="2267">
                  <c:v>185000</c:v>
                </c:pt>
                <c:pt idx="2268">
                  <c:v>150000</c:v>
                </c:pt>
                <c:pt idx="2269">
                  <c:v>100000</c:v>
                </c:pt>
                <c:pt idx="2270">
                  <c:v>154000</c:v>
                </c:pt>
                <c:pt idx="2271">
                  <c:v>130000</c:v>
                </c:pt>
                <c:pt idx="2272">
                  <c:v>125000</c:v>
                </c:pt>
                <c:pt idx="2273">
                  <c:v>95000</c:v>
                </c:pt>
                <c:pt idx="2274">
                  <c:v>192000</c:v>
                </c:pt>
                <c:pt idx="2275">
                  <c:v>190000</c:v>
                </c:pt>
                <c:pt idx="2276">
                  <c:v>192000</c:v>
                </c:pt>
                <c:pt idx="2277">
                  <c:v>196000</c:v>
                </c:pt>
                <c:pt idx="2278">
                  <c:v>168000</c:v>
                </c:pt>
                <c:pt idx="2279">
                  <c:v>174000</c:v>
                </c:pt>
                <c:pt idx="2280">
                  <c:v>210000</c:v>
                </c:pt>
                <c:pt idx="2281">
                  <c:v>225000</c:v>
                </c:pt>
                <c:pt idx="2282">
                  <c:v>237000</c:v>
                </c:pt>
                <c:pt idx="2283">
                  <c:v>267000</c:v>
                </c:pt>
                <c:pt idx="2284">
                  <c:v>241000</c:v>
                </c:pt>
                <c:pt idx="2285">
                  <c:v>226000</c:v>
                </c:pt>
                <c:pt idx="2286">
                  <c:v>238000</c:v>
                </c:pt>
                <c:pt idx="2287">
                  <c:v>184000</c:v>
                </c:pt>
                <c:pt idx="2288">
                  <c:v>180000</c:v>
                </c:pt>
                <c:pt idx="2289">
                  <c:v>185000</c:v>
                </c:pt>
                <c:pt idx="2290">
                  <c:v>168000</c:v>
                </c:pt>
                <c:pt idx="2291">
                  <c:v>168000</c:v>
                </c:pt>
                <c:pt idx="2292">
                  <c:v>170000</c:v>
                </c:pt>
                <c:pt idx="2293">
                  <c:v>175000</c:v>
                </c:pt>
                <c:pt idx="2294">
                  <c:v>180000</c:v>
                </c:pt>
                <c:pt idx="2295">
                  <c:v>145000</c:v>
                </c:pt>
                <c:pt idx="2296">
                  <c:v>200000</c:v>
                </c:pt>
                <c:pt idx="2297">
                  <c:v>188000</c:v>
                </c:pt>
                <c:pt idx="2298">
                  <c:v>188000</c:v>
                </c:pt>
                <c:pt idx="2299">
                  <c:v>185000</c:v>
                </c:pt>
                <c:pt idx="2300">
                  <c:v>185000</c:v>
                </c:pt>
                <c:pt idx="2301">
                  <c:v>160000</c:v>
                </c:pt>
                <c:pt idx="2302">
                  <c:v>195000</c:v>
                </c:pt>
                <c:pt idx="2303">
                  <c:v>179000</c:v>
                </c:pt>
                <c:pt idx="2304">
                  <c:v>200000</c:v>
                </c:pt>
                <c:pt idx="2305">
                  <c:v>215000</c:v>
                </c:pt>
                <c:pt idx="2306">
                  <c:v>168000</c:v>
                </c:pt>
                <c:pt idx="2307">
                  <c:v>188000</c:v>
                </c:pt>
                <c:pt idx="2308">
                  <c:v>188000</c:v>
                </c:pt>
                <c:pt idx="2309">
                  <c:v>169000</c:v>
                </c:pt>
                <c:pt idx="2310">
                  <c:v>169000</c:v>
                </c:pt>
                <c:pt idx="2311">
                  <c:v>179000</c:v>
                </c:pt>
                <c:pt idx="2312">
                  <c:v>89000</c:v>
                </c:pt>
                <c:pt idx="2313">
                  <c:v>62000</c:v>
                </c:pt>
                <c:pt idx="2314">
                  <c:v>105000</c:v>
                </c:pt>
                <c:pt idx="2315">
                  <c:v>56000</c:v>
                </c:pt>
                <c:pt idx="2316">
                  <c:v>104000</c:v>
                </c:pt>
                <c:pt idx="2317">
                  <c:v>107000</c:v>
                </c:pt>
                <c:pt idx="2318">
                  <c:v>109000</c:v>
                </c:pt>
                <c:pt idx="2319">
                  <c:v>100000</c:v>
                </c:pt>
                <c:pt idx="2320">
                  <c:v>120000</c:v>
                </c:pt>
                <c:pt idx="2321">
                  <c:v>75000</c:v>
                </c:pt>
                <c:pt idx="2322">
                  <c:v>110000</c:v>
                </c:pt>
                <c:pt idx="2323">
                  <c:v>119500</c:v>
                </c:pt>
                <c:pt idx="2324">
                  <c:v>131000</c:v>
                </c:pt>
                <c:pt idx="2325">
                  <c:v>118000</c:v>
                </c:pt>
                <c:pt idx="2326">
                  <c:v>138000</c:v>
                </c:pt>
                <c:pt idx="2327">
                  <c:v>139000</c:v>
                </c:pt>
                <c:pt idx="2328">
                  <c:v>129000</c:v>
                </c:pt>
                <c:pt idx="2329">
                  <c:v>141000</c:v>
                </c:pt>
                <c:pt idx="2330">
                  <c:v>73000</c:v>
                </c:pt>
                <c:pt idx="2331">
                  <c:v>65000</c:v>
                </c:pt>
                <c:pt idx="2332">
                  <c:v>48000</c:v>
                </c:pt>
                <c:pt idx="2333">
                  <c:v>55000</c:v>
                </c:pt>
                <c:pt idx="2334">
                  <c:v>80000</c:v>
                </c:pt>
                <c:pt idx="2335">
                  <c:v>123000</c:v>
                </c:pt>
                <c:pt idx="2336">
                  <c:v>52000</c:v>
                </c:pt>
                <c:pt idx="2337">
                  <c:v>120000</c:v>
                </c:pt>
                <c:pt idx="2338">
                  <c:v>81000</c:v>
                </c:pt>
                <c:pt idx="2339">
                  <c:v>89000</c:v>
                </c:pt>
                <c:pt idx="2340">
                  <c:v>89000</c:v>
                </c:pt>
                <c:pt idx="2341">
                  <c:v>85000</c:v>
                </c:pt>
                <c:pt idx="2342">
                  <c:v>57000</c:v>
                </c:pt>
                <c:pt idx="2343">
                  <c:v>68000</c:v>
                </c:pt>
                <c:pt idx="2344">
                  <c:v>67000</c:v>
                </c:pt>
                <c:pt idx="2345">
                  <c:v>70000</c:v>
                </c:pt>
                <c:pt idx="2346">
                  <c:v>141000</c:v>
                </c:pt>
                <c:pt idx="2347">
                  <c:v>69000</c:v>
                </c:pt>
                <c:pt idx="2348">
                  <c:v>69000</c:v>
                </c:pt>
                <c:pt idx="2349">
                  <c:v>71000</c:v>
                </c:pt>
                <c:pt idx="2350">
                  <c:v>72000</c:v>
                </c:pt>
                <c:pt idx="2351">
                  <c:v>72000</c:v>
                </c:pt>
                <c:pt idx="2352">
                  <c:v>60000</c:v>
                </c:pt>
                <c:pt idx="2353">
                  <c:v>70000</c:v>
                </c:pt>
                <c:pt idx="2354">
                  <c:v>105000</c:v>
                </c:pt>
                <c:pt idx="2355">
                  <c:v>63000</c:v>
                </c:pt>
                <c:pt idx="2356">
                  <c:v>112000</c:v>
                </c:pt>
                <c:pt idx="2357">
                  <c:v>62000</c:v>
                </c:pt>
                <c:pt idx="2358">
                  <c:v>73000</c:v>
                </c:pt>
                <c:pt idx="2359">
                  <c:v>64000</c:v>
                </c:pt>
                <c:pt idx="2360">
                  <c:v>66000</c:v>
                </c:pt>
                <c:pt idx="2361">
                  <c:v>76000</c:v>
                </c:pt>
                <c:pt idx="2362">
                  <c:v>89500</c:v>
                </c:pt>
                <c:pt idx="2363">
                  <c:v>136000</c:v>
                </c:pt>
                <c:pt idx="2364">
                  <c:v>72000</c:v>
                </c:pt>
                <c:pt idx="2365">
                  <c:v>137000</c:v>
                </c:pt>
                <c:pt idx="2366">
                  <c:v>149000</c:v>
                </c:pt>
                <c:pt idx="2367">
                  <c:v>65000</c:v>
                </c:pt>
                <c:pt idx="2368">
                  <c:v>67000</c:v>
                </c:pt>
                <c:pt idx="2369">
                  <c:v>58000</c:v>
                </c:pt>
                <c:pt idx="2370">
                  <c:v>82000</c:v>
                </c:pt>
                <c:pt idx="2371">
                  <c:v>75000</c:v>
                </c:pt>
                <c:pt idx="2372">
                  <c:v>72000</c:v>
                </c:pt>
                <c:pt idx="2373">
                  <c:v>75000</c:v>
                </c:pt>
                <c:pt idx="2374">
                  <c:v>150000</c:v>
                </c:pt>
                <c:pt idx="2375">
                  <c:v>154000</c:v>
                </c:pt>
                <c:pt idx="2376">
                  <c:v>110000</c:v>
                </c:pt>
                <c:pt idx="2377">
                  <c:v>53000</c:v>
                </c:pt>
                <c:pt idx="2378">
                  <c:v>70000</c:v>
                </c:pt>
                <c:pt idx="2379">
                  <c:v>70000</c:v>
                </c:pt>
                <c:pt idx="2380">
                  <c:v>60000</c:v>
                </c:pt>
                <c:pt idx="2381">
                  <c:v>50000</c:v>
                </c:pt>
                <c:pt idx="2382">
                  <c:v>54000</c:v>
                </c:pt>
                <c:pt idx="2383">
                  <c:v>56000</c:v>
                </c:pt>
                <c:pt idx="2384">
                  <c:v>41000</c:v>
                </c:pt>
                <c:pt idx="2385">
                  <c:v>85000</c:v>
                </c:pt>
                <c:pt idx="2386">
                  <c:v>69000</c:v>
                </c:pt>
                <c:pt idx="2387">
                  <c:v>80000</c:v>
                </c:pt>
                <c:pt idx="2388">
                  <c:v>83000</c:v>
                </c:pt>
                <c:pt idx="2389">
                  <c:v>83000</c:v>
                </c:pt>
                <c:pt idx="2390">
                  <c:v>84000</c:v>
                </c:pt>
                <c:pt idx="2391">
                  <c:v>82000</c:v>
                </c:pt>
                <c:pt idx="2392">
                  <c:v>83000</c:v>
                </c:pt>
                <c:pt idx="2393">
                  <c:v>75000</c:v>
                </c:pt>
                <c:pt idx="2394">
                  <c:v>122000</c:v>
                </c:pt>
                <c:pt idx="2395">
                  <c:v>52000</c:v>
                </c:pt>
                <c:pt idx="2396">
                  <c:v>87500</c:v>
                </c:pt>
                <c:pt idx="2397">
                  <c:v>75000</c:v>
                </c:pt>
                <c:pt idx="2398">
                  <c:v>122000</c:v>
                </c:pt>
                <c:pt idx="2399">
                  <c:v>113000</c:v>
                </c:pt>
                <c:pt idx="2400">
                  <c:v>120000</c:v>
                </c:pt>
                <c:pt idx="2401">
                  <c:v>51000</c:v>
                </c:pt>
                <c:pt idx="2402">
                  <c:v>231000</c:v>
                </c:pt>
                <c:pt idx="2403">
                  <c:v>62000</c:v>
                </c:pt>
                <c:pt idx="2404">
                  <c:v>82000</c:v>
                </c:pt>
                <c:pt idx="2405">
                  <c:v>70000</c:v>
                </c:pt>
                <c:pt idx="2406">
                  <c:v>147000</c:v>
                </c:pt>
                <c:pt idx="2407">
                  <c:v>149000</c:v>
                </c:pt>
                <c:pt idx="2408">
                  <c:v>149000</c:v>
                </c:pt>
                <c:pt idx="2409">
                  <c:v>75000</c:v>
                </c:pt>
                <c:pt idx="2410">
                  <c:v>62000</c:v>
                </c:pt>
                <c:pt idx="2411">
                  <c:v>105000</c:v>
                </c:pt>
                <c:pt idx="2412">
                  <c:v>52000</c:v>
                </c:pt>
                <c:pt idx="2413">
                  <c:v>58000</c:v>
                </c:pt>
                <c:pt idx="2414">
                  <c:v>55000</c:v>
                </c:pt>
                <c:pt idx="2415">
                  <c:v>53000</c:v>
                </c:pt>
                <c:pt idx="2416">
                  <c:v>80000</c:v>
                </c:pt>
                <c:pt idx="2417">
                  <c:v>58000</c:v>
                </c:pt>
                <c:pt idx="2418">
                  <c:v>52000</c:v>
                </c:pt>
                <c:pt idx="2419">
                  <c:v>75000</c:v>
                </c:pt>
                <c:pt idx="2420">
                  <c:v>75000</c:v>
                </c:pt>
                <c:pt idx="2421">
                  <c:v>100000</c:v>
                </c:pt>
                <c:pt idx="2422">
                  <c:v>89000</c:v>
                </c:pt>
                <c:pt idx="2423">
                  <c:v>64000</c:v>
                </c:pt>
                <c:pt idx="2424">
                  <c:v>65000</c:v>
                </c:pt>
                <c:pt idx="2425">
                  <c:v>68000</c:v>
                </c:pt>
                <c:pt idx="2426">
                  <c:v>70000</c:v>
                </c:pt>
                <c:pt idx="2427">
                  <c:v>112000</c:v>
                </c:pt>
                <c:pt idx="2428">
                  <c:v>72000</c:v>
                </c:pt>
                <c:pt idx="2429">
                  <c:v>57000</c:v>
                </c:pt>
                <c:pt idx="2430">
                  <c:v>67000</c:v>
                </c:pt>
                <c:pt idx="2431">
                  <c:v>104000</c:v>
                </c:pt>
                <c:pt idx="2432">
                  <c:v>74000</c:v>
                </c:pt>
                <c:pt idx="2433">
                  <c:v>82000</c:v>
                </c:pt>
                <c:pt idx="2434">
                  <c:v>60000</c:v>
                </c:pt>
                <c:pt idx="2435">
                  <c:v>85000</c:v>
                </c:pt>
                <c:pt idx="2436">
                  <c:v>156000</c:v>
                </c:pt>
                <c:pt idx="2437">
                  <c:v>78000</c:v>
                </c:pt>
                <c:pt idx="2438">
                  <c:v>65000</c:v>
                </c:pt>
                <c:pt idx="2439">
                  <c:v>62500</c:v>
                </c:pt>
                <c:pt idx="2440">
                  <c:v>70000</c:v>
                </c:pt>
                <c:pt idx="2441">
                  <c:v>119000</c:v>
                </c:pt>
                <c:pt idx="2442">
                  <c:v>147000</c:v>
                </c:pt>
                <c:pt idx="2443">
                  <c:v>92000</c:v>
                </c:pt>
                <c:pt idx="2444">
                  <c:v>195000</c:v>
                </c:pt>
                <c:pt idx="2445">
                  <c:v>190000</c:v>
                </c:pt>
                <c:pt idx="2446">
                  <c:v>316000</c:v>
                </c:pt>
                <c:pt idx="2447">
                  <c:v>163000</c:v>
                </c:pt>
                <c:pt idx="2448">
                  <c:v>173000</c:v>
                </c:pt>
                <c:pt idx="2449">
                  <c:v>177000</c:v>
                </c:pt>
                <c:pt idx="2450">
                  <c:v>125000</c:v>
                </c:pt>
                <c:pt idx="2451">
                  <c:v>128000</c:v>
                </c:pt>
                <c:pt idx="2452">
                  <c:v>170000</c:v>
                </c:pt>
                <c:pt idx="2453">
                  <c:v>160000</c:v>
                </c:pt>
                <c:pt idx="2454">
                  <c:v>125000</c:v>
                </c:pt>
                <c:pt idx="2455">
                  <c:v>167000</c:v>
                </c:pt>
                <c:pt idx="2456">
                  <c:v>139000</c:v>
                </c:pt>
                <c:pt idx="2457">
                  <c:v>138000</c:v>
                </c:pt>
                <c:pt idx="2458">
                  <c:v>140000</c:v>
                </c:pt>
                <c:pt idx="2459">
                  <c:v>140000</c:v>
                </c:pt>
                <c:pt idx="2460">
                  <c:v>150000</c:v>
                </c:pt>
                <c:pt idx="2461">
                  <c:v>105000</c:v>
                </c:pt>
                <c:pt idx="2462">
                  <c:v>168000</c:v>
                </c:pt>
                <c:pt idx="2463">
                  <c:v>159000</c:v>
                </c:pt>
                <c:pt idx="2464">
                  <c:v>172000</c:v>
                </c:pt>
                <c:pt idx="2465">
                  <c:v>167000</c:v>
                </c:pt>
                <c:pt idx="2466">
                  <c:v>140000</c:v>
                </c:pt>
                <c:pt idx="2467">
                  <c:v>163000</c:v>
                </c:pt>
                <c:pt idx="2468">
                  <c:v>173000</c:v>
                </c:pt>
                <c:pt idx="2469">
                  <c:v>75000</c:v>
                </c:pt>
                <c:pt idx="2470">
                  <c:v>79000</c:v>
                </c:pt>
                <c:pt idx="2471">
                  <c:v>168000</c:v>
                </c:pt>
                <c:pt idx="2472">
                  <c:v>172000</c:v>
                </c:pt>
                <c:pt idx="2473">
                  <c:v>87000</c:v>
                </c:pt>
                <c:pt idx="2474">
                  <c:v>173000</c:v>
                </c:pt>
                <c:pt idx="2475">
                  <c:v>155000</c:v>
                </c:pt>
                <c:pt idx="2476">
                  <c:v>163000</c:v>
                </c:pt>
                <c:pt idx="2477">
                  <c:v>173000</c:v>
                </c:pt>
                <c:pt idx="2478">
                  <c:v>105000</c:v>
                </c:pt>
                <c:pt idx="2479">
                  <c:v>245000</c:v>
                </c:pt>
                <c:pt idx="2480">
                  <c:v>240000</c:v>
                </c:pt>
                <c:pt idx="2481">
                  <c:v>265000</c:v>
                </c:pt>
                <c:pt idx="2482">
                  <c:v>272000</c:v>
                </c:pt>
                <c:pt idx="2483">
                  <c:v>282000</c:v>
                </c:pt>
                <c:pt idx="2484">
                  <c:v>318000</c:v>
                </c:pt>
                <c:pt idx="2485">
                  <c:v>255000</c:v>
                </c:pt>
                <c:pt idx="2486">
                  <c:v>190500</c:v>
                </c:pt>
                <c:pt idx="2487">
                  <c:v>192500</c:v>
                </c:pt>
                <c:pt idx="2488">
                  <c:v>202500</c:v>
                </c:pt>
                <c:pt idx="2489">
                  <c:v>173000</c:v>
                </c:pt>
                <c:pt idx="2490">
                  <c:v>330000</c:v>
                </c:pt>
                <c:pt idx="2491">
                  <c:v>315000</c:v>
                </c:pt>
                <c:pt idx="2492">
                  <c:v>260000</c:v>
                </c:pt>
                <c:pt idx="2493">
                  <c:v>270000</c:v>
                </c:pt>
                <c:pt idx="2494">
                  <c:v>265000</c:v>
                </c:pt>
                <c:pt idx="2495">
                  <c:v>245000</c:v>
                </c:pt>
                <c:pt idx="2496">
                  <c:v>255000</c:v>
                </c:pt>
                <c:pt idx="2497">
                  <c:v>245000</c:v>
                </c:pt>
                <c:pt idx="2498">
                  <c:v>250000</c:v>
                </c:pt>
                <c:pt idx="2499">
                  <c:v>260000</c:v>
                </c:pt>
                <c:pt idx="2500">
                  <c:v>250000</c:v>
                </c:pt>
                <c:pt idx="2501">
                  <c:v>230000</c:v>
                </c:pt>
                <c:pt idx="2502">
                  <c:v>265000</c:v>
                </c:pt>
                <c:pt idx="2503">
                  <c:v>243000</c:v>
                </c:pt>
                <c:pt idx="2504">
                  <c:v>175000</c:v>
                </c:pt>
                <c:pt idx="2505">
                  <c:v>168000</c:v>
                </c:pt>
                <c:pt idx="2506">
                  <c:v>200000</c:v>
                </c:pt>
                <c:pt idx="2507">
                  <c:v>200000</c:v>
                </c:pt>
                <c:pt idx="2508">
                  <c:v>200000</c:v>
                </c:pt>
                <c:pt idx="2509">
                  <c:v>385000</c:v>
                </c:pt>
                <c:pt idx="2510">
                  <c:v>300000</c:v>
                </c:pt>
                <c:pt idx="2511">
                  <c:v>330000</c:v>
                </c:pt>
                <c:pt idx="2512">
                  <c:v>310000</c:v>
                </c:pt>
                <c:pt idx="2513">
                  <c:v>324000</c:v>
                </c:pt>
                <c:pt idx="2514">
                  <c:v>238000</c:v>
                </c:pt>
                <c:pt idx="2515">
                  <c:v>262000</c:v>
                </c:pt>
                <c:pt idx="2516">
                  <c:v>272000</c:v>
                </c:pt>
                <c:pt idx="2517">
                  <c:v>301000</c:v>
                </c:pt>
                <c:pt idx="2518">
                  <c:v>254000</c:v>
                </c:pt>
                <c:pt idx="2519">
                  <c:v>303000</c:v>
                </c:pt>
                <c:pt idx="2520">
                  <c:v>305000</c:v>
                </c:pt>
                <c:pt idx="2521">
                  <c:v>182000</c:v>
                </c:pt>
                <c:pt idx="2522">
                  <c:v>182000</c:v>
                </c:pt>
                <c:pt idx="2523">
                  <c:v>184000</c:v>
                </c:pt>
                <c:pt idx="2524">
                  <c:v>184000</c:v>
                </c:pt>
                <c:pt idx="2525">
                  <c:v>190500</c:v>
                </c:pt>
                <c:pt idx="2526">
                  <c:v>300000</c:v>
                </c:pt>
                <c:pt idx="2527">
                  <c:v>173000</c:v>
                </c:pt>
                <c:pt idx="2528">
                  <c:v>318000</c:v>
                </c:pt>
                <c:pt idx="2529">
                  <c:v>255000</c:v>
                </c:pt>
                <c:pt idx="2530">
                  <c:v>238000</c:v>
                </c:pt>
                <c:pt idx="2531">
                  <c:v>272000</c:v>
                </c:pt>
                <c:pt idx="2532">
                  <c:v>220000</c:v>
                </c:pt>
                <c:pt idx="2533">
                  <c:v>225000</c:v>
                </c:pt>
                <c:pt idx="2534">
                  <c:v>330000</c:v>
                </c:pt>
                <c:pt idx="2535">
                  <c:v>310000</c:v>
                </c:pt>
                <c:pt idx="2536">
                  <c:v>324000</c:v>
                </c:pt>
                <c:pt idx="2537">
                  <c:v>260000</c:v>
                </c:pt>
                <c:pt idx="2538">
                  <c:v>270000</c:v>
                </c:pt>
                <c:pt idx="2539">
                  <c:v>265000</c:v>
                </c:pt>
                <c:pt idx="2540">
                  <c:v>245000</c:v>
                </c:pt>
                <c:pt idx="2541">
                  <c:v>255000</c:v>
                </c:pt>
                <c:pt idx="2542">
                  <c:v>245000</c:v>
                </c:pt>
                <c:pt idx="2543">
                  <c:v>250000</c:v>
                </c:pt>
                <c:pt idx="2544">
                  <c:v>255000</c:v>
                </c:pt>
                <c:pt idx="2545">
                  <c:v>250000</c:v>
                </c:pt>
                <c:pt idx="2546">
                  <c:v>243000</c:v>
                </c:pt>
                <c:pt idx="2547">
                  <c:v>215000</c:v>
                </c:pt>
                <c:pt idx="2548">
                  <c:v>360000</c:v>
                </c:pt>
                <c:pt idx="2549">
                  <c:v>360000</c:v>
                </c:pt>
                <c:pt idx="2550">
                  <c:v>360000</c:v>
                </c:pt>
                <c:pt idx="2551">
                  <c:v>235000</c:v>
                </c:pt>
                <c:pt idx="2552">
                  <c:v>240000</c:v>
                </c:pt>
                <c:pt idx="2553">
                  <c:v>130000</c:v>
                </c:pt>
                <c:pt idx="2554">
                  <c:v>215000</c:v>
                </c:pt>
                <c:pt idx="2555">
                  <c:v>215000</c:v>
                </c:pt>
                <c:pt idx="2556">
                  <c:v>215000</c:v>
                </c:pt>
                <c:pt idx="2557">
                  <c:v>200000</c:v>
                </c:pt>
                <c:pt idx="2558">
                  <c:v>200000</c:v>
                </c:pt>
                <c:pt idx="2559">
                  <c:v>200000</c:v>
                </c:pt>
                <c:pt idx="2560">
                  <c:v>200000</c:v>
                </c:pt>
                <c:pt idx="2561">
                  <c:v>120000</c:v>
                </c:pt>
                <c:pt idx="2562">
                  <c:v>221500</c:v>
                </c:pt>
                <c:pt idx="2563">
                  <c:v>223500</c:v>
                </c:pt>
                <c:pt idx="2564">
                  <c:v>425000</c:v>
                </c:pt>
                <c:pt idx="2565">
                  <c:v>410000</c:v>
                </c:pt>
                <c:pt idx="2566">
                  <c:v>299000</c:v>
                </c:pt>
                <c:pt idx="2567">
                  <c:v>240000</c:v>
                </c:pt>
                <c:pt idx="2568">
                  <c:v>400000</c:v>
                </c:pt>
                <c:pt idx="2569">
                  <c:v>220000</c:v>
                </c:pt>
                <c:pt idx="2570">
                  <c:v>209000</c:v>
                </c:pt>
                <c:pt idx="2571">
                  <c:v>380000</c:v>
                </c:pt>
                <c:pt idx="2572">
                  <c:v>221500</c:v>
                </c:pt>
                <c:pt idx="2573">
                  <c:v>223500</c:v>
                </c:pt>
                <c:pt idx="2574">
                  <c:v>410000</c:v>
                </c:pt>
                <c:pt idx="2575">
                  <c:v>209000</c:v>
                </c:pt>
                <c:pt idx="2576">
                  <c:v>410000</c:v>
                </c:pt>
                <c:pt idx="2577">
                  <c:v>425000</c:v>
                </c:pt>
                <c:pt idx="2578">
                  <c:v>425000</c:v>
                </c:pt>
                <c:pt idx="2579">
                  <c:v>240000</c:v>
                </c:pt>
                <c:pt idx="2580">
                  <c:v>380000</c:v>
                </c:pt>
                <c:pt idx="2581">
                  <c:v>300000</c:v>
                </c:pt>
                <c:pt idx="2582">
                  <c:v>280000</c:v>
                </c:pt>
                <c:pt idx="2583">
                  <c:v>138000</c:v>
                </c:pt>
                <c:pt idx="2584">
                  <c:v>320000</c:v>
                </c:pt>
                <c:pt idx="2585">
                  <c:v>102000</c:v>
                </c:pt>
                <c:pt idx="2586">
                  <c:v>62000</c:v>
                </c:pt>
                <c:pt idx="2587">
                  <c:v>107000</c:v>
                </c:pt>
                <c:pt idx="2588">
                  <c:v>82000</c:v>
                </c:pt>
                <c:pt idx="2589">
                  <c:v>141000</c:v>
                </c:pt>
                <c:pt idx="2590">
                  <c:v>141000</c:v>
                </c:pt>
                <c:pt idx="2591">
                  <c:v>122000</c:v>
                </c:pt>
                <c:pt idx="2592">
                  <c:v>141000</c:v>
                </c:pt>
                <c:pt idx="2593">
                  <c:v>117000</c:v>
                </c:pt>
                <c:pt idx="2594">
                  <c:v>100000</c:v>
                </c:pt>
                <c:pt idx="2595">
                  <c:v>141000</c:v>
                </c:pt>
                <c:pt idx="2596">
                  <c:v>122000</c:v>
                </c:pt>
                <c:pt idx="2597">
                  <c:v>70000</c:v>
                </c:pt>
                <c:pt idx="2598">
                  <c:v>107000</c:v>
                </c:pt>
                <c:pt idx="2599">
                  <c:v>77000</c:v>
                </c:pt>
                <c:pt idx="2600">
                  <c:v>98000</c:v>
                </c:pt>
                <c:pt idx="2601">
                  <c:v>55000</c:v>
                </c:pt>
                <c:pt idx="2602">
                  <c:v>75000</c:v>
                </c:pt>
                <c:pt idx="2603">
                  <c:v>91000</c:v>
                </c:pt>
                <c:pt idx="2604">
                  <c:v>96000</c:v>
                </c:pt>
                <c:pt idx="2605">
                  <c:v>74000</c:v>
                </c:pt>
                <c:pt idx="2606">
                  <c:v>84000</c:v>
                </c:pt>
                <c:pt idx="2607">
                  <c:v>141000</c:v>
                </c:pt>
                <c:pt idx="2608">
                  <c:v>80000</c:v>
                </c:pt>
                <c:pt idx="2609">
                  <c:v>84000</c:v>
                </c:pt>
                <c:pt idx="2610">
                  <c:v>75000</c:v>
                </c:pt>
                <c:pt idx="2611">
                  <c:v>73000</c:v>
                </c:pt>
                <c:pt idx="2612">
                  <c:v>74000</c:v>
                </c:pt>
                <c:pt idx="2613">
                  <c:v>65000</c:v>
                </c:pt>
                <c:pt idx="2614">
                  <c:v>69000</c:v>
                </c:pt>
                <c:pt idx="2615">
                  <c:v>53000</c:v>
                </c:pt>
                <c:pt idx="2616">
                  <c:v>70000</c:v>
                </c:pt>
                <c:pt idx="2617">
                  <c:v>68000</c:v>
                </c:pt>
                <c:pt idx="2618">
                  <c:v>90000</c:v>
                </c:pt>
                <c:pt idx="2619">
                  <c:v>64000</c:v>
                </c:pt>
                <c:pt idx="2620">
                  <c:v>72000</c:v>
                </c:pt>
                <c:pt idx="2621">
                  <c:v>57000</c:v>
                </c:pt>
                <c:pt idx="2622">
                  <c:v>84000</c:v>
                </c:pt>
                <c:pt idx="2623">
                  <c:v>86000</c:v>
                </c:pt>
                <c:pt idx="2624">
                  <c:v>70000</c:v>
                </c:pt>
                <c:pt idx="2625">
                  <c:v>79800</c:v>
                </c:pt>
                <c:pt idx="2626">
                  <c:v>81300</c:v>
                </c:pt>
                <c:pt idx="2627">
                  <c:v>82300</c:v>
                </c:pt>
                <c:pt idx="2628">
                  <c:v>94000</c:v>
                </c:pt>
                <c:pt idx="2629">
                  <c:v>93000</c:v>
                </c:pt>
                <c:pt idx="2630">
                  <c:v>81000</c:v>
                </c:pt>
                <c:pt idx="2631">
                  <c:v>65000</c:v>
                </c:pt>
                <c:pt idx="2632">
                  <c:v>91500</c:v>
                </c:pt>
                <c:pt idx="2633">
                  <c:v>78000</c:v>
                </c:pt>
                <c:pt idx="2634">
                  <c:v>53000</c:v>
                </c:pt>
                <c:pt idx="2635">
                  <c:v>55000</c:v>
                </c:pt>
                <c:pt idx="2636">
                  <c:v>68000</c:v>
                </c:pt>
                <c:pt idx="2637">
                  <c:v>70000</c:v>
                </c:pt>
                <c:pt idx="2638">
                  <c:v>79000</c:v>
                </c:pt>
                <c:pt idx="2639">
                  <c:v>82000</c:v>
                </c:pt>
                <c:pt idx="2640">
                  <c:v>80000</c:v>
                </c:pt>
                <c:pt idx="2641">
                  <c:v>88000</c:v>
                </c:pt>
                <c:pt idx="2642">
                  <c:v>63000</c:v>
                </c:pt>
                <c:pt idx="2643">
                  <c:v>96000</c:v>
                </c:pt>
                <c:pt idx="2644">
                  <c:v>101500</c:v>
                </c:pt>
                <c:pt idx="2645">
                  <c:v>78000</c:v>
                </c:pt>
                <c:pt idx="2646">
                  <c:v>112000</c:v>
                </c:pt>
                <c:pt idx="2647">
                  <c:v>116000</c:v>
                </c:pt>
                <c:pt idx="2648">
                  <c:v>116000</c:v>
                </c:pt>
                <c:pt idx="2649">
                  <c:v>144000</c:v>
                </c:pt>
                <c:pt idx="2650">
                  <c:v>118000</c:v>
                </c:pt>
                <c:pt idx="2651">
                  <c:v>118000</c:v>
                </c:pt>
                <c:pt idx="2652">
                  <c:v>116000</c:v>
                </c:pt>
                <c:pt idx="2653">
                  <c:v>120000</c:v>
                </c:pt>
                <c:pt idx="2654">
                  <c:v>120000</c:v>
                </c:pt>
                <c:pt idx="2655">
                  <c:v>121000</c:v>
                </c:pt>
                <c:pt idx="2656">
                  <c:v>85000</c:v>
                </c:pt>
                <c:pt idx="2657">
                  <c:v>86000</c:v>
                </c:pt>
                <c:pt idx="2658">
                  <c:v>65000</c:v>
                </c:pt>
                <c:pt idx="2659">
                  <c:v>88000</c:v>
                </c:pt>
                <c:pt idx="2660">
                  <c:v>103000</c:v>
                </c:pt>
                <c:pt idx="2661">
                  <c:v>117000</c:v>
                </c:pt>
                <c:pt idx="2662">
                  <c:v>82000</c:v>
                </c:pt>
                <c:pt idx="2663">
                  <c:v>45000</c:v>
                </c:pt>
                <c:pt idx="2664">
                  <c:v>50000</c:v>
                </c:pt>
                <c:pt idx="2665">
                  <c:v>55000</c:v>
                </c:pt>
                <c:pt idx="2666">
                  <c:v>92000</c:v>
                </c:pt>
                <c:pt idx="2667">
                  <c:v>68000</c:v>
                </c:pt>
                <c:pt idx="2668">
                  <c:v>36000</c:v>
                </c:pt>
                <c:pt idx="2669">
                  <c:v>92000</c:v>
                </c:pt>
                <c:pt idx="2670">
                  <c:v>82000</c:v>
                </c:pt>
                <c:pt idx="2671">
                  <c:v>100000</c:v>
                </c:pt>
                <c:pt idx="2672">
                  <c:v>88000</c:v>
                </c:pt>
                <c:pt idx="2673">
                  <c:v>103000</c:v>
                </c:pt>
                <c:pt idx="2674">
                  <c:v>84000</c:v>
                </c:pt>
                <c:pt idx="2675">
                  <c:v>86000</c:v>
                </c:pt>
                <c:pt idx="2676">
                  <c:v>81000</c:v>
                </c:pt>
                <c:pt idx="2677">
                  <c:v>55000</c:v>
                </c:pt>
                <c:pt idx="2678">
                  <c:v>73000</c:v>
                </c:pt>
                <c:pt idx="2679">
                  <c:v>74000</c:v>
                </c:pt>
                <c:pt idx="2680">
                  <c:v>53000</c:v>
                </c:pt>
                <c:pt idx="2681">
                  <c:v>84000</c:v>
                </c:pt>
                <c:pt idx="2682">
                  <c:v>88000</c:v>
                </c:pt>
                <c:pt idx="2683">
                  <c:v>96000</c:v>
                </c:pt>
                <c:pt idx="2684">
                  <c:v>82000</c:v>
                </c:pt>
                <c:pt idx="2685">
                  <c:v>92000</c:v>
                </c:pt>
                <c:pt idx="2686">
                  <c:v>93000</c:v>
                </c:pt>
                <c:pt idx="2687">
                  <c:v>105000</c:v>
                </c:pt>
                <c:pt idx="2688">
                  <c:v>112000</c:v>
                </c:pt>
                <c:pt idx="2689">
                  <c:v>116000</c:v>
                </c:pt>
                <c:pt idx="2690">
                  <c:v>144000</c:v>
                </c:pt>
                <c:pt idx="2691">
                  <c:v>118000</c:v>
                </c:pt>
                <c:pt idx="2692">
                  <c:v>116000</c:v>
                </c:pt>
                <c:pt idx="2693">
                  <c:v>118000</c:v>
                </c:pt>
                <c:pt idx="2694">
                  <c:v>116000</c:v>
                </c:pt>
                <c:pt idx="2695">
                  <c:v>120000</c:v>
                </c:pt>
                <c:pt idx="2696">
                  <c:v>120000</c:v>
                </c:pt>
                <c:pt idx="2697">
                  <c:v>65000</c:v>
                </c:pt>
                <c:pt idx="2698">
                  <c:v>69000</c:v>
                </c:pt>
                <c:pt idx="2699">
                  <c:v>88000</c:v>
                </c:pt>
                <c:pt idx="2700">
                  <c:v>121000</c:v>
                </c:pt>
                <c:pt idx="2701">
                  <c:v>86000</c:v>
                </c:pt>
                <c:pt idx="2702">
                  <c:v>65000</c:v>
                </c:pt>
                <c:pt idx="2703">
                  <c:v>67000</c:v>
                </c:pt>
                <c:pt idx="2704">
                  <c:v>89500</c:v>
                </c:pt>
                <c:pt idx="2705">
                  <c:v>92000</c:v>
                </c:pt>
                <c:pt idx="2706">
                  <c:v>69000</c:v>
                </c:pt>
                <c:pt idx="2707">
                  <c:v>128000</c:v>
                </c:pt>
                <c:pt idx="2708">
                  <c:v>81300</c:v>
                </c:pt>
                <c:pt idx="2709">
                  <c:v>74000</c:v>
                </c:pt>
                <c:pt idx="2710">
                  <c:v>91000</c:v>
                </c:pt>
                <c:pt idx="2711">
                  <c:v>91000</c:v>
                </c:pt>
                <c:pt idx="2712">
                  <c:v>93000</c:v>
                </c:pt>
                <c:pt idx="2713">
                  <c:v>93000</c:v>
                </c:pt>
                <c:pt idx="2714">
                  <c:v>72000</c:v>
                </c:pt>
                <c:pt idx="2715">
                  <c:v>116000</c:v>
                </c:pt>
                <c:pt idx="2716">
                  <c:v>94000</c:v>
                </c:pt>
                <c:pt idx="2717">
                  <c:v>128000</c:v>
                </c:pt>
                <c:pt idx="2718">
                  <c:v>79000</c:v>
                </c:pt>
                <c:pt idx="2719">
                  <c:v>90000</c:v>
                </c:pt>
                <c:pt idx="2720">
                  <c:v>174000</c:v>
                </c:pt>
                <c:pt idx="2721">
                  <c:v>118000</c:v>
                </c:pt>
                <c:pt idx="2722">
                  <c:v>134000</c:v>
                </c:pt>
                <c:pt idx="2723">
                  <c:v>176000</c:v>
                </c:pt>
                <c:pt idx="2724">
                  <c:v>164000</c:v>
                </c:pt>
                <c:pt idx="2725">
                  <c:v>126000</c:v>
                </c:pt>
                <c:pt idx="2726">
                  <c:v>129000</c:v>
                </c:pt>
                <c:pt idx="2727">
                  <c:v>182000</c:v>
                </c:pt>
                <c:pt idx="2728">
                  <c:v>182000</c:v>
                </c:pt>
                <c:pt idx="2729">
                  <c:v>185000</c:v>
                </c:pt>
                <c:pt idx="2730">
                  <c:v>118000</c:v>
                </c:pt>
                <c:pt idx="2731">
                  <c:v>129000</c:v>
                </c:pt>
                <c:pt idx="2732">
                  <c:v>132000</c:v>
                </c:pt>
                <c:pt idx="2733">
                  <c:v>157000</c:v>
                </c:pt>
                <c:pt idx="2734">
                  <c:v>178000</c:v>
                </c:pt>
                <c:pt idx="2735">
                  <c:v>160000</c:v>
                </c:pt>
                <c:pt idx="2736">
                  <c:v>140000</c:v>
                </c:pt>
                <c:pt idx="2737">
                  <c:v>118000</c:v>
                </c:pt>
                <c:pt idx="2738">
                  <c:v>132000</c:v>
                </c:pt>
                <c:pt idx="2739">
                  <c:v>134000</c:v>
                </c:pt>
                <c:pt idx="2740">
                  <c:v>136000</c:v>
                </c:pt>
                <c:pt idx="2741">
                  <c:v>134000</c:v>
                </c:pt>
                <c:pt idx="2742">
                  <c:v>126000</c:v>
                </c:pt>
                <c:pt idx="2743">
                  <c:v>127000</c:v>
                </c:pt>
                <c:pt idx="2744">
                  <c:v>130000</c:v>
                </c:pt>
                <c:pt idx="2745">
                  <c:v>128000</c:v>
                </c:pt>
                <c:pt idx="2746">
                  <c:v>129000</c:v>
                </c:pt>
                <c:pt idx="2747">
                  <c:v>132000</c:v>
                </c:pt>
                <c:pt idx="2748">
                  <c:v>147000</c:v>
                </c:pt>
                <c:pt idx="2749">
                  <c:v>142000</c:v>
                </c:pt>
                <c:pt idx="2750">
                  <c:v>143000</c:v>
                </c:pt>
                <c:pt idx="2751">
                  <c:v>95000</c:v>
                </c:pt>
                <c:pt idx="2752">
                  <c:v>178000</c:v>
                </c:pt>
                <c:pt idx="2753">
                  <c:v>182000</c:v>
                </c:pt>
                <c:pt idx="2754">
                  <c:v>185000</c:v>
                </c:pt>
                <c:pt idx="2755">
                  <c:v>145000</c:v>
                </c:pt>
                <c:pt idx="2756">
                  <c:v>162000</c:v>
                </c:pt>
                <c:pt idx="2757">
                  <c:v>142000</c:v>
                </c:pt>
                <c:pt idx="2758">
                  <c:v>134000</c:v>
                </c:pt>
                <c:pt idx="2759">
                  <c:v>126000</c:v>
                </c:pt>
                <c:pt idx="2760">
                  <c:v>134000</c:v>
                </c:pt>
                <c:pt idx="2761">
                  <c:v>132000</c:v>
                </c:pt>
                <c:pt idx="2762">
                  <c:v>150000</c:v>
                </c:pt>
                <c:pt idx="2763">
                  <c:v>165000</c:v>
                </c:pt>
                <c:pt idx="2764">
                  <c:v>145000</c:v>
                </c:pt>
                <c:pt idx="2765">
                  <c:v>162000</c:v>
                </c:pt>
                <c:pt idx="2766">
                  <c:v>87000</c:v>
                </c:pt>
                <c:pt idx="2767">
                  <c:v>105000</c:v>
                </c:pt>
                <c:pt idx="2768">
                  <c:v>105000</c:v>
                </c:pt>
                <c:pt idx="2769">
                  <c:v>55000</c:v>
                </c:pt>
                <c:pt idx="2770">
                  <c:v>58000</c:v>
                </c:pt>
                <c:pt idx="2771">
                  <c:v>57000</c:v>
                </c:pt>
                <c:pt idx="2772">
                  <c:v>67000</c:v>
                </c:pt>
                <c:pt idx="2773">
                  <c:v>70000</c:v>
                </c:pt>
                <c:pt idx="2774">
                  <c:v>65000</c:v>
                </c:pt>
                <c:pt idx="2775">
                  <c:v>70000</c:v>
                </c:pt>
                <c:pt idx="2776">
                  <c:v>66000</c:v>
                </c:pt>
                <c:pt idx="2777">
                  <c:v>55000</c:v>
                </c:pt>
                <c:pt idx="2778">
                  <c:v>58000</c:v>
                </c:pt>
                <c:pt idx="2779">
                  <c:v>74000</c:v>
                </c:pt>
                <c:pt idx="2780">
                  <c:v>70000</c:v>
                </c:pt>
                <c:pt idx="2781">
                  <c:v>70000</c:v>
                </c:pt>
                <c:pt idx="2782">
                  <c:v>59000</c:v>
                </c:pt>
                <c:pt idx="2783">
                  <c:v>53000</c:v>
                </c:pt>
                <c:pt idx="2784">
                  <c:v>75000</c:v>
                </c:pt>
                <c:pt idx="2785">
                  <c:v>58000</c:v>
                </c:pt>
                <c:pt idx="2786">
                  <c:v>55000</c:v>
                </c:pt>
                <c:pt idx="2787">
                  <c:v>72000</c:v>
                </c:pt>
                <c:pt idx="2788">
                  <c:v>55000</c:v>
                </c:pt>
                <c:pt idx="2789">
                  <c:v>115000</c:v>
                </c:pt>
                <c:pt idx="2790">
                  <c:v>117000</c:v>
                </c:pt>
                <c:pt idx="2791">
                  <c:v>120000</c:v>
                </c:pt>
                <c:pt idx="2792">
                  <c:v>93000</c:v>
                </c:pt>
                <c:pt idx="2793">
                  <c:v>58000</c:v>
                </c:pt>
                <c:pt idx="2794">
                  <c:v>53000</c:v>
                </c:pt>
                <c:pt idx="2795">
                  <c:v>94000</c:v>
                </c:pt>
                <c:pt idx="2796">
                  <c:v>90000</c:v>
                </c:pt>
                <c:pt idx="2797">
                  <c:v>66000</c:v>
                </c:pt>
                <c:pt idx="2798">
                  <c:v>60000</c:v>
                </c:pt>
                <c:pt idx="2799">
                  <c:v>62000</c:v>
                </c:pt>
                <c:pt idx="2800">
                  <c:v>65000</c:v>
                </c:pt>
                <c:pt idx="2801">
                  <c:v>68000</c:v>
                </c:pt>
                <c:pt idx="2802">
                  <c:v>71000</c:v>
                </c:pt>
                <c:pt idx="2803">
                  <c:v>63000</c:v>
                </c:pt>
                <c:pt idx="2804">
                  <c:v>98000</c:v>
                </c:pt>
                <c:pt idx="2805">
                  <c:v>70000</c:v>
                </c:pt>
                <c:pt idx="2806">
                  <c:v>61000</c:v>
                </c:pt>
                <c:pt idx="2807">
                  <c:v>60000</c:v>
                </c:pt>
                <c:pt idx="2808">
                  <c:v>57000</c:v>
                </c:pt>
                <c:pt idx="2809">
                  <c:v>73000</c:v>
                </c:pt>
                <c:pt idx="2810">
                  <c:v>75000</c:v>
                </c:pt>
                <c:pt idx="2811">
                  <c:v>69000</c:v>
                </c:pt>
                <c:pt idx="2812">
                  <c:v>78000</c:v>
                </c:pt>
                <c:pt idx="2813">
                  <c:v>66000</c:v>
                </c:pt>
                <c:pt idx="2814">
                  <c:v>49000</c:v>
                </c:pt>
                <c:pt idx="2815">
                  <c:v>70000</c:v>
                </c:pt>
                <c:pt idx="2816">
                  <c:v>110000</c:v>
                </c:pt>
                <c:pt idx="2817">
                  <c:v>84000</c:v>
                </c:pt>
                <c:pt idx="2818">
                  <c:v>55000</c:v>
                </c:pt>
                <c:pt idx="2819">
                  <c:v>69000</c:v>
                </c:pt>
                <c:pt idx="2820">
                  <c:v>54000</c:v>
                </c:pt>
                <c:pt idx="2821">
                  <c:v>52000</c:v>
                </c:pt>
                <c:pt idx="2822">
                  <c:v>59000</c:v>
                </c:pt>
                <c:pt idx="2823">
                  <c:v>62000</c:v>
                </c:pt>
                <c:pt idx="2824">
                  <c:v>80000</c:v>
                </c:pt>
                <c:pt idx="2825">
                  <c:v>65000</c:v>
                </c:pt>
                <c:pt idx="2826">
                  <c:v>115000</c:v>
                </c:pt>
                <c:pt idx="2827">
                  <c:v>117000</c:v>
                </c:pt>
                <c:pt idx="2828">
                  <c:v>120000</c:v>
                </c:pt>
                <c:pt idx="2829">
                  <c:v>66000</c:v>
                </c:pt>
                <c:pt idx="2830">
                  <c:v>65000</c:v>
                </c:pt>
                <c:pt idx="2831">
                  <c:v>66000</c:v>
                </c:pt>
                <c:pt idx="2832">
                  <c:v>58000</c:v>
                </c:pt>
                <c:pt idx="2833">
                  <c:v>57000</c:v>
                </c:pt>
                <c:pt idx="2834">
                  <c:v>50000</c:v>
                </c:pt>
                <c:pt idx="2835">
                  <c:v>55000</c:v>
                </c:pt>
                <c:pt idx="2836">
                  <c:v>57000</c:v>
                </c:pt>
                <c:pt idx="2837">
                  <c:v>65000</c:v>
                </c:pt>
                <c:pt idx="2838">
                  <c:v>60000</c:v>
                </c:pt>
                <c:pt idx="2839">
                  <c:v>68000</c:v>
                </c:pt>
                <c:pt idx="2840">
                  <c:v>71000</c:v>
                </c:pt>
                <c:pt idx="2841">
                  <c:v>67000</c:v>
                </c:pt>
                <c:pt idx="2842">
                  <c:v>67000</c:v>
                </c:pt>
                <c:pt idx="2843">
                  <c:v>55000</c:v>
                </c:pt>
                <c:pt idx="2844">
                  <c:v>98000</c:v>
                </c:pt>
                <c:pt idx="2845">
                  <c:v>53000</c:v>
                </c:pt>
                <c:pt idx="2846">
                  <c:v>75000</c:v>
                </c:pt>
                <c:pt idx="2847">
                  <c:v>94000</c:v>
                </c:pt>
                <c:pt idx="2848">
                  <c:v>105000</c:v>
                </c:pt>
                <c:pt idx="2849">
                  <c:v>59000</c:v>
                </c:pt>
                <c:pt idx="2850">
                  <c:v>87000</c:v>
                </c:pt>
                <c:pt idx="2851">
                  <c:v>65000</c:v>
                </c:pt>
                <c:pt idx="2852">
                  <c:v>70000</c:v>
                </c:pt>
                <c:pt idx="2853">
                  <c:v>47000</c:v>
                </c:pt>
                <c:pt idx="2854">
                  <c:v>50000</c:v>
                </c:pt>
                <c:pt idx="2855">
                  <c:v>50000</c:v>
                </c:pt>
                <c:pt idx="2856">
                  <c:v>94000</c:v>
                </c:pt>
                <c:pt idx="2857">
                  <c:v>92000</c:v>
                </c:pt>
                <c:pt idx="2858">
                  <c:v>95000</c:v>
                </c:pt>
                <c:pt idx="2859">
                  <c:v>100000</c:v>
                </c:pt>
                <c:pt idx="2860">
                  <c:v>101000</c:v>
                </c:pt>
                <c:pt idx="2861">
                  <c:v>124000</c:v>
                </c:pt>
                <c:pt idx="2862">
                  <c:v>126000</c:v>
                </c:pt>
                <c:pt idx="2863">
                  <c:v>125000</c:v>
                </c:pt>
                <c:pt idx="2864">
                  <c:v>126000</c:v>
                </c:pt>
                <c:pt idx="2865">
                  <c:v>125000</c:v>
                </c:pt>
                <c:pt idx="2866">
                  <c:v>159000</c:v>
                </c:pt>
                <c:pt idx="2867">
                  <c:v>114000</c:v>
                </c:pt>
                <c:pt idx="2868">
                  <c:v>95000</c:v>
                </c:pt>
                <c:pt idx="2869">
                  <c:v>95000</c:v>
                </c:pt>
                <c:pt idx="2870">
                  <c:v>188000</c:v>
                </c:pt>
                <c:pt idx="2871">
                  <c:v>100000</c:v>
                </c:pt>
                <c:pt idx="2872">
                  <c:v>114000</c:v>
                </c:pt>
                <c:pt idx="2873">
                  <c:v>66000</c:v>
                </c:pt>
                <c:pt idx="2874">
                  <c:v>66000</c:v>
                </c:pt>
                <c:pt idx="2875">
                  <c:v>180000</c:v>
                </c:pt>
                <c:pt idx="2876">
                  <c:v>175000</c:v>
                </c:pt>
                <c:pt idx="2877">
                  <c:v>175000</c:v>
                </c:pt>
                <c:pt idx="2878">
                  <c:v>145000</c:v>
                </c:pt>
                <c:pt idx="2879">
                  <c:v>174000</c:v>
                </c:pt>
                <c:pt idx="2880">
                  <c:v>176000</c:v>
                </c:pt>
                <c:pt idx="2881">
                  <c:v>192000</c:v>
                </c:pt>
                <c:pt idx="2882">
                  <c:v>176000</c:v>
                </c:pt>
                <c:pt idx="2883">
                  <c:v>218000</c:v>
                </c:pt>
                <c:pt idx="2884">
                  <c:v>209000</c:v>
                </c:pt>
                <c:pt idx="2885">
                  <c:v>160000</c:v>
                </c:pt>
                <c:pt idx="2886">
                  <c:v>160000</c:v>
                </c:pt>
                <c:pt idx="2887">
                  <c:v>300000</c:v>
                </c:pt>
                <c:pt idx="2888">
                  <c:v>315000</c:v>
                </c:pt>
                <c:pt idx="2889">
                  <c:v>220000</c:v>
                </c:pt>
                <c:pt idx="2890">
                  <c:v>218000</c:v>
                </c:pt>
                <c:pt idx="2891">
                  <c:v>221000</c:v>
                </c:pt>
                <c:pt idx="2892">
                  <c:v>218000</c:v>
                </c:pt>
                <c:pt idx="2893">
                  <c:v>243000</c:v>
                </c:pt>
                <c:pt idx="2894">
                  <c:v>300000</c:v>
                </c:pt>
                <c:pt idx="2895">
                  <c:v>315000</c:v>
                </c:pt>
                <c:pt idx="2896">
                  <c:v>270000</c:v>
                </c:pt>
                <c:pt idx="2897">
                  <c:v>243000</c:v>
                </c:pt>
                <c:pt idx="2898">
                  <c:v>81000</c:v>
                </c:pt>
                <c:pt idx="2899">
                  <c:v>94000</c:v>
                </c:pt>
                <c:pt idx="2900">
                  <c:v>84000</c:v>
                </c:pt>
                <c:pt idx="2901">
                  <c:v>84000</c:v>
                </c:pt>
                <c:pt idx="2902">
                  <c:v>94000</c:v>
                </c:pt>
                <c:pt idx="2903">
                  <c:v>87000</c:v>
                </c:pt>
                <c:pt idx="2904">
                  <c:v>90000</c:v>
                </c:pt>
                <c:pt idx="2905">
                  <c:v>97000</c:v>
                </c:pt>
                <c:pt idx="2906">
                  <c:v>72000</c:v>
                </c:pt>
                <c:pt idx="2907">
                  <c:v>115000</c:v>
                </c:pt>
                <c:pt idx="2908">
                  <c:v>160000</c:v>
                </c:pt>
                <c:pt idx="2909">
                  <c:v>161000</c:v>
                </c:pt>
                <c:pt idx="2910">
                  <c:v>142000</c:v>
                </c:pt>
                <c:pt idx="2911">
                  <c:v>82000</c:v>
                </c:pt>
                <c:pt idx="2912">
                  <c:v>140000</c:v>
                </c:pt>
                <c:pt idx="2913">
                  <c:v>88000</c:v>
                </c:pt>
                <c:pt idx="2914">
                  <c:v>82000</c:v>
                </c:pt>
                <c:pt idx="2915">
                  <c:v>90000</c:v>
                </c:pt>
                <c:pt idx="2916">
                  <c:v>79000</c:v>
                </c:pt>
                <c:pt idx="2917">
                  <c:v>82000</c:v>
                </c:pt>
                <c:pt idx="2918">
                  <c:v>85000</c:v>
                </c:pt>
                <c:pt idx="2919">
                  <c:v>80000</c:v>
                </c:pt>
                <c:pt idx="2920">
                  <c:v>140000</c:v>
                </c:pt>
                <c:pt idx="2921">
                  <c:v>48000</c:v>
                </c:pt>
                <c:pt idx="2922">
                  <c:v>93000</c:v>
                </c:pt>
                <c:pt idx="2923">
                  <c:v>86000</c:v>
                </c:pt>
                <c:pt idx="2924">
                  <c:v>72000</c:v>
                </c:pt>
                <c:pt idx="2925">
                  <c:v>108000</c:v>
                </c:pt>
                <c:pt idx="2926">
                  <c:v>75000</c:v>
                </c:pt>
                <c:pt idx="2927">
                  <c:v>67000</c:v>
                </c:pt>
                <c:pt idx="2928">
                  <c:v>64000</c:v>
                </c:pt>
                <c:pt idx="2929">
                  <c:v>80000</c:v>
                </c:pt>
                <c:pt idx="2930">
                  <c:v>59000</c:v>
                </c:pt>
                <c:pt idx="2931">
                  <c:v>61000</c:v>
                </c:pt>
                <c:pt idx="2932">
                  <c:v>88000</c:v>
                </c:pt>
                <c:pt idx="2933">
                  <c:v>38000</c:v>
                </c:pt>
                <c:pt idx="2934">
                  <c:v>45000</c:v>
                </c:pt>
                <c:pt idx="2935">
                  <c:v>83000</c:v>
                </c:pt>
                <c:pt idx="2936">
                  <c:v>77000</c:v>
                </c:pt>
                <c:pt idx="2937">
                  <c:v>138000</c:v>
                </c:pt>
                <c:pt idx="2938">
                  <c:v>130000</c:v>
                </c:pt>
                <c:pt idx="2939">
                  <c:v>82000</c:v>
                </c:pt>
                <c:pt idx="2940">
                  <c:v>86000</c:v>
                </c:pt>
                <c:pt idx="2941">
                  <c:v>90000</c:v>
                </c:pt>
                <c:pt idx="2942">
                  <c:v>97000</c:v>
                </c:pt>
                <c:pt idx="2943">
                  <c:v>65000</c:v>
                </c:pt>
                <c:pt idx="2944">
                  <c:v>49000</c:v>
                </c:pt>
                <c:pt idx="2945">
                  <c:v>92000</c:v>
                </c:pt>
                <c:pt idx="2946">
                  <c:v>92000</c:v>
                </c:pt>
                <c:pt idx="2947">
                  <c:v>80000</c:v>
                </c:pt>
                <c:pt idx="2948">
                  <c:v>92000</c:v>
                </c:pt>
                <c:pt idx="2949">
                  <c:v>80000</c:v>
                </c:pt>
                <c:pt idx="2950">
                  <c:v>132000</c:v>
                </c:pt>
                <c:pt idx="2951">
                  <c:v>134000</c:v>
                </c:pt>
                <c:pt idx="2952">
                  <c:v>133000</c:v>
                </c:pt>
                <c:pt idx="2953">
                  <c:v>135000</c:v>
                </c:pt>
                <c:pt idx="2954">
                  <c:v>134000</c:v>
                </c:pt>
                <c:pt idx="2955">
                  <c:v>135000</c:v>
                </c:pt>
                <c:pt idx="2956">
                  <c:v>86000</c:v>
                </c:pt>
                <c:pt idx="2957">
                  <c:v>87000</c:v>
                </c:pt>
                <c:pt idx="2958">
                  <c:v>124000</c:v>
                </c:pt>
                <c:pt idx="2959">
                  <c:v>86000</c:v>
                </c:pt>
                <c:pt idx="2960">
                  <c:v>75000</c:v>
                </c:pt>
                <c:pt idx="2961">
                  <c:v>60000</c:v>
                </c:pt>
                <c:pt idx="2962">
                  <c:v>74000</c:v>
                </c:pt>
                <c:pt idx="2963">
                  <c:v>140000</c:v>
                </c:pt>
                <c:pt idx="2964">
                  <c:v>116000</c:v>
                </c:pt>
                <c:pt idx="2965">
                  <c:v>118000</c:v>
                </c:pt>
                <c:pt idx="2966">
                  <c:v>85000</c:v>
                </c:pt>
                <c:pt idx="2967">
                  <c:v>88000</c:v>
                </c:pt>
                <c:pt idx="2968">
                  <c:v>88000</c:v>
                </c:pt>
                <c:pt idx="2969">
                  <c:v>92000</c:v>
                </c:pt>
                <c:pt idx="2970">
                  <c:v>95000</c:v>
                </c:pt>
                <c:pt idx="2971">
                  <c:v>95000</c:v>
                </c:pt>
                <c:pt idx="2972">
                  <c:v>102000</c:v>
                </c:pt>
                <c:pt idx="2973">
                  <c:v>107000</c:v>
                </c:pt>
                <c:pt idx="2974">
                  <c:v>97000</c:v>
                </c:pt>
                <c:pt idx="2975">
                  <c:v>65000</c:v>
                </c:pt>
                <c:pt idx="2976">
                  <c:v>67000</c:v>
                </c:pt>
                <c:pt idx="2977">
                  <c:v>78000</c:v>
                </c:pt>
                <c:pt idx="2978">
                  <c:v>81000</c:v>
                </c:pt>
                <c:pt idx="2979">
                  <c:v>80000</c:v>
                </c:pt>
                <c:pt idx="2980">
                  <c:v>87000</c:v>
                </c:pt>
                <c:pt idx="2981">
                  <c:v>79000</c:v>
                </c:pt>
                <c:pt idx="2982">
                  <c:v>80000</c:v>
                </c:pt>
                <c:pt idx="2983">
                  <c:v>68000</c:v>
                </c:pt>
                <c:pt idx="2984">
                  <c:v>53700</c:v>
                </c:pt>
                <c:pt idx="2985">
                  <c:v>61000</c:v>
                </c:pt>
                <c:pt idx="2986">
                  <c:v>60000</c:v>
                </c:pt>
                <c:pt idx="2987">
                  <c:v>95000</c:v>
                </c:pt>
                <c:pt idx="2988">
                  <c:v>89000</c:v>
                </c:pt>
                <c:pt idx="2989">
                  <c:v>86000</c:v>
                </c:pt>
                <c:pt idx="2990">
                  <c:v>124000</c:v>
                </c:pt>
                <c:pt idx="2991">
                  <c:v>81000</c:v>
                </c:pt>
                <c:pt idx="2992">
                  <c:v>87000</c:v>
                </c:pt>
                <c:pt idx="2993">
                  <c:v>86000</c:v>
                </c:pt>
                <c:pt idx="2994">
                  <c:v>90000</c:v>
                </c:pt>
                <c:pt idx="2995">
                  <c:v>78000</c:v>
                </c:pt>
                <c:pt idx="2996">
                  <c:v>101000</c:v>
                </c:pt>
                <c:pt idx="2997">
                  <c:v>38000</c:v>
                </c:pt>
                <c:pt idx="2998">
                  <c:v>38000</c:v>
                </c:pt>
                <c:pt idx="2999">
                  <c:v>88000</c:v>
                </c:pt>
                <c:pt idx="3000">
                  <c:v>94000</c:v>
                </c:pt>
                <c:pt idx="3001">
                  <c:v>92000</c:v>
                </c:pt>
                <c:pt idx="3002">
                  <c:v>88000</c:v>
                </c:pt>
                <c:pt idx="3003">
                  <c:v>86000</c:v>
                </c:pt>
                <c:pt idx="3004">
                  <c:v>83000</c:v>
                </c:pt>
                <c:pt idx="3005">
                  <c:v>72000</c:v>
                </c:pt>
                <c:pt idx="3006">
                  <c:v>72000</c:v>
                </c:pt>
                <c:pt idx="3007">
                  <c:v>87000</c:v>
                </c:pt>
                <c:pt idx="3008">
                  <c:v>92000</c:v>
                </c:pt>
                <c:pt idx="3009">
                  <c:v>75000</c:v>
                </c:pt>
                <c:pt idx="3010">
                  <c:v>95000</c:v>
                </c:pt>
                <c:pt idx="3011">
                  <c:v>60000</c:v>
                </c:pt>
                <c:pt idx="3012">
                  <c:v>98000</c:v>
                </c:pt>
                <c:pt idx="3013">
                  <c:v>132000</c:v>
                </c:pt>
                <c:pt idx="3014">
                  <c:v>133000</c:v>
                </c:pt>
                <c:pt idx="3015">
                  <c:v>134000</c:v>
                </c:pt>
                <c:pt idx="3016">
                  <c:v>135000</c:v>
                </c:pt>
                <c:pt idx="3017">
                  <c:v>116000</c:v>
                </c:pt>
                <c:pt idx="3018">
                  <c:v>73000</c:v>
                </c:pt>
                <c:pt idx="3019">
                  <c:v>75000</c:v>
                </c:pt>
                <c:pt idx="3020">
                  <c:v>65000</c:v>
                </c:pt>
                <c:pt idx="3021">
                  <c:v>92000</c:v>
                </c:pt>
                <c:pt idx="3022">
                  <c:v>92000</c:v>
                </c:pt>
                <c:pt idx="3023">
                  <c:v>74500</c:v>
                </c:pt>
                <c:pt idx="3024">
                  <c:v>82000</c:v>
                </c:pt>
                <c:pt idx="3025">
                  <c:v>80000</c:v>
                </c:pt>
                <c:pt idx="3026">
                  <c:v>35000</c:v>
                </c:pt>
                <c:pt idx="3027">
                  <c:v>87000</c:v>
                </c:pt>
                <c:pt idx="3028">
                  <c:v>101000</c:v>
                </c:pt>
                <c:pt idx="3029">
                  <c:v>185000</c:v>
                </c:pt>
                <c:pt idx="3030">
                  <c:v>185000</c:v>
                </c:pt>
                <c:pt idx="3031">
                  <c:v>159000</c:v>
                </c:pt>
                <c:pt idx="3032">
                  <c:v>162000</c:v>
                </c:pt>
                <c:pt idx="3033">
                  <c:v>167000</c:v>
                </c:pt>
                <c:pt idx="3034">
                  <c:v>144000</c:v>
                </c:pt>
                <c:pt idx="3035">
                  <c:v>175000</c:v>
                </c:pt>
                <c:pt idx="3036">
                  <c:v>169000</c:v>
                </c:pt>
                <c:pt idx="3037">
                  <c:v>170000</c:v>
                </c:pt>
                <c:pt idx="3038">
                  <c:v>130000</c:v>
                </c:pt>
                <c:pt idx="3039">
                  <c:v>140000</c:v>
                </c:pt>
                <c:pt idx="3040">
                  <c:v>168000</c:v>
                </c:pt>
                <c:pt idx="3041">
                  <c:v>145000</c:v>
                </c:pt>
                <c:pt idx="3042">
                  <c:v>148000</c:v>
                </c:pt>
                <c:pt idx="3043">
                  <c:v>127000</c:v>
                </c:pt>
                <c:pt idx="3044">
                  <c:v>150000</c:v>
                </c:pt>
                <c:pt idx="3045">
                  <c:v>165000</c:v>
                </c:pt>
                <c:pt idx="3046">
                  <c:v>138000</c:v>
                </c:pt>
                <c:pt idx="3047">
                  <c:v>154000</c:v>
                </c:pt>
                <c:pt idx="3048">
                  <c:v>146000</c:v>
                </c:pt>
                <c:pt idx="3049">
                  <c:v>130000</c:v>
                </c:pt>
                <c:pt idx="3050">
                  <c:v>140000</c:v>
                </c:pt>
                <c:pt idx="3051">
                  <c:v>188000</c:v>
                </c:pt>
                <c:pt idx="3052">
                  <c:v>159000</c:v>
                </c:pt>
                <c:pt idx="3053">
                  <c:v>165000</c:v>
                </c:pt>
                <c:pt idx="3054">
                  <c:v>125000</c:v>
                </c:pt>
                <c:pt idx="3055">
                  <c:v>150000</c:v>
                </c:pt>
                <c:pt idx="3056">
                  <c:v>180000</c:v>
                </c:pt>
                <c:pt idx="3057">
                  <c:v>143000</c:v>
                </c:pt>
                <c:pt idx="3058">
                  <c:v>143000</c:v>
                </c:pt>
                <c:pt idx="3059">
                  <c:v>143000</c:v>
                </c:pt>
                <c:pt idx="3060">
                  <c:v>170000</c:v>
                </c:pt>
                <c:pt idx="3061">
                  <c:v>127000</c:v>
                </c:pt>
                <c:pt idx="3062">
                  <c:v>156000</c:v>
                </c:pt>
                <c:pt idx="3063">
                  <c:v>161000</c:v>
                </c:pt>
                <c:pt idx="3064">
                  <c:v>163000</c:v>
                </c:pt>
                <c:pt idx="3065">
                  <c:v>165000</c:v>
                </c:pt>
                <c:pt idx="3066">
                  <c:v>154000</c:v>
                </c:pt>
                <c:pt idx="3067">
                  <c:v>146000</c:v>
                </c:pt>
                <c:pt idx="3068">
                  <c:v>161000</c:v>
                </c:pt>
                <c:pt idx="3069">
                  <c:v>143000</c:v>
                </c:pt>
                <c:pt idx="3070">
                  <c:v>139000</c:v>
                </c:pt>
                <c:pt idx="3071">
                  <c:v>143000</c:v>
                </c:pt>
                <c:pt idx="3072">
                  <c:v>143000</c:v>
                </c:pt>
                <c:pt idx="3073">
                  <c:v>143000</c:v>
                </c:pt>
                <c:pt idx="3074">
                  <c:v>88000</c:v>
                </c:pt>
                <c:pt idx="3075">
                  <c:v>92000</c:v>
                </c:pt>
                <c:pt idx="3076">
                  <c:v>92000</c:v>
                </c:pt>
                <c:pt idx="3077">
                  <c:v>92000</c:v>
                </c:pt>
                <c:pt idx="3078">
                  <c:v>92000</c:v>
                </c:pt>
                <c:pt idx="3079">
                  <c:v>96000</c:v>
                </c:pt>
                <c:pt idx="3080">
                  <c:v>66000</c:v>
                </c:pt>
                <c:pt idx="3081">
                  <c:v>77000</c:v>
                </c:pt>
                <c:pt idx="3082">
                  <c:v>52000</c:v>
                </c:pt>
                <c:pt idx="3083">
                  <c:v>25000</c:v>
                </c:pt>
                <c:pt idx="3084">
                  <c:v>22000</c:v>
                </c:pt>
                <c:pt idx="3085">
                  <c:v>50000</c:v>
                </c:pt>
                <c:pt idx="3086">
                  <c:v>135000</c:v>
                </c:pt>
                <c:pt idx="3087">
                  <c:v>56000</c:v>
                </c:pt>
                <c:pt idx="3088">
                  <c:v>66000</c:v>
                </c:pt>
                <c:pt idx="3089">
                  <c:v>66000</c:v>
                </c:pt>
                <c:pt idx="3090">
                  <c:v>62000</c:v>
                </c:pt>
                <c:pt idx="3091">
                  <c:v>66000</c:v>
                </c:pt>
                <c:pt idx="3092">
                  <c:v>73000</c:v>
                </c:pt>
                <c:pt idx="3093">
                  <c:v>49000</c:v>
                </c:pt>
                <c:pt idx="3094">
                  <c:v>61000</c:v>
                </c:pt>
                <c:pt idx="3095">
                  <c:v>55000</c:v>
                </c:pt>
                <c:pt idx="3096">
                  <c:v>50000</c:v>
                </c:pt>
                <c:pt idx="3097">
                  <c:v>74000</c:v>
                </c:pt>
                <c:pt idx="3098">
                  <c:v>95000</c:v>
                </c:pt>
                <c:pt idx="3099">
                  <c:v>94000</c:v>
                </c:pt>
                <c:pt idx="3100">
                  <c:v>66000</c:v>
                </c:pt>
                <c:pt idx="3101">
                  <c:v>70000</c:v>
                </c:pt>
                <c:pt idx="3102">
                  <c:v>65000</c:v>
                </c:pt>
                <c:pt idx="3103">
                  <c:v>63000</c:v>
                </c:pt>
                <c:pt idx="3104">
                  <c:v>60000</c:v>
                </c:pt>
                <c:pt idx="3105">
                  <c:v>63000</c:v>
                </c:pt>
                <c:pt idx="3106">
                  <c:v>65000</c:v>
                </c:pt>
                <c:pt idx="3107">
                  <c:v>62000</c:v>
                </c:pt>
                <c:pt idx="3108">
                  <c:v>82500</c:v>
                </c:pt>
                <c:pt idx="3109">
                  <c:v>65000</c:v>
                </c:pt>
                <c:pt idx="3110">
                  <c:v>49000</c:v>
                </c:pt>
                <c:pt idx="3111">
                  <c:v>62000</c:v>
                </c:pt>
                <c:pt idx="3112">
                  <c:v>70000</c:v>
                </c:pt>
                <c:pt idx="3113">
                  <c:v>71000</c:v>
                </c:pt>
                <c:pt idx="3114">
                  <c:v>63000</c:v>
                </c:pt>
                <c:pt idx="3115">
                  <c:v>66000</c:v>
                </c:pt>
                <c:pt idx="3116">
                  <c:v>66000</c:v>
                </c:pt>
                <c:pt idx="3117">
                  <c:v>69000</c:v>
                </c:pt>
                <c:pt idx="3118">
                  <c:v>75000</c:v>
                </c:pt>
                <c:pt idx="3119">
                  <c:v>88000</c:v>
                </c:pt>
                <c:pt idx="3120">
                  <c:v>52000</c:v>
                </c:pt>
                <c:pt idx="3121">
                  <c:v>85000</c:v>
                </c:pt>
                <c:pt idx="3122">
                  <c:v>56000</c:v>
                </c:pt>
                <c:pt idx="3123">
                  <c:v>92000</c:v>
                </c:pt>
                <c:pt idx="3124">
                  <c:v>75000</c:v>
                </c:pt>
                <c:pt idx="3125">
                  <c:v>95000</c:v>
                </c:pt>
                <c:pt idx="3126">
                  <c:v>90000</c:v>
                </c:pt>
                <c:pt idx="3127">
                  <c:v>98000</c:v>
                </c:pt>
                <c:pt idx="3128">
                  <c:v>120000</c:v>
                </c:pt>
                <c:pt idx="3129">
                  <c:v>218000</c:v>
                </c:pt>
                <c:pt idx="3130">
                  <c:v>218000</c:v>
                </c:pt>
                <c:pt idx="3131">
                  <c:v>96000</c:v>
                </c:pt>
                <c:pt idx="3132">
                  <c:v>120000</c:v>
                </c:pt>
                <c:pt idx="3133">
                  <c:v>86000</c:v>
                </c:pt>
                <c:pt idx="3134">
                  <c:v>75000</c:v>
                </c:pt>
                <c:pt idx="3135">
                  <c:v>68000</c:v>
                </c:pt>
                <c:pt idx="3136">
                  <c:v>113000</c:v>
                </c:pt>
                <c:pt idx="3137">
                  <c:v>85000</c:v>
                </c:pt>
                <c:pt idx="3138">
                  <c:v>74000</c:v>
                </c:pt>
                <c:pt idx="3139">
                  <c:v>113000</c:v>
                </c:pt>
                <c:pt idx="3140">
                  <c:v>175000</c:v>
                </c:pt>
                <c:pt idx="3141">
                  <c:v>125000</c:v>
                </c:pt>
                <c:pt idx="3142">
                  <c:v>244000</c:v>
                </c:pt>
                <c:pt idx="3143">
                  <c:v>200000</c:v>
                </c:pt>
                <c:pt idx="3144">
                  <c:v>210000</c:v>
                </c:pt>
                <c:pt idx="3145">
                  <c:v>190000</c:v>
                </c:pt>
                <c:pt idx="3146">
                  <c:v>145000</c:v>
                </c:pt>
                <c:pt idx="3147">
                  <c:v>190000</c:v>
                </c:pt>
                <c:pt idx="3148">
                  <c:v>250000</c:v>
                </c:pt>
                <c:pt idx="3149">
                  <c:v>252000</c:v>
                </c:pt>
                <c:pt idx="3150">
                  <c:v>258000</c:v>
                </c:pt>
                <c:pt idx="3151">
                  <c:v>266000</c:v>
                </c:pt>
                <c:pt idx="3152">
                  <c:v>265000</c:v>
                </c:pt>
                <c:pt idx="3153">
                  <c:v>261000</c:v>
                </c:pt>
                <c:pt idx="3154">
                  <c:v>175000</c:v>
                </c:pt>
                <c:pt idx="3155">
                  <c:v>170000</c:v>
                </c:pt>
                <c:pt idx="3156">
                  <c:v>244000</c:v>
                </c:pt>
                <c:pt idx="3157">
                  <c:v>210000</c:v>
                </c:pt>
                <c:pt idx="3158">
                  <c:v>367000</c:v>
                </c:pt>
                <c:pt idx="3159">
                  <c:v>367000</c:v>
                </c:pt>
                <c:pt idx="3160">
                  <c:v>367000</c:v>
                </c:pt>
                <c:pt idx="3161">
                  <c:v>367000</c:v>
                </c:pt>
                <c:pt idx="3162">
                  <c:v>290000</c:v>
                </c:pt>
                <c:pt idx="3163">
                  <c:v>367000</c:v>
                </c:pt>
                <c:pt idx="3164">
                  <c:v>367000</c:v>
                </c:pt>
                <c:pt idx="3165">
                  <c:v>375000</c:v>
                </c:pt>
                <c:pt idx="3166">
                  <c:v>292000</c:v>
                </c:pt>
                <c:pt idx="3167">
                  <c:v>310000</c:v>
                </c:pt>
                <c:pt idx="3168">
                  <c:v>328000</c:v>
                </c:pt>
                <c:pt idx="3169">
                  <c:v>335100</c:v>
                </c:pt>
                <c:pt idx="3170">
                  <c:v>278000</c:v>
                </c:pt>
                <c:pt idx="3171">
                  <c:v>281000</c:v>
                </c:pt>
                <c:pt idx="3172">
                  <c:v>240000</c:v>
                </c:pt>
                <c:pt idx="3173">
                  <c:v>240000</c:v>
                </c:pt>
                <c:pt idx="3174">
                  <c:v>69000</c:v>
                </c:pt>
                <c:pt idx="3175">
                  <c:v>136000</c:v>
                </c:pt>
                <c:pt idx="3176">
                  <c:v>129000</c:v>
                </c:pt>
                <c:pt idx="3177">
                  <c:v>105000</c:v>
                </c:pt>
                <c:pt idx="3178">
                  <c:v>97000</c:v>
                </c:pt>
                <c:pt idx="3179">
                  <c:v>100000</c:v>
                </c:pt>
                <c:pt idx="3180">
                  <c:v>140000</c:v>
                </c:pt>
                <c:pt idx="3181">
                  <c:v>110000</c:v>
                </c:pt>
                <c:pt idx="3182">
                  <c:v>90000</c:v>
                </c:pt>
                <c:pt idx="3183">
                  <c:v>54000</c:v>
                </c:pt>
                <c:pt idx="3184">
                  <c:v>70000</c:v>
                </c:pt>
                <c:pt idx="3185">
                  <c:v>65000</c:v>
                </c:pt>
                <c:pt idx="3186">
                  <c:v>54000</c:v>
                </c:pt>
                <c:pt idx="3187">
                  <c:v>105000</c:v>
                </c:pt>
                <c:pt idx="3188">
                  <c:v>110000</c:v>
                </c:pt>
                <c:pt idx="3189">
                  <c:v>115000</c:v>
                </c:pt>
                <c:pt idx="3190">
                  <c:v>79000</c:v>
                </c:pt>
                <c:pt idx="3191">
                  <c:v>147000</c:v>
                </c:pt>
                <c:pt idx="3192">
                  <c:v>161000</c:v>
                </c:pt>
                <c:pt idx="3193">
                  <c:v>112000</c:v>
                </c:pt>
                <c:pt idx="3194">
                  <c:v>62000</c:v>
                </c:pt>
                <c:pt idx="3195">
                  <c:v>65000</c:v>
                </c:pt>
                <c:pt idx="3196">
                  <c:v>47000</c:v>
                </c:pt>
                <c:pt idx="3197">
                  <c:v>60000</c:v>
                </c:pt>
                <c:pt idx="3198">
                  <c:v>48000</c:v>
                </c:pt>
                <c:pt idx="3199">
                  <c:v>47000</c:v>
                </c:pt>
                <c:pt idx="3200">
                  <c:v>55000</c:v>
                </c:pt>
                <c:pt idx="3201">
                  <c:v>56000</c:v>
                </c:pt>
                <c:pt idx="3202">
                  <c:v>71000</c:v>
                </c:pt>
                <c:pt idx="3203">
                  <c:v>74000</c:v>
                </c:pt>
                <c:pt idx="3204">
                  <c:v>75000</c:v>
                </c:pt>
                <c:pt idx="3205">
                  <c:v>120000</c:v>
                </c:pt>
                <c:pt idx="3206">
                  <c:v>65000</c:v>
                </c:pt>
                <c:pt idx="3207">
                  <c:v>66000</c:v>
                </c:pt>
                <c:pt idx="3208">
                  <c:v>67000</c:v>
                </c:pt>
                <c:pt idx="3209">
                  <c:v>70000</c:v>
                </c:pt>
                <c:pt idx="3210">
                  <c:v>62000</c:v>
                </c:pt>
                <c:pt idx="3211">
                  <c:v>60000</c:v>
                </c:pt>
                <c:pt idx="3212">
                  <c:v>57000</c:v>
                </c:pt>
                <c:pt idx="3213">
                  <c:v>92000</c:v>
                </c:pt>
                <c:pt idx="3214">
                  <c:v>83000</c:v>
                </c:pt>
                <c:pt idx="3215">
                  <c:v>101000</c:v>
                </c:pt>
                <c:pt idx="3216">
                  <c:v>110000</c:v>
                </c:pt>
                <c:pt idx="3217">
                  <c:v>94000</c:v>
                </c:pt>
                <c:pt idx="3218">
                  <c:v>92500</c:v>
                </c:pt>
                <c:pt idx="3219">
                  <c:v>67000</c:v>
                </c:pt>
                <c:pt idx="3220">
                  <c:v>72000</c:v>
                </c:pt>
                <c:pt idx="3221">
                  <c:v>67000</c:v>
                </c:pt>
                <c:pt idx="3222">
                  <c:v>69000</c:v>
                </c:pt>
                <c:pt idx="3223">
                  <c:v>70000</c:v>
                </c:pt>
                <c:pt idx="3224">
                  <c:v>51000</c:v>
                </c:pt>
                <c:pt idx="3225">
                  <c:v>92000</c:v>
                </c:pt>
                <c:pt idx="3226">
                  <c:v>96000</c:v>
                </c:pt>
                <c:pt idx="3227">
                  <c:v>88000</c:v>
                </c:pt>
                <c:pt idx="3228">
                  <c:v>97000</c:v>
                </c:pt>
                <c:pt idx="3229">
                  <c:v>68000</c:v>
                </c:pt>
                <c:pt idx="3230">
                  <c:v>80000</c:v>
                </c:pt>
                <c:pt idx="3231">
                  <c:v>65000</c:v>
                </c:pt>
                <c:pt idx="3232">
                  <c:v>65000</c:v>
                </c:pt>
                <c:pt idx="3233">
                  <c:v>62000</c:v>
                </c:pt>
                <c:pt idx="3234">
                  <c:v>68000</c:v>
                </c:pt>
                <c:pt idx="3235">
                  <c:v>79000</c:v>
                </c:pt>
                <c:pt idx="3236">
                  <c:v>63000</c:v>
                </c:pt>
                <c:pt idx="3237">
                  <c:v>93500</c:v>
                </c:pt>
                <c:pt idx="3238">
                  <c:v>68000</c:v>
                </c:pt>
                <c:pt idx="3239">
                  <c:v>74000</c:v>
                </c:pt>
                <c:pt idx="3240">
                  <c:v>63000</c:v>
                </c:pt>
                <c:pt idx="3241">
                  <c:v>100000</c:v>
                </c:pt>
                <c:pt idx="3242">
                  <c:v>93000</c:v>
                </c:pt>
                <c:pt idx="3243">
                  <c:v>98000</c:v>
                </c:pt>
                <c:pt idx="3244">
                  <c:v>50000</c:v>
                </c:pt>
                <c:pt idx="3245">
                  <c:v>69000</c:v>
                </c:pt>
                <c:pt idx="3246">
                  <c:v>55000</c:v>
                </c:pt>
                <c:pt idx="3247">
                  <c:v>77000</c:v>
                </c:pt>
                <c:pt idx="3248">
                  <c:v>66000</c:v>
                </c:pt>
                <c:pt idx="3249">
                  <c:v>73000</c:v>
                </c:pt>
                <c:pt idx="3250">
                  <c:v>87000</c:v>
                </c:pt>
                <c:pt idx="3251">
                  <c:v>92500</c:v>
                </c:pt>
                <c:pt idx="3252">
                  <c:v>71000</c:v>
                </c:pt>
                <c:pt idx="3253">
                  <c:v>70000</c:v>
                </c:pt>
                <c:pt idx="3254">
                  <c:v>100000</c:v>
                </c:pt>
                <c:pt idx="3255">
                  <c:v>93000</c:v>
                </c:pt>
                <c:pt idx="3256">
                  <c:v>78000</c:v>
                </c:pt>
                <c:pt idx="3257">
                  <c:v>80000</c:v>
                </c:pt>
                <c:pt idx="3258">
                  <c:v>81000</c:v>
                </c:pt>
                <c:pt idx="3259">
                  <c:v>69000</c:v>
                </c:pt>
                <c:pt idx="3260">
                  <c:v>65000</c:v>
                </c:pt>
                <c:pt idx="3261">
                  <c:v>66000</c:v>
                </c:pt>
                <c:pt idx="3262">
                  <c:v>62000</c:v>
                </c:pt>
                <c:pt idx="3263">
                  <c:v>60000</c:v>
                </c:pt>
                <c:pt idx="3264">
                  <c:v>55000</c:v>
                </c:pt>
                <c:pt idx="3265">
                  <c:v>65000</c:v>
                </c:pt>
                <c:pt idx="3266">
                  <c:v>67000</c:v>
                </c:pt>
                <c:pt idx="3267">
                  <c:v>69000</c:v>
                </c:pt>
                <c:pt idx="3268">
                  <c:v>55000</c:v>
                </c:pt>
                <c:pt idx="3269">
                  <c:v>74000</c:v>
                </c:pt>
                <c:pt idx="3270">
                  <c:v>75000</c:v>
                </c:pt>
                <c:pt idx="3271">
                  <c:v>73000</c:v>
                </c:pt>
                <c:pt idx="3272">
                  <c:v>74000</c:v>
                </c:pt>
                <c:pt idx="3273">
                  <c:v>60000</c:v>
                </c:pt>
                <c:pt idx="3274">
                  <c:v>68000</c:v>
                </c:pt>
                <c:pt idx="3275">
                  <c:v>67000</c:v>
                </c:pt>
                <c:pt idx="3276">
                  <c:v>65000</c:v>
                </c:pt>
                <c:pt idx="3277">
                  <c:v>65000</c:v>
                </c:pt>
                <c:pt idx="3278">
                  <c:v>67000</c:v>
                </c:pt>
                <c:pt idx="3279">
                  <c:v>88000</c:v>
                </c:pt>
                <c:pt idx="3280">
                  <c:v>88000</c:v>
                </c:pt>
                <c:pt idx="3281">
                  <c:v>91000</c:v>
                </c:pt>
                <c:pt idx="3282">
                  <c:v>97000</c:v>
                </c:pt>
                <c:pt idx="3283">
                  <c:v>79000</c:v>
                </c:pt>
                <c:pt idx="3284">
                  <c:v>79000</c:v>
                </c:pt>
                <c:pt idx="3285">
                  <c:v>79000</c:v>
                </c:pt>
                <c:pt idx="3286">
                  <c:v>93000</c:v>
                </c:pt>
                <c:pt idx="3287">
                  <c:v>70000</c:v>
                </c:pt>
                <c:pt idx="3288">
                  <c:v>67000</c:v>
                </c:pt>
                <c:pt idx="3289">
                  <c:v>93500</c:v>
                </c:pt>
                <c:pt idx="3290">
                  <c:v>110000</c:v>
                </c:pt>
                <c:pt idx="3291">
                  <c:v>115000</c:v>
                </c:pt>
                <c:pt idx="3292">
                  <c:v>63000</c:v>
                </c:pt>
                <c:pt idx="3293">
                  <c:v>95000</c:v>
                </c:pt>
                <c:pt idx="3294">
                  <c:v>81000</c:v>
                </c:pt>
                <c:pt idx="3295">
                  <c:v>95000</c:v>
                </c:pt>
                <c:pt idx="3296">
                  <c:v>135000</c:v>
                </c:pt>
                <c:pt idx="3297">
                  <c:v>108000</c:v>
                </c:pt>
                <c:pt idx="3298">
                  <c:v>109000</c:v>
                </c:pt>
                <c:pt idx="3299">
                  <c:v>108000</c:v>
                </c:pt>
                <c:pt idx="3300">
                  <c:v>106000</c:v>
                </c:pt>
                <c:pt idx="3301">
                  <c:v>124000</c:v>
                </c:pt>
                <c:pt idx="3302">
                  <c:v>125000</c:v>
                </c:pt>
                <c:pt idx="3303">
                  <c:v>125000</c:v>
                </c:pt>
                <c:pt idx="3304">
                  <c:v>150000</c:v>
                </c:pt>
                <c:pt idx="3305">
                  <c:v>160000</c:v>
                </c:pt>
                <c:pt idx="3306">
                  <c:v>153000</c:v>
                </c:pt>
                <c:pt idx="3307">
                  <c:v>129900</c:v>
                </c:pt>
                <c:pt idx="3308">
                  <c:v>140000</c:v>
                </c:pt>
                <c:pt idx="3309">
                  <c:v>136000</c:v>
                </c:pt>
                <c:pt idx="3310">
                  <c:v>106000</c:v>
                </c:pt>
                <c:pt idx="3311">
                  <c:v>124000</c:v>
                </c:pt>
                <c:pt idx="3312">
                  <c:v>139900</c:v>
                </c:pt>
                <c:pt idx="3313">
                  <c:v>129900</c:v>
                </c:pt>
                <c:pt idx="3314">
                  <c:v>129000</c:v>
                </c:pt>
                <c:pt idx="3315">
                  <c:v>139000</c:v>
                </c:pt>
                <c:pt idx="3316">
                  <c:v>120000</c:v>
                </c:pt>
                <c:pt idx="3317">
                  <c:v>100000</c:v>
                </c:pt>
                <c:pt idx="3318">
                  <c:v>125000</c:v>
                </c:pt>
                <c:pt idx="3319">
                  <c:v>139000</c:v>
                </c:pt>
                <c:pt idx="3320">
                  <c:v>153000</c:v>
                </c:pt>
                <c:pt idx="3321">
                  <c:v>160000</c:v>
                </c:pt>
                <c:pt idx="3322">
                  <c:v>135000</c:v>
                </c:pt>
                <c:pt idx="3323">
                  <c:v>77000</c:v>
                </c:pt>
                <c:pt idx="3324">
                  <c:v>70000</c:v>
                </c:pt>
                <c:pt idx="3325">
                  <c:v>72000</c:v>
                </c:pt>
                <c:pt idx="3326">
                  <c:v>50000</c:v>
                </c:pt>
                <c:pt idx="3327">
                  <c:v>64000</c:v>
                </c:pt>
                <c:pt idx="3328">
                  <c:v>60000</c:v>
                </c:pt>
                <c:pt idx="3329">
                  <c:v>75000</c:v>
                </c:pt>
                <c:pt idx="3330">
                  <c:v>92000</c:v>
                </c:pt>
                <c:pt idx="3331">
                  <c:v>37000</c:v>
                </c:pt>
                <c:pt idx="3332">
                  <c:v>51000</c:v>
                </c:pt>
                <c:pt idx="3333">
                  <c:v>48000</c:v>
                </c:pt>
                <c:pt idx="3334">
                  <c:v>55000</c:v>
                </c:pt>
                <c:pt idx="3335">
                  <c:v>47000</c:v>
                </c:pt>
                <c:pt idx="3336">
                  <c:v>50000</c:v>
                </c:pt>
                <c:pt idx="3337">
                  <c:v>75000</c:v>
                </c:pt>
                <c:pt idx="3338">
                  <c:v>45000</c:v>
                </c:pt>
                <c:pt idx="3339">
                  <c:v>66000</c:v>
                </c:pt>
                <c:pt idx="3340">
                  <c:v>70000</c:v>
                </c:pt>
                <c:pt idx="3341">
                  <c:v>60000</c:v>
                </c:pt>
                <c:pt idx="3342">
                  <c:v>74000</c:v>
                </c:pt>
                <c:pt idx="3343">
                  <c:v>50000</c:v>
                </c:pt>
                <c:pt idx="3344">
                  <c:v>81000</c:v>
                </c:pt>
                <c:pt idx="3345">
                  <c:v>60000</c:v>
                </c:pt>
                <c:pt idx="3346">
                  <c:v>66000</c:v>
                </c:pt>
                <c:pt idx="3347">
                  <c:v>69000</c:v>
                </c:pt>
                <c:pt idx="3348">
                  <c:v>57000</c:v>
                </c:pt>
                <c:pt idx="3349">
                  <c:v>46000</c:v>
                </c:pt>
                <c:pt idx="3350">
                  <c:v>48000</c:v>
                </c:pt>
                <c:pt idx="3351">
                  <c:v>57000</c:v>
                </c:pt>
                <c:pt idx="3352">
                  <c:v>45000</c:v>
                </c:pt>
                <c:pt idx="3353">
                  <c:v>47000</c:v>
                </c:pt>
                <c:pt idx="3354">
                  <c:v>62000</c:v>
                </c:pt>
                <c:pt idx="3355">
                  <c:v>62000</c:v>
                </c:pt>
                <c:pt idx="3356">
                  <c:v>62000</c:v>
                </c:pt>
                <c:pt idx="3357">
                  <c:v>60000</c:v>
                </c:pt>
                <c:pt idx="3358">
                  <c:v>65000</c:v>
                </c:pt>
                <c:pt idx="3359">
                  <c:v>67000</c:v>
                </c:pt>
                <c:pt idx="3360">
                  <c:v>73000</c:v>
                </c:pt>
                <c:pt idx="3361">
                  <c:v>74000</c:v>
                </c:pt>
                <c:pt idx="3362">
                  <c:v>70000</c:v>
                </c:pt>
                <c:pt idx="3363">
                  <c:v>58000</c:v>
                </c:pt>
                <c:pt idx="3364">
                  <c:v>62000</c:v>
                </c:pt>
                <c:pt idx="3365">
                  <c:v>61000</c:v>
                </c:pt>
                <c:pt idx="3366">
                  <c:v>52000</c:v>
                </c:pt>
                <c:pt idx="3367">
                  <c:v>70000</c:v>
                </c:pt>
                <c:pt idx="3368">
                  <c:v>69000</c:v>
                </c:pt>
                <c:pt idx="3369">
                  <c:v>70000</c:v>
                </c:pt>
                <c:pt idx="3370">
                  <c:v>81000</c:v>
                </c:pt>
                <c:pt idx="3371">
                  <c:v>69000</c:v>
                </c:pt>
                <c:pt idx="3372">
                  <c:v>59000</c:v>
                </c:pt>
                <c:pt idx="3373">
                  <c:v>61000</c:v>
                </c:pt>
                <c:pt idx="3374">
                  <c:v>65000</c:v>
                </c:pt>
                <c:pt idx="3375">
                  <c:v>52000</c:v>
                </c:pt>
                <c:pt idx="3376">
                  <c:v>52000</c:v>
                </c:pt>
                <c:pt idx="3377">
                  <c:v>53000</c:v>
                </c:pt>
                <c:pt idx="3378">
                  <c:v>58000</c:v>
                </c:pt>
                <c:pt idx="3379">
                  <c:v>63000</c:v>
                </c:pt>
                <c:pt idx="3380">
                  <c:v>47000</c:v>
                </c:pt>
                <c:pt idx="3381">
                  <c:v>68000</c:v>
                </c:pt>
                <c:pt idx="3382">
                  <c:v>67000</c:v>
                </c:pt>
                <c:pt idx="3383">
                  <c:v>65000</c:v>
                </c:pt>
                <c:pt idx="3384">
                  <c:v>42000</c:v>
                </c:pt>
                <c:pt idx="3385">
                  <c:v>87000</c:v>
                </c:pt>
                <c:pt idx="3386">
                  <c:v>77000</c:v>
                </c:pt>
                <c:pt idx="3387">
                  <c:v>26000</c:v>
                </c:pt>
                <c:pt idx="3388">
                  <c:v>41000</c:v>
                </c:pt>
                <c:pt idx="3389">
                  <c:v>57000</c:v>
                </c:pt>
                <c:pt idx="3390">
                  <c:v>28000</c:v>
                </c:pt>
                <c:pt idx="3391">
                  <c:v>36000</c:v>
                </c:pt>
                <c:pt idx="3392">
                  <c:v>52500</c:v>
                </c:pt>
                <c:pt idx="3393">
                  <c:v>57000</c:v>
                </c:pt>
                <c:pt idx="3394">
                  <c:v>52000</c:v>
                </c:pt>
                <c:pt idx="3395">
                  <c:v>48000</c:v>
                </c:pt>
                <c:pt idx="3396">
                  <c:v>50000</c:v>
                </c:pt>
                <c:pt idx="3397">
                  <c:v>65000</c:v>
                </c:pt>
                <c:pt idx="3398">
                  <c:v>81000</c:v>
                </c:pt>
                <c:pt idx="3399">
                  <c:v>66000</c:v>
                </c:pt>
                <c:pt idx="3400">
                  <c:v>59000</c:v>
                </c:pt>
                <c:pt idx="3401">
                  <c:v>61000</c:v>
                </c:pt>
                <c:pt idx="3402">
                  <c:v>64000</c:v>
                </c:pt>
                <c:pt idx="3403">
                  <c:v>60000</c:v>
                </c:pt>
                <c:pt idx="3404">
                  <c:v>50000</c:v>
                </c:pt>
                <c:pt idx="3405">
                  <c:v>63000</c:v>
                </c:pt>
                <c:pt idx="3406">
                  <c:v>77000</c:v>
                </c:pt>
                <c:pt idx="3407">
                  <c:v>62000</c:v>
                </c:pt>
                <c:pt idx="3408">
                  <c:v>61000</c:v>
                </c:pt>
                <c:pt idx="3409">
                  <c:v>70000</c:v>
                </c:pt>
                <c:pt idx="3410">
                  <c:v>73000</c:v>
                </c:pt>
                <c:pt idx="3411">
                  <c:v>93000</c:v>
                </c:pt>
                <c:pt idx="3412">
                  <c:v>75000</c:v>
                </c:pt>
                <c:pt idx="3413">
                  <c:v>85000</c:v>
                </c:pt>
                <c:pt idx="3414">
                  <c:v>53000</c:v>
                </c:pt>
                <c:pt idx="3415">
                  <c:v>52000</c:v>
                </c:pt>
                <c:pt idx="3416">
                  <c:v>70000</c:v>
                </c:pt>
                <c:pt idx="3417">
                  <c:v>69000</c:v>
                </c:pt>
                <c:pt idx="3418">
                  <c:v>58000</c:v>
                </c:pt>
                <c:pt idx="3419">
                  <c:v>65000</c:v>
                </c:pt>
                <c:pt idx="3420">
                  <c:v>57000</c:v>
                </c:pt>
                <c:pt idx="3421">
                  <c:v>70000</c:v>
                </c:pt>
                <c:pt idx="3422">
                  <c:v>81000</c:v>
                </c:pt>
                <c:pt idx="3423">
                  <c:v>83000</c:v>
                </c:pt>
                <c:pt idx="3424">
                  <c:v>87000</c:v>
                </c:pt>
                <c:pt idx="3425">
                  <c:v>98000</c:v>
                </c:pt>
                <c:pt idx="3426">
                  <c:v>77000</c:v>
                </c:pt>
                <c:pt idx="3427">
                  <c:v>72000</c:v>
                </c:pt>
                <c:pt idx="3428">
                  <c:v>72000</c:v>
                </c:pt>
                <c:pt idx="3429">
                  <c:v>85000</c:v>
                </c:pt>
                <c:pt idx="3430">
                  <c:v>92000</c:v>
                </c:pt>
                <c:pt idx="3431">
                  <c:v>80000</c:v>
                </c:pt>
                <c:pt idx="3432">
                  <c:v>80000</c:v>
                </c:pt>
                <c:pt idx="3433">
                  <c:v>98000</c:v>
                </c:pt>
                <c:pt idx="3434">
                  <c:v>98000</c:v>
                </c:pt>
                <c:pt idx="3435">
                  <c:v>72000</c:v>
                </c:pt>
                <c:pt idx="3436">
                  <c:v>51000</c:v>
                </c:pt>
                <c:pt idx="3437">
                  <c:v>185000</c:v>
                </c:pt>
                <c:pt idx="3438">
                  <c:v>180000</c:v>
                </c:pt>
                <c:pt idx="3439">
                  <c:v>185000</c:v>
                </c:pt>
                <c:pt idx="3440">
                  <c:v>180000</c:v>
                </c:pt>
                <c:pt idx="3441">
                  <c:v>135000</c:v>
                </c:pt>
                <c:pt idx="3442">
                  <c:v>128000</c:v>
                </c:pt>
                <c:pt idx="3443">
                  <c:v>132000</c:v>
                </c:pt>
                <c:pt idx="3444">
                  <c:v>89000</c:v>
                </c:pt>
                <c:pt idx="3445">
                  <c:v>67000</c:v>
                </c:pt>
                <c:pt idx="3446">
                  <c:v>95000</c:v>
                </c:pt>
                <c:pt idx="3447">
                  <c:v>135000</c:v>
                </c:pt>
                <c:pt idx="3448">
                  <c:v>132000</c:v>
                </c:pt>
                <c:pt idx="3449">
                  <c:v>145000</c:v>
                </c:pt>
                <c:pt idx="3450">
                  <c:v>145000</c:v>
                </c:pt>
                <c:pt idx="3451">
                  <c:v>113000</c:v>
                </c:pt>
                <c:pt idx="3452">
                  <c:v>120000</c:v>
                </c:pt>
                <c:pt idx="3453">
                  <c:v>79000</c:v>
                </c:pt>
                <c:pt idx="3454">
                  <c:v>70000</c:v>
                </c:pt>
                <c:pt idx="3455">
                  <c:v>44000</c:v>
                </c:pt>
                <c:pt idx="3456">
                  <c:v>67000</c:v>
                </c:pt>
                <c:pt idx="3457">
                  <c:v>63000</c:v>
                </c:pt>
                <c:pt idx="3458">
                  <c:v>147000</c:v>
                </c:pt>
                <c:pt idx="3459">
                  <c:v>150000</c:v>
                </c:pt>
                <c:pt idx="3460">
                  <c:v>170000</c:v>
                </c:pt>
                <c:pt idx="3461">
                  <c:v>222000</c:v>
                </c:pt>
                <c:pt idx="3462">
                  <c:v>180000</c:v>
                </c:pt>
                <c:pt idx="3463">
                  <c:v>190000</c:v>
                </c:pt>
                <c:pt idx="3464">
                  <c:v>132000</c:v>
                </c:pt>
                <c:pt idx="3465">
                  <c:v>220000</c:v>
                </c:pt>
                <c:pt idx="3466">
                  <c:v>220000</c:v>
                </c:pt>
                <c:pt idx="3467">
                  <c:v>222000</c:v>
                </c:pt>
                <c:pt idx="3468">
                  <c:v>225000</c:v>
                </c:pt>
                <c:pt idx="3469">
                  <c:v>225000</c:v>
                </c:pt>
                <c:pt idx="3470">
                  <c:v>210000</c:v>
                </c:pt>
                <c:pt idx="3471">
                  <c:v>216000</c:v>
                </c:pt>
                <c:pt idx="3472">
                  <c:v>161000</c:v>
                </c:pt>
                <c:pt idx="3473">
                  <c:v>215000</c:v>
                </c:pt>
                <c:pt idx="3474">
                  <c:v>215000</c:v>
                </c:pt>
                <c:pt idx="3475">
                  <c:v>170000</c:v>
                </c:pt>
                <c:pt idx="3476">
                  <c:v>132000</c:v>
                </c:pt>
                <c:pt idx="3477">
                  <c:v>263000</c:v>
                </c:pt>
                <c:pt idx="3478">
                  <c:v>145000</c:v>
                </c:pt>
                <c:pt idx="3479">
                  <c:v>190000</c:v>
                </c:pt>
                <c:pt idx="3480">
                  <c:v>263000</c:v>
                </c:pt>
                <c:pt idx="3481">
                  <c:v>210000</c:v>
                </c:pt>
                <c:pt idx="3482">
                  <c:v>215000</c:v>
                </c:pt>
                <c:pt idx="3483">
                  <c:v>225000</c:v>
                </c:pt>
                <c:pt idx="3484">
                  <c:v>225000</c:v>
                </c:pt>
                <c:pt idx="3485">
                  <c:v>216000</c:v>
                </c:pt>
                <c:pt idx="3486">
                  <c:v>215000</c:v>
                </c:pt>
                <c:pt idx="3487">
                  <c:v>260000</c:v>
                </c:pt>
                <c:pt idx="3488">
                  <c:v>170000</c:v>
                </c:pt>
                <c:pt idx="3489">
                  <c:v>245000</c:v>
                </c:pt>
                <c:pt idx="3490">
                  <c:v>239000</c:v>
                </c:pt>
                <c:pt idx="3491">
                  <c:v>247000</c:v>
                </c:pt>
                <c:pt idx="3492">
                  <c:v>260000</c:v>
                </c:pt>
                <c:pt idx="3493">
                  <c:v>170000</c:v>
                </c:pt>
                <c:pt idx="3494">
                  <c:v>250000</c:v>
                </c:pt>
                <c:pt idx="3495">
                  <c:v>245000</c:v>
                </c:pt>
                <c:pt idx="3496">
                  <c:v>260000</c:v>
                </c:pt>
                <c:pt idx="3497">
                  <c:v>315000</c:v>
                </c:pt>
                <c:pt idx="3498">
                  <c:v>315000</c:v>
                </c:pt>
                <c:pt idx="3499">
                  <c:v>260000</c:v>
                </c:pt>
                <c:pt idx="3500">
                  <c:v>260000</c:v>
                </c:pt>
                <c:pt idx="3501">
                  <c:v>260000</c:v>
                </c:pt>
                <c:pt idx="3502">
                  <c:v>260000</c:v>
                </c:pt>
                <c:pt idx="3503">
                  <c:v>125000</c:v>
                </c:pt>
                <c:pt idx="3504">
                  <c:v>125000</c:v>
                </c:pt>
                <c:pt idx="3505">
                  <c:v>130000</c:v>
                </c:pt>
                <c:pt idx="3506">
                  <c:v>119000</c:v>
                </c:pt>
                <c:pt idx="3507">
                  <c:v>74000</c:v>
                </c:pt>
                <c:pt idx="3508">
                  <c:v>89000</c:v>
                </c:pt>
                <c:pt idx="3509">
                  <c:v>50000</c:v>
                </c:pt>
                <c:pt idx="3510">
                  <c:v>72000</c:v>
                </c:pt>
                <c:pt idx="3511">
                  <c:v>113000</c:v>
                </c:pt>
                <c:pt idx="3512">
                  <c:v>116000</c:v>
                </c:pt>
                <c:pt idx="3513">
                  <c:v>159000</c:v>
                </c:pt>
                <c:pt idx="3514">
                  <c:v>154000</c:v>
                </c:pt>
                <c:pt idx="3515">
                  <c:v>156000</c:v>
                </c:pt>
                <c:pt idx="3516">
                  <c:v>102000</c:v>
                </c:pt>
                <c:pt idx="3517">
                  <c:v>103000</c:v>
                </c:pt>
                <c:pt idx="3518">
                  <c:v>164000</c:v>
                </c:pt>
                <c:pt idx="3519">
                  <c:v>169000</c:v>
                </c:pt>
                <c:pt idx="3520">
                  <c:v>170000</c:v>
                </c:pt>
                <c:pt idx="3521">
                  <c:v>85000</c:v>
                </c:pt>
                <c:pt idx="3522">
                  <c:v>75000</c:v>
                </c:pt>
                <c:pt idx="3523">
                  <c:v>159000</c:v>
                </c:pt>
                <c:pt idx="3524">
                  <c:v>154000</c:v>
                </c:pt>
                <c:pt idx="3525">
                  <c:v>116000</c:v>
                </c:pt>
                <c:pt idx="3526">
                  <c:v>102000</c:v>
                </c:pt>
                <c:pt idx="3527">
                  <c:v>62000</c:v>
                </c:pt>
                <c:pt idx="3528">
                  <c:v>119000</c:v>
                </c:pt>
                <c:pt idx="3529">
                  <c:v>122000</c:v>
                </c:pt>
                <c:pt idx="3530">
                  <c:v>193000</c:v>
                </c:pt>
                <c:pt idx="3531">
                  <c:v>158000</c:v>
                </c:pt>
                <c:pt idx="3532">
                  <c:v>143000</c:v>
                </c:pt>
                <c:pt idx="3533">
                  <c:v>232000</c:v>
                </c:pt>
                <c:pt idx="3534">
                  <c:v>270000</c:v>
                </c:pt>
                <c:pt idx="3535">
                  <c:v>158000</c:v>
                </c:pt>
                <c:pt idx="3536">
                  <c:v>153000</c:v>
                </c:pt>
                <c:pt idx="3537">
                  <c:v>84000</c:v>
                </c:pt>
                <c:pt idx="3538">
                  <c:v>58000</c:v>
                </c:pt>
                <c:pt idx="3539">
                  <c:v>107000</c:v>
                </c:pt>
                <c:pt idx="3540">
                  <c:v>166000</c:v>
                </c:pt>
                <c:pt idx="3541">
                  <c:v>164000</c:v>
                </c:pt>
                <c:pt idx="3542">
                  <c:v>172000</c:v>
                </c:pt>
                <c:pt idx="3543">
                  <c:v>172000</c:v>
                </c:pt>
                <c:pt idx="3544">
                  <c:v>77000</c:v>
                </c:pt>
                <c:pt idx="3545">
                  <c:v>172000</c:v>
                </c:pt>
                <c:pt idx="3546">
                  <c:v>133000</c:v>
                </c:pt>
                <c:pt idx="3547">
                  <c:v>185000</c:v>
                </c:pt>
                <c:pt idx="3548">
                  <c:v>185000</c:v>
                </c:pt>
                <c:pt idx="3549">
                  <c:v>230000</c:v>
                </c:pt>
                <c:pt idx="3550">
                  <c:v>260000</c:v>
                </c:pt>
                <c:pt idx="3551">
                  <c:v>180000</c:v>
                </c:pt>
                <c:pt idx="3552">
                  <c:v>260000</c:v>
                </c:pt>
                <c:pt idx="3553">
                  <c:v>175000</c:v>
                </c:pt>
                <c:pt idx="3554">
                  <c:v>230000</c:v>
                </c:pt>
                <c:pt idx="3555">
                  <c:v>260000</c:v>
                </c:pt>
                <c:pt idx="3556">
                  <c:v>230000</c:v>
                </c:pt>
                <c:pt idx="3557">
                  <c:v>110000</c:v>
                </c:pt>
                <c:pt idx="3558">
                  <c:v>123000</c:v>
                </c:pt>
                <c:pt idx="3559">
                  <c:v>116000</c:v>
                </c:pt>
                <c:pt idx="3560">
                  <c:v>104000</c:v>
                </c:pt>
                <c:pt idx="3561">
                  <c:v>165000</c:v>
                </c:pt>
                <c:pt idx="3562">
                  <c:v>170000</c:v>
                </c:pt>
                <c:pt idx="3563">
                  <c:v>170000</c:v>
                </c:pt>
                <c:pt idx="3564">
                  <c:v>130000</c:v>
                </c:pt>
                <c:pt idx="3565">
                  <c:v>132000</c:v>
                </c:pt>
                <c:pt idx="3566">
                  <c:v>110000</c:v>
                </c:pt>
                <c:pt idx="3567">
                  <c:v>116000</c:v>
                </c:pt>
                <c:pt idx="3568">
                  <c:v>115000</c:v>
                </c:pt>
                <c:pt idx="3569">
                  <c:v>115000</c:v>
                </c:pt>
                <c:pt idx="3570">
                  <c:v>120000</c:v>
                </c:pt>
                <c:pt idx="3571">
                  <c:v>121000</c:v>
                </c:pt>
                <c:pt idx="3572">
                  <c:v>125000</c:v>
                </c:pt>
                <c:pt idx="3573">
                  <c:v>143000</c:v>
                </c:pt>
                <c:pt idx="3574">
                  <c:v>111000</c:v>
                </c:pt>
                <c:pt idx="3575">
                  <c:v>113000</c:v>
                </c:pt>
                <c:pt idx="3576">
                  <c:v>115000</c:v>
                </c:pt>
                <c:pt idx="3577">
                  <c:v>75000</c:v>
                </c:pt>
                <c:pt idx="3578">
                  <c:v>100000</c:v>
                </c:pt>
                <c:pt idx="3579">
                  <c:v>116000</c:v>
                </c:pt>
                <c:pt idx="3580">
                  <c:v>70000</c:v>
                </c:pt>
                <c:pt idx="3581">
                  <c:v>100000</c:v>
                </c:pt>
                <c:pt idx="3582">
                  <c:v>170000</c:v>
                </c:pt>
                <c:pt idx="3583">
                  <c:v>70000</c:v>
                </c:pt>
                <c:pt idx="3584">
                  <c:v>113000</c:v>
                </c:pt>
                <c:pt idx="3585">
                  <c:v>110000</c:v>
                </c:pt>
                <c:pt idx="3586">
                  <c:v>123000</c:v>
                </c:pt>
                <c:pt idx="3587">
                  <c:v>120000</c:v>
                </c:pt>
                <c:pt idx="3588">
                  <c:v>115000</c:v>
                </c:pt>
                <c:pt idx="3589">
                  <c:v>120000</c:v>
                </c:pt>
                <c:pt idx="3590">
                  <c:v>115000</c:v>
                </c:pt>
                <c:pt idx="3591">
                  <c:v>100000</c:v>
                </c:pt>
                <c:pt idx="3592">
                  <c:v>121000</c:v>
                </c:pt>
                <c:pt idx="3593">
                  <c:v>55000</c:v>
                </c:pt>
                <c:pt idx="3594">
                  <c:v>126000</c:v>
                </c:pt>
                <c:pt idx="3595">
                  <c:v>92000</c:v>
                </c:pt>
                <c:pt idx="3596">
                  <c:v>105000</c:v>
                </c:pt>
                <c:pt idx="3597">
                  <c:v>136000</c:v>
                </c:pt>
                <c:pt idx="3598">
                  <c:v>64000</c:v>
                </c:pt>
                <c:pt idx="3599">
                  <c:v>77000</c:v>
                </c:pt>
                <c:pt idx="3600">
                  <c:v>77000</c:v>
                </c:pt>
                <c:pt idx="3601">
                  <c:v>77000</c:v>
                </c:pt>
                <c:pt idx="3602">
                  <c:v>89000</c:v>
                </c:pt>
                <c:pt idx="3603">
                  <c:v>97000</c:v>
                </c:pt>
                <c:pt idx="3604">
                  <c:v>78000</c:v>
                </c:pt>
                <c:pt idx="3605">
                  <c:v>98000</c:v>
                </c:pt>
                <c:pt idx="3606">
                  <c:v>82000</c:v>
                </c:pt>
                <c:pt idx="3607">
                  <c:v>112000</c:v>
                </c:pt>
                <c:pt idx="3608">
                  <c:v>97000</c:v>
                </c:pt>
                <c:pt idx="3609">
                  <c:v>93000</c:v>
                </c:pt>
                <c:pt idx="3610">
                  <c:v>98000</c:v>
                </c:pt>
                <c:pt idx="3611">
                  <c:v>89000</c:v>
                </c:pt>
                <c:pt idx="3612">
                  <c:v>58000</c:v>
                </c:pt>
                <c:pt idx="3613">
                  <c:v>63000</c:v>
                </c:pt>
                <c:pt idx="3614">
                  <c:v>64000</c:v>
                </c:pt>
                <c:pt idx="3615">
                  <c:v>65000</c:v>
                </c:pt>
                <c:pt idx="3616">
                  <c:v>73000</c:v>
                </c:pt>
                <c:pt idx="3617">
                  <c:v>53000</c:v>
                </c:pt>
                <c:pt idx="3618">
                  <c:v>53000</c:v>
                </c:pt>
                <c:pt idx="3619">
                  <c:v>58000</c:v>
                </c:pt>
                <c:pt idx="3620">
                  <c:v>65000</c:v>
                </c:pt>
                <c:pt idx="3621">
                  <c:v>70000</c:v>
                </c:pt>
                <c:pt idx="3622">
                  <c:v>57000</c:v>
                </c:pt>
                <c:pt idx="3623">
                  <c:v>55000</c:v>
                </c:pt>
                <c:pt idx="3624">
                  <c:v>55000</c:v>
                </c:pt>
                <c:pt idx="3625">
                  <c:v>62000</c:v>
                </c:pt>
                <c:pt idx="3626">
                  <c:v>80000</c:v>
                </c:pt>
                <c:pt idx="3627">
                  <c:v>78000</c:v>
                </c:pt>
                <c:pt idx="3628">
                  <c:v>63000</c:v>
                </c:pt>
                <c:pt idx="3629">
                  <c:v>90000</c:v>
                </c:pt>
                <c:pt idx="3630">
                  <c:v>71000</c:v>
                </c:pt>
                <c:pt idx="3631">
                  <c:v>89000</c:v>
                </c:pt>
                <c:pt idx="3632">
                  <c:v>80000</c:v>
                </c:pt>
                <c:pt idx="3633">
                  <c:v>82000</c:v>
                </c:pt>
                <c:pt idx="3634">
                  <c:v>121000</c:v>
                </c:pt>
                <c:pt idx="3635">
                  <c:v>124000</c:v>
                </c:pt>
                <c:pt idx="3636">
                  <c:v>122000</c:v>
                </c:pt>
                <c:pt idx="3637">
                  <c:v>125000</c:v>
                </c:pt>
                <c:pt idx="3638">
                  <c:v>125000</c:v>
                </c:pt>
                <c:pt idx="3639">
                  <c:v>125000</c:v>
                </c:pt>
                <c:pt idx="3640">
                  <c:v>126000</c:v>
                </c:pt>
                <c:pt idx="3641">
                  <c:v>115000</c:v>
                </c:pt>
                <c:pt idx="3642">
                  <c:v>127000</c:v>
                </c:pt>
                <c:pt idx="3643">
                  <c:v>137000</c:v>
                </c:pt>
                <c:pt idx="3644">
                  <c:v>128000</c:v>
                </c:pt>
                <c:pt idx="3645">
                  <c:v>73000</c:v>
                </c:pt>
                <c:pt idx="3646">
                  <c:v>74000</c:v>
                </c:pt>
                <c:pt idx="3647">
                  <c:v>90000</c:v>
                </c:pt>
                <c:pt idx="3648">
                  <c:v>90000</c:v>
                </c:pt>
                <c:pt idx="3649">
                  <c:v>89000</c:v>
                </c:pt>
                <c:pt idx="3650">
                  <c:v>92000</c:v>
                </c:pt>
                <c:pt idx="3651">
                  <c:v>67000</c:v>
                </c:pt>
                <c:pt idx="3652">
                  <c:v>86000</c:v>
                </c:pt>
                <c:pt idx="3653">
                  <c:v>78000</c:v>
                </c:pt>
                <c:pt idx="3654">
                  <c:v>79000</c:v>
                </c:pt>
                <c:pt idx="3655">
                  <c:v>60000</c:v>
                </c:pt>
                <c:pt idx="3656">
                  <c:v>111000</c:v>
                </c:pt>
                <c:pt idx="3657">
                  <c:v>110000</c:v>
                </c:pt>
                <c:pt idx="3658">
                  <c:v>101000</c:v>
                </c:pt>
                <c:pt idx="3659">
                  <c:v>70000</c:v>
                </c:pt>
                <c:pt idx="3660">
                  <c:v>89000</c:v>
                </c:pt>
                <c:pt idx="3661">
                  <c:v>93000</c:v>
                </c:pt>
                <c:pt idx="3662">
                  <c:v>98000</c:v>
                </c:pt>
                <c:pt idx="3663">
                  <c:v>93000</c:v>
                </c:pt>
                <c:pt idx="3664">
                  <c:v>68000</c:v>
                </c:pt>
                <c:pt idx="3665">
                  <c:v>80000</c:v>
                </c:pt>
                <c:pt idx="3666">
                  <c:v>85000</c:v>
                </c:pt>
                <c:pt idx="3667">
                  <c:v>62000</c:v>
                </c:pt>
                <c:pt idx="3668">
                  <c:v>107500</c:v>
                </c:pt>
                <c:pt idx="3669">
                  <c:v>100000</c:v>
                </c:pt>
                <c:pt idx="3670">
                  <c:v>136000</c:v>
                </c:pt>
                <c:pt idx="3671">
                  <c:v>137000</c:v>
                </c:pt>
                <c:pt idx="3672">
                  <c:v>75000</c:v>
                </c:pt>
                <c:pt idx="3673">
                  <c:v>117000</c:v>
                </c:pt>
                <c:pt idx="3674">
                  <c:v>103000</c:v>
                </c:pt>
                <c:pt idx="3675">
                  <c:v>64000</c:v>
                </c:pt>
                <c:pt idx="3676">
                  <c:v>70000</c:v>
                </c:pt>
                <c:pt idx="3677">
                  <c:v>93000</c:v>
                </c:pt>
                <c:pt idx="3678">
                  <c:v>93000</c:v>
                </c:pt>
                <c:pt idx="3679">
                  <c:v>55000</c:v>
                </c:pt>
                <c:pt idx="3680">
                  <c:v>79000</c:v>
                </c:pt>
                <c:pt idx="3681">
                  <c:v>84000</c:v>
                </c:pt>
                <c:pt idx="3682">
                  <c:v>79000</c:v>
                </c:pt>
                <c:pt idx="3683">
                  <c:v>84000</c:v>
                </c:pt>
                <c:pt idx="3684">
                  <c:v>87000</c:v>
                </c:pt>
                <c:pt idx="3685">
                  <c:v>64000</c:v>
                </c:pt>
                <c:pt idx="3686">
                  <c:v>90000</c:v>
                </c:pt>
                <c:pt idx="3687">
                  <c:v>90000</c:v>
                </c:pt>
                <c:pt idx="3688">
                  <c:v>98000</c:v>
                </c:pt>
                <c:pt idx="3689">
                  <c:v>104000</c:v>
                </c:pt>
                <c:pt idx="3690">
                  <c:v>105000</c:v>
                </c:pt>
                <c:pt idx="3691">
                  <c:v>125000</c:v>
                </c:pt>
                <c:pt idx="3692">
                  <c:v>123000</c:v>
                </c:pt>
                <c:pt idx="3693">
                  <c:v>122000</c:v>
                </c:pt>
                <c:pt idx="3694">
                  <c:v>123000</c:v>
                </c:pt>
                <c:pt idx="3695">
                  <c:v>123000</c:v>
                </c:pt>
                <c:pt idx="3696">
                  <c:v>123000</c:v>
                </c:pt>
                <c:pt idx="3697">
                  <c:v>80000</c:v>
                </c:pt>
                <c:pt idx="3698">
                  <c:v>58000</c:v>
                </c:pt>
                <c:pt idx="3699">
                  <c:v>76000</c:v>
                </c:pt>
                <c:pt idx="3700">
                  <c:v>79000</c:v>
                </c:pt>
                <c:pt idx="3701">
                  <c:v>80000</c:v>
                </c:pt>
                <c:pt idx="3702">
                  <c:v>70000</c:v>
                </c:pt>
                <c:pt idx="3703">
                  <c:v>105000</c:v>
                </c:pt>
                <c:pt idx="3704">
                  <c:v>110000</c:v>
                </c:pt>
                <c:pt idx="3705">
                  <c:v>67000</c:v>
                </c:pt>
                <c:pt idx="3706">
                  <c:v>57000</c:v>
                </c:pt>
                <c:pt idx="3707">
                  <c:v>84000</c:v>
                </c:pt>
                <c:pt idx="3708">
                  <c:v>63000</c:v>
                </c:pt>
                <c:pt idx="3709">
                  <c:v>80500</c:v>
                </c:pt>
                <c:pt idx="3710">
                  <c:v>78000</c:v>
                </c:pt>
                <c:pt idx="3711">
                  <c:v>79000</c:v>
                </c:pt>
                <c:pt idx="3712">
                  <c:v>101000</c:v>
                </c:pt>
                <c:pt idx="3713">
                  <c:v>74000</c:v>
                </c:pt>
                <c:pt idx="3714">
                  <c:v>90000</c:v>
                </c:pt>
                <c:pt idx="3715">
                  <c:v>85000</c:v>
                </c:pt>
                <c:pt idx="3716">
                  <c:v>89000</c:v>
                </c:pt>
                <c:pt idx="3717">
                  <c:v>92000</c:v>
                </c:pt>
                <c:pt idx="3718">
                  <c:v>58000</c:v>
                </c:pt>
                <c:pt idx="3719">
                  <c:v>55000</c:v>
                </c:pt>
                <c:pt idx="3720">
                  <c:v>82000</c:v>
                </c:pt>
                <c:pt idx="3721">
                  <c:v>97000</c:v>
                </c:pt>
                <c:pt idx="3722">
                  <c:v>93000</c:v>
                </c:pt>
                <c:pt idx="3723">
                  <c:v>93000</c:v>
                </c:pt>
                <c:pt idx="3724">
                  <c:v>77000</c:v>
                </c:pt>
                <c:pt idx="3725">
                  <c:v>77000</c:v>
                </c:pt>
                <c:pt idx="3726">
                  <c:v>77000</c:v>
                </c:pt>
                <c:pt idx="3727">
                  <c:v>80000</c:v>
                </c:pt>
                <c:pt idx="3728">
                  <c:v>85000</c:v>
                </c:pt>
                <c:pt idx="3729">
                  <c:v>84000</c:v>
                </c:pt>
                <c:pt idx="3730">
                  <c:v>90000</c:v>
                </c:pt>
                <c:pt idx="3731">
                  <c:v>78000</c:v>
                </c:pt>
                <c:pt idx="3732">
                  <c:v>64000</c:v>
                </c:pt>
                <c:pt idx="3733">
                  <c:v>65000</c:v>
                </c:pt>
                <c:pt idx="3734">
                  <c:v>64000</c:v>
                </c:pt>
                <c:pt idx="3735">
                  <c:v>97000</c:v>
                </c:pt>
                <c:pt idx="3736">
                  <c:v>93000</c:v>
                </c:pt>
                <c:pt idx="3737">
                  <c:v>136000</c:v>
                </c:pt>
                <c:pt idx="3738">
                  <c:v>90000</c:v>
                </c:pt>
                <c:pt idx="3739">
                  <c:v>104000</c:v>
                </c:pt>
                <c:pt idx="3740">
                  <c:v>70000</c:v>
                </c:pt>
                <c:pt idx="3741">
                  <c:v>89000</c:v>
                </c:pt>
                <c:pt idx="3742">
                  <c:v>87000</c:v>
                </c:pt>
                <c:pt idx="3743">
                  <c:v>123000</c:v>
                </c:pt>
                <c:pt idx="3744">
                  <c:v>122000</c:v>
                </c:pt>
                <c:pt idx="3745">
                  <c:v>109000</c:v>
                </c:pt>
                <c:pt idx="3746">
                  <c:v>125000</c:v>
                </c:pt>
                <c:pt idx="3747">
                  <c:v>99000</c:v>
                </c:pt>
                <c:pt idx="3748">
                  <c:v>105000</c:v>
                </c:pt>
                <c:pt idx="3749">
                  <c:v>98000</c:v>
                </c:pt>
                <c:pt idx="3750">
                  <c:v>93000</c:v>
                </c:pt>
                <c:pt idx="3751">
                  <c:v>98000</c:v>
                </c:pt>
                <c:pt idx="3752">
                  <c:v>71000</c:v>
                </c:pt>
                <c:pt idx="3753">
                  <c:v>89000</c:v>
                </c:pt>
                <c:pt idx="3754">
                  <c:v>80000</c:v>
                </c:pt>
                <c:pt idx="3755">
                  <c:v>92000</c:v>
                </c:pt>
                <c:pt idx="3756">
                  <c:v>93000</c:v>
                </c:pt>
                <c:pt idx="3757">
                  <c:v>98000</c:v>
                </c:pt>
                <c:pt idx="3758">
                  <c:v>84000</c:v>
                </c:pt>
                <c:pt idx="3759">
                  <c:v>73000</c:v>
                </c:pt>
                <c:pt idx="3760">
                  <c:v>80000</c:v>
                </c:pt>
                <c:pt idx="3761">
                  <c:v>78000</c:v>
                </c:pt>
                <c:pt idx="3762">
                  <c:v>82000</c:v>
                </c:pt>
                <c:pt idx="3763">
                  <c:v>79000</c:v>
                </c:pt>
                <c:pt idx="3764">
                  <c:v>84000</c:v>
                </c:pt>
                <c:pt idx="3765">
                  <c:v>79000</c:v>
                </c:pt>
                <c:pt idx="3766">
                  <c:v>83000</c:v>
                </c:pt>
                <c:pt idx="3767">
                  <c:v>111000</c:v>
                </c:pt>
                <c:pt idx="3768">
                  <c:v>137000</c:v>
                </c:pt>
                <c:pt idx="3769">
                  <c:v>107500</c:v>
                </c:pt>
                <c:pt idx="3770">
                  <c:v>105000</c:v>
                </c:pt>
                <c:pt idx="3771">
                  <c:v>80500</c:v>
                </c:pt>
                <c:pt idx="3772">
                  <c:v>85000</c:v>
                </c:pt>
                <c:pt idx="3773">
                  <c:v>109000</c:v>
                </c:pt>
                <c:pt idx="3774">
                  <c:v>85000</c:v>
                </c:pt>
                <c:pt idx="3775">
                  <c:v>83000</c:v>
                </c:pt>
                <c:pt idx="3776">
                  <c:v>75000</c:v>
                </c:pt>
                <c:pt idx="3777">
                  <c:v>76000</c:v>
                </c:pt>
                <c:pt idx="3778">
                  <c:v>76000</c:v>
                </c:pt>
                <c:pt idx="3779">
                  <c:v>197000</c:v>
                </c:pt>
                <c:pt idx="3780">
                  <c:v>140000</c:v>
                </c:pt>
                <c:pt idx="3781">
                  <c:v>159000</c:v>
                </c:pt>
                <c:pt idx="3782">
                  <c:v>154000</c:v>
                </c:pt>
                <c:pt idx="3783">
                  <c:v>151000</c:v>
                </c:pt>
                <c:pt idx="3784">
                  <c:v>155000</c:v>
                </c:pt>
                <c:pt idx="3785">
                  <c:v>159000</c:v>
                </c:pt>
                <c:pt idx="3786">
                  <c:v>159000</c:v>
                </c:pt>
                <c:pt idx="3787">
                  <c:v>163000</c:v>
                </c:pt>
                <c:pt idx="3788">
                  <c:v>168000</c:v>
                </c:pt>
                <c:pt idx="3789">
                  <c:v>159000</c:v>
                </c:pt>
                <c:pt idx="3790">
                  <c:v>156000</c:v>
                </c:pt>
                <c:pt idx="3791">
                  <c:v>160000</c:v>
                </c:pt>
                <c:pt idx="3792">
                  <c:v>164000</c:v>
                </c:pt>
                <c:pt idx="3793">
                  <c:v>164000</c:v>
                </c:pt>
                <c:pt idx="3794">
                  <c:v>173000</c:v>
                </c:pt>
                <c:pt idx="3795">
                  <c:v>238000</c:v>
                </c:pt>
                <c:pt idx="3796">
                  <c:v>164000</c:v>
                </c:pt>
                <c:pt idx="3797">
                  <c:v>161000</c:v>
                </c:pt>
                <c:pt idx="3798">
                  <c:v>165000</c:v>
                </c:pt>
                <c:pt idx="3799">
                  <c:v>169000</c:v>
                </c:pt>
                <c:pt idx="3800">
                  <c:v>169000</c:v>
                </c:pt>
                <c:pt idx="3801">
                  <c:v>178000</c:v>
                </c:pt>
                <c:pt idx="3802">
                  <c:v>158000</c:v>
                </c:pt>
                <c:pt idx="3803">
                  <c:v>188000</c:v>
                </c:pt>
                <c:pt idx="3804">
                  <c:v>136000</c:v>
                </c:pt>
                <c:pt idx="3805">
                  <c:v>150000</c:v>
                </c:pt>
                <c:pt idx="3806">
                  <c:v>191000</c:v>
                </c:pt>
                <c:pt idx="3807">
                  <c:v>190000</c:v>
                </c:pt>
                <c:pt idx="3808">
                  <c:v>155000</c:v>
                </c:pt>
                <c:pt idx="3809">
                  <c:v>138000</c:v>
                </c:pt>
                <c:pt idx="3810">
                  <c:v>137000</c:v>
                </c:pt>
                <c:pt idx="3811">
                  <c:v>145000</c:v>
                </c:pt>
                <c:pt idx="3812">
                  <c:v>144000</c:v>
                </c:pt>
                <c:pt idx="3813">
                  <c:v>129000</c:v>
                </c:pt>
                <c:pt idx="3814">
                  <c:v>145000</c:v>
                </c:pt>
                <c:pt idx="3815">
                  <c:v>160000</c:v>
                </c:pt>
                <c:pt idx="3816">
                  <c:v>160000</c:v>
                </c:pt>
                <c:pt idx="3817">
                  <c:v>120000</c:v>
                </c:pt>
                <c:pt idx="3818">
                  <c:v>150000</c:v>
                </c:pt>
                <c:pt idx="3819">
                  <c:v>115000</c:v>
                </c:pt>
                <c:pt idx="3820">
                  <c:v>160000</c:v>
                </c:pt>
                <c:pt idx="3821">
                  <c:v>160000</c:v>
                </c:pt>
                <c:pt idx="3822">
                  <c:v>126000</c:v>
                </c:pt>
                <c:pt idx="3823">
                  <c:v>155000</c:v>
                </c:pt>
                <c:pt idx="3824">
                  <c:v>159000</c:v>
                </c:pt>
                <c:pt idx="3825">
                  <c:v>144000</c:v>
                </c:pt>
                <c:pt idx="3826">
                  <c:v>145000</c:v>
                </c:pt>
                <c:pt idx="3827">
                  <c:v>168000</c:v>
                </c:pt>
                <c:pt idx="3828">
                  <c:v>154000</c:v>
                </c:pt>
                <c:pt idx="3829">
                  <c:v>151000</c:v>
                </c:pt>
                <c:pt idx="3830">
                  <c:v>155000</c:v>
                </c:pt>
                <c:pt idx="3831">
                  <c:v>159000</c:v>
                </c:pt>
                <c:pt idx="3832">
                  <c:v>159000</c:v>
                </c:pt>
                <c:pt idx="3833">
                  <c:v>163000</c:v>
                </c:pt>
                <c:pt idx="3834">
                  <c:v>168000</c:v>
                </c:pt>
                <c:pt idx="3835">
                  <c:v>159000</c:v>
                </c:pt>
                <c:pt idx="3836">
                  <c:v>156000</c:v>
                </c:pt>
                <c:pt idx="3837">
                  <c:v>160000</c:v>
                </c:pt>
                <c:pt idx="3838">
                  <c:v>164000</c:v>
                </c:pt>
                <c:pt idx="3839">
                  <c:v>164000</c:v>
                </c:pt>
                <c:pt idx="3840">
                  <c:v>173000</c:v>
                </c:pt>
                <c:pt idx="3841">
                  <c:v>164000</c:v>
                </c:pt>
                <c:pt idx="3842">
                  <c:v>161000</c:v>
                </c:pt>
                <c:pt idx="3843">
                  <c:v>165000</c:v>
                </c:pt>
                <c:pt idx="3844">
                  <c:v>169000</c:v>
                </c:pt>
                <c:pt idx="3845">
                  <c:v>169000</c:v>
                </c:pt>
                <c:pt idx="3846">
                  <c:v>178000</c:v>
                </c:pt>
                <c:pt idx="3847">
                  <c:v>135000</c:v>
                </c:pt>
                <c:pt idx="3848">
                  <c:v>158000</c:v>
                </c:pt>
                <c:pt idx="3849">
                  <c:v>160000</c:v>
                </c:pt>
                <c:pt idx="3850">
                  <c:v>138000</c:v>
                </c:pt>
                <c:pt idx="3851">
                  <c:v>197000</c:v>
                </c:pt>
                <c:pt idx="3852">
                  <c:v>110000</c:v>
                </c:pt>
                <c:pt idx="3853">
                  <c:v>191000</c:v>
                </c:pt>
                <c:pt idx="3854">
                  <c:v>190000</c:v>
                </c:pt>
                <c:pt idx="3855">
                  <c:v>136000</c:v>
                </c:pt>
                <c:pt idx="3856">
                  <c:v>150000</c:v>
                </c:pt>
                <c:pt idx="3857">
                  <c:v>155000</c:v>
                </c:pt>
                <c:pt idx="3858">
                  <c:v>156000</c:v>
                </c:pt>
                <c:pt idx="3859">
                  <c:v>156000</c:v>
                </c:pt>
                <c:pt idx="3860">
                  <c:v>157000</c:v>
                </c:pt>
                <c:pt idx="3861">
                  <c:v>157000</c:v>
                </c:pt>
                <c:pt idx="3862">
                  <c:v>158000</c:v>
                </c:pt>
                <c:pt idx="3863">
                  <c:v>158000</c:v>
                </c:pt>
                <c:pt idx="3864">
                  <c:v>159000</c:v>
                </c:pt>
                <c:pt idx="3865">
                  <c:v>158000</c:v>
                </c:pt>
                <c:pt idx="3866">
                  <c:v>159000</c:v>
                </c:pt>
                <c:pt idx="3867">
                  <c:v>160000</c:v>
                </c:pt>
                <c:pt idx="3868">
                  <c:v>145000</c:v>
                </c:pt>
                <c:pt idx="3869">
                  <c:v>149000</c:v>
                </c:pt>
                <c:pt idx="3870">
                  <c:v>151000</c:v>
                </c:pt>
                <c:pt idx="3871">
                  <c:v>165000</c:v>
                </c:pt>
                <c:pt idx="3872">
                  <c:v>165000</c:v>
                </c:pt>
                <c:pt idx="3873">
                  <c:v>160000</c:v>
                </c:pt>
                <c:pt idx="3874">
                  <c:v>168000</c:v>
                </c:pt>
                <c:pt idx="3875">
                  <c:v>130000</c:v>
                </c:pt>
                <c:pt idx="3876">
                  <c:v>100000</c:v>
                </c:pt>
                <c:pt idx="3877">
                  <c:v>110000</c:v>
                </c:pt>
                <c:pt idx="3878">
                  <c:v>95000</c:v>
                </c:pt>
                <c:pt idx="3879">
                  <c:v>70000</c:v>
                </c:pt>
                <c:pt idx="3880">
                  <c:v>105000</c:v>
                </c:pt>
                <c:pt idx="3881">
                  <c:v>64000</c:v>
                </c:pt>
                <c:pt idx="3882">
                  <c:v>67000</c:v>
                </c:pt>
                <c:pt idx="3883">
                  <c:v>65000</c:v>
                </c:pt>
                <c:pt idx="3884">
                  <c:v>140000</c:v>
                </c:pt>
                <c:pt idx="3885">
                  <c:v>146000</c:v>
                </c:pt>
                <c:pt idx="3886">
                  <c:v>145000</c:v>
                </c:pt>
                <c:pt idx="3887">
                  <c:v>151000</c:v>
                </c:pt>
                <c:pt idx="3888">
                  <c:v>145000</c:v>
                </c:pt>
                <c:pt idx="3889">
                  <c:v>152000</c:v>
                </c:pt>
                <c:pt idx="3890">
                  <c:v>25000</c:v>
                </c:pt>
                <c:pt idx="3891">
                  <c:v>92000</c:v>
                </c:pt>
                <c:pt idx="3892">
                  <c:v>50000</c:v>
                </c:pt>
                <c:pt idx="3893">
                  <c:v>55000</c:v>
                </c:pt>
                <c:pt idx="3894">
                  <c:v>62000</c:v>
                </c:pt>
                <c:pt idx="3895">
                  <c:v>60000</c:v>
                </c:pt>
                <c:pt idx="3896">
                  <c:v>65000</c:v>
                </c:pt>
                <c:pt idx="3897">
                  <c:v>45000</c:v>
                </c:pt>
                <c:pt idx="3898">
                  <c:v>43000</c:v>
                </c:pt>
                <c:pt idx="3899">
                  <c:v>71000</c:v>
                </c:pt>
                <c:pt idx="3900">
                  <c:v>70000</c:v>
                </c:pt>
                <c:pt idx="3901">
                  <c:v>70000</c:v>
                </c:pt>
                <c:pt idx="3902">
                  <c:v>97000</c:v>
                </c:pt>
                <c:pt idx="3903">
                  <c:v>97000</c:v>
                </c:pt>
                <c:pt idx="3904">
                  <c:v>97000</c:v>
                </c:pt>
                <c:pt idx="3905">
                  <c:v>97000</c:v>
                </c:pt>
                <c:pt idx="3906">
                  <c:v>64000</c:v>
                </c:pt>
                <c:pt idx="3907">
                  <c:v>62000</c:v>
                </c:pt>
                <c:pt idx="3908">
                  <c:v>64000</c:v>
                </c:pt>
                <c:pt idx="3909">
                  <c:v>64000</c:v>
                </c:pt>
                <c:pt idx="3910">
                  <c:v>65000</c:v>
                </c:pt>
                <c:pt idx="3911">
                  <c:v>69000</c:v>
                </c:pt>
                <c:pt idx="3912">
                  <c:v>53700</c:v>
                </c:pt>
                <c:pt idx="3913">
                  <c:v>78000</c:v>
                </c:pt>
                <c:pt idx="3914">
                  <c:v>80000</c:v>
                </c:pt>
                <c:pt idx="3915">
                  <c:v>68000</c:v>
                </c:pt>
                <c:pt idx="3916">
                  <c:v>68000</c:v>
                </c:pt>
                <c:pt idx="3917">
                  <c:v>60000</c:v>
                </c:pt>
                <c:pt idx="3918">
                  <c:v>85000</c:v>
                </c:pt>
                <c:pt idx="3919">
                  <c:v>55000</c:v>
                </c:pt>
                <c:pt idx="3920">
                  <c:v>60000</c:v>
                </c:pt>
                <c:pt idx="3921">
                  <c:v>59000</c:v>
                </c:pt>
                <c:pt idx="3922">
                  <c:v>85000</c:v>
                </c:pt>
                <c:pt idx="3923">
                  <c:v>80000</c:v>
                </c:pt>
                <c:pt idx="3924">
                  <c:v>139000</c:v>
                </c:pt>
                <c:pt idx="3925">
                  <c:v>60000</c:v>
                </c:pt>
                <c:pt idx="3926">
                  <c:v>58000</c:v>
                </c:pt>
                <c:pt idx="3927">
                  <c:v>70000</c:v>
                </c:pt>
                <c:pt idx="3928">
                  <c:v>77000</c:v>
                </c:pt>
                <c:pt idx="3929">
                  <c:v>61000</c:v>
                </c:pt>
                <c:pt idx="3930">
                  <c:v>62000</c:v>
                </c:pt>
                <c:pt idx="3931">
                  <c:v>72000</c:v>
                </c:pt>
                <c:pt idx="3932">
                  <c:v>95000</c:v>
                </c:pt>
                <c:pt idx="3933">
                  <c:v>68000</c:v>
                </c:pt>
                <c:pt idx="3934">
                  <c:v>68000</c:v>
                </c:pt>
                <c:pt idx="3935">
                  <c:v>56000</c:v>
                </c:pt>
                <c:pt idx="3936">
                  <c:v>32000</c:v>
                </c:pt>
                <c:pt idx="3937">
                  <c:v>95000</c:v>
                </c:pt>
                <c:pt idx="3938">
                  <c:v>64000</c:v>
                </c:pt>
                <c:pt idx="3939">
                  <c:v>61000</c:v>
                </c:pt>
                <c:pt idx="3940">
                  <c:v>82000</c:v>
                </c:pt>
                <c:pt idx="3941">
                  <c:v>89000</c:v>
                </c:pt>
                <c:pt idx="3942">
                  <c:v>92000</c:v>
                </c:pt>
                <c:pt idx="3943">
                  <c:v>65000</c:v>
                </c:pt>
                <c:pt idx="3944">
                  <c:v>67000</c:v>
                </c:pt>
                <c:pt idx="3945">
                  <c:v>69000</c:v>
                </c:pt>
                <c:pt idx="3946">
                  <c:v>53700</c:v>
                </c:pt>
                <c:pt idx="3947">
                  <c:v>64000</c:v>
                </c:pt>
                <c:pt idx="3948">
                  <c:v>69000</c:v>
                </c:pt>
                <c:pt idx="3949">
                  <c:v>62000</c:v>
                </c:pt>
                <c:pt idx="3950">
                  <c:v>64000</c:v>
                </c:pt>
                <c:pt idx="3951">
                  <c:v>69500</c:v>
                </c:pt>
                <c:pt idx="3952">
                  <c:v>69000</c:v>
                </c:pt>
                <c:pt idx="3953">
                  <c:v>62000</c:v>
                </c:pt>
                <c:pt idx="3954">
                  <c:v>72000</c:v>
                </c:pt>
                <c:pt idx="3955">
                  <c:v>93000</c:v>
                </c:pt>
                <c:pt idx="3956">
                  <c:v>140000</c:v>
                </c:pt>
                <c:pt idx="3957">
                  <c:v>146000</c:v>
                </c:pt>
                <c:pt idx="3958">
                  <c:v>145000</c:v>
                </c:pt>
                <c:pt idx="3959">
                  <c:v>151000</c:v>
                </c:pt>
                <c:pt idx="3960">
                  <c:v>145000</c:v>
                </c:pt>
                <c:pt idx="3961">
                  <c:v>152000</c:v>
                </c:pt>
                <c:pt idx="3962">
                  <c:v>45000</c:v>
                </c:pt>
                <c:pt idx="3963">
                  <c:v>78000</c:v>
                </c:pt>
                <c:pt idx="3964">
                  <c:v>80000</c:v>
                </c:pt>
                <c:pt idx="3965">
                  <c:v>62000</c:v>
                </c:pt>
                <c:pt idx="3966">
                  <c:v>60000</c:v>
                </c:pt>
                <c:pt idx="3967">
                  <c:v>105000</c:v>
                </c:pt>
                <c:pt idx="3968">
                  <c:v>80000</c:v>
                </c:pt>
                <c:pt idx="3969">
                  <c:v>123000</c:v>
                </c:pt>
                <c:pt idx="3970">
                  <c:v>123000</c:v>
                </c:pt>
                <c:pt idx="3971">
                  <c:v>55000</c:v>
                </c:pt>
                <c:pt idx="3972">
                  <c:v>100000</c:v>
                </c:pt>
                <c:pt idx="3973">
                  <c:v>110000</c:v>
                </c:pt>
                <c:pt idx="3974">
                  <c:v>115000</c:v>
                </c:pt>
                <c:pt idx="3975">
                  <c:v>100000</c:v>
                </c:pt>
                <c:pt idx="3976">
                  <c:v>59000</c:v>
                </c:pt>
                <c:pt idx="3977">
                  <c:v>139000</c:v>
                </c:pt>
                <c:pt idx="3978">
                  <c:v>125000</c:v>
                </c:pt>
                <c:pt idx="3979">
                  <c:v>126000</c:v>
                </c:pt>
                <c:pt idx="3980">
                  <c:v>126000</c:v>
                </c:pt>
                <c:pt idx="3981">
                  <c:v>127000</c:v>
                </c:pt>
                <c:pt idx="3982">
                  <c:v>128000</c:v>
                </c:pt>
                <c:pt idx="3983">
                  <c:v>116000</c:v>
                </c:pt>
                <c:pt idx="3984">
                  <c:v>117000</c:v>
                </c:pt>
                <c:pt idx="3985">
                  <c:v>165000</c:v>
                </c:pt>
                <c:pt idx="3986">
                  <c:v>170000</c:v>
                </c:pt>
                <c:pt idx="3987">
                  <c:v>181000</c:v>
                </c:pt>
                <c:pt idx="3988">
                  <c:v>110000</c:v>
                </c:pt>
                <c:pt idx="3989">
                  <c:v>142000</c:v>
                </c:pt>
                <c:pt idx="3990">
                  <c:v>97000</c:v>
                </c:pt>
                <c:pt idx="3991">
                  <c:v>120000</c:v>
                </c:pt>
                <c:pt idx="3992">
                  <c:v>140000</c:v>
                </c:pt>
                <c:pt idx="3993">
                  <c:v>140000</c:v>
                </c:pt>
                <c:pt idx="3994">
                  <c:v>80000</c:v>
                </c:pt>
                <c:pt idx="3995">
                  <c:v>159000</c:v>
                </c:pt>
                <c:pt idx="3996">
                  <c:v>142000</c:v>
                </c:pt>
                <c:pt idx="3997">
                  <c:v>117000</c:v>
                </c:pt>
                <c:pt idx="3998">
                  <c:v>130000</c:v>
                </c:pt>
                <c:pt idx="3999">
                  <c:v>70000</c:v>
                </c:pt>
                <c:pt idx="4000">
                  <c:v>70000</c:v>
                </c:pt>
                <c:pt idx="4001">
                  <c:v>115000</c:v>
                </c:pt>
                <c:pt idx="4002">
                  <c:v>121000</c:v>
                </c:pt>
                <c:pt idx="4003">
                  <c:v>123000</c:v>
                </c:pt>
                <c:pt idx="4004">
                  <c:v>50000</c:v>
                </c:pt>
                <c:pt idx="4005">
                  <c:v>75000</c:v>
                </c:pt>
                <c:pt idx="4006">
                  <c:v>121000</c:v>
                </c:pt>
                <c:pt idx="4007">
                  <c:v>125000</c:v>
                </c:pt>
                <c:pt idx="4008">
                  <c:v>117000</c:v>
                </c:pt>
                <c:pt idx="4009">
                  <c:v>125000</c:v>
                </c:pt>
                <c:pt idx="4010">
                  <c:v>114000</c:v>
                </c:pt>
                <c:pt idx="4011">
                  <c:v>245000</c:v>
                </c:pt>
                <c:pt idx="4012">
                  <c:v>235000</c:v>
                </c:pt>
                <c:pt idx="4013">
                  <c:v>213000</c:v>
                </c:pt>
                <c:pt idx="4014">
                  <c:v>233000</c:v>
                </c:pt>
                <c:pt idx="4015">
                  <c:v>245000</c:v>
                </c:pt>
                <c:pt idx="4016">
                  <c:v>135000</c:v>
                </c:pt>
                <c:pt idx="4017">
                  <c:v>240000</c:v>
                </c:pt>
                <c:pt idx="4018">
                  <c:v>199000</c:v>
                </c:pt>
                <c:pt idx="4019">
                  <c:v>240000</c:v>
                </c:pt>
                <c:pt idx="4020">
                  <c:v>238000</c:v>
                </c:pt>
                <c:pt idx="4021">
                  <c:v>255000</c:v>
                </c:pt>
                <c:pt idx="4022">
                  <c:v>240000</c:v>
                </c:pt>
                <c:pt idx="4023">
                  <c:v>132000</c:v>
                </c:pt>
                <c:pt idx="4024">
                  <c:v>296000</c:v>
                </c:pt>
                <c:pt idx="4025">
                  <c:v>300000</c:v>
                </c:pt>
                <c:pt idx="4026">
                  <c:v>120000</c:v>
                </c:pt>
                <c:pt idx="4027">
                  <c:v>195000</c:v>
                </c:pt>
                <c:pt idx="4028">
                  <c:v>318000</c:v>
                </c:pt>
                <c:pt idx="4029">
                  <c:v>175000</c:v>
                </c:pt>
                <c:pt idx="4030">
                  <c:v>218000</c:v>
                </c:pt>
                <c:pt idx="4031">
                  <c:v>270000</c:v>
                </c:pt>
                <c:pt idx="4032">
                  <c:v>270000</c:v>
                </c:pt>
                <c:pt idx="4033">
                  <c:v>318000</c:v>
                </c:pt>
                <c:pt idx="4034">
                  <c:v>195000</c:v>
                </c:pt>
                <c:pt idx="4035">
                  <c:v>240000</c:v>
                </c:pt>
                <c:pt idx="4036">
                  <c:v>238000</c:v>
                </c:pt>
                <c:pt idx="4037">
                  <c:v>255000</c:v>
                </c:pt>
                <c:pt idx="4038">
                  <c:v>250000</c:v>
                </c:pt>
                <c:pt idx="4039">
                  <c:v>240000</c:v>
                </c:pt>
                <c:pt idx="4040">
                  <c:v>238000</c:v>
                </c:pt>
                <c:pt idx="4041">
                  <c:v>240000</c:v>
                </c:pt>
                <c:pt idx="4042">
                  <c:v>240000</c:v>
                </c:pt>
                <c:pt idx="4043">
                  <c:v>199000</c:v>
                </c:pt>
                <c:pt idx="4044">
                  <c:v>135000</c:v>
                </c:pt>
                <c:pt idx="4045">
                  <c:v>132000</c:v>
                </c:pt>
                <c:pt idx="4046">
                  <c:v>300000</c:v>
                </c:pt>
                <c:pt idx="4047">
                  <c:v>275000</c:v>
                </c:pt>
                <c:pt idx="4048">
                  <c:v>275000</c:v>
                </c:pt>
                <c:pt idx="4049">
                  <c:v>275000</c:v>
                </c:pt>
                <c:pt idx="4050">
                  <c:v>270000</c:v>
                </c:pt>
                <c:pt idx="4051">
                  <c:v>270000</c:v>
                </c:pt>
                <c:pt idx="4052">
                  <c:v>172000</c:v>
                </c:pt>
                <c:pt idx="4053">
                  <c:v>110000</c:v>
                </c:pt>
                <c:pt idx="4054">
                  <c:v>172000</c:v>
                </c:pt>
                <c:pt idx="4055">
                  <c:v>200000</c:v>
                </c:pt>
                <c:pt idx="4056">
                  <c:v>350000</c:v>
                </c:pt>
                <c:pt idx="4057">
                  <c:v>350000</c:v>
                </c:pt>
                <c:pt idx="4058">
                  <c:v>200000</c:v>
                </c:pt>
                <c:pt idx="4059">
                  <c:v>298000</c:v>
                </c:pt>
                <c:pt idx="4060">
                  <c:v>298000</c:v>
                </c:pt>
                <c:pt idx="4061">
                  <c:v>298000</c:v>
                </c:pt>
                <c:pt idx="4062">
                  <c:v>298000</c:v>
                </c:pt>
                <c:pt idx="4063">
                  <c:v>250000</c:v>
                </c:pt>
                <c:pt idx="4064">
                  <c:v>250000</c:v>
                </c:pt>
                <c:pt idx="4065">
                  <c:v>278000</c:v>
                </c:pt>
                <c:pt idx="4066">
                  <c:v>188000</c:v>
                </c:pt>
                <c:pt idx="4067">
                  <c:v>200000</c:v>
                </c:pt>
                <c:pt idx="4068">
                  <c:v>328000</c:v>
                </c:pt>
                <c:pt idx="4069">
                  <c:v>188000</c:v>
                </c:pt>
                <c:pt idx="4070">
                  <c:v>298000</c:v>
                </c:pt>
                <c:pt idx="4071">
                  <c:v>384000</c:v>
                </c:pt>
                <c:pt idx="4072">
                  <c:v>128000</c:v>
                </c:pt>
                <c:pt idx="4073">
                  <c:v>102000</c:v>
                </c:pt>
                <c:pt idx="4074">
                  <c:v>114000</c:v>
                </c:pt>
                <c:pt idx="4075">
                  <c:v>107000</c:v>
                </c:pt>
                <c:pt idx="4076">
                  <c:v>68000</c:v>
                </c:pt>
                <c:pt idx="4077">
                  <c:v>103000</c:v>
                </c:pt>
                <c:pt idx="4078">
                  <c:v>115000</c:v>
                </c:pt>
                <c:pt idx="4079">
                  <c:v>121000</c:v>
                </c:pt>
                <c:pt idx="4080">
                  <c:v>141000</c:v>
                </c:pt>
                <c:pt idx="4081">
                  <c:v>152000</c:v>
                </c:pt>
                <c:pt idx="4082">
                  <c:v>80000</c:v>
                </c:pt>
                <c:pt idx="4083">
                  <c:v>148000</c:v>
                </c:pt>
                <c:pt idx="4084">
                  <c:v>100000</c:v>
                </c:pt>
                <c:pt idx="4085">
                  <c:v>147000</c:v>
                </c:pt>
                <c:pt idx="4086">
                  <c:v>68000</c:v>
                </c:pt>
                <c:pt idx="4087">
                  <c:v>107000</c:v>
                </c:pt>
                <c:pt idx="4088">
                  <c:v>140000</c:v>
                </c:pt>
                <c:pt idx="4089">
                  <c:v>140000</c:v>
                </c:pt>
                <c:pt idx="4090">
                  <c:v>140500</c:v>
                </c:pt>
                <c:pt idx="4091">
                  <c:v>140000</c:v>
                </c:pt>
                <c:pt idx="4092">
                  <c:v>102000</c:v>
                </c:pt>
                <c:pt idx="4093">
                  <c:v>114000</c:v>
                </c:pt>
                <c:pt idx="4094">
                  <c:v>125000</c:v>
                </c:pt>
                <c:pt idx="4095">
                  <c:v>102000</c:v>
                </c:pt>
                <c:pt idx="4096">
                  <c:v>110000</c:v>
                </c:pt>
                <c:pt idx="4097">
                  <c:v>124000</c:v>
                </c:pt>
                <c:pt idx="4098">
                  <c:v>127000</c:v>
                </c:pt>
                <c:pt idx="4099">
                  <c:v>137000</c:v>
                </c:pt>
                <c:pt idx="4100">
                  <c:v>140000</c:v>
                </c:pt>
                <c:pt idx="4101">
                  <c:v>152000</c:v>
                </c:pt>
                <c:pt idx="4102">
                  <c:v>153000</c:v>
                </c:pt>
                <c:pt idx="4103">
                  <c:v>124000</c:v>
                </c:pt>
                <c:pt idx="4104">
                  <c:v>153000</c:v>
                </c:pt>
                <c:pt idx="4105">
                  <c:v>95000</c:v>
                </c:pt>
                <c:pt idx="4106">
                  <c:v>118000</c:v>
                </c:pt>
                <c:pt idx="4107">
                  <c:v>70000</c:v>
                </c:pt>
                <c:pt idx="4108">
                  <c:v>65000</c:v>
                </c:pt>
                <c:pt idx="4109">
                  <c:v>128000</c:v>
                </c:pt>
                <c:pt idx="4110">
                  <c:v>135000</c:v>
                </c:pt>
                <c:pt idx="4111">
                  <c:v>145000</c:v>
                </c:pt>
                <c:pt idx="4112">
                  <c:v>129000</c:v>
                </c:pt>
                <c:pt idx="4113">
                  <c:v>155000</c:v>
                </c:pt>
                <c:pt idx="4114">
                  <c:v>130000</c:v>
                </c:pt>
                <c:pt idx="4115">
                  <c:v>155000</c:v>
                </c:pt>
                <c:pt idx="4116">
                  <c:v>145000</c:v>
                </c:pt>
                <c:pt idx="4117">
                  <c:v>140000</c:v>
                </c:pt>
                <c:pt idx="4118">
                  <c:v>69000</c:v>
                </c:pt>
                <c:pt idx="4119">
                  <c:v>75000</c:v>
                </c:pt>
                <c:pt idx="4120">
                  <c:v>45000</c:v>
                </c:pt>
                <c:pt idx="4121">
                  <c:v>70000</c:v>
                </c:pt>
                <c:pt idx="4122">
                  <c:v>107000</c:v>
                </c:pt>
                <c:pt idx="4123">
                  <c:v>107000</c:v>
                </c:pt>
                <c:pt idx="4124">
                  <c:v>108000</c:v>
                </c:pt>
                <c:pt idx="4125">
                  <c:v>90000</c:v>
                </c:pt>
                <c:pt idx="4126">
                  <c:v>85000</c:v>
                </c:pt>
                <c:pt idx="4127">
                  <c:v>95000</c:v>
                </c:pt>
                <c:pt idx="4128">
                  <c:v>125000</c:v>
                </c:pt>
                <c:pt idx="4129">
                  <c:v>87000</c:v>
                </c:pt>
                <c:pt idx="4130">
                  <c:v>74000</c:v>
                </c:pt>
                <c:pt idx="4131">
                  <c:v>125000</c:v>
                </c:pt>
                <c:pt idx="4132">
                  <c:v>128000</c:v>
                </c:pt>
                <c:pt idx="4133">
                  <c:v>109000</c:v>
                </c:pt>
                <c:pt idx="4134">
                  <c:v>60000</c:v>
                </c:pt>
                <c:pt idx="4135">
                  <c:v>77000</c:v>
                </c:pt>
                <c:pt idx="4136">
                  <c:v>70000</c:v>
                </c:pt>
                <c:pt idx="4137">
                  <c:v>75000</c:v>
                </c:pt>
                <c:pt idx="4138">
                  <c:v>77000</c:v>
                </c:pt>
                <c:pt idx="4139">
                  <c:v>79000</c:v>
                </c:pt>
                <c:pt idx="4140">
                  <c:v>99000</c:v>
                </c:pt>
                <c:pt idx="4141">
                  <c:v>90000</c:v>
                </c:pt>
                <c:pt idx="4142">
                  <c:v>93000</c:v>
                </c:pt>
                <c:pt idx="4143">
                  <c:v>62000</c:v>
                </c:pt>
                <c:pt idx="4144">
                  <c:v>80000</c:v>
                </c:pt>
                <c:pt idx="4145">
                  <c:v>85000</c:v>
                </c:pt>
                <c:pt idx="4146">
                  <c:v>92000</c:v>
                </c:pt>
                <c:pt idx="4147">
                  <c:v>98000</c:v>
                </c:pt>
                <c:pt idx="4148">
                  <c:v>99000</c:v>
                </c:pt>
                <c:pt idx="4149">
                  <c:v>107000</c:v>
                </c:pt>
                <c:pt idx="4150">
                  <c:v>109000</c:v>
                </c:pt>
                <c:pt idx="4151">
                  <c:v>82000</c:v>
                </c:pt>
                <c:pt idx="4152">
                  <c:v>107000</c:v>
                </c:pt>
                <c:pt idx="4153">
                  <c:v>107000</c:v>
                </c:pt>
                <c:pt idx="4154">
                  <c:v>108000</c:v>
                </c:pt>
                <c:pt idx="4155">
                  <c:v>134000</c:v>
                </c:pt>
                <c:pt idx="4156">
                  <c:v>142000</c:v>
                </c:pt>
                <c:pt idx="4157">
                  <c:v>65000</c:v>
                </c:pt>
                <c:pt idx="4158">
                  <c:v>82000</c:v>
                </c:pt>
                <c:pt idx="4159">
                  <c:v>70000</c:v>
                </c:pt>
                <c:pt idx="4160">
                  <c:v>90000</c:v>
                </c:pt>
                <c:pt idx="4161">
                  <c:v>70000</c:v>
                </c:pt>
                <c:pt idx="4162">
                  <c:v>65000</c:v>
                </c:pt>
                <c:pt idx="4163">
                  <c:v>100000</c:v>
                </c:pt>
                <c:pt idx="4164">
                  <c:v>82000</c:v>
                </c:pt>
                <c:pt idx="4165">
                  <c:v>124000</c:v>
                </c:pt>
                <c:pt idx="4166">
                  <c:v>127000</c:v>
                </c:pt>
                <c:pt idx="4167">
                  <c:v>137000</c:v>
                </c:pt>
                <c:pt idx="4168">
                  <c:v>152000</c:v>
                </c:pt>
                <c:pt idx="4169">
                  <c:v>153000</c:v>
                </c:pt>
                <c:pt idx="4170">
                  <c:v>124000</c:v>
                </c:pt>
                <c:pt idx="4171">
                  <c:v>153000</c:v>
                </c:pt>
                <c:pt idx="4172">
                  <c:v>95000</c:v>
                </c:pt>
                <c:pt idx="4173">
                  <c:v>97000</c:v>
                </c:pt>
                <c:pt idx="4174">
                  <c:v>89000</c:v>
                </c:pt>
                <c:pt idx="4175">
                  <c:v>75000</c:v>
                </c:pt>
                <c:pt idx="4176">
                  <c:v>77000</c:v>
                </c:pt>
                <c:pt idx="4177">
                  <c:v>79000</c:v>
                </c:pt>
                <c:pt idx="4178">
                  <c:v>67000</c:v>
                </c:pt>
                <c:pt idx="4179">
                  <c:v>107000</c:v>
                </c:pt>
                <c:pt idx="4180">
                  <c:v>69000</c:v>
                </c:pt>
                <c:pt idx="4181">
                  <c:v>84000</c:v>
                </c:pt>
                <c:pt idx="4182">
                  <c:v>128000</c:v>
                </c:pt>
                <c:pt idx="4183">
                  <c:v>135000</c:v>
                </c:pt>
                <c:pt idx="4184">
                  <c:v>145000</c:v>
                </c:pt>
                <c:pt idx="4185">
                  <c:v>129000</c:v>
                </c:pt>
                <c:pt idx="4186">
                  <c:v>145000</c:v>
                </c:pt>
                <c:pt idx="4187">
                  <c:v>155000</c:v>
                </c:pt>
                <c:pt idx="4188">
                  <c:v>130000</c:v>
                </c:pt>
                <c:pt idx="4189">
                  <c:v>155000</c:v>
                </c:pt>
                <c:pt idx="4190">
                  <c:v>158000</c:v>
                </c:pt>
                <c:pt idx="4191">
                  <c:v>145000</c:v>
                </c:pt>
                <c:pt idx="4192">
                  <c:v>140000</c:v>
                </c:pt>
                <c:pt idx="4193">
                  <c:v>160000</c:v>
                </c:pt>
                <c:pt idx="4194">
                  <c:v>75000</c:v>
                </c:pt>
                <c:pt idx="4195">
                  <c:v>60000</c:v>
                </c:pt>
                <c:pt idx="4196">
                  <c:v>68000</c:v>
                </c:pt>
                <c:pt idx="4197">
                  <c:v>78000</c:v>
                </c:pt>
                <c:pt idx="4198">
                  <c:v>130000</c:v>
                </c:pt>
                <c:pt idx="4199">
                  <c:v>142000</c:v>
                </c:pt>
                <c:pt idx="4200">
                  <c:v>144000</c:v>
                </c:pt>
                <c:pt idx="4201">
                  <c:v>145000</c:v>
                </c:pt>
                <c:pt idx="4202">
                  <c:v>95000</c:v>
                </c:pt>
                <c:pt idx="4203">
                  <c:v>90000</c:v>
                </c:pt>
                <c:pt idx="4204">
                  <c:v>93000</c:v>
                </c:pt>
                <c:pt idx="4205">
                  <c:v>40000</c:v>
                </c:pt>
                <c:pt idx="4206">
                  <c:v>126000</c:v>
                </c:pt>
                <c:pt idx="4207">
                  <c:v>100000</c:v>
                </c:pt>
                <c:pt idx="4208">
                  <c:v>87000</c:v>
                </c:pt>
                <c:pt idx="4209">
                  <c:v>100000</c:v>
                </c:pt>
                <c:pt idx="4210">
                  <c:v>110000</c:v>
                </c:pt>
                <c:pt idx="4211">
                  <c:v>63000</c:v>
                </c:pt>
                <c:pt idx="4212">
                  <c:v>74000</c:v>
                </c:pt>
                <c:pt idx="4213">
                  <c:v>73000</c:v>
                </c:pt>
                <c:pt idx="4214">
                  <c:v>77000</c:v>
                </c:pt>
                <c:pt idx="4215">
                  <c:v>101000</c:v>
                </c:pt>
                <c:pt idx="4216">
                  <c:v>110000</c:v>
                </c:pt>
                <c:pt idx="4217">
                  <c:v>73000</c:v>
                </c:pt>
                <c:pt idx="4218">
                  <c:v>95000</c:v>
                </c:pt>
                <c:pt idx="4219">
                  <c:v>125000</c:v>
                </c:pt>
                <c:pt idx="4220">
                  <c:v>100000</c:v>
                </c:pt>
                <c:pt idx="4221">
                  <c:v>109000</c:v>
                </c:pt>
                <c:pt idx="4222">
                  <c:v>125000</c:v>
                </c:pt>
                <c:pt idx="4223">
                  <c:v>134000</c:v>
                </c:pt>
                <c:pt idx="4224">
                  <c:v>142000</c:v>
                </c:pt>
                <c:pt idx="4225">
                  <c:v>75000</c:v>
                </c:pt>
                <c:pt idx="4226">
                  <c:v>105000</c:v>
                </c:pt>
                <c:pt idx="4227">
                  <c:v>123000</c:v>
                </c:pt>
                <c:pt idx="4228">
                  <c:v>160000</c:v>
                </c:pt>
                <c:pt idx="4229">
                  <c:v>170000</c:v>
                </c:pt>
                <c:pt idx="4230">
                  <c:v>183000</c:v>
                </c:pt>
                <c:pt idx="4231">
                  <c:v>178000</c:v>
                </c:pt>
                <c:pt idx="4232">
                  <c:v>148000</c:v>
                </c:pt>
                <c:pt idx="4233">
                  <c:v>147000</c:v>
                </c:pt>
                <c:pt idx="4234">
                  <c:v>187000</c:v>
                </c:pt>
                <c:pt idx="4235">
                  <c:v>190000</c:v>
                </c:pt>
                <c:pt idx="4236">
                  <c:v>153000</c:v>
                </c:pt>
                <c:pt idx="4237">
                  <c:v>226000</c:v>
                </c:pt>
                <c:pt idx="4238">
                  <c:v>220000</c:v>
                </c:pt>
                <c:pt idx="4239">
                  <c:v>222000</c:v>
                </c:pt>
                <c:pt idx="4240">
                  <c:v>183000</c:v>
                </c:pt>
                <c:pt idx="4241">
                  <c:v>220000</c:v>
                </c:pt>
                <c:pt idx="4242">
                  <c:v>222000</c:v>
                </c:pt>
                <c:pt idx="4243">
                  <c:v>225000</c:v>
                </c:pt>
                <c:pt idx="4244">
                  <c:v>211000</c:v>
                </c:pt>
                <c:pt idx="4245">
                  <c:v>213000</c:v>
                </c:pt>
                <c:pt idx="4246">
                  <c:v>213000</c:v>
                </c:pt>
                <c:pt idx="4247">
                  <c:v>224000</c:v>
                </c:pt>
                <c:pt idx="4248">
                  <c:v>226000</c:v>
                </c:pt>
                <c:pt idx="4249">
                  <c:v>220000</c:v>
                </c:pt>
                <c:pt idx="4250">
                  <c:v>178000</c:v>
                </c:pt>
                <c:pt idx="4251">
                  <c:v>163000</c:v>
                </c:pt>
                <c:pt idx="4252">
                  <c:v>114000</c:v>
                </c:pt>
                <c:pt idx="4253">
                  <c:v>160000</c:v>
                </c:pt>
                <c:pt idx="4254">
                  <c:v>160000</c:v>
                </c:pt>
                <c:pt idx="4255">
                  <c:v>199000</c:v>
                </c:pt>
                <c:pt idx="4256">
                  <c:v>179000</c:v>
                </c:pt>
                <c:pt idx="4257">
                  <c:v>140000</c:v>
                </c:pt>
                <c:pt idx="4258">
                  <c:v>168000</c:v>
                </c:pt>
                <c:pt idx="4259">
                  <c:v>145000</c:v>
                </c:pt>
                <c:pt idx="4260">
                  <c:v>149000</c:v>
                </c:pt>
                <c:pt idx="4261">
                  <c:v>170000</c:v>
                </c:pt>
                <c:pt idx="4262">
                  <c:v>172000</c:v>
                </c:pt>
                <c:pt idx="4263">
                  <c:v>173000</c:v>
                </c:pt>
                <c:pt idx="4264">
                  <c:v>173000</c:v>
                </c:pt>
                <c:pt idx="4265">
                  <c:v>135000</c:v>
                </c:pt>
                <c:pt idx="4266">
                  <c:v>135000</c:v>
                </c:pt>
                <c:pt idx="4267">
                  <c:v>120000</c:v>
                </c:pt>
                <c:pt idx="4268">
                  <c:v>163000</c:v>
                </c:pt>
                <c:pt idx="4269">
                  <c:v>199000</c:v>
                </c:pt>
                <c:pt idx="4270">
                  <c:v>206000</c:v>
                </c:pt>
                <c:pt idx="4271">
                  <c:v>216000</c:v>
                </c:pt>
                <c:pt idx="4272">
                  <c:v>197000</c:v>
                </c:pt>
                <c:pt idx="4273">
                  <c:v>212000</c:v>
                </c:pt>
                <c:pt idx="4274">
                  <c:v>228000</c:v>
                </c:pt>
                <c:pt idx="4275">
                  <c:v>160000</c:v>
                </c:pt>
                <c:pt idx="4276">
                  <c:v>148000</c:v>
                </c:pt>
                <c:pt idx="4277">
                  <c:v>153000</c:v>
                </c:pt>
                <c:pt idx="4278">
                  <c:v>213000</c:v>
                </c:pt>
                <c:pt idx="4279">
                  <c:v>139000</c:v>
                </c:pt>
                <c:pt idx="4280">
                  <c:v>142000</c:v>
                </c:pt>
                <c:pt idx="4281">
                  <c:v>220000</c:v>
                </c:pt>
                <c:pt idx="4282">
                  <c:v>222000</c:v>
                </c:pt>
                <c:pt idx="4283">
                  <c:v>183000</c:v>
                </c:pt>
                <c:pt idx="4284">
                  <c:v>142000</c:v>
                </c:pt>
                <c:pt idx="4285">
                  <c:v>220000</c:v>
                </c:pt>
                <c:pt idx="4286">
                  <c:v>225000</c:v>
                </c:pt>
                <c:pt idx="4287">
                  <c:v>213000</c:v>
                </c:pt>
                <c:pt idx="4288">
                  <c:v>226000</c:v>
                </c:pt>
                <c:pt idx="4289">
                  <c:v>187000</c:v>
                </c:pt>
                <c:pt idx="4290">
                  <c:v>190000</c:v>
                </c:pt>
                <c:pt idx="4291">
                  <c:v>114000</c:v>
                </c:pt>
                <c:pt idx="4292">
                  <c:v>105000</c:v>
                </c:pt>
                <c:pt idx="4293">
                  <c:v>168000</c:v>
                </c:pt>
                <c:pt idx="4294">
                  <c:v>170000</c:v>
                </c:pt>
                <c:pt idx="4295">
                  <c:v>183000</c:v>
                </c:pt>
                <c:pt idx="4296">
                  <c:v>178000</c:v>
                </c:pt>
                <c:pt idx="4297">
                  <c:v>148000</c:v>
                </c:pt>
                <c:pt idx="4298">
                  <c:v>148000</c:v>
                </c:pt>
                <c:pt idx="4299">
                  <c:v>148000</c:v>
                </c:pt>
                <c:pt idx="4300">
                  <c:v>148000</c:v>
                </c:pt>
                <c:pt idx="4301">
                  <c:v>178000</c:v>
                </c:pt>
                <c:pt idx="4302">
                  <c:v>220000</c:v>
                </c:pt>
                <c:pt idx="4303">
                  <c:v>170000</c:v>
                </c:pt>
                <c:pt idx="4304">
                  <c:v>172000</c:v>
                </c:pt>
                <c:pt idx="4305">
                  <c:v>173000</c:v>
                </c:pt>
                <c:pt idx="4306">
                  <c:v>173000</c:v>
                </c:pt>
                <c:pt idx="4307">
                  <c:v>168000</c:v>
                </c:pt>
                <c:pt idx="4308">
                  <c:v>149000</c:v>
                </c:pt>
                <c:pt idx="4309">
                  <c:v>149000</c:v>
                </c:pt>
                <c:pt idx="4310">
                  <c:v>187000</c:v>
                </c:pt>
                <c:pt idx="4311">
                  <c:v>140000</c:v>
                </c:pt>
                <c:pt idx="4312">
                  <c:v>179000</c:v>
                </c:pt>
                <c:pt idx="4313">
                  <c:v>179000</c:v>
                </c:pt>
                <c:pt idx="4314">
                  <c:v>179000</c:v>
                </c:pt>
                <c:pt idx="4315">
                  <c:v>139000</c:v>
                </c:pt>
                <c:pt idx="4316">
                  <c:v>142000</c:v>
                </c:pt>
                <c:pt idx="4317">
                  <c:v>142000</c:v>
                </c:pt>
                <c:pt idx="4318">
                  <c:v>206000</c:v>
                </c:pt>
                <c:pt idx="4319">
                  <c:v>216000</c:v>
                </c:pt>
                <c:pt idx="4320">
                  <c:v>197000</c:v>
                </c:pt>
                <c:pt idx="4321">
                  <c:v>212000</c:v>
                </c:pt>
                <c:pt idx="4322">
                  <c:v>228000</c:v>
                </c:pt>
                <c:pt idx="4323">
                  <c:v>148000</c:v>
                </c:pt>
                <c:pt idx="4324">
                  <c:v>148000</c:v>
                </c:pt>
                <c:pt idx="4325">
                  <c:v>148000</c:v>
                </c:pt>
                <c:pt idx="4326">
                  <c:v>125000</c:v>
                </c:pt>
                <c:pt idx="4327">
                  <c:v>89000</c:v>
                </c:pt>
                <c:pt idx="4328">
                  <c:v>71000</c:v>
                </c:pt>
                <c:pt idx="4329">
                  <c:v>72000</c:v>
                </c:pt>
                <c:pt idx="4330">
                  <c:v>111000</c:v>
                </c:pt>
                <c:pt idx="4331">
                  <c:v>153000</c:v>
                </c:pt>
                <c:pt idx="4332">
                  <c:v>123000</c:v>
                </c:pt>
                <c:pt idx="4333">
                  <c:v>154000</c:v>
                </c:pt>
                <c:pt idx="4334">
                  <c:v>82000</c:v>
                </c:pt>
                <c:pt idx="4335">
                  <c:v>134000</c:v>
                </c:pt>
                <c:pt idx="4336">
                  <c:v>57000</c:v>
                </c:pt>
                <c:pt idx="4337">
                  <c:v>65000</c:v>
                </c:pt>
                <c:pt idx="4338">
                  <c:v>51000</c:v>
                </c:pt>
                <c:pt idx="4339">
                  <c:v>60000</c:v>
                </c:pt>
                <c:pt idx="4340">
                  <c:v>65000</c:v>
                </c:pt>
                <c:pt idx="4341">
                  <c:v>58000</c:v>
                </c:pt>
                <c:pt idx="4342">
                  <c:v>64000</c:v>
                </c:pt>
                <c:pt idx="4343">
                  <c:v>61000</c:v>
                </c:pt>
                <c:pt idx="4344">
                  <c:v>64000</c:v>
                </c:pt>
                <c:pt idx="4345">
                  <c:v>65000</c:v>
                </c:pt>
                <c:pt idx="4346">
                  <c:v>66000</c:v>
                </c:pt>
                <c:pt idx="4347">
                  <c:v>87000</c:v>
                </c:pt>
                <c:pt idx="4348">
                  <c:v>63000</c:v>
                </c:pt>
                <c:pt idx="4349">
                  <c:v>63000</c:v>
                </c:pt>
                <c:pt idx="4350">
                  <c:v>110000</c:v>
                </c:pt>
                <c:pt idx="4351">
                  <c:v>71000</c:v>
                </c:pt>
                <c:pt idx="4352">
                  <c:v>90000</c:v>
                </c:pt>
                <c:pt idx="4353">
                  <c:v>72000</c:v>
                </c:pt>
                <c:pt idx="4354">
                  <c:v>60000</c:v>
                </c:pt>
                <c:pt idx="4355">
                  <c:v>60000</c:v>
                </c:pt>
                <c:pt idx="4356">
                  <c:v>115000</c:v>
                </c:pt>
                <c:pt idx="4357">
                  <c:v>65000</c:v>
                </c:pt>
                <c:pt idx="4358">
                  <c:v>68000</c:v>
                </c:pt>
                <c:pt idx="4359">
                  <c:v>71000</c:v>
                </c:pt>
                <c:pt idx="4360">
                  <c:v>70000</c:v>
                </c:pt>
                <c:pt idx="4361">
                  <c:v>77000</c:v>
                </c:pt>
                <c:pt idx="4362">
                  <c:v>60000</c:v>
                </c:pt>
                <c:pt idx="4363">
                  <c:v>69000</c:v>
                </c:pt>
                <c:pt idx="4364">
                  <c:v>65000</c:v>
                </c:pt>
                <c:pt idx="4365">
                  <c:v>92000</c:v>
                </c:pt>
                <c:pt idx="4366">
                  <c:v>92000</c:v>
                </c:pt>
                <c:pt idx="4367">
                  <c:v>57000</c:v>
                </c:pt>
                <c:pt idx="4368">
                  <c:v>55000</c:v>
                </c:pt>
                <c:pt idx="4369">
                  <c:v>74000</c:v>
                </c:pt>
                <c:pt idx="4370">
                  <c:v>85000</c:v>
                </c:pt>
                <c:pt idx="4371">
                  <c:v>68000</c:v>
                </c:pt>
                <c:pt idx="4372">
                  <c:v>75000</c:v>
                </c:pt>
                <c:pt idx="4373">
                  <c:v>82000</c:v>
                </c:pt>
                <c:pt idx="4374">
                  <c:v>87000</c:v>
                </c:pt>
                <c:pt idx="4375">
                  <c:v>85000</c:v>
                </c:pt>
                <c:pt idx="4376">
                  <c:v>87000</c:v>
                </c:pt>
                <c:pt idx="4377">
                  <c:v>89000</c:v>
                </c:pt>
                <c:pt idx="4378">
                  <c:v>93000</c:v>
                </c:pt>
                <c:pt idx="4379">
                  <c:v>104000</c:v>
                </c:pt>
                <c:pt idx="4380">
                  <c:v>40000</c:v>
                </c:pt>
                <c:pt idx="4381">
                  <c:v>92000</c:v>
                </c:pt>
                <c:pt idx="4382">
                  <c:v>92000</c:v>
                </c:pt>
                <c:pt idx="4383">
                  <c:v>71000</c:v>
                </c:pt>
                <c:pt idx="4384">
                  <c:v>61000</c:v>
                </c:pt>
                <c:pt idx="4385">
                  <c:v>57000</c:v>
                </c:pt>
                <c:pt idx="4386">
                  <c:v>70000</c:v>
                </c:pt>
                <c:pt idx="4387">
                  <c:v>82000</c:v>
                </c:pt>
                <c:pt idx="4388">
                  <c:v>69000</c:v>
                </c:pt>
                <c:pt idx="4389">
                  <c:v>69000</c:v>
                </c:pt>
                <c:pt idx="4390">
                  <c:v>93000</c:v>
                </c:pt>
                <c:pt idx="4391">
                  <c:v>123000</c:v>
                </c:pt>
                <c:pt idx="4392">
                  <c:v>125000</c:v>
                </c:pt>
                <c:pt idx="4393">
                  <c:v>87000</c:v>
                </c:pt>
                <c:pt idx="4394">
                  <c:v>62000</c:v>
                </c:pt>
                <c:pt idx="4395">
                  <c:v>129000</c:v>
                </c:pt>
                <c:pt idx="4396">
                  <c:v>115000</c:v>
                </c:pt>
                <c:pt idx="4397">
                  <c:v>77000</c:v>
                </c:pt>
                <c:pt idx="4398">
                  <c:v>74000</c:v>
                </c:pt>
                <c:pt idx="4399">
                  <c:v>85000</c:v>
                </c:pt>
                <c:pt idx="4400">
                  <c:v>68000</c:v>
                </c:pt>
                <c:pt idx="4401">
                  <c:v>62000</c:v>
                </c:pt>
                <c:pt idx="4402">
                  <c:v>62000</c:v>
                </c:pt>
                <c:pt idx="4403">
                  <c:v>71000</c:v>
                </c:pt>
                <c:pt idx="4404">
                  <c:v>70000</c:v>
                </c:pt>
                <c:pt idx="4405">
                  <c:v>67000</c:v>
                </c:pt>
                <c:pt idx="4406">
                  <c:v>65000</c:v>
                </c:pt>
                <c:pt idx="4407">
                  <c:v>71000</c:v>
                </c:pt>
                <c:pt idx="4408">
                  <c:v>65000</c:v>
                </c:pt>
                <c:pt idx="4409">
                  <c:v>51000</c:v>
                </c:pt>
                <c:pt idx="4410">
                  <c:v>79000</c:v>
                </c:pt>
                <c:pt idx="4411">
                  <c:v>90000</c:v>
                </c:pt>
                <c:pt idx="4412">
                  <c:v>180000</c:v>
                </c:pt>
                <c:pt idx="4413">
                  <c:v>193000</c:v>
                </c:pt>
                <c:pt idx="4414">
                  <c:v>180000</c:v>
                </c:pt>
                <c:pt idx="4415">
                  <c:v>195799.99999999901</c:v>
                </c:pt>
                <c:pt idx="4416">
                  <c:v>154000</c:v>
                </c:pt>
                <c:pt idx="4417">
                  <c:v>195799.99999999901</c:v>
                </c:pt>
                <c:pt idx="4418">
                  <c:v>154000</c:v>
                </c:pt>
                <c:pt idx="4419">
                  <c:v>180000</c:v>
                </c:pt>
                <c:pt idx="4420">
                  <c:v>124000</c:v>
                </c:pt>
                <c:pt idx="4421">
                  <c:v>160000</c:v>
                </c:pt>
                <c:pt idx="4422">
                  <c:v>125000</c:v>
                </c:pt>
                <c:pt idx="4423">
                  <c:v>130000</c:v>
                </c:pt>
                <c:pt idx="4424">
                  <c:v>130000</c:v>
                </c:pt>
                <c:pt idx="4425">
                  <c:v>130000</c:v>
                </c:pt>
                <c:pt idx="4426">
                  <c:v>110000</c:v>
                </c:pt>
                <c:pt idx="4427">
                  <c:v>160000</c:v>
                </c:pt>
                <c:pt idx="4428">
                  <c:v>124000</c:v>
                </c:pt>
                <c:pt idx="4429">
                  <c:v>135000</c:v>
                </c:pt>
                <c:pt idx="4430">
                  <c:v>140000</c:v>
                </c:pt>
                <c:pt idx="4431">
                  <c:v>142000</c:v>
                </c:pt>
                <c:pt idx="4432">
                  <c:v>143000</c:v>
                </c:pt>
                <c:pt idx="4433">
                  <c:v>142000</c:v>
                </c:pt>
                <c:pt idx="4434">
                  <c:v>144000</c:v>
                </c:pt>
                <c:pt idx="4435">
                  <c:v>143000</c:v>
                </c:pt>
                <c:pt idx="4436">
                  <c:v>100000</c:v>
                </c:pt>
                <c:pt idx="4437">
                  <c:v>140000</c:v>
                </c:pt>
                <c:pt idx="4438">
                  <c:v>142000</c:v>
                </c:pt>
                <c:pt idx="4439">
                  <c:v>143000</c:v>
                </c:pt>
                <c:pt idx="4440">
                  <c:v>144000</c:v>
                </c:pt>
                <c:pt idx="4441">
                  <c:v>138000</c:v>
                </c:pt>
                <c:pt idx="4442">
                  <c:v>140000</c:v>
                </c:pt>
                <c:pt idx="4443">
                  <c:v>70000</c:v>
                </c:pt>
                <c:pt idx="4444">
                  <c:v>64000</c:v>
                </c:pt>
                <c:pt idx="4445">
                  <c:v>69000</c:v>
                </c:pt>
                <c:pt idx="4446">
                  <c:v>74000</c:v>
                </c:pt>
                <c:pt idx="4447">
                  <c:v>126000</c:v>
                </c:pt>
                <c:pt idx="4448">
                  <c:v>130000</c:v>
                </c:pt>
                <c:pt idx="4449">
                  <c:v>124000</c:v>
                </c:pt>
                <c:pt idx="4450">
                  <c:v>126000</c:v>
                </c:pt>
                <c:pt idx="4451">
                  <c:v>298000</c:v>
                </c:pt>
                <c:pt idx="4452">
                  <c:v>245000</c:v>
                </c:pt>
                <c:pt idx="4453">
                  <c:v>250000</c:v>
                </c:pt>
                <c:pt idx="4454">
                  <c:v>255000</c:v>
                </c:pt>
                <c:pt idx="4455">
                  <c:v>265000</c:v>
                </c:pt>
                <c:pt idx="4456">
                  <c:v>293000</c:v>
                </c:pt>
                <c:pt idx="4457">
                  <c:v>296000</c:v>
                </c:pt>
                <c:pt idx="4458">
                  <c:v>298000</c:v>
                </c:pt>
                <c:pt idx="4459">
                  <c:v>258000</c:v>
                </c:pt>
                <c:pt idx="4460">
                  <c:v>250000</c:v>
                </c:pt>
                <c:pt idx="4461">
                  <c:v>200000</c:v>
                </c:pt>
                <c:pt idx="4462">
                  <c:v>170000</c:v>
                </c:pt>
                <c:pt idx="4463">
                  <c:v>245000</c:v>
                </c:pt>
                <c:pt idx="4464">
                  <c:v>250000</c:v>
                </c:pt>
                <c:pt idx="4465">
                  <c:v>200000</c:v>
                </c:pt>
                <c:pt idx="4466">
                  <c:v>304000</c:v>
                </c:pt>
                <c:pt idx="4467">
                  <c:v>293000</c:v>
                </c:pt>
                <c:pt idx="4468">
                  <c:v>291000</c:v>
                </c:pt>
                <c:pt idx="4469">
                  <c:v>296000</c:v>
                </c:pt>
                <c:pt idx="4470">
                  <c:v>245000</c:v>
                </c:pt>
                <c:pt idx="4471">
                  <c:v>250000</c:v>
                </c:pt>
                <c:pt idx="4472">
                  <c:v>255000</c:v>
                </c:pt>
                <c:pt idx="4473">
                  <c:v>265000</c:v>
                </c:pt>
                <c:pt idx="4474">
                  <c:v>258000</c:v>
                </c:pt>
                <c:pt idx="4475">
                  <c:v>170000</c:v>
                </c:pt>
                <c:pt idx="4476">
                  <c:v>210000</c:v>
                </c:pt>
                <c:pt idx="4477">
                  <c:v>175000</c:v>
                </c:pt>
                <c:pt idx="4478">
                  <c:v>304000</c:v>
                </c:pt>
                <c:pt idx="4479">
                  <c:v>307000</c:v>
                </c:pt>
                <c:pt idx="4480">
                  <c:v>229000</c:v>
                </c:pt>
                <c:pt idx="4481">
                  <c:v>310000</c:v>
                </c:pt>
                <c:pt idx="4482">
                  <c:v>364099.99999999901</c:v>
                </c:pt>
                <c:pt idx="4483">
                  <c:v>390000</c:v>
                </c:pt>
                <c:pt idx="4484">
                  <c:v>390000</c:v>
                </c:pt>
                <c:pt idx="4485">
                  <c:v>433000</c:v>
                </c:pt>
                <c:pt idx="4486">
                  <c:v>350000</c:v>
                </c:pt>
                <c:pt idx="4487">
                  <c:v>340000</c:v>
                </c:pt>
                <c:pt idx="4488">
                  <c:v>200000</c:v>
                </c:pt>
                <c:pt idx="4489">
                  <c:v>220000</c:v>
                </c:pt>
                <c:pt idx="4490">
                  <c:v>340000</c:v>
                </c:pt>
                <c:pt idx="4491">
                  <c:v>220000</c:v>
                </c:pt>
                <c:pt idx="4492">
                  <c:v>433000</c:v>
                </c:pt>
                <c:pt idx="4493">
                  <c:v>230000</c:v>
                </c:pt>
                <c:pt idx="4494">
                  <c:v>230000</c:v>
                </c:pt>
                <c:pt idx="4495">
                  <c:v>76000</c:v>
                </c:pt>
                <c:pt idx="4496">
                  <c:v>76000</c:v>
                </c:pt>
                <c:pt idx="4497">
                  <c:v>74000</c:v>
                </c:pt>
                <c:pt idx="4498">
                  <c:v>74000</c:v>
                </c:pt>
                <c:pt idx="4499">
                  <c:v>65000</c:v>
                </c:pt>
                <c:pt idx="4500">
                  <c:v>55000</c:v>
                </c:pt>
                <c:pt idx="4501">
                  <c:v>72000</c:v>
                </c:pt>
                <c:pt idx="4502">
                  <c:v>54000</c:v>
                </c:pt>
                <c:pt idx="4503">
                  <c:v>85000</c:v>
                </c:pt>
                <c:pt idx="4504">
                  <c:v>155000</c:v>
                </c:pt>
                <c:pt idx="4505">
                  <c:v>149000</c:v>
                </c:pt>
                <c:pt idx="4506">
                  <c:v>139000</c:v>
                </c:pt>
                <c:pt idx="4507">
                  <c:v>130000</c:v>
                </c:pt>
                <c:pt idx="4508">
                  <c:v>142000</c:v>
                </c:pt>
                <c:pt idx="4509">
                  <c:v>95000</c:v>
                </c:pt>
                <c:pt idx="4510">
                  <c:v>73000</c:v>
                </c:pt>
                <c:pt idx="4511">
                  <c:v>85000</c:v>
                </c:pt>
                <c:pt idx="4512">
                  <c:v>155000</c:v>
                </c:pt>
                <c:pt idx="4513">
                  <c:v>95000</c:v>
                </c:pt>
                <c:pt idx="4514">
                  <c:v>139000</c:v>
                </c:pt>
                <c:pt idx="4515">
                  <c:v>174000</c:v>
                </c:pt>
                <c:pt idx="4516">
                  <c:v>170000</c:v>
                </c:pt>
                <c:pt idx="4517">
                  <c:v>82000</c:v>
                </c:pt>
                <c:pt idx="4518">
                  <c:v>84000</c:v>
                </c:pt>
                <c:pt idx="4519">
                  <c:v>88000</c:v>
                </c:pt>
                <c:pt idx="4520">
                  <c:v>97000</c:v>
                </c:pt>
                <c:pt idx="4521">
                  <c:v>129000</c:v>
                </c:pt>
                <c:pt idx="4522">
                  <c:v>145000</c:v>
                </c:pt>
                <c:pt idx="4523">
                  <c:v>152000</c:v>
                </c:pt>
                <c:pt idx="4524">
                  <c:v>152000</c:v>
                </c:pt>
                <c:pt idx="4525">
                  <c:v>154000</c:v>
                </c:pt>
                <c:pt idx="4526">
                  <c:v>148000</c:v>
                </c:pt>
                <c:pt idx="4527">
                  <c:v>141000</c:v>
                </c:pt>
                <c:pt idx="4528">
                  <c:v>110000</c:v>
                </c:pt>
                <c:pt idx="4529">
                  <c:v>89000</c:v>
                </c:pt>
                <c:pt idx="4530">
                  <c:v>90000</c:v>
                </c:pt>
                <c:pt idx="4531">
                  <c:v>33000</c:v>
                </c:pt>
                <c:pt idx="4532">
                  <c:v>72000</c:v>
                </c:pt>
                <c:pt idx="4533">
                  <c:v>72000</c:v>
                </c:pt>
                <c:pt idx="4534">
                  <c:v>71000</c:v>
                </c:pt>
                <c:pt idx="4535">
                  <c:v>74000</c:v>
                </c:pt>
                <c:pt idx="4536">
                  <c:v>115000</c:v>
                </c:pt>
                <c:pt idx="4537">
                  <c:v>82300</c:v>
                </c:pt>
                <c:pt idx="4538">
                  <c:v>73000</c:v>
                </c:pt>
                <c:pt idx="4539">
                  <c:v>146000</c:v>
                </c:pt>
                <c:pt idx="4540">
                  <c:v>148000</c:v>
                </c:pt>
                <c:pt idx="4541">
                  <c:v>90000</c:v>
                </c:pt>
                <c:pt idx="4542">
                  <c:v>117000</c:v>
                </c:pt>
                <c:pt idx="4543">
                  <c:v>106000</c:v>
                </c:pt>
                <c:pt idx="4544">
                  <c:v>84000</c:v>
                </c:pt>
                <c:pt idx="4545">
                  <c:v>73000</c:v>
                </c:pt>
                <c:pt idx="4546">
                  <c:v>69000</c:v>
                </c:pt>
                <c:pt idx="4547">
                  <c:v>70000</c:v>
                </c:pt>
                <c:pt idx="4548">
                  <c:v>65000</c:v>
                </c:pt>
                <c:pt idx="4549">
                  <c:v>70000</c:v>
                </c:pt>
                <c:pt idx="4550">
                  <c:v>76000</c:v>
                </c:pt>
                <c:pt idx="4551">
                  <c:v>71000</c:v>
                </c:pt>
                <c:pt idx="4552">
                  <c:v>87000</c:v>
                </c:pt>
                <c:pt idx="4553">
                  <c:v>164000</c:v>
                </c:pt>
                <c:pt idx="4554">
                  <c:v>114000</c:v>
                </c:pt>
                <c:pt idx="4555">
                  <c:v>116000</c:v>
                </c:pt>
                <c:pt idx="4556">
                  <c:v>116000</c:v>
                </c:pt>
                <c:pt idx="4557">
                  <c:v>116000</c:v>
                </c:pt>
                <c:pt idx="4558">
                  <c:v>146000</c:v>
                </c:pt>
                <c:pt idx="4559">
                  <c:v>149000</c:v>
                </c:pt>
                <c:pt idx="4560">
                  <c:v>150000</c:v>
                </c:pt>
                <c:pt idx="4561">
                  <c:v>130000</c:v>
                </c:pt>
                <c:pt idx="4562">
                  <c:v>150000</c:v>
                </c:pt>
                <c:pt idx="4563">
                  <c:v>152000</c:v>
                </c:pt>
                <c:pt idx="4564">
                  <c:v>122000</c:v>
                </c:pt>
                <c:pt idx="4565">
                  <c:v>148000</c:v>
                </c:pt>
                <c:pt idx="4566">
                  <c:v>50199.999999999898</c:v>
                </c:pt>
                <c:pt idx="4567">
                  <c:v>68000</c:v>
                </c:pt>
                <c:pt idx="4568">
                  <c:v>82000</c:v>
                </c:pt>
                <c:pt idx="4569">
                  <c:v>65000</c:v>
                </c:pt>
                <c:pt idx="4570">
                  <c:v>63000</c:v>
                </c:pt>
                <c:pt idx="4571">
                  <c:v>146000</c:v>
                </c:pt>
                <c:pt idx="4572">
                  <c:v>148000</c:v>
                </c:pt>
                <c:pt idx="4573">
                  <c:v>80000</c:v>
                </c:pt>
                <c:pt idx="4574">
                  <c:v>146000</c:v>
                </c:pt>
                <c:pt idx="4575">
                  <c:v>130000</c:v>
                </c:pt>
                <c:pt idx="4576">
                  <c:v>152000</c:v>
                </c:pt>
                <c:pt idx="4577">
                  <c:v>122000</c:v>
                </c:pt>
                <c:pt idx="4578">
                  <c:v>148000</c:v>
                </c:pt>
                <c:pt idx="4579">
                  <c:v>145000</c:v>
                </c:pt>
                <c:pt idx="4580">
                  <c:v>152000</c:v>
                </c:pt>
                <c:pt idx="4581">
                  <c:v>154000</c:v>
                </c:pt>
                <c:pt idx="4582">
                  <c:v>148000</c:v>
                </c:pt>
                <c:pt idx="4583">
                  <c:v>141000</c:v>
                </c:pt>
                <c:pt idx="4584">
                  <c:v>93000</c:v>
                </c:pt>
                <c:pt idx="4585">
                  <c:v>76000</c:v>
                </c:pt>
                <c:pt idx="4586">
                  <c:v>68000</c:v>
                </c:pt>
                <c:pt idx="4587">
                  <c:v>74000</c:v>
                </c:pt>
                <c:pt idx="4588">
                  <c:v>50199.999999999898</c:v>
                </c:pt>
                <c:pt idx="4589">
                  <c:v>71000</c:v>
                </c:pt>
                <c:pt idx="4590">
                  <c:v>117000</c:v>
                </c:pt>
                <c:pt idx="4591">
                  <c:v>82000</c:v>
                </c:pt>
                <c:pt idx="4592">
                  <c:v>114000</c:v>
                </c:pt>
                <c:pt idx="4593">
                  <c:v>116000</c:v>
                </c:pt>
                <c:pt idx="4594">
                  <c:v>84000</c:v>
                </c:pt>
                <c:pt idx="4595">
                  <c:v>88000</c:v>
                </c:pt>
                <c:pt idx="4596">
                  <c:v>84000</c:v>
                </c:pt>
                <c:pt idx="4597">
                  <c:v>164000</c:v>
                </c:pt>
                <c:pt idx="4598">
                  <c:v>117000</c:v>
                </c:pt>
                <c:pt idx="4599">
                  <c:v>82300</c:v>
                </c:pt>
                <c:pt idx="4600">
                  <c:v>74000</c:v>
                </c:pt>
                <c:pt idx="4601">
                  <c:v>210000</c:v>
                </c:pt>
                <c:pt idx="4602">
                  <c:v>206000</c:v>
                </c:pt>
                <c:pt idx="4603">
                  <c:v>157000</c:v>
                </c:pt>
                <c:pt idx="4604">
                  <c:v>205000</c:v>
                </c:pt>
                <c:pt idx="4605">
                  <c:v>150000</c:v>
                </c:pt>
                <c:pt idx="4606">
                  <c:v>152000</c:v>
                </c:pt>
                <c:pt idx="4607">
                  <c:v>139000</c:v>
                </c:pt>
                <c:pt idx="4608">
                  <c:v>301000</c:v>
                </c:pt>
                <c:pt idx="4609">
                  <c:v>305000</c:v>
                </c:pt>
                <c:pt idx="4610">
                  <c:v>308000</c:v>
                </c:pt>
                <c:pt idx="4611">
                  <c:v>295000</c:v>
                </c:pt>
                <c:pt idx="4612">
                  <c:v>210000</c:v>
                </c:pt>
                <c:pt idx="4613">
                  <c:v>170000</c:v>
                </c:pt>
                <c:pt idx="4614">
                  <c:v>186000</c:v>
                </c:pt>
                <c:pt idx="4615">
                  <c:v>158000</c:v>
                </c:pt>
                <c:pt idx="4616">
                  <c:v>170000</c:v>
                </c:pt>
                <c:pt idx="4617">
                  <c:v>171000</c:v>
                </c:pt>
                <c:pt idx="4618">
                  <c:v>156000</c:v>
                </c:pt>
                <c:pt idx="4619">
                  <c:v>162000</c:v>
                </c:pt>
                <c:pt idx="4620">
                  <c:v>175000</c:v>
                </c:pt>
                <c:pt idx="4621">
                  <c:v>155000</c:v>
                </c:pt>
                <c:pt idx="4622">
                  <c:v>167000</c:v>
                </c:pt>
                <c:pt idx="4623">
                  <c:v>160000</c:v>
                </c:pt>
                <c:pt idx="4624">
                  <c:v>190000</c:v>
                </c:pt>
                <c:pt idx="4625">
                  <c:v>260000</c:v>
                </c:pt>
                <c:pt idx="4626">
                  <c:v>132000</c:v>
                </c:pt>
                <c:pt idx="4627">
                  <c:v>175000</c:v>
                </c:pt>
                <c:pt idx="4628">
                  <c:v>190000</c:v>
                </c:pt>
                <c:pt idx="4629">
                  <c:v>200000</c:v>
                </c:pt>
                <c:pt idx="4630">
                  <c:v>210000</c:v>
                </c:pt>
                <c:pt idx="4631">
                  <c:v>167000</c:v>
                </c:pt>
                <c:pt idx="4632">
                  <c:v>175000</c:v>
                </c:pt>
                <c:pt idx="4633">
                  <c:v>188000</c:v>
                </c:pt>
                <c:pt idx="4634">
                  <c:v>120000</c:v>
                </c:pt>
                <c:pt idx="4635">
                  <c:v>155000</c:v>
                </c:pt>
                <c:pt idx="4636">
                  <c:v>210000</c:v>
                </c:pt>
                <c:pt idx="4637">
                  <c:v>145000</c:v>
                </c:pt>
                <c:pt idx="4638">
                  <c:v>115000</c:v>
                </c:pt>
                <c:pt idx="4639">
                  <c:v>115000</c:v>
                </c:pt>
                <c:pt idx="4640">
                  <c:v>158000</c:v>
                </c:pt>
                <c:pt idx="4641">
                  <c:v>170000</c:v>
                </c:pt>
                <c:pt idx="4642">
                  <c:v>171000</c:v>
                </c:pt>
                <c:pt idx="4643">
                  <c:v>156000</c:v>
                </c:pt>
                <c:pt idx="4644">
                  <c:v>162000</c:v>
                </c:pt>
                <c:pt idx="4645">
                  <c:v>175000</c:v>
                </c:pt>
                <c:pt idx="4646">
                  <c:v>155000</c:v>
                </c:pt>
                <c:pt idx="4647">
                  <c:v>167000</c:v>
                </c:pt>
                <c:pt idx="4648">
                  <c:v>160000</c:v>
                </c:pt>
                <c:pt idx="4649">
                  <c:v>165000</c:v>
                </c:pt>
                <c:pt idx="4650">
                  <c:v>210000</c:v>
                </c:pt>
                <c:pt idx="4651">
                  <c:v>235000</c:v>
                </c:pt>
                <c:pt idx="4652">
                  <c:v>155000</c:v>
                </c:pt>
                <c:pt idx="4653">
                  <c:v>132000</c:v>
                </c:pt>
                <c:pt idx="4654">
                  <c:v>192000</c:v>
                </c:pt>
                <c:pt idx="4655">
                  <c:v>226400</c:v>
                </c:pt>
                <c:pt idx="4656">
                  <c:v>198500</c:v>
                </c:pt>
                <c:pt idx="4657">
                  <c:v>165000</c:v>
                </c:pt>
                <c:pt idx="4658">
                  <c:v>235000</c:v>
                </c:pt>
                <c:pt idx="4659">
                  <c:v>215000</c:v>
                </c:pt>
                <c:pt idx="4660">
                  <c:v>75000</c:v>
                </c:pt>
                <c:pt idx="4661">
                  <c:v>75000</c:v>
                </c:pt>
                <c:pt idx="4662">
                  <c:v>130000</c:v>
                </c:pt>
                <c:pt idx="4663">
                  <c:v>95000</c:v>
                </c:pt>
                <c:pt idx="4664">
                  <c:v>95000</c:v>
                </c:pt>
                <c:pt idx="4665">
                  <c:v>85000</c:v>
                </c:pt>
                <c:pt idx="4666">
                  <c:v>82000</c:v>
                </c:pt>
                <c:pt idx="4667">
                  <c:v>64000</c:v>
                </c:pt>
                <c:pt idx="4668">
                  <c:v>62000</c:v>
                </c:pt>
                <c:pt idx="4669">
                  <c:v>75000</c:v>
                </c:pt>
                <c:pt idx="4670">
                  <c:v>70000</c:v>
                </c:pt>
                <c:pt idx="4671">
                  <c:v>74000</c:v>
                </c:pt>
                <c:pt idx="4672">
                  <c:v>70000</c:v>
                </c:pt>
                <c:pt idx="4673">
                  <c:v>80000</c:v>
                </c:pt>
                <c:pt idx="4674">
                  <c:v>115000</c:v>
                </c:pt>
                <c:pt idx="4675">
                  <c:v>65000</c:v>
                </c:pt>
                <c:pt idx="4676">
                  <c:v>68000</c:v>
                </c:pt>
                <c:pt idx="4677">
                  <c:v>68000</c:v>
                </c:pt>
                <c:pt idx="4678">
                  <c:v>66000</c:v>
                </c:pt>
                <c:pt idx="4679">
                  <c:v>180000</c:v>
                </c:pt>
                <c:pt idx="4680">
                  <c:v>290000</c:v>
                </c:pt>
                <c:pt idx="4681">
                  <c:v>67000</c:v>
                </c:pt>
                <c:pt idx="4682">
                  <c:v>110000</c:v>
                </c:pt>
                <c:pt idx="4683">
                  <c:v>120000</c:v>
                </c:pt>
                <c:pt idx="4684">
                  <c:v>75000</c:v>
                </c:pt>
                <c:pt idx="4685">
                  <c:v>80000</c:v>
                </c:pt>
                <c:pt idx="4686">
                  <c:v>124000</c:v>
                </c:pt>
                <c:pt idx="4687">
                  <c:v>65000</c:v>
                </c:pt>
                <c:pt idx="4688">
                  <c:v>60000</c:v>
                </c:pt>
                <c:pt idx="4689">
                  <c:v>67000</c:v>
                </c:pt>
                <c:pt idx="4690">
                  <c:v>100000</c:v>
                </c:pt>
                <c:pt idx="4691">
                  <c:v>68000</c:v>
                </c:pt>
                <c:pt idx="4692">
                  <c:v>60000</c:v>
                </c:pt>
                <c:pt idx="4693">
                  <c:v>43000</c:v>
                </c:pt>
                <c:pt idx="4694">
                  <c:v>120000</c:v>
                </c:pt>
                <c:pt idx="4695">
                  <c:v>124000</c:v>
                </c:pt>
                <c:pt idx="4696">
                  <c:v>62000</c:v>
                </c:pt>
                <c:pt idx="4697">
                  <c:v>67000</c:v>
                </c:pt>
                <c:pt idx="4698">
                  <c:v>55000</c:v>
                </c:pt>
                <c:pt idx="4699">
                  <c:v>64000</c:v>
                </c:pt>
                <c:pt idx="4700">
                  <c:v>75000</c:v>
                </c:pt>
                <c:pt idx="4701">
                  <c:v>75000</c:v>
                </c:pt>
                <c:pt idx="4702">
                  <c:v>66000</c:v>
                </c:pt>
                <c:pt idx="4703">
                  <c:v>82000</c:v>
                </c:pt>
                <c:pt idx="4704">
                  <c:v>70000</c:v>
                </c:pt>
                <c:pt idx="4705">
                  <c:v>65000</c:v>
                </c:pt>
                <c:pt idx="4706">
                  <c:v>68000</c:v>
                </c:pt>
                <c:pt idx="4707">
                  <c:v>68000</c:v>
                </c:pt>
                <c:pt idx="4708">
                  <c:v>135000</c:v>
                </c:pt>
                <c:pt idx="4709">
                  <c:v>163500</c:v>
                </c:pt>
                <c:pt idx="4710">
                  <c:v>73500</c:v>
                </c:pt>
                <c:pt idx="4711">
                  <c:v>390000</c:v>
                </c:pt>
                <c:pt idx="4712">
                  <c:v>390000</c:v>
                </c:pt>
                <c:pt idx="4713">
                  <c:v>390000</c:v>
                </c:pt>
                <c:pt idx="4714">
                  <c:v>241000</c:v>
                </c:pt>
                <c:pt idx="4715">
                  <c:v>252000</c:v>
                </c:pt>
                <c:pt idx="4716">
                  <c:v>160000</c:v>
                </c:pt>
                <c:pt idx="4717">
                  <c:v>112500</c:v>
                </c:pt>
                <c:pt idx="4718">
                  <c:v>252000</c:v>
                </c:pt>
                <c:pt idx="4719">
                  <c:v>183000</c:v>
                </c:pt>
                <c:pt idx="4720">
                  <c:v>158000</c:v>
                </c:pt>
                <c:pt idx="4721">
                  <c:v>108000</c:v>
                </c:pt>
                <c:pt idx="4722">
                  <c:v>112500</c:v>
                </c:pt>
                <c:pt idx="4723">
                  <c:v>232000</c:v>
                </c:pt>
                <c:pt idx="4724">
                  <c:v>240000</c:v>
                </c:pt>
                <c:pt idx="4725">
                  <c:v>274000</c:v>
                </c:pt>
                <c:pt idx="4726">
                  <c:v>240000</c:v>
                </c:pt>
                <c:pt idx="4727">
                  <c:v>320000</c:v>
                </c:pt>
                <c:pt idx="4728">
                  <c:v>280000</c:v>
                </c:pt>
                <c:pt idx="4729">
                  <c:v>273000</c:v>
                </c:pt>
                <c:pt idx="4730">
                  <c:v>238000</c:v>
                </c:pt>
                <c:pt idx="4731">
                  <c:v>239000</c:v>
                </c:pt>
                <c:pt idx="4732">
                  <c:v>262000</c:v>
                </c:pt>
                <c:pt idx="4733">
                  <c:v>267000</c:v>
                </c:pt>
                <c:pt idx="4734">
                  <c:v>248000</c:v>
                </c:pt>
                <c:pt idx="4735">
                  <c:v>248000</c:v>
                </c:pt>
                <c:pt idx="4736">
                  <c:v>248000</c:v>
                </c:pt>
                <c:pt idx="4737">
                  <c:v>248000</c:v>
                </c:pt>
                <c:pt idx="4738">
                  <c:v>248000</c:v>
                </c:pt>
                <c:pt idx="4739">
                  <c:v>248000</c:v>
                </c:pt>
                <c:pt idx="4740">
                  <c:v>248000</c:v>
                </c:pt>
                <c:pt idx="4741">
                  <c:v>273000</c:v>
                </c:pt>
                <c:pt idx="4742">
                  <c:v>238000</c:v>
                </c:pt>
                <c:pt idx="4743">
                  <c:v>239000</c:v>
                </c:pt>
                <c:pt idx="4744">
                  <c:v>325800</c:v>
                </c:pt>
                <c:pt idx="4745">
                  <c:v>296400</c:v>
                </c:pt>
                <c:pt idx="4746">
                  <c:v>313800</c:v>
                </c:pt>
                <c:pt idx="4747">
                  <c:v>566100</c:v>
                </c:pt>
                <c:pt idx="4748">
                  <c:v>400000</c:v>
                </c:pt>
                <c:pt idx="4749">
                  <c:v>160000</c:v>
                </c:pt>
                <c:pt idx="4750">
                  <c:v>160000</c:v>
                </c:pt>
                <c:pt idx="4751">
                  <c:v>175000</c:v>
                </c:pt>
                <c:pt idx="4752">
                  <c:v>175000</c:v>
                </c:pt>
                <c:pt idx="4753">
                  <c:v>390000</c:v>
                </c:pt>
                <c:pt idx="4754">
                  <c:v>390000</c:v>
                </c:pt>
                <c:pt idx="4755">
                  <c:v>390000</c:v>
                </c:pt>
                <c:pt idx="4756">
                  <c:v>299000</c:v>
                </c:pt>
                <c:pt idx="4757">
                  <c:v>290000</c:v>
                </c:pt>
                <c:pt idx="4758">
                  <c:v>315000</c:v>
                </c:pt>
                <c:pt idx="4759">
                  <c:v>380000</c:v>
                </c:pt>
                <c:pt idx="4760">
                  <c:v>420000</c:v>
                </c:pt>
                <c:pt idx="4761">
                  <c:v>170000</c:v>
                </c:pt>
                <c:pt idx="4762">
                  <c:v>380000</c:v>
                </c:pt>
                <c:pt idx="4763">
                  <c:v>460000</c:v>
                </c:pt>
                <c:pt idx="4764">
                  <c:v>283000</c:v>
                </c:pt>
                <c:pt idx="4765">
                  <c:v>339300</c:v>
                </c:pt>
                <c:pt idx="4766">
                  <c:v>270000</c:v>
                </c:pt>
                <c:pt idx="4767">
                  <c:v>250000</c:v>
                </c:pt>
                <c:pt idx="4768">
                  <c:v>260000</c:v>
                </c:pt>
                <c:pt idx="4769">
                  <c:v>240000</c:v>
                </c:pt>
                <c:pt idx="4770">
                  <c:v>250000</c:v>
                </c:pt>
              </c:numCache>
            </c:numRef>
          </c:xVal>
          <c:yVal>
            <c:numRef>
              <c:f>HOUSING_TABLE!$J$2:$J$4772</c:f>
              <c:numCache>
                <c:formatCode>General</c:formatCode>
                <c:ptCount val="4771"/>
                <c:pt idx="0">
                  <c:v>36.18</c:v>
                </c:pt>
                <c:pt idx="1">
                  <c:v>30.56</c:v>
                </c:pt>
                <c:pt idx="2">
                  <c:v>30.69</c:v>
                </c:pt>
                <c:pt idx="3">
                  <c:v>29.37</c:v>
                </c:pt>
                <c:pt idx="4">
                  <c:v>27.2</c:v>
                </c:pt>
                <c:pt idx="5">
                  <c:v>32.700000000000003</c:v>
                </c:pt>
                <c:pt idx="6">
                  <c:v>35</c:v>
                </c:pt>
                <c:pt idx="7">
                  <c:v>30.24</c:v>
                </c:pt>
                <c:pt idx="8">
                  <c:v>29.98</c:v>
                </c:pt>
                <c:pt idx="9">
                  <c:v>25.98</c:v>
                </c:pt>
                <c:pt idx="10">
                  <c:v>22</c:v>
                </c:pt>
                <c:pt idx="11">
                  <c:v>25</c:v>
                </c:pt>
                <c:pt idx="12">
                  <c:v>33.450000000000003</c:v>
                </c:pt>
                <c:pt idx="13">
                  <c:v>29.98</c:v>
                </c:pt>
                <c:pt idx="14">
                  <c:v>24.05</c:v>
                </c:pt>
                <c:pt idx="15">
                  <c:v>28.17</c:v>
                </c:pt>
                <c:pt idx="16">
                  <c:v>28.55</c:v>
                </c:pt>
                <c:pt idx="17">
                  <c:v>28.55</c:v>
                </c:pt>
                <c:pt idx="18">
                  <c:v>24.05</c:v>
                </c:pt>
                <c:pt idx="19">
                  <c:v>30.56</c:v>
                </c:pt>
                <c:pt idx="20">
                  <c:v>22</c:v>
                </c:pt>
                <c:pt idx="21">
                  <c:v>25.98</c:v>
                </c:pt>
                <c:pt idx="22">
                  <c:v>26.92</c:v>
                </c:pt>
                <c:pt idx="23">
                  <c:v>26.92</c:v>
                </c:pt>
                <c:pt idx="24">
                  <c:v>26.92</c:v>
                </c:pt>
                <c:pt idx="25">
                  <c:v>28.75</c:v>
                </c:pt>
                <c:pt idx="26">
                  <c:v>26.27</c:v>
                </c:pt>
                <c:pt idx="27">
                  <c:v>26.27</c:v>
                </c:pt>
                <c:pt idx="28">
                  <c:v>26.03</c:v>
                </c:pt>
                <c:pt idx="29">
                  <c:v>25.52</c:v>
                </c:pt>
                <c:pt idx="30">
                  <c:v>25.52</c:v>
                </c:pt>
                <c:pt idx="31">
                  <c:v>20.29</c:v>
                </c:pt>
                <c:pt idx="32">
                  <c:v>22.48</c:v>
                </c:pt>
                <c:pt idx="33">
                  <c:v>25.13</c:v>
                </c:pt>
                <c:pt idx="34">
                  <c:v>26.42</c:v>
                </c:pt>
                <c:pt idx="35">
                  <c:v>19.440000000000001</c:v>
                </c:pt>
                <c:pt idx="36">
                  <c:v>25.46</c:v>
                </c:pt>
                <c:pt idx="37">
                  <c:v>25.46</c:v>
                </c:pt>
                <c:pt idx="38">
                  <c:v>25.46</c:v>
                </c:pt>
                <c:pt idx="39">
                  <c:v>25.11</c:v>
                </c:pt>
                <c:pt idx="40">
                  <c:v>25.46</c:v>
                </c:pt>
                <c:pt idx="41">
                  <c:v>21.06</c:v>
                </c:pt>
                <c:pt idx="42">
                  <c:v>27.09</c:v>
                </c:pt>
                <c:pt idx="43">
                  <c:v>22</c:v>
                </c:pt>
                <c:pt idx="44">
                  <c:v>23.08</c:v>
                </c:pt>
                <c:pt idx="45">
                  <c:v>25.61</c:v>
                </c:pt>
                <c:pt idx="46">
                  <c:v>22.28</c:v>
                </c:pt>
                <c:pt idx="47">
                  <c:v>19.73</c:v>
                </c:pt>
                <c:pt idx="48">
                  <c:v>25.41</c:v>
                </c:pt>
                <c:pt idx="49">
                  <c:v>25.41</c:v>
                </c:pt>
                <c:pt idx="50">
                  <c:v>18</c:v>
                </c:pt>
                <c:pt idx="51">
                  <c:v>18</c:v>
                </c:pt>
                <c:pt idx="52">
                  <c:v>18.149999999999999</c:v>
                </c:pt>
                <c:pt idx="53">
                  <c:v>19.72</c:v>
                </c:pt>
                <c:pt idx="54">
                  <c:v>19.72</c:v>
                </c:pt>
                <c:pt idx="55">
                  <c:v>25.39</c:v>
                </c:pt>
                <c:pt idx="56">
                  <c:v>25.85</c:v>
                </c:pt>
                <c:pt idx="57">
                  <c:v>25.84</c:v>
                </c:pt>
                <c:pt idx="58">
                  <c:v>25.85</c:v>
                </c:pt>
                <c:pt idx="59">
                  <c:v>25.85</c:v>
                </c:pt>
                <c:pt idx="60">
                  <c:v>25.85</c:v>
                </c:pt>
                <c:pt idx="61">
                  <c:v>20.149999999999999</c:v>
                </c:pt>
                <c:pt idx="62">
                  <c:v>29.02</c:v>
                </c:pt>
                <c:pt idx="63">
                  <c:v>22.8</c:v>
                </c:pt>
                <c:pt idx="64">
                  <c:v>24.37</c:v>
                </c:pt>
                <c:pt idx="65">
                  <c:v>25.58</c:v>
                </c:pt>
                <c:pt idx="66">
                  <c:v>30.81</c:v>
                </c:pt>
                <c:pt idx="67">
                  <c:v>24</c:v>
                </c:pt>
                <c:pt idx="68">
                  <c:v>22.27</c:v>
                </c:pt>
                <c:pt idx="69">
                  <c:v>18.8</c:v>
                </c:pt>
                <c:pt idx="70">
                  <c:v>20.059999999999999</c:v>
                </c:pt>
                <c:pt idx="71">
                  <c:v>20.059999999999999</c:v>
                </c:pt>
                <c:pt idx="72">
                  <c:v>22.5</c:v>
                </c:pt>
                <c:pt idx="73">
                  <c:v>20</c:v>
                </c:pt>
                <c:pt idx="74">
                  <c:v>20.07</c:v>
                </c:pt>
                <c:pt idx="75">
                  <c:v>19.11</c:v>
                </c:pt>
                <c:pt idx="76">
                  <c:v>23.18</c:v>
                </c:pt>
                <c:pt idx="77">
                  <c:v>20.79</c:v>
                </c:pt>
                <c:pt idx="78">
                  <c:v>27.08</c:v>
                </c:pt>
                <c:pt idx="79">
                  <c:v>25.53</c:v>
                </c:pt>
                <c:pt idx="80">
                  <c:v>25.53</c:v>
                </c:pt>
                <c:pt idx="81">
                  <c:v>20.329999999999998</c:v>
                </c:pt>
                <c:pt idx="82">
                  <c:v>21.22</c:v>
                </c:pt>
                <c:pt idx="83">
                  <c:v>21.22</c:v>
                </c:pt>
                <c:pt idx="84">
                  <c:v>19.399999999999999</c:v>
                </c:pt>
                <c:pt idx="85">
                  <c:v>20.48</c:v>
                </c:pt>
                <c:pt idx="86">
                  <c:v>26.71</c:v>
                </c:pt>
                <c:pt idx="87">
                  <c:v>19.87</c:v>
                </c:pt>
                <c:pt idx="88">
                  <c:v>19.87</c:v>
                </c:pt>
                <c:pt idx="89">
                  <c:v>28.67</c:v>
                </c:pt>
                <c:pt idx="90">
                  <c:v>26.5</c:v>
                </c:pt>
                <c:pt idx="91">
                  <c:v>24.49</c:v>
                </c:pt>
                <c:pt idx="92">
                  <c:v>30.19</c:v>
                </c:pt>
                <c:pt idx="93">
                  <c:v>30.19</c:v>
                </c:pt>
                <c:pt idx="94">
                  <c:v>26.01</c:v>
                </c:pt>
                <c:pt idx="95">
                  <c:v>20</c:v>
                </c:pt>
                <c:pt idx="96">
                  <c:v>20.2</c:v>
                </c:pt>
                <c:pt idx="97">
                  <c:v>17.5</c:v>
                </c:pt>
                <c:pt idx="98">
                  <c:v>22.3</c:v>
                </c:pt>
                <c:pt idx="99">
                  <c:v>20.97</c:v>
                </c:pt>
                <c:pt idx="100">
                  <c:v>20.97</c:v>
                </c:pt>
                <c:pt idx="101">
                  <c:v>20.97</c:v>
                </c:pt>
                <c:pt idx="102">
                  <c:v>12.29</c:v>
                </c:pt>
                <c:pt idx="103">
                  <c:v>19.32</c:v>
                </c:pt>
                <c:pt idx="104">
                  <c:v>25</c:v>
                </c:pt>
                <c:pt idx="105">
                  <c:v>15.53</c:v>
                </c:pt>
                <c:pt idx="106">
                  <c:v>20.7</c:v>
                </c:pt>
                <c:pt idx="107">
                  <c:v>26.03</c:v>
                </c:pt>
                <c:pt idx="108">
                  <c:v>25.36</c:v>
                </c:pt>
                <c:pt idx="109">
                  <c:v>9.2899999999999991</c:v>
                </c:pt>
                <c:pt idx="110">
                  <c:v>26.27</c:v>
                </c:pt>
                <c:pt idx="111">
                  <c:v>26.27</c:v>
                </c:pt>
                <c:pt idx="112">
                  <c:v>29.02</c:v>
                </c:pt>
                <c:pt idx="113">
                  <c:v>23.18</c:v>
                </c:pt>
                <c:pt idx="114">
                  <c:v>25</c:v>
                </c:pt>
                <c:pt idx="115">
                  <c:v>20.29</c:v>
                </c:pt>
                <c:pt idx="116">
                  <c:v>20.77</c:v>
                </c:pt>
                <c:pt idx="117">
                  <c:v>17.22</c:v>
                </c:pt>
                <c:pt idx="118">
                  <c:v>25.41</c:v>
                </c:pt>
                <c:pt idx="119">
                  <c:v>19.87</c:v>
                </c:pt>
                <c:pt idx="120">
                  <c:v>22.27</c:v>
                </c:pt>
                <c:pt idx="121">
                  <c:v>20.48</c:v>
                </c:pt>
                <c:pt idx="122">
                  <c:v>27.08</c:v>
                </c:pt>
                <c:pt idx="123">
                  <c:v>19.72</c:v>
                </c:pt>
                <c:pt idx="124">
                  <c:v>25.52</c:v>
                </c:pt>
                <c:pt idx="125">
                  <c:v>26.42</c:v>
                </c:pt>
                <c:pt idx="126">
                  <c:v>25.52</c:v>
                </c:pt>
                <c:pt idx="127">
                  <c:v>25.52</c:v>
                </c:pt>
                <c:pt idx="128">
                  <c:v>22.8</c:v>
                </c:pt>
                <c:pt idx="129">
                  <c:v>24.37</c:v>
                </c:pt>
                <c:pt idx="130">
                  <c:v>28.67</c:v>
                </c:pt>
                <c:pt idx="131">
                  <c:v>28.82</c:v>
                </c:pt>
                <c:pt idx="132">
                  <c:v>20.329999999999998</c:v>
                </c:pt>
                <c:pt idx="133">
                  <c:v>21.22</c:v>
                </c:pt>
                <c:pt idx="134">
                  <c:v>19.73</c:v>
                </c:pt>
                <c:pt idx="135">
                  <c:v>22.28</c:v>
                </c:pt>
                <c:pt idx="136">
                  <c:v>26.22</c:v>
                </c:pt>
                <c:pt idx="137">
                  <c:v>25.61</c:v>
                </c:pt>
                <c:pt idx="138">
                  <c:v>31.08</c:v>
                </c:pt>
                <c:pt idx="139">
                  <c:v>30.09</c:v>
                </c:pt>
                <c:pt idx="140">
                  <c:v>22</c:v>
                </c:pt>
                <c:pt idx="141">
                  <c:v>25.84</c:v>
                </c:pt>
                <c:pt idx="142">
                  <c:v>25.85</c:v>
                </c:pt>
                <c:pt idx="143">
                  <c:v>18</c:v>
                </c:pt>
                <c:pt idx="144">
                  <c:v>25.52</c:v>
                </c:pt>
                <c:pt idx="145">
                  <c:v>19.73</c:v>
                </c:pt>
                <c:pt idx="146">
                  <c:v>20</c:v>
                </c:pt>
                <c:pt idx="147">
                  <c:v>20.79</c:v>
                </c:pt>
                <c:pt idx="148">
                  <c:v>17.39</c:v>
                </c:pt>
                <c:pt idx="149">
                  <c:v>17.39</c:v>
                </c:pt>
                <c:pt idx="150">
                  <c:v>16.95</c:v>
                </c:pt>
                <c:pt idx="151">
                  <c:v>25.46</c:v>
                </c:pt>
                <c:pt idx="152">
                  <c:v>25.46</c:v>
                </c:pt>
                <c:pt idx="153">
                  <c:v>25.11</c:v>
                </c:pt>
                <c:pt idx="154">
                  <c:v>18.46</c:v>
                </c:pt>
                <c:pt idx="155">
                  <c:v>26.22</c:v>
                </c:pt>
                <c:pt idx="156">
                  <c:v>26.71</c:v>
                </c:pt>
                <c:pt idx="157">
                  <c:v>26.3</c:v>
                </c:pt>
                <c:pt idx="158">
                  <c:v>26.3</c:v>
                </c:pt>
                <c:pt idx="159">
                  <c:v>30.09</c:v>
                </c:pt>
                <c:pt idx="160">
                  <c:v>31.08</c:v>
                </c:pt>
                <c:pt idx="161">
                  <c:v>19.62</c:v>
                </c:pt>
                <c:pt idx="162">
                  <c:v>40.049999999999997</c:v>
                </c:pt>
                <c:pt idx="163">
                  <c:v>43.35</c:v>
                </c:pt>
                <c:pt idx="164">
                  <c:v>34.19</c:v>
                </c:pt>
                <c:pt idx="165">
                  <c:v>51.16</c:v>
                </c:pt>
                <c:pt idx="166">
                  <c:v>38.950000000000003</c:v>
                </c:pt>
                <c:pt idx="167">
                  <c:v>40.340000000000003</c:v>
                </c:pt>
                <c:pt idx="168">
                  <c:v>49.23</c:v>
                </c:pt>
                <c:pt idx="169">
                  <c:v>49.23</c:v>
                </c:pt>
                <c:pt idx="170">
                  <c:v>38.74</c:v>
                </c:pt>
                <c:pt idx="171">
                  <c:v>44.93</c:v>
                </c:pt>
                <c:pt idx="172">
                  <c:v>40.950000000000003</c:v>
                </c:pt>
                <c:pt idx="173">
                  <c:v>40.04</c:v>
                </c:pt>
                <c:pt idx="174">
                  <c:v>42.12</c:v>
                </c:pt>
                <c:pt idx="175">
                  <c:v>28.32</c:v>
                </c:pt>
                <c:pt idx="176">
                  <c:v>30.48</c:v>
                </c:pt>
                <c:pt idx="177">
                  <c:v>30.48</c:v>
                </c:pt>
                <c:pt idx="178">
                  <c:v>30.82</c:v>
                </c:pt>
                <c:pt idx="179">
                  <c:v>42.12</c:v>
                </c:pt>
                <c:pt idx="180">
                  <c:v>28.77</c:v>
                </c:pt>
                <c:pt idx="181">
                  <c:v>45.4</c:v>
                </c:pt>
                <c:pt idx="182">
                  <c:v>46.83</c:v>
                </c:pt>
                <c:pt idx="183">
                  <c:v>39.97</c:v>
                </c:pt>
                <c:pt idx="184">
                  <c:v>39.97</c:v>
                </c:pt>
                <c:pt idx="185">
                  <c:v>33.6</c:v>
                </c:pt>
                <c:pt idx="186">
                  <c:v>30.03</c:v>
                </c:pt>
                <c:pt idx="187">
                  <c:v>39.770000000000003</c:v>
                </c:pt>
                <c:pt idx="188">
                  <c:v>51.04</c:v>
                </c:pt>
                <c:pt idx="189">
                  <c:v>51.04</c:v>
                </c:pt>
                <c:pt idx="190">
                  <c:v>42.35</c:v>
                </c:pt>
                <c:pt idx="191">
                  <c:v>41.49</c:v>
                </c:pt>
                <c:pt idx="192">
                  <c:v>32.04</c:v>
                </c:pt>
                <c:pt idx="193">
                  <c:v>32.04</c:v>
                </c:pt>
                <c:pt idx="194">
                  <c:v>39.83</c:v>
                </c:pt>
                <c:pt idx="195">
                  <c:v>39.83</c:v>
                </c:pt>
                <c:pt idx="196">
                  <c:v>41.05</c:v>
                </c:pt>
                <c:pt idx="197">
                  <c:v>42.56</c:v>
                </c:pt>
                <c:pt idx="198">
                  <c:v>41.4</c:v>
                </c:pt>
                <c:pt idx="199">
                  <c:v>40.04</c:v>
                </c:pt>
                <c:pt idx="200">
                  <c:v>31.63</c:v>
                </c:pt>
                <c:pt idx="201">
                  <c:v>40.049999999999997</c:v>
                </c:pt>
                <c:pt idx="202">
                  <c:v>43.35</c:v>
                </c:pt>
                <c:pt idx="203">
                  <c:v>49.23</c:v>
                </c:pt>
                <c:pt idx="204">
                  <c:v>49.23</c:v>
                </c:pt>
                <c:pt idx="205">
                  <c:v>38.74</c:v>
                </c:pt>
                <c:pt idx="206">
                  <c:v>39.97</c:v>
                </c:pt>
                <c:pt idx="207">
                  <c:v>34.19</c:v>
                </c:pt>
                <c:pt idx="208">
                  <c:v>41.49</c:v>
                </c:pt>
                <c:pt idx="209">
                  <c:v>43.75</c:v>
                </c:pt>
                <c:pt idx="210">
                  <c:v>37.32</c:v>
                </c:pt>
                <c:pt idx="211">
                  <c:v>44.93</c:v>
                </c:pt>
                <c:pt idx="212">
                  <c:v>40.950000000000003</c:v>
                </c:pt>
                <c:pt idx="213">
                  <c:v>32.04</c:v>
                </c:pt>
                <c:pt idx="214">
                  <c:v>32.04</c:v>
                </c:pt>
                <c:pt idx="215">
                  <c:v>33.6</c:v>
                </c:pt>
                <c:pt idx="216">
                  <c:v>42.56</c:v>
                </c:pt>
                <c:pt idx="217">
                  <c:v>41.4</c:v>
                </c:pt>
                <c:pt idx="218">
                  <c:v>45.4</c:v>
                </c:pt>
                <c:pt idx="219">
                  <c:v>39.83</c:v>
                </c:pt>
                <c:pt idx="220">
                  <c:v>82.2</c:v>
                </c:pt>
                <c:pt idx="221">
                  <c:v>82.2</c:v>
                </c:pt>
                <c:pt idx="222">
                  <c:v>82.2</c:v>
                </c:pt>
                <c:pt idx="223">
                  <c:v>30.18</c:v>
                </c:pt>
                <c:pt idx="224">
                  <c:v>82.2</c:v>
                </c:pt>
                <c:pt idx="225">
                  <c:v>82.2</c:v>
                </c:pt>
                <c:pt idx="226">
                  <c:v>82.2</c:v>
                </c:pt>
                <c:pt idx="227">
                  <c:v>42.18</c:v>
                </c:pt>
                <c:pt idx="228">
                  <c:v>30.48</c:v>
                </c:pt>
                <c:pt idx="229">
                  <c:v>30.48</c:v>
                </c:pt>
                <c:pt idx="230">
                  <c:v>30.48</c:v>
                </c:pt>
                <c:pt idx="231">
                  <c:v>37.32</c:v>
                </c:pt>
                <c:pt idx="232">
                  <c:v>41.23</c:v>
                </c:pt>
                <c:pt idx="233">
                  <c:v>41.23</c:v>
                </c:pt>
                <c:pt idx="234">
                  <c:v>10.29</c:v>
                </c:pt>
                <c:pt idx="235">
                  <c:v>10.23</c:v>
                </c:pt>
                <c:pt idx="236">
                  <c:v>23.6</c:v>
                </c:pt>
                <c:pt idx="237">
                  <c:v>30.19</c:v>
                </c:pt>
                <c:pt idx="238">
                  <c:v>12</c:v>
                </c:pt>
                <c:pt idx="239">
                  <c:v>14.91</c:v>
                </c:pt>
                <c:pt idx="240">
                  <c:v>16.02</c:v>
                </c:pt>
                <c:pt idx="241">
                  <c:v>15</c:v>
                </c:pt>
                <c:pt idx="242">
                  <c:v>12</c:v>
                </c:pt>
                <c:pt idx="243">
                  <c:v>11.25</c:v>
                </c:pt>
                <c:pt idx="244">
                  <c:v>9.2899999999999991</c:v>
                </c:pt>
                <c:pt idx="245">
                  <c:v>9.2899999999999991</c:v>
                </c:pt>
                <c:pt idx="246">
                  <c:v>20</c:v>
                </c:pt>
                <c:pt idx="247">
                  <c:v>24</c:v>
                </c:pt>
                <c:pt idx="248">
                  <c:v>16.16</c:v>
                </c:pt>
                <c:pt idx="249">
                  <c:v>16.16</c:v>
                </c:pt>
                <c:pt idx="250">
                  <c:v>25.55</c:v>
                </c:pt>
                <c:pt idx="251">
                  <c:v>10.23</c:v>
                </c:pt>
                <c:pt idx="252">
                  <c:v>9.64</c:v>
                </c:pt>
                <c:pt idx="253">
                  <c:v>10.07</c:v>
                </c:pt>
                <c:pt idx="254">
                  <c:v>30.89</c:v>
                </c:pt>
                <c:pt idx="255">
                  <c:v>26.22</c:v>
                </c:pt>
                <c:pt idx="256">
                  <c:v>24.09</c:v>
                </c:pt>
                <c:pt idx="257">
                  <c:v>21.74</c:v>
                </c:pt>
                <c:pt idx="258">
                  <c:v>24.09</c:v>
                </c:pt>
                <c:pt idx="259">
                  <c:v>19.52</c:v>
                </c:pt>
                <c:pt idx="260">
                  <c:v>17</c:v>
                </c:pt>
                <c:pt idx="261">
                  <c:v>26</c:v>
                </c:pt>
                <c:pt idx="262">
                  <c:v>14.72</c:v>
                </c:pt>
                <c:pt idx="263">
                  <c:v>33.200000000000003</c:v>
                </c:pt>
                <c:pt idx="264">
                  <c:v>17</c:v>
                </c:pt>
                <c:pt idx="265">
                  <c:v>17</c:v>
                </c:pt>
                <c:pt idx="266">
                  <c:v>25.4</c:v>
                </c:pt>
                <c:pt idx="267">
                  <c:v>15</c:v>
                </c:pt>
                <c:pt idx="268">
                  <c:v>12.26</c:v>
                </c:pt>
                <c:pt idx="269">
                  <c:v>13.5</c:v>
                </c:pt>
                <c:pt idx="270">
                  <c:v>13.5</c:v>
                </c:pt>
                <c:pt idx="271">
                  <c:v>13.5</c:v>
                </c:pt>
                <c:pt idx="272">
                  <c:v>25.47</c:v>
                </c:pt>
                <c:pt idx="273">
                  <c:v>25.47</c:v>
                </c:pt>
                <c:pt idx="274">
                  <c:v>14.2</c:v>
                </c:pt>
                <c:pt idx="275">
                  <c:v>10.07</c:v>
                </c:pt>
                <c:pt idx="276">
                  <c:v>9.2899999999999991</c:v>
                </c:pt>
                <c:pt idx="277">
                  <c:v>9.2899999999999991</c:v>
                </c:pt>
                <c:pt idx="278">
                  <c:v>30.89</c:v>
                </c:pt>
                <c:pt idx="279">
                  <c:v>15.4</c:v>
                </c:pt>
                <c:pt idx="280">
                  <c:v>13.5</c:v>
                </c:pt>
                <c:pt idx="281">
                  <c:v>13.5</c:v>
                </c:pt>
                <c:pt idx="282">
                  <c:v>13.5</c:v>
                </c:pt>
                <c:pt idx="283">
                  <c:v>20.7</c:v>
                </c:pt>
                <c:pt idx="284">
                  <c:v>16.11</c:v>
                </c:pt>
                <c:pt idx="285">
                  <c:v>24.33</c:v>
                </c:pt>
                <c:pt idx="286">
                  <c:v>24</c:v>
                </c:pt>
                <c:pt idx="287">
                  <c:v>30.04</c:v>
                </c:pt>
                <c:pt idx="288">
                  <c:v>16.16</c:v>
                </c:pt>
                <c:pt idx="289">
                  <c:v>26.18</c:v>
                </c:pt>
                <c:pt idx="290">
                  <c:v>11.09</c:v>
                </c:pt>
                <c:pt idx="291">
                  <c:v>25.55</c:v>
                </c:pt>
                <c:pt idx="292">
                  <c:v>20.25</c:v>
                </c:pt>
                <c:pt idx="293">
                  <c:v>30.04</c:v>
                </c:pt>
                <c:pt idx="294">
                  <c:v>30.04</c:v>
                </c:pt>
                <c:pt idx="295">
                  <c:v>30.22</c:v>
                </c:pt>
                <c:pt idx="296">
                  <c:v>11.09</c:v>
                </c:pt>
                <c:pt idx="297">
                  <c:v>11.09</c:v>
                </c:pt>
                <c:pt idx="298">
                  <c:v>21.55</c:v>
                </c:pt>
                <c:pt idx="299">
                  <c:v>11.93</c:v>
                </c:pt>
                <c:pt idx="300">
                  <c:v>25.59</c:v>
                </c:pt>
                <c:pt idx="301">
                  <c:v>13.21</c:v>
                </c:pt>
                <c:pt idx="302">
                  <c:v>25.59</c:v>
                </c:pt>
                <c:pt idx="303">
                  <c:v>12.44</c:v>
                </c:pt>
                <c:pt idx="304">
                  <c:v>13.5</c:v>
                </c:pt>
                <c:pt idx="305">
                  <c:v>13.17</c:v>
                </c:pt>
                <c:pt idx="306">
                  <c:v>25.47</c:v>
                </c:pt>
                <c:pt idx="307">
                  <c:v>25.47</c:v>
                </c:pt>
                <c:pt idx="308">
                  <c:v>25.36</c:v>
                </c:pt>
                <c:pt idx="309">
                  <c:v>48.99</c:v>
                </c:pt>
                <c:pt idx="310">
                  <c:v>48.99</c:v>
                </c:pt>
                <c:pt idx="311">
                  <c:v>46.53</c:v>
                </c:pt>
                <c:pt idx="312">
                  <c:v>30.02</c:v>
                </c:pt>
                <c:pt idx="313">
                  <c:v>39.22</c:v>
                </c:pt>
                <c:pt idx="314">
                  <c:v>40.9</c:v>
                </c:pt>
                <c:pt idx="315">
                  <c:v>42</c:v>
                </c:pt>
                <c:pt idx="316">
                  <c:v>33.56</c:v>
                </c:pt>
                <c:pt idx="317">
                  <c:v>46.78</c:v>
                </c:pt>
                <c:pt idx="318">
                  <c:v>39.07</c:v>
                </c:pt>
                <c:pt idx="319">
                  <c:v>46.78</c:v>
                </c:pt>
                <c:pt idx="320">
                  <c:v>29.53</c:v>
                </c:pt>
                <c:pt idx="321">
                  <c:v>40.44</c:v>
                </c:pt>
                <c:pt idx="322">
                  <c:v>35.1</c:v>
                </c:pt>
                <c:pt idx="323">
                  <c:v>29.13</c:v>
                </c:pt>
                <c:pt idx="324">
                  <c:v>29.53</c:v>
                </c:pt>
                <c:pt idx="325">
                  <c:v>29.53</c:v>
                </c:pt>
                <c:pt idx="326">
                  <c:v>40.44</c:v>
                </c:pt>
                <c:pt idx="327">
                  <c:v>51.03</c:v>
                </c:pt>
                <c:pt idx="328">
                  <c:v>54.94</c:v>
                </c:pt>
                <c:pt idx="329">
                  <c:v>54.94</c:v>
                </c:pt>
                <c:pt idx="330">
                  <c:v>58.96</c:v>
                </c:pt>
                <c:pt idx="331">
                  <c:v>54.94</c:v>
                </c:pt>
                <c:pt idx="332">
                  <c:v>57.2</c:v>
                </c:pt>
                <c:pt idx="333">
                  <c:v>68.78</c:v>
                </c:pt>
                <c:pt idx="334">
                  <c:v>60.36</c:v>
                </c:pt>
                <c:pt idx="335">
                  <c:v>70.98</c:v>
                </c:pt>
                <c:pt idx="336">
                  <c:v>87.9</c:v>
                </c:pt>
                <c:pt idx="337">
                  <c:v>54.51</c:v>
                </c:pt>
                <c:pt idx="338">
                  <c:v>59.06</c:v>
                </c:pt>
                <c:pt idx="339">
                  <c:v>56.32</c:v>
                </c:pt>
                <c:pt idx="340">
                  <c:v>65.75</c:v>
                </c:pt>
                <c:pt idx="341">
                  <c:v>64.42</c:v>
                </c:pt>
                <c:pt idx="342">
                  <c:v>64.42</c:v>
                </c:pt>
                <c:pt idx="343">
                  <c:v>55.99</c:v>
                </c:pt>
                <c:pt idx="344">
                  <c:v>55.99</c:v>
                </c:pt>
                <c:pt idx="345">
                  <c:v>61.57</c:v>
                </c:pt>
                <c:pt idx="346">
                  <c:v>61.57</c:v>
                </c:pt>
                <c:pt idx="347">
                  <c:v>44.71</c:v>
                </c:pt>
                <c:pt idx="348">
                  <c:v>68.78</c:v>
                </c:pt>
                <c:pt idx="349">
                  <c:v>60.36</c:v>
                </c:pt>
                <c:pt idx="350">
                  <c:v>63</c:v>
                </c:pt>
                <c:pt idx="351">
                  <c:v>63</c:v>
                </c:pt>
                <c:pt idx="352">
                  <c:v>87.9</c:v>
                </c:pt>
                <c:pt idx="353">
                  <c:v>44.5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63.38</c:v>
                </c:pt>
                <c:pt idx="358">
                  <c:v>63.38</c:v>
                </c:pt>
                <c:pt idx="359">
                  <c:v>63.38</c:v>
                </c:pt>
                <c:pt idx="360">
                  <c:v>63.09</c:v>
                </c:pt>
                <c:pt idx="361">
                  <c:v>49.64</c:v>
                </c:pt>
                <c:pt idx="362">
                  <c:v>50.79</c:v>
                </c:pt>
                <c:pt idx="363">
                  <c:v>53.43</c:v>
                </c:pt>
                <c:pt idx="364">
                  <c:v>49.64</c:v>
                </c:pt>
                <c:pt idx="365">
                  <c:v>50.79</c:v>
                </c:pt>
                <c:pt idx="366">
                  <c:v>53.43</c:v>
                </c:pt>
                <c:pt idx="367">
                  <c:v>28.41</c:v>
                </c:pt>
                <c:pt idx="368">
                  <c:v>28.41</c:v>
                </c:pt>
                <c:pt idx="369">
                  <c:v>63</c:v>
                </c:pt>
                <c:pt idx="370">
                  <c:v>65.75</c:v>
                </c:pt>
                <c:pt idx="371">
                  <c:v>66.650000000000006</c:v>
                </c:pt>
                <c:pt idx="372">
                  <c:v>54.65</c:v>
                </c:pt>
                <c:pt idx="373">
                  <c:v>54.65</c:v>
                </c:pt>
                <c:pt idx="374">
                  <c:v>41.09</c:v>
                </c:pt>
                <c:pt idx="375">
                  <c:v>41.09</c:v>
                </c:pt>
                <c:pt idx="376">
                  <c:v>68.75</c:v>
                </c:pt>
                <c:pt idx="377">
                  <c:v>66.849999999999994</c:v>
                </c:pt>
                <c:pt idx="378">
                  <c:v>105.71</c:v>
                </c:pt>
                <c:pt idx="379">
                  <c:v>105.71</c:v>
                </c:pt>
                <c:pt idx="380">
                  <c:v>83.27</c:v>
                </c:pt>
                <c:pt idx="381">
                  <c:v>83.27</c:v>
                </c:pt>
                <c:pt idx="382">
                  <c:v>84.7</c:v>
                </c:pt>
                <c:pt idx="383">
                  <c:v>84.7</c:v>
                </c:pt>
                <c:pt idx="384">
                  <c:v>85.06</c:v>
                </c:pt>
                <c:pt idx="385">
                  <c:v>85.06</c:v>
                </c:pt>
                <c:pt idx="386">
                  <c:v>66.650000000000006</c:v>
                </c:pt>
                <c:pt idx="387">
                  <c:v>66.650000000000006</c:v>
                </c:pt>
                <c:pt idx="388">
                  <c:v>63</c:v>
                </c:pt>
                <c:pt idx="389">
                  <c:v>63</c:v>
                </c:pt>
                <c:pt idx="390">
                  <c:v>63</c:v>
                </c:pt>
                <c:pt idx="391">
                  <c:v>66.650000000000006</c:v>
                </c:pt>
                <c:pt idx="392">
                  <c:v>66.650000000000006</c:v>
                </c:pt>
                <c:pt idx="393">
                  <c:v>66.650000000000006</c:v>
                </c:pt>
                <c:pt idx="394">
                  <c:v>85.2</c:v>
                </c:pt>
                <c:pt idx="395">
                  <c:v>85.2</c:v>
                </c:pt>
                <c:pt idx="396">
                  <c:v>66.650000000000006</c:v>
                </c:pt>
                <c:pt idx="397">
                  <c:v>74.84</c:v>
                </c:pt>
                <c:pt idx="398">
                  <c:v>74.84</c:v>
                </c:pt>
                <c:pt idx="399">
                  <c:v>108</c:v>
                </c:pt>
                <c:pt idx="400">
                  <c:v>108</c:v>
                </c:pt>
                <c:pt idx="401">
                  <c:v>108</c:v>
                </c:pt>
                <c:pt idx="402">
                  <c:v>32.82</c:v>
                </c:pt>
                <c:pt idx="403">
                  <c:v>32.74</c:v>
                </c:pt>
                <c:pt idx="404">
                  <c:v>36.01</c:v>
                </c:pt>
                <c:pt idx="405">
                  <c:v>36.11</c:v>
                </c:pt>
                <c:pt idx="406">
                  <c:v>25.38</c:v>
                </c:pt>
                <c:pt idx="407">
                  <c:v>25.38</c:v>
                </c:pt>
                <c:pt idx="408">
                  <c:v>25.38</c:v>
                </c:pt>
                <c:pt idx="409">
                  <c:v>34.4</c:v>
                </c:pt>
                <c:pt idx="410">
                  <c:v>32.19</c:v>
                </c:pt>
                <c:pt idx="411">
                  <c:v>30.93</c:v>
                </c:pt>
                <c:pt idx="412">
                  <c:v>33.380000000000003</c:v>
                </c:pt>
                <c:pt idx="413">
                  <c:v>26</c:v>
                </c:pt>
                <c:pt idx="414">
                  <c:v>32.61</c:v>
                </c:pt>
                <c:pt idx="415">
                  <c:v>34.49</c:v>
                </c:pt>
                <c:pt idx="416">
                  <c:v>33.380000000000003</c:v>
                </c:pt>
                <c:pt idx="417">
                  <c:v>32.19</c:v>
                </c:pt>
                <c:pt idx="418">
                  <c:v>30.93</c:v>
                </c:pt>
                <c:pt idx="419">
                  <c:v>32.82</c:v>
                </c:pt>
                <c:pt idx="420">
                  <c:v>26</c:v>
                </c:pt>
                <c:pt idx="421">
                  <c:v>32.74</c:v>
                </c:pt>
                <c:pt idx="422">
                  <c:v>36.01</c:v>
                </c:pt>
                <c:pt idx="423">
                  <c:v>36.01</c:v>
                </c:pt>
                <c:pt idx="424">
                  <c:v>36.01</c:v>
                </c:pt>
                <c:pt idx="425">
                  <c:v>36.11</c:v>
                </c:pt>
                <c:pt idx="426">
                  <c:v>31.05</c:v>
                </c:pt>
                <c:pt idx="427">
                  <c:v>31.06</c:v>
                </c:pt>
                <c:pt idx="428">
                  <c:v>34.340000000000003</c:v>
                </c:pt>
                <c:pt idx="429">
                  <c:v>33.78</c:v>
                </c:pt>
                <c:pt idx="430">
                  <c:v>25.51</c:v>
                </c:pt>
                <c:pt idx="431">
                  <c:v>25.65</c:v>
                </c:pt>
                <c:pt idx="432">
                  <c:v>25.65</c:v>
                </c:pt>
                <c:pt idx="433">
                  <c:v>28.33</c:v>
                </c:pt>
                <c:pt idx="434">
                  <c:v>32.619999999999997</c:v>
                </c:pt>
                <c:pt idx="435">
                  <c:v>20.91</c:v>
                </c:pt>
                <c:pt idx="436">
                  <c:v>25.64</c:v>
                </c:pt>
                <c:pt idx="437">
                  <c:v>25.22</c:v>
                </c:pt>
                <c:pt idx="438">
                  <c:v>25.64</c:v>
                </c:pt>
                <c:pt idx="439">
                  <c:v>23.24</c:v>
                </c:pt>
                <c:pt idx="440">
                  <c:v>22.01</c:v>
                </c:pt>
                <c:pt idx="441">
                  <c:v>19.739999999999998</c:v>
                </c:pt>
                <c:pt idx="442">
                  <c:v>19.739999999999998</c:v>
                </c:pt>
                <c:pt idx="443">
                  <c:v>22.17</c:v>
                </c:pt>
                <c:pt idx="444">
                  <c:v>18.23</c:v>
                </c:pt>
                <c:pt idx="445">
                  <c:v>18.23</c:v>
                </c:pt>
                <c:pt idx="446">
                  <c:v>18.23</c:v>
                </c:pt>
                <c:pt idx="447">
                  <c:v>15.2</c:v>
                </c:pt>
                <c:pt idx="448">
                  <c:v>16.47</c:v>
                </c:pt>
                <c:pt idx="449">
                  <c:v>16.5</c:v>
                </c:pt>
                <c:pt idx="450">
                  <c:v>16.2</c:v>
                </c:pt>
                <c:pt idx="451">
                  <c:v>16.47</c:v>
                </c:pt>
                <c:pt idx="452">
                  <c:v>20</c:v>
                </c:pt>
                <c:pt idx="453">
                  <c:v>20</c:v>
                </c:pt>
                <c:pt idx="454">
                  <c:v>14.8</c:v>
                </c:pt>
                <c:pt idx="455">
                  <c:v>25.6</c:v>
                </c:pt>
                <c:pt idx="456">
                  <c:v>25.52</c:v>
                </c:pt>
                <c:pt idx="457">
                  <c:v>25.86</c:v>
                </c:pt>
                <c:pt idx="458">
                  <c:v>25.6</c:v>
                </c:pt>
                <c:pt idx="459">
                  <c:v>18.48</c:v>
                </c:pt>
                <c:pt idx="460">
                  <c:v>18.5</c:v>
                </c:pt>
                <c:pt idx="461">
                  <c:v>18.48</c:v>
                </c:pt>
                <c:pt idx="462">
                  <c:v>18.48</c:v>
                </c:pt>
                <c:pt idx="463">
                  <c:v>18.48</c:v>
                </c:pt>
                <c:pt idx="464">
                  <c:v>21.06</c:v>
                </c:pt>
                <c:pt idx="465">
                  <c:v>21.06</c:v>
                </c:pt>
                <c:pt idx="466">
                  <c:v>25.95</c:v>
                </c:pt>
                <c:pt idx="467">
                  <c:v>30.6</c:v>
                </c:pt>
                <c:pt idx="468">
                  <c:v>30.69</c:v>
                </c:pt>
                <c:pt idx="469">
                  <c:v>20.9</c:v>
                </c:pt>
                <c:pt idx="470">
                  <c:v>22</c:v>
                </c:pt>
                <c:pt idx="471">
                  <c:v>20</c:v>
                </c:pt>
                <c:pt idx="472">
                  <c:v>22.79</c:v>
                </c:pt>
                <c:pt idx="473">
                  <c:v>34.06</c:v>
                </c:pt>
                <c:pt idx="474">
                  <c:v>26.4</c:v>
                </c:pt>
                <c:pt idx="475">
                  <c:v>20.9</c:v>
                </c:pt>
                <c:pt idx="476">
                  <c:v>25</c:v>
                </c:pt>
                <c:pt idx="477">
                  <c:v>19.440000000000001</c:v>
                </c:pt>
                <c:pt idx="478">
                  <c:v>26.1</c:v>
                </c:pt>
                <c:pt idx="479">
                  <c:v>26.1</c:v>
                </c:pt>
                <c:pt idx="480">
                  <c:v>18.43</c:v>
                </c:pt>
                <c:pt idx="481">
                  <c:v>22.06</c:v>
                </c:pt>
                <c:pt idx="482">
                  <c:v>18.5</c:v>
                </c:pt>
                <c:pt idx="483">
                  <c:v>16.18</c:v>
                </c:pt>
                <c:pt idx="484">
                  <c:v>23.12</c:v>
                </c:pt>
                <c:pt idx="485">
                  <c:v>25.65</c:v>
                </c:pt>
                <c:pt idx="486">
                  <c:v>25.65</c:v>
                </c:pt>
                <c:pt idx="487">
                  <c:v>26</c:v>
                </c:pt>
                <c:pt idx="488">
                  <c:v>20</c:v>
                </c:pt>
                <c:pt idx="489">
                  <c:v>21.87</c:v>
                </c:pt>
                <c:pt idx="490">
                  <c:v>20.58</c:v>
                </c:pt>
                <c:pt idx="491">
                  <c:v>22.89</c:v>
                </c:pt>
                <c:pt idx="492">
                  <c:v>22.89</c:v>
                </c:pt>
                <c:pt idx="493">
                  <c:v>22.89</c:v>
                </c:pt>
                <c:pt idx="494">
                  <c:v>22.89</c:v>
                </c:pt>
                <c:pt idx="495">
                  <c:v>22.89</c:v>
                </c:pt>
                <c:pt idx="496">
                  <c:v>20.81</c:v>
                </c:pt>
                <c:pt idx="497">
                  <c:v>25.38</c:v>
                </c:pt>
                <c:pt idx="498">
                  <c:v>19.239999999999998</c:v>
                </c:pt>
                <c:pt idx="499">
                  <c:v>23.09</c:v>
                </c:pt>
                <c:pt idx="500">
                  <c:v>13</c:v>
                </c:pt>
                <c:pt idx="501">
                  <c:v>18</c:v>
                </c:pt>
                <c:pt idx="502">
                  <c:v>15</c:v>
                </c:pt>
                <c:pt idx="503">
                  <c:v>20</c:v>
                </c:pt>
                <c:pt idx="504">
                  <c:v>20</c:v>
                </c:pt>
                <c:pt idx="505">
                  <c:v>33.61</c:v>
                </c:pt>
                <c:pt idx="506">
                  <c:v>18.48</c:v>
                </c:pt>
                <c:pt idx="507">
                  <c:v>18.48</c:v>
                </c:pt>
                <c:pt idx="508">
                  <c:v>18.48</c:v>
                </c:pt>
                <c:pt idx="509">
                  <c:v>18.48</c:v>
                </c:pt>
                <c:pt idx="510">
                  <c:v>18</c:v>
                </c:pt>
                <c:pt idx="511">
                  <c:v>22.79</c:v>
                </c:pt>
                <c:pt idx="512">
                  <c:v>20</c:v>
                </c:pt>
                <c:pt idx="513">
                  <c:v>18.5</c:v>
                </c:pt>
                <c:pt idx="514">
                  <c:v>18.22</c:v>
                </c:pt>
                <c:pt idx="515">
                  <c:v>13</c:v>
                </c:pt>
                <c:pt idx="516">
                  <c:v>18.23</c:v>
                </c:pt>
                <c:pt idx="517">
                  <c:v>18.86</c:v>
                </c:pt>
                <c:pt idx="518">
                  <c:v>18.86</c:v>
                </c:pt>
                <c:pt idx="519">
                  <c:v>20.91</c:v>
                </c:pt>
                <c:pt idx="520">
                  <c:v>15</c:v>
                </c:pt>
                <c:pt idx="521">
                  <c:v>21.87</c:v>
                </c:pt>
                <c:pt idx="522">
                  <c:v>18.43</c:v>
                </c:pt>
                <c:pt idx="523">
                  <c:v>22.15</c:v>
                </c:pt>
                <c:pt idx="524">
                  <c:v>23.28</c:v>
                </c:pt>
                <c:pt idx="525">
                  <c:v>25.65</c:v>
                </c:pt>
                <c:pt idx="526">
                  <c:v>26.1</c:v>
                </c:pt>
                <c:pt idx="527">
                  <c:v>16.18</c:v>
                </c:pt>
                <c:pt idx="528">
                  <c:v>20.07</c:v>
                </c:pt>
                <c:pt idx="529">
                  <c:v>20.07</c:v>
                </c:pt>
                <c:pt idx="530">
                  <c:v>22.89</c:v>
                </c:pt>
                <c:pt idx="531">
                  <c:v>22.89</c:v>
                </c:pt>
                <c:pt idx="532">
                  <c:v>19.739999999999998</c:v>
                </c:pt>
                <c:pt idx="533">
                  <c:v>19.739999999999998</c:v>
                </c:pt>
                <c:pt idx="534">
                  <c:v>26.4</c:v>
                </c:pt>
                <c:pt idx="535">
                  <c:v>18.23</c:v>
                </c:pt>
                <c:pt idx="536">
                  <c:v>25.51</c:v>
                </c:pt>
                <c:pt idx="537">
                  <c:v>31.99</c:v>
                </c:pt>
                <c:pt idx="538">
                  <c:v>21.06</c:v>
                </c:pt>
                <c:pt idx="539">
                  <c:v>25.52</c:v>
                </c:pt>
                <c:pt idx="540">
                  <c:v>25.52</c:v>
                </c:pt>
                <c:pt idx="541">
                  <c:v>25.52</c:v>
                </c:pt>
                <c:pt idx="542">
                  <c:v>25.64</c:v>
                </c:pt>
                <c:pt idx="543">
                  <c:v>25.22</c:v>
                </c:pt>
                <c:pt idx="544">
                  <c:v>25.2</c:v>
                </c:pt>
                <c:pt idx="545">
                  <c:v>25.38</c:v>
                </c:pt>
                <c:pt idx="546">
                  <c:v>25.38</c:v>
                </c:pt>
                <c:pt idx="547">
                  <c:v>25.38</c:v>
                </c:pt>
                <c:pt idx="548">
                  <c:v>20.9</c:v>
                </c:pt>
                <c:pt idx="549">
                  <c:v>20.09</c:v>
                </c:pt>
                <c:pt idx="550">
                  <c:v>25.38</c:v>
                </c:pt>
                <c:pt idx="551">
                  <c:v>16.02</c:v>
                </c:pt>
                <c:pt idx="552">
                  <c:v>23.5</c:v>
                </c:pt>
                <c:pt idx="553">
                  <c:v>23.5</c:v>
                </c:pt>
                <c:pt idx="554">
                  <c:v>25.37</c:v>
                </c:pt>
                <c:pt idx="555">
                  <c:v>23.1</c:v>
                </c:pt>
                <c:pt idx="556">
                  <c:v>25.51</c:v>
                </c:pt>
                <c:pt idx="557">
                  <c:v>25.51</c:v>
                </c:pt>
                <c:pt idx="558">
                  <c:v>31.99</c:v>
                </c:pt>
                <c:pt idx="559">
                  <c:v>20.45</c:v>
                </c:pt>
                <c:pt idx="560">
                  <c:v>33.08</c:v>
                </c:pt>
                <c:pt idx="561">
                  <c:v>44.91</c:v>
                </c:pt>
                <c:pt idx="562">
                  <c:v>55</c:v>
                </c:pt>
                <c:pt idx="563">
                  <c:v>55</c:v>
                </c:pt>
                <c:pt idx="564">
                  <c:v>42.2</c:v>
                </c:pt>
                <c:pt idx="565">
                  <c:v>40.1</c:v>
                </c:pt>
                <c:pt idx="566">
                  <c:v>52.35</c:v>
                </c:pt>
                <c:pt idx="567">
                  <c:v>45.8</c:v>
                </c:pt>
                <c:pt idx="568">
                  <c:v>30.1</c:v>
                </c:pt>
                <c:pt idx="569">
                  <c:v>46.56</c:v>
                </c:pt>
                <c:pt idx="570">
                  <c:v>38.93</c:v>
                </c:pt>
                <c:pt idx="571">
                  <c:v>55</c:v>
                </c:pt>
                <c:pt idx="572">
                  <c:v>55</c:v>
                </c:pt>
                <c:pt idx="573">
                  <c:v>51.84</c:v>
                </c:pt>
                <c:pt idx="574">
                  <c:v>44.91</c:v>
                </c:pt>
                <c:pt idx="575">
                  <c:v>42.2</c:v>
                </c:pt>
                <c:pt idx="576">
                  <c:v>30.96</c:v>
                </c:pt>
                <c:pt idx="577">
                  <c:v>40.51</c:v>
                </c:pt>
                <c:pt idx="578">
                  <c:v>51.84</c:v>
                </c:pt>
                <c:pt idx="579">
                  <c:v>41.4</c:v>
                </c:pt>
                <c:pt idx="580">
                  <c:v>38.86</c:v>
                </c:pt>
                <c:pt idx="581">
                  <c:v>7.4</c:v>
                </c:pt>
                <c:pt idx="582">
                  <c:v>6.2</c:v>
                </c:pt>
                <c:pt idx="583">
                  <c:v>7.7</c:v>
                </c:pt>
                <c:pt idx="584">
                  <c:v>13.53</c:v>
                </c:pt>
                <c:pt idx="585">
                  <c:v>9</c:v>
                </c:pt>
                <c:pt idx="586">
                  <c:v>13.12</c:v>
                </c:pt>
                <c:pt idx="587">
                  <c:v>9</c:v>
                </c:pt>
                <c:pt idx="588">
                  <c:v>9</c:v>
                </c:pt>
                <c:pt idx="589">
                  <c:v>12.07</c:v>
                </c:pt>
                <c:pt idx="590">
                  <c:v>18.399999999999999</c:v>
                </c:pt>
                <c:pt idx="591">
                  <c:v>18.7</c:v>
                </c:pt>
                <c:pt idx="592">
                  <c:v>11.66</c:v>
                </c:pt>
                <c:pt idx="593">
                  <c:v>11.52</c:v>
                </c:pt>
                <c:pt idx="594">
                  <c:v>10.23</c:v>
                </c:pt>
                <c:pt idx="595">
                  <c:v>11.05</c:v>
                </c:pt>
                <c:pt idx="596">
                  <c:v>19</c:v>
                </c:pt>
                <c:pt idx="597">
                  <c:v>10.07</c:v>
                </c:pt>
                <c:pt idx="598">
                  <c:v>12</c:v>
                </c:pt>
                <c:pt idx="599">
                  <c:v>18.89</c:v>
                </c:pt>
                <c:pt idx="600">
                  <c:v>20</c:v>
                </c:pt>
                <c:pt idx="601">
                  <c:v>14.47</c:v>
                </c:pt>
                <c:pt idx="602">
                  <c:v>16.940000000000001</c:v>
                </c:pt>
                <c:pt idx="603">
                  <c:v>16.940000000000001</c:v>
                </c:pt>
                <c:pt idx="604">
                  <c:v>20.25</c:v>
                </c:pt>
                <c:pt idx="605">
                  <c:v>26.43</c:v>
                </c:pt>
                <c:pt idx="606">
                  <c:v>17.98</c:v>
                </c:pt>
                <c:pt idx="607">
                  <c:v>20.5</c:v>
                </c:pt>
                <c:pt idx="608">
                  <c:v>18.899999999999999</c:v>
                </c:pt>
                <c:pt idx="609">
                  <c:v>17.940000000000001</c:v>
                </c:pt>
                <c:pt idx="610">
                  <c:v>10.01</c:v>
                </c:pt>
                <c:pt idx="611">
                  <c:v>12</c:v>
                </c:pt>
                <c:pt idx="612">
                  <c:v>14.85</c:v>
                </c:pt>
                <c:pt idx="613">
                  <c:v>15.02</c:v>
                </c:pt>
                <c:pt idx="614">
                  <c:v>12.92</c:v>
                </c:pt>
                <c:pt idx="615">
                  <c:v>13.17</c:v>
                </c:pt>
                <c:pt idx="616">
                  <c:v>18</c:v>
                </c:pt>
                <c:pt idx="617">
                  <c:v>9.9700000000000006</c:v>
                </c:pt>
                <c:pt idx="618">
                  <c:v>16.47</c:v>
                </c:pt>
                <c:pt idx="619">
                  <c:v>16.47</c:v>
                </c:pt>
                <c:pt idx="620">
                  <c:v>19.95</c:v>
                </c:pt>
                <c:pt idx="621">
                  <c:v>14.31</c:v>
                </c:pt>
                <c:pt idx="622">
                  <c:v>16.5</c:v>
                </c:pt>
                <c:pt idx="623">
                  <c:v>21.06</c:v>
                </c:pt>
                <c:pt idx="624">
                  <c:v>21.06</c:v>
                </c:pt>
                <c:pt idx="625">
                  <c:v>21.06</c:v>
                </c:pt>
                <c:pt idx="626">
                  <c:v>20.7</c:v>
                </c:pt>
                <c:pt idx="627">
                  <c:v>18.149999999999999</c:v>
                </c:pt>
                <c:pt idx="628">
                  <c:v>17.12</c:v>
                </c:pt>
                <c:pt idx="629">
                  <c:v>22.43</c:v>
                </c:pt>
                <c:pt idx="630">
                  <c:v>22</c:v>
                </c:pt>
                <c:pt idx="631">
                  <c:v>9.14</c:v>
                </c:pt>
                <c:pt idx="632">
                  <c:v>20.16</c:v>
                </c:pt>
                <c:pt idx="633">
                  <c:v>19.78</c:v>
                </c:pt>
                <c:pt idx="634">
                  <c:v>14.56</c:v>
                </c:pt>
                <c:pt idx="635">
                  <c:v>21</c:v>
                </c:pt>
                <c:pt idx="636">
                  <c:v>16.7</c:v>
                </c:pt>
                <c:pt idx="637">
                  <c:v>17.010000000000002</c:v>
                </c:pt>
                <c:pt idx="638">
                  <c:v>14.23</c:v>
                </c:pt>
                <c:pt idx="639">
                  <c:v>18.010000000000002</c:v>
                </c:pt>
                <c:pt idx="640">
                  <c:v>10</c:v>
                </c:pt>
                <c:pt idx="641">
                  <c:v>12</c:v>
                </c:pt>
                <c:pt idx="642">
                  <c:v>16.5</c:v>
                </c:pt>
                <c:pt idx="643">
                  <c:v>20.25</c:v>
                </c:pt>
                <c:pt idx="644">
                  <c:v>14.32</c:v>
                </c:pt>
                <c:pt idx="645">
                  <c:v>10.01</c:v>
                </c:pt>
                <c:pt idx="646">
                  <c:v>9.9700000000000006</c:v>
                </c:pt>
                <c:pt idx="647">
                  <c:v>9.9700000000000006</c:v>
                </c:pt>
                <c:pt idx="648">
                  <c:v>12.07</c:v>
                </c:pt>
                <c:pt idx="649">
                  <c:v>26.43</c:v>
                </c:pt>
                <c:pt idx="650">
                  <c:v>17.12</c:v>
                </c:pt>
                <c:pt idx="651">
                  <c:v>18.149999999999999</c:v>
                </c:pt>
                <c:pt idx="652">
                  <c:v>20.5</c:v>
                </c:pt>
                <c:pt idx="653">
                  <c:v>14.23</c:v>
                </c:pt>
                <c:pt idx="654">
                  <c:v>14.31</c:v>
                </c:pt>
                <c:pt idx="655">
                  <c:v>15.54</c:v>
                </c:pt>
                <c:pt idx="656">
                  <c:v>23</c:v>
                </c:pt>
                <c:pt idx="657">
                  <c:v>16.47</c:v>
                </c:pt>
                <c:pt idx="658">
                  <c:v>24.09</c:v>
                </c:pt>
                <c:pt idx="659">
                  <c:v>25.65</c:v>
                </c:pt>
                <c:pt idx="660">
                  <c:v>25.65</c:v>
                </c:pt>
                <c:pt idx="661">
                  <c:v>18</c:v>
                </c:pt>
                <c:pt idx="662">
                  <c:v>19.78</c:v>
                </c:pt>
                <c:pt idx="663">
                  <c:v>12.92</c:v>
                </c:pt>
                <c:pt idx="664">
                  <c:v>13.17</c:v>
                </c:pt>
                <c:pt idx="665">
                  <c:v>20.7</c:v>
                </c:pt>
                <c:pt idx="666">
                  <c:v>18.899999999999999</c:v>
                </c:pt>
                <c:pt idx="667">
                  <c:v>21.06</c:v>
                </c:pt>
                <c:pt idx="668">
                  <c:v>21.06</c:v>
                </c:pt>
                <c:pt idx="669">
                  <c:v>21.06</c:v>
                </c:pt>
                <c:pt idx="670">
                  <c:v>7.4</c:v>
                </c:pt>
                <c:pt idx="671">
                  <c:v>6.2</c:v>
                </c:pt>
                <c:pt idx="672">
                  <c:v>7.7</c:v>
                </c:pt>
                <c:pt idx="673">
                  <c:v>13.12</c:v>
                </c:pt>
                <c:pt idx="674">
                  <c:v>9.25</c:v>
                </c:pt>
                <c:pt idx="675">
                  <c:v>9</c:v>
                </c:pt>
                <c:pt idx="676">
                  <c:v>13.04</c:v>
                </c:pt>
                <c:pt idx="677">
                  <c:v>9</c:v>
                </c:pt>
                <c:pt idx="678">
                  <c:v>20.11</c:v>
                </c:pt>
                <c:pt idx="679">
                  <c:v>18.04</c:v>
                </c:pt>
                <c:pt idx="680">
                  <c:v>18</c:v>
                </c:pt>
                <c:pt idx="681">
                  <c:v>26.12</c:v>
                </c:pt>
                <c:pt idx="682">
                  <c:v>18.04</c:v>
                </c:pt>
                <c:pt idx="683">
                  <c:v>20.11</c:v>
                </c:pt>
                <c:pt idx="684">
                  <c:v>17.100000000000001</c:v>
                </c:pt>
                <c:pt idx="685">
                  <c:v>71.23</c:v>
                </c:pt>
                <c:pt idx="686">
                  <c:v>57.34</c:v>
                </c:pt>
                <c:pt idx="687">
                  <c:v>57.34</c:v>
                </c:pt>
                <c:pt idx="688">
                  <c:v>35</c:v>
                </c:pt>
                <c:pt idx="689">
                  <c:v>39.92</c:v>
                </c:pt>
                <c:pt idx="690">
                  <c:v>39.92</c:v>
                </c:pt>
                <c:pt idx="691">
                  <c:v>38.479999999999997</c:v>
                </c:pt>
                <c:pt idx="692">
                  <c:v>30</c:v>
                </c:pt>
                <c:pt idx="693">
                  <c:v>37.700000000000003</c:v>
                </c:pt>
                <c:pt idx="694">
                  <c:v>40.03</c:v>
                </c:pt>
                <c:pt idx="695">
                  <c:v>59.62</c:v>
                </c:pt>
                <c:pt idx="696">
                  <c:v>59.62</c:v>
                </c:pt>
                <c:pt idx="697">
                  <c:v>59.62</c:v>
                </c:pt>
                <c:pt idx="698">
                  <c:v>61.28</c:v>
                </c:pt>
                <c:pt idx="699">
                  <c:v>61.28</c:v>
                </c:pt>
                <c:pt idx="700">
                  <c:v>61.28</c:v>
                </c:pt>
                <c:pt idx="701">
                  <c:v>67.489999999999995</c:v>
                </c:pt>
                <c:pt idx="702">
                  <c:v>67.489999999999995</c:v>
                </c:pt>
                <c:pt idx="703">
                  <c:v>67.489999999999995</c:v>
                </c:pt>
                <c:pt idx="704">
                  <c:v>67.900000000000006</c:v>
                </c:pt>
                <c:pt idx="705">
                  <c:v>67.900000000000006</c:v>
                </c:pt>
                <c:pt idx="706">
                  <c:v>67.900000000000006</c:v>
                </c:pt>
                <c:pt idx="707">
                  <c:v>54.51</c:v>
                </c:pt>
                <c:pt idx="708">
                  <c:v>54.51</c:v>
                </c:pt>
                <c:pt idx="709">
                  <c:v>74.7</c:v>
                </c:pt>
                <c:pt idx="710">
                  <c:v>57</c:v>
                </c:pt>
                <c:pt idx="711">
                  <c:v>49.58</c:v>
                </c:pt>
                <c:pt idx="712">
                  <c:v>65</c:v>
                </c:pt>
                <c:pt idx="713">
                  <c:v>61.57</c:v>
                </c:pt>
                <c:pt idx="714">
                  <c:v>54.51</c:v>
                </c:pt>
                <c:pt idx="715">
                  <c:v>54.64</c:v>
                </c:pt>
                <c:pt idx="716">
                  <c:v>79.489999999999995</c:v>
                </c:pt>
                <c:pt idx="717">
                  <c:v>46.26</c:v>
                </c:pt>
                <c:pt idx="718">
                  <c:v>46.26</c:v>
                </c:pt>
                <c:pt idx="719">
                  <c:v>64.75</c:v>
                </c:pt>
                <c:pt idx="720">
                  <c:v>76.38</c:v>
                </c:pt>
                <c:pt idx="721">
                  <c:v>76.38</c:v>
                </c:pt>
                <c:pt idx="722">
                  <c:v>76.38</c:v>
                </c:pt>
                <c:pt idx="723">
                  <c:v>78.87</c:v>
                </c:pt>
                <c:pt idx="724">
                  <c:v>78.87</c:v>
                </c:pt>
                <c:pt idx="725">
                  <c:v>78.87</c:v>
                </c:pt>
                <c:pt idx="726">
                  <c:v>68.11</c:v>
                </c:pt>
                <c:pt idx="727">
                  <c:v>70.599999999999994</c:v>
                </c:pt>
                <c:pt idx="728">
                  <c:v>84.25</c:v>
                </c:pt>
                <c:pt idx="729">
                  <c:v>71.58</c:v>
                </c:pt>
                <c:pt idx="730">
                  <c:v>68.14</c:v>
                </c:pt>
                <c:pt idx="731">
                  <c:v>68.14</c:v>
                </c:pt>
                <c:pt idx="732">
                  <c:v>68.14</c:v>
                </c:pt>
                <c:pt idx="733">
                  <c:v>67.95</c:v>
                </c:pt>
                <c:pt idx="734">
                  <c:v>67.95</c:v>
                </c:pt>
                <c:pt idx="735">
                  <c:v>67.95</c:v>
                </c:pt>
                <c:pt idx="736">
                  <c:v>64.75</c:v>
                </c:pt>
                <c:pt idx="737">
                  <c:v>27.13</c:v>
                </c:pt>
                <c:pt idx="738">
                  <c:v>27.13</c:v>
                </c:pt>
                <c:pt idx="739">
                  <c:v>21.6</c:v>
                </c:pt>
                <c:pt idx="740">
                  <c:v>21.18</c:v>
                </c:pt>
                <c:pt idx="741">
                  <c:v>25.23</c:v>
                </c:pt>
                <c:pt idx="742">
                  <c:v>21.94</c:v>
                </c:pt>
                <c:pt idx="743">
                  <c:v>21.78</c:v>
                </c:pt>
                <c:pt idx="744">
                  <c:v>21.48</c:v>
                </c:pt>
                <c:pt idx="745">
                  <c:v>21.18</c:v>
                </c:pt>
                <c:pt idx="746">
                  <c:v>21.48</c:v>
                </c:pt>
                <c:pt idx="747">
                  <c:v>19.87</c:v>
                </c:pt>
                <c:pt idx="748">
                  <c:v>21.6</c:v>
                </c:pt>
                <c:pt idx="749">
                  <c:v>25.23</c:v>
                </c:pt>
                <c:pt idx="750">
                  <c:v>21.94</c:v>
                </c:pt>
                <c:pt idx="751">
                  <c:v>21.78</c:v>
                </c:pt>
                <c:pt idx="752">
                  <c:v>41.7</c:v>
                </c:pt>
                <c:pt idx="753">
                  <c:v>31.52</c:v>
                </c:pt>
                <c:pt idx="754">
                  <c:v>46.6</c:v>
                </c:pt>
                <c:pt idx="755">
                  <c:v>30.8</c:v>
                </c:pt>
                <c:pt idx="756">
                  <c:v>30.8</c:v>
                </c:pt>
                <c:pt idx="757">
                  <c:v>39.25</c:v>
                </c:pt>
                <c:pt idx="758">
                  <c:v>14.1</c:v>
                </c:pt>
                <c:pt idx="759">
                  <c:v>11.38</c:v>
                </c:pt>
                <c:pt idx="760">
                  <c:v>9.01</c:v>
                </c:pt>
                <c:pt idx="761">
                  <c:v>17</c:v>
                </c:pt>
                <c:pt idx="762">
                  <c:v>25.14</c:v>
                </c:pt>
                <c:pt idx="763">
                  <c:v>9.01</c:v>
                </c:pt>
                <c:pt idx="764">
                  <c:v>17</c:v>
                </c:pt>
                <c:pt idx="765">
                  <c:v>35.1</c:v>
                </c:pt>
                <c:pt idx="766">
                  <c:v>35.1</c:v>
                </c:pt>
                <c:pt idx="767">
                  <c:v>32.56</c:v>
                </c:pt>
                <c:pt idx="768">
                  <c:v>41.7</c:v>
                </c:pt>
                <c:pt idx="769">
                  <c:v>61.29</c:v>
                </c:pt>
                <c:pt idx="770">
                  <c:v>27.96</c:v>
                </c:pt>
                <c:pt idx="771">
                  <c:v>27.96</c:v>
                </c:pt>
                <c:pt idx="772">
                  <c:v>27.96</c:v>
                </c:pt>
                <c:pt idx="773">
                  <c:v>25.86</c:v>
                </c:pt>
                <c:pt idx="774">
                  <c:v>25.86</c:v>
                </c:pt>
                <c:pt idx="775">
                  <c:v>25.28</c:v>
                </c:pt>
                <c:pt idx="776">
                  <c:v>35.270000000000003</c:v>
                </c:pt>
                <c:pt idx="777">
                  <c:v>37</c:v>
                </c:pt>
                <c:pt idx="778">
                  <c:v>35.270000000000003</c:v>
                </c:pt>
                <c:pt idx="779">
                  <c:v>27.96</c:v>
                </c:pt>
                <c:pt idx="780">
                  <c:v>25.34</c:v>
                </c:pt>
                <c:pt idx="781">
                  <c:v>25.86</c:v>
                </c:pt>
                <c:pt idx="782">
                  <c:v>37</c:v>
                </c:pt>
                <c:pt idx="783">
                  <c:v>25.28</c:v>
                </c:pt>
                <c:pt idx="784">
                  <c:v>25.28</c:v>
                </c:pt>
                <c:pt idx="785">
                  <c:v>33.49</c:v>
                </c:pt>
                <c:pt idx="786">
                  <c:v>28.19</c:v>
                </c:pt>
                <c:pt idx="787">
                  <c:v>30.51</c:v>
                </c:pt>
                <c:pt idx="788">
                  <c:v>30.51</c:v>
                </c:pt>
                <c:pt idx="789">
                  <c:v>16.79</c:v>
                </c:pt>
                <c:pt idx="790">
                  <c:v>28.35</c:v>
                </c:pt>
                <c:pt idx="791">
                  <c:v>33.950000000000003</c:v>
                </c:pt>
                <c:pt idx="792">
                  <c:v>25.74</c:v>
                </c:pt>
                <c:pt idx="793">
                  <c:v>26.07</c:v>
                </c:pt>
                <c:pt idx="794">
                  <c:v>29.22</c:v>
                </c:pt>
                <c:pt idx="795">
                  <c:v>12</c:v>
                </c:pt>
                <c:pt idx="796">
                  <c:v>25.92</c:v>
                </c:pt>
                <c:pt idx="797">
                  <c:v>21.56</c:v>
                </c:pt>
                <c:pt idx="798">
                  <c:v>21.12</c:v>
                </c:pt>
                <c:pt idx="799">
                  <c:v>21.94</c:v>
                </c:pt>
                <c:pt idx="800">
                  <c:v>26.85</c:v>
                </c:pt>
                <c:pt idx="801">
                  <c:v>20.09</c:v>
                </c:pt>
                <c:pt idx="802">
                  <c:v>21.51</c:v>
                </c:pt>
                <c:pt idx="803">
                  <c:v>23.5</c:v>
                </c:pt>
                <c:pt idx="804">
                  <c:v>20.3</c:v>
                </c:pt>
                <c:pt idx="805">
                  <c:v>21.08</c:v>
                </c:pt>
                <c:pt idx="806">
                  <c:v>20.28</c:v>
                </c:pt>
                <c:pt idx="807">
                  <c:v>20.28</c:v>
                </c:pt>
                <c:pt idx="808">
                  <c:v>20</c:v>
                </c:pt>
                <c:pt idx="809">
                  <c:v>18.5</c:v>
                </c:pt>
                <c:pt idx="810">
                  <c:v>17</c:v>
                </c:pt>
                <c:pt idx="811">
                  <c:v>25.22</c:v>
                </c:pt>
                <c:pt idx="812">
                  <c:v>25.22</c:v>
                </c:pt>
                <c:pt idx="813">
                  <c:v>25.3</c:v>
                </c:pt>
                <c:pt idx="814">
                  <c:v>25.3</c:v>
                </c:pt>
                <c:pt idx="815">
                  <c:v>25.15</c:v>
                </c:pt>
                <c:pt idx="816">
                  <c:v>25.15</c:v>
                </c:pt>
                <c:pt idx="817">
                  <c:v>25.3</c:v>
                </c:pt>
                <c:pt idx="818">
                  <c:v>25.3</c:v>
                </c:pt>
                <c:pt idx="819">
                  <c:v>30</c:v>
                </c:pt>
                <c:pt idx="820">
                  <c:v>20</c:v>
                </c:pt>
                <c:pt idx="821">
                  <c:v>20</c:v>
                </c:pt>
                <c:pt idx="822">
                  <c:v>19.04</c:v>
                </c:pt>
                <c:pt idx="823">
                  <c:v>22.95</c:v>
                </c:pt>
                <c:pt idx="824">
                  <c:v>26.82</c:v>
                </c:pt>
                <c:pt idx="825">
                  <c:v>20.25</c:v>
                </c:pt>
                <c:pt idx="826">
                  <c:v>25.45</c:v>
                </c:pt>
                <c:pt idx="827">
                  <c:v>21.03</c:v>
                </c:pt>
                <c:pt idx="828">
                  <c:v>20.43</c:v>
                </c:pt>
                <c:pt idx="829">
                  <c:v>20.43</c:v>
                </c:pt>
                <c:pt idx="830">
                  <c:v>17.3</c:v>
                </c:pt>
                <c:pt idx="831">
                  <c:v>18</c:v>
                </c:pt>
                <c:pt idx="832">
                  <c:v>21.5</c:v>
                </c:pt>
                <c:pt idx="833">
                  <c:v>24.09</c:v>
                </c:pt>
                <c:pt idx="834">
                  <c:v>24.09</c:v>
                </c:pt>
                <c:pt idx="835">
                  <c:v>21.26</c:v>
                </c:pt>
                <c:pt idx="836">
                  <c:v>26.82</c:v>
                </c:pt>
                <c:pt idx="837">
                  <c:v>20.43</c:v>
                </c:pt>
                <c:pt idx="838">
                  <c:v>28</c:v>
                </c:pt>
                <c:pt idx="839">
                  <c:v>25.8</c:v>
                </c:pt>
                <c:pt idx="840">
                  <c:v>24.84</c:v>
                </c:pt>
                <c:pt idx="841">
                  <c:v>33.950000000000003</c:v>
                </c:pt>
                <c:pt idx="842">
                  <c:v>21.26</c:v>
                </c:pt>
                <c:pt idx="843">
                  <c:v>21.5</c:v>
                </c:pt>
                <c:pt idx="844">
                  <c:v>12</c:v>
                </c:pt>
                <c:pt idx="845">
                  <c:v>17.75</c:v>
                </c:pt>
                <c:pt idx="846">
                  <c:v>24.09</c:v>
                </c:pt>
                <c:pt idx="847">
                  <c:v>24.09</c:v>
                </c:pt>
                <c:pt idx="848">
                  <c:v>21.94</c:v>
                </c:pt>
                <c:pt idx="849">
                  <c:v>19.21</c:v>
                </c:pt>
                <c:pt idx="850">
                  <c:v>23.66</c:v>
                </c:pt>
                <c:pt idx="851">
                  <c:v>25.92</c:v>
                </c:pt>
                <c:pt idx="852">
                  <c:v>30.17</c:v>
                </c:pt>
                <c:pt idx="853">
                  <c:v>18.559999999999999</c:v>
                </c:pt>
                <c:pt idx="854">
                  <c:v>19.399999999999999</c:v>
                </c:pt>
                <c:pt idx="855">
                  <c:v>21.51</c:v>
                </c:pt>
                <c:pt idx="856">
                  <c:v>20.3</c:v>
                </c:pt>
                <c:pt idx="857">
                  <c:v>14.25</c:v>
                </c:pt>
                <c:pt idx="858">
                  <c:v>24.71</c:v>
                </c:pt>
                <c:pt idx="859">
                  <c:v>25.22</c:v>
                </c:pt>
                <c:pt idx="860">
                  <c:v>25.3</c:v>
                </c:pt>
                <c:pt idx="861">
                  <c:v>25.3</c:v>
                </c:pt>
                <c:pt idx="862">
                  <c:v>25.15</c:v>
                </c:pt>
                <c:pt idx="863">
                  <c:v>25.3</c:v>
                </c:pt>
                <c:pt idx="864">
                  <c:v>42.33</c:v>
                </c:pt>
                <c:pt idx="865">
                  <c:v>26.07</c:v>
                </c:pt>
                <c:pt idx="866">
                  <c:v>29.22</c:v>
                </c:pt>
                <c:pt idx="867">
                  <c:v>29.56</c:v>
                </c:pt>
                <c:pt idx="868">
                  <c:v>25.45</c:v>
                </c:pt>
                <c:pt idx="869">
                  <c:v>26.73</c:v>
                </c:pt>
                <c:pt idx="870">
                  <c:v>26.73</c:v>
                </c:pt>
                <c:pt idx="871">
                  <c:v>28.42</c:v>
                </c:pt>
                <c:pt idx="872">
                  <c:v>19.04</c:v>
                </c:pt>
                <c:pt idx="873">
                  <c:v>28.35</c:v>
                </c:pt>
                <c:pt idx="874">
                  <c:v>23.5</c:v>
                </c:pt>
                <c:pt idx="875">
                  <c:v>14.25</c:v>
                </c:pt>
                <c:pt idx="876">
                  <c:v>26.85</c:v>
                </c:pt>
                <c:pt idx="877">
                  <c:v>28.38</c:v>
                </c:pt>
                <c:pt idx="878">
                  <c:v>28.42</c:v>
                </c:pt>
                <c:pt idx="879">
                  <c:v>37.39</c:v>
                </c:pt>
                <c:pt idx="880">
                  <c:v>46.35</c:v>
                </c:pt>
                <c:pt idx="881">
                  <c:v>40.409999999999997</c:v>
                </c:pt>
                <c:pt idx="882">
                  <c:v>40.409999999999997</c:v>
                </c:pt>
                <c:pt idx="883">
                  <c:v>40.770000000000003</c:v>
                </c:pt>
                <c:pt idx="884">
                  <c:v>25</c:v>
                </c:pt>
                <c:pt idx="885">
                  <c:v>25</c:v>
                </c:pt>
                <c:pt idx="886">
                  <c:v>27.28</c:v>
                </c:pt>
                <c:pt idx="887">
                  <c:v>39.35</c:v>
                </c:pt>
                <c:pt idx="888">
                  <c:v>40.71</c:v>
                </c:pt>
                <c:pt idx="889">
                  <c:v>42.39</c:v>
                </c:pt>
                <c:pt idx="890">
                  <c:v>42.39</c:v>
                </c:pt>
                <c:pt idx="891">
                  <c:v>37.31</c:v>
                </c:pt>
                <c:pt idx="892">
                  <c:v>38.880000000000003</c:v>
                </c:pt>
                <c:pt idx="893">
                  <c:v>40.21</c:v>
                </c:pt>
                <c:pt idx="894">
                  <c:v>30.75</c:v>
                </c:pt>
                <c:pt idx="895">
                  <c:v>40.21</c:v>
                </c:pt>
                <c:pt idx="896">
                  <c:v>30.75</c:v>
                </c:pt>
                <c:pt idx="897">
                  <c:v>40.21</c:v>
                </c:pt>
                <c:pt idx="898">
                  <c:v>40.21</c:v>
                </c:pt>
                <c:pt idx="899">
                  <c:v>38.979999999999997</c:v>
                </c:pt>
                <c:pt idx="900">
                  <c:v>43.26</c:v>
                </c:pt>
                <c:pt idx="901">
                  <c:v>25.28</c:v>
                </c:pt>
                <c:pt idx="902">
                  <c:v>43.89</c:v>
                </c:pt>
                <c:pt idx="903">
                  <c:v>46.97</c:v>
                </c:pt>
                <c:pt idx="904">
                  <c:v>40.33</c:v>
                </c:pt>
                <c:pt idx="905">
                  <c:v>35.799999999999997</c:v>
                </c:pt>
                <c:pt idx="906">
                  <c:v>47.33</c:v>
                </c:pt>
                <c:pt idx="907">
                  <c:v>47.79</c:v>
                </c:pt>
                <c:pt idx="908">
                  <c:v>31.39</c:v>
                </c:pt>
                <c:pt idx="909">
                  <c:v>37.83</c:v>
                </c:pt>
                <c:pt idx="910">
                  <c:v>40.32</c:v>
                </c:pt>
                <c:pt idx="911">
                  <c:v>35.799999999999997</c:v>
                </c:pt>
                <c:pt idx="912">
                  <c:v>50.22</c:v>
                </c:pt>
                <c:pt idx="913">
                  <c:v>35.86</c:v>
                </c:pt>
                <c:pt idx="914">
                  <c:v>42.39</c:v>
                </c:pt>
                <c:pt idx="915">
                  <c:v>42.39</c:v>
                </c:pt>
                <c:pt idx="916">
                  <c:v>44.49</c:v>
                </c:pt>
                <c:pt idx="917">
                  <c:v>37.39</c:v>
                </c:pt>
                <c:pt idx="918">
                  <c:v>37.83</c:v>
                </c:pt>
                <c:pt idx="919">
                  <c:v>40.32</c:v>
                </c:pt>
                <c:pt idx="920">
                  <c:v>40.409999999999997</c:v>
                </c:pt>
                <c:pt idx="921">
                  <c:v>40.409999999999997</c:v>
                </c:pt>
                <c:pt idx="922">
                  <c:v>40.770000000000003</c:v>
                </c:pt>
                <c:pt idx="923">
                  <c:v>25</c:v>
                </c:pt>
                <c:pt idx="924">
                  <c:v>37.31</c:v>
                </c:pt>
                <c:pt idx="925">
                  <c:v>40.159999999999997</c:v>
                </c:pt>
                <c:pt idx="926">
                  <c:v>40.33</c:v>
                </c:pt>
                <c:pt idx="927">
                  <c:v>43.26</c:v>
                </c:pt>
                <c:pt idx="928">
                  <c:v>40.81</c:v>
                </c:pt>
                <c:pt idx="929">
                  <c:v>39.35</c:v>
                </c:pt>
                <c:pt idx="930">
                  <c:v>46.35</c:v>
                </c:pt>
                <c:pt idx="931">
                  <c:v>40.71</c:v>
                </c:pt>
                <c:pt idx="932">
                  <c:v>34.82</c:v>
                </c:pt>
                <c:pt idx="933">
                  <c:v>44.49</c:v>
                </c:pt>
                <c:pt idx="934">
                  <c:v>10.07</c:v>
                </c:pt>
                <c:pt idx="935">
                  <c:v>10.08</c:v>
                </c:pt>
                <c:pt idx="936">
                  <c:v>12.36</c:v>
                </c:pt>
                <c:pt idx="937">
                  <c:v>10.1</c:v>
                </c:pt>
                <c:pt idx="938">
                  <c:v>11.34</c:v>
                </c:pt>
                <c:pt idx="939">
                  <c:v>25.57</c:v>
                </c:pt>
                <c:pt idx="940">
                  <c:v>25.57</c:v>
                </c:pt>
                <c:pt idx="941">
                  <c:v>25.57</c:v>
                </c:pt>
                <c:pt idx="942">
                  <c:v>17.899999999999999</c:v>
                </c:pt>
                <c:pt idx="943">
                  <c:v>17.73</c:v>
                </c:pt>
                <c:pt idx="944">
                  <c:v>20</c:v>
                </c:pt>
                <c:pt idx="945">
                  <c:v>24.6</c:v>
                </c:pt>
                <c:pt idx="946">
                  <c:v>19.11</c:v>
                </c:pt>
                <c:pt idx="947">
                  <c:v>23.07</c:v>
                </c:pt>
                <c:pt idx="948">
                  <c:v>26.27</c:v>
                </c:pt>
                <c:pt idx="949">
                  <c:v>29.06</c:v>
                </c:pt>
                <c:pt idx="950">
                  <c:v>10</c:v>
                </c:pt>
                <c:pt idx="951">
                  <c:v>29.56</c:v>
                </c:pt>
                <c:pt idx="952">
                  <c:v>12.7</c:v>
                </c:pt>
                <c:pt idx="953">
                  <c:v>12.62</c:v>
                </c:pt>
                <c:pt idx="954">
                  <c:v>12.7</c:v>
                </c:pt>
                <c:pt idx="955">
                  <c:v>12.7</c:v>
                </c:pt>
                <c:pt idx="956">
                  <c:v>14.25</c:v>
                </c:pt>
                <c:pt idx="957">
                  <c:v>10</c:v>
                </c:pt>
                <c:pt idx="958">
                  <c:v>12</c:v>
                </c:pt>
                <c:pt idx="959">
                  <c:v>12.51</c:v>
                </c:pt>
                <c:pt idx="960">
                  <c:v>14.25</c:v>
                </c:pt>
                <c:pt idx="961">
                  <c:v>14.25</c:v>
                </c:pt>
                <c:pt idx="962">
                  <c:v>17.420000000000002</c:v>
                </c:pt>
                <c:pt idx="963">
                  <c:v>10.86</c:v>
                </c:pt>
                <c:pt idx="964">
                  <c:v>18.23</c:v>
                </c:pt>
                <c:pt idx="965">
                  <c:v>25.55</c:v>
                </c:pt>
                <c:pt idx="966">
                  <c:v>32.6</c:v>
                </c:pt>
                <c:pt idx="967">
                  <c:v>18.36</c:v>
                </c:pt>
                <c:pt idx="968">
                  <c:v>25.35</c:v>
                </c:pt>
                <c:pt idx="969">
                  <c:v>13</c:v>
                </c:pt>
                <c:pt idx="970">
                  <c:v>25.68</c:v>
                </c:pt>
                <c:pt idx="971">
                  <c:v>25</c:v>
                </c:pt>
                <c:pt idx="972">
                  <c:v>15</c:v>
                </c:pt>
                <c:pt idx="973">
                  <c:v>28.19</c:v>
                </c:pt>
                <c:pt idx="974">
                  <c:v>13.59</c:v>
                </c:pt>
                <c:pt idx="975">
                  <c:v>10.07</c:v>
                </c:pt>
                <c:pt idx="976">
                  <c:v>10.1</c:v>
                </c:pt>
                <c:pt idx="977">
                  <c:v>10.86</c:v>
                </c:pt>
                <c:pt idx="978">
                  <c:v>12.36</c:v>
                </c:pt>
                <c:pt idx="979">
                  <c:v>10.07</c:v>
                </c:pt>
                <c:pt idx="980">
                  <c:v>10.08</c:v>
                </c:pt>
                <c:pt idx="981">
                  <c:v>12.36</c:v>
                </c:pt>
                <c:pt idx="982">
                  <c:v>10.210000000000001</c:v>
                </c:pt>
                <c:pt idx="983">
                  <c:v>22.61</c:v>
                </c:pt>
                <c:pt idx="984">
                  <c:v>16.2</c:v>
                </c:pt>
                <c:pt idx="985">
                  <c:v>17</c:v>
                </c:pt>
                <c:pt idx="986">
                  <c:v>18.23</c:v>
                </c:pt>
                <c:pt idx="987">
                  <c:v>19.399999999999999</c:v>
                </c:pt>
                <c:pt idx="988">
                  <c:v>19</c:v>
                </c:pt>
                <c:pt idx="989">
                  <c:v>38.15</c:v>
                </c:pt>
                <c:pt idx="990">
                  <c:v>25.57</c:v>
                </c:pt>
                <c:pt idx="991">
                  <c:v>25.51</c:v>
                </c:pt>
                <c:pt idx="992">
                  <c:v>25.57</c:v>
                </c:pt>
                <c:pt idx="993">
                  <c:v>20</c:v>
                </c:pt>
                <c:pt idx="994">
                  <c:v>19</c:v>
                </c:pt>
                <c:pt idx="995">
                  <c:v>19</c:v>
                </c:pt>
                <c:pt idx="996">
                  <c:v>20.37</c:v>
                </c:pt>
                <c:pt idx="997">
                  <c:v>25.35</c:v>
                </c:pt>
                <c:pt idx="998">
                  <c:v>12.7</c:v>
                </c:pt>
                <c:pt idx="999">
                  <c:v>12.7</c:v>
                </c:pt>
                <c:pt idx="1000">
                  <c:v>12.7</c:v>
                </c:pt>
                <c:pt idx="1001">
                  <c:v>25</c:v>
                </c:pt>
                <c:pt idx="1002">
                  <c:v>25.92</c:v>
                </c:pt>
                <c:pt idx="1003">
                  <c:v>17.899999999999999</c:v>
                </c:pt>
                <c:pt idx="1004">
                  <c:v>17.420000000000002</c:v>
                </c:pt>
                <c:pt idx="1005">
                  <c:v>28.19</c:v>
                </c:pt>
                <c:pt idx="1006">
                  <c:v>25</c:v>
                </c:pt>
                <c:pt idx="1007">
                  <c:v>25</c:v>
                </c:pt>
                <c:pt idx="1008">
                  <c:v>39.49</c:v>
                </c:pt>
                <c:pt idx="1009">
                  <c:v>40</c:v>
                </c:pt>
                <c:pt idx="1010">
                  <c:v>35.549999999999997</c:v>
                </c:pt>
                <c:pt idx="1011">
                  <c:v>35.53</c:v>
                </c:pt>
                <c:pt idx="1012">
                  <c:v>35.549999999999997</c:v>
                </c:pt>
                <c:pt idx="1013">
                  <c:v>35.549999999999997</c:v>
                </c:pt>
                <c:pt idx="1014">
                  <c:v>40.01</c:v>
                </c:pt>
                <c:pt idx="1015">
                  <c:v>32.92</c:v>
                </c:pt>
                <c:pt idx="1016">
                  <c:v>25.1</c:v>
                </c:pt>
                <c:pt idx="1017">
                  <c:v>34.369999999999997</c:v>
                </c:pt>
                <c:pt idx="1018">
                  <c:v>28.19</c:v>
                </c:pt>
                <c:pt idx="1019">
                  <c:v>31.81</c:v>
                </c:pt>
                <c:pt idx="1020">
                  <c:v>40</c:v>
                </c:pt>
                <c:pt idx="1021">
                  <c:v>25.1</c:v>
                </c:pt>
                <c:pt idx="1022">
                  <c:v>34.369999999999997</c:v>
                </c:pt>
                <c:pt idx="1023">
                  <c:v>40</c:v>
                </c:pt>
                <c:pt idx="1024">
                  <c:v>40.04</c:v>
                </c:pt>
                <c:pt idx="1025">
                  <c:v>40</c:v>
                </c:pt>
                <c:pt idx="1026">
                  <c:v>40</c:v>
                </c:pt>
                <c:pt idx="1027">
                  <c:v>40.04</c:v>
                </c:pt>
                <c:pt idx="1028">
                  <c:v>64.72</c:v>
                </c:pt>
                <c:pt idx="1029">
                  <c:v>50.8</c:v>
                </c:pt>
                <c:pt idx="1030">
                  <c:v>75.430000000000007</c:v>
                </c:pt>
                <c:pt idx="1031">
                  <c:v>61.31</c:v>
                </c:pt>
                <c:pt idx="1032">
                  <c:v>50.43</c:v>
                </c:pt>
                <c:pt idx="1033">
                  <c:v>60.25</c:v>
                </c:pt>
                <c:pt idx="1034">
                  <c:v>61.31</c:v>
                </c:pt>
                <c:pt idx="1035">
                  <c:v>52.73</c:v>
                </c:pt>
                <c:pt idx="1036">
                  <c:v>40</c:v>
                </c:pt>
                <c:pt idx="1037">
                  <c:v>40.04</c:v>
                </c:pt>
                <c:pt idx="1038">
                  <c:v>40</c:v>
                </c:pt>
                <c:pt idx="1039">
                  <c:v>27.28</c:v>
                </c:pt>
                <c:pt idx="1040">
                  <c:v>40.04</c:v>
                </c:pt>
                <c:pt idx="1041">
                  <c:v>40.04</c:v>
                </c:pt>
                <c:pt idx="1042">
                  <c:v>40.01</c:v>
                </c:pt>
                <c:pt idx="1043">
                  <c:v>64.72</c:v>
                </c:pt>
                <c:pt idx="1044">
                  <c:v>60.25</c:v>
                </c:pt>
                <c:pt idx="1045">
                  <c:v>40.01</c:v>
                </c:pt>
                <c:pt idx="1046">
                  <c:v>83.29</c:v>
                </c:pt>
                <c:pt idx="1047">
                  <c:v>64.37</c:v>
                </c:pt>
                <c:pt idx="1048">
                  <c:v>64.37</c:v>
                </c:pt>
                <c:pt idx="1049">
                  <c:v>64.37</c:v>
                </c:pt>
                <c:pt idx="1050">
                  <c:v>64.37</c:v>
                </c:pt>
                <c:pt idx="1051">
                  <c:v>69.73</c:v>
                </c:pt>
                <c:pt idx="1052">
                  <c:v>69.73</c:v>
                </c:pt>
                <c:pt idx="1053">
                  <c:v>66.34</c:v>
                </c:pt>
                <c:pt idx="1054">
                  <c:v>64.37</c:v>
                </c:pt>
                <c:pt idx="1055">
                  <c:v>64.37</c:v>
                </c:pt>
                <c:pt idx="1056">
                  <c:v>102.46</c:v>
                </c:pt>
                <c:pt idx="1057">
                  <c:v>102.46</c:v>
                </c:pt>
                <c:pt idx="1058">
                  <c:v>102.46</c:v>
                </c:pt>
                <c:pt idx="1059">
                  <c:v>102.46</c:v>
                </c:pt>
                <c:pt idx="1060">
                  <c:v>102.46</c:v>
                </c:pt>
                <c:pt idx="1061">
                  <c:v>41.18</c:v>
                </c:pt>
                <c:pt idx="1062">
                  <c:v>41.18</c:v>
                </c:pt>
                <c:pt idx="1063">
                  <c:v>19.170000000000002</c:v>
                </c:pt>
                <c:pt idx="1064">
                  <c:v>27.67</c:v>
                </c:pt>
                <c:pt idx="1065">
                  <c:v>28.27</c:v>
                </c:pt>
                <c:pt idx="1066">
                  <c:v>26.1</c:v>
                </c:pt>
                <c:pt idx="1067">
                  <c:v>28.17</c:v>
                </c:pt>
                <c:pt idx="1068">
                  <c:v>26.97</c:v>
                </c:pt>
                <c:pt idx="1069">
                  <c:v>28.27</c:v>
                </c:pt>
                <c:pt idx="1070">
                  <c:v>30.21</c:v>
                </c:pt>
                <c:pt idx="1071">
                  <c:v>27.67</c:v>
                </c:pt>
                <c:pt idx="1072">
                  <c:v>28.27</c:v>
                </c:pt>
                <c:pt idx="1073">
                  <c:v>26.1</c:v>
                </c:pt>
                <c:pt idx="1074">
                  <c:v>28.17</c:v>
                </c:pt>
                <c:pt idx="1075">
                  <c:v>26.97</c:v>
                </c:pt>
                <c:pt idx="1076">
                  <c:v>28.27</c:v>
                </c:pt>
                <c:pt idx="1077">
                  <c:v>21.3</c:v>
                </c:pt>
                <c:pt idx="1078">
                  <c:v>25.41</c:v>
                </c:pt>
                <c:pt idx="1079">
                  <c:v>29.95</c:v>
                </c:pt>
                <c:pt idx="1080">
                  <c:v>14.79</c:v>
                </c:pt>
                <c:pt idx="1081">
                  <c:v>25.41</c:v>
                </c:pt>
                <c:pt idx="1082">
                  <c:v>25.41</c:v>
                </c:pt>
                <c:pt idx="1083">
                  <c:v>20.7</c:v>
                </c:pt>
                <c:pt idx="1084">
                  <c:v>30.38</c:v>
                </c:pt>
                <c:pt idx="1085">
                  <c:v>36.03</c:v>
                </c:pt>
                <c:pt idx="1086">
                  <c:v>41.9</c:v>
                </c:pt>
                <c:pt idx="1087">
                  <c:v>41.9</c:v>
                </c:pt>
                <c:pt idx="1088">
                  <c:v>42.14</c:v>
                </c:pt>
                <c:pt idx="1089">
                  <c:v>42.14</c:v>
                </c:pt>
                <c:pt idx="1090">
                  <c:v>42.35</c:v>
                </c:pt>
                <c:pt idx="1091">
                  <c:v>32.19</c:v>
                </c:pt>
                <c:pt idx="1092">
                  <c:v>36.03</c:v>
                </c:pt>
                <c:pt idx="1093">
                  <c:v>41.9</c:v>
                </c:pt>
                <c:pt idx="1094">
                  <c:v>34.22</c:v>
                </c:pt>
                <c:pt idx="1095">
                  <c:v>34.22</c:v>
                </c:pt>
                <c:pt idx="1096">
                  <c:v>36.03</c:v>
                </c:pt>
                <c:pt idx="1097">
                  <c:v>42.14</c:v>
                </c:pt>
                <c:pt idx="1098">
                  <c:v>36.03</c:v>
                </c:pt>
                <c:pt idx="1099">
                  <c:v>42.14</c:v>
                </c:pt>
                <c:pt idx="1100">
                  <c:v>42.35</c:v>
                </c:pt>
                <c:pt idx="1101">
                  <c:v>34.22</c:v>
                </c:pt>
                <c:pt idx="1102">
                  <c:v>36.03</c:v>
                </c:pt>
                <c:pt idx="1103">
                  <c:v>41.9</c:v>
                </c:pt>
                <c:pt idx="1104">
                  <c:v>42.14</c:v>
                </c:pt>
                <c:pt idx="1105">
                  <c:v>42.35</c:v>
                </c:pt>
                <c:pt idx="1106">
                  <c:v>32.19</c:v>
                </c:pt>
                <c:pt idx="1107">
                  <c:v>41.9</c:v>
                </c:pt>
                <c:pt idx="1108">
                  <c:v>34.22</c:v>
                </c:pt>
                <c:pt idx="1109">
                  <c:v>42.14</c:v>
                </c:pt>
                <c:pt idx="1110">
                  <c:v>36.03</c:v>
                </c:pt>
                <c:pt idx="1111">
                  <c:v>42.14</c:v>
                </c:pt>
                <c:pt idx="1112">
                  <c:v>30.38</c:v>
                </c:pt>
                <c:pt idx="1113">
                  <c:v>34.22</c:v>
                </c:pt>
                <c:pt idx="1114">
                  <c:v>18.3</c:v>
                </c:pt>
                <c:pt idx="1115">
                  <c:v>22.96</c:v>
                </c:pt>
                <c:pt idx="1116">
                  <c:v>29.67</c:v>
                </c:pt>
                <c:pt idx="1117">
                  <c:v>19.600000000000001</c:v>
                </c:pt>
                <c:pt idx="1118">
                  <c:v>44.54</c:v>
                </c:pt>
                <c:pt idx="1119">
                  <c:v>45.03</c:v>
                </c:pt>
                <c:pt idx="1120">
                  <c:v>45.03</c:v>
                </c:pt>
                <c:pt idx="1121">
                  <c:v>50.47</c:v>
                </c:pt>
                <c:pt idx="1122">
                  <c:v>60.76</c:v>
                </c:pt>
                <c:pt idx="1123">
                  <c:v>45.03</c:v>
                </c:pt>
                <c:pt idx="1124">
                  <c:v>50.47</c:v>
                </c:pt>
                <c:pt idx="1125">
                  <c:v>47.53</c:v>
                </c:pt>
                <c:pt idx="1126">
                  <c:v>47.53</c:v>
                </c:pt>
                <c:pt idx="1127">
                  <c:v>44.54</c:v>
                </c:pt>
                <c:pt idx="1128">
                  <c:v>45.03</c:v>
                </c:pt>
                <c:pt idx="1129">
                  <c:v>50.47</c:v>
                </c:pt>
                <c:pt idx="1130">
                  <c:v>59.62</c:v>
                </c:pt>
                <c:pt idx="1131">
                  <c:v>59.62</c:v>
                </c:pt>
                <c:pt idx="1132">
                  <c:v>93.15</c:v>
                </c:pt>
                <c:pt idx="1133">
                  <c:v>39.1</c:v>
                </c:pt>
                <c:pt idx="1134">
                  <c:v>19.899999999999999</c:v>
                </c:pt>
                <c:pt idx="1135">
                  <c:v>21.8</c:v>
                </c:pt>
                <c:pt idx="1136">
                  <c:v>22.77</c:v>
                </c:pt>
                <c:pt idx="1137">
                  <c:v>23.39</c:v>
                </c:pt>
                <c:pt idx="1138">
                  <c:v>23.8</c:v>
                </c:pt>
                <c:pt idx="1139">
                  <c:v>25.87</c:v>
                </c:pt>
                <c:pt idx="1140">
                  <c:v>25.94</c:v>
                </c:pt>
                <c:pt idx="1141">
                  <c:v>35.56</c:v>
                </c:pt>
                <c:pt idx="1142">
                  <c:v>25.94</c:v>
                </c:pt>
                <c:pt idx="1143">
                  <c:v>27.2</c:v>
                </c:pt>
                <c:pt idx="1144">
                  <c:v>35.78</c:v>
                </c:pt>
                <c:pt idx="1145">
                  <c:v>35.78</c:v>
                </c:pt>
                <c:pt idx="1146">
                  <c:v>35.78</c:v>
                </c:pt>
                <c:pt idx="1147">
                  <c:v>35.78</c:v>
                </c:pt>
                <c:pt idx="1148">
                  <c:v>27.4</c:v>
                </c:pt>
                <c:pt idx="1149">
                  <c:v>36.53</c:v>
                </c:pt>
                <c:pt idx="1150">
                  <c:v>33.83</c:v>
                </c:pt>
                <c:pt idx="1151">
                  <c:v>38.97</c:v>
                </c:pt>
                <c:pt idx="1152">
                  <c:v>25.67</c:v>
                </c:pt>
                <c:pt idx="1153">
                  <c:v>28.54</c:v>
                </c:pt>
                <c:pt idx="1154">
                  <c:v>29</c:v>
                </c:pt>
                <c:pt idx="1155">
                  <c:v>29.16</c:v>
                </c:pt>
                <c:pt idx="1156">
                  <c:v>25.36</c:v>
                </c:pt>
                <c:pt idx="1157">
                  <c:v>25.36</c:v>
                </c:pt>
                <c:pt idx="1158">
                  <c:v>25.37</c:v>
                </c:pt>
                <c:pt idx="1159">
                  <c:v>25.36</c:v>
                </c:pt>
                <c:pt idx="1160">
                  <c:v>25.36</c:v>
                </c:pt>
                <c:pt idx="1161">
                  <c:v>25.36</c:v>
                </c:pt>
                <c:pt idx="1162">
                  <c:v>25.36</c:v>
                </c:pt>
                <c:pt idx="1163">
                  <c:v>27.4</c:v>
                </c:pt>
                <c:pt idx="1164">
                  <c:v>24.22</c:v>
                </c:pt>
                <c:pt idx="1165">
                  <c:v>25.48</c:v>
                </c:pt>
                <c:pt idx="1166">
                  <c:v>26.01</c:v>
                </c:pt>
                <c:pt idx="1167">
                  <c:v>24.3</c:v>
                </c:pt>
                <c:pt idx="1168">
                  <c:v>22</c:v>
                </c:pt>
                <c:pt idx="1169">
                  <c:v>22</c:v>
                </c:pt>
                <c:pt idx="1170">
                  <c:v>31</c:v>
                </c:pt>
                <c:pt idx="1171">
                  <c:v>22</c:v>
                </c:pt>
                <c:pt idx="1172">
                  <c:v>22</c:v>
                </c:pt>
                <c:pt idx="1173">
                  <c:v>31.46</c:v>
                </c:pt>
                <c:pt idx="1174">
                  <c:v>27.4</c:v>
                </c:pt>
                <c:pt idx="1175">
                  <c:v>33.83</c:v>
                </c:pt>
                <c:pt idx="1176">
                  <c:v>35.020000000000003</c:v>
                </c:pt>
                <c:pt idx="1177">
                  <c:v>27.2</c:v>
                </c:pt>
                <c:pt idx="1178">
                  <c:v>25.67</c:v>
                </c:pt>
                <c:pt idx="1179">
                  <c:v>26.01</c:v>
                </c:pt>
                <c:pt idx="1180">
                  <c:v>25.48</c:v>
                </c:pt>
                <c:pt idx="1181">
                  <c:v>36.53</c:v>
                </c:pt>
                <c:pt idx="1182">
                  <c:v>24.22</c:v>
                </c:pt>
                <c:pt idx="1183">
                  <c:v>30.36</c:v>
                </c:pt>
                <c:pt idx="1184">
                  <c:v>31.34</c:v>
                </c:pt>
                <c:pt idx="1185">
                  <c:v>28.54</c:v>
                </c:pt>
                <c:pt idx="1186">
                  <c:v>29</c:v>
                </c:pt>
                <c:pt idx="1187">
                  <c:v>33.25</c:v>
                </c:pt>
                <c:pt idx="1188">
                  <c:v>35.78</c:v>
                </c:pt>
                <c:pt idx="1189">
                  <c:v>35.78</c:v>
                </c:pt>
                <c:pt idx="1190">
                  <c:v>35.78</c:v>
                </c:pt>
                <c:pt idx="1191">
                  <c:v>35.78</c:v>
                </c:pt>
                <c:pt idx="1192">
                  <c:v>27.4</c:v>
                </c:pt>
                <c:pt idx="1193">
                  <c:v>27.4</c:v>
                </c:pt>
                <c:pt idx="1194">
                  <c:v>25.36</c:v>
                </c:pt>
                <c:pt idx="1195">
                  <c:v>25.36</c:v>
                </c:pt>
                <c:pt idx="1196">
                  <c:v>25.36</c:v>
                </c:pt>
                <c:pt idx="1197">
                  <c:v>25.36</c:v>
                </c:pt>
                <c:pt idx="1198">
                  <c:v>25.36</c:v>
                </c:pt>
                <c:pt idx="1199">
                  <c:v>25.36</c:v>
                </c:pt>
                <c:pt idx="1200">
                  <c:v>30.36</c:v>
                </c:pt>
                <c:pt idx="1201">
                  <c:v>35.020000000000003</c:v>
                </c:pt>
                <c:pt idx="1202">
                  <c:v>18</c:v>
                </c:pt>
                <c:pt idx="1203">
                  <c:v>20</c:v>
                </c:pt>
                <c:pt idx="1204">
                  <c:v>18.21</c:v>
                </c:pt>
                <c:pt idx="1205">
                  <c:v>25</c:v>
                </c:pt>
                <c:pt idx="1206">
                  <c:v>21</c:v>
                </c:pt>
                <c:pt idx="1207">
                  <c:v>21.25</c:v>
                </c:pt>
                <c:pt idx="1208">
                  <c:v>22.47</c:v>
                </c:pt>
                <c:pt idx="1209">
                  <c:v>25.81</c:v>
                </c:pt>
                <c:pt idx="1210">
                  <c:v>25.91</c:v>
                </c:pt>
                <c:pt idx="1211">
                  <c:v>25.91</c:v>
                </c:pt>
                <c:pt idx="1212">
                  <c:v>17.39</c:v>
                </c:pt>
                <c:pt idx="1213">
                  <c:v>19.87</c:v>
                </c:pt>
                <c:pt idx="1214">
                  <c:v>21.78</c:v>
                </c:pt>
                <c:pt idx="1215">
                  <c:v>24.33</c:v>
                </c:pt>
                <c:pt idx="1216">
                  <c:v>25.6</c:v>
                </c:pt>
                <c:pt idx="1217">
                  <c:v>15.56</c:v>
                </c:pt>
                <c:pt idx="1218">
                  <c:v>16.22</c:v>
                </c:pt>
                <c:pt idx="1219">
                  <c:v>16.22</c:v>
                </c:pt>
                <c:pt idx="1220">
                  <c:v>16.64</c:v>
                </c:pt>
                <c:pt idx="1221">
                  <c:v>16.64</c:v>
                </c:pt>
                <c:pt idx="1222">
                  <c:v>16.64</c:v>
                </c:pt>
                <c:pt idx="1223">
                  <c:v>16.739999999999998</c:v>
                </c:pt>
                <c:pt idx="1224">
                  <c:v>21.26</c:v>
                </c:pt>
                <c:pt idx="1225">
                  <c:v>25.26</c:v>
                </c:pt>
                <c:pt idx="1226">
                  <c:v>27.4</c:v>
                </c:pt>
                <c:pt idx="1227">
                  <c:v>28.67</c:v>
                </c:pt>
                <c:pt idx="1228">
                  <c:v>28.67</c:v>
                </c:pt>
                <c:pt idx="1229">
                  <c:v>25.26</c:v>
                </c:pt>
                <c:pt idx="1230">
                  <c:v>27.4</c:v>
                </c:pt>
                <c:pt idx="1231">
                  <c:v>28.67</c:v>
                </c:pt>
                <c:pt idx="1232">
                  <c:v>25.26</c:v>
                </c:pt>
                <c:pt idx="1233">
                  <c:v>27.4</c:v>
                </c:pt>
                <c:pt idx="1234">
                  <c:v>28.67</c:v>
                </c:pt>
                <c:pt idx="1235">
                  <c:v>25.55</c:v>
                </c:pt>
                <c:pt idx="1236">
                  <c:v>27.4</c:v>
                </c:pt>
                <c:pt idx="1237">
                  <c:v>25.6</c:v>
                </c:pt>
                <c:pt idx="1238">
                  <c:v>16.5</c:v>
                </c:pt>
                <c:pt idx="1239">
                  <c:v>14.6</c:v>
                </c:pt>
                <c:pt idx="1240">
                  <c:v>27.26</c:v>
                </c:pt>
                <c:pt idx="1241">
                  <c:v>22.87</c:v>
                </c:pt>
                <c:pt idx="1242">
                  <c:v>25.3</c:v>
                </c:pt>
                <c:pt idx="1243">
                  <c:v>30.9</c:v>
                </c:pt>
                <c:pt idx="1244">
                  <c:v>27.89</c:v>
                </c:pt>
                <c:pt idx="1245">
                  <c:v>20.95</c:v>
                </c:pt>
                <c:pt idx="1246">
                  <c:v>24.9</c:v>
                </c:pt>
                <c:pt idx="1247">
                  <c:v>24.13</c:v>
                </c:pt>
                <c:pt idx="1248">
                  <c:v>13.38</c:v>
                </c:pt>
                <c:pt idx="1249">
                  <c:v>17.399999999999999</c:v>
                </c:pt>
                <c:pt idx="1250">
                  <c:v>22.05</c:v>
                </c:pt>
                <c:pt idx="1251">
                  <c:v>18.600000000000001</c:v>
                </c:pt>
                <c:pt idx="1252">
                  <c:v>28.62</c:v>
                </c:pt>
                <c:pt idx="1253">
                  <c:v>17</c:v>
                </c:pt>
                <c:pt idx="1254">
                  <c:v>23.18</c:v>
                </c:pt>
                <c:pt idx="1255">
                  <c:v>25.51</c:v>
                </c:pt>
                <c:pt idx="1256">
                  <c:v>29.41</c:v>
                </c:pt>
                <c:pt idx="1257">
                  <c:v>16.239999999999998</c:v>
                </c:pt>
                <c:pt idx="1258">
                  <c:v>24.5</c:v>
                </c:pt>
                <c:pt idx="1259">
                  <c:v>29.5</c:v>
                </c:pt>
                <c:pt idx="1260">
                  <c:v>33.5</c:v>
                </c:pt>
                <c:pt idx="1261">
                  <c:v>21.72</c:v>
                </c:pt>
                <c:pt idx="1262">
                  <c:v>25.19</c:v>
                </c:pt>
                <c:pt idx="1263">
                  <c:v>31.07</c:v>
                </c:pt>
                <c:pt idx="1264">
                  <c:v>19.3</c:v>
                </c:pt>
                <c:pt idx="1265">
                  <c:v>25.38</c:v>
                </c:pt>
                <c:pt idx="1266">
                  <c:v>25.2</c:v>
                </c:pt>
                <c:pt idx="1267">
                  <c:v>20</c:v>
                </c:pt>
                <c:pt idx="1268">
                  <c:v>18</c:v>
                </c:pt>
                <c:pt idx="1269">
                  <c:v>18</c:v>
                </c:pt>
                <c:pt idx="1270">
                  <c:v>22</c:v>
                </c:pt>
                <c:pt idx="1271">
                  <c:v>25.52</c:v>
                </c:pt>
                <c:pt idx="1272">
                  <c:v>25.52</c:v>
                </c:pt>
                <c:pt idx="1273">
                  <c:v>20.440000000000001</c:v>
                </c:pt>
                <c:pt idx="1274">
                  <c:v>17.55</c:v>
                </c:pt>
                <c:pt idx="1275">
                  <c:v>22.35</c:v>
                </c:pt>
                <c:pt idx="1276">
                  <c:v>22.97</c:v>
                </c:pt>
                <c:pt idx="1277">
                  <c:v>23.68</c:v>
                </c:pt>
                <c:pt idx="1278">
                  <c:v>17.489999999999998</c:v>
                </c:pt>
                <c:pt idx="1279">
                  <c:v>25.71</c:v>
                </c:pt>
                <c:pt idx="1280">
                  <c:v>25.71</c:v>
                </c:pt>
                <c:pt idx="1281">
                  <c:v>25.7</c:v>
                </c:pt>
                <c:pt idx="1282">
                  <c:v>25.71</c:v>
                </c:pt>
                <c:pt idx="1283">
                  <c:v>20.12</c:v>
                </c:pt>
                <c:pt idx="1284">
                  <c:v>20.12</c:v>
                </c:pt>
                <c:pt idx="1285">
                  <c:v>24.44</c:v>
                </c:pt>
                <c:pt idx="1286">
                  <c:v>31.49</c:v>
                </c:pt>
                <c:pt idx="1287">
                  <c:v>21</c:v>
                </c:pt>
                <c:pt idx="1288">
                  <c:v>19</c:v>
                </c:pt>
                <c:pt idx="1289">
                  <c:v>16.239999999999998</c:v>
                </c:pt>
                <c:pt idx="1290">
                  <c:v>21.46</c:v>
                </c:pt>
                <c:pt idx="1291">
                  <c:v>24.09</c:v>
                </c:pt>
                <c:pt idx="1292">
                  <c:v>17.940000000000001</c:v>
                </c:pt>
                <c:pt idx="1293">
                  <c:v>17.7</c:v>
                </c:pt>
                <c:pt idx="1294">
                  <c:v>20</c:v>
                </c:pt>
                <c:pt idx="1295">
                  <c:v>22</c:v>
                </c:pt>
                <c:pt idx="1296">
                  <c:v>25.11</c:v>
                </c:pt>
                <c:pt idx="1297">
                  <c:v>19</c:v>
                </c:pt>
                <c:pt idx="1298">
                  <c:v>20.05</c:v>
                </c:pt>
                <c:pt idx="1299">
                  <c:v>21.07</c:v>
                </c:pt>
                <c:pt idx="1300">
                  <c:v>25.36</c:v>
                </c:pt>
                <c:pt idx="1301">
                  <c:v>25.36</c:v>
                </c:pt>
                <c:pt idx="1302">
                  <c:v>25.57</c:v>
                </c:pt>
                <c:pt idx="1303">
                  <c:v>25.36</c:v>
                </c:pt>
                <c:pt idx="1304">
                  <c:v>25.36</c:v>
                </c:pt>
                <c:pt idx="1305">
                  <c:v>25.36</c:v>
                </c:pt>
                <c:pt idx="1306">
                  <c:v>16</c:v>
                </c:pt>
                <c:pt idx="1307">
                  <c:v>16.739999999999998</c:v>
                </c:pt>
                <c:pt idx="1308">
                  <c:v>20.5</c:v>
                </c:pt>
                <c:pt idx="1309">
                  <c:v>20.25</c:v>
                </c:pt>
                <c:pt idx="1310">
                  <c:v>20.25</c:v>
                </c:pt>
                <c:pt idx="1311">
                  <c:v>45.6</c:v>
                </c:pt>
                <c:pt idx="1312">
                  <c:v>45.6</c:v>
                </c:pt>
                <c:pt idx="1313">
                  <c:v>24</c:v>
                </c:pt>
                <c:pt idx="1314">
                  <c:v>23</c:v>
                </c:pt>
                <c:pt idx="1315">
                  <c:v>16.559999999999999</c:v>
                </c:pt>
                <c:pt idx="1316">
                  <c:v>18.239999999999998</c:v>
                </c:pt>
                <c:pt idx="1317">
                  <c:v>24.75</c:v>
                </c:pt>
                <c:pt idx="1318">
                  <c:v>18</c:v>
                </c:pt>
                <c:pt idx="1319">
                  <c:v>18</c:v>
                </c:pt>
                <c:pt idx="1320">
                  <c:v>20</c:v>
                </c:pt>
                <c:pt idx="1321">
                  <c:v>18.2</c:v>
                </c:pt>
                <c:pt idx="1322">
                  <c:v>18</c:v>
                </c:pt>
                <c:pt idx="1323">
                  <c:v>18</c:v>
                </c:pt>
                <c:pt idx="1324">
                  <c:v>25.8</c:v>
                </c:pt>
                <c:pt idx="1325">
                  <c:v>22.2</c:v>
                </c:pt>
                <c:pt idx="1326">
                  <c:v>28.62</c:v>
                </c:pt>
                <c:pt idx="1327">
                  <c:v>22.97</c:v>
                </c:pt>
                <c:pt idx="1328">
                  <c:v>17</c:v>
                </c:pt>
                <c:pt idx="1329">
                  <c:v>21</c:v>
                </c:pt>
                <c:pt idx="1330">
                  <c:v>19</c:v>
                </c:pt>
                <c:pt idx="1331">
                  <c:v>19</c:v>
                </c:pt>
                <c:pt idx="1332">
                  <c:v>17.399999999999999</c:v>
                </c:pt>
                <c:pt idx="1333">
                  <c:v>18</c:v>
                </c:pt>
                <c:pt idx="1334">
                  <c:v>21.72</c:v>
                </c:pt>
                <c:pt idx="1335">
                  <c:v>23.18</c:v>
                </c:pt>
                <c:pt idx="1336">
                  <c:v>18.420000000000002</c:v>
                </c:pt>
                <c:pt idx="1337">
                  <c:v>31.49</c:v>
                </c:pt>
                <c:pt idx="1338">
                  <c:v>20.12</c:v>
                </c:pt>
                <c:pt idx="1339">
                  <c:v>20.12</c:v>
                </c:pt>
                <c:pt idx="1340">
                  <c:v>23.34</c:v>
                </c:pt>
                <c:pt idx="1341">
                  <c:v>26.69</c:v>
                </c:pt>
                <c:pt idx="1342">
                  <c:v>25.54</c:v>
                </c:pt>
                <c:pt idx="1343">
                  <c:v>25.71</c:v>
                </c:pt>
                <c:pt idx="1344">
                  <c:v>25.71</c:v>
                </c:pt>
                <c:pt idx="1345">
                  <c:v>17.399999999999999</c:v>
                </c:pt>
                <c:pt idx="1346">
                  <c:v>25.6</c:v>
                </c:pt>
                <c:pt idx="1347">
                  <c:v>25.3</c:v>
                </c:pt>
                <c:pt idx="1348">
                  <c:v>29.06</c:v>
                </c:pt>
                <c:pt idx="1349">
                  <c:v>29.39</c:v>
                </c:pt>
                <c:pt idx="1350">
                  <c:v>25.91</c:v>
                </c:pt>
                <c:pt idx="1351">
                  <c:v>25.91</c:v>
                </c:pt>
                <c:pt idx="1352">
                  <c:v>20.25</c:v>
                </c:pt>
                <c:pt idx="1353">
                  <c:v>29.41</c:v>
                </c:pt>
                <c:pt idx="1354">
                  <c:v>22.05</c:v>
                </c:pt>
                <c:pt idx="1355">
                  <c:v>20.329999999999998</c:v>
                </c:pt>
                <c:pt idx="1356">
                  <c:v>23.24</c:v>
                </c:pt>
                <c:pt idx="1357">
                  <c:v>27.89</c:v>
                </c:pt>
                <c:pt idx="1358">
                  <c:v>20.95</c:v>
                </c:pt>
                <c:pt idx="1359">
                  <c:v>19.95</c:v>
                </c:pt>
                <c:pt idx="1360">
                  <c:v>21</c:v>
                </c:pt>
                <c:pt idx="1361">
                  <c:v>27.26</c:v>
                </c:pt>
                <c:pt idx="1362">
                  <c:v>22.87</c:v>
                </c:pt>
                <c:pt idx="1363">
                  <c:v>21.07</c:v>
                </c:pt>
                <c:pt idx="1364">
                  <c:v>24.09</c:v>
                </c:pt>
                <c:pt idx="1365">
                  <c:v>25.81</c:v>
                </c:pt>
                <c:pt idx="1366">
                  <c:v>22.4</c:v>
                </c:pt>
                <c:pt idx="1367">
                  <c:v>18</c:v>
                </c:pt>
                <c:pt idx="1368">
                  <c:v>19.8</c:v>
                </c:pt>
                <c:pt idx="1369">
                  <c:v>26.69</c:v>
                </c:pt>
                <c:pt idx="1370">
                  <c:v>25.1</c:v>
                </c:pt>
                <c:pt idx="1371">
                  <c:v>25.1</c:v>
                </c:pt>
                <c:pt idx="1372">
                  <c:v>25.1</c:v>
                </c:pt>
                <c:pt idx="1373">
                  <c:v>19.87</c:v>
                </c:pt>
                <c:pt idx="1374">
                  <c:v>18.239999999999998</c:v>
                </c:pt>
                <c:pt idx="1375">
                  <c:v>23.13</c:v>
                </c:pt>
                <c:pt idx="1376">
                  <c:v>19.28</c:v>
                </c:pt>
                <c:pt idx="1377">
                  <c:v>17.98</c:v>
                </c:pt>
                <c:pt idx="1378">
                  <c:v>17.36</c:v>
                </c:pt>
                <c:pt idx="1379">
                  <c:v>16.559999999999999</c:v>
                </c:pt>
                <c:pt idx="1380">
                  <c:v>16.239999999999998</c:v>
                </c:pt>
                <c:pt idx="1381">
                  <c:v>16.489999999999998</c:v>
                </c:pt>
                <c:pt idx="1382">
                  <c:v>18.64</c:v>
                </c:pt>
                <c:pt idx="1383">
                  <c:v>20.440000000000001</c:v>
                </c:pt>
                <c:pt idx="1384">
                  <c:v>25.05</c:v>
                </c:pt>
                <c:pt idx="1385">
                  <c:v>21.2</c:v>
                </c:pt>
                <c:pt idx="1386">
                  <c:v>16.739999999999998</c:v>
                </c:pt>
                <c:pt idx="1387">
                  <c:v>25.52</c:v>
                </c:pt>
                <c:pt idx="1388">
                  <c:v>25.26</c:v>
                </c:pt>
                <c:pt idx="1389">
                  <c:v>25.26</c:v>
                </c:pt>
                <c:pt idx="1390">
                  <c:v>27.4</c:v>
                </c:pt>
                <c:pt idx="1391">
                  <c:v>28.67</c:v>
                </c:pt>
                <c:pt idx="1392">
                  <c:v>28.67</c:v>
                </c:pt>
                <c:pt idx="1393">
                  <c:v>25.26</c:v>
                </c:pt>
                <c:pt idx="1394">
                  <c:v>27.4</c:v>
                </c:pt>
                <c:pt idx="1395">
                  <c:v>28.67</c:v>
                </c:pt>
                <c:pt idx="1396">
                  <c:v>25.26</c:v>
                </c:pt>
                <c:pt idx="1397">
                  <c:v>27.4</c:v>
                </c:pt>
                <c:pt idx="1398">
                  <c:v>28.67</c:v>
                </c:pt>
                <c:pt idx="1399">
                  <c:v>25.55</c:v>
                </c:pt>
                <c:pt idx="1400">
                  <c:v>27.4</c:v>
                </c:pt>
                <c:pt idx="1401">
                  <c:v>24.02</c:v>
                </c:pt>
                <c:pt idx="1402">
                  <c:v>25.36</c:v>
                </c:pt>
                <c:pt idx="1403">
                  <c:v>25.36</c:v>
                </c:pt>
                <c:pt idx="1404">
                  <c:v>25.57</c:v>
                </c:pt>
                <c:pt idx="1405">
                  <c:v>25.36</c:v>
                </c:pt>
                <c:pt idx="1406">
                  <c:v>25.36</c:v>
                </c:pt>
                <c:pt idx="1407">
                  <c:v>25.36</c:v>
                </c:pt>
                <c:pt idx="1408">
                  <c:v>18</c:v>
                </c:pt>
                <c:pt idx="1409">
                  <c:v>19</c:v>
                </c:pt>
                <c:pt idx="1410">
                  <c:v>25.1</c:v>
                </c:pt>
                <c:pt idx="1411">
                  <c:v>25.1</c:v>
                </c:pt>
                <c:pt idx="1412">
                  <c:v>25.1</c:v>
                </c:pt>
                <c:pt idx="1413">
                  <c:v>21</c:v>
                </c:pt>
                <c:pt idx="1414">
                  <c:v>29.39</c:v>
                </c:pt>
                <c:pt idx="1415">
                  <c:v>16.239999999999998</c:v>
                </c:pt>
                <c:pt idx="1416">
                  <c:v>16.850000000000001</c:v>
                </c:pt>
                <c:pt idx="1417">
                  <c:v>16.489999999999998</c:v>
                </c:pt>
                <c:pt idx="1418">
                  <c:v>17.34</c:v>
                </c:pt>
                <c:pt idx="1419">
                  <c:v>21.55</c:v>
                </c:pt>
                <c:pt idx="1420">
                  <c:v>23.9</c:v>
                </c:pt>
                <c:pt idx="1421">
                  <c:v>24.27</c:v>
                </c:pt>
                <c:pt idx="1422">
                  <c:v>40.380000000000003</c:v>
                </c:pt>
                <c:pt idx="1423">
                  <c:v>37.130000000000003</c:v>
                </c:pt>
                <c:pt idx="1424">
                  <c:v>37.130000000000003</c:v>
                </c:pt>
                <c:pt idx="1425">
                  <c:v>46</c:v>
                </c:pt>
                <c:pt idx="1426">
                  <c:v>42.08</c:v>
                </c:pt>
                <c:pt idx="1427">
                  <c:v>36.590000000000003</c:v>
                </c:pt>
                <c:pt idx="1428">
                  <c:v>36.590000000000003</c:v>
                </c:pt>
                <c:pt idx="1429">
                  <c:v>36.21</c:v>
                </c:pt>
                <c:pt idx="1430">
                  <c:v>46.39</c:v>
                </c:pt>
                <c:pt idx="1431">
                  <c:v>41.37</c:v>
                </c:pt>
                <c:pt idx="1432">
                  <c:v>36.83</c:v>
                </c:pt>
                <c:pt idx="1433">
                  <c:v>46.95</c:v>
                </c:pt>
                <c:pt idx="1434">
                  <c:v>31.68</c:v>
                </c:pt>
                <c:pt idx="1435">
                  <c:v>67.3</c:v>
                </c:pt>
                <c:pt idx="1436">
                  <c:v>41.1</c:v>
                </c:pt>
                <c:pt idx="1437">
                  <c:v>54.31</c:v>
                </c:pt>
                <c:pt idx="1438">
                  <c:v>40.15</c:v>
                </c:pt>
                <c:pt idx="1439">
                  <c:v>46</c:v>
                </c:pt>
                <c:pt idx="1440">
                  <c:v>48</c:v>
                </c:pt>
                <c:pt idx="1441">
                  <c:v>34.619999999999997</c:v>
                </c:pt>
                <c:pt idx="1442">
                  <c:v>30.53</c:v>
                </c:pt>
                <c:pt idx="1443">
                  <c:v>30.53</c:v>
                </c:pt>
                <c:pt idx="1444">
                  <c:v>32.74</c:v>
                </c:pt>
                <c:pt idx="1445">
                  <c:v>32.74</c:v>
                </c:pt>
                <c:pt idx="1446">
                  <c:v>41.18</c:v>
                </c:pt>
                <c:pt idx="1447">
                  <c:v>41.18</c:v>
                </c:pt>
                <c:pt idx="1448">
                  <c:v>42.5</c:v>
                </c:pt>
                <c:pt idx="1449">
                  <c:v>50.7</c:v>
                </c:pt>
                <c:pt idx="1450">
                  <c:v>40</c:v>
                </c:pt>
                <c:pt idx="1451">
                  <c:v>40.74</c:v>
                </c:pt>
                <c:pt idx="1452">
                  <c:v>40.74</c:v>
                </c:pt>
                <c:pt idx="1453">
                  <c:v>41.59</c:v>
                </c:pt>
                <c:pt idx="1454">
                  <c:v>41.88</c:v>
                </c:pt>
                <c:pt idx="1455">
                  <c:v>42.16</c:v>
                </c:pt>
                <c:pt idx="1456">
                  <c:v>30.7</c:v>
                </c:pt>
                <c:pt idx="1457">
                  <c:v>32</c:v>
                </c:pt>
                <c:pt idx="1458">
                  <c:v>30.6</c:v>
                </c:pt>
                <c:pt idx="1459">
                  <c:v>34.4</c:v>
                </c:pt>
                <c:pt idx="1460">
                  <c:v>41.37</c:v>
                </c:pt>
                <c:pt idx="1461">
                  <c:v>38.97</c:v>
                </c:pt>
                <c:pt idx="1462">
                  <c:v>46</c:v>
                </c:pt>
                <c:pt idx="1463">
                  <c:v>36.5</c:v>
                </c:pt>
                <c:pt idx="1464">
                  <c:v>46.02</c:v>
                </c:pt>
                <c:pt idx="1465">
                  <c:v>36.590000000000003</c:v>
                </c:pt>
                <c:pt idx="1466">
                  <c:v>36.590000000000003</c:v>
                </c:pt>
                <c:pt idx="1467">
                  <c:v>40.74</c:v>
                </c:pt>
                <c:pt idx="1468">
                  <c:v>31.1</c:v>
                </c:pt>
                <c:pt idx="1469">
                  <c:v>40.25</c:v>
                </c:pt>
                <c:pt idx="1470">
                  <c:v>42.08</c:v>
                </c:pt>
                <c:pt idx="1471">
                  <c:v>40.5</c:v>
                </c:pt>
                <c:pt idx="1472">
                  <c:v>43.49</c:v>
                </c:pt>
                <c:pt idx="1473">
                  <c:v>40</c:v>
                </c:pt>
                <c:pt idx="1474">
                  <c:v>40</c:v>
                </c:pt>
                <c:pt idx="1475">
                  <c:v>45.13</c:v>
                </c:pt>
                <c:pt idx="1476">
                  <c:v>46.13</c:v>
                </c:pt>
                <c:pt idx="1477">
                  <c:v>31.68</c:v>
                </c:pt>
                <c:pt idx="1478">
                  <c:v>30.6</c:v>
                </c:pt>
                <c:pt idx="1479">
                  <c:v>34.4</c:v>
                </c:pt>
                <c:pt idx="1480">
                  <c:v>45.82</c:v>
                </c:pt>
                <c:pt idx="1481">
                  <c:v>30.01</c:v>
                </c:pt>
                <c:pt idx="1482">
                  <c:v>42.5</c:v>
                </c:pt>
                <c:pt idx="1483">
                  <c:v>38.799999999999997</c:v>
                </c:pt>
                <c:pt idx="1484">
                  <c:v>25.52</c:v>
                </c:pt>
                <c:pt idx="1485">
                  <c:v>27.4</c:v>
                </c:pt>
                <c:pt idx="1486">
                  <c:v>36.21</c:v>
                </c:pt>
                <c:pt idx="1487">
                  <c:v>30.53</c:v>
                </c:pt>
                <c:pt idx="1488">
                  <c:v>30.53</c:v>
                </c:pt>
                <c:pt idx="1489">
                  <c:v>32.74</c:v>
                </c:pt>
                <c:pt idx="1490">
                  <c:v>41.88</c:v>
                </c:pt>
                <c:pt idx="1491">
                  <c:v>54.31</c:v>
                </c:pt>
                <c:pt idx="1492">
                  <c:v>31</c:v>
                </c:pt>
                <c:pt idx="1493">
                  <c:v>36.5</c:v>
                </c:pt>
                <c:pt idx="1494">
                  <c:v>53.4</c:v>
                </c:pt>
                <c:pt idx="1495">
                  <c:v>46.02</c:v>
                </c:pt>
                <c:pt idx="1496">
                  <c:v>41.71</c:v>
                </c:pt>
                <c:pt idx="1497">
                  <c:v>21.63</c:v>
                </c:pt>
                <c:pt idx="1498">
                  <c:v>25.59</c:v>
                </c:pt>
                <c:pt idx="1499">
                  <c:v>28.61</c:v>
                </c:pt>
                <c:pt idx="1500">
                  <c:v>17.03</c:v>
                </c:pt>
                <c:pt idx="1501">
                  <c:v>16.02</c:v>
                </c:pt>
                <c:pt idx="1502">
                  <c:v>18.3</c:v>
                </c:pt>
                <c:pt idx="1503">
                  <c:v>32</c:v>
                </c:pt>
                <c:pt idx="1504">
                  <c:v>14.85</c:v>
                </c:pt>
                <c:pt idx="1505">
                  <c:v>14.85</c:v>
                </c:pt>
                <c:pt idx="1506">
                  <c:v>26</c:v>
                </c:pt>
                <c:pt idx="1507">
                  <c:v>16.5</c:v>
                </c:pt>
                <c:pt idx="1508">
                  <c:v>36.18</c:v>
                </c:pt>
                <c:pt idx="1509">
                  <c:v>19.87</c:v>
                </c:pt>
                <c:pt idx="1510">
                  <c:v>17</c:v>
                </c:pt>
                <c:pt idx="1511">
                  <c:v>15</c:v>
                </c:pt>
                <c:pt idx="1512">
                  <c:v>10.72</c:v>
                </c:pt>
                <c:pt idx="1513">
                  <c:v>9.56</c:v>
                </c:pt>
                <c:pt idx="1514">
                  <c:v>10.3</c:v>
                </c:pt>
                <c:pt idx="1515">
                  <c:v>11.09</c:v>
                </c:pt>
                <c:pt idx="1516">
                  <c:v>17</c:v>
                </c:pt>
                <c:pt idx="1517">
                  <c:v>10.46</c:v>
                </c:pt>
                <c:pt idx="1518">
                  <c:v>16.93</c:v>
                </c:pt>
                <c:pt idx="1519">
                  <c:v>29.3</c:v>
                </c:pt>
                <c:pt idx="1520">
                  <c:v>12</c:v>
                </c:pt>
                <c:pt idx="1521">
                  <c:v>15</c:v>
                </c:pt>
                <c:pt idx="1522">
                  <c:v>19</c:v>
                </c:pt>
                <c:pt idx="1523">
                  <c:v>14</c:v>
                </c:pt>
                <c:pt idx="1524">
                  <c:v>14</c:v>
                </c:pt>
                <c:pt idx="1525">
                  <c:v>21.84</c:v>
                </c:pt>
                <c:pt idx="1526">
                  <c:v>35.130000000000003</c:v>
                </c:pt>
                <c:pt idx="1527">
                  <c:v>17.36</c:v>
                </c:pt>
                <c:pt idx="1528">
                  <c:v>17.36</c:v>
                </c:pt>
                <c:pt idx="1529">
                  <c:v>22</c:v>
                </c:pt>
                <c:pt idx="1530">
                  <c:v>15.94</c:v>
                </c:pt>
                <c:pt idx="1531">
                  <c:v>11.88</c:v>
                </c:pt>
                <c:pt idx="1532">
                  <c:v>14.48</c:v>
                </c:pt>
                <c:pt idx="1533">
                  <c:v>19.2</c:v>
                </c:pt>
                <c:pt idx="1534">
                  <c:v>22.36</c:v>
                </c:pt>
                <c:pt idx="1535">
                  <c:v>17.5</c:v>
                </c:pt>
                <c:pt idx="1536">
                  <c:v>17</c:v>
                </c:pt>
                <c:pt idx="1537">
                  <c:v>20</c:v>
                </c:pt>
                <c:pt idx="1538">
                  <c:v>7</c:v>
                </c:pt>
                <c:pt idx="1539">
                  <c:v>16.37</c:v>
                </c:pt>
                <c:pt idx="1540">
                  <c:v>12</c:v>
                </c:pt>
                <c:pt idx="1541">
                  <c:v>28.44</c:v>
                </c:pt>
                <c:pt idx="1542">
                  <c:v>16.8</c:v>
                </c:pt>
                <c:pt idx="1543">
                  <c:v>16.78</c:v>
                </c:pt>
                <c:pt idx="1544">
                  <c:v>13</c:v>
                </c:pt>
                <c:pt idx="1545">
                  <c:v>16.84</c:v>
                </c:pt>
                <c:pt idx="1546">
                  <c:v>9.83</c:v>
                </c:pt>
                <c:pt idx="1547">
                  <c:v>25.05</c:v>
                </c:pt>
                <c:pt idx="1548">
                  <c:v>25.65</c:v>
                </c:pt>
                <c:pt idx="1549">
                  <c:v>25.5</c:v>
                </c:pt>
                <c:pt idx="1550">
                  <c:v>25.65</c:v>
                </c:pt>
                <c:pt idx="1551">
                  <c:v>25.68</c:v>
                </c:pt>
                <c:pt idx="1552">
                  <c:v>25.5</c:v>
                </c:pt>
                <c:pt idx="1553">
                  <c:v>25.65</c:v>
                </c:pt>
                <c:pt idx="1554">
                  <c:v>17</c:v>
                </c:pt>
                <c:pt idx="1555">
                  <c:v>11</c:v>
                </c:pt>
                <c:pt idx="1556">
                  <c:v>11.81</c:v>
                </c:pt>
                <c:pt idx="1557">
                  <c:v>27.33</c:v>
                </c:pt>
                <c:pt idx="1558">
                  <c:v>17</c:v>
                </c:pt>
                <c:pt idx="1559">
                  <c:v>25.2</c:v>
                </c:pt>
                <c:pt idx="1560">
                  <c:v>18</c:v>
                </c:pt>
                <c:pt idx="1561">
                  <c:v>13</c:v>
                </c:pt>
                <c:pt idx="1562">
                  <c:v>9.31</c:v>
                </c:pt>
                <c:pt idx="1563">
                  <c:v>19.559999999999999</c:v>
                </c:pt>
                <c:pt idx="1564">
                  <c:v>15</c:v>
                </c:pt>
                <c:pt idx="1565">
                  <c:v>17</c:v>
                </c:pt>
                <c:pt idx="1566">
                  <c:v>15</c:v>
                </c:pt>
                <c:pt idx="1567">
                  <c:v>17</c:v>
                </c:pt>
                <c:pt idx="1568">
                  <c:v>18.670000000000002</c:v>
                </c:pt>
                <c:pt idx="1569">
                  <c:v>11</c:v>
                </c:pt>
                <c:pt idx="1570">
                  <c:v>9.31</c:v>
                </c:pt>
                <c:pt idx="1571">
                  <c:v>16.309999999999999</c:v>
                </c:pt>
                <c:pt idx="1572">
                  <c:v>9.83</c:v>
                </c:pt>
                <c:pt idx="1573">
                  <c:v>9.56</c:v>
                </c:pt>
                <c:pt idx="1574">
                  <c:v>20</c:v>
                </c:pt>
                <c:pt idx="1575">
                  <c:v>14.19</c:v>
                </c:pt>
                <c:pt idx="1576">
                  <c:v>14</c:v>
                </c:pt>
                <c:pt idx="1577">
                  <c:v>13.69</c:v>
                </c:pt>
                <c:pt idx="1578">
                  <c:v>14</c:v>
                </c:pt>
                <c:pt idx="1579">
                  <c:v>16.2</c:v>
                </c:pt>
                <c:pt idx="1580">
                  <c:v>9.31</c:v>
                </c:pt>
                <c:pt idx="1581">
                  <c:v>15</c:v>
                </c:pt>
                <c:pt idx="1582">
                  <c:v>17</c:v>
                </c:pt>
                <c:pt idx="1583">
                  <c:v>9.7200000000000006</c:v>
                </c:pt>
                <c:pt idx="1584">
                  <c:v>10.35</c:v>
                </c:pt>
                <c:pt idx="1585">
                  <c:v>18.899999999999999</c:v>
                </c:pt>
                <c:pt idx="1586">
                  <c:v>21.84</c:v>
                </c:pt>
                <c:pt idx="1587">
                  <c:v>23.14</c:v>
                </c:pt>
                <c:pt idx="1588">
                  <c:v>19.559999999999999</c:v>
                </c:pt>
                <c:pt idx="1589">
                  <c:v>14.85</c:v>
                </c:pt>
                <c:pt idx="1590">
                  <c:v>17.079999999999998</c:v>
                </c:pt>
                <c:pt idx="1591">
                  <c:v>15.94</c:v>
                </c:pt>
                <c:pt idx="1592">
                  <c:v>16.84</c:v>
                </c:pt>
                <c:pt idx="1593">
                  <c:v>17.399999999999999</c:v>
                </c:pt>
                <c:pt idx="1594">
                  <c:v>25.65</c:v>
                </c:pt>
                <c:pt idx="1595">
                  <c:v>19.8</c:v>
                </c:pt>
                <c:pt idx="1596">
                  <c:v>15.86</c:v>
                </c:pt>
                <c:pt idx="1597">
                  <c:v>25.65</c:v>
                </c:pt>
                <c:pt idx="1598">
                  <c:v>17.309999999999999</c:v>
                </c:pt>
                <c:pt idx="1599">
                  <c:v>17</c:v>
                </c:pt>
                <c:pt idx="1600">
                  <c:v>15</c:v>
                </c:pt>
                <c:pt idx="1601">
                  <c:v>15</c:v>
                </c:pt>
                <c:pt idx="1602">
                  <c:v>15.42</c:v>
                </c:pt>
                <c:pt idx="1603">
                  <c:v>18.3</c:v>
                </c:pt>
                <c:pt idx="1604">
                  <c:v>23.5</c:v>
                </c:pt>
                <c:pt idx="1605">
                  <c:v>23</c:v>
                </c:pt>
                <c:pt idx="1606">
                  <c:v>23.8</c:v>
                </c:pt>
                <c:pt idx="1607">
                  <c:v>16.8</c:v>
                </c:pt>
                <c:pt idx="1608">
                  <c:v>25.59</c:v>
                </c:pt>
                <c:pt idx="1609">
                  <c:v>25.46</c:v>
                </c:pt>
                <c:pt idx="1610">
                  <c:v>25.12</c:v>
                </c:pt>
                <c:pt idx="1611">
                  <c:v>17.03</c:v>
                </c:pt>
                <c:pt idx="1612">
                  <c:v>24.9</c:v>
                </c:pt>
                <c:pt idx="1613">
                  <c:v>9.7200000000000006</c:v>
                </c:pt>
                <c:pt idx="1614">
                  <c:v>12.3</c:v>
                </c:pt>
                <c:pt idx="1615">
                  <c:v>12.96</c:v>
                </c:pt>
                <c:pt idx="1616">
                  <c:v>19.61</c:v>
                </c:pt>
                <c:pt idx="1617">
                  <c:v>25.27</c:v>
                </c:pt>
                <c:pt idx="1618">
                  <c:v>25.27</c:v>
                </c:pt>
                <c:pt idx="1619">
                  <c:v>28.11</c:v>
                </c:pt>
                <c:pt idx="1620">
                  <c:v>15.42</c:v>
                </c:pt>
                <c:pt idx="1621">
                  <c:v>16.489999999999998</c:v>
                </c:pt>
                <c:pt idx="1622">
                  <c:v>14.2</c:v>
                </c:pt>
                <c:pt idx="1623">
                  <c:v>9.09</c:v>
                </c:pt>
                <c:pt idx="1624">
                  <c:v>17</c:v>
                </c:pt>
                <c:pt idx="1625">
                  <c:v>16.239999999999998</c:v>
                </c:pt>
                <c:pt idx="1626">
                  <c:v>25.05</c:v>
                </c:pt>
                <c:pt idx="1627">
                  <c:v>28.44</c:v>
                </c:pt>
                <c:pt idx="1628">
                  <c:v>25.27</c:v>
                </c:pt>
                <c:pt idx="1629">
                  <c:v>25.27</c:v>
                </c:pt>
                <c:pt idx="1630">
                  <c:v>28.11</c:v>
                </c:pt>
                <c:pt idx="1631">
                  <c:v>17.079999999999998</c:v>
                </c:pt>
                <c:pt idx="1632">
                  <c:v>25.19</c:v>
                </c:pt>
                <c:pt idx="1633">
                  <c:v>25.12</c:v>
                </c:pt>
                <c:pt idx="1634">
                  <c:v>25.12</c:v>
                </c:pt>
                <c:pt idx="1635">
                  <c:v>25.12</c:v>
                </c:pt>
                <c:pt idx="1636">
                  <c:v>12</c:v>
                </c:pt>
                <c:pt idx="1637">
                  <c:v>25.8</c:v>
                </c:pt>
                <c:pt idx="1638">
                  <c:v>44.73</c:v>
                </c:pt>
                <c:pt idx="1639">
                  <c:v>43.5</c:v>
                </c:pt>
                <c:pt idx="1640">
                  <c:v>50.8</c:v>
                </c:pt>
                <c:pt idx="1641">
                  <c:v>43.28</c:v>
                </c:pt>
                <c:pt idx="1642">
                  <c:v>43.5</c:v>
                </c:pt>
                <c:pt idx="1643">
                  <c:v>43.5</c:v>
                </c:pt>
                <c:pt idx="1644">
                  <c:v>58.75</c:v>
                </c:pt>
                <c:pt idx="1645">
                  <c:v>44.73</c:v>
                </c:pt>
                <c:pt idx="1646">
                  <c:v>43.5</c:v>
                </c:pt>
                <c:pt idx="1647">
                  <c:v>50.8</c:v>
                </c:pt>
                <c:pt idx="1648">
                  <c:v>43.28</c:v>
                </c:pt>
                <c:pt idx="1649">
                  <c:v>43.5</c:v>
                </c:pt>
                <c:pt idx="1650">
                  <c:v>43.5</c:v>
                </c:pt>
                <c:pt idx="1651">
                  <c:v>46.22</c:v>
                </c:pt>
                <c:pt idx="1652">
                  <c:v>42.75</c:v>
                </c:pt>
                <c:pt idx="1653">
                  <c:v>44.73</c:v>
                </c:pt>
                <c:pt idx="1654">
                  <c:v>42.75</c:v>
                </c:pt>
                <c:pt idx="1655">
                  <c:v>37.51</c:v>
                </c:pt>
                <c:pt idx="1656">
                  <c:v>47.73</c:v>
                </c:pt>
                <c:pt idx="1657">
                  <c:v>45.05</c:v>
                </c:pt>
                <c:pt idx="1658">
                  <c:v>45.05</c:v>
                </c:pt>
                <c:pt idx="1659">
                  <c:v>34.479999999999997</c:v>
                </c:pt>
                <c:pt idx="1660">
                  <c:v>41.07</c:v>
                </c:pt>
                <c:pt idx="1661">
                  <c:v>41.58</c:v>
                </c:pt>
                <c:pt idx="1662">
                  <c:v>35</c:v>
                </c:pt>
                <c:pt idx="1663">
                  <c:v>35</c:v>
                </c:pt>
                <c:pt idx="1664">
                  <c:v>47.33</c:v>
                </c:pt>
                <c:pt idx="1665">
                  <c:v>43.5</c:v>
                </c:pt>
                <c:pt idx="1666">
                  <c:v>40</c:v>
                </c:pt>
                <c:pt idx="1667">
                  <c:v>43.5</c:v>
                </c:pt>
                <c:pt idx="1668">
                  <c:v>47.2</c:v>
                </c:pt>
                <c:pt idx="1669">
                  <c:v>50</c:v>
                </c:pt>
                <c:pt idx="1670">
                  <c:v>40</c:v>
                </c:pt>
                <c:pt idx="1671">
                  <c:v>38.28</c:v>
                </c:pt>
                <c:pt idx="1672">
                  <c:v>45.05</c:v>
                </c:pt>
                <c:pt idx="1673">
                  <c:v>46.22</c:v>
                </c:pt>
                <c:pt idx="1674">
                  <c:v>46.22</c:v>
                </c:pt>
                <c:pt idx="1675">
                  <c:v>46.22</c:v>
                </c:pt>
                <c:pt idx="1676">
                  <c:v>45.9</c:v>
                </c:pt>
                <c:pt idx="1677">
                  <c:v>40</c:v>
                </c:pt>
                <c:pt idx="1678">
                  <c:v>50.45</c:v>
                </c:pt>
                <c:pt idx="1679">
                  <c:v>41.58</c:v>
                </c:pt>
                <c:pt idx="1680">
                  <c:v>44.73</c:v>
                </c:pt>
                <c:pt idx="1681">
                  <c:v>42.75</c:v>
                </c:pt>
                <c:pt idx="1682">
                  <c:v>44.73</c:v>
                </c:pt>
                <c:pt idx="1683">
                  <c:v>40.799999999999997</c:v>
                </c:pt>
                <c:pt idx="1684">
                  <c:v>38.28</c:v>
                </c:pt>
                <c:pt idx="1685">
                  <c:v>38.28</c:v>
                </c:pt>
                <c:pt idx="1686">
                  <c:v>36.5</c:v>
                </c:pt>
                <c:pt idx="1687">
                  <c:v>37</c:v>
                </c:pt>
                <c:pt idx="1688">
                  <c:v>29.81</c:v>
                </c:pt>
                <c:pt idx="1689">
                  <c:v>29.04</c:v>
                </c:pt>
                <c:pt idx="1690">
                  <c:v>38.28</c:v>
                </c:pt>
                <c:pt idx="1691">
                  <c:v>38.28</c:v>
                </c:pt>
                <c:pt idx="1692">
                  <c:v>38</c:v>
                </c:pt>
                <c:pt idx="1693">
                  <c:v>29.16</c:v>
                </c:pt>
                <c:pt idx="1694">
                  <c:v>45.56</c:v>
                </c:pt>
                <c:pt idx="1695">
                  <c:v>42.97</c:v>
                </c:pt>
                <c:pt idx="1696">
                  <c:v>47.73</c:v>
                </c:pt>
                <c:pt idx="1697">
                  <c:v>44.73</c:v>
                </c:pt>
                <c:pt idx="1698">
                  <c:v>47.73</c:v>
                </c:pt>
                <c:pt idx="1699">
                  <c:v>47.73</c:v>
                </c:pt>
                <c:pt idx="1700">
                  <c:v>56.3</c:v>
                </c:pt>
                <c:pt idx="1701">
                  <c:v>62.7</c:v>
                </c:pt>
                <c:pt idx="1702">
                  <c:v>62.7</c:v>
                </c:pt>
                <c:pt idx="1703">
                  <c:v>41.02</c:v>
                </c:pt>
                <c:pt idx="1704">
                  <c:v>41.02</c:v>
                </c:pt>
                <c:pt idx="1705">
                  <c:v>41.02</c:v>
                </c:pt>
                <c:pt idx="1706">
                  <c:v>41.02</c:v>
                </c:pt>
                <c:pt idx="1707">
                  <c:v>41.02</c:v>
                </c:pt>
                <c:pt idx="1708">
                  <c:v>41.02</c:v>
                </c:pt>
                <c:pt idx="1709">
                  <c:v>46.75</c:v>
                </c:pt>
                <c:pt idx="1710">
                  <c:v>50.92</c:v>
                </c:pt>
                <c:pt idx="1711">
                  <c:v>50.92</c:v>
                </c:pt>
                <c:pt idx="1712">
                  <c:v>50.92</c:v>
                </c:pt>
                <c:pt idx="1713">
                  <c:v>50.92</c:v>
                </c:pt>
                <c:pt idx="1714">
                  <c:v>56</c:v>
                </c:pt>
                <c:pt idx="1715">
                  <c:v>45.56</c:v>
                </c:pt>
                <c:pt idx="1716">
                  <c:v>42.97</c:v>
                </c:pt>
                <c:pt idx="1717">
                  <c:v>45.56</c:v>
                </c:pt>
                <c:pt idx="1718">
                  <c:v>42.97</c:v>
                </c:pt>
                <c:pt idx="1719">
                  <c:v>45.56</c:v>
                </c:pt>
                <c:pt idx="1720">
                  <c:v>60.78</c:v>
                </c:pt>
                <c:pt idx="1721">
                  <c:v>46.75</c:v>
                </c:pt>
                <c:pt idx="1722">
                  <c:v>50.92</c:v>
                </c:pt>
                <c:pt idx="1723">
                  <c:v>41.02</c:v>
                </c:pt>
                <c:pt idx="1724">
                  <c:v>41.02</c:v>
                </c:pt>
                <c:pt idx="1725">
                  <c:v>41.02</c:v>
                </c:pt>
                <c:pt idx="1726">
                  <c:v>41.02</c:v>
                </c:pt>
                <c:pt idx="1727">
                  <c:v>41.02</c:v>
                </c:pt>
                <c:pt idx="1728">
                  <c:v>45.6</c:v>
                </c:pt>
                <c:pt idx="1729">
                  <c:v>55.73</c:v>
                </c:pt>
                <c:pt idx="1730">
                  <c:v>56.3</c:v>
                </c:pt>
                <c:pt idx="1731">
                  <c:v>50.92</c:v>
                </c:pt>
                <c:pt idx="1732">
                  <c:v>47.73</c:v>
                </c:pt>
                <c:pt idx="1733">
                  <c:v>47.73</c:v>
                </c:pt>
                <c:pt idx="1734">
                  <c:v>47.73</c:v>
                </c:pt>
                <c:pt idx="1735">
                  <c:v>42.75</c:v>
                </c:pt>
                <c:pt idx="1736">
                  <c:v>45.56</c:v>
                </c:pt>
                <c:pt idx="1737">
                  <c:v>42.97</c:v>
                </c:pt>
                <c:pt idx="1738">
                  <c:v>42.97</c:v>
                </c:pt>
                <c:pt idx="1739">
                  <c:v>45.56</c:v>
                </c:pt>
                <c:pt idx="1740">
                  <c:v>42.97</c:v>
                </c:pt>
                <c:pt idx="1741">
                  <c:v>45.56</c:v>
                </c:pt>
                <c:pt idx="1742">
                  <c:v>42.97</c:v>
                </c:pt>
                <c:pt idx="1743">
                  <c:v>57.6</c:v>
                </c:pt>
                <c:pt idx="1744">
                  <c:v>57.6</c:v>
                </c:pt>
                <c:pt idx="1745">
                  <c:v>58.12</c:v>
                </c:pt>
                <c:pt idx="1746">
                  <c:v>45.56</c:v>
                </c:pt>
                <c:pt idx="1747">
                  <c:v>42.97</c:v>
                </c:pt>
                <c:pt idx="1748">
                  <c:v>42.97</c:v>
                </c:pt>
                <c:pt idx="1749">
                  <c:v>53.8</c:v>
                </c:pt>
                <c:pt idx="1750">
                  <c:v>63.85</c:v>
                </c:pt>
                <c:pt idx="1751">
                  <c:v>58.2</c:v>
                </c:pt>
                <c:pt idx="1752">
                  <c:v>74.45</c:v>
                </c:pt>
                <c:pt idx="1753">
                  <c:v>103.61</c:v>
                </c:pt>
                <c:pt idx="1754">
                  <c:v>107.44</c:v>
                </c:pt>
                <c:pt idx="1755">
                  <c:v>71.2</c:v>
                </c:pt>
                <c:pt idx="1756">
                  <c:v>71.2</c:v>
                </c:pt>
                <c:pt idx="1757">
                  <c:v>60.05</c:v>
                </c:pt>
                <c:pt idx="1758">
                  <c:v>79.5</c:v>
                </c:pt>
                <c:pt idx="1759">
                  <c:v>58.64</c:v>
                </c:pt>
                <c:pt idx="1760">
                  <c:v>59.02</c:v>
                </c:pt>
                <c:pt idx="1761">
                  <c:v>74.45</c:v>
                </c:pt>
                <c:pt idx="1762">
                  <c:v>103.61</c:v>
                </c:pt>
                <c:pt idx="1763">
                  <c:v>107.44</c:v>
                </c:pt>
                <c:pt idx="1764">
                  <c:v>114.1</c:v>
                </c:pt>
                <c:pt idx="1765">
                  <c:v>114.1</c:v>
                </c:pt>
                <c:pt idx="1766">
                  <c:v>114.1</c:v>
                </c:pt>
                <c:pt idx="1767">
                  <c:v>77.290000000000006</c:v>
                </c:pt>
                <c:pt idx="1768">
                  <c:v>77.290000000000006</c:v>
                </c:pt>
                <c:pt idx="1769">
                  <c:v>71.36</c:v>
                </c:pt>
                <c:pt idx="1770">
                  <c:v>60.05</c:v>
                </c:pt>
                <c:pt idx="1771">
                  <c:v>79.5</c:v>
                </c:pt>
                <c:pt idx="1772">
                  <c:v>71.2</c:v>
                </c:pt>
                <c:pt idx="1773">
                  <c:v>71.2</c:v>
                </c:pt>
                <c:pt idx="1774">
                  <c:v>158.44</c:v>
                </c:pt>
                <c:pt idx="1775">
                  <c:v>158.44</c:v>
                </c:pt>
                <c:pt idx="1776">
                  <c:v>112.14</c:v>
                </c:pt>
                <c:pt idx="1777">
                  <c:v>112.14</c:v>
                </c:pt>
                <c:pt idx="1778">
                  <c:v>25.41</c:v>
                </c:pt>
                <c:pt idx="1779">
                  <c:v>25.41</c:v>
                </c:pt>
                <c:pt idx="1780">
                  <c:v>25.56</c:v>
                </c:pt>
                <c:pt idx="1781">
                  <c:v>25.56</c:v>
                </c:pt>
                <c:pt idx="1782">
                  <c:v>25.66</c:v>
                </c:pt>
                <c:pt idx="1783">
                  <c:v>25.66</c:v>
                </c:pt>
                <c:pt idx="1784">
                  <c:v>25.68</c:v>
                </c:pt>
                <c:pt idx="1785">
                  <c:v>25.68</c:v>
                </c:pt>
                <c:pt idx="1786">
                  <c:v>25.71</c:v>
                </c:pt>
                <c:pt idx="1787">
                  <c:v>25.83</c:v>
                </c:pt>
                <c:pt idx="1788">
                  <c:v>25.83</c:v>
                </c:pt>
                <c:pt idx="1789">
                  <c:v>25.83</c:v>
                </c:pt>
                <c:pt idx="1790">
                  <c:v>26.02</c:v>
                </c:pt>
                <c:pt idx="1791">
                  <c:v>26.02</c:v>
                </c:pt>
                <c:pt idx="1792">
                  <c:v>26.02</c:v>
                </c:pt>
                <c:pt idx="1793">
                  <c:v>25.66</c:v>
                </c:pt>
                <c:pt idx="1794">
                  <c:v>25.66</c:v>
                </c:pt>
                <c:pt idx="1795">
                  <c:v>25.71</c:v>
                </c:pt>
                <c:pt idx="1796">
                  <c:v>25.71</c:v>
                </c:pt>
                <c:pt idx="1797">
                  <c:v>26.02</c:v>
                </c:pt>
                <c:pt idx="1798">
                  <c:v>26.41</c:v>
                </c:pt>
                <c:pt idx="1799">
                  <c:v>40.369999999999997</c:v>
                </c:pt>
                <c:pt idx="1800">
                  <c:v>25.56</c:v>
                </c:pt>
                <c:pt idx="1801">
                  <c:v>22.25</c:v>
                </c:pt>
                <c:pt idx="1802">
                  <c:v>20.149999999999999</c:v>
                </c:pt>
                <c:pt idx="1803">
                  <c:v>20.149999999999999</c:v>
                </c:pt>
                <c:pt idx="1804">
                  <c:v>22.64</c:v>
                </c:pt>
                <c:pt idx="1805">
                  <c:v>20.149999999999999</c:v>
                </c:pt>
                <c:pt idx="1806">
                  <c:v>22.64</c:v>
                </c:pt>
                <c:pt idx="1807">
                  <c:v>24.12</c:v>
                </c:pt>
                <c:pt idx="1808">
                  <c:v>17</c:v>
                </c:pt>
                <c:pt idx="1809">
                  <c:v>23.69</c:v>
                </c:pt>
                <c:pt idx="1810">
                  <c:v>17.21</c:v>
                </c:pt>
                <c:pt idx="1811">
                  <c:v>23.04</c:v>
                </c:pt>
                <c:pt idx="1812">
                  <c:v>18.559999999999999</c:v>
                </c:pt>
                <c:pt idx="1813">
                  <c:v>19.77</c:v>
                </c:pt>
                <c:pt idx="1814">
                  <c:v>19.77</c:v>
                </c:pt>
                <c:pt idx="1815">
                  <c:v>26.08</c:v>
                </c:pt>
                <c:pt idx="1816">
                  <c:v>26.08</c:v>
                </c:pt>
                <c:pt idx="1817">
                  <c:v>19.87</c:v>
                </c:pt>
                <c:pt idx="1818">
                  <c:v>19.87</c:v>
                </c:pt>
                <c:pt idx="1819">
                  <c:v>19.87</c:v>
                </c:pt>
                <c:pt idx="1820">
                  <c:v>19.87</c:v>
                </c:pt>
                <c:pt idx="1821">
                  <c:v>19.87</c:v>
                </c:pt>
                <c:pt idx="1822">
                  <c:v>19.87</c:v>
                </c:pt>
                <c:pt idx="1823">
                  <c:v>19.77</c:v>
                </c:pt>
                <c:pt idx="1824">
                  <c:v>19.77</c:v>
                </c:pt>
                <c:pt idx="1825">
                  <c:v>25.56</c:v>
                </c:pt>
                <c:pt idx="1826">
                  <c:v>25.56</c:v>
                </c:pt>
                <c:pt idx="1827">
                  <c:v>25.66</c:v>
                </c:pt>
                <c:pt idx="1828">
                  <c:v>25.68</c:v>
                </c:pt>
                <c:pt idx="1829">
                  <c:v>25.71</c:v>
                </c:pt>
                <c:pt idx="1830">
                  <c:v>25.56</c:v>
                </c:pt>
                <c:pt idx="1831">
                  <c:v>25.71</c:v>
                </c:pt>
                <c:pt idx="1832">
                  <c:v>40.369999999999997</c:v>
                </c:pt>
                <c:pt idx="1833">
                  <c:v>17.21</c:v>
                </c:pt>
                <c:pt idx="1834">
                  <c:v>40.51</c:v>
                </c:pt>
                <c:pt idx="1835">
                  <c:v>40.51</c:v>
                </c:pt>
                <c:pt idx="1836">
                  <c:v>40.630000000000003</c:v>
                </c:pt>
                <c:pt idx="1837">
                  <c:v>40.630000000000003</c:v>
                </c:pt>
                <c:pt idx="1838">
                  <c:v>40.659999999999997</c:v>
                </c:pt>
                <c:pt idx="1839">
                  <c:v>40.79</c:v>
                </c:pt>
                <c:pt idx="1840">
                  <c:v>40.79</c:v>
                </c:pt>
                <c:pt idx="1841">
                  <c:v>40.369999999999997</c:v>
                </c:pt>
                <c:pt idx="1842">
                  <c:v>40.51</c:v>
                </c:pt>
                <c:pt idx="1843">
                  <c:v>40.51</c:v>
                </c:pt>
                <c:pt idx="1844">
                  <c:v>40.630000000000003</c:v>
                </c:pt>
                <c:pt idx="1845">
                  <c:v>40.630000000000003</c:v>
                </c:pt>
                <c:pt idx="1846">
                  <c:v>40.659999999999997</c:v>
                </c:pt>
                <c:pt idx="1847">
                  <c:v>40.659999999999997</c:v>
                </c:pt>
                <c:pt idx="1848">
                  <c:v>40.79</c:v>
                </c:pt>
                <c:pt idx="1849">
                  <c:v>40.51</c:v>
                </c:pt>
                <c:pt idx="1850">
                  <c:v>40.51</c:v>
                </c:pt>
                <c:pt idx="1851">
                  <c:v>40.630000000000003</c:v>
                </c:pt>
                <c:pt idx="1852">
                  <c:v>44.69</c:v>
                </c:pt>
                <c:pt idx="1853">
                  <c:v>34.76</c:v>
                </c:pt>
                <c:pt idx="1854">
                  <c:v>35.700000000000003</c:v>
                </c:pt>
                <c:pt idx="1855">
                  <c:v>50.69</c:v>
                </c:pt>
                <c:pt idx="1856">
                  <c:v>50.69</c:v>
                </c:pt>
                <c:pt idx="1857">
                  <c:v>50.69</c:v>
                </c:pt>
                <c:pt idx="1858">
                  <c:v>55.89</c:v>
                </c:pt>
                <c:pt idx="1859">
                  <c:v>55.89</c:v>
                </c:pt>
                <c:pt idx="1860">
                  <c:v>50.69</c:v>
                </c:pt>
                <c:pt idx="1861">
                  <c:v>50.69</c:v>
                </c:pt>
                <c:pt idx="1862">
                  <c:v>40.51</c:v>
                </c:pt>
                <c:pt idx="1863">
                  <c:v>40.630000000000003</c:v>
                </c:pt>
                <c:pt idx="1864">
                  <c:v>40.659999999999997</c:v>
                </c:pt>
                <c:pt idx="1865">
                  <c:v>40.79</c:v>
                </c:pt>
                <c:pt idx="1866">
                  <c:v>49.41</c:v>
                </c:pt>
                <c:pt idx="1867">
                  <c:v>40.51</c:v>
                </c:pt>
                <c:pt idx="1868">
                  <c:v>40.630000000000003</c:v>
                </c:pt>
                <c:pt idx="1869">
                  <c:v>40.659999999999997</c:v>
                </c:pt>
                <c:pt idx="1870">
                  <c:v>44.46</c:v>
                </c:pt>
                <c:pt idx="1871">
                  <c:v>45.57</c:v>
                </c:pt>
                <c:pt idx="1872">
                  <c:v>40.51</c:v>
                </c:pt>
                <c:pt idx="1873">
                  <c:v>40.630000000000003</c:v>
                </c:pt>
                <c:pt idx="1874">
                  <c:v>44.69</c:v>
                </c:pt>
                <c:pt idx="1875">
                  <c:v>37.6</c:v>
                </c:pt>
                <c:pt idx="1876">
                  <c:v>34.76</c:v>
                </c:pt>
                <c:pt idx="1877">
                  <c:v>55.89</c:v>
                </c:pt>
                <c:pt idx="1878">
                  <c:v>55.89</c:v>
                </c:pt>
                <c:pt idx="1879">
                  <c:v>37.6</c:v>
                </c:pt>
                <c:pt idx="1880">
                  <c:v>49.41</c:v>
                </c:pt>
                <c:pt idx="1881">
                  <c:v>44.46</c:v>
                </c:pt>
                <c:pt idx="1882">
                  <c:v>45.57</c:v>
                </c:pt>
                <c:pt idx="1883">
                  <c:v>20.56</c:v>
                </c:pt>
                <c:pt idx="1884">
                  <c:v>12</c:v>
                </c:pt>
                <c:pt idx="1885">
                  <c:v>12</c:v>
                </c:pt>
                <c:pt idx="1886">
                  <c:v>14</c:v>
                </c:pt>
                <c:pt idx="1887">
                  <c:v>14.24</c:v>
                </c:pt>
                <c:pt idx="1888">
                  <c:v>17</c:v>
                </c:pt>
                <c:pt idx="1889">
                  <c:v>19.28</c:v>
                </c:pt>
                <c:pt idx="1890">
                  <c:v>11.63</c:v>
                </c:pt>
                <c:pt idx="1891">
                  <c:v>11.86</c:v>
                </c:pt>
                <c:pt idx="1892">
                  <c:v>11</c:v>
                </c:pt>
                <c:pt idx="1893">
                  <c:v>9.07</c:v>
                </c:pt>
                <c:pt idx="1894">
                  <c:v>17.809999999999999</c:v>
                </c:pt>
                <c:pt idx="1895">
                  <c:v>17.809999999999999</c:v>
                </c:pt>
                <c:pt idx="1896">
                  <c:v>26.84</c:v>
                </c:pt>
                <c:pt idx="1897">
                  <c:v>17.809999999999999</c:v>
                </c:pt>
                <c:pt idx="1898">
                  <c:v>9.07</c:v>
                </c:pt>
                <c:pt idx="1899">
                  <c:v>17</c:v>
                </c:pt>
                <c:pt idx="1900">
                  <c:v>14</c:v>
                </c:pt>
                <c:pt idx="1901">
                  <c:v>11.86</c:v>
                </c:pt>
                <c:pt idx="1902">
                  <c:v>11</c:v>
                </c:pt>
                <c:pt idx="1903">
                  <c:v>38.200000000000003</c:v>
                </c:pt>
                <c:pt idx="1904">
                  <c:v>31.2</c:v>
                </c:pt>
                <c:pt idx="1905">
                  <c:v>45</c:v>
                </c:pt>
                <c:pt idx="1906">
                  <c:v>32.81</c:v>
                </c:pt>
                <c:pt idx="1907">
                  <c:v>40</c:v>
                </c:pt>
                <c:pt idx="1908">
                  <c:v>32.03</c:v>
                </c:pt>
                <c:pt idx="1909">
                  <c:v>32.03</c:v>
                </c:pt>
                <c:pt idx="1910">
                  <c:v>29.7</c:v>
                </c:pt>
                <c:pt idx="1911">
                  <c:v>29.7</c:v>
                </c:pt>
                <c:pt idx="1912">
                  <c:v>48.74</c:v>
                </c:pt>
                <c:pt idx="1913">
                  <c:v>82.8</c:v>
                </c:pt>
                <c:pt idx="1914">
                  <c:v>82.8</c:v>
                </c:pt>
                <c:pt idx="1915">
                  <c:v>82.8</c:v>
                </c:pt>
                <c:pt idx="1916">
                  <c:v>52.82</c:v>
                </c:pt>
                <c:pt idx="1917">
                  <c:v>61.19</c:v>
                </c:pt>
                <c:pt idx="1918">
                  <c:v>48.74</c:v>
                </c:pt>
                <c:pt idx="1919">
                  <c:v>52.82</c:v>
                </c:pt>
                <c:pt idx="1920">
                  <c:v>52.82</c:v>
                </c:pt>
                <c:pt idx="1921">
                  <c:v>61.19</c:v>
                </c:pt>
                <c:pt idx="1922">
                  <c:v>52.82</c:v>
                </c:pt>
                <c:pt idx="1923">
                  <c:v>52.82</c:v>
                </c:pt>
                <c:pt idx="1924">
                  <c:v>64.8</c:v>
                </c:pt>
                <c:pt idx="1925">
                  <c:v>30.73</c:v>
                </c:pt>
                <c:pt idx="1926">
                  <c:v>25.98</c:v>
                </c:pt>
                <c:pt idx="1927">
                  <c:v>26.32</c:v>
                </c:pt>
                <c:pt idx="1928">
                  <c:v>27.91</c:v>
                </c:pt>
                <c:pt idx="1929">
                  <c:v>26.32</c:v>
                </c:pt>
                <c:pt idx="1930">
                  <c:v>26.32</c:v>
                </c:pt>
                <c:pt idx="1931">
                  <c:v>25.64</c:v>
                </c:pt>
                <c:pt idx="1932">
                  <c:v>25.64</c:v>
                </c:pt>
                <c:pt idx="1933">
                  <c:v>47.13</c:v>
                </c:pt>
                <c:pt idx="1934">
                  <c:v>47.13</c:v>
                </c:pt>
                <c:pt idx="1935">
                  <c:v>32.409999999999997</c:v>
                </c:pt>
                <c:pt idx="1936">
                  <c:v>25.1</c:v>
                </c:pt>
                <c:pt idx="1937">
                  <c:v>25.1</c:v>
                </c:pt>
                <c:pt idx="1938">
                  <c:v>25.1</c:v>
                </c:pt>
                <c:pt idx="1939">
                  <c:v>25.1</c:v>
                </c:pt>
                <c:pt idx="1940">
                  <c:v>23.4</c:v>
                </c:pt>
                <c:pt idx="1941">
                  <c:v>25.98</c:v>
                </c:pt>
                <c:pt idx="1942">
                  <c:v>25.98</c:v>
                </c:pt>
                <c:pt idx="1943">
                  <c:v>26.32</c:v>
                </c:pt>
                <c:pt idx="1944">
                  <c:v>26.32</c:v>
                </c:pt>
                <c:pt idx="1945">
                  <c:v>22</c:v>
                </c:pt>
                <c:pt idx="1946">
                  <c:v>37.07</c:v>
                </c:pt>
                <c:pt idx="1947">
                  <c:v>27</c:v>
                </c:pt>
                <c:pt idx="1948">
                  <c:v>25.12</c:v>
                </c:pt>
                <c:pt idx="1949">
                  <c:v>31.5</c:v>
                </c:pt>
                <c:pt idx="1950">
                  <c:v>25.47</c:v>
                </c:pt>
                <c:pt idx="1951">
                  <c:v>30</c:v>
                </c:pt>
                <c:pt idx="1952">
                  <c:v>28</c:v>
                </c:pt>
                <c:pt idx="1953">
                  <c:v>24.2</c:v>
                </c:pt>
                <c:pt idx="1954">
                  <c:v>24.2</c:v>
                </c:pt>
                <c:pt idx="1955">
                  <c:v>39</c:v>
                </c:pt>
                <c:pt idx="1956">
                  <c:v>27.09</c:v>
                </c:pt>
                <c:pt idx="1957">
                  <c:v>28.02</c:v>
                </c:pt>
                <c:pt idx="1958">
                  <c:v>28.92</c:v>
                </c:pt>
                <c:pt idx="1959">
                  <c:v>27.09</c:v>
                </c:pt>
                <c:pt idx="1960">
                  <c:v>28.92</c:v>
                </c:pt>
                <c:pt idx="1961">
                  <c:v>27.09</c:v>
                </c:pt>
                <c:pt idx="1962">
                  <c:v>28.92</c:v>
                </c:pt>
                <c:pt idx="1963">
                  <c:v>28.92</c:v>
                </c:pt>
                <c:pt idx="1964">
                  <c:v>22.35</c:v>
                </c:pt>
                <c:pt idx="1965">
                  <c:v>27.5</c:v>
                </c:pt>
                <c:pt idx="1966">
                  <c:v>35</c:v>
                </c:pt>
                <c:pt idx="1967">
                  <c:v>35</c:v>
                </c:pt>
                <c:pt idx="1968">
                  <c:v>35</c:v>
                </c:pt>
                <c:pt idx="1969">
                  <c:v>28.79</c:v>
                </c:pt>
                <c:pt idx="1970">
                  <c:v>28.79</c:v>
                </c:pt>
                <c:pt idx="1971">
                  <c:v>38.92</c:v>
                </c:pt>
                <c:pt idx="1972">
                  <c:v>30.27</c:v>
                </c:pt>
                <c:pt idx="1973">
                  <c:v>25.64</c:v>
                </c:pt>
                <c:pt idx="1974">
                  <c:v>25.1</c:v>
                </c:pt>
                <c:pt idx="1975">
                  <c:v>24</c:v>
                </c:pt>
                <c:pt idx="1976">
                  <c:v>25.3</c:v>
                </c:pt>
                <c:pt idx="1977">
                  <c:v>31.04</c:v>
                </c:pt>
                <c:pt idx="1978">
                  <c:v>27.85</c:v>
                </c:pt>
                <c:pt idx="1979">
                  <c:v>25.98</c:v>
                </c:pt>
                <c:pt idx="1980">
                  <c:v>22.34</c:v>
                </c:pt>
                <c:pt idx="1981">
                  <c:v>47.13</c:v>
                </c:pt>
                <c:pt idx="1982">
                  <c:v>37.01</c:v>
                </c:pt>
                <c:pt idx="1983">
                  <c:v>31.5</c:v>
                </c:pt>
                <c:pt idx="1984">
                  <c:v>25.47</c:v>
                </c:pt>
                <c:pt idx="1985">
                  <c:v>24.2</c:v>
                </c:pt>
                <c:pt idx="1986">
                  <c:v>38.630000000000003</c:v>
                </c:pt>
                <c:pt idx="1987">
                  <c:v>38.630000000000003</c:v>
                </c:pt>
                <c:pt idx="1988">
                  <c:v>30</c:v>
                </c:pt>
                <c:pt idx="1989">
                  <c:v>28.79</c:v>
                </c:pt>
                <c:pt idx="1990">
                  <c:v>26.22</c:v>
                </c:pt>
                <c:pt idx="1991">
                  <c:v>18.53</c:v>
                </c:pt>
                <c:pt idx="1992">
                  <c:v>26.43</c:v>
                </c:pt>
                <c:pt idx="1993">
                  <c:v>26.87</c:v>
                </c:pt>
                <c:pt idx="1994">
                  <c:v>24.47</c:v>
                </c:pt>
                <c:pt idx="1995">
                  <c:v>24.47</c:v>
                </c:pt>
                <c:pt idx="1996">
                  <c:v>26.02</c:v>
                </c:pt>
                <c:pt idx="1997">
                  <c:v>22.68</c:v>
                </c:pt>
                <c:pt idx="1998">
                  <c:v>25.51</c:v>
                </c:pt>
                <c:pt idx="1999">
                  <c:v>25.35</c:v>
                </c:pt>
                <c:pt idx="2000">
                  <c:v>25.5</c:v>
                </c:pt>
                <c:pt idx="2001">
                  <c:v>28.87</c:v>
                </c:pt>
                <c:pt idx="2002">
                  <c:v>31.35</c:v>
                </c:pt>
                <c:pt idx="2003">
                  <c:v>28.87</c:v>
                </c:pt>
                <c:pt idx="2004">
                  <c:v>25.5</c:v>
                </c:pt>
                <c:pt idx="2005">
                  <c:v>28.87</c:v>
                </c:pt>
                <c:pt idx="2006">
                  <c:v>28.87</c:v>
                </c:pt>
                <c:pt idx="2007">
                  <c:v>15</c:v>
                </c:pt>
                <c:pt idx="2008">
                  <c:v>30.3</c:v>
                </c:pt>
                <c:pt idx="2009">
                  <c:v>30.3</c:v>
                </c:pt>
                <c:pt idx="2010">
                  <c:v>24.49</c:v>
                </c:pt>
                <c:pt idx="2011">
                  <c:v>18.8</c:v>
                </c:pt>
                <c:pt idx="2012">
                  <c:v>18.8</c:v>
                </c:pt>
                <c:pt idx="2013">
                  <c:v>18.8</c:v>
                </c:pt>
                <c:pt idx="2014">
                  <c:v>18</c:v>
                </c:pt>
                <c:pt idx="2015">
                  <c:v>26.02</c:v>
                </c:pt>
                <c:pt idx="2016">
                  <c:v>26.66</c:v>
                </c:pt>
                <c:pt idx="2017">
                  <c:v>20.73</c:v>
                </c:pt>
                <c:pt idx="2018">
                  <c:v>25.96</c:v>
                </c:pt>
                <c:pt idx="2019">
                  <c:v>31.41</c:v>
                </c:pt>
                <c:pt idx="2020">
                  <c:v>24.15</c:v>
                </c:pt>
                <c:pt idx="2021">
                  <c:v>18</c:v>
                </c:pt>
                <c:pt idx="2022">
                  <c:v>20.14</c:v>
                </c:pt>
                <c:pt idx="2023">
                  <c:v>21.28</c:v>
                </c:pt>
                <c:pt idx="2024">
                  <c:v>21.28</c:v>
                </c:pt>
                <c:pt idx="2025">
                  <c:v>25.05</c:v>
                </c:pt>
                <c:pt idx="2026">
                  <c:v>23.83</c:v>
                </c:pt>
                <c:pt idx="2027">
                  <c:v>18.97</c:v>
                </c:pt>
                <c:pt idx="2028">
                  <c:v>23.22</c:v>
                </c:pt>
                <c:pt idx="2029">
                  <c:v>26.19</c:v>
                </c:pt>
                <c:pt idx="2030">
                  <c:v>27.56</c:v>
                </c:pt>
                <c:pt idx="2031">
                  <c:v>27.56</c:v>
                </c:pt>
                <c:pt idx="2032">
                  <c:v>26.82</c:v>
                </c:pt>
                <c:pt idx="2033">
                  <c:v>25.3</c:v>
                </c:pt>
                <c:pt idx="2034">
                  <c:v>28.3</c:v>
                </c:pt>
                <c:pt idx="2035">
                  <c:v>22.95</c:v>
                </c:pt>
                <c:pt idx="2036">
                  <c:v>25.05</c:v>
                </c:pt>
                <c:pt idx="2037">
                  <c:v>25.05</c:v>
                </c:pt>
                <c:pt idx="2038">
                  <c:v>25.05</c:v>
                </c:pt>
                <c:pt idx="2039">
                  <c:v>25.05</c:v>
                </c:pt>
                <c:pt idx="2040">
                  <c:v>23.82</c:v>
                </c:pt>
                <c:pt idx="2041">
                  <c:v>19.87</c:v>
                </c:pt>
                <c:pt idx="2042">
                  <c:v>19</c:v>
                </c:pt>
                <c:pt idx="2043">
                  <c:v>23.77</c:v>
                </c:pt>
                <c:pt idx="2044">
                  <c:v>25.5</c:v>
                </c:pt>
                <c:pt idx="2045">
                  <c:v>31.35</c:v>
                </c:pt>
                <c:pt idx="2046">
                  <c:v>28.87</c:v>
                </c:pt>
                <c:pt idx="2047">
                  <c:v>25.5</c:v>
                </c:pt>
                <c:pt idx="2048">
                  <c:v>25.5</c:v>
                </c:pt>
                <c:pt idx="2049">
                  <c:v>28.87</c:v>
                </c:pt>
                <c:pt idx="2050">
                  <c:v>18.63</c:v>
                </c:pt>
                <c:pt idx="2051">
                  <c:v>21.49</c:v>
                </c:pt>
                <c:pt idx="2052">
                  <c:v>22.47</c:v>
                </c:pt>
                <c:pt idx="2053">
                  <c:v>21.97</c:v>
                </c:pt>
                <c:pt idx="2054">
                  <c:v>23.14</c:v>
                </c:pt>
                <c:pt idx="2055">
                  <c:v>19.04</c:v>
                </c:pt>
                <c:pt idx="2056">
                  <c:v>19.25</c:v>
                </c:pt>
                <c:pt idx="2057">
                  <c:v>22.86</c:v>
                </c:pt>
                <c:pt idx="2058">
                  <c:v>24.41</c:v>
                </c:pt>
                <c:pt idx="2059">
                  <c:v>18.5</c:v>
                </c:pt>
                <c:pt idx="2060">
                  <c:v>24.01</c:v>
                </c:pt>
                <c:pt idx="2061">
                  <c:v>20.02</c:v>
                </c:pt>
                <c:pt idx="2062">
                  <c:v>26.83</c:v>
                </c:pt>
                <c:pt idx="2063">
                  <c:v>26.83</c:v>
                </c:pt>
                <c:pt idx="2064">
                  <c:v>26.83</c:v>
                </c:pt>
                <c:pt idx="2065">
                  <c:v>19</c:v>
                </c:pt>
                <c:pt idx="2066">
                  <c:v>25.52</c:v>
                </c:pt>
                <c:pt idx="2067">
                  <c:v>25.77</c:v>
                </c:pt>
                <c:pt idx="2068">
                  <c:v>26.06</c:v>
                </c:pt>
                <c:pt idx="2069">
                  <c:v>30.72</c:v>
                </c:pt>
                <c:pt idx="2070">
                  <c:v>15.4</c:v>
                </c:pt>
                <c:pt idx="2071">
                  <c:v>15.4</c:v>
                </c:pt>
                <c:pt idx="2072">
                  <c:v>15.4</c:v>
                </c:pt>
                <c:pt idx="2073">
                  <c:v>33.97</c:v>
                </c:pt>
                <c:pt idx="2074">
                  <c:v>33.97</c:v>
                </c:pt>
                <c:pt idx="2075">
                  <c:v>18</c:v>
                </c:pt>
                <c:pt idx="2076">
                  <c:v>25</c:v>
                </c:pt>
                <c:pt idx="2077">
                  <c:v>25.94</c:v>
                </c:pt>
                <c:pt idx="2078">
                  <c:v>25.36</c:v>
                </c:pt>
                <c:pt idx="2079">
                  <c:v>24.4</c:v>
                </c:pt>
                <c:pt idx="2080">
                  <c:v>22.73</c:v>
                </c:pt>
                <c:pt idx="2081">
                  <c:v>22.73</c:v>
                </c:pt>
                <c:pt idx="2082">
                  <c:v>17.2</c:v>
                </c:pt>
                <c:pt idx="2083">
                  <c:v>34.26</c:v>
                </c:pt>
                <c:pt idx="2084">
                  <c:v>33.06</c:v>
                </c:pt>
                <c:pt idx="2085">
                  <c:v>19.91</c:v>
                </c:pt>
                <c:pt idx="2086">
                  <c:v>19.63</c:v>
                </c:pt>
                <c:pt idx="2087">
                  <c:v>21.84</c:v>
                </c:pt>
                <c:pt idx="2088">
                  <c:v>21.84</c:v>
                </c:pt>
                <c:pt idx="2089">
                  <c:v>31.98</c:v>
                </c:pt>
                <c:pt idx="2090">
                  <c:v>32.119999999999997</c:v>
                </c:pt>
                <c:pt idx="2091">
                  <c:v>21.06</c:v>
                </c:pt>
                <c:pt idx="2092">
                  <c:v>22.42</c:v>
                </c:pt>
                <c:pt idx="2093">
                  <c:v>27.08</c:v>
                </c:pt>
                <c:pt idx="2094">
                  <c:v>21.3</c:v>
                </c:pt>
                <c:pt idx="2095">
                  <c:v>19</c:v>
                </c:pt>
                <c:pt idx="2096">
                  <c:v>19.260000000000002</c:v>
                </c:pt>
                <c:pt idx="2097">
                  <c:v>20.440000000000001</c:v>
                </c:pt>
                <c:pt idx="2098">
                  <c:v>20.440000000000001</c:v>
                </c:pt>
                <c:pt idx="2099">
                  <c:v>19.87</c:v>
                </c:pt>
                <c:pt idx="2100">
                  <c:v>18.5</c:v>
                </c:pt>
                <c:pt idx="2101">
                  <c:v>18.5</c:v>
                </c:pt>
                <c:pt idx="2102">
                  <c:v>18.5</c:v>
                </c:pt>
                <c:pt idx="2103">
                  <c:v>27.32</c:v>
                </c:pt>
                <c:pt idx="2104">
                  <c:v>27.32</c:v>
                </c:pt>
                <c:pt idx="2105">
                  <c:v>29.6</c:v>
                </c:pt>
                <c:pt idx="2106">
                  <c:v>25.52</c:v>
                </c:pt>
                <c:pt idx="2107">
                  <c:v>28.56</c:v>
                </c:pt>
                <c:pt idx="2108">
                  <c:v>18</c:v>
                </c:pt>
                <c:pt idx="2109">
                  <c:v>33.409999999999997</c:v>
                </c:pt>
                <c:pt idx="2110">
                  <c:v>21.5</c:v>
                </c:pt>
                <c:pt idx="2111">
                  <c:v>22.26</c:v>
                </c:pt>
                <c:pt idx="2112">
                  <c:v>20.51</c:v>
                </c:pt>
                <c:pt idx="2113">
                  <c:v>21.5</c:v>
                </c:pt>
                <c:pt idx="2114">
                  <c:v>20</c:v>
                </c:pt>
                <c:pt idx="2115">
                  <c:v>28.56</c:v>
                </c:pt>
                <c:pt idx="2116">
                  <c:v>24.47</c:v>
                </c:pt>
                <c:pt idx="2117">
                  <c:v>24.47</c:v>
                </c:pt>
                <c:pt idx="2118">
                  <c:v>13.4</c:v>
                </c:pt>
                <c:pt idx="2119">
                  <c:v>21.84</c:v>
                </c:pt>
                <c:pt idx="2120">
                  <c:v>24.3</c:v>
                </c:pt>
                <c:pt idx="2121">
                  <c:v>23.13</c:v>
                </c:pt>
                <c:pt idx="2122">
                  <c:v>30.72</c:v>
                </c:pt>
                <c:pt idx="2123">
                  <c:v>26.66</c:v>
                </c:pt>
                <c:pt idx="2124">
                  <c:v>27</c:v>
                </c:pt>
                <c:pt idx="2125">
                  <c:v>30.3</c:v>
                </c:pt>
                <c:pt idx="2126">
                  <c:v>25.52</c:v>
                </c:pt>
                <c:pt idx="2127">
                  <c:v>25.77</c:v>
                </c:pt>
                <c:pt idx="2128">
                  <c:v>26.06</c:v>
                </c:pt>
                <c:pt idx="2129">
                  <c:v>26.19</c:v>
                </c:pt>
                <c:pt idx="2130">
                  <c:v>25.05</c:v>
                </c:pt>
                <c:pt idx="2131">
                  <c:v>25.05</c:v>
                </c:pt>
                <c:pt idx="2132">
                  <c:v>25.05</c:v>
                </c:pt>
                <c:pt idx="2133">
                  <c:v>25.13</c:v>
                </c:pt>
                <c:pt idx="2134">
                  <c:v>27</c:v>
                </c:pt>
                <c:pt idx="2135">
                  <c:v>18.5</c:v>
                </c:pt>
                <c:pt idx="2136">
                  <c:v>18.63</c:v>
                </c:pt>
                <c:pt idx="2137">
                  <c:v>18</c:v>
                </c:pt>
                <c:pt idx="2138">
                  <c:v>17</c:v>
                </c:pt>
                <c:pt idx="2139">
                  <c:v>19</c:v>
                </c:pt>
                <c:pt idx="2140">
                  <c:v>19</c:v>
                </c:pt>
                <c:pt idx="2141">
                  <c:v>19.8</c:v>
                </c:pt>
                <c:pt idx="2142">
                  <c:v>22.26</c:v>
                </c:pt>
                <c:pt idx="2143">
                  <c:v>19.87</c:v>
                </c:pt>
                <c:pt idx="2144">
                  <c:v>18.8</c:v>
                </c:pt>
                <c:pt idx="2145">
                  <c:v>18</c:v>
                </c:pt>
                <c:pt idx="2146">
                  <c:v>23.83</c:v>
                </c:pt>
                <c:pt idx="2147">
                  <c:v>18.97</c:v>
                </c:pt>
                <c:pt idx="2148">
                  <c:v>15.41</c:v>
                </c:pt>
                <c:pt idx="2149">
                  <c:v>22.99</c:v>
                </c:pt>
                <c:pt idx="2150">
                  <c:v>22.99</c:v>
                </c:pt>
                <c:pt idx="2151">
                  <c:v>25.36</c:v>
                </c:pt>
                <c:pt idx="2152">
                  <c:v>21.28</c:v>
                </c:pt>
                <c:pt idx="2153">
                  <c:v>24.84</c:v>
                </c:pt>
                <c:pt idx="2154">
                  <c:v>19</c:v>
                </c:pt>
                <c:pt idx="2155">
                  <c:v>27.56</c:v>
                </c:pt>
                <c:pt idx="2156">
                  <c:v>26.28</c:v>
                </c:pt>
                <c:pt idx="2157">
                  <c:v>16.41</c:v>
                </c:pt>
                <c:pt idx="2158">
                  <c:v>19.04</c:v>
                </c:pt>
                <c:pt idx="2159">
                  <c:v>25.96</c:v>
                </c:pt>
                <c:pt idx="2160">
                  <c:v>25.21</c:v>
                </c:pt>
                <c:pt idx="2161">
                  <c:v>25.51</c:v>
                </c:pt>
                <c:pt idx="2162">
                  <c:v>27.08</c:v>
                </c:pt>
                <c:pt idx="2163">
                  <c:v>21.49</c:v>
                </c:pt>
                <c:pt idx="2164">
                  <c:v>21.49</c:v>
                </c:pt>
                <c:pt idx="2165">
                  <c:v>21.97</c:v>
                </c:pt>
                <c:pt idx="2166">
                  <c:v>31.98</c:v>
                </c:pt>
                <c:pt idx="2167">
                  <c:v>32.119999999999997</c:v>
                </c:pt>
                <c:pt idx="2168">
                  <c:v>32.119999999999997</c:v>
                </c:pt>
                <c:pt idx="2169">
                  <c:v>20.73</c:v>
                </c:pt>
                <c:pt idx="2170">
                  <c:v>20.73</c:v>
                </c:pt>
                <c:pt idx="2171">
                  <c:v>24.4</c:v>
                </c:pt>
                <c:pt idx="2172">
                  <c:v>20</c:v>
                </c:pt>
                <c:pt idx="2173">
                  <c:v>26.83</c:v>
                </c:pt>
                <c:pt idx="2174">
                  <c:v>26.31</c:v>
                </c:pt>
                <c:pt idx="2175">
                  <c:v>25</c:v>
                </c:pt>
                <c:pt idx="2176">
                  <c:v>25</c:v>
                </c:pt>
                <c:pt idx="2177">
                  <c:v>23.82</c:v>
                </c:pt>
                <c:pt idx="2178">
                  <c:v>29.06</c:v>
                </c:pt>
                <c:pt idx="2179">
                  <c:v>22.73</c:v>
                </c:pt>
                <c:pt idx="2180">
                  <c:v>22.73</c:v>
                </c:pt>
                <c:pt idx="2181">
                  <c:v>26.02</c:v>
                </c:pt>
                <c:pt idx="2182">
                  <c:v>33.97</c:v>
                </c:pt>
                <c:pt idx="2183">
                  <c:v>33.97</c:v>
                </c:pt>
                <c:pt idx="2184">
                  <c:v>22.99</c:v>
                </c:pt>
                <c:pt idx="2185">
                  <c:v>20.010000000000002</c:v>
                </c:pt>
                <c:pt idx="2186">
                  <c:v>18.07</c:v>
                </c:pt>
                <c:pt idx="2187">
                  <c:v>25.3</c:v>
                </c:pt>
                <c:pt idx="2188">
                  <c:v>25.94</c:v>
                </c:pt>
                <c:pt idx="2189">
                  <c:v>28.3</c:v>
                </c:pt>
                <c:pt idx="2190">
                  <c:v>22.95</c:v>
                </c:pt>
                <c:pt idx="2191">
                  <c:v>25.13</c:v>
                </c:pt>
                <c:pt idx="2192">
                  <c:v>36.200000000000003</c:v>
                </c:pt>
                <c:pt idx="2193">
                  <c:v>31.04</c:v>
                </c:pt>
                <c:pt idx="2194">
                  <c:v>31.04</c:v>
                </c:pt>
                <c:pt idx="2195">
                  <c:v>40.79</c:v>
                </c:pt>
                <c:pt idx="2196">
                  <c:v>47.2</c:v>
                </c:pt>
                <c:pt idx="2197">
                  <c:v>40.31</c:v>
                </c:pt>
                <c:pt idx="2198">
                  <c:v>40.049999999999997</c:v>
                </c:pt>
                <c:pt idx="2199">
                  <c:v>47.74</c:v>
                </c:pt>
                <c:pt idx="2200">
                  <c:v>51.14</c:v>
                </c:pt>
                <c:pt idx="2201">
                  <c:v>42.8</c:v>
                </c:pt>
                <c:pt idx="2202">
                  <c:v>35.380000000000003</c:v>
                </c:pt>
                <c:pt idx="2203">
                  <c:v>29.25</c:v>
                </c:pt>
                <c:pt idx="2204">
                  <c:v>28.87</c:v>
                </c:pt>
                <c:pt idx="2205">
                  <c:v>29.25</c:v>
                </c:pt>
                <c:pt idx="2206">
                  <c:v>28.87</c:v>
                </c:pt>
                <c:pt idx="2207">
                  <c:v>29.25</c:v>
                </c:pt>
                <c:pt idx="2208">
                  <c:v>28.87</c:v>
                </c:pt>
                <c:pt idx="2209">
                  <c:v>28.87</c:v>
                </c:pt>
                <c:pt idx="2210">
                  <c:v>28.87</c:v>
                </c:pt>
                <c:pt idx="2211">
                  <c:v>30.26</c:v>
                </c:pt>
                <c:pt idx="2212">
                  <c:v>30.26</c:v>
                </c:pt>
                <c:pt idx="2213">
                  <c:v>30.26</c:v>
                </c:pt>
                <c:pt idx="2214">
                  <c:v>30.26</c:v>
                </c:pt>
                <c:pt idx="2215">
                  <c:v>39.92</c:v>
                </c:pt>
                <c:pt idx="2216">
                  <c:v>39.92</c:v>
                </c:pt>
                <c:pt idx="2217">
                  <c:v>41.25</c:v>
                </c:pt>
                <c:pt idx="2218">
                  <c:v>51.65</c:v>
                </c:pt>
                <c:pt idx="2219">
                  <c:v>37.01</c:v>
                </c:pt>
                <c:pt idx="2220">
                  <c:v>44.3</c:v>
                </c:pt>
                <c:pt idx="2221">
                  <c:v>55.9</c:v>
                </c:pt>
                <c:pt idx="2222">
                  <c:v>41.36</c:v>
                </c:pt>
                <c:pt idx="2223">
                  <c:v>42.75</c:v>
                </c:pt>
                <c:pt idx="2224">
                  <c:v>35.19</c:v>
                </c:pt>
                <c:pt idx="2225">
                  <c:v>25.55</c:v>
                </c:pt>
                <c:pt idx="2226">
                  <c:v>25.55</c:v>
                </c:pt>
                <c:pt idx="2227">
                  <c:v>33.049999999999997</c:v>
                </c:pt>
                <c:pt idx="2228">
                  <c:v>35</c:v>
                </c:pt>
                <c:pt idx="2229">
                  <c:v>52.75</c:v>
                </c:pt>
                <c:pt idx="2230">
                  <c:v>52.75</c:v>
                </c:pt>
                <c:pt idx="2231">
                  <c:v>52.75</c:v>
                </c:pt>
                <c:pt idx="2232">
                  <c:v>47.06</c:v>
                </c:pt>
                <c:pt idx="2233">
                  <c:v>47.06</c:v>
                </c:pt>
                <c:pt idx="2234">
                  <c:v>55.65</c:v>
                </c:pt>
                <c:pt idx="2235">
                  <c:v>46.07</c:v>
                </c:pt>
                <c:pt idx="2236">
                  <c:v>48.17</c:v>
                </c:pt>
                <c:pt idx="2237">
                  <c:v>46.07</c:v>
                </c:pt>
                <c:pt idx="2238">
                  <c:v>52.75</c:v>
                </c:pt>
                <c:pt idx="2239">
                  <c:v>47.06</c:v>
                </c:pt>
                <c:pt idx="2240">
                  <c:v>47.06</c:v>
                </c:pt>
                <c:pt idx="2241">
                  <c:v>37.89</c:v>
                </c:pt>
                <c:pt idx="2242">
                  <c:v>27.85</c:v>
                </c:pt>
                <c:pt idx="2243">
                  <c:v>36.119999999999997</c:v>
                </c:pt>
                <c:pt idx="2244">
                  <c:v>36.119999999999997</c:v>
                </c:pt>
                <c:pt idx="2245">
                  <c:v>36.119999999999997</c:v>
                </c:pt>
                <c:pt idx="2246">
                  <c:v>36.119999999999997</c:v>
                </c:pt>
                <c:pt idx="2247">
                  <c:v>36.119999999999997</c:v>
                </c:pt>
                <c:pt idx="2248">
                  <c:v>38.630000000000003</c:v>
                </c:pt>
                <c:pt idx="2249">
                  <c:v>38.630000000000003</c:v>
                </c:pt>
                <c:pt idx="2250">
                  <c:v>35.47</c:v>
                </c:pt>
                <c:pt idx="2251">
                  <c:v>34.18</c:v>
                </c:pt>
                <c:pt idx="2252">
                  <c:v>24.59</c:v>
                </c:pt>
                <c:pt idx="2253">
                  <c:v>49.15</c:v>
                </c:pt>
                <c:pt idx="2254">
                  <c:v>51.02</c:v>
                </c:pt>
                <c:pt idx="2255">
                  <c:v>25</c:v>
                </c:pt>
                <c:pt idx="2256">
                  <c:v>44.71</c:v>
                </c:pt>
                <c:pt idx="2257">
                  <c:v>52.23</c:v>
                </c:pt>
                <c:pt idx="2258">
                  <c:v>43.68</c:v>
                </c:pt>
                <c:pt idx="2259">
                  <c:v>42.8</c:v>
                </c:pt>
                <c:pt idx="2260">
                  <c:v>47.74</c:v>
                </c:pt>
                <c:pt idx="2261">
                  <c:v>51.14</c:v>
                </c:pt>
                <c:pt idx="2262">
                  <c:v>30.42</c:v>
                </c:pt>
                <c:pt idx="2263">
                  <c:v>30.26</c:v>
                </c:pt>
                <c:pt idx="2264">
                  <c:v>55.9</c:v>
                </c:pt>
                <c:pt idx="2265">
                  <c:v>43.68</c:v>
                </c:pt>
                <c:pt idx="2266">
                  <c:v>35.19</c:v>
                </c:pt>
                <c:pt idx="2267">
                  <c:v>42.75</c:v>
                </c:pt>
                <c:pt idx="2268">
                  <c:v>37.89</c:v>
                </c:pt>
                <c:pt idx="2269">
                  <c:v>33</c:v>
                </c:pt>
                <c:pt idx="2270">
                  <c:v>31.04</c:v>
                </c:pt>
                <c:pt idx="2271">
                  <c:v>24.59</c:v>
                </c:pt>
                <c:pt idx="2272">
                  <c:v>43.96</c:v>
                </c:pt>
                <c:pt idx="2273">
                  <c:v>35.380000000000003</c:v>
                </c:pt>
                <c:pt idx="2274">
                  <c:v>36.119999999999997</c:v>
                </c:pt>
                <c:pt idx="2275">
                  <c:v>36.119999999999997</c:v>
                </c:pt>
                <c:pt idx="2276">
                  <c:v>36.119999999999997</c:v>
                </c:pt>
                <c:pt idx="2277">
                  <c:v>36.119999999999997</c:v>
                </c:pt>
                <c:pt idx="2278">
                  <c:v>39.78</c:v>
                </c:pt>
                <c:pt idx="2279">
                  <c:v>31.52</c:v>
                </c:pt>
                <c:pt idx="2280">
                  <c:v>44.3</c:v>
                </c:pt>
                <c:pt idx="2281">
                  <c:v>52.75</c:v>
                </c:pt>
                <c:pt idx="2282">
                  <c:v>52.75</c:v>
                </c:pt>
                <c:pt idx="2283">
                  <c:v>52.75</c:v>
                </c:pt>
                <c:pt idx="2284">
                  <c:v>55.65</c:v>
                </c:pt>
                <c:pt idx="2285">
                  <c:v>46.07</c:v>
                </c:pt>
                <c:pt idx="2286">
                  <c:v>52.75</c:v>
                </c:pt>
                <c:pt idx="2287">
                  <c:v>29.25</c:v>
                </c:pt>
                <c:pt idx="2288">
                  <c:v>28.87</c:v>
                </c:pt>
                <c:pt idx="2289">
                  <c:v>29.25</c:v>
                </c:pt>
                <c:pt idx="2290">
                  <c:v>28.87</c:v>
                </c:pt>
                <c:pt idx="2291">
                  <c:v>29.25</c:v>
                </c:pt>
                <c:pt idx="2292">
                  <c:v>28.87</c:v>
                </c:pt>
                <c:pt idx="2293">
                  <c:v>28.87</c:v>
                </c:pt>
                <c:pt idx="2294">
                  <c:v>29.25</c:v>
                </c:pt>
                <c:pt idx="2295">
                  <c:v>25.55</c:v>
                </c:pt>
                <c:pt idx="2296">
                  <c:v>39.92</c:v>
                </c:pt>
                <c:pt idx="2297">
                  <c:v>53.61</c:v>
                </c:pt>
                <c:pt idx="2298">
                  <c:v>53.61</c:v>
                </c:pt>
                <c:pt idx="2299">
                  <c:v>41.36</c:v>
                </c:pt>
                <c:pt idx="2300">
                  <c:v>42.75</c:v>
                </c:pt>
                <c:pt idx="2301">
                  <c:v>40.07</c:v>
                </c:pt>
                <c:pt idx="2302">
                  <c:v>51.65</c:v>
                </c:pt>
                <c:pt idx="2303">
                  <c:v>38.630000000000003</c:v>
                </c:pt>
                <c:pt idx="2304">
                  <c:v>40.31</c:v>
                </c:pt>
                <c:pt idx="2305">
                  <c:v>40.31</c:v>
                </c:pt>
                <c:pt idx="2306">
                  <c:v>39.78</c:v>
                </c:pt>
                <c:pt idx="2307">
                  <c:v>53.61</c:v>
                </c:pt>
                <c:pt idx="2308">
                  <c:v>53.61</c:v>
                </c:pt>
                <c:pt idx="2309">
                  <c:v>40.159999999999997</c:v>
                </c:pt>
                <c:pt idx="2310">
                  <c:v>41.21</c:v>
                </c:pt>
                <c:pt idx="2311">
                  <c:v>40.159999999999997</c:v>
                </c:pt>
                <c:pt idx="2312">
                  <c:v>20.65</c:v>
                </c:pt>
                <c:pt idx="2313">
                  <c:v>9.82</c:v>
                </c:pt>
                <c:pt idx="2314">
                  <c:v>20.48</c:v>
                </c:pt>
                <c:pt idx="2315">
                  <c:v>10.3</c:v>
                </c:pt>
                <c:pt idx="2316">
                  <c:v>20.6</c:v>
                </c:pt>
                <c:pt idx="2317">
                  <c:v>30.22</c:v>
                </c:pt>
                <c:pt idx="2318">
                  <c:v>30.22</c:v>
                </c:pt>
                <c:pt idx="2319">
                  <c:v>11.61</c:v>
                </c:pt>
                <c:pt idx="2320">
                  <c:v>11.61</c:v>
                </c:pt>
                <c:pt idx="2321">
                  <c:v>10.7</c:v>
                </c:pt>
                <c:pt idx="2322">
                  <c:v>29</c:v>
                </c:pt>
                <c:pt idx="2323">
                  <c:v>25.79</c:v>
                </c:pt>
                <c:pt idx="2324">
                  <c:v>30.6</c:v>
                </c:pt>
                <c:pt idx="2325">
                  <c:v>25.79</c:v>
                </c:pt>
                <c:pt idx="2326">
                  <c:v>25.8</c:v>
                </c:pt>
                <c:pt idx="2327">
                  <c:v>25.5</c:v>
                </c:pt>
                <c:pt idx="2328">
                  <c:v>25.5</c:v>
                </c:pt>
                <c:pt idx="2329">
                  <c:v>25.5</c:v>
                </c:pt>
                <c:pt idx="2330">
                  <c:v>18</c:v>
                </c:pt>
                <c:pt idx="2331">
                  <c:v>19</c:v>
                </c:pt>
                <c:pt idx="2332">
                  <c:v>10</c:v>
                </c:pt>
                <c:pt idx="2333">
                  <c:v>11</c:v>
                </c:pt>
                <c:pt idx="2334">
                  <c:v>26.45</c:v>
                </c:pt>
                <c:pt idx="2335">
                  <c:v>25.66</c:v>
                </c:pt>
                <c:pt idx="2336">
                  <c:v>12.1</c:v>
                </c:pt>
                <c:pt idx="2337">
                  <c:v>31.41</c:v>
                </c:pt>
                <c:pt idx="2338">
                  <c:v>22.35</c:v>
                </c:pt>
                <c:pt idx="2339">
                  <c:v>15.2</c:v>
                </c:pt>
                <c:pt idx="2340">
                  <c:v>15.2</c:v>
                </c:pt>
                <c:pt idx="2341">
                  <c:v>22.86</c:v>
                </c:pt>
                <c:pt idx="2342">
                  <c:v>9.2899999999999991</c:v>
                </c:pt>
                <c:pt idx="2343">
                  <c:v>17.2</c:v>
                </c:pt>
                <c:pt idx="2344">
                  <c:v>15.27</c:v>
                </c:pt>
                <c:pt idx="2345">
                  <c:v>15.57</c:v>
                </c:pt>
                <c:pt idx="2346">
                  <c:v>25.5</c:v>
                </c:pt>
                <c:pt idx="2347">
                  <c:v>18</c:v>
                </c:pt>
                <c:pt idx="2348">
                  <c:v>17.329999999999998</c:v>
                </c:pt>
                <c:pt idx="2349">
                  <c:v>18</c:v>
                </c:pt>
                <c:pt idx="2350">
                  <c:v>18</c:v>
                </c:pt>
                <c:pt idx="2351">
                  <c:v>18.579999999999998</c:v>
                </c:pt>
                <c:pt idx="2352">
                  <c:v>16.41</c:v>
                </c:pt>
                <c:pt idx="2353">
                  <c:v>16.41</c:v>
                </c:pt>
                <c:pt idx="2354">
                  <c:v>27</c:v>
                </c:pt>
                <c:pt idx="2355">
                  <c:v>16.2</c:v>
                </c:pt>
                <c:pt idx="2356">
                  <c:v>28.76</c:v>
                </c:pt>
                <c:pt idx="2357">
                  <c:v>17</c:v>
                </c:pt>
                <c:pt idx="2358">
                  <c:v>17</c:v>
                </c:pt>
                <c:pt idx="2359">
                  <c:v>10.8</c:v>
                </c:pt>
                <c:pt idx="2360">
                  <c:v>12.87</c:v>
                </c:pt>
                <c:pt idx="2361">
                  <c:v>10.8</c:v>
                </c:pt>
                <c:pt idx="2362">
                  <c:v>14.51</c:v>
                </c:pt>
                <c:pt idx="2363">
                  <c:v>30.27</c:v>
                </c:pt>
                <c:pt idx="2364">
                  <c:v>19.87</c:v>
                </c:pt>
                <c:pt idx="2365">
                  <c:v>26.7</c:v>
                </c:pt>
                <c:pt idx="2366">
                  <c:v>30.3</c:v>
                </c:pt>
                <c:pt idx="2367">
                  <c:v>13</c:v>
                </c:pt>
                <c:pt idx="2368">
                  <c:v>13</c:v>
                </c:pt>
                <c:pt idx="2369">
                  <c:v>13.11</c:v>
                </c:pt>
                <c:pt idx="2370">
                  <c:v>21</c:v>
                </c:pt>
                <c:pt idx="2371">
                  <c:v>22</c:v>
                </c:pt>
                <c:pt idx="2372">
                  <c:v>21.13</c:v>
                </c:pt>
                <c:pt idx="2373">
                  <c:v>10.1</c:v>
                </c:pt>
                <c:pt idx="2374">
                  <c:v>32.119999999999997</c:v>
                </c:pt>
                <c:pt idx="2375">
                  <c:v>33.6</c:v>
                </c:pt>
                <c:pt idx="2376">
                  <c:v>35.85</c:v>
                </c:pt>
                <c:pt idx="2377">
                  <c:v>11.27</c:v>
                </c:pt>
                <c:pt idx="2378">
                  <c:v>12.03</c:v>
                </c:pt>
                <c:pt idx="2379">
                  <c:v>19.100000000000001</c:v>
                </c:pt>
                <c:pt idx="2380">
                  <c:v>15.63</c:v>
                </c:pt>
                <c:pt idx="2381">
                  <c:v>10.4</c:v>
                </c:pt>
                <c:pt idx="2382">
                  <c:v>10.8</c:v>
                </c:pt>
                <c:pt idx="2383">
                  <c:v>11.08</c:v>
                </c:pt>
                <c:pt idx="2384">
                  <c:v>8</c:v>
                </c:pt>
                <c:pt idx="2385">
                  <c:v>26.07</c:v>
                </c:pt>
                <c:pt idx="2386">
                  <c:v>10.07</c:v>
                </c:pt>
                <c:pt idx="2387">
                  <c:v>15.33</c:v>
                </c:pt>
                <c:pt idx="2388">
                  <c:v>17.12</c:v>
                </c:pt>
                <c:pt idx="2389">
                  <c:v>15.33</c:v>
                </c:pt>
                <c:pt idx="2390">
                  <c:v>17.2</c:v>
                </c:pt>
                <c:pt idx="2391">
                  <c:v>15.33</c:v>
                </c:pt>
                <c:pt idx="2392">
                  <c:v>17.71</c:v>
                </c:pt>
                <c:pt idx="2393">
                  <c:v>16.52</c:v>
                </c:pt>
                <c:pt idx="2394">
                  <c:v>37.869999999999997</c:v>
                </c:pt>
                <c:pt idx="2395">
                  <c:v>12.21</c:v>
                </c:pt>
                <c:pt idx="2396">
                  <c:v>23.41</c:v>
                </c:pt>
                <c:pt idx="2397">
                  <c:v>21.06</c:v>
                </c:pt>
                <c:pt idx="2398">
                  <c:v>37.869999999999997</c:v>
                </c:pt>
                <c:pt idx="2399">
                  <c:v>24.47</c:v>
                </c:pt>
                <c:pt idx="2400">
                  <c:v>24.47</c:v>
                </c:pt>
                <c:pt idx="2401">
                  <c:v>11.13</c:v>
                </c:pt>
                <c:pt idx="2402">
                  <c:v>49.06</c:v>
                </c:pt>
                <c:pt idx="2403">
                  <c:v>14.43</c:v>
                </c:pt>
                <c:pt idx="2404">
                  <c:v>16.079999999999998</c:v>
                </c:pt>
                <c:pt idx="2405">
                  <c:v>13.58</c:v>
                </c:pt>
                <c:pt idx="2406">
                  <c:v>28.99</c:v>
                </c:pt>
                <c:pt idx="2407">
                  <c:v>28.99</c:v>
                </c:pt>
                <c:pt idx="2408">
                  <c:v>30.3</c:v>
                </c:pt>
                <c:pt idx="2409">
                  <c:v>7.61</c:v>
                </c:pt>
                <c:pt idx="2410">
                  <c:v>9.82</c:v>
                </c:pt>
                <c:pt idx="2411">
                  <c:v>20.48</c:v>
                </c:pt>
                <c:pt idx="2412">
                  <c:v>12.1</c:v>
                </c:pt>
                <c:pt idx="2413">
                  <c:v>13.11</c:v>
                </c:pt>
                <c:pt idx="2414">
                  <c:v>18</c:v>
                </c:pt>
                <c:pt idx="2415">
                  <c:v>9.7200000000000006</c:v>
                </c:pt>
                <c:pt idx="2416">
                  <c:v>42</c:v>
                </c:pt>
                <c:pt idx="2417">
                  <c:v>17</c:v>
                </c:pt>
                <c:pt idx="2418">
                  <c:v>17.5</c:v>
                </c:pt>
                <c:pt idx="2419">
                  <c:v>18.420000000000002</c:v>
                </c:pt>
                <c:pt idx="2420">
                  <c:v>20.34</c:v>
                </c:pt>
                <c:pt idx="2421">
                  <c:v>11.61</c:v>
                </c:pt>
                <c:pt idx="2422">
                  <c:v>15.2</c:v>
                </c:pt>
                <c:pt idx="2423">
                  <c:v>10.8</c:v>
                </c:pt>
                <c:pt idx="2424">
                  <c:v>10.8</c:v>
                </c:pt>
                <c:pt idx="2425">
                  <c:v>12.87</c:v>
                </c:pt>
                <c:pt idx="2426">
                  <c:v>10.07</c:v>
                </c:pt>
                <c:pt idx="2427">
                  <c:v>28.76</c:v>
                </c:pt>
                <c:pt idx="2428">
                  <c:v>18</c:v>
                </c:pt>
                <c:pt idx="2429">
                  <c:v>14.8</c:v>
                </c:pt>
                <c:pt idx="2430">
                  <c:v>15.27</c:v>
                </c:pt>
                <c:pt idx="2431">
                  <c:v>20.6</c:v>
                </c:pt>
                <c:pt idx="2432">
                  <c:v>20.14</c:v>
                </c:pt>
                <c:pt idx="2433">
                  <c:v>21</c:v>
                </c:pt>
                <c:pt idx="2434">
                  <c:v>16.41</c:v>
                </c:pt>
                <c:pt idx="2435">
                  <c:v>25.55</c:v>
                </c:pt>
                <c:pt idx="2436">
                  <c:v>33.6</c:v>
                </c:pt>
                <c:pt idx="2437">
                  <c:v>17.36</c:v>
                </c:pt>
                <c:pt idx="2438">
                  <c:v>23</c:v>
                </c:pt>
                <c:pt idx="2439">
                  <c:v>18</c:v>
                </c:pt>
                <c:pt idx="2440">
                  <c:v>12.03</c:v>
                </c:pt>
                <c:pt idx="2441">
                  <c:v>27.32</c:v>
                </c:pt>
                <c:pt idx="2442">
                  <c:v>28.99</c:v>
                </c:pt>
                <c:pt idx="2443">
                  <c:v>22.26</c:v>
                </c:pt>
                <c:pt idx="2444">
                  <c:v>56.33</c:v>
                </c:pt>
                <c:pt idx="2445">
                  <c:v>56.33</c:v>
                </c:pt>
                <c:pt idx="2446">
                  <c:v>53.11</c:v>
                </c:pt>
                <c:pt idx="2447">
                  <c:v>48.67</c:v>
                </c:pt>
                <c:pt idx="2448">
                  <c:v>41.04</c:v>
                </c:pt>
                <c:pt idx="2449">
                  <c:v>45.94</c:v>
                </c:pt>
                <c:pt idx="2450">
                  <c:v>45.94</c:v>
                </c:pt>
                <c:pt idx="2451">
                  <c:v>36.700000000000003</c:v>
                </c:pt>
                <c:pt idx="2452">
                  <c:v>35.049999999999997</c:v>
                </c:pt>
                <c:pt idx="2453">
                  <c:v>44.02</c:v>
                </c:pt>
                <c:pt idx="2454">
                  <c:v>45.94</c:v>
                </c:pt>
                <c:pt idx="2455">
                  <c:v>45.94</c:v>
                </c:pt>
                <c:pt idx="2456">
                  <c:v>42</c:v>
                </c:pt>
                <c:pt idx="2457">
                  <c:v>25.98</c:v>
                </c:pt>
                <c:pt idx="2458">
                  <c:v>25.98</c:v>
                </c:pt>
                <c:pt idx="2459">
                  <c:v>25.5</c:v>
                </c:pt>
                <c:pt idx="2460">
                  <c:v>25.9</c:v>
                </c:pt>
                <c:pt idx="2461">
                  <c:v>32.86</c:v>
                </c:pt>
                <c:pt idx="2462">
                  <c:v>30.24</c:v>
                </c:pt>
                <c:pt idx="2463">
                  <c:v>25.36</c:v>
                </c:pt>
                <c:pt idx="2464">
                  <c:v>30.24</c:v>
                </c:pt>
                <c:pt idx="2465">
                  <c:v>25.36</c:v>
                </c:pt>
                <c:pt idx="2466">
                  <c:v>25.5</c:v>
                </c:pt>
                <c:pt idx="2467">
                  <c:v>41.21</c:v>
                </c:pt>
                <c:pt idx="2468">
                  <c:v>41.21</c:v>
                </c:pt>
                <c:pt idx="2469">
                  <c:v>28.08</c:v>
                </c:pt>
                <c:pt idx="2470">
                  <c:v>28.08</c:v>
                </c:pt>
                <c:pt idx="2471">
                  <c:v>30.24</c:v>
                </c:pt>
                <c:pt idx="2472">
                  <c:v>30.24</c:v>
                </c:pt>
                <c:pt idx="2473">
                  <c:v>36</c:v>
                </c:pt>
                <c:pt idx="2474">
                  <c:v>41.04</c:v>
                </c:pt>
                <c:pt idx="2475">
                  <c:v>41.21</c:v>
                </c:pt>
                <c:pt idx="2476">
                  <c:v>41.21</c:v>
                </c:pt>
                <c:pt idx="2477">
                  <c:v>41.21</c:v>
                </c:pt>
                <c:pt idx="2478">
                  <c:v>32.86</c:v>
                </c:pt>
                <c:pt idx="2479">
                  <c:v>43.65</c:v>
                </c:pt>
                <c:pt idx="2480">
                  <c:v>43.66</c:v>
                </c:pt>
                <c:pt idx="2481">
                  <c:v>43.65</c:v>
                </c:pt>
                <c:pt idx="2482">
                  <c:v>53.38</c:v>
                </c:pt>
                <c:pt idx="2483">
                  <c:v>63.2</c:v>
                </c:pt>
                <c:pt idx="2484">
                  <c:v>66.260000000000005</c:v>
                </c:pt>
                <c:pt idx="2485">
                  <c:v>58.48</c:v>
                </c:pt>
                <c:pt idx="2486">
                  <c:v>50.47</c:v>
                </c:pt>
                <c:pt idx="2487">
                  <c:v>50.47</c:v>
                </c:pt>
                <c:pt idx="2488">
                  <c:v>56.26</c:v>
                </c:pt>
                <c:pt idx="2489">
                  <c:v>50.31</c:v>
                </c:pt>
                <c:pt idx="2490">
                  <c:v>60.17</c:v>
                </c:pt>
                <c:pt idx="2491">
                  <c:v>65.56</c:v>
                </c:pt>
                <c:pt idx="2492">
                  <c:v>43.66</c:v>
                </c:pt>
                <c:pt idx="2493">
                  <c:v>43.65</c:v>
                </c:pt>
                <c:pt idx="2494">
                  <c:v>43.66</c:v>
                </c:pt>
                <c:pt idx="2495">
                  <c:v>43.65</c:v>
                </c:pt>
                <c:pt idx="2496">
                  <c:v>43.65</c:v>
                </c:pt>
                <c:pt idx="2497">
                  <c:v>43.66</c:v>
                </c:pt>
                <c:pt idx="2498">
                  <c:v>43.66</c:v>
                </c:pt>
                <c:pt idx="2499">
                  <c:v>43.65</c:v>
                </c:pt>
                <c:pt idx="2500">
                  <c:v>43.66</c:v>
                </c:pt>
                <c:pt idx="2501">
                  <c:v>43.66</c:v>
                </c:pt>
                <c:pt idx="2502">
                  <c:v>43.65</c:v>
                </c:pt>
                <c:pt idx="2503">
                  <c:v>53.96</c:v>
                </c:pt>
                <c:pt idx="2504">
                  <c:v>51.02</c:v>
                </c:pt>
                <c:pt idx="2505">
                  <c:v>48.67</c:v>
                </c:pt>
                <c:pt idx="2506">
                  <c:v>65.290000000000006</c:v>
                </c:pt>
                <c:pt idx="2507">
                  <c:v>65.290000000000006</c:v>
                </c:pt>
                <c:pt idx="2508">
                  <c:v>65.290000000000006</c:v>
                </c:pt>
                <c:pt idx="2509">
                  <c:v>70.180000000000007</c:v>
                </c:pt>
                <c:pt idx="2510">
                  <c:v>56.18</c:v>
                </c:pt>
                <c:pt idx="2511">
                  <c:v>64.25</c:v>
                </c:pt>
                <c:pt idx="2512">
                  <c:v>64.7</c:v>
                </c:pt>
                <c:pt idx="2513">
                  <c:v>64.7</c:v>
                </c:pt>
                <c:pt idx="2514">
                  <c:v>45.53</c:v>
                </c:pt>
                <c:pt idx="2515">
                  <c:v>53.38</c:v>
                </c:pt>
                <c:pt idx="2516">
                  <c:v>53.38</c:v>
                </c:pt>
                <c:pt idx="2517">
                  <c:v>53.11</c:v>
                </c:pt>
                <c:pt idx="2518">
                  <c:v>45.56</c:v>
                </c:pt>
                <c:pt idx="2519">
                  <c:v>53.11</c:v>
                </c:pt>
                <c:pt idx="2520">
                  <c:v>53.11</c:v>
                </c:pt>
                <c:pt idx="2521">
                  <c:v>56.79</c:v>
                </c:pt>
                <c:pt idx="2522">
                  <c:v>56.79</c:v>
                </c:pt>
                <c:pt idx="2523">
                  <c:v>58.66</c:v>
                </c:pt>
                <c:pt idx="2524">
                  <c:v>58.66</c:v>
                </c:pt>
                <c:pt idx="2525">
                  <c:v>50.47</c:v>
                </c:pt>
                <c:pt idx="2526">
                  <c:v>56.18</c:v>
                </c:pt>
                <c:pt idx="2527">
                  <c:v>50.31</c:v>
                </c:pt>
                <c:pt idx="2528">
                  <c:v>66.260000000000005</c:v>
                </c:pt>
                <c:pt idx="2529">
                  <c:v>58.48</c:v>
                </c:pt>
                <c:pt idx="2530">
                  <c:v>45.53</c:v>
                </c:pt>
                <c:pt idx="2531">
                  <c:v>53.38</c:v>
                </c:pt>
                <c:pt idx="2532">
                  <c:v>41.7</c:v>
                </c:pt>
                <c:pt idx="2533">
                  <c:v>41.7</c:v>
                </c:pt>
                <c:pt idx="2534">
                  <c:v>64.25</c:v>
                </c:pt>
                <c:pt idx="2535">
                  <c:v>64.7</c:v>
                </c:pt>
                <c:pt idx="2536">
                  <c:v>64.7</c:v>
                </c:pt>
                <c:pt idx="2537">
                  <c:v>43.66</c:v>
                </c:pt>
                <c:pt idx="2538">
                  <c:v>43.65</c:v>
                </c:pt>
                <c:pt idx="2539">
                  <c:v>43.66</c:v>
                </c:pt>
                <c:pt idx="2540">
                  <c:v>43.65</c:v>
                </c:pt>
                <c:pt idx="2541">
                  <c:v>43.65</c:v>
                </c:pt>
                <c:pt idx="2542">
                  <c:v>43.66</c:v>
                </c:pt>
                <c:pt idx="2543">
                  <c:v>43.66</c:v>
                </c:pt>
                <c:pt idx="2544">
                  <c:v>43.65</c:v>
                </c:pt>
                <c:pt idx="2545">
                  <c:v>43.66</c:v>
                </c:pt>
                <c:pt idx="2546">
                  <c:v>53.96</c:v>
                </c:pt>
                <c:pt idx="2547">
                  <c:v>48.97</c:v>
                </c:pt>
                <c:pt idx="2548">
                  <c:v>86.24</c:v>
                </c:pt>
                <c:pt idx="2549">
                  <c:v>86.24</c:v>
                </c:pt>
                <c:pt idx="2550">
                  <c:v>86.24</c:v>
                </c:pt>
                <c:pt idx="2551">
                  <c:v>79.38</c:v>
                </c:pt>
                <c:pt idx="2552">
                  <c:v>51.11</c:v>
                </c:pt>
                <c:pt idx="2553">
                  <c:v>48</c:v>
                </c:pt>
                <c:pt idx="2554">
                  <c:v>52.5</c:v>
                </c:pt>
                <c:pt idx="2555">
                  <c:v>52.5</c:v>
                </c:pt>
                <c:pt idx="2556">
                  <c:v>52.5</c:v>
                </c:pt>
                <c:pt idx="2557">
                  <c:v>67.739999999999995</c:v>
                </c:pt>
                <c:pt idx="2558">
                  <c:v>67.739999999999995</c:v>
                </c:pt>
                <c:pt idx="2559">
                  <c:v>67.739999999999995</c:v>
                </c:pt>
                <c:pt idx="2560">
                  <c:v>67.739999999999995</c:v>
                </c:pt>
                <c:pt idx="2561">
                  <c:v>42.14</c:v>
                </c:pt>
                <c:pt idx="2562">
                  <c:v>62.1</c:v>
                </c:pt>
                <c:pt idx="2563">
                  <c:v>62.1</c:v>
                </c:pt>
                <c:pt idx="2564">
                  <c:v>60.14</c:v>
                </c:pt>
                <c:pt idx="2565">
                  <c:v>74.41</c:v>
                </c:pt>
                <c:pt idx="2566">
                  <c:v>66.17</c:v>
                </c:pt>
                <c:pt idx="2567">
                  <c:v>64.819999999999993</c:v>
                </c:pt>
                <c:pt idx="2568">
                  <c:v>74.239999999999995</c:v>
                </c:pt>
                <c:pt idx="2569">
                  <c:v>78.62</c:v>
                </c:pt>
                <c:pt idx="2570">
                  <c:v>80.41</c:v>
                </c:pt>
                <c:pt idx="2571">
                  <c:v>117.2</c:v>
                </c:pt>
                <c:pt idx="2572">
                  <c:v>62.1</c:v>
                </c:pt>
                <c:pt idx="2573">
                  <c:v>62.1</c:v>
                </c:pt>
                <c:pt idx="2574">
                  <c:v>74.41</c:v>
                </c:pt>
                <c:pt idx="2575">
                  <c:v>80.41</c:v>
                </c:pt>
                <c:pt idx="2576">
                  <c:v>74.41</c:v>
                </c:pt>
                <c:pt idx="2577">
                  <c:v>60.14</c:v>
                </c:pt>
                <c:pt idx="2578">
                  <c:v>62.55</c:v>
                </c:pt>
                <c:pt idx="2579">
                  <c:v>64.819999999999993</c:v>
                </c:pt>
                <c:pt idx="2580">
                  <c:v>117.2</c:v>
                </c:pt>
                <c:pt idx="2581">
                  <c:v>68.239999999999995</c:v>
                </c:pt>
                <c:pt idx="2582">
                  <c:v>80</c:v>
                </c:pt>
                <c:pt idx="2583">
                  <c:v>60</c:v>
                </c:pt>
                <c:pt idx="2584">
                  <c:v>94.55</c:v>
                </c:pt>
                <c:pt idx="2585">
                  <c:v>34.36</c:v>
                </c:pt>
                <c:pt idx="2586">
                  <c:v>24.58</c:v>
                </c:pt>
                <c:pt idx="2587">
                  <c:v>33.07</c:v>
                </c:pt>
                <c:pt idx="2588">
                  <c:v>33.07</c:v>
                </c:pt>
                <c:pt idx="2589">
                  <c:v>30.77</c:v>
                </c:pt>
                <c:pt idx="2590">
                  <c:v>30.77</c:v>
                </c:pt>
                <c:pt idx="2591">
                  <c:v>30.54</c:v>
                </c:pt>
                <c:pt idx="2592">
                  <c:v>32.9</c:v>
                </c:pt>
                <c:pt idx="2593">
                  <c:v>42.78</c:v>
                </c:pt>
                <c:pt idx="2594">
                  <c:v>30</c:v>
                </c:pt>
                <c:pt idx="2595">
                  <c:v>30.77</c:v>
                </c:pt>
                <c:pt idx="2596">
                  <c:v>30.54</c:v>
                </c:pt>
                <c:pt idx="2597">
                  <c:v>23</c:v>
                </c:pt>
                <c:pt idx="2598">
                  <c:v>33.07</c:v>
                </c:pt>
                <c:pt idx="2599">
                  <c:v>26.75</c:v>
                </c:pt>
                <c:pt idx="2600">
                  <c:v>25.73</c:v>
                </c:pt>
                <c:pt idx="2601">
                  <c:v>17</c:v>
                </c:pt>
                <c:pt idx="2602">
                  <c:v>26</c:v>
                </c:pt>
                <c:pt idx="2603">
                  <c:v>19.87</c:v>
                </c:pt>
                <c:pt idx="2604">
                  <c:v>19.87</c:v>
                </c:pt>
                <c:pt idx="2605">
                  <c:v>20.399999999999999</c:v>
                </c:pt>
                <c:pt idx="2606">
                  <c:v>23.02</c:v>
                </c:pt>
                <c:pt idx="2607">
                  <c:v>32.9</c:v>
                </c:pt>
                <c:pt idx="2608">
                  <c:v>22.5</c:v>
                </c:pt>
                <c:pt idx="2609">
                  <c:v>22.5</c:v>
                </c:pt>
                <c:pt idx="2610">
                  <c:v>17.82</c:v>
                </c:pt>
                <c:pt idx="2611">
                  <c:v>21</c:v>
                </c:pt>
                <c:pt idx="2612">
                  <c:v>21</c:v>
                </c:pt>
                <c:pt idx="2613">
                  <c:v>18.34</c:v>
                </c:pt>
                <c:pt idx="2614">
                  <c:v>18.34</c:v>
                </c:pt>
                <c:pt idx="2615">
                  <c:v>16.91</c:v>
                </c:pt>
                <c:pt idx="2616">
                  <c:v>21.32</c:v>
                </c:pt>
                <c:pt idx="2617">
                  <c:v>20</c:v>
                </c:pt>
                <c:pt idx="2618">
                  <c:v>30</c:v>
                </c:pt>
                <c:pt idx="2619">
                  <c:v>20.27</c:v>
                </c:pt>
                <c:pt idx="2620">
                  <c:v>25</c:v>
                </c:pt>
                <c:pt idx="2621">
                  <c:v>17.95</c:v>
                </c:pt>
                <c:pt idx="2622">
                  <c:v>22.9</c:v>
                </c:pt>
                <c:pt idx="2623">
                  <c:v>24.1</c:v>
                </c:pt>
                <c:pt idx="2624">
                  <c:v>24.5</c:v>
                </c:pt>
                <c:pt idx="2625">
                  <c:v>21.22</c:v>
                </c:pt>
                <c:pt idx="2626">
                  <c:v>21.22</c:v>
                </c:pt>
                <c:pt idx="2627">
                  <c:v>21.88</c:v>
                </c:pt>
                <c:pt idx="2628">
                  <c:v>25.51</c:v>
                </c:pt>
                <c:pt idx="2629">
                  <c:v>26.78</c:v>
                </c:pt>
                <c:pt idx="2630">
                  <c:v>30.83</c:v>
                </c:pt>
                <c:pt idx="2631">
                  <c:v>20.25</c:v>
                </c:pt>
                <c:pt idx="2632">
                  <c:v>21.8</c:v>
                </c:pt>
                <c:pt idx="2633">
                  <c:v>22</c:v>
                </c:pt>
                <c:pt idx="2634">
                  <c:v>17.579999999999998</c:v>
                </c:pt>
                <c:pt idx="2635">
                  <c:v>19</c:v>
                </c:pt>
                <c:pt idx="2636">
                  <c:v>18.75</c:v>
                </c:pt>
                <c:pt idx="2637">
                  <c:v>19.25</c:v>
                </c:pt>
                <c:pt idx="2638">
                  <c:v>24.19</c:v>
                </c:pt>
                <c:pt idx="2639">
                  <c:v>24.16</c:v>
                </c:pt>
                <c:pt idx="2640">
                  <c:v>28</c:v>
                </c:pt>
                <c:pt idx="2641">
                  <c:v>28.99</c:v>
                </c:pt>
                <c:pt idx="2642">
                  <c:v>16.27</c:v>
                </c:pt>
                <c:pt idx="2643">
                  <c:v>25.83</c:v>
                </c:pt>
                <c:pt idx="2644">
                  <c:v>24.48</c:v>
                </c:pt>
                <c:pt idx="2645">
                  <c:v>21.87</c:v>
                </c:pt>
                <c:pt idx="2646">
                  <c:v>23.97</c:v>
                </c:pt>
                <c:pt idx="2647">
                  <c:v>25.54</c:v>
                </c:pt>
                <c:pt idx="2648">
                  <c:v>25</c:v>
                </c:pt>
                <c:pt idx="2649">
                  <c:v>32.9</c:v>
                </c:pt>
                <c:pt idx="2650">
                  <c:v>25.54</c:v>
                </c:pt>
                <c:pt idx="2651">
                  <c:v>25</c:v>
                </c:pt>
                <c:pt idx="2652">
                  <c:v>23.97</c:v>
                </c:pt>
                <c:pt idx="2653">
                  <c:v>25.54</c:v>
                </c:pt>
                <c:pt idx="2654">
                  <c:v>25</c:v>
                </c:pt>
                <c:pt idx="2655">
                  <c:v>44.54</c:v>
                </c:pt>
                <c:pt idx="2656">
                  <c:v>20</c:v>
                </c:pt>
                <c:pt idx="2657">
                  <c:v>21.17</c:v>
                </c:pt>
                <c:pt idx="2658">
                  <c:v>18</c:v>
                </c:pt>
                <c:pt idx="2659">
                  <c:v>19.02</c:v>
                </c:pt>
                <c:pt idx="2660">
                  <c:v>22.26</c:v>
                </c:pt>
                <c:pt idx="2661">
                  <c:v>31.19</c:v>
                </c:pt>
                <c:pt idx="2662">
                  <c:v>17.41</c:v>
                </c:pt>
                <c:pt idx="2663">
                  <c:v>11.1</c:v>
                </c:pt>
                <c:pt idx="2664">
                  <c:v>10.33</c:v>
                </c:pt>
                <c:pt idx="2665">
                  <c:v>16.2</c:v>
                </c:pt>
                <c:pt idx="2666">
                  <c:v>28.36</c:v>
                </c:pt>
                <c:pt idx="2667">
                  <c:v>20</c:v>
                </c:pt>
                <c:pt idx="2668">
                  <c:v>17.32</c:v>
                </c:pt>
                <c:pt idx="2669">
                  <c:v>26.69</c:v>
                </c:pt>
                <c:pt idx="2670">
                  <c:v>22.87</c:v>
                </c:pt>
                <c:pt idx="2671">
                  <c:v>26.93</c:v>
                </c:pt>
                <c:pt idx="2672">
                  <c:v>19.02</c:v>
                </c:pt>
                <c:pt idx="2673">
                  <c:v>22.26</c:v>
                </c:pt>
                <c:pt idx="2674">
                  <c:v>22.9</c:v>
                </c:pt>
                <c:pt idx="2675">
                  <c:v>24.1</c:v>
                </c:pt>
                <c:pt idx="2676">
                  <c:v>30.83</c:v>
                </c:pt>
                <c:pt idx="2677">
                  <c:v>16.2</c:v>
                </c:pt>
                <c:pt idx="2678">
                  <c:v>21</c:v>
                </c:pt>
                <c:pt idx="2679">
                  <c:v>21</c:v>
                </c:pt>
                <c:pt idx="2680">
                  <c:v>17.579999999999998</c:v>
                </c:pt>
                <c:pt idx="2681">
                  <c:v>23.02</c:v>
                </c:pt>
                <c:pt idx="2682">
                  <c:v>28.99</c:v>
                </c:pt>
                <c:pt idx="2683">
                  <c:v>25.83</c:v>
                </c:pt>
                <c:pt idx="2684">
                  <c:v>17.41</c:v>
                </c:pt>
                <c:pt idx="2685">
                  <c:v>25.04</c:v>
                </c:pt>
                <c:pt idx="2686">
                  <c:v>26.78</c:v>
                </c:pt>
                <c:pt idx="2687">
                  <c:v>23.97</c:v>
                </c:pt>
                <c:pt idx="2688">
                  <c:v>23.97</c:v>
                </c:pt>
                <c:pt idx="2689">
                  <c:v>25.54</c:v>
                </c:pt>
                <c:pt idx="2690">
                  <c:v>32.9</c:v>
                </c:pt>
                <c:pt idx="2691">
                  <c:v>25.54</c:v>
                </c:pt>
                <c:pt idx="2692">
                  <c:v>25</c:v>
                </c:pt>
                <c:pt idx="2693">
                  <c:v>25</c:v>
                </c:pt>
                <c:pt idx="2694">
                  <c:v>23.97</c:v>
                </c:pt>
                <c:pt idx="2695">
                  <c:v>25.54</c:v>
                </c:pt>
                <c:pt idx="2696">
                  <c:v>25</c:v>
                </c:pt>
                <c:pt idx="2697">
                  <c:v>18.34</c:v>
                </c:pt>
                <c:pt idx="2698">
                  <c:v>18.34</c:v>
                </c:pt>
                <c:pt idx="2699">
                  <c:v>20.059999999999999</c:v>
                </c:pt>
                <c:pt idx="2700">
                  <c:v>44.54</c:v>
                </c:pt>
                <c:pt idx="2701">
                  <c:v>21.17</c:v>
                </c:pt>
                <c:pt idx="2702">
                  <c:v>16.5</c:v>
                </c:pt>
                <c:pt idx="2703">
                  <c:v>19.5</c:v>
                </c:pt>
                <c:pt idx="2704">
                  <c:v>21.8</c:v>
                </c:pt>
                <c:pt idx="2705">
                  <c:v>21.8</c:v>
                </c:pt>
                <c:pt idx="2706">
                  <c:v>19.36</c:v>
                </c:pt>
                <c:pt idx="2707">
                  <c:v>32.94</c:v>
                </c:pt>
                <c:pt idx="2708">
                  <c:v>21.22</c:v>
                </c:pt>
                <c:pt idx="2709">
                  <c:v>20.399999999999999</c:v>
                </c:pt>
                <c:pt idx="2710">
                  <c:v>20.010000000000002</c:v>
                </c:pt>
                <c:pt idx="2711">
                  <c:v>20.3</c:v>
                </c:pt>
                <c:pt idx="2712">
                  <c:v>20.010000000000002</c:v>
                </c:pt>
                <c:pt idx="2713">
                  <c:v>20.3</c:v>
                </c:pt>
                <c:pt idx="2714">
                  <c:v>23.6</c:v>
                </c:pt>
                <c:pt idx="2715">
                  <c:v>25.3</c:v>
                </c:pt>
                <c:pt idx="2716">
                  <c:v>25.51</c:v>
                </c:pt>
                <c:pt idx="2717">
                  <c:v>32.94</c:v>
                </c:pt>
                <c:pt idx="2718">
                  <c:v>28.84</c:v>
                </c:pt>
                <c:pt idx="2719">
                  <c:v>25.41</c:v>
                </c:pt>
                <c:pt idx="2720">
                  <c:v>48.3</c:v>
                </c:pt>
                <c:pt idx="2721">
                  <c:v>33.74</c:v>
                </c:pt>
                <c:pt idx="2722">
                  <c:v>31.5</c:v>
                </c:pt>
                <c:pt idx="2723">
                  <c:v>47.86</c:v>
                </c:pt>
                <c:pt idx="2724">
                  <c:v>40.229999999999997</c:v>
                </c:pt>
                <c:pt idx="2725">
                  <c:v>25.74</c:v>
                </c:pt>
                <c:pt idx="2726">
                  <c:v>25.74</c:v>
                </c:pt>
                <c:pt idx="2727">
                  <c:v>38.89</c:v>
                </c:pt>
                <c:pt idx="2728">
                  <c:v>38.89</c:v>
                </c:pt>
                <c:pt idx="2729">
                  <c:v>38.89</c:v>
                </c:pt>
                <c:pt idx="2730">
                  <c:v>34.869999999999997</c:v>
                </c:pt>
                <c:pt idx="2731">
                  <c:v>30.79</c:v>
                </c:pt>
                <c:pt idx="2732">
                  <c:v>30.79</c:v>
                </c:pt>
                <c:pt idx="2733">
                  <c:v>40.44</c:v>
                </c:pt>
                <c:pt idx="2734">
                  <c:v>38.31</c:v>
                </c:pt>
                <c:pt idx="2735">
                  <c:v>41.08</c:v>
                </c:pt>
                <c:pt idx="2736">
                  <c:v>36.4</c:v>
                </c:pt>
                <c:pt idx="2737">
                  <c:v>30.02</c:v>
                </c:pt>
                <c:pt idx="2738">
                  <c:v>30.95</c:v>
                </c:pt>
                <c:pt idx="2739">
                  <c:v>30.95</c:v>
                </c:pt>
                <c:pt idx="2740">
                  <c:v>33.729999999999997</c:v>
                </c:pt>
                <c:pt idx="2741">
                  <c:v>40.79</c:v>
                </c:pt>
                <c:pt idx="2742">
                  <c:v>33.479999999999997</c:v>
                </c:pt>
                <c:pt idx="2743">
                  <c:v>33.950000000000003</c:v>
                </c:pt>
                <c:pt idx="2744">
                  <c:v>33.950000000000003</c:v>
                </c:pt>
                <c:pt idx="2745">
                  <c:v>33.119999999999997</c:v>
                </c:pt>
                <c:pt idx="2746">
                  <c:v>33.950000000000003</c:v>
                </c:pt>
                <c:pt idx="2747">
                  <c:v>33.950000000000003</c:v>
                </c:pt>
                <c:pt idx="2748">
                  <c:v>43.28</c:v>
                </c:pt>
                <c:pt idx="2749">
                  <c:v>38.97</c:v>
                </c:pt>
                <c:pt idx="2750">
                  <c:v>38.97</c:v>
                </c:pt>
                <c:pt idx="2751">
                  <c:v>38.92</c:v>
                </c:pt>
                <c:pt idx="2752">
                  <c:v>38.31</c:v>
                </c:pt>
                <c:pt idx="2753">
                  <c:v>38.89</c:v>
                </c:pt>
                <c:pt idx="2754">
                  <c:v>38.89</c:v>
                </c:pt>
                <c:pt idx="2755">
                  <c:v>43.47</c:v>
                </c:pt>
                <c:pt idx="2756">
                  <c:v>52.17</c:v>
                </c:pt>
                <c:pt idx="2757">
                  <c:v>38.97</c:v>
                </c:pt>
                <c:pt idx="2758">
                  <c:v>31.5</c:v>
                </c:pt>
                <c:pt idx="2759">
                  <c:v>25.74</c:v>
                </c:pt>
                <c:pt idx="2760">
                  <c:v>40.79</c:v>
                </c:pt>
                <c:pt idx="2761">
                  <c:v>30.79</c:v>
                </c:pt>
                <c:pt idx="2762">
                  <c:v>40.43</c:v>
                </c:pt>
                <c:pt idx="2763">
                  <c:v>51.2</c:v>
                </c:pt>
                <c:pt idx="2764">
                  <c:v>43.47</c:v>
                </c:pt>
                <c:pt idx="2765">
                  <c:v>52.17</c:v>
                </c:pt>
                <c:pt idx="2766">
                  <c:v>18.13</c:v>
                </c:pt>
                <c:pt idx="2767">
                  <c:v>25.2</c:v>
                </c:pt>
                <c:pt idx="2768">
                  <c:v>28.92</c:v>
                </c:pt>
                <c:pt idx="2769">
                  <c:v>17.39</c:v>
                </c:pt>
                <c:pt idx="2770">
                  <c:v>11.62</c:v>
                </c:pt>
                <c:pt idx="2771">
                  <c:v>10.99</c:v>
                </c:pt>
                <c:pt idx="2772">
                  <c:v>15.75</c:v>
                </c:pt>
                <c:pt idx="2773">
                  <c:v>15.75</c:v>
                </c:pt>
                <c:pt idx="2774">
                  <c:v>10.66</c:v>
                </c:pt>
                <c:pt idx="2775">
                  <c:v>22.94</c:v>
                </c:pt>
                <c:pt idx="2776">
                  <c:v>13.9</c:v>
                </c:pt>
                <c:pt idx="2777">
                  <c:v>21</c:v>
                </c:pt>
                <c:pt idx="2778">
                  <c:v>17</c:v>
                </c:pt>
                <c:pt idx="2779">
                  <c:v>23.25</c:v>
                </c:pt>
                <c:pt idx="2780">
                  <c:v>19.61</c:v>
                </c:pt>
                <c:pt idx="2781">
                  <c:v>17.28</c:v>
                </c:pt>
                <c:pt idx="2782">
                  <c:v>14.99</c:v>
                </c:pt>
                <c:pt idx="2783">
                  <c:v>12.5</c:v>
                </c:pt>
                <c:pt idx="2784">
                  <c:v>16.7</c:v>
                </c:pt>
                <c:pt idx="2785">
                  <c:v>18.329999999999998</c:v>
                </c:pt>
                <c:pt idx="2786">
                  <c:v>12.96</c:v>
                </c:pt>
                <c:pt idx="2787">
                  <c:v>26.26</c:v>
                </c:pt>
                <c:pt idx="2788">
                  <c:v>18.7</c:v>
                </c:pt>
                <c:pt idx="2789">
                  <c:v>25.47</c:v>
                </c:pt>
                <c:pt idx="2790">
                  <c:v>25.47</c:v>
                </c:pt>
                <c:pt idx="2791">
                  <c:v>25.47</c:v>
                </c:pt>
                <c:pt idx="2792">
                  <c:v>34.229999999999997</c:v>
                </c:pt>
                <c:pt idx="2793">
                  <c:v>17.59</c:v>
                </c:pt>
                <c:pt idx="2794">
                  <c:v>14.86</c:v>
                </c:pt>
                <c:pt idx="2795">
                  <c:v>30.14</c:v>
                </c:pt>
                <c:pt idx="2796">
                  <c:v>30.14</c:v>
                </c:pt>
                <c:pt idx="2797">
                  <c:v>10.32</c:v>
                </c:pt>
                <c:pt idx="2798">
                  <c:v>19</c:v>
                </c:pt>
                <c:pt idx="2799">
                  <c:v>10.91</c:v>
                </c:pt>
                <c:pt idx="2800">
                  <c:v>10.91</c:v>
                </c:pt>
                <c:pt idx="2801">
                  <c:v>10.91</c:v>
                </c:pt>
                <c:pt idx="2802">
                  <c:v>11.22</c:v>
                </c:pt>
                <c:pt idx="2803">
                  <c:v>10.66</c:v>
                </c:pt>
                <c:pt idx="2804">
                  <c:v>24.94</c:v>
                </c:pt>
                <c:pt idx="2805">
                  <c:v>20.5</c:v>
                </c:pt>
                <c:pt idx="2806">
                  <c:v>15</c:v>
                </c:pt>
                <c:pt idx="2807">
                  <c:v>16</c:v>
                </c:pt>
                <c:pt idx="2808">
                  <c:v>17</c:v>
                </c:pt>
                <c:pt idx="2809">
                  <c:v>10.32</c:v>
                </c:pt>
                <c:pt idx="2810">
                  <c:v>10.32</c:v>
                </c:pt>
                <c:pt idx="2811">
                  <c:v>11.39</c:v>
                </c:pt>
                <c:pt idx="2812">
                  <c:v>20.02</c:v>
                </c:pt>
                <c:pt idx="2813">
                  <c:v>27.07</c:v>
                </c:pt>
                <c:pt idx="2814">
                  <c:v>12.42</c:v>
                </c:pt>
                <c:pt idx="2815">
                  <c:v>23</c:v>
                </c:pt>
                <c:pt idx="2816">
                  <c:v>29.21</c:v>
                </c:pt>
                <c:pt idx="2817">
                  <c:v>21.15</c:v>
                </c:pt>
                <c:pt idx="2818">
                  <c:v>13</c:v>
                </c:pt>
                <c:pt idx="2819">
                  <c:v>16.55</c:v>
                </c:pt>
                <c:pt idx="2820">
                  <c:v>13.31</c:v>
                </c:pt>
                <c:pt idx="2821">
                  <c:v>12.04</c:v>
                </c:pt>
                <c:pt idx="2822">
                  <c:v>14.12</c:v>
                </c:pt>
                <c:pt idx="2823">
                  <c:v>14.12</c:v>
                </c:pt>
                <c:pt idx="2824">
                  <c:v>20.100000000000001</c:v>
                </c:pt>
                <c:pt idx="2825">
                  <c:v>24.3</c:v>
                </c:pt>
                <c:pt idx="2826">
                  <c:v>25.47</c:v>
                </c:pt>
                <c:pt idx="2827">
                  <c:v>25.47</c:v>
                </c:pt>
                <c:pt idx="2828">
                  <c:v>25.47</c:v>
                </c:pt>
                <c:pt idx="2829">
                  <c:v>10.32</c:v>
                </c:pt>
                <c:pt idx="2830">
                  <c:v>13.89</c:v>
                </c:pt>
                <c:pt idx="2831">
                  <c:v>13.9</c:v>
                </c:pt>
                <c:pt idx="2832">
                  <c:v>17.59</c:v>
                </c:pt>
                <c:pt idx="2833">
                  <c:v>17.95</c:v>
                </c:pt>
                <c:pt idx="2834">
                  <c:v>10</c:v>
                </c:pt>
                <c:pt idx="2835">
                  <c:v>18.7</c:v>
                </c:pt>
                <c:pt idx="2836">
                  <c:v>10.99</c:v>
                </c:pt>
                <c:pt idx="2837">
                  <c:v>10.32</c:v>
                </c:pt>
                <c:pt idx="2838">
                  <c:v>10.32</c:v>
                </c:pt>
                <c:pt idx="2839">
                  <c:v>10.91</c:v>
                </c:pt>
                <c:pt idx="2840">
                  <c:v>11.22</c:v>
                </c:pt>
                <c:pt idx="2841">
                  <c:v>11.39</c:v>
                </c:pt>
                <c:pt idx="2842">
                  <c:v>15.75</c:v>
                </c:pt>
                <c:pt idx="2843">
                  <c:v>17.39</c:v>
                </c:pt>
                <c:pt idx="2844">
                  <c:v>24.94</c:v>
                </c:pt>
                <c:pt idx="2845">
                  <c:v>14.86</c:v>
                </c:pt>
                <c:pt idx="2846">
                  <c:v>16.7</c:v>
                </c:pt>
                <c:pt idx="2847">
                  <c:v>30.14</c:v>
                </c:pt>
                <c:pt idx="2848">
                  <c:v>25.2</c:v>
                </c:pt>
                <c:pt idx="2849">
                  <c:v>14.99</c:v>
                </c:pt>
                <c:pt idx="2850">
                  <c:v>18.13</c:v>
                </c:pt>
                <c:pt idx="2851">
                  <c:v>24.3</c:v>
                </c:pt>
                <c:pt idx="2852">
                  <c:v>22.94</c:v>
                </c:pt>
                <c:pt idx="2853">
                  <c:v>14.24</c:v>
                </c:pt>
                <c:pt idx="2854">
                  <c:v>10</c:v>
                </c:pt>
                <c:pt idx="2855">
                  <c:v>12</c:v>
                </c:pt>
                <c:pt idx="2856">
                  <c:v>23.98</c:v>
                </c:pt>
                <c:pt idx="2857">
                  <c:v>24.32</c:v>
                </c:pt>
                <c:pt idx="2858">
                  <c:v>24.97</c:v>
                </c:pt>
                <c:pt idx="2859">
                  <c:v>24.97</c:v>
                </c:pt>
                <c:pt idx="2860">
                  <c:v>24.97</c:v>
                </c:pt>
                <c:pt idx="2861">
                  <c:v>40.03</c:v>
                </c:pt>
                <c:pt idx="2862">
                  <c:v>40.03</c:v>
                </c:pt>
                <c:pt idx="2863">
                  <c:v>40.03</c:v>
                </c:pt>
                <c:pt idx="2864">
                  <c:v>40.03</c:v>
                </c:pt>
                <c:pt idx="2865">
                  <c:v>40.03</c:v>
                </c:pt>
                <c:pt idx="2866">
                  <c:v>53.01</c:v>
                </c:pt>
                <c:pt idx="2867">
                  <c:v>41.12</c:v>
                </c:pt>
                <c:pt idx="2868">
                  <c:v>35</c:v>
                </c:pt>
                <c:pt idx="2869">
                  <c:v>35</c:v>
                </c:pt>
                <c:pt idx="2870">
                  <c:v>49.95</c:v>
                </c:pt>
                <c:pt idx="2871">
                  <c:v>40</c:v>
                </c:pt>
                <c:pt idx="2872">
                  <c:v>41.12</c:v>
                </c:pt>
                <c:pt idx="2873">
                  <c:v>25.61</c:v>
                </c:pt>
                <c:pt idx="2874">
                  <c:v>25.61</c:v>
                </c:pt>
                <c:pt idx="2875">
                  <c:v>61.27</c:v>
                </c:pt>
                <c:pt idx="2876">
                  <c:v>65.62</c:v>
                </c:pt>
                <c:pt idx="2877">
                  <c:v>65.62</c:v>
                </c:pt>
                <c:pt idx="2878">
                  <c:v>49.27</c:v>
                </c:pt>
                <c:pt idx="2879">
                  <c:v>53.68</c:v>
                </c:pt>
                <c:pt idx="2880">
                  <c:v>53.68</c:v>
                </c:pt>
                <c:pt idx="2881">
                  <c:v>60.21</c:v>
                </c:pt>
                <c:pt idx="2882">
                  <c:v>53.68</c:v>
                </c:pt>
                <c:pt idx="2883">
                  <c:v>70.88</c:v>
                </c:pt>
                <c:pt idx="2884">
                  <c:v>70.88</c:v>
                </c:pt>
                <c:pt idx="2885">
                  <c:v>65.23</c:v>
                </c:pt>
                <c:pt idx="2886">
                  <c:v>65.23</c:v>
                </c:pt>
                <c:pt idx="2887">
                  <c:v>86.16</c:v>
                </c:pt>
                <c:pt idx="2888">
                  <c:v>93.52</c:v>
                </c:pt>
                <c:pt idx="2889">
                  <c:v>79.02</c:v>
                </c:pt>
                <c:pt idx="2890">
                  <c:v>70.88</c:v>
                </c:pt>
                <c:pt idx="2891">
                  <c:v>70.88</c:v>
                </c:pt>
                <c:pt idx="2892">
                  <c:v>70.88</c:v>
                </c:pt>
                <c:pt idx="2893">
                  <c:v>64.64</c:v>
                </c:pt>
                <c:pt idx="2894">
                  <c:v>86.16</c:v>
                </c:pt>
                <c:pt idx="2895">
                  <c:v>93.52</c:v>
                </c:pt>
                <c:pt idx="2896">
                  <c:v>95.23</c:v>
                </c:pt>
                <c:pt idx="2897">
                  <c:v>64.64</c:v>
                </c:pt>
                <c:pt idx="2898">
                  <c:v>17.010000000000002</c:v>
                </c:pt>
                <c:pt idx="2899">
                  <c:v>17.54</c:v>
                </c:pt>
                <c:pt idx="2900">
                  <c:v>18.18</c:v>
                </c:pt>
                <c:pt idx="2901">
                  <c:v>17.010000000000002</c:v>
                </c:pt>
                <c:pt idx="2902">
                  <c:v>17.54</c:v>
                </c:pt>
                <c:pt idx="2903">
                  <c:v>18.18</c:v>
                </c:pt>
                <c:pt idx="2904">
                  <c:v>18.18</c:v>
                </c:pt>
                <c:pt idx="2905">
                  <c:v>33.53</c:v>
                </c:pt>
                <c:pt idx="2906">
                  <c:v>27.41</c:v>
                </c:pt>
                <c:pt idx="2907">
                  <c:v>38.25</c:v>
                </c:pt>
                <c:pt idx="2908">
                  <c:v>31.92</c:v>
                </c:pt>
                <c:pt idx="2909">
                  <c:v>31.92</c:v>
                </c:pt>
                <c:pt idx="2910">
                  <c:v>28.02</c:v>
                </c:pt>
                <c:pt idx="2911">
                  <c:v>25.34</c:v>
                </c:pt>
                <c:pt idx="2912">
                  <c:v>32.450000000000003</c:v>
                </c:pt>
                <c:pt idx="2913">
                  <c:v>30.26</c:v>
                </c:pt>
                <c:pt idx="2914">
                  <c:v>25.34</c:v>
                </c:pt>
                <c:pt idx="2915">
                  <c:v>25.54</c:v>
                </c:pt>
                <c:pt idx="2916">
                  <c:v>21.17</c:v>
                </c:pt>
                <c:pt idx="2917">
                  <c:v>21.17</c:v>
                </c:pt>
                <c:pt idx="2918">
                  <c:v>21.17</c:v>
                </c:pt>
                <c:pt idx="2919">
                  <c:v>21.17</c:v>
                </c:pt>
                <c:pt idx="2920">
                  <c:v>33.1</c:v>
                </c:pt>
                <c:pt idx="2921">
                  <c:v>15.72</c:v>
                </c:pt>
                <c:pt idx="2922">
                  <c:v>23.55</c:v>
                </c:pt>
                <c:pt idx="2923">
                  <c:v>25.74</c:v>
                </c:pt>
                <c:pt idx="2924">
                  <c:v>19.38</c:v>
                </c:pt>
                <c:pt idx="2925">
                  <c:v>25.5</c:v>
                </c:pt>
                <c:pt idx="2926">
                  <c:v>24.61</c:v>
                </c:pt>
                <c:pt idx="2927">
                  <c:v>16.2</c:v>
                </c:pt>
                <c:pt idx="2928">
                  <c:v>16.100000000000001</c:v>
                </c:pt>
                <c:pt idx="2929">
                  <c:v>33.94</c:v>
                </c:pt>
                <c:pt idx="2930">
                  <c:v>20</c:v>
                </c:pt>
                <c:pt idx="2931">
                  <c:v>20</c:v>
                </c:pt>
                <c:pt idx="2932">
                  <c:v>25.99</c:v>
                </c:pt>
                <c:pt idx="2933">
                  <c:v>12.3</c:v>
                </c:pt>
                <c:pt idx="2934">
                  <c:v>12</c:v>
                </c:pt>
                <c:pt idx="2935">
                  <c:v>26.25</c:v>
                </c:pt>
                <c:pt idx="2936">
                  <c:v>23.1</c:v>
                </c:pt>
                <c:pt idx="2937">
                  <c:v>25.97</c:v>
                </c:pt>
                <c:pt idx="2938">
                  <c:v>25.97</c:v>
                </c:pt>
                <c:pt idx="2939">
                  <c:v>23.12</c:v>
                </c:pt>
                <c:pt idx="2940">
                  <c:v>21.14</c:v>
                </c:pt>
                <c:pt idx="2941">
                  <c:v>21.14</c:v>
                </c:pt>
                <c:pt idx="2942">
                  <c:v>23.25</c:v>
                </c:pt>
                <c:pt idx="2943">
                  <c:v>23.08</c:v>
                </c:pt>
                <c:pt idx="2944">
                  <c:v>15.5</c:v>
                </c:pt>
                <c:pt idx="2945">
                  <c:v>25.5</c:v>
                </c:pt>
                <c:pt idx="2946">
                  <c:v>29.97</c:v>
                </c:pt>
                <c:pt idx="2947">
                  <c:v>20.58</c:v>
                </c:pt>
                <c:pt idx="2948">
                  <c:v>20.25</c:v>
                </c:pt>
                <c:pt idx="2949">
                  <c:v>24.1</c:v>
                </c:pt>
                <c:pt idx="2950">
                  <c:v>25.5</c:v>
                </c:pt>
                <c:pt idx="2951">
                  <c:v>25.5</c:v>
                </c:pt>
                <c:pt idx="2952">
                  <c:v>25.5</c:v>
                </c:pt>
                <c:pt idx="2953">
                  <c:v>25.5</c:v>
                </c:pt>
                <c:pt idx="2954">
                  <c:v>25.5</c:v>
                </c:pt>
                <c:pt idx="2955">
                  <c:v>25.5</c:v>
                </c:pt>
                <c:pt idx="2956">
                  <c:v>22.15</c:v>
                </c:pt>
                <c:pt idx="2957">
                  <c:v>21.17</c:v>
                </c:pt>
                <c:pt idx="2958">
                  <c:v>21.17</c:v>
                </c:pt>
                <c:pt idx="2959">
                  <c:v>21.17</c:v>
                </c:pt>
                <c:pt idx="2960">
                  <c:v>20.14</c:v>
                </c:pt>
                <c:pt idx="2961">
                  <c:v>16.2</c:v>
                </c:pt>
                <c:pt idx="2962">
                  <c:v>20.100000000000001</c:v>
                </c:pt>
                <c:pt idx="2963">
                  <c:v>33.1</c:v>
                </c:pt>
                <c:pt idx="2964">
                  <c:v>25.74</c:v>
                </c:pt>
                <c:pt idx="2965">
                  <c:v>25.74</c:v>
                </c:pt>
                <c:pt idx="2966">
                  <c:v>21.71</c:v>
                </c:pt>
                <c:pt idx="2967">
                  <c:v>24.45</c:v>
                </c:pt>
                <c:pt idx="2968">
                  <c:v>24.84</c:v>
                </c:pt>
                <c:pt idx="2969">
                  <c:v>24.84</c:v>
                </c:pt>
                <c:pt idx="2970">
                  <c:v>25.62</c:v>
                </c:pt>
                <c:pt idx="2971">
                  <c:v>27.42</c:v>
                </c:pt>
                <c:pt idx="2972">
                  <c:v>30.51</c:v>
                </c:pt>
                <c:pt idx="2973">
                  <c:v>30.51</c:v>
                </c:pt>
                <c:pt idx="2974">
                  <c:v>19.87</c:v>
                </c:pt>
                <c:pt idx="2975">
                  <c:v>19.829999999999998</c:v>
                </c:pt>
                <c:pt idx="2976">
                  <c:v>19.829999999999998</c:v>
                </c:pt>
                <c:pt idx="2977">
                  <c:v>20.76</c:v>
                </c:pt>
                <c:pt idx="2978">
                  <c:v>20.45</c:v>
                </c:pt>
                <c:pt idx="2979">
                  <c:v>20.67</c:v>
                </c:pt>
                <c:pt idx="2980">
                  <c:v>20.45</c:v>
                </c:pt>
                <c:pt idx="2981">
                  <c:v>23.1</c:v>
                </c:pt>
                <c:pt idx="2982">
                  <c:v>23.1</c:v>
                </c:pt>
                <c:pt idx="2983">
                  <c:v>20.5</c:v>
                </c:pt>
                <c:pt idx="2984">
                  <c:v>21.61</c:v>
                </c:pt>
                <c:pt idx="2985">
                  <c:v>20</c:v>
                </c:pt>
                <c:pt idx="2986">
                  <c:v>20</c:v>
                </c:pt>
                <c:pt idx="2987">
                  <c:v>25.62</c:v>
                </c:pt>
                <c:pt idx="2988">
                  <c:v>21.17</c:v>
                </c:pt>
                <c:pt idx="2989">
                  <c:v>22.15</c:v>
                </c:pt>
                <c:pt idx="2990">
                  <c:v>21.17</c:v>
                </c:pt>
                <c:pt idx="2991">
                  <c:v>20.45</c:v>
                </c:pt>
                <c:pt idx="2992">
                  <c:v>20.45</c:v>
                </c:pt>
                <c:pt idx="2993">
                  <c:v>21.14</c:v>
                </c:pt>
                <c:pt idx="2994">
                  <c:v>21.14</c:v>
                </c:pt>
                <c:pt idx="2995">
                  <c:v>20.43</c:v>
                </c:pt>
                <c:pt idx="2996">
                  <c:v>21.28</c:v>
                </c:pt>
                <c:pt idx="2997">
                  <c:v>12.3</c:v>
                </c:pt>
                <c:pt idx="2998">
                  <c:v>12</c:v>
                </c:pt>
                <c:pt idx="2999">
                  <c:v>24.45</c:v>
                </c:pt>
                <c:pt idx="3000">
                  <c:v>24.14</c:v>
                </c:pt>
                <c:pt idx="3001">
                  <c:v>24.84</c:v>
                </c:pt>
                <c:pt idx="3002">
                  <c:v>25.99</c:v>
                </c:pt>
                <c:pt idx="3003">
                  <c:v>25.74</c:v>
                </c:pt>
                <c:pt idx="3004">
                  <c:v>26.25</c:v>
                </c:pt>
                <c:pt idx="3005">
                  <c:v>20</c:v>
                </c:pt>
                <c:pt idx="3006">
                  <c:v>19.38</c:v>
                </c:pt>
                <c:pt idx="3007">
                  <c:v>19.170000000000002</c:v>
                </c:pt>
                <c:pt idx="3008">
                  <c:v>29.97</c:v>
                </c:pt>
                <c:pt idx="3009">
                  <c:v>24.14</c:v>
                </c:pt>
                <c:pt idx="3010">
                  <c:v>27.42</c:v>
                </c:pt>
                <c:pt idx="3011">
                  <c:v>16.2</c:v>
                </c:pt>
                <c:pt idx="3012">
                  <c:v>25.4</c:v>
                </c:pt>
                <c:pt idx="3013">
                  <c:v>25.5</c:v>
                </c:pt>
                <c:pt idx="3014">
                  <c:v>25.5</c:v>
                </c:pt>
                <c:pt idx="3015">
                  <c:v>25.5</c:v>
                </c:pt>
                <c:pt idx="3016">
                  <c:v>25.5</c:v>
                </c:pt>
                <c:pt idx="3017">
                  <c:v>25.74</c:v>
                </c:pt>
                <c:pt idx="3018">
                  <c:v>18.64</c:v>
                </c:pt>
                <c:pt idx="3019">
                  <c:v>22.32</c:v>
                </c:pt>
                <c:pt idx="3020">
                  <c:v>19.829999999999998</c:v>
                </c:pt>
                <c:pt idx="3021">
                  <c:v>28.79</c:v>
                </c:pt>
                <c:pt idx="3022">
                  <c:v>28.79</c:v>
                </c:pt>
                <c:pt idx="3023">
                  <c:v>21.17</c:v>
                </c:pt>
                <c:pt idx="3024">
                  <c:v>21.17</c:v>
                </c:pt>
                <c:pt idx="3025">
                  <c:v>21.17</c:v>
                </c:pt>
                <c:pt idx="3026">
                  <c:v>18.22</c:v>
                </c:pt>
                <c:pt idx="3027">
                  <c:v>19.170000000000002</c:v>
                </c:pt>
                <c:pt idx="3028">
                  <c:v>21.28</c:v>
                </c:pt>
                <c:pt idx="3029">
                  <c:v>59.6</c:v>
                </c:pt>
                <c:pt idx="3030">
                  <c:v>59.6</c:v>
                </c:pt>
                <c:pt idx="3031">
                  <c:v>55.17</c:v>
                </c:pt>
                <c:pt idx="3032">
                  <c:v>34.549999999999997</c:v>
                </c:pt>
                <c:pt idx="3033">
                  <c:v>36.43</c:v>
                </c:pt>
                <c:pt idx="3034">
                  <c:v>25.22</c:v>
                </c:pt>
                <c:pt idx="3035">
                  <c:v>33.299999999999997</c:v>
                </c:pt>
                <c:pt idx="3036">
                  <c:v>35.409999999999997</c:v>
                </c:pt>
                <c:pt idx="3037">
                  <c:v>43.25</c:v>
                </c:pt>
                <c:pt idx="3038">
                  <c:v>49.68</c:v>
                </c:pt>
                <c:pt idx="3039">
                  <c:v>49.68</c:v>
                </c:pt>
                <c:pt idx="3040">
                  <c:v>33.57</c:v>
                </c:pt>
                <c:pt idx="3041">
                  <c:v>32.450000000000003</c:v>
                </c:pt>
                <c:pt idx="3042">
                  <c:v>32.450000000000003</c:v>
                </c:pt>
                <c:pt idx="3043">
                  <c:v>37.21</c:v>
                </c:pt>
                <c:pt idx="3044">
                  <c:v>47.27</c:v>
                </c:pt>
                <c:pt idx="3045">
                  <c:v>40.090000000000003</c:v>
                </c:pt>
                <c:pt idx="3046">
                  <c:v>50.35</c:v>
                </c:pt>
                <c:pt idx="3047">
                  <c:v>31.31</c:v>
                </c:pt>
                <c:pt idx="3048">
                  <c:v>33.04</c:v>
                </c:pt>
                <c:pt idx="3049">
                  <c:v>49.68</c:v>
                </c:pt>
                <c:pt idx="3050">
                  <c:v>49.68</c:v>
                </c:pt>
                <c:pt idx="3051">
                  <c:v>51.16</c:v>
                </c:pt>
                <c:pt idx="3052">
                  <c:v>55.17</c:v>
                </c:pt>
                <c:pt idx="3053">
                  <c:v>39.950000000000003</c:v>
                </c:pt>
                <c:pt idx="3054">
                  <c:v>45.12</c:v>
                </c:pt>
                <c:pt idx="3055">
                  <c:v>30.85</c:v>
                </c:pt>
                <c:pt idx="3056">
                  <c:v>38.979999999999997</c:v>
                </c:pt>
                <c:pt idx="3057">
                  <c:v>36.24</c:v>
                </c:pt>
                <c:pt idx="3058">
                  <c:v>36.24</c:v>
                </c:pt>
                <c:pt idx="3059">
                  <c:v>36.24</c:v>
                </c:pt>
                <c:pt idx="3060">
                  <c:v>43.25</c:v>
                </c:pt>
                <c:pt idx="3061">
                  <c:v>37.21</c:v>
                </c:pt>
                <c:pt idx="3062">
                  <c:v>33.96</c:v>
                </c:pt>
                <c:pt idx="3063">
                  <c:v>33.96</c:v>
                </c:pt>
                <c:pt idx="3064">
                  <c:v>33.96</c:v>
                </c:pt>
                <c:pt idx="3065">
                  <c:v>39.950000000000003</c:v>
                </c:pt>
                <c:pt idx="3066">
                  <c:v>31.31</c:v>
                </c:pt>
                <c:pt idx="3067">
                  <c:v>33.04</c:v>
                </c:pt>
                <c:pt idx="3068">
                  <c:v>33.96</c:v>
                </c:pt>
                <c:pt idx="3069">
                  <c:v>36.24</c:v>
                </c:pt>
                <c:pt idx="3070">
                  <c:v>31.84</c:v>
                </c:pt>
                <c:pt idx="3071">
                  <c:v>36.24</c:v>
                </c:pt>
                <c:pt idx="3072">
                  <c:v>36.24</c:v>
                </c:pt>
                <c:pt idx="3073">
                  <c:v>36.24</c:v>
                </c:pt>
                <c:pt idx="3074">
                  <c:v>18.010000000000002</c:v>
                </c:pt>
                <c:pt idx="3075">
                  <c:v>20.239999999999998</c:v>
                </c:pt>
                <c:pt idx="3076">
                  <c:v>20.13</c:v>
                </c:pt>
                <c:pt idx="3077">
                  <c:v>18.010000000000002</c:v>
                </c:pt>
                <c:pt idx="3078">
                  <c:v>18.010000000000002</c:v>
                </c:pt>
                <c:pt idx="3079">
                  <c:v>20.13</c:v>
                </c:pt>
                <c:pt idx="3080">
                  <c:v>10.5</c:v>
                </c:pt>
                <c:pt idx="3081">
                  <c:v>19</c:v>
                </c:pt>
                <c:pt idx="3082">
                  <c:v>19.440000000000001</c:v>
                </c:pt>
                <c:pt idx="3083">
                  <c:v>10</c:v>
                </c:pt>
                <c:pt idx="3084">
                  <c:v>6.6</c:v>
                </c:pt>
                <c:pt idx="3085">
                  <c:v>11</c:v>
                </c:pt>
                <c:pt idx="3086">
                  <c:v>30.7</c:v>
                </c:pt>
                <c:pt idx="3087">
                  <c:v>16.38</c:v>
                </c:pt>
                <c:pt idx="3088">
                  <c:v>16.38</c:v>
                </c:pt>
                <c:pt idx="3089">
                  <c:v>16.37</c:v>
                </c:pt>
                <c:pt idx="3090">
                  <c:v>16.38</c:v>
                </c:pt>
                <c:pt idx="3091">
                  <c:v>10</c:v>
                </c:pt>
                <c:pt idx="3092">
                  <c:v>25.52</c:v>
                </c:pt>
                <c:pt idx="3093">
                  <c:v>15.5</c:v>
                </c:pt>
                <c:pt idx="3094">
                  <c:v>17.05</c:v>
                </c:pt>
                <c:pt idx="3095">
                  <c:v>17.39</c:v>
                </c:pt>
                <c:pt idx="3096">
                  <c:v>14.71</c:v>
                </c:pt>
                <c:pt idx="3097">
                  <c:v>20</c:v>
                </c:pt>
                <c:pt idx="3098">
                  <c:v>21.28</c:v>
                </c:pt>
                <c:pt idx="3099">
                  <c:v>25</c:v>
                </c:pt>
                <c:pt idx="3100">
                  <c:v>10.53</c:v>
                </c:pt>
                <c:pt idx="3101">
                  <c:v>11.11</c:v>
                </c:pt>
                <c:pt idx="3102">
                  <c:v>16.940000000000001</c:v>
                </c:pt>
                <c:pt idx="3103">
                  <c:v>10.83</c:v>
                </c:pt>
                <c:pt idx="3104">
                  <c:v>20.28</c:v>
                </c:pt>
                <c:pt idx="3105">
                  <c:v>17.399999999999999</c:v>
                </c:pt>
                <c:pt idx="3106">
                  <c:v>17.399999999999999</c:v>
                </c:pt>
                <c:pt idx="3107">
                  <c:v>13.26</c:v>
                </c:pt>
                <c:pt idx="3108">
                  <c:v>16.5</c:v>
                </c:pt>
                <c:pt idx="3109">
                  <c:v>17.399999999999999</c:v>
                </c:pt>
                <c:pt idx="3110">
                  <c:v>15.5</c:v>
                </c:pt>
                <c:pt idx="3111">
                  <c:v>10.53</c:v>
                </c:pt>
                <c:pt idx="3112">
                  <c:v>11.11</c:v>
                </c:pt>
                <c:pt idx="3113">
                  <c:v>11.76</c:v>
                </c:pt>
                <c:pt idx="3114">
                  <c:v>11.18</c:v>
                </c:pt>
                <c:pt idx="3115">
                  <c:v>10.5</c:v>
                </c:pt>
                <c:pt idx="3116">
                  <c:v>10</c:v>
                </c:pt>
                <c:pt idx="3117">
                  <c:v>12.62</c:v>
                </c:pt>
                <c:pt idx="3118">
                  <c:v>19.399999999999999</c:v>
                </c:pt>
                <c:pt idx="3119">
                  <c:v>18.010000000000002</c:v>
                </c:pt>
                <c:pt idx="3120">
                  <c:v>16.5</c:v>
                </c:pt>
                <c:pt idx="3121">
                  <c:v>21.71</c:v>
                </c:pt>
                <c:pt idx="3122">
                  <c:v>16.38</c:v>
                </c:pt>
                <c:pt idx="3123">
                  <c:v>20.420000000000002</c:v>
                </c:pt>
                <c:pt idx="3124">
                  <c:v>19.399999999999999</c:v>
                </c:pt>
                <c:pt idx="3125">
                  <c:v>38.4</c:v>
                </c:pt>
                <c:pt idx="3126">
                  <c:v>38.4</c:v>
                </c:pt>
                <c:pt idx="3127">
                  <c:v>38.020000000000003</c:v>
                </c:pt>
                <c:pt idx="3128">
                  <c:v>45.6</c:v>
                </c:pt>
                <c:pt idx="3129">
                  <c:v>44.64</c:v>
                </c:pt>
                <c:pt idx="3130">
                  <c:v>44.64</c:v>
                </c:pt>
                <c:pt idx="3131">
                  <c:v>37.26</c:v>
                </c:pt>
                <c:pt idx="3132">
                  <c:v>42</c:v>
                </c:pt>
                <c:pt idx="3133">
                  <c:v>39.86</c:v>
                </c:pt>
                <c:pt idx="3134">
                  <c:v>29.16</c:v>
                </c:pt>
                <c:pt idx="3135">
                  <c:v>33</c:v>
                </c:pt>
                <c:pt idx="3136">
                  <c:v>33</c:v>
                </c:pt>
                <c:pt idx="3137">
                  <c:v>29.45</c:v>
                </c:pt>
                <c:pt idx="3138">
                  <c:v>33</c:v>
                </c:pt>
                <c:pt idx="3139">
                  <c:v>33</c:v>
                </c:pt>
                <c:pt idx="3140">
                  <c:v>53.67</c:v>
                </c:pt>
                <c:pt idx="3141">
                  <c:v>45.12</c:v>
                </c:pt>
                <c:pt idx="3142">
                  <c:v>75.14</c:v>
                </c:pt>
                <c:pt idx="3143">
                  <c:v>50.77</c:v>
                </c:pt>
                <c:pt idx="3144">
                  <c:v>62.5</c:v>
                </c:pt>
                <c:pt idx="3145">
                  <c:v>54.3</c:v>
                </c:pt>
                <c:pt idx="3146">
                  <c:v>51.03</c:v>
                </c:pt>
                <c:pt idx="3147">
                  <c:v>54.3</c:v>
                </c:pt>
                <c:pt idx="3148">
                  <c:v>51.03</c:v>
                </c:pt>
                <c:pt idx="3149">
                  <c:v>54.94</c:v>
                </c:pt>
                <c:pt idx="3150">
                  <c:v>54.94</c:v>
                </c:pt>
                <c:pt idx="3151">
                  <c:v>58.96</c:v>
                </c:pt>
                <c:pt idx="3152">
                  <c:v>54.94</c:v>
                </c:pt>
                <c:pt idx="3153">
                  <c:v>57.2</c:v>
                </c:pt>
                <c:pt idx="3154">
                  <c:v>53.67</c:v>
                </c:pt>
                <c:pt idx="3155">
                  <c:v>53</c:v>
                </c:pt>
                <c:pt idx="3156">
                  <c:v>75.14</c:v>
                </c:pt>
                <c:pt idx="3157">
                  <c:v>62.5</c:v>
                </c:pt>
                <c:pt idx="3158">
                  <c:v>80.41</c:v>
                </c:pt>
                <c:pt idx="3159">
                  <c:v>80.41</c:v>
                </c:pt>
                <c:pt idx="3160">
                  <c:v>80.41</c:v>
                </c:pt>
                <c:pt idx="3161">
                  <c:v>80.41</c:v>
                </c:pt>
                <c:pt idx="3162">
                  <c:v>66.680000000000007</c:v>
                </c:pt>
                <c:pt idx="3163">
                  <c:v>80.41</c:v>
                </c:pt>
                <c:pt idx="3164">
                  <c:v>80.41</c:v>
                </c:pt>
                <c:pt idx="3165">
                  <c:v>62.7</c:v>
                </c:pt>
                <c:pt idx="3166">
                  <c:v>68.98</c:v>
                </c:pt>
                <c:pt idx="3167">
                  <c:v>68.98</c:v>
                </c:pt>
                <c:pt idx="3168">
                  <c:v>68.98</c:v>
                </c:pt>
                <c:pt idx="3169">
                  <c:v>68.98</c:v>
                </c:pt>
                <c:pt idx="3170">
                  <c:v>68.75</c:v>
                </c:pt>
                <c:pt idx="3171">
                  <c:v>66.849999999999994</c:v>
                </c:pt>
                <c:pt idx="3172">
                  <c:v>82.84</c:v>
                </c:pt>
                <c:pt idx="3173">
                  <c:v>82.84</c:v>
                </c:pt>
                <c:pt idx="3174">
                  <c:v>25</c:v>
                </c:pt>
                <c:pt idx="3175">
                  <c:v>36</c:v>
                </c:pt>
                <c:pt idx="3176">
                  <c:v>34.380000000000003</c:v>
                </c:pt>
                <c:pt idx="3177">
                  <c:v>31.85</c:v>
                </c:pt>
                <c:pt idx="3178">
                  <c:v>31.34</c:v>
                </c:pt>
                <c:pt idx="3179">
                  <c:v>33.979999999999997</c:v>
                </c:pt>
                <c:pt idx="3180">
                  <c:v>33.979999999999997</c:v>
                </c:pt>
                <c:pt idx="3181">
                  <c:v>34.96</c:v>
                </c:pt>
                <c:pt idx="3182">
                  <c:v>26.34</c:v>
                </c:pt>
                <c:pt idx="3183">
                  <c:v>24.3</c:v>
                </c:pt>
                <c:pt idx="3184">
                  <c:v>27</c:v>
                </c:pt>
                <c:pt idx="3185">
                  <c:v>25</c:v>
                </c:pt>
                <c:pt idx="3186">
                  <c:v>24.3</c:v>
                </c:pt>
                <c:pt idx="3187">
                  <c:v>31.85</c:v>
                </c:pt>
                <c:pt idx="3188">
                  <c:v>26.59</c:v>
                </c:pt>
                <c:pt idx="3189">
                  <c:v>26.59</c:v>
                </c:pt>
                <c:pt idx="3190">
                  <c:v>20.04</c:v>
                </c:pt>
                <c:pt idx="3191">
                  <c:v>37.17</c:v>
                </c:pt>
                <c:pt idx="3192">
                  <c:v>41.78</c:v>
                </c:pt>
                <c:pt idx="3193">
                  <c:v>26.19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13.5</c:v>
                </c:pt>
                <c:pt idx="3199">
                  <c:v>13</c:v>
                </c:pt>
                <c:pt idx="3200">
                  <c:v>12.24</c:v>
                </c:pt>
                <c:pt idx="3201">
                  <c:v>20</c:v>
                </c:pt>
                <c:pt idx="3202">
                  <c:v>17.52</c:v>
                </c:pt>
                <c:pt idx="3203">
                  <c:v>17.52</c:v>
                </c:pt>
                <c:pt idx="3204">
                  <c:v>17.52</c:v>
                </c:pt>
                <c:pt idx="3205">
                  <c:v>34.17</c:v>
                </c:pt>
                <c:pt idx="3206">
                  <c:v>18</c:v>
                </c:pt>
                <c:pt idx="3207">
                  <c:v>18</c:v>
                </c:pt>
                <c:pt idx="3208">
                  <c:v>22</c:v>
                </c:pt>
                <c:pt idx="3209">
                  <c:v>16.3</c:v>
                </c:pt>
                <c:pt idx="3210">
                  <c:v>16.59</c:v>
                </c:pt>
                <c:pt idx="3211">
                  <c:v>20.25</c:v>
                </c:pt>
                <c:pt idx="3212">
                  <c:v>18</c:v>
                </c:pt>
                <c:pt idx="3213">
                  <c:v>25.66</c:v>
                </c:pt>
                <c:pt idx="3214">
                  <c:v>25.66</c:v>
                </c:pt>
                <c:pt idx="3215">
                  <c:v>25.8</c:v>
                </c:pt>
                <c:pt idx="3216">
                  <c:v>27.72</c:v>
                </c:pt>
                <c:pt idx="3217">
                  <c:v>25.7</c:v>
                </c:pt>
                <c:pt idx="3218">
                  <c:v>25.66</c:v>
                </c:pt>
                <c:pt idx="3219">
                  <c:v>25.05</c:v>
                </c:pt>
                <c:pt idx="3220">
                  <c:v>20.49</c:v>
                </c:pt>
                <c:pt idx="3221">
                  <c:v>12.52</c:v>
                </c:pt>
                <c:pt idx="3222">
                  <c:v>14.9</c:v>
                </c:pt>
                <c:pt idx="3223">
                  <c:v>21.33</c:v>
                </c:pt>
                <c:pt idx="3224">
                  <c:v>18</c:v>
                </c:pt>
                <c:pt idx="3225">
                  <c:v>22.48</c:v>
                </c:pt>
                <c:pt idx="3226">
                  <c:v>22.48</c:v>
                </c:pt>
                <c:pt idx="3227">
                  <c:v>25.65</c:v>
                </c:pt>
                <c:pt idx="3228">
                  <c:v>25.76</c:v>
                </c:pt>
                <c:pt idx="3229">
                  <c:v>20</c:v>
                </c:pt>
                <c:pt idx="3230">
                  <c:v>26.91</c:v>
                </c:pt>
                <c:pt idx="3231">
                  <c:v>18</c:v>
                </c:pt>
                <c:pt idx="3232">
                  <c:v>20</c:v>
                </c:pt>
                <c:pt idx="3233">
                  <c:v>19.8</c:v>
                </c:pt>
                <c:pt idx="3234">
                  <c:v>27</c:v>
                </c:pt>
                <c:pt idx="3235">
                  <c:v>21.91</c:v>
                </c:pt>
                <c:pt idx="3236">
                  <c:v>23.1</c:v>
                </c:pt>
                <c:pt idx="3237">
                  <c:v>24.3</c:v>
                </c:pt>
                <c:pt idx="3238">
                  <c:v>22.5</c:v>
                </c:pt>
                <c:pt idx="3239">
                  <c:v>22.5</c:v>
                </c:pt>
                <c:pt idx="3240">
                  <c:v>17.600000000000001</c:v>
                </c:pt>
                <c:pt idx="3241">
                  <c:v>22.35</c:v>
                </c:pt>
                <c:pt idx="3242">
                  <c:v>22.35</c:v>
                </c:pt>
                <c:pt idx="3243">
                  <c:v>22.35</c:v>
                </c:pt>
                <c:pt idx="3244">
                  <c:v>12.67</c:v>
                </c:pt>
                <c:pt idx="3245">
                  <c:v>21</c:v>
                </c:pt>
                <c:pt idx="3246">
                  <c:v>20</c:v>
                </c:pt>
                <c:pt idx="3247">
                  <c:v>31.39</c:v>
                </c:pt>
                <c:pt idx="3248">
                  <c:v>20</c:v>
                </c:pt>
                <c:pt idx="3249">
                  <c:v>27.43</c:v>
                </c:pt>
                <c:pt idx="3250">
                  <c:v>25.66</c:v>
                </c:pt>
                <c:pt idx="3251">
                  <c:v>25.66</c:v>
                </c:pt>
                <c:pt idx="3252">
                  <c:v>22.8</c:v>
                </c:pt>
                <c:pt idx="3253">
                  <c:v>23.18</c:v>
                </c:pt>
                <c:pt idx="3254">
                  <c:v>22.35</c:v>
                </c:pt>
                <c:pt idx="3255">
                  <c:v>22.35</c:v>
                </c:pt>
                <c:pt idx="3256">
                  <c:v>26.49</c:v>
                </c:pt>
                <c:pt idx="3257">
                  <c:v>26.91</c:v>
                </c:pt>
                <c:pt idx="3258">
                  <c:v>25.01</c:v>
                </c:pt>
                <c:pt idx="3259">
                  <c:v>22.3</c:v>
                </c:pt>
                <c:pt idx="3260">
                  <c:v>18</c:v>
                </c:pt>
                <c:pt idx="3261">
                  <c:v>18</c:v>
                </c:pt>
                <c:pt idx="3262">
                  <c:v>19.8</c:v>
                </c:pt>
                <c:pt idx="3263">
                  <c:v>19.8</c:v>
                </c:pt>
                <c:pt idx="3264">
                  <c:v>19.170000000000002</c:v>
                </c:pt>
                <c:pt idx="3265">
                  <c:v>20</c:v>
                </c:pt>
                <c:pt idx="3266">
                  <c:v>12.52</c:v>
                </c:pt>
                <c:pt idx="3267">
                  <c:v>14.9</c:v>
                </c:pt>
                <c:pt idx="3268">
                  <c:v>20</c:v>
                </c:pt>
                <c:pt idx="3269">
                  <c:v>17.52</c:v>
                </c:pt>
                <c:pt idx="3270">
                  <c:v>17.52</c:v>
                </c:pt>
                <c:pt idx="3271">
                  <c:v>26.25</c:v>
                </c:pt>
                <c:pt idx="3272">
                  <c:v>22</c:v>
                </c:pt>
                <c:pt idx="3273">
                  <c:v>18.36</c:v>
                </c:pt>
                <c:pt idx="3274">
                  <c:v>22.5</c:v>
                </c:pt>
                <c:pt idx="3275">
                  <c:v>22</c:v>
                </c:pt>
                <c:pt idx="3276">
                  <c:v>20</c:v>
                </c:pt>
                <c:pt idx="3277">
                  <c:v>22</c:v>
                </c:pt>
                <c:pt idx="3278">
                  <c:v>22</c:v>
                </c:pt>
                <c:pt idx="3279">
                  <c:v>25.65</c:v>
                </c:pt>
                <c:pt idx="3280">
                  <c:v>26.35</c:v>
                </c:pt>
                <c:pt idx="3281">
                  <c:v>25.76</c:v>
                </c:pt>
                <c:pt idx="3282">
                  <c:v>25.76</c:v>
                </c:pt>
                <c:pt idx="3283">
                  <c:v>20.04</c:v>
                </c:pt>
                <c:pt idx="3284">
                  <c:v>18.5</c:v>
                </c:pt>
                <c:pt idx="3285">
                  <c:v>20.5</c:v>
                </c:pt>
                <c:pt idx="3286">
                  <c:v>25.13</c:v>
                </c:pt>
                <c:pt idx="3287">
                  <c:v>23.18</c:v>
                </c:pt>
                <c:pt idx="3288">
                  <c:v>25.05</c:v>
                </c:pt>
                <c:pt idx="3289">
                  <c:v>24.3</c:v>
                </c:pt>
                <c:pt idx="3290">
                  <c:v>26.59</c:v>
                </c:pt>
                <c:pt idx="3291">
                  <c:v>26.59</c:v>
                </c:pt>
                <c:pt idx="3292">
                  <c:v>23.1</c:v>
                </c:pt>
                <c:pt idx="3293">
                  <c:v>31.58</c:v>
                </c:pt>
                <c:pt idx="3294">
                  <c:v>19.02</c:v>
                </c:pt>
                <c:pt idx="3295">
                  <c:v>26.24</c:v>
                </c:pt>
                <c:pt idx="3296">
                  <c:v>34.56</c:v>
                </c:pt>
                <c:pt idx="3297">
                  <c:v>25.56</c:v>
                </c:pt>
                <c:pt idx="3298">
                  <c:v>26.19</c:v>
                </c:pt>
                <c:pt idx="3299">
                  <c:v>26.19</c:v>
                </c:pt>
                <c:pt idx="3300">
                  <c:v>33.25</c:v>
                </c:pt>
                <c:pt idx="3301">
                  <c:v>38.25</c:v>
                </c:pt>
                <c:pt idx="3302">
                  <c:v>33.979999999999997</c:v>
                </c:pt>
                <c:pt idx="3303">
                  <c:v>34.96</c:v>
                </c:pt>
                <c:pt idx="3304">
                  <c:v>40</c:v>
                </c:pt>
                <c:pt idx="3305">
                  <c:v>41</c:v>
                </c:pt>
                <c:pt idx="3306">
                  <c:v>40.57</c:v>
                </c:pt>
                <c:pt idx="3307">
                  <c:v>41.11</c:v>
                </c:pt>
                <c:pt idx="3308">
                  <c:v>56.7</c:v>
                </c:pt>
                <c:pt idx="3309">
                  <c:v>36</c:v>
                </c:pt>
                <c:pt idx="3310">
                  <c:v>33.25</c:v>
                </c:pt>
                <c:pt idx="3311">
                  <c:v>38.25</c:v>
                </c:pt>
                <c:pt idx="3312">
                  <c:v>53.86</c:v>
                </c:pt>
                <c:pt idx="3313">
                  <c:v>41.11</c:v>
                </c:pt>
                <c:pt idx="3314">
                  <c:v>41.11</c:v>
                </c:pt>
                <c:pt idx="3315">
                  <c:v>38.71</c:v>
                </c:pt>
                <c:pt idx="3316">
                  <c:v>31.58</c:v>
                </c:pt>
                <c:pt idx="3317">
                  <c:v>33.979999999999997</c:v>
                </c:pt>
                <c:pt idx="3318">
                  <c:v>33.979999999999997</c:v>
                </c:pt>
                <c:pt idx="3319">
                  <c:v>38.71</c:v>
                </c:pt>
                <c:pt idx="3320">
                  <c:v>40.57</c:v>
                </c:pt>
                <c:pt idx="3321">
                  <c:v>41</c:v>
                </c:pt>
                <c:pt idx="3322">
                  <c:v>34.56</c:v>
                </c:pt>
                <c:pt idx="3323">
                  <c:v>15.29</c:v>
                </c:pt>
                <c:pt idx="3324">
                  <c:v>12</c:v>
                </c:pt>
                <c:pt idx="3325">
                  <c:v>12.25</c:v>
                </c:pt>
                <c:pt idx="3326">
                  <c:v>18</c:v>
                </c:pt>
                <c:pt idx="3327">
                  <c:v>12.61</c:v>
                </c:pt>
                <c:pt idx="3328">
                  <c:v>20</c:v>
                </c:pt>
                <c:pt idx="3329">
                  <c:v>22</c:v>
                </c:pt>
                <c:pt idx="3330">
                  <c:v>25.05</c:v>
                </c:pt>
                <c:pt idx="3331">
                  <c:v>11.4</c:v>
                </c:pt>
                <c:pt idx="3332">
                  <c:v>11.34</c:v>
                </c:pt>
                <c:pt idx="3333">
                  <c:v>9.1999999999999993</c:v>
                </c:pt>
                <c:pt idx="3334">
                  <c:v>10.130000000000001</c:v>
                </c:pt>
                <c:pt idx="3335">
                  <c:v>10.87</c:v>
                </c:pt>
                <c:pt idx="3336">
                  <c:v>16.7</c:v>
                </c:pt>
                <c:pt idx="3337">
                  <c:v>20.3</c:v>
                </c:pt>
                <c:pt idx="3338">
                  <c:v>13</c:v>
                </c:pt>
                <c:pt idx="3339">
                  <c:v>12.68</c:v>
                </c:pt>
                <c:pt idx="3340">
                  <c:v>25</c:v>
                </c:pt>
                <c:pt idx="3341">
                  <c:v>19</c:v>
                </c:pt>
                <c:pt idx="3342">
                  <c:v>18</c:v>
                </c:pt>
                <c:pt idx="3343">
                  <c:v>13.5</c:v>
                </c:pt>
                <c:pt idx="3344">
                  <c:v>20.03</c:v>
                </c:pt>
                <c:pt idx="3345">
                  <c:v>15.8</c:v>
                </c:pt>
                <c:pt idx="3346">
                  <c:v>17.98</c:v>
                </c:pt>
                <c:pt idx="3347">
                  <c:v>20.22</c:v>
                </c:pt>
                <c:pt idx="3348">
                  <c:v>16</c:v>
                </c:pt>
                <c:pt idx="3349">
                  <c:v>14</c:v>
                </c:pt>
                <c:pt idx="3350">
                  <c:v>16</c:v>
                </c:pt>
                <c:pt idx="3351">
                  <c:v>16</c:v>
                </c:pt>
                <c:pt idx="3352">
                  <c:v>12.96</c:v>
                </c:pt>
                <c:pt idx="3353">
                  <c:v>12.96</c:v>
                </c:pt>
                <c:pt idx="3354">
                  <c:v>10.57</c:v>
                </c:pt>
                <c:pt idx="3355">
                  <c:v>10.7</c:v>
                </c:pt>
                <c:pt idx="3356">
                  <c:v>11.05</c:v>
                </c:pt>
                <c:pt idx="3357">
                  <c:v>10.24</c:v>
                </c:pt>
                <c:pt idx="3358">
                  <c:v>17.02</c:v>
                </c:pt>
                <c:pt idx="3359">
                  <c:v>20.28</c:v>
                </c:pt>
                <c:pt idx="3360">
                  <c:v>21.73</c:v>
                </c:pt>
                <c:pt idx="3361">
                  <c:v>18</c:v>
                </c:pt>
                <c:pt idx="3362">
                  <c:v>24.1</c:v>
                </c:pt>
                <c:pt idx="3363">
                  <c:v>11.01</c:v>
                </c:pt>
                <c:pt idx="3364">
                  <c:v>12.32</c:v>
                </c:pt>
                <c:pt idx="3365">
                  <c:v>11.01</c:v>
                </c:pt>
                <c:pt idx="3366">
                  <c:v>10.55</c:v>
                </c:pt>
                <c:pt idx="3367">
                  <c:v>16.5</c:v>
                </c:pt>
                <c:pt idx="3368">
                  <c:v>17.600000000000001</c:v>
                </c:pt>
                <c:pt idx="3369">
                  <c:v>16.5</c:v>
                </c:pt>
                <c:pt idx="3370">
                  <c:v>24.22</c:v>
                </c:pt>
                <c:pt idx="3371">
                  <c:v>22</c:v>
                </c:pt>
                <c:pt idx="3372">
                  <c:v>11.02</c:v>
                </c:pt>
                <c:pt idx="3373">
                  <c:v>11</c:v>
                </c:pt>
                <c:pt idx="3374">
                  <c:v>24.3</c:v>
                </c:pt>
                <c:pt idx="3375">
                  <c:v>13.2</c:v>
                </c:pt>
                <c:pt idx="3376">
                  <c:v>14.09</c:v>
                </c:pt>
                <c:pt idx="3377">
                  <c:v>14.09</c:v>
                </c:pt>
                <c:pt idx="3378">
                  <c:v>13.51</c:v>
                </c:pt>
                <c:pt idx="3379">
                  <c:v>16.5</c:v>
                </c:pt>
                <c:pt idx="3380">
                  <c:v>13.65</c:v>
                </c:pt>
                <c:pt idx="3381">
                  <c:v>23.04</c:v>
                </c:pt>
                <c:pt idx="3382">
                  <c:v>21.37</c:v>
                </c:pt>
                <c:pt idx="3383">
                  <c:v>20</c:v>
                </c:pt>
                <c:pt idx="3384">
                  <c:v>11.04</c:v>
                </c:pt>
                <c:pt idx="3385">
                  <c:v>30</c:v>
                </c:pt>
                <c:pt idx="3386">
                  <c:v>23</c:v>
                </c:pt>
                <c:pt idx="3387">
                  <c:v>10</c:v>
                </c:pt>
                <c:pt idx="3388">
                  <c:v>9.9</c:v>
                </c:pt>
                <c:pt idx="3389">
                  <c:v>16</c:v>
                </c:pt>
                <c:pt idx="3390">
                  <c:v>12.4</c:v>
                </c:pt>
                <c:pt idx="3391">
                  <c:v>14</c:v>
                </c:pt>
                <c:pt idx="3392">
                  <c:v>15</c:v>
                </c:pt>
                <c:pt idx="3393">
                  <c:v>17.010000000000002</c:v>
                </c:pt>
                <c:pt idx="3394">
                  <c:v>10.55</c:v>
                </c:pt>
                <c:pt idx="3395">
                  <c:v>9.1999999999999993</c:v>
                </c:pt>
                <c:pt idx="3396">
                  <c:v>13.5</c:v>
                </c:pt>
                <c:pt idx="3397">
                  <c:v>19.87</c:v>
                </c:pt>
                <c:pt idx="3398">
                  <c:v>24.22</c:v>
                </c:pt>
                <c:pt idx="3399">
                  <c:v>28.98</c:v>
                </c:pt>
                <c:pt idx="3400">
                  <c:v>11.02</c:v>
                </c:pt>
                <c:pt idx="3401">
                  <c:v>11</c:v>
                </c:pt>
                <c:pt idx="3402">
                  <c:v>12.61</c:v>
                </c:pt>
                <c:pt idx="3403">
                  <c:v>20</c:v>
                </c:pt>
                <c:pt idx="3404">
                  <c:v>16.7</c:v>
                </c:pt>
                <c:pt idx="3405">
                  <c:v>12</c:v>
                </c:pt>
                <c:pt idx="3406">
                  <c:v>23</c:v>
                </c:pt>
                <c:pt idx="3407">
                  <c:v>12.32</c:v>
                </c:pt>
                <c:pt idx="3408">
                  <c:v>11.01</c:v>
                </c:pt>
                <c:pt idx="3409">
                  <c:v>24.1</c:v>
                </c:pt>
                <c:pt idx="3410">
                  <c:v>21.73</c:v>
                </c:pt>
                <c:pt idx="3411">
                  <c:v>30.53</c:v>
                </c:pt>
                <c:pt idx="3412">
                  <c:v>22</c:v>
                </c:pt>
                <c:pt idx="3413">
                  <c:v>25.18</c:v>
                </c:pt>
                <c:pt idx="3414">
                  <c:v>13.2</c:v>
                </c:pt>
                <c:pt idx="3415">
                  <c:v>14.77</c:v>
                </c:pt>
                <c:pt idx="3416">
                  <c:v>16.5</c:v>
                </c:pt>
                <c:pt idx="3417">
                  <c:v>17.600000000000001</c:v>
                </c:pt>
                <c:pt idx="3418">
                  <c:v>15.18</c:v>
                </c:pt>
                <c:pt idx="3419">
                  <c:v>17</c:v>
                </c:pt>
                <c:pt idx="3420">
                  <c:v>17.010000000000002</c:v>
                </c:pt>
                <c:pt idx="3421">
                  <c:v>18.72</c:v>
                </c:pt>
                <c:pt idx="3422">
                  <c:v>20.03</c:v>
                </c:pt>
                <c:pt idx="3423">
                  <c:v>18.13</c:v>
                </c:pt>
                <c:pt idx="3424">
                  <c:v>30</c:v>
                </c:pt>
                <c:pt idx="3425">
                  <c:v>32.29</c:v>
                </c:pt>
                <c:pt idx="3426">
                  <c:v>12.5</c:v>
                </c:pt>
                <c:pt idx="3427">
                  <c:v>12.25</c:v>
                </c:pt>
                <c:pt idx="3428">
                  <c:v>12.35</c:v>
                </c:pt>
                <c:pt idx="3429">
                  <c:v>25.25</c:v>
                </c:pt>
                <c:pt idx="3430">
                  <c:v>19.8</c:v>
                </c:pt>
                <c:pt idx="3431">
                  <c:v>15.86</c:v>
                </c:pt>
                <c:pt idx="3432">
                  <c:v>17.309999999999999</c:v>
                </c:pt>
                <c:pt idx="3433">
                  <c:v>23.76</c:v>
                </c:pt>
                <c:pt idx="3434">
                  <c:v>23.76</c:v>
                </c:pt>
                <c:pt idx="3435">
                  <c:v>20.25</c:v>
                </c:pt>
                <c:pt idx="3436">
                  <c:v>24.3</c:v>
                </c:pt>
                <c:pt idx="3437">
                  <c:v>44.9</c:v>
                </c:pt>
                <c:pt idx="3438">
                  <c:v>46.7</c:v>
                </c:pt>
                <c:pt idx="3439">
                  <c:v>44.9</c:v>
                </c:pt>
                <c:pt idx="3440">
                  <c:v>46.7</c:v>
                </c:pt>
                <c:pt idx="3441">
                  <c:v>42.3</c:v>
                </c:pt>
                <c:pt idx="3442">
                  <c:v>40.5</c:v>
                </c:pt>
                <c:pt idx="3443">
                  <c:v>39.520000000000003</c:v>
                </c:pt>
                <c:pt idx="3444">
                  <c:v>37.6</c:v>
                </c:pt>
                <c:pt idx="3445">
                  <c:v>32</c:v>
                </c:pt>
                <c:pt idx="3446">
                  <c:v>35</c:v>
                </c:pt>
                <c:pt idx="3447">
                  <c:v>42.3</c:v>
                </c:pt>
                <c:pt idx="3448">
                  <c:v>39.520000000000003</c:v>
                </c:pt>
                <c:pt idx="3449">
                  <c:v>35.92</c:v>
                </c:pt>
                <c:pt idx="3450">
                  <c:v>35.92</c:v>
                </c:pt>
                <c:pt idx="3451">
                  <c:v>38</c:v>
                </c:pt>
                <c:pt idx="3452">
                  <c:v>46.27</c:v>
                </c:pt>
                <c:pt idx="3453">
                  <c:v>29.81</c:v>
                </c:pt>
                <c:pt idx="3454">
                  <c:v>27</c:v>
                </c:pt>
                <c:pt idx="3455">
                  <c:v>22.7</c:v>
                </c:pt>
                <c:pt idx="3456">
                  <c:v>32</c:v>
                </c:pt>
                <c:pt idx="3457">
                  <c:v>25.58</c:v>
                </c:pt>
                <c:pt idx="3458">
                  <c:v>39.479999999999997</c:v>
                </c:pt>
                <c:pt idx="3459">
                  <c:v>40.24</c:v>
                </c:pt>
                <c:pt idx="3460">
                  <c:v>41.52</c:v>
                </c:pt>
                <c:pt idx="3461">
                  <c:v>57.26</c:v>
                </c:pt>
                <c:pt idx="3462">
                  <c:v>62.7</c:v>
                </c:pt>
                <c:pt idx="3463">
                  <c:v>56.32</c:v>
                </c:pt>
                <c:pt idx="3464">
                  <c:v>39.520000000000003</c:v>
                </c:pt>
                <c:pt idx="3465">
                  <c:v>72.34</c:v>
                </c:pt>
                <c:pt idx="3466">
                  <c:v>72.34</c:v>
                </c:pt>
                <c:pt idx="3467">
                  <c:v>57.26</c:v>
                </c:pt>
                <c:pt idx="3468">
                  <c:v>74.599999999999994</c:v>
                </c:pt>
                <c:pt idx="3469">
                  <c:v>74.599999999999994</c:v>
                </c:pt>
                <c:pt idx="3470">
                  <c:v>49.62</c:v>
                </c:pt>
                <c:pt idx="3471">
                  <c:v>55.92</c:v>
                </c:pt>
                <c:pt idx="3472">
                  <c:v>41.78</c:v>
                </c:pt>
                <c:pt idx="3473">
                  <c:v>49.62</c:v>
                </c:pt>
                <c:pt idx="3474">
                  <c:v>61.4</c:v>
                </c:pt>
                <c:pt idx="3475">
                  <c:v>41.52</c:v>
                </c:pt>
                <c:pt idx="3476">
                  <c:v>39.520000000000003</c:v>
                </c:pt>
                <c:pt idx="3477">
                  <c:v>67.84</c:v>
                </c:pt>
                <c:pt idx="3478">
                  <c:v>46.74</c:v>
                </c:pt>
                <c:pt idx="3479">
                  <c:v>56.32</c:v>
                </c:pt>
                <c:pt idx="3480">
                  <c:v>67.84</c:v>
                </c:pt>
                <c:pt idx="3481">
                  <c:v>49.62</c:v>
                </c:pt>
                <c:pt idx="3482">
                  <c:v>49.62</c:v>
                </c:pt>
                <c:pt idx="3483">
                  <c:v>74.599999999999994</c:v>
                </c:pt>
                <c:pt idx="3484">
                  <c:v>74.599999999999994</c:v>
                </c:pt>
                <c:pt idx="3485">
                  <c:v>55.92</c:v>
                </c:pt>
                <c:pt idx="3486">
                  <c:v>66.06</c:v>
                </c:pt>
                <c:pt idx="3487">
                  <c:v>70.03</c:v>
                </c:pt>
                <c:pt idx="3488">
                  <c:v>64.03</c:v>
                </c:pt>
                <c:pt idx="3489">
                  <c:v>72.69</c:v>
                </c:pt>
                <c:pt idx="3490">
                  <c:v>58.64</c:v>
                </c:pt>
                <c:pt idx="3491">
                  <c:v>59.02</c:v>
                </c:pt>
                <c:pt idx="3492">
                  <c:v>74.45</c:v>
                </c:pt>
                <c:pt idx="3493">
                  <c:v>64.03</c:v>
                </c:pt>
                <c:pt idx="3494">
                  <c:v>72.69</c:v>
                </c:pt>
                <c:pt idx="3495">
                  <c:v>72.599999999999994</c:v>
                </c:pt>
                <c:pt idx="3496">
                  <c:v>70.03</c:v>
                </c:pt>
                <c:pt idx="3497">
                  <c:v>78.61</c:v>
                </c:pt>
                <c:pt idx="3498">
                  <c:v>78.61</c:v>
                </c:pt>
                <c:pt idx="3499">
                  <c:v>90.02</c:v>
                </c:pt>
                <c:pt idx="3500">
                  <c:v>90</c:v>
                </c:pt>
                <c:pt idx="3501">
                  <c:v>90</c:v>
                </c:pt>
                <c:pt idx="3502">
                  <c:v>90</c:v>
                </c:pt>
                <c:pt idx="3503">
                  <c:v>30</c:v>
                </c:pt>
                <c:pt idx="3504">
                  <c:v>30</c:v>
                </c:pt>
                <c:pt idx="3505">
                  <c:v>25.65</c:v>
                </c:pt>
                <c:pt idx="3506">
                  <c:v>25.65</c:v>
                </c:pt>
                <c:pt idx="3507">
                  <c:v>21.8</c:v>
                </c:pt>
                <c:pt idx="3508">
                  <c:v>21.8</c:v>
                </c:pt>
                <c:pt idx="3509">
                  <c:v>19</c:v>
                </c:pt>
                <c:pt idx="3510">
                  <c:v>20</c:v>
                </c:pt>
                <c:pt idx="3511">
                  <c:v>25.34</c:v>
                </c:pt>
                <c:pt idx="3512">
                  <c:v>29.91</c:v>
                </c:pt>
                <c:pt idx="3513">
                  <c:v>32.4</c:v>
                </c:pt>
                <c:pt idx="3514">
                  <c:v>32.4</c:v>
                </c:pt>
                <c:pt idx="3515">
                  <c:v>30.12</c:v>
                </c:pt>
                <c:pt idx="3516">
                  <c:v>29.36</c:v>
                </c:pt>
                <c:pt idx="3517">
                  <c:v>25.6</c:v>
                </c:pt>
                <c:pt idx="3518">
                  <c:v>25.11</c:v>
                </c:pt>
                <c:pt idx="3519">
                  <c:v>25.11</c:v>
                </c:pt>
                <c:pt idx="3520">
                  <c:v>26.33</c:v>
                </c:pt>
                <c:pt idx="3521">
                  <c:v>27.2</c:v>
                </c:pt>
                <c:pt idx="3522">
                  <c:v>18.88</c:v>
                </c:pt>
                <c:pt idx="3523">
                  <c:v>32.4</c:v>
                </c:pt>
                <c:pt idx="3524">
                  <c:v>32.4</c:v>
                </c:pt>
                <c:pt idx="3525">
                  <c:v>29.91</c:v>
                </c:pt>
                <c:pt idx="3526">
                  <c:v>29.36</c:v>
                </c:pt>
                <c:pt idx="3527">
                  <c:v>15.69</c:v>
                </c:pt>
                <c:pt idx="3528">
                  <c:v>25.65</c:v>
                </c:pt>
                <c:pt idx="3529">
                  <c:v>25.65</c:v>
                </c:pt>
                <c:pt idx="3530">
                  <c:v>42.57</c:v>
                </c:pt>
                <c:pt idx="3531">
                  <c:v>30.12</c:v>
                </c:pt>
                <c:pt idx="3532">
                  <c:v>47.65</c:v>
                </c:pt>
                <c:pt idx="3533">
                  <c:v>40</c:v>
                </c:pt>
                <c:pt idx="3534">
                  <c:v>74.099999999999994</c:v>
                </c:pt>
                <c:pt idx="3535">
                  <c:v>30.12</c:v>
                </c:pt>
                <c:pt idx="3536">
                  <c:v>30.25</c:v>
                </c:pt>
                <c:pt idx="3537">
                  <c:v>28.88</c:v>
                </c:pt>
                <c:pt idx="3538">
                  <c:v>13.25</c:v>
                </c:pt>
                <c:pt idx="3539">
                  <c:v>32.83</c:v>
                </c:pt>
                <c:pt idx="3540">
                  <c:v>25.73</c:v>
                </c:pt>
                <c:pt idx="3541">
                  <c:v>25.23</c:v>
                </c:pt>
                <c:pt idx="3542">
                  <c:v>25.23</c:v>
                </c:pt>
                <c:pt idx="3543">
                  <c:v>25</c:v>
                </c:pt>
                <c:pt idx="3544">
                  <c:v>18.27</c:v>
                </c:pt>
                <c:pt idx="3545">
                  <c:v>25.23</c:v>
                </c:pt>
                <c:pt idx="3546">
                  <c:v>36.72</c:v>
                </c:pt>
                <c:pt idx="3547">
                  <c:v>44</c:v>
                </c:pt>
                <c:pt idx="3548">
                  <c:v>44</c:v>
                </c:pt>
                <c:pt idx="3549">
                  <c:v>63.07</c:v>
                </c:pt>
                <c:pt idx="3550">
                  <c:v>53</c:v>
                </c:pt>
                <c:pt idx="3551">
                  <c:v>61.67</c:v>
                </c:pt>
                <c:pt idx="3552">
                  <c:v>53</c:v>
                </c:pt>
                <c:pt idx="3553">
                  <c:v>59.06</c:v>
                </c:pt>
                <c:pt idx="3554">
                  <c:v>60.78</c:v>
                </c:pt>
                <c:pt idx="3555">
                  <c:v>53</c:v>
                </c:pt>
                <c:pt idx="3556">
                  <c:v>60.78</c:v>
                </c:pt>
                <c:pt idx="3557">
                  <c:v>31.06</c:v>
                </c:pt>
                <c:pt idx="3558">
                  <c:v>25.26</c:v>
                </c:pt>
                <c:pt idx="3559">
                  <c:v>35</c:v>
                </c:pt>
                <c:pt idx="3560">
                  <c:v>32.5</c:v>
                </c:pt>
                <c:pt idx="3561">
                  <c:v>33.79</c:v>
                </c:pt>
                <c:pt idx="3562">
                  <c:v>33.79</c:v>
                </c:pt>
                <c:pt idx="3563">
                  <c:v>33.79</c:v>
                </c:pt>
                <c:pt idx="3564">
                  <c:v>30.42</c:v>
                </c:pt>
                <c:pt idx="3565">
                  <c:v>32.61</c:v>
                </c:pt>
                <c:pt idx="3566">
                  <c:v>25.79</c:v>
                </c:pt>
                <c:pt idx="3567">
                  <c:v>35</c:v>
                </c:pt>
                <c:pt idx="3568">
                  <c:v>30.07</c:v>
                </c:pt>
                <c:pt idx="3569">
                  <c:v>29.76</c:v>
                </c:pt>
                <c:pt idx="3570">
                  <c:v>29.7</c:v>
                </c:pt>
                <c:pt idx="3571">
                  <c:v>30.83</c:v>
                </c:pt>
                <c:pt idx="3572">
                  <c:v>40.03</c:v>
                </c:pt>
                <c:pt idx="3573">
                  <c:v>26.99</c:v>
                </c:pt>
                <c:pt idx="3574">
                  <c:v>25.1</c:v>
                </c:pt>
                <c:pt idx="3575">
                  <c:v>25.1</c:v>
                </c:pt>
                <c:pt idx="3576">
                  <c:v>29.94</c:v>
                </c:pt>
                <c:pt idx="3577">
                  <c:v>26.5</c:v>
                </c:pt>
                <c:pt idx="3578">
                  <c:v>34</c:v>
                </c:pt>
                <c:pt idx="3579">
                  <c:v>35</c:v>
                </c:pt>
                <c:pt idx="3580">
                  <c:v>28</c:v>
                </c:pt>
                <c:pt idx="3581">
                  <c:v>34</c:v>
                </c:pt>
                <c:pt idx="3582">
                  <c:v>33.79</c:v>
                </c:pt>
                <c:pt idx="3583">
                  <c:v>28</c:v>
                </c:pt>
                <c:pt idx="3584">
                  <c:v>25.1</c:v>
                </c:pt>
                <c:pt idx="3585">
                  <c:v>25.79</c:v>
                </c:pt>
                <c:pt idx="3586">
                  <c:v>25.51</c:v>
                </c:pt>
                <c:pt idx="3587">
                  <c:v>29.76</c:v>
                </c:pt>
                <c:pt idx="3588">
                  <c:v>29.7</c:v>
                </c:pt>
                <c:pt idx="3589">
                  <c:v>34</c:v>
                </c:pt>
                <c:pt idx="3590">
                  <c:v>29.94</c:v>
                </c:pt>
                <c:pt idx="3591">
                  <c:v>25.27</c:v>
                </c:pt>
                <c:pt idx="3592">
                  <c:v>30.83</c:v>
                </c:pt>
                <c:pt idx="3593">
                  <c:v>19</c:v>
                </c:pt>
                <c:pt idx="3594">
                  <c:v>37.68</c:v>
                </c:pt>
                <c:pt idx="3595">
                  <c:v>25.04</c:v>
                </c:pt>
                <c:pt idx="3596">
                  <c:v>25.52</c:v>
                </c:pt>
                <c:pt idx="3597">
                  <c:v>25.33</c:v>
                </c:pt>
                <c:pt idx="3598">
                  <c:v>23.1</c:v>
                </c:pt>
                <c:pt idx="3599">
                  <c:v>16.84</c:v>
                </c:pt>
                <c:pt idx="3600">
                  <c:v>17.22</c:v>
                </c:pt>
                <c:pt idx="3601">
                  <c:v>17.760000000000002</c:v>
                </c:pt>
                <c:pt idx="3602">
                  <c:v>22.15</c:v>
                </c:pt>
                <c:pt idx="3603">
                  <c:v>28.98</c:v>
                </c:pt>
                <c:pt idx="3604">
                  <c:v>22.32</c:v>
                </c:pt>
                <c:pt idx="3605">
                  <c:v>30.5</c:v>
                </c:pt>
                <c:pt idx="3606">
                  <c:v>25.83</c:v>
                </c:pt>
                <c:pt idx="3607">
                  <c:v>25.25</c:v>
                </c:pt>
                <c:pt idx="3608">
                  <c:v>18.8</c:v>
                </c:pt>
                <c:pt idx="3609">
                  <c:v>25.87</c:v>
                </c:pt>
                <c:pt idx="3610">
                  <c:v>25.87</c:v>
                </c:pt>
                <c:pt idx="3611">
                  <c:v>20.89</c:v>
                </c:pt>
                <c:pt idx="3612">
                  <c:v>22</c:v>
                </c:pt>
                <c:pt idx="3613">
                  <c:v>20.34</c:v>
                </c:pt>
                <c:pt idx="3614">
                  <c:v>20.53</c:v>
                </c:pt>
                <c:pt idx="3615">
                  <c:v>20.53</c:v>
                </c:pt>
                <c:pt idx="3616">
                  <c:v>18.64</c:v>
                </c:pt>
                <c:pt idx="3617">
                  <c:v>17.309999999999999</c:v>
                </c:pt>
                <c:pt idx="3618">
                  <c:v>18.5</c:v>
                </c:pt>
                <c:pt idx="3619">
                  <c:v>18</c:v>
                </c:pt>
                <c:pt idx="3620">
                  <c:v>15.01</c:v>
                </c:pt>
                <c:pt idx="3621">
                  <c:v>15.01</c:v>
                </c:pt>
                <c:pt idx="3622">
                  <c:v>17</c:v>
                </c:pt>
                <c:pt idx="3623">
                  <c:v>20</c:v>
                </c:pt>
                <c:pt idx="3624">
                  <c:v>23.18</c:v>
                </c:pt>
                <c:pt idx="3625">
                  <c:v>19.649999999999999</c:v>
                </c:pt>
                <c:pt idx="3626">
                  <c:v>24.47</c:v>
                </c:pt>
                <c:pt idx="3627">
                  <c:v>19.82</c:v>
                </c:pt>
                <c:pt idx="3628">
                  <c:v>19.87</c:v>
                </c:pt>
                <c:pt idx="3629">
                  <c:v>30.64</c:v>
                </c:pt>
                <c:pt idx="3630">
                  <c:v>20.440000000000001</c:v>
                </c:pt>
                <c:pt idx="3631">
                  <c:v>24.95</c:v>
                </c:pt>
                <c:pt idx="3632">
                  <c:v>20.8</c:v>
                </c:pt>
                <c:pt idx="3633">
                  <c:v>21.15</c:v>
                </c:pt>
                <c:pt idx="3634">
                  <c:v>25.82</c:v>
                </c:pt>
                <c:pt idx="3635">
                  <c:v>25.84</c:v>
                </c:pt>
                <c:pt idx="3636">
                  <c:v>25.82</c:v>
                </c:pt>
                <c:pt idx="3637">
                  <c:v>25.84</c:v>
                </c:pt>
                <c:pt idx="3638">
                  <c:v>25.52</c:v>
                </c:pt>
                <c:pt idx="3639">
                  <c:v>25.56</c:v>
                </c:pt>
                <c:pt idx="3640">
                  <c:v>25.82</c:v>
                </c:pt>
                <c:pt idx="3641">
                  <c:v>25.52</c:v>
                </c:pt>
                <c:pt idx="3642">
                  <c:v>25.52</c:v>
                </c:pt>
                <c:pt idx="3643">
                  <c:v>25.56</c:v>
                </c:pt>
                <c:pt idx="3644">
                  <c:v>25.82</c:v>
                </c:pt>
                <c:pt idx="3645">
                  <c:v>22.79</c:v>
                </c:pt>
                <c:pt idx="3646">
                  <c:v>20.440000000000001</c:v>
                </c:pt>
                <c:pt idx="3647">
                  <c:v>28.15</c:v>
                </c:pt>
                <c:pt idx="3648">
                  <c:v>28.15</c:v>
                </c:pt>
                <c:pt idx="3649">
                  <c:v>26.27</c:v>
                </c:pt>
                <c:pt idx="3650">
                  <c:v>26.27</c:v>
                </c:pt>
                <c:pt idx="3651">
                  <c:v>24.84</c:v>
                </c:pt>
                <c:pt idx="3652">
                  <c:v>23.9</c:v>
                </c:pt>
                <c:pt idx="3653">
                  <c:v>21</c:v>
                </c:pt>
                <c:pt idx="3654">
                  <c:v>21.45</c:v>
                </c:pt>
                <c:pt idx="3655">
                  <c:v>20.95</c:v>
                </c:pt>
                <c:pt idx="3656">
                  <c:v>25.74</c:v>
                </c:pt>
                <c:pt idx="3657">
                  <c:v>25.74</c:v>
                </c:pt>
                <c:pt idx="3658">
                  <c:v>25.78</c:v>
                </c:pt>
                <c:pt idx="3659">
                  <c:v>16.5</c:v>
                </c:pt>
                <c:pt idx="3660">
                  <c:v>25.47</c:v>
                </c:pt>
                <c:pt idx="3661">
                  <c:v>25.47</c:v>
                </c:pt>
                <c:pt idx="3662">
                  <c:v>25.47</c:v>
                </c:pt>
                <c:pt idx="3663">
                  <c:v>21.4</c:v>
                </c:pt>
                <c:pt idx="3664">
                  <c:v>17.55</c:v>
                </c:pt>
                <c:pt idx="3665">
                  <c:v>26.24</c:v>
                </c:pt>
                <c:pt idx="3666">
                  <c:v>26.24</c:v>
                </c:pt>
                <c:pt idx="3667">
                  <c:v>18</c:v>
                </c:pt>
                <c:pt idx="3668">
                  <c:v>30.2</c:v>
                </c:pt>
                <c:pt idx="3669">
                  <c:v>25.27</c:v>
                </c:pt>
                <c:pt idx="3670">
                  <c:v>26.1</c:v>
                </c:pt>
                <c:pt idx="3671">
                  <c:v>26.1</c:v>
                </c:pt>
                <c:pt idx="3672">
                  <c:v>18</c:v>
                </c:pt>
                <c:pt idx="3673">
                  <c:v>33.29</c:v>
                </c:pt>
                <c:pt idx="3674">
                  <c:v>33.369999999999997</c:v>
                </c:pt>
                <c:pt idx="3675">
                  <c:v>23.8</c:v>
                </c:pt>
                <c:pt idx="3676">
                  <c:v>21.08</c:v>
                </c:pt>
                <c:pt idx="3677">
                  <c:v>29.04</c:v>
                </c:pt>
                <c:pt idx="3678">
                  <c:v>29.65</c:v>
                </c:pt>
                <c:pt idx="3679">
                  <c:v>20.46</c:v>
                </c:pt>
                <c:pt idx="3680">
                  <c:v>20.07</c:v>
                </c:pt>
                <c:pt idx="3681">
                  <c:v>20.07</c:v>
                </c:pt>
                <c:pt idx="3682">
                  <c:v>20.07</c:v>
                </c:pt>
                <c:pt idx="3683">
                  <c:v>20.07</c:v>
                </c:pt>
                <c:pt idx="3684">
                  <c:v>20.65</c:v>
                </c:pt>
                <c:pt idx="3685">
                  <c:v>17.7</c:v>
                </c:pt>
                <c:pt idx="3686">
                  <c:v>25.74</c:v>
                </c:pt>
                <c:pt idx="3687">
                  <c:v>20.25</c:v>
                </c:pt>
                <c:pt idx="3688">
                  <c:v>19.87</c:v>
                </c:pt>
                <c:pt idx="3689">
                  <c:v>20.16</c:v>
                </c:pt>
                <c:pt idx="3690">
                  <c:v>20.63</c:v>
                </c:pt>
                <c:pt idx="3691">
                  <c:v>25.51</c:v>
                </c:pt>
                <c:pt idx="3692">
                  <c:v>20.329999999999998</c:v>
                </c:pt>
                <c:pt idx="3693">
                  <c:v>21.55</c:v>
                </c:pt>
                <c:pt idx="3694">
                  <c:v>20.329999999999998</c:v>
                </c:pt>
                <c:pt idx="3695">
                  <c:v>20.329999999999998</c:v>
                </c:pt>
                <c:pt idx="3696">
                  <c:v>20.329999999999998</c:v>
                </c:pt>
                <c:pt idx="3697">
                  <c:v>22.2</c:v>
                </c:pt>
                <c:pt idx="3698">
                  <c:v>16.5</c:v>
                </c:pt>
                <c:pt idx="3699">
                  <c:v>17.11</c:v>
                </c:pt>
                <c:pt idx="3700">
                  <c:v>17.11</c:v>
                </c:pt>
                <c:pt idx="3701">
                  <c:v>17.32</c:v>
                </c:pt>
                <c:pt idx="3702">
                  <c:v>19.87</c:v>
                </c:pt>
                <c:pt idx="3703">
                  <c:v>28.99</c:v>
                </c:pt>
                <c:pt idx="3704">
                  <c:v>29.27</c:v>
                </c:pt>
                <c:pt idx="3705">
                  <c:v>22</c:v>
                </c:pt>
                <c:pt idx="3706">
                  <c:v>16.5</c:v>
                </c:pt>
                <c:pt idx="3707">
                  <c:v>30.94</c:v>
                </c:pt>
                <c:pt idx="3708">
                  <c:v>25.08</c:v>
                </c:pt>
                <c:pt idx="3709">
                  <c:v>21.65</c:v>
                </c:pt>
                <c:pt idx="3710">
                  <c:v>21</c:v>
                </c:pt>
                <c:pt idx="3711">
                  <c:v>21.45</c:v>
                </c:pt>
                <c:pt idx="3712">
                  <c:v>33.369999999999997</c:v>
                </c:pt>
                <c:pt idx="3713">
                  <c:v>20.440000000000001</c:v>
                </c:pt>
                <c:pt idx="3714">
                  <c:v>28.15</c:v>
                </c:pt>
                <c:pt idx="3715">
                  <c:v>28.15</c:v>
                </c:pt>
                <c:pt idx="3716">
                  <c:v>26.27</c:v>
                </c:pt>
                <c:pt idx="3717">
                  <c:v>26.27</c:v>
                </c:pt>
                <c:pt idx="3718">
                  <c:v>17</c:v>
                </c:pt>
                <c:pt idx="3719">
                  <c:v>20.46</c:v>
                </c:pt>
                <c:pt idx="3720">
                  <c:v>21.15</c:v>
                </c:pt>
                <c:pt idx="3721">
                  <c:v>28.98</c:v>
                </c:pt>
                <c:pt idx="3722">
                  <c:v>29.04</c:v>
                </c:pt>
                <c:pt idx="3723">
                  <c:v>29.65</c:v>
                </c:pt>
                <c:pt idx="3724">
                  <c:v>16.84</c:v>
                </c:pt>
                <c:pt idx="3725">
                  <c:v>17.22</c:v>
                </c:pt>
                <c:pt idx="3726">
                  <c:v>17.760000000000002</c:v>
                </c:pt>
                <c:pt idx="3727">
                  <c:v>26.24</c:v>
                </c:pt>
                <c:pt idx="3728">
                  <c:v>26.24</c:v>
                </c:pt>
                <c:pt idx="3729">
                  <c:v>29.31</c:v>
                </c:pt>
                <c:pt idx="3730">
                  <c:v>30.64</c:v>
                </c:pt>
                <c:pt idx="3731">
                  <c:v>22.32</c:v>
                </c:pt>
                <c:pt idx="3732">
                  <c:v>20.53</c:v>
                </c:pt>
                <c:pt idx="3733">
                  <c:v>20.53</c:v>
                </c:pt>
                <c:pt idx="3734">
                  <c:v>17.7</c:v>
                </c:pt>
                <c:pt idx="3735">
                  <c:v>18.8</c:v>
                </c:pt>
                <c:pt idx="3736">
                  <c:v>21.4</c:v>
                </c:pt>
                <c:pt idx="3737">
                  <c:v>25.33</c:v>
                </c:pt>
                <c:pt idx="3738">
                  <c:v>25.74</c:v>
                </c:pt>
                <c:pt idx="3739">
                  <c:v>20.16</c:v>
                </c:pt>
                <c:pt idx="3740">
                  <c:v>21.08</c:v>
                </c:pt>
                <c:pt idx="3741">
                  <c:v>24.95</c:v>
                </c:pt>
                <c:pt idx="3742">
                  <c:v>20.65</c:v>
                </c:pt>
                <c:pt idx="3743">
                  <c:v>20.329999999999998</c:v>
                </c:pt>
                <c:pt idx="3744">
                  <c:v>21.55</c:v>
                </c:pt>
                <c:pt idx="3745">
                  <c:v>25.51</c:v>
                </c:pt>
                <c:pt idx="3746">
                  <c:v>25.51</c:v>
                </c:pt>
                <c:pt idx="3747">
                  <c:v>25.18</c:v>
                </c:pt>
                <c:pt idx="3748">
                  <c:v>25.18</c:v>
                </c:pt>
                <c:pt idx="3749">
                  <c:v>25.41</c:v>
                </c:pt>
                <c:pt idx="3750">
                  <c:v>25.87</c:v>
                </c:pt>
                <c:pt idx="3751">
                  <c:v>25.87</c:v>
                </c:pt>
                <c:pt idx="3752">
                  <c:v>24.09</c:v>
                </c:pt>
                <c:pt idx="3753">
                  <c:v>20.89</c:v>
                </c:pt>
                <c:pt idx="3754">
                  <c:v>23.9</c:v>
                </c:pt>
                <c:pt idx="3755">
                  <c:v>25.47</c:v>
                </c:pt>
                <c:pt idx="3756">
                  <c:v>25.47</c:v>
                </c:pt>
                <c:pt idx="3757">
                  <c:v>25.47</c:v>
                </c:pt>
                <c:pt idx="3758">
                  <c:v>23.72</c:v>
                </c:pt>
                <c:pt idx="3759">
                  <c:v>22.79</c:v>
                </c:pt>
                <c:pt idx="3760">
                  <c:v>24.47</c:v>
                </c:pt>
                <c:pt idx="3761">
                  <c:v>19.82</c:v>
                </c:pt>
                <c:pt idx="3762">
                  <c:v>20.07</c:v>
                </c:pt>
                <c:pt idx="3763">
                  <c:v>20.07</c:v>
                </c:pt>
                <c:pt idx="3764">
                  <c:v>20.07</c:v>
                </c:pt>
                <c:pt idx="3765">
                  <c:v>20.07</c:v>
                </c:pt>
                <c:pt idx="3766">
                  <c:v>22.84</c:v>
                </c:pt>
                <c:pt idx="3767">
                  <c:v>25.74</c:v>
                </c:pt>
                <c:pt idx="3768">
                  <c:v>26.1</c:v>
                </c:pt>
                <c:pt idx="3769">
                  <c:v>30.2</c:v>
                </c:pt>
                <c:pt idx="3770">
                  <c:v>25.18</c:v>
                </c:pt>
                <c:pt idx="3771">
                  <c:v>21.65</c:v>
                </c:pt>
                <c:pt idx="3772">
                  <c:v>21.65</c:v>
                </c:pt>
                <c:pt idx="3773">
                  <c:v>25.51</c:v>
                </c:pt>
                <c:pt idx="3774">
                  <c:v>28.15</c:v>
                </c:pt>
                <c:pt idx="3775">
                  <c:v>21.9</c:v>
                </c:pt>
                <c:pt idx="3776">
                  <c:v>22.66</c:v>
                </c:pt>
                <c:pt idx="3777">
                  <c:v>22.94</c:v>
                </c:pt>
                <c:pt idx="3778">
                  <c:v>20.5</c:v>
                </c:pt>
                <c:pt idx="3779">
                  <c:v>40.29</c:v>
                </c:pt>
                <c:pt idx="3780">
                  <c:v>41.94</c:v>
                </c:pt>
                <c:pt idx="3781">
                  <c:v>38.21</c:v>
                </c:pt>
                <c:pt idx="3782">
                  <c:v>36.659999999999997</c:v>
                </c:pt>
                <c:pt idx="3783">
                  <c:v>36.72</c:v>
                </c:pt>
                <c:pt idx="3784">
                  <c:v>39.49</c:v>
                </c:pt>
                <c:pt idx="3785">
                  <c:v>43.3</c:v>
                </c:pt>
                <c:pt idx="3786">
                  <c:v>43.73</c:v>
                </c:pt>
                <c:pt idx="3787">
                  <c:v>48.51</c:v>
                </c:pt>
                <c:pt idx="3788">
                  <c:v>49.67</c:v>
                </c:pt>
                <c:pt idx="3789">
                  <c:v>36.659999999999997</c:v>
                </c:pt>
                <c:pt idx="3790">
                  <c:v>36.72</c:v>
                </c:pt>
                <c:pt idx="3791">
                  <c:v>39.49</c:v>
                </c:pt>
                <c:pt idx="3792">
                  <c:v>43.3</c:v>
                </c:pt>
                <c:pt idx="3793">
                  <c:v>43.73</c:v>
                </c:pt>
                <c:pt idx="3794">
                  <c:v>49.67</c:v>
                </c:pt>
                <c:pt idx="3795">
                  <c:v>55.66</c:v>
                </c:pt>
                <c:pt idx="3796">
                  <c:v>36.659999999999997</c:v>
                </c:pt>
                <c:pt idx="3797">
                  <c:v>36.72</c:v>
                </c:pt>
                <c:pt idx="3798">
                  <c:v>39.49</c:v>
                </c:pt>
                <c:pt idx="3799">
                  <c:v>43.3</c:v>
                </c:pt>
                <c:pt idx="3800">
                  <c:v>43.73</c:v>
                </c:pt>
                <c:pt idx="3801">
                  <c:v>49.67</c:v>
                </c:pt>
                <c:pt idx="3802">
                  <c:v>40.54</c:v>
                </c:pt>
                <c:pt idx="3803">
                  <c:v>42.49</c:v>
                </c:pt>
                <c:pt idx="3804">
                  <c:v>43.35</c:v>
                </c:pt>
                <c:pt idx="3805">
                  <c:v>46.75</c:v>
                </c:pt>
                <c:pt idx="3806">
                  <c:v>37.67</c:v>
                </c:pt>
                <c:pt idx="3807">
                  <c:v>37.67</c:v>
                </c:pt>
                <c:pt idx="3808">
                  <c:v>48.23</c:v>
                </c:pt>
                <c:pt idx="3809">
                  <c:v>42.05</c:v>
                </c:pt>
                <c:pt idx="3810">
                  <c:v>30.1</c:v>
                </c:pt>
                <c:pt idx="3811">
                  <c:v>38.47</c:v>
                </c:pt>
                <c:pt idx="3812">
                  <c:v>53.5</c:v>
                </c:pt>
                <c:pt idx="3813">
                  <c:v>44</c:v>
                </c:pt>
                <c:pt idx="3814">
                  <c:v>45.6</c:v>
                </c:pt>
                <c:pt idx="3815">
                  <c:v>59.34</c:v>
                </c:pt>
                <c:pt idx="3816">
                  <c:v>59.34</c:v>
                </c:pt>
                <c:pt idx="3817">
                  <c:v>30</c:v>
                </c:pt>
                <c:pt idx="3818">
                  <c:v>41.4</c:v>
                </c:pt>
                <c:pt idx="3819">
                  <c:v>37.6</c:v>
                </c:pt>
                <c:pt idx="3820">
                  <c:v>42.67</c:v>
                </c:pt>
                <c:pt idx="3821">
                  <c:v>59.34</c:v>
                </c:pt>
                <c:pt idx="3822">
                  <c:v>37.68</c:v>
                </c:pt>
                <c:pt idx="3823">
                  <c:v>48.23</c:v>
                </c:pt>
                <c:pt idx="3824">
                  <c:v>38.21</c:v>
                </c:pt>
                <c:pt idx="3825">
                  <c:v>44</c:v>
                </c:pt>
                <c:pt idx="3826">
                  <c:v>45.6</c:v>
                </c:pt>
                <c:pt idx="3827">
                  <c:v>49.98</c:v>
                </c:pt>
                <c:pt idx="3828">
                  <c:v>36.659999999999997</c:v>
                </c:pt>
                <c:pt idx="3829">
                  <c:v>36.72</c:v>
                </c:pt>
                <c:pt idx="3830">
                  <c:v>39.49</c:v>
                </c:pt>
                <c:pt idx="3831">
                  <c:v>43.3</c:v>
                </c:pt>
                <c:pt idx="3832">
                  <c:v>43.73</c:v>
                </c:pt>
                <c:pt idx="3833">
                  <c:v>48.51</c:v>
                </c:pt>
                <c:pt idx="3834">
                  <c:v>49.67</c:v>
                </c:pt>
                <c:pt idx="3835">
                  <c:v>36.659999999999997</c:v>
                </c:pt>
                <c:pt idx="3836">
                  <c:v>36.72</c:v>
                </c:pt>
                <c:pt idx="3837">
                  <c:v>39.49</c:v>
                </c:pt>
                <c:pt idx="3838">
                  <c:v>43.3</c:v>
                </c:pt>
                <c:pt idx="3839">
                  <c:v>43.73</c:v>
                </c:pt>
                <c:pt idx="3840">
                  <c:v>49.67</c:v>
                </c:pt>
                <c:pt idx="3841">
                  <c:v>36.659999999999997</c:v>
                </c:pt>
                <c:pt idx="3842">
                  <c:v>36.72</c:v>
                </c:pt>
                <c:pt idx="3843">
                  <c:v>39.49</c:v>
                </c:pt>
                <c:pt idx="3844">
                  <c:v>43.3</c:v>
                </c:pt>
                <c:pt idx="3845">
                  <c:v>43.73</c:v>
                </c:pt>
                <c:pt idx="3846">
                  <c:v>49.67</c:v>
                </c:pt>
                <c:pt idx="3847">
                  <c:v>35.270000000000003</c:v>
                </c:pt>
                <c:pt idx="3848">
                  <c:v>40.54</c:v>
                </c:pt>
                <c:pt idx="3849">
                  <c:v>39.33</c:v>
                </c:pt>
                <c:pt idx="3850">
                  <c:v>42.05</c:v>
                </c:pt>
                <c:pt idx="3851">
                  <c:v>40.29</c:v>
                </c:pt>
                <c:pt idx="3852">
                  <c:v>41.18</c:v>
                </c:pt>
                <c:pt idx="3853">
                  <c:v>37.67</c:v>
                </c:pt>
                <c:pt idx="3854">
                  <c:v>37.67</c:v>
                </c:pt>
                <c:pt idx="3855">
                  <c:v>43.35</c:v>
                </c:pt>
                <c:pt idx="3856">
                  <c:v>46.75</c:v>
                </c:pt>
                <c:pt idx="3857">
                  <c:v>30.02</c:v>
                </c:pt>
                <c:pt idx="3858">
                  <c:v>30.02</c:v>
                </c:pt>
                <c:pt idx="3859">
                  <c:v>30.6</c:v>
                </c:pt>
                <c:pt idx="3860">
                  <c:v>31.45</c:v>
                </c:pt>
                <c:pt idx="3861">
                  <c:v>30.02</c:v>
                </c:pt>
                <c:pt idx="3862">
                  <c:v>30.02</c:v>
                </c:pt>
                <c:pt idx="3863">
                  <c:v>30.6</c:v>
                </c:pt>
                <c:pt idx="3864">
                  <c:v>31.45</c:v>
                </c:pt>
                <c:pt idx="3865">
                  <c:v>30.02</c:v>
                </c:pt>
                <c:pt idx="3866">
                  <c:v>30.02</c:v>
                </c:pt>
                <c:pt idx="3867">
                  <c:v>31.45</c:v>
                </c:pt>
                <c:pt idx="3868">
                  <c:v>27.26</c:v>
                </c:pt>
                <c:pt idx="3869">
                  <c:v>30.02</c:v>
                </c:pt>
                <c:pt idx="3870">
                  <c:v>31.45</c:v>
                </c:pt>
                <c:pt idx="3871">
                  <c:v>43.43</c:v>
                </c:pt>
                <c:pt idx="3872">
                  <c:v>39.33</c:v>
                </c:pt>
                <c:pt idx="3873">
                  <c:v>39.33</c:v>
                </c:pt>
                <c:pt idx="3874">
                  <c:v>49.98</c:v>
                </c:pt>
                <c:pt idx="3875">
                  <c:v>30.69</c:v>
                </c:pt>
                <c:pt idx="3876">
                  <c:v>26.38</c:v>
                </c:pt>
                <c:pt idx="3877">
                  <c:v>25.68</c:v>
                </c:pt>
                <c:pt idx="3878">
                  <c:v>25.7</c:v>
                </c:pt>
                <c:pt idx="3879">
                  <c:v>18.809999999999999</c:v>
                </c:pt>
                <c:pt idx="3880">
                  <c:v>27.18</c:v>
                </c:pt>
                <c:pt idx="3881">
                  <c:v>10.15</c:v>
                </c:pt>
                <c:pt idx="3882">
                  <c:v>11.58</c:v>
                </c:pt>
                <c:pt idx="3883">
                  <c:v>15.92</c:v>
                </c:pt>
                <c:pt idx="3884">
                  <c:v>28.11</c:v>
                </c:pt>
                <c:pt idx="3885">
                  <c:v>30.52</c:v>
                </c:pt>
                <c:pt idx="3886">
                  <c:v>28.11</c:v>
                </c:pt>
                <c:pt idx="3887">
                  <c:v>30.52</c:v>
                </c:pt>
                <c:pt idx="3888">
                  <c:v>28.11</c:v>
                </c:pt>
                <c:pt idx="3889">
                  <c:v>30.52</c:v>
                </c:pt>
                <c:pt idx="3890">
                  <c:v>11.5</c:v>
                </c:pt>
                <c:pt idx="3891">
                  <c:v>22.15</c:v>
                </c:pt>
                <c:pt idx="3892">
                  <c:v>10.59</c:v>
                </c:pt>
                <c:pt idx="3893">
                  <c:v>10.59</c:v>
                </c:pt>
                <c:pt idx="3894">
                  <c:v>9.32</c:v>
                </c:pt>
                <c:pt idx="3895">
                  <c:v>12</c:v>
                </c:pt>
                <c:pt idx="3896">
                  <c:v>10.85</c:v>
                </c:pt>
                <c:pt idx="3897">
                  <c:v>12</c:v>
                </c:pt>
                <c:pt idx="3898">
                  <c:v>12</c:v>
                </c:pt>
                <c:pt idx="3899">
                  <c:v>11.76</c:v>
                </c:pt>
                <c:pt idx="3900">
                  <c:v>11.76</c:v>
                </c:pt>
                <c:pt idx="3901">
                  <c:v>14.67</c:v>
                </c:pt>
                <c:pt idx="3902">
                  <c:v>18.8</c:v>
                </c:pt>
                <c:pt idx="3903">
                  <c:v>17.079999999999998</c:v>
                </c:pt>
                <c:pt idx="3904">
                  <c:v>18.12</c:v>
                </c:pt>
                <c:pt idx="3905">
                  <c:v>18.2</c:v>
                </c:pt>
                <c:pt idx="3906">
                  <c:v>10.32</c:v>
                </c:pt>
                <c:pt idx="3907">
                  <c:v>11.04</c:v>
                </c:pt>
                <c:pt idx="3908">
                  <c:v>10.56</c:v>
                </c:pt>
                <c:pt idx="3909">
                  <c:v>10.56</c:v>
                </c:pt>
                <c:pt idx="3910">
                  <c:v>10.29</c:v>
                </c:pt>
                <c:pt idx="3911">
                  <c:v>10.29</c:v>
                </c:pt>
                <c:pt idx="3912">
                  <c:v>15.1</c:v>
                </c:pt>
                <c:pt idx="3913">
                  <c:v>18.34</c:v>
                </c:pt>
                <c:pt idx="3914">
                  <c:v>18.32</c:v>
                </c:pt>
                <c:pt idx="3915">
                  <c:v>18.12</c:v>
                </c:pt>
                <c:pt idx="3916">
                  <c:v>10.65</c:v>
                </c:pt>
                <c:pt idx="3917">
                  <c:v>15.65</c:v>
                </c:pt>
                <c:pt idx="3918">
                  <c:v>25.68</c:v>
                </c:pt>
                <c:pt idx="3919">
                  <c:v>20.95</c:v>
                </c:pt>
                <c:pt idx="3920">
                  <c:v>20.95</c:v>
                </c:pt>
                <c:pt idx="3921">
                  <c:v>16.2</c:v>
                </c:pt>
                <c:pt idx="3922">
                  <c:v>25.73</c:v>
                </c:pt>
                <c:pt idx="3923">
                  <c:v>26.07</c:v>
                </c:pt>
                <c:pt idx="3924">
                  <c:v>26.44</c:v>
                </c:pt>
                <c:pt idx="3925">
                  <c:v>15.38</c:v>
                </c:pt>
                <c:pt idx="3926">
                  <c:v>18.5</c:v>
                </c:pt>
                <c:pt idx="3927">
                  <c:v>22</c:v>
                </c:pt>
                <c:pt idx="3928">
                  <c:v>22.32</c:v>
                </c:pt>
                <c:pt idx="3929">
                  <c:v>10.029999999999999</c:v>
                </c:pt>
                <c:pt idx="3930">
                  <c:v>12.93</c:v>
                </c:pt>
                <c:pt idx="3931">
                  <c:v>20</c:v>
                </c:pt>
                <c:pt idx="3932">
                  <c:v>25</c:v>
                </c:pt>
                <c:pt idx="3933">
                  <c:v>32.799999999999997</c:v>
                </c:pt>
                <c:pt idx="3934">
                  <c:v>25.24</c:v>
                </c:pt>
                <c:pt idx="3935">
                  <c:v>18</c:v>
                </c:pt>
                <c:pt idx="3936">
                  <c:v>10</c:v>
                </c:pt>
                <c:pt idx="3937">
                  <c:v>25.7</c:v>
                </c:pt>
                <c:pt idx="3938">
                  <c:v>10.15</c:v>
                </c:pt>
                <c:pt idx="3939">
                  <c:v>10.029999999999999</c:v>
                </c:pt>
                <c:pt idx="3940">
                  <c:v>18.89</c:v>
                </c:pt>
                <c:pt idx="3941">
                  <c:v>22.15</c:v>
                </c:pt>
                <c:pt idx="3942">
                  <c:v>22.15</c:v>
                </c:pt>
                <c:pt idx="3943">
                  <c:v>10.66</c:v>
                </c:pt>
                <c:pt idx="3944">
                  <c:v>11.58</c:v>
                </c:pt>
                <c:pt idx="3945">
                  <c:v>15.99</c:v>
                </c:pt>
                <c:pt idx="3946">
                  <c:v>16.5</c:v>
                </c:pt>
                <c:pt idx="3947">
                  <c:v>10.56</c:v>
                </c:pt>
                <c:pt idx="3948">
                  <c:v>10.29</c:v>
                </c:pt>
                <c:pt idx="3949">
                  <c:v>11.04</c:v>
                </c:pt>
                <c:pt idx="3950">
                  <c:v>10.32</c:v>
                </c:pt>
                <c:pt idx="3951">
                  <c:v>10.65</c:v>
                </c:pt>
                <c:pt idx="3952">
                  <c:v>10.65</c:v>
                </c:pt>
                <c:pt idx="3953">
                  <c:v>11.04</c:v>
                </c:pt>
                <c:pt idx="3954">
                  <c:v>14.67</c:v>
                </c:pt>
                <c:pt idx="3955">
                  <c:v>34.229999999999997</c:v>
                </c:pt>
                <c:pt idx="3956">
                  <c:v>28.11</c:v>
                </c:pt>
                <c:pt idx="3957">
                  <c:v>30.52</c:v>
                </c:pt>
                <c:pt idx="3958">
                  <c:v>28.11</c:v>
                </c:pt>
                <c:pt idx="3959">
                  <c:v>30.52</c:v>
                </c:pt>
                <c:pt idx="3960">
                  <c:v>28.11</c:v>
                </c:pt>
                <c:pt idx="3961">
                  <c:v>30.52</c:v>
                </c:pt>
                <c:pt idx="3962">
                  <c:v>12</c:v>
                </c:pt>
                <c:pt idx="3963">
                  <c:v>18.34</c:v>
                </c:pt>
                <c:pt idx="3964">
                  <c:v>18.32</c:v>
                </c:pt>
                <c:pt idx="3965">
                  <c:v>18</c:v>
                </c:pt>
                <c:pt idx="3966">
                  <c:v>15.38</c:v>
                </c:pt>
                <c:pt idx="3967">
                  <c:v>27.18</c:v>
                </c:pt>
                <c:pt idx="3968">
                  <c:v>18.09</c:v>
                </c:pt>
                <c:pt idx="3969">
                  <c:v>20.329999999999998</c:v>
                </c:pt>
                <c:pt idx="3970">
                  <c:v>20.329999999999998</c:v>
                </c:pt>
                <c:pt idx="3971">
                  <c:v>20.95</c:v>
                </c:pt>
                <c:pt idx="3972">
                  <c:v>26.38</c:v>
                </c:pt>
                <c:pt idx="3973">
                  <c:v>25.68</c:v>
                </c:pt>
                <c:pt idx="3974">
                  <c:v>26.01</c:v>
                </c:pt>
                <c:pt idx="3975">
                  <c:v>28.77</c:v>
                </c:pt>
                <c:pt idx="3976">
                  <c:v>16.2</c:v>
                </c:pt>
                <c:pt idx="3977">
                  <c:v>26.44</c:v>
                </c:pt>
                <c:pt idx="3978">
                  <c:v>20.45</c:v>
                </c:pt>
                <c:pt idx="3979">
                  <c:v>20.45</c:v>
                </c:pt>
                <c:pt idx="3980">
                  <c:v>20.45</c:v>
                </c:pt>
                <c:pt idx="3981">
                  <c:v>20.45</c:v>
                </c:pt>
                <c:pt idx="3982">
                  <c:v>20.45</c:v>
                </c:pt>
                <c:pt idx="3983">
                  <c:v>20.45</c:v>
                </c:pt>
                <c:pt idx="3984">
                  <c:v>20.45</c:v>
                </c:pt>
                <c:pt idx="3985">
                  <c:v>33.79</c:v>
                </c:pt>
                <c:pt idx="3986">
                  <c:v>33.79</c:v>
                </c:pt>
                <c:pt idx="3987">
                  <c:v>53.34</c:v>
                </c:pt>
                <c:pt idx="3988">
                  <c:v>42</c:v>
                </c:pt>
                <c:pt idx="3989">
                  <c:v>44.38</c:v>
                </c:pt>
                <c:pt idx="3990">
                  <c:v>40</c:v>
                </c:pt>
                <c:pt idx="3991">
                  <c:v>36.409999999999997</c:v>
                </c:pt>
                <c:pt idx="3992">
                  <c:v>47.26</c:v>
                </c:pt>
                <c:pt idx="3993">
                  <c:v>37.29</c:v>
                </c:pt>
                <c:pt idx="3994">
                  <c:v>36.36</c:v>
                </c:pt>
                <c:pt idx="3995">
                  <c:v>41.93</c:v>
                </c:pt>
                <c:pt idx="3996">
                  <c:v>44.38</c:v>
                </c:pt>
                <c:pt idx="3997">
                  <c:v>30.42</c:v>
                </c:pt>
                <c:pt idx="3998">
                  <c:v>30.42</c:v>
                </c:pt>
                <c:pt idx="3999">
                  <c:v>29.7</c:v>
                </c:pt>
                <c:pt idx="4000">
                  <c:v>32.4</c:v>
                </c:pt>
                <c:pt idx="4001">
                  <c:v>35.18</c:v>
                </c:pt>
                <c:pt idx="4002">
                  <c:v>25.72</c:v>
                </c:pt>
                <c:pt idx="4003">
                  <c:v>25.51</c:v>
                </c:pt>
                <c:pt idx="4004">
                  <c:v>26</c:v>
                </c:pt>
                <c:pt idx="4005">
                  <c:v>29.04</c:v>
                </c:pt>
                <c:pt idx="4006">
                  <c:v>25.72</c:v>
                </c:pt>
                <c:pt idx="4007">
                  <c:v>25.51</c:v>
                </c:pt>
                <c:pt idx="4008">
                  <c:v>30.42</c:v>
                </c:pt>
                <c:pt idx="4009">
                  <c:v>30.42</c:v>
                </c:pt>
                <c:pt idx="4010">
                  <c:v>25.67</c:v>
                </c:pt>
                <c:pt idx="4011">
                  <c:v>56</c:v>
                </c:pt>
                <c:pt idx="4012">
                  <c:v>57.62</c:v>
                </c:pt>
                <c:pt idx="4013">
                  <c:v>51.38</c:v>
                </c:pt>
                <c:pt idx="4014">
                  <c:v>58.5</c:v>
                </c:pt>
                <c:pt idx="4015">
                  <c:v>59.75</c:v>
                </c:pt>
                <c:pt idx="4016">
                  <c:v>51.9</c:v>
                </c:pt>
                <c:pt idx="4017">
                  <c:v>51.71</c:v>
                </c:pt>
                <c:pt idx="4018">
                  <c:v>43.52</c:v>
                </c:pt>
                <c:pt idx="4019">
                  <c:v>58.87</c:v>
                </c:pt>
                <c:pt idx="4020">
                  <c:v>55.66</c:v>
                </c:pt>
                <c:pt idx="4021">
                  <c:v>62.65</c:v>
                </c:pt>
                <c:pt idx="4022">
                  <c:v>70.400000000000006</c:v>
                </c:pt>
                <c:pt idx="4023">
                  <c:v>47.18</c:v>
                </c:pt>
                <c:pt idx="4024">
                  <c:v>53.2</c:v>
                </c:pt>
                <c:pt idx="4025">
                  <c:v>53.2</c:v>
                </c:pt>
                <c:pt idx="4026">
                  <c:v>48</c:v>
                </c:pt>
                <c:pt idx="4027">
                  <c:v>55.13</c:v>
                </c:pt>
                <c:pt idx="4028">
                  <c:v>88.81</c:v>
                </c:pt>
                <c:pt idx="4029">
                  <c:v>47.1</c:v>
                </c:pt>
                <c:pt idx="4030">
                  <c:v>55.27</c:v>
                </c:pt>
                <c:pt idx="4031">
                  <c:v>98.31</c:v>
                </c:pt>
                <c:pt idx="4032">
                  <c:v>98.31</c:v>
                </c:pt>
                <c:pt idx="4033">
                  <c:v>88.81</c:v>
                </c:pt>
                <c:pt idx="4034">
                  <c:v>55.13</c:v>
                </c:pt>
                <c:pt idx="4035">
                  <c:v>58.87</c:v>
                </c:pt>
                <c:pt idx="4036">
                  <c:v>55.66</c:v>
                </c:pt>
                <c:pt idx="4037">
                  <c:v>62.65</c:v>
                </c:pt>
                <c:pt idx="4038">
                  <c:v>55.66</c:v>
                </c:pt>
                <c:pt idx="4039">
                  <c:v>58.87</c:v>
                </c:pt>
                <c:pt idx="4040">
                  <c:v>55.66</c:v>
                </c:pt>
                <c:pt idx="4041">
                  <c:v>70.400000000000006</c:v>
                </c:pt>
                <c:pt idx="4042">
                  <c:v>51.71</c:v>
                </c:pt>
                <c:pt idx="4043">
                  <c:v>43.52</c:v>
                </c:pt>
                <c:pt idx="4044">
                  <c:v>51.9</c:v>
                </c:pt>
                <c:pt idx="4045">
                  <c:v>47.18</c:v>
                </c:pt>
                <c:pt idx="4046">
                  <c:v>53.2</c:v>
                </c:pt>
                <c:pt idx="4047">
                  <c:v>88.44</c:v>
                </c:pt>
                <c:pt idx="4048">
                  <c:v>88.44</c:v>
                </c:pt>
                <c:pt idx="4049">
                  <c:v>88.44</c:v>
                </c:pt>
                <c:pt idx="4050">
                  <c:v>97.43</c:v>
                </c:pt>
                <c:pt idx="4051">
                  <c:v>97.43</c:v>
                </c:pt>
                <c:pt idx="4052">
                  <c:v>62.29</c:v>
                </c:pt>
                <c:pt idx="4053">
                  <c:v>49.5</c:v>
                </c:pt>
                <c:pt idx="4054">
                  <c:v>62.29</c:v>
                </c:pt>
                <c:pt idx="4055">
                  <c:v>71.66</c:v>
                </c:pt>
                <c:pt idx="4056">
                  <c:v>104.03</c:v>
                </c:pt>
                <c:pt idx="4057">
                  <c:v>104.03</c:v>
                </c:pt>
                <c:pt idx="4058">
                  <c:v>64.349999999999994</c:v>
                </c:pt>
                <c:pt idx="4059">
                  <c:v>91.91</c:v>
                </c:pt>
                <c:pt idx="4060">
                  <c:v>91.91</c:v>
                </c:pt>
                <c:pt idx="4061">
                  <c:v>91.91</c:v>
                </c:pt>
                <c:pt idx="4062">
                  <c:v>91.91</c:v>
                </c:pt>
                <c:pt idx="4063">
                  <c:v>60.45</c:v>
                </c:pt>
                <c:pt idx="4064">
                  <c:v>60.45</c:v>
                </c:pt>
                <c:pt idx="4065">
                  <c:v>67.95</c:v>
                </c:pt>
                <c:pt idx="4066">
                  <c:v>63.09</c:v>
                </c:pt>
                <c:pt idx="4067">
                  <c:v>71.66</c:v>
                </c:pt>
                <c:pt idx="4068">
                  <c:v>68.98</c:v>
                </c:pt>
                <c:pt idx="4069">
                  <c:v>63.09</c:v>
                </c:pt>
                <c:pt idx="4070">
                  <c:v>91.91</c:v>
                </c:pt>
                <c:pt idx="4071">
                  <c:v>136</c:v>
                </c:pt>
                <c:pt idx="4072">
                  <c:v>30.42</c:v>
                </c:pt>
                <c:pt idx="4073">
                  <c:v>32.76</c:v>
                </c:pt>
                <c:pt idx="4074">
                  <c:v>32.729999999999997</c:v>
                </c:pt>
                <c:pt idx="4075">
                  <c:v>28.37</c:v>
                </c:pt>
                <c:pt idx="4076">
                  <c:v>23.7</c:v>
                </c:pt>
                <c:pt idx="4077">
                  <c:v>25.67</c:v>
                </c:pt>
                <c:pt idx="4078">
                  <c:v>28.35</c:v>
                </c:pt>
                <c:pt idx="4079">
                  <c:v>29.87</c:v>
                </c:pt>
                <c:pt idx="4080">
                  <c:v>33.78</c:v>
                </c:pt>
                <c:pt idx="4081">
                  <c:v>36.33</c:v>
                </c:pt>
                <c:pt idx="4082">
                  <c:v>32</c:v>
                </c:pt>
                <c:pt idx="4083">
                  <c:v>39.130000000000003</c:v>
                </c:pt>
                <c:pt idx="4084">
                  <c:v>30.48</c:v>
                </c:pt>
                <c:pt idx="4085">
                  <c:v>33.32</c:v>
                </c:pt>
                <c:pt idx="4086">
                  <c:v>23</c:v>
                </c:pt>
                <c:pt idx="4087">
                  <c:v>28.37</c:v>
                </c:pt>
                <c:pt idx="4088">
                  <c:v>25.98</c:v>
                </c:pt>
                <c:pt idx="4089">
                  <c:v>27.91</c:v>
                </c:pt>
                <c:pt idx="4090">
                  <c:v>26.32</c:v>
                </c:pt>
                <c:pt idx="4091">
                  <c:v>25.12</c:v>
                </c:pt>
                <c:pt idx="4092">
                  <c:v>32.76</c:v>
                </c:pt>
                <c:pt idx="4093">
                  <c:v>28</c:v>
                </c:pt>
                <c:pt idx="4094">
                  <c:v>30</c:v>
                </c:pt>
                <c:pt idx="4095">
                  <c:v>37.07</c:v>
                </c:pt>
                <c:pt idx="4096">
                  <c:v>23.52</c:v>
                </c:pt>
                <c:pt idx="4097">
                  <c:v>23.6</c:v>
                </c:pt>
                <c:pt idx="4098">
                  <c:v>23.6</c:v>
                </c:pt>
                <c:pt idx="4099">
                  <c:v>27.63</c:v>
                </c:pt>
                <c:pt idx="4100">
                  <c:v>27.46</c:v>
                </c:pt>
                <c:pt idx="4101">
                  <c:v>28.94</c:v>
                </c:pt>
                <c:pt idx="4102">
                  <c:v>30.99</c:v>
                </c:pt>
                <c:pt idx="4103">
                  <c:v>21.14</c:v>
                </c:pt>
                <c:pt idx="4104">
                  <c:v>30.96</c:v>
                </c:pt>
                <c:pt idx="4105">
                  <c:v>24.84</c:v>
                </c:pt>
                <c:pt idx="4106">
                  <c:v>32.78</c:v>
                </c:pt>
                <c:pt idx="4107">
                  <c:v>23</c:v>
                </c:pt>
                <c:pt idx="4108">
                  <c:v>9.77</c:v>
                </c:pt>
                <c:pt idx="4109">
                  <c:v>31.68</c:v>
                </c:pt>
                <c:pt idx="4110">
                  <c:v>31.68</c:v>
                </c:pt>
                <c:pt idx="4111">
                  <c:v>31.68</c:v>
                </c:pt>
                <c:pt idx="4112">
                  <c:v>31.68</c:v>
                </c:pt>
                <c:pt idx="4113">
                  <c:v>31.68</c:v>
                </c:pt>
                <c:pt idx="4114">
                  <c:v>31.68</c:v>
                </c:pt>
                <c:pt idx="4115">
                  <c:v>31.68</c:v>
                </c:pt>
                <c:pt idx="4116">
                  <c:v>31.68</c:v>
                </c:pt>
                <c:pt idx="4117">
                  <c:v>31.68</c:v>
                </c:pt>
                <c:pt idx="4118">
                  <c:v>20.74</c:v>
                </c:pt>
                <c:pt idx="4119">
                  <c:v>18</c:v>
                </c:pt>
                <c:pt idx="4120">
                  <c:v>18</c:v>
                </c:pt>
                <c:pt idx="4121">
                  <c:v>17.3</c:v>
                </c:pt>
                <c:pt idx="4122">
                  <c:v>25.23</c:v>
                </c:pt>
                <c:pt idx="4123">
                  <c:v>25.29</c:v>
                </c:pt>
                <c:pt idx="4124">
                  <c:v>25.23</c:v>
                </c:pt>
                <c:pt idx="4125">
                  <c:v>23.59</c:v>
                </c:pt>
                <c:pt idx="4126">
                  <c:v>22.15</c:v>
                </c:pt>
                <c:pt idx="4127">
                  <c:v>25.6</c:v>
                </c:pt>
                <c:pt idx="4128">
                  <c:v>23.64</c:v>
                </c:pt>
                <c:pt idx="4129">
                  <c:v>23.1</c:v>
                </c:pt>
                <c:pt idx="4130">
                  <c:v>21</c:v>
                </c:pt>
                <c:pt idx="4131">
                  <c:v>25.1</c:v>
                </c:pt>
                <c:pt idx="4132">
                  <c:v>25.1</c:v>
                </c:pt>
                <c:pt idx="4133">
                  <c:v>26.6</c:v>
                </c:pt>
                <c:pt idx="4134">
                  <c:v>15.75</c:v>
                </c:pt>
                <c:pt idx="4135">
                  <c:v>23.13</c:v>
                </c:pt>
                <c:pt idx="4136">
                  <c:v>20.09</c:v>
                </c:pt>
                <c:pt idx="4137">
                  <c:v>18.63</c:v>
                </c:pt>
                <c:pt idx="4138">
                  <c:v>18.63</c:v>
                </c:pt>
                <c:pt idx="4139">
                  <c:v>22.78</c:v>
                </c:pt>
                <c:pt idx="4140">
                  <c:v>25.47</c:v>
                </c:pt>
                <c:pt idx="4141">
                  <c:v>20.02</c:v>
                </c:pt>
                <c:pt idx="4142">
                  <c:v>20.02</c:v>
                </c:pt>
                <c:pt idx="4143">
                  <c:v>12.37</c:v>
                </c:pt>
                <c:pt idx="4144">
                  <c:v>13.86</c:v>
                </c:pt>
                <c:pt idx="4145">
                  <c:v>15.09</c:v>
                </c:pt>
                <c:pt idx="4146">
                  <c:v>20.7</c:v>
                </c:pt>
                <c:pt idx="4147">
                  <c:v>20.7</c:v>
                </c:pt>
                <c:pt idx="4148">
                  <c:v>20.7</c:v>
                </c:pt>
                <c:pt idx="4149">
                  <c:v>23.5</c:v>
                </c:pt>
                <c:pt idx="4150">
                  <c:v>23.5</c:v>
                </c:pt>
                <c:pt idx="4151">
                  <c:v>21</c:v>
                </c:pt>
                <c:pt idx="4152">
                  <c:v>25.23</c:v>
                </c:pt>
                <c:pt idx="4153">
                  <c:v>25.29</c:v>
                </c:pt>
                <c:pt idx="4154">
                  <c:v>25.23</c:v>
                </c:pt>
                <c:pt idx="4155">
                  <c:v>25.64</c:v>
                </c:pt>
                <c:pt idx="4156">
                  <c:v>27.67</c:v>
                </c:pt>
                <c:pt idx="4157">
                  <c:v>9.77</c:v>
                </c:pt>
                <c:pt idx="4158">
                  <c:v>20.58</c:v>
                </c:pt>
                <c:pt idx="4159">
                  <c:v>23</c:v>
                </c:pt>
                <c:pt idx="4160">
                  <c:v>23.59</c:v>
                </c:pt>
                <c:pt idx="4161">
                  <c:v>20.09</c:v>
                </c:pt>
                <c:pt idx="4162">
                  <c:v>21.18</c:v>
                </c:pt>
                <c:pt idx="4163">
                  <c:v>25.01</c:v>
                </c:pt>
                <c:pt idx="4164">
                  <c:v>20</c:v>
                </c:pt>
                <c:pt idx="4165">
                  <c:v>23.6</c:v>
                </c:pt>
                <c:pt idx="4166">
                  <c:v>23.6</c:v>
                </c:pt>
                <c:pt idx="4167">
                  <c:v>27.63</c:v>
                </c:pt>
                <c:pt idx="4168">
                  <c:v>28.94</c:v>
                </c:pt>
                <c:pt idx="4169">
                  <c:v>30.99</c:v>
                </c:pt>
                <c:pt idx="4170">
                  <c:v>21.14</c:v>
                </c:pt>
                <c:pt idx="4171">
                  <c:v>30.96</c:v>
                </c:pt>
                <c:pt idx="4172">
                  <c:v>24.84</c:v>
                </c:pt>
                <c:pt idx="4173">
                  <c:v>26</c:v>
                </c:pt>
                <c:pt idx="4174">
                  <c:v>29.5</c:v>
                </c:pt>
                <c:pt idx="4175">
                  <c:v>18.63</c:v>
                </c:pt>
                <c:pt idx="4176">
                  <c:v>18.63</c:v>
                </c:pt>
                <c:pt idx="4177">
                  <c:v>22.78</c:v>
                </c:pt>
                <c:pt idx="4178">
                  <c:v>20.399999999999999</c:v>
                </c:pt>
                <c:pt idx="4179">
                  <c:v>23.12</c:v>
                </c:pt>
                <c:pt idx="4180">
                  <c:v>20.74</c:v>
                </c:pt>
                <c:pt idx="4181">
                  <c:v>20.5</c:v>
                </c:pt>
                <c:pt idx="4182">
                  <c:v>31.68</c:v>
                </c:pt>
                <c:pt idx="4183">
                  <c:v>31.68</c:v>
                </c:pt>
                <c:pt idx="4184">
                  <c:v>31.68</c:v>
                </c:pt>
                <c:pt idx="4185">
                  <c:v>31.68</c:v>
                </c:pt>
                <c:pt idx="4186">
                  <c:v>31.68</c:v>
                </c:pt>
                <c:pt idx="4187">
                  <c:v>31.68</c:v>
                </c:pt>
                <c:pt idx="4188">
                  <c:v>31.68</c:v>
                </c:pt>
                <c:pt idx="4189">
                  <c:v>31.68</c:v>
                </c:pt>
                <c:pt idx="4190">
                  <c:v>31.68</c:v>
                </c:pt>
                <c:pt idx="4191">
                  <c:v>31.68</c:v>
                </c:pt>
                <c:pt idx="4192">
                  <c:v>31.68</c:v>
                </c:pt>
                <c:pt idx="4193">
                  <c:v>31.68</c:v>
                </c:pt>
                <c:pt idx="4194">
                  <c:v>18.579999999999998</c:v>
                </c:pt>
                <c:pt idx="4195">
                  <c:v>18.760000000000002</c:v>
                </c:pt>
                <c:pt idx="4196">
                  <c:v>18.760000000000002</c:v>
                </c:pt>
                <c:pt idx="4197">
                  <c:v>25.01</c:v>
                </c:pt>
                <c:pt idx="4198">
                  <c:v>25.5</c:v>
                </c:pt>
                <c:pt idx="4199">
                  <c:v>28.87</c:v>
                </c:pt>
                <c:pt idx="4200">
                  <c:v>31.35</c:v>
                </c:pt>
                <c:pt idx="4201">
                  <c:v>28.87</c:v>
                </c:pt>
                <c:pt idx="4202">
                  <c:v>25.34</c:v>
                </c:pt>
                <c:pt idx="4203">
                  <c:v>20.02</c:v>
                </c:pt>
                <c:pt idx="4204">
                  <c:v>20.02</c:v>
                </c:pt>
                <c:pt idx="4205">
                  <c:v>15</c:v>
                </c:pt>
                <c:pt idx="4206">
                  <c:v>25.36</c:v>
                </c:pt>
                <c:pt idx="4207">
                  <c:v>22.52</c:v>
                </c:pt>
                <c:pt idx="4208">
                  <c:v>18.760000000000002</c:v>
                </c:pt>
                <c:pt idx="4209">
                  <c:v>25.01</c:v>
                </c:pt>
                <c:pt idx="4210">
                  <c:v>23.52</c:v>
                </c:pt>
                <c:pt idx="4211">
                  <c:v>12.94</c:v>
                </c:pt>
                <c:pt idx="4212">
                  <c:v>17.600000000000001</c:v>
                </c:pt>
                <c:pt idx="4213">
                  <c:v>18.7</c:v>
                </c:pt>
                <c:pt idx="4214">
                  <c:v>18.7</c:v>
                </c:pt>
                <c:pt idx="4215">
                  <c:v>18.5</c:v>
                </c:pt>
                <c:pt idx="4216">
                  <c:v>18.5</c:v>
                </c:pt>
                <c:pt idx="4217">
                  <c:v>21.46</c:v>
                </c:pt>
                <c:pt idx="4218">
                  <c:v>25.6</c:v>
                </c:pt>
                <c:pt idx="4219">
                  <c:v>23.64</c:v>
                </c:pt>
                <c:pt idx="4220">
                  <c:v>25.58</c:v>
                </c:pt>
                <c:pt idx="4221">
                  <c:v>26.6</c:v>
                </c:pt>
                <c:pt idx="4222">
                  <c:v>23.64</c:v>
                </c:pt>
                <c:pt idx="4223">
                  <c:v>25.64</c:v>
                </c:pt>
                <c:pt idx="4224">
                  <c:v>27.67</c:v>
                </c:pt>
                <c:pt idx="4225">
                  <c:v>18.579999999999998</c:v>
                </c:pt>
                <c:pt idx="4226">
                  <c:v>31.7</c:v>
                </c:pt>
                <c:pt idx="4227">
                  <c:v>31.97</c:v>
                </c:pt>
                <c:pt idx="4228">
                  <c:v>41.31</c:v>
                </c:pt>
                <c:pt idx="4229">
                  <c:v>39.06</c:v>
                </c:pt>
                <c:pt idx="4230">
                  <c:v>39.06</c:v>
                </c:pt>
                <c:pt idx="4231">
                  <c:v>39.06</c:v>
                </c:pt>
                <c:pt idx="4232">
                  <c:v>37.53</c:v>
                </c:pt>
                <c:pt idx="4233">
                  <c:v>33.32</c:v>
                </c:pt>
                <c:pt idx="4234">
                  <c:v>42.36</c:v>
                </c:pt>
                <c:pt idx="4235">
                  <c:v>42.36</c:v>
                </c:pt>
                <c:pt idx="4236">
                  <c:v>41.53</c:v>
                </c:pt>
                <c:pt idx="4237">
                  <c:v>40.32</c:v>
                </c:pt>
                <c:pt idx="4238">
                  <c:v>40.32</c:v>
                </c:pt>
                <c:pt idx="4239">
                  <c:v>40.6</c:v>
                </c:pt>
                <c:pt idx="4240">
                  <c:v>32.479999999999997</c:v>
                </c:pt>
                <c:pt idx="4241">
                  <c:v>40.32</c:v>
                </c:pt>
                <c:pt idx="4242">
                  <c:v>40.6</c:v>
                </c:pt>
                <c:pt idx="4243">
                  <c:v>40.6</c:v>
                </c:pt>
                <c:pt idx="4244">
                  <c:v>37.76</c:v>
                </c:pt>
                <c:pt idx="4245">
                  <c:v>37.76</c:v>
                </c:pt>
                <c:pt idx="4246">
                  <c:v>38.01</c:v>
                </c:pt>
                <c:pt idx="4247">
                  <c:v>40.32</c:v>
                </c:pt>
                <c:pt idx="4248">
                  <c:v>40.6</c:v>
                </c:pt>
                <c:pt idx="4249">
                  <c:v>47.7</c:v>
                </c:pt>
                <c:pt idx="4250">
                  <c:v>44.68</c:v>
                </c:pt>
                <c:pt idx="4251">
                  <c:v>39.85</c:v>
                </c:pt>
                <c:pt idx="4252">
                  <c:v>35.369999999999997</c:v>
                </c:pt>
                <c:pt idx="4253">
                  <c:v>46.47</c:v>
                </c:pt>
                <c:pt idx="4254">
                  <c:v>46.47</c:v>
                </c:pt>
                <c:pt idx="4255">
                  <c:v>40.61</c:v>
                </c:pt>
                <c:pt idx="4256">
                  <c:v>47.6</c:v>
                </c:pt>
                <c:pt idx="4257">
                  <c:v>33.6</c:v>
                </c:pt>
                <c:pt idx="4258">
                  <c:v>40.26</c:v>
                </c:pt>
                <c:pt idx="4259">
                  <c:v>37.770000000000003</c:v>
                </c:pt>
                <c:pt idx="4260">
                  <c:v>46</c:v>
                </c:pt>
                <c:pt idx="4261">
                  <c:v>30.96</c:v>
                </c:pt>
                <c:pt idx="4262">
                  <c:v>31.14</c:v>
                </c:pt>
                <c:pt idx="4263">
                  <c:v>31.11</c:v>
                </c:pt>
                <c:pt idx="4264">
                  <c:v>31.17</c:v>
                </c:pt>
                <c:pt idx="4265">
                  <c:v>40.96</c:v>
                </c:pt>
                <c:pt idx="4266">
                  <c:v>40.96</c:v>
                </c:pt>
                <c:pt idx="4267">
                  <c:v>49.24</c:v>
                </c:pt>
                <c:pt idx="4268">
                  <c:v>39.85</c:v>
                </c:pt>
                <c:pt idx="4269">
                  <c:v>40.61</c:v>
                </c:pt>
                <c:pt idx="4270">
                  <c:v>44.31</c:v>
                </c:pt>
                <c:pt idx="4271">
                  <c:v>44.31</c:v>
                </c:pt>
                <c:pt idx="4272">
                  <c:v>44.85</c:v>
                </c:pt>
                <c:pt idx="4273">
                  <c:v>44.85</c:v>
                </c:pt>
                <c:pt idx="4274">
                  <c:v>44.31</c:v>
                </c:pt>
                <c:pt idx="4275">
                  <c:v>41.31</c:v>
                </c:pt>
                <c:pt idx="4276">
                  <c:v>35.909999999999997</c:v>
                </c:pt>
                <c:pt idx="4277">
                  <c:v>41.53</c:v>
                </c:pt>
                <c:pt idx="4278">
                  <c:v>37.76</c:v>
                </c:pt>
                <c:pt idx="4279">
                  <c:v>40.229999999999997</c:v>
                </c:pt>
                <c:pt idx="4280">
                  <c:v>38.950000000000003</c:v>
                </c:pt>
                <c:pt idx="4281">
                  <c:v>40.32</c:v>
                </c:pt>
                <c:pt idx="4282">
                  <c:v>40.6</c:v>
                </c:pt>
                <c:pt idx="4283">
                  <c:v>32.479999999999997</c:v>
                </c:pt>
                <c:pt idx="4284">
                  <c:v>37.07</c:v>
                </c:pt>
                <c:pt idx="4285">
                  <c:v>40.32</c:v>
                </c:pt>
                <c:pt idx="4286">
                  <c:v>40.6</c:v>
                </c:pt>
                <c:pt idx="4287">
                  <c:v>38.01</c:v>
                </c:pt>
                <c:pt idx="4288">
                  <c:v>40.32</c:v>
                </c:pt>
                <c:pt idx="4289">
                  <c:v>42.36</c:v>
                </c:pt>
                <c:pt idx="4290">
                  <c:v>42.36</c:v>
                </c:pt>
                <c:pt idx="4291">
                  <c:v>35.369999999999997</c:v>
                </c:pt>
                <c:pt idx="4292">
                  <c:v>31.7</c:v>
                </c:pt>
                <c:pt idx="4293">
                  <c:v>39.06</c:v>
                </c:pt>
                <c:pt idx="4294">
                  <c:v>39.06</c:v>
                </c:pt>
                <c:pt idx="4295">
                  <c:v>39.06</c:v>
                </c:pt>
                <c:pt idx="4296">
                  <c:v>39.06</c:v>
                </c:pt>
                <c:pt idx="4297">
                  <c:v>37.53</c:v>
                </c:pt>
                <c:pt idx="4298">
                  <c:v>47.65</c:v>
                </c:pt>
                <c:pt idx="4299">
                  <c:v>47.65</c:v>
                </c:pt>
                <c:pt idx="4300">
                  <c:v>45.03</c:v>
                </c:pt>
                <c:pt idx="4301">
                  <c:v>44.68</c:v>
                </c:pt>
                <c:pt idx="4302">
                  <c:v>47.7</c:v>
                </c:pt>
                <c:pt idx="4303">
                  <c:v>30.96</c:v>
                </c:pt>
                <c:pt idx="4304">
                  <c:v>31.14</c:v>
                </c:pt>
                <c:pt idx="4305">
                  <c:v>31.11</c:v>
                </c:pt>
                <c:pt idx="4306">
                  <c:v>31.17</c:v>
                </c:pt>
                <c:pt idx="4307">
                  <c:v>40.26</c:v>
                </c:pt>
                <c:pt idx="4308">
                  <c:v>46</c:v>
                </c:pt>
                <c:pt idx="4309">
                  <c:v>40</c:v>
                </c:pt>
                <c:pt idx="4310">
                  <c:v>42.36</c:v>
                </c:pt>
                <c:pt idx="4311">
                  <c:v>37.770000000000003</c:v>
                </c:pt>
                <c:pt idx="4312">
                  <c:v>47.6</c:v>
                </c:pt>
                <c:pt idx="4313">
                  <c:v>47.6</c:v>
                </c:pt>
                <c:pt idx="4314">
                  <c:v>47.6</c:v>
                </c:pt>
                <c:pt idx="4315">
                  <c:v>40.229999999999997</c:v>
                </c:pt>
                <c:pt idx="4316">
                  <c:v>38.950000000000003</c:v>
                </c:pt>
                <c:pt idx="4317">
                  <c:v>37.07</c:v>
                </c:pt>
                <c:pt idx="4318">
                  <c:v>44.31</c:v>
                </c:pt>
                <c:pt idx="4319">
                  <c:v>44.31</c:v>
                </c:pt>
                <c:pt idx="4320">
                  <c:v>44.85</c:v>
                </c:pt>
                <c:pt idx="4321">
                  <c:v>44.85</c:v>
                </c:pt>
                <c:pt idx="4322">
                  <c:v>44.31</c:v>
                </c:pt>
                <c:pt idx="4323">
                  <c:v>47.65</c:v>
                </c:pt>
                <c:pt idx="4324">
                  <c:v>47.65</c:v>
                </c:pt>
                <c:pt idx="4325">
                  <c:v>45.03</c:v>
                </c:pt>
                <c:pt idx="4326">
                  <c:v>32.54</c:v>
                </c:pt>
                <c:pt idx="4327">
                  <c:v>30.26</c:v>
                </c:pt>
                <c:pt idx="4328">
                  <c:v>14.52</c:v>
                </c:pt>
                <c:pt idx="4329">
                  <c:v>19.18</c:v>
                </c:pt>
                <c:pt idx="4330">
                  <c:v>26.37</c:v>
                </c:pt>
                <c:pt idx="4331">
                  <c:v>30.47</c:v>
                </c:pt>
                <c:pt idx="4332">
                  <c:v>21.17</c:v>
                </c:pt>
                <c:pt idx="4333">
                  <c:v>30.47</c:v>
                </c:pt>
                <c:pt idx="4334">
                  <c:v>26.4</c:v>
                </c:pt>
                <c:pt idx="4335">
                  <c:v>30.81</c:v>
                </c:pt>
                <c:pt idx="4336">
                  <c:v>12.49</c:v>
                </c:pt>
                <c:pt idx="4337">
                  <c:v>10.199999999999999</c:v>
                </c:pt>
                <c:pt idx="4338">
                  <c:v>13</c:v>
                </c:pt>
                <c:pt idx="4339">
                  <c:v>12.18</c:v>
                </c:pt>
                <c:pt idx="4340">
                  <c:v>16.010000000000002</c:v>
                </c:pt>
                <c:pt idx="4341">
                  <c:v>11.16</c:v>
                </c:pt>
                <c:pt idx="4342">
                  <c:v>10.199999999999999</c:v>
                </c:pt>
                <c:pt idx="4343">
                  <c:v>10.26</c:v>
                </c:pt>
                <c:pt idx="4344">
                  <c:v>12</c:v>
                </c:pt>
                <c:pt idx="4345">
                  <c:v>18.510000000000002</c:v>
                </c:pt>
                <c:pt idx="4346">
                  <c:v>18.510000000000002</c:v>
                </c:pt>
                <c:pt idx="4347">
                  <c:v>21.15</c:v>
                </c:pt>
                <c:pt idx="4348">
                  <c:v>12.94</c:v>
                </c:pt>
                <c:pt idx="4349">
                  <c:v>9.06</c:v>
                </c:pt>
                <c:pt idx="4350">
                  <c:v>27.43</c:v>
                </c:pt>
                <c:pt idx="4351">
                  <c:v>12.01</c:v>
                </c:pt>
                <c:pt idx="4352">
                  <c:v>23.14</c:v>
                </c:pt>
                <c:pt idx="4353">
                  <c:v>19.8</c:v>
                </c:pt>
                <c:pt idx="4354">
                  <c:v>15.32</c:v>
                </c:pt>
                <c:pt idx="4355">
                  <c:v>16</c:v>
                </c:pt>
                <c:pt idx="4356">
                  <c:v>32.9</c:v>
                </c:pt>
                <c:pt idx="4357">
                  <c:v>16.2</c:v>
                </c:pt>
                <c:pt idx="4358">
                  <c:v>16.809999999999999</c:v>
                </c:pt>
                <c:pt idx="4359">
                  <c:v>10.82</c:v>
                </c:pt>
                <c:pt idx="4360">
                  <c:v>10.82</c:v>
                </c:pt>
                <c:pt idx="4361">
                  <c:v>18.559999999999999</c:v>
                </c:pt>
                <c:pt idx="4362">
                  <c:v>18.5</c:v>
                </c:pt>
                <c:pt idx="4363">
                  <c:v>10.06</c:v>
                </c:pt>
                <c:pt idx="4364">
                  <c:v>11.88</c:v>
                </c:pt>
                <c:pt idx="4365">
                  <c:v>20.38</c:v>
                </c:pt>
                <c:pt idx="4366">
                  <c:v>21.25</c:v>
                </c:pt>
                <c:pt idx="4367">
                  <c:v>15</c:v>
                </c:pt>
                <c:pt idx="4368">
                  <c:v>15.36</c:v>
                </c:pt>
                <c:pt idx="4369">
                  <c:v>17.87</c:v>
                </c:pt>
                <c:pt idx="4370">
                  <c:v>19.25</c:v>
                </c:pt>
                <c:pt idx="4371">
                  <c:v>20.7</c:v>
                </c:pt>
                <c:pt idx="4372">
                  <c:v>24.48</c:v>
                </c:pt>
                <c:pt idx="4373">
                  <c:v>18.41</c:v>
                </c:pt>
                <c:pt idx="4374">
                  <c:v>18.41</c:v>
                </c:pt>
                <c:pt idx="4375">
                  <c:v>18.41</c:v>
                </c:pt>
                <c:pt idx="4376">
                  <c:v>18.41</c:v>
                </c:pt>
                <c:pt idx="4377">
                  <c:v>22.28</c:v>
                </c:pt>
                <c:pt idx="4378">
                  <c:v>23.24</c:v>
                </c:pt>
                <c:pt idx="4379">
                  <c:v>25.81</c:v>
                </c:pt>
                <c:pt idx="4380">
                  <c:v>18</c:v>
                </c:pt>
                <c:pt idx="4381">
                  <c:v>20.38</c:v>
                </c:pt>
                <c:pt idx="4382">
                  <c:v>21.25</c:v>
                </c:pt>
                <c:pt idx="4383">
                  <c:v>14.52</c:v>
                </c:pt>
                <c:pt idx="4384">
                  <c:v>10.26</c:v>
                </c:pt>
                <c:pt idx="4385">
                  <c:v>12.49</c:v>
                </c:pt>
                <c:pt idx="4386">
                  <c:v>13.58</c:v>
                </c:pt>
                <c:pt idx="4387">
                  <c:v>26.4</c:v>
                </c:pt>
                <c:pt idx="4388">
                  <c:v>10.06</c:v>
                </c:pt>
                <c:pt idx="4389">
                  <c:v>10.06</c:v>
                </c:pt>
                <c:pt idx="4390">
                  <c:v>23.24</c:v>
                </c:pt>
                <c:pt idx="4391">
                  <c:v>21.17</c:v>
                </c:pt>
                <c:pt idx="4392">
                  <c:v>32.54</c:v>
                </c:pt>
                <c:pt idx="4393">
                  <c:v>21.15</c:v>
                </c:pt>
                <c:pt idx="4394">
                  <c:v>16.84</c:v>
                </c:pt>
                <c:pt idx="4395">
                  <c:v>25.5</c:v>
                </c:pt>
                <c:pt idx="4396">
                  <c:v>32.9</c:v>
                </c:pt>
                <c:pt idx="4397">
                  <c:v>18.559999999999999</c:v>
                </c:pt>
                <c:pt idx="4398">
                  <c:v>17.87</c:v>
                </c:pt>
                <c:pt idx="4399">
                  <c:v>19.25</c:v>
                </c:pt>
                <c:pt idx="4400">
                  <c:v>20.7</c:v>
                </c:pt>
                <c:pt idx="4401">
                  <c:v>16.84</c:v>
                </c:pt>
                <c:pt idx="4402">
                  <c:v>16.84</c:v>
                </c:pt>
                <c:pt idx="4403">
                  <c:v>10.82</c:v>
                </c:pt>
                <c:pt idx="4404">
                  <c:v>10.82</c:v>
                </c:pt>
                <c:pt idx="4405">
                  <c:v>11.53</c:v>
                </c:pt>
                <c:pt idx="4406">
                  <c:v>10.199999999999999</c:v>
                </c:pt>
                <c:pt idx="4407">
                  <c:v>12.01</c:v>
                </c:pt>
                <c:pt idx="4408">
                  <c:v>16.010000000000002</c:v>
                </c:pt>
                <c:pt idx="4409">
                  <c:v>12</c:v>
                </c:pt>
                <c:pt idx="4410">
                  <c:v>15.29</c:v>
                </c:pt>
                <c:pt idx="4411">
                  <c:v>22.17</c:v>
                </c:pt>
                <c:pt idx="4412">
                  <c:v>40.58</c:v>
                </c:pt>
                <c:pt idx="4413">
                  <c:v>51.35</c:v>
                </c:pt>
                <c:pt idx="4414">
                  <c:v>40.58</c:v>
                </c:pt>
                <c:pt idx="4415">
                  <c:v>45.07</c:v>
                </c:pt>
                <c:pt idx="4416">
                  <c:v>40.340000000000003</c:v>
                </c:pt>
                <c:pt idx="4417">
                  <c:v>45.07</c:v>
                </c:pt>
                <c:pt idx="4418">
                  <c:v>40.340000000000003</c:v>
                </c:pt>
                <c:pt idx="4419">
                  <c:v>40.58</c:v>
                </c:pt>
                <c:pt idx="4420">
                  <c:v>36.799999999999997</c:v>
                </c:pt>
                <c:pt idx="4421">
                  <c:v>44.56</c:v>
                </c:pt>
                <c:pt idx="4422">
                  <c:v>27.79</c:v>
                </c:pt>
                <c:pt idx="4423">
                  <c:v>38</c:v>
                </c:pt>
                <c:pt idx="4424">
                  <c:v>36</c:v>
                </c:pt>
                <c:pt idx="4425">
                  <c:v>38</c:v>
                </c:pt>
                <c:pt idx="4426">
                  <c:v>45</c:v>
                </c:pt>
                <c:pt idx="4427">
                  <c:v>44</c:v>
                </c:pt>
                <c:pt idx="4428">
                  <c:v>36.799999999999997</c:v>
                </c:pt>
                <c:pt idx="4429">
                  <c:v>26.16</c:v>
                </c:pt>
                <c:pt idx="4430">
                  <c:v>25.37</c:v>
                </c:pt>
                <c:pt idx="4431">
                  <c:v>25.68</c:v>
                </c:pt>
                <c:pt idx="4432">
                  <c:v>25.68</c:v>
                </c:pt>
                <c:pt idx="4433">
                  <c:v>25.68</c:v>
                </c:pt>
                <c:pt idx="4434">
                  <c:v>25.37</c:v>
                </c:pt>
                <c:pt idx="4435">
                  <c:v>25.68</c:v>
                </c:pt>
                <c:pt idx="4436">
                  <c:v>33</c:v>
                </c:pt>
                <c:pt idx="4437">
                  <c:v>25.37</c:v>
                </c:pt>
                <c:pt idx="4438">
                  <c:v>25.68</c:v>
                </c:pt>
                <c:pt idx="4439">
                  <c:v>25.68</c:v>
                </c:pt>
                <c:pt idx="4440">
                  <c:v>25.37</c:v>
                </c:pt>
                <c:pt idx="4441">
                  <c:v>25.98</c:v>
                </c:pt>
                <c:pt idx="4442">
                  <c:v>25.5</c:v>
                </c:pt>
                <c:pt idx="4443">
                  <c:v>26.4</c:v>
                </c:pt>
                <c:pt idx="4444">
                  <c:v>26.64</c:v>
                </c:pt>
                <c:pt idx="4445">
                  <c:v>26</c:v>
                </c:pt>
                <c:pt idx="4446">
                  <c:v>26</c:v>
                </c:pt>
                <c:pt idx="4447">
                  <c:v>25.68</c:v>
                </c:pt>
                <c:pt idx="4448">
                  <c:v>25.68</c:v>
                </c:pt>
                <c:pt idx="4449">
                  <c:v>25.68</c:v>
                </c:pt>
                <c:pt idx="4450">
                  <c:v>25.68</c:v>
                </c:pt>
                <c:pt idx="4451">
                  <c:v>80.02</c:v>
                </c:pt>
                <c:pt idx="4452">
                  <c:v>52.47</c:v>
                </c:pt>
                <c:pt idx="4453">
                  <c:v>52.47</c:v>
                </c:pt>
                <c:pt idx="4454">
                  <c:v>52.47</c:v>
                </c:pt>
                <c:pt idx="4455">
                  <c:v>52.47</c:v>
                </c:pt>
                <c:pt idx="4456">
                  <c:v>53.28</c:v>
                </c:pt>
                <c:pt idx="4457">
                  <c:v>53.28</c:v>
                </c:pt>
                <c:pt idx="4458">
                  <c:v>53.28</c:v>
                </c:pt>
                <c:pt idx="4459">
                  <c:v>55.26</c:v>
                </c:pt>
                <c:pt idx="4460">
                  <c:v>65.25</c:v>
                </c:pt>
                <c:pt idx="4461">
                  <c:v>50.58</c:v>
                </c:pt>
                <c:pt idx="4462">
                  <c:v>59.1</c:v>
                </c:pt>
                <c:pt idx="4463">
                  <c:v>63.2</c:v>
                </c:pt>
                <c:pt idx="4464">
                  <c:v>65.25</c:v>
                </c:pt>
                <c:pt idx="4465">
                  <c:v>50.58</c:v>
                </c:pt>
                <c:pt idx="4466">
                  <c:v>68.83</c:v>
                </c:pt>
                <c:pt idx="4467">
                  <c:v>53.28</c:v>
                </c:pt>
                <c:pt idx="4468">
                  <c:v>53.28</c:v>
                </c:pt>
                <c:pt idx="4469">
                  <c:v>53.28</c:v>
                </c:pt>
                <c:pt idx="4470">
                  <c:v>52.47</c:v>
                </c:pt>
                <c:pt idx="4471">
                  <c:v>52.47</c:v>
                </c:pt>
                <c:pt idx="4472">
                  <c:v>52.47</c:v>
                </c:pt>
                <c:pt idx="4473">
                  <c:v>52.47</c:v>
                </c:pt>
                <c:pt idx="4474">
                  <c:v>55.26</c:v>
                </c:pt>
                <c:pt idx="4475">
                  <c:v>55</c:v>
                </c:pt>
                <c:pt idx="4476">
                  <c:v>61.1</c:v>
                </c:pt>
                <c:pt idx="4477">
                  <c:v>51.02</c:v>
                </c:pt>
                <c:pt idx="4478">
                  <c:v>68.83</c:v>
                </c:pt>
                <c:pt idx="4479">
                  <c:v>68.83</c:v>
                </c:pt>
                <c:pt idx="4480">
                  <c:v>56.71</c:v>
                </c:pt>
                <c:pt idx="4481">
                  <c:v>66.39</c:v>
                </c:pt>
                <c:pt idx="4482">
                  <c:v>84.86</c:v>
                </c:pt>
                <c:pt idx="4483">
                  <c:v>78.55</c:v>
                </c:pt>
                <c:pt idx="4484">
                  <c:v>78.55</c:v>
                </c:pt>
                <c:pt idx="4485">
                  <c:v>82.92</c:v>
                </c:pt>
                <c:pt idx="4486">
                  <c:v>73.14</c:v>
                </c:pt>
                <c:pt idx="4487">
                  <c:v>75.13</c:v>
                </c:pt>
                <c:pt idx="4488">
                  <c:v>55</c:v>
                </c:pt>
                <c:pt idx="4489">
                  <c:v>59.65</c:v>
                </c:pt>
                <c:pt idx="4490">
                  <c:v>75.13</c:v>
                </c:pt>
                <c:pt idx="4491">
                  <c:v>59.65</c:v>
                </c:pt>
                <c:pt idx="4492">
                  <c:v>82.92</c:v>
                </c:pt>
                <c:pt idx="4493">
                  <c:v>71.2</c:v>
                </c:pt>
                <c:pt idx="4494">
                  <c:v>71.2</c:v>
                </c:pt>
                <c:pt idx="4495">
                  <c:v>22.77</c:v>
                </c:pt>
                <c:pt idx="4496">
                  <c:v>22.77</c:v>
                </c:pt>
                <c:pt idx="4497">
                  <c:v>18.47</c:v>
                </c:pt>
                <c:pt idx="4498">
                  <c:v>21</c:v>
                </c:pt>
                <c:pt idx="4499">
                  <c:v>21.33</c:v>
                </c:pt>
                <c:pt idx="4500">
                  <c:v>12.23</c:v>
                </c:pt>
                <c:pt idx="4501">
                  <c:v>16.260000000000002</c:v>
                </c:pt>
                <c:pt idx="4502">
                  <c:v>20</c:v>
                </c:pt>
                <c:pt idx="4503">
                  <c:v>28.77</c:v>
                </c:pt>
                <c:pt idx="4504">
                  <c:v>32.770000000000003</c:v>
                </c:pt>
                <c:pt idx="4505">
                  <c:v>32.770000000000003</c:v>
                </c:pt>
                <c:pt idx="4506">
                  <c:v>25.36</c:v>
                </c:pt>
                <c:pt idx="4507">
                  <c:v>33.6</c:v>
                </c:pt>
                <c:pt idx="4508">
                  <c:v>25.05</c:v>
                </c:pt>
                <c:pt idx="4509">
                  <c:v>21.91</c:v>
                </c:pt>
                <c:pt idx="4510">
                  <c:v>26.5</c:v>
                </c:pt>
                <c:pt idx="4511">
                  <c:v>27</c:v>
                </c:pt>
                <c:pt idx="4512">
                  <c:v>32.770000000000003</c:v>
                </c:pt>
                <c:pt idx="4513">
                  <c:v>21.91</c:v>
                </c:pt>
                <c:pt idx="4514">
                  <c:v>25.36</c:v>
                </c:pt>
                <c:pt idx="4515">
                  <c:v>26.14</c:v>
                </c:pt>
                <c:pt idx="4516">
                  <c:v>28.64</c:v>
                </c:pt>
                <c:pt idx="4517">
                  <c:v>20.8</c:v>
                </c:pt>
                <c:pt idx="4518">
                  <c:v>19.62</c:v>
                </c:pt>
                <c:pt idx="4519">
                  <c:v>19.62</c:v>
                </c:pt>
                <c:pt idx="4520">
                  <c:v>23.79</c:v>
                </c:pt>
                <c:pt idx="4521">
                  <c:v>30.13</c:v>
                </c:pt>
                <c:pt idx="4522">
                  <c:v>30.26</c:v>
                </c:pt>
                <c:pt idx="4523">
                  <c:v>32.770000000000003</c:v>
                </c:pt>
                <c:pt idx="4524">
                  <c:v>32.770000000000003</c:v>
                </c:pt>
                <c:pt idx="4525">
                  <c:v>32.770000000000003</c:v>
                </c:pt>
                <c:pt idx="4526">
                  <c:v>32.770000000000003</c:v>
                </c:pt>
                <c:pt idx="4527">
                  <c:v>30.26</c:v>
                </c:pt>
                <c:pt idx="4528">
                  <c:v>20.02</c:v>
                </c:pt>
                <c:pt idx="4529">
                  <c:v>19.2</c:v>
                </c:pt>
                <c:pt idx="4530">
                  <c:v>19.2</c:v>
                </c:pt>
                <c:pt idx="4531">
                  <c:v>18</c:v>
                </c:pt>
                <c:pt idx="4532">
                  <c:v>17.010000000000002</c:v>
                </c:pt>
                <c:pt idx="4533">
                  <c:v>17</c:v>
                </c:pt>
                <c:pt idx="4534">
                  <c:v>19</c:v>
                </c:pt>
                <c:pt idx="4535">
                  <c:v>19</c:v>
                </c:pt>
                <c:pt idx="4536">
                  <c:v>20.059999999999999</c:v>
                </c:pt>
                <c:pt idx="4537">
                  <c:v>25.45</c:v>
                </c:pt>
                <c:pt idx="4538">
                  <c:v>16.600000000000001</c:v>
                </c:pt>
                <c:pt idx="4539">
                  <c:v>26.47</c:v>
                </c:pt>
                <c:pt idx="4540">
                  <c:v>26.47</c:v>
                </c:pt>
                <c:pt idx="4541">
                  <c:v>23</c:v>
                </c:pt>
                <c:pt idx="4542">
                  <c:v>25.08</c:v>
                </c:pt>
                <c:pt idx="4543">
                  <c:v>21</c:v>
                </c:pt>
                <c:pt idx="4544">
                  <c:v>20.69</c:v>
                </c:pt>
                <c:pt idx="4545">
                  <c:v>13.5</c:v>
                </c:pt>
                <c:pt idx="4546">
                  <c:v>20.100000000000001</c:v>
                </c:pt>
                <c:pt idx="4547">
                  <c:v>17</c:v>
                </c:pt>
                <c:pt idx="4548">
                  <c:v>17</c:v>
                </c:pt>
                <c:pt idx="4549">
                  <c:v>17</c:v>
                </c:pt>
                <c:pt idx="4550">
                  <c:v>19.350000000000001</c:v>
                </c:pt>
                <c:pt idx="4551">
                  <c:v>19.100000000000001</c:v>
                </c:pt>
                <c:pt idx="4552">
                  <c:v>22.63</c:v>
                </c:pt>
                <c:pt idx="4553">
                  <c:v>30.38</c:v>
                </c:pt>
                <c:pt idx="4554">
                  <c:v>20.51</c:v>
                </c:pt>
                <c:pt idx="4555">
                  <c:v>25.64</c:v>
                </c:pt>
                <c:pt idx="4556">
                  <c:v>25.64</c:v>
                </c:pt>
                <c:pt idx="4557">
                  <c:v>25.56</c:v>
                </c:pt>
                <c:pt idx="4558">
                  <c:v>29.14</c:v>
                </c:pt>
                <c:pt idx="4559">
                  <c:v>29.14</c:v>
                </c:pt>
                <c:pt idx="4560">
                  <c:v>29.14</c:v>
                </c:pt>
                <c:pt idx="4561">
                  <c:v>29.61</c:v>
                </c:pt>
                <c:pt idx="4562">
                  <c:v>29.61</c:v>
                </c:pt>
                <c:pt idx="4563">
                  <c:v>29.14</c:v>
                </c:pt>
                <c:pt idx="4564">
                  <c:v>25.41</c:v>
                </c:pt>
                <c:pt idx="4565">
                  <c:v>29.14</c:v>
                </c:pt>
                <c:pt idx="4566">
                  <c:v>16</c:v>
                </c:pt>
                <c:pt idx="4567">
                  <c:v>21.25</c:v>
                </c:pt>
                <c:pt idx="4568">
                  <c:v>20.88</c:v>
                </c:pt>
                <c:pt idx="4569">
                  <c:v>20.7</c:v>
                </c:pt>
                <c:pt idx="4570">
                  <c:v>16</c:v>
                </c:pt>
                <c:pt idx="4571">
                  <c:v>26.47</c:v>
                </c:pt>
                <c:pt idx="4572">
                  <c:v>26.47</c:v>
                </c:pt>
                <c:pt idx="4573">
                  <c:v>23.08</c:v>
                </c:pt>
                <c:pt idx="4574">
                  <c:v>29.14</c:v>
                </c:pt>
                <c:pt idx="4575">
                  <c:v>29.61</c:v>
                </c:pt>
                <c:pt idx="4576">
                  <c:v>29.14</c:v>
                </c:pt>
                <c:pt idx="4577">
                  <c:v>25.41</c:v>
                </c:pt>
                <c:pt idx="4578">
                  <c:v>29.14</c:v>
                </c:pt>
                <c:pt idx="4579">
                  <c:v>30.26</c:v>
                </c:pt>
                <c:pt idx="4580">
                  <c:v>32.770000000000003</c:v>
                </c:pt>
                <c:pt idx="4581">
                  <c:v>32.770000000000003</c:v>
                </c:pt>
                <c:pt idx="4582">
                  <c:v>32.770000000000003</c:v>
                </c:pt>
                <c:pt idx="4583">
                  <c:v>30.26</c:v>
                </c:pt>
                <c:pt idx="4584">
                  <c:v>19.2</c:v>
                </c:pt>
                <c:pt idx="4585">
                  <c:v>19.350000000000001</c:v>
                </c:pt>
                <c:pt idx="4586">
                  <c:v>21.25</c:v>
                </c:pt>
                <c:pt idx="4587">
                  <c:v>18.5</c:v>
                </c:pt>
                <c:pt idx="4588">
                  <c:v>16</c:v>
                </c:pt>
                <c:pt idx="4589">
                  <c:v>19.100000000000001</c:v>
                </c:pt>
                <c:pt idx="4590">
                  <c:v>25.08</c:v>
                </c:pt>
                <c:pt idx="4591">
                  <c:v>20.8</c:v>
                </c:pt>
                <c:pt idx="4592">
                  <c:v>20.51</c:v>
                </c:pt>
                <c:pt idx="4593">
                  <c:v>25.56</c:v>
                </c:pt>
                <c:pt idx="4594">
                  <c:v>19.62</c:v>
                </c:pt>
                <c:pt idx="4595">
                  <c:v>19.62</c:v>
                </c:pt>
                <c:pt idx="4596">
                  <c:v>20.69</c:v>
                </c:pt>
                <c:pt idx="4597">
                  <c:v>30.38</c:v>
                </c:pt>
                <c:pt idx="4598">
                  <c:v>30.06</c:v>
                </c:pt>
                <c:pt idx="4599">
                  <c:v>25.45</c:v>
                </c:pt>
                <c:pt idx="4600">
                  <c:v>18.04</c:v>
                </c:pt>
                <c:pt idx="4601">
                  <c:v>41.4</c:v>
                </c:pt>
                <c:pt idx="4602">
                  <c:v>42.48</c:v>
                </c:pt>
                <c:pt idx="4603">
                  <c:v>31.87</c:v>
                </c:pt>
                <c:pt idx="4604">
                  <c:v>37.200000000000003</c:v>
                </c:pt>
                <c:pt idx="4605">
                  <c:v>40</c:v>
                </c:pt>
                <c:pt idx="4606">
                  <c:v>32.14</c:v>
                </c:pt>
                <c:pt idx="4607">
                  <c:v>30.75</c:v>
                </c:pt>
                <c:pt idx="4608">
                  <c:v>53.2</c:v>
                </c:pt>
                <c:pt idx="4609">
                  <c:v>53.2</c:v>
                </c:pt>
                <c:pt idx="4610">
                  <c:v>53.2</c:v>
                </c:pt>
                <c:pt idx="4611">
                  <c:v>53.2</c:v>
                </c:pt>
                <c:pt idx="4612">
                  <c:v>44.61</c:v>
                </c:pt>
                <c:pt idx="4613">
                  <c:v>41.06</c:v>
                </c:pt>
                <c:pt idx="4614">
                  <c:v>47.4</c:v>
                </c:pt>
                <c:pt idx="4615">
                  <c:v>30.09</c:v>
                </c:pt>
                <c:pt idx="4616">
                  <c:v>32.520000000000003</c:v>
                </c:pt>
                <c:pt idx="4617">
                  <c:v>32.630000000000003</c:v>
                </c:pt>
                <c:pt idx="4618">
                  <c:v>28.88</c:v>
                </c:pt>
                <c:pt idx="4619">
                  <c:v>30.09</c:v>
                </c:pt>
                <c:pt idx="4620">
                  <c:v>32.520000000000003</c:v>
                </c:pt>
                <c:pt idx="4621">
                  <c:v>28.88</c:v>
                </c:pt>
                <c:pt idx="4622">
                  <c:v>30.09</c:v>
                </c:pt>
                <c:pt idx="4623">
                  <c:v>30.09</c:v>
                </c:pt>
                <c:pt idx="4624">
                  <c:v>36.28</c:v>
                </c:pt>
                <c:pt idx="4625">
                  <c:v>47.34</c:v>
                </c:pt>
                <c:pt idx="4626">
                  <c:v>39.770000000000003</c:v>
                </c:pt>
                <c:pt idx="4627">
                  <c:v>35.71</c:v>
                </c:pt>
                <c:pt idx="4628">
                  <c:v>45.88</c:v>
                </c:pt>
                <c:pt idx="4629">
                  <c:v>45.88</c:v>
                </c:pt>
                <c:pt idx="4630">
                  <c:v>45.88</c:v>
                </c:pt>
                <c:pt idx="4631">
                  <c:v>30.04</c:v>
                </c:pt>
                <c:pt idx="4632">
                  <c:v>34.619999999999997</c:v>
                </c:pt>
                <c:pt idx="4633">
                  <c:v>40.98</c:v>
                </c:pt>
                <c:pt idx="4634">
                  <c:v>34.130000000000003</c:v>
                </c:pt>
                <c:pt idx="4635">
                  <c:v>36.06</c:v>
                </c:pt>
                <c:pt idx="4636">
                  <c:v>45.88</c:v>
                </c:pt>
                <c:pt idx="4637">
                  <c:v>35</c:v>
                </c:pt>
                <c:pt idx="4638">
                  <c:v>35.590000000000003</c:v>
                </c:pt>
                <c:pt idx="4639">
                  <c:v>35.590000000000003</c:v>
                </c:pt>
                <c:pt idx="4640">
                  <c:v>30.09</c:v>
                </c:pt>
                <c:pt idx="4641">
                  <c:v>32.520000000000003</c:v>
                </c:pt>
                <c:pt idx="4642">
                  <c:v>32.630000000000003</c:v>
                </c:pt>
                <c:pt idx="4643">
                  <c:v>28.88</c:v>
                </c:pt>
                <c:pt idx="4644">
                  <c:v>30.09</c:v>
                </c:pt>
                <c:pt idx="4645">
                  <c:v>32.520000000000003</c:v>
                </c:pt>
                <c:pt idx="4646">
                  <c:v>28.88</c:v>
                </c:pt>
                <c:pt idx="4647">
                  <c:v>30.09</c:v>
                </c:pt>
                <c:pt idx="4648">
                  <c:v>30.09</c:v>
                </c:pt>
                <c:pt idx="4649">
                  <c:v>30.48</c:v>
                </c:pt>
                <c:pt idx="4650">
                  <c:v>44.61</c:v>
                </c:pt>
                <c:pt idx="4651">
                  <c:v>42.36</c:v>
                </c:pt>
                <c:pt idx="4652">
                  <c:v>36.06</c:v>
                </c:pt>
                <c:pt idx="4653">
                  <c:v>39.770000000000003</c:v>
                </c:pt>
                <c:pt idx="4654">
                  <c:v>36.21</c:v>
                </c:pt>
                <c:pt idx="4655">
                  <c:v>43.53</c:v>
                </c:pt>
                <c:pt idx="4656">
                  <c:v>35.43</c:v>
                </c:pt>
                <c:pt idx="4657">
                  <c:v>30.48</c:v>
                </c:pt>
                <c:pt idx="4658">
                  <c:v>46.48</c:v>
                </c:pt>
                <c:pt idx="4659">
                  <c:v>30.75</c:v>
                </c:pt>
                <c:pt idx="4660">
                  <c:v>10.45</c:v>
                </c:pt>
                <c:pt idx="4661">
                  <c:v>10.56</c:v>
                </c:pt>
                <c:pt idx="4662">
                  <c:v>31.93</c:v>
                </c:pt>
                <c:pt idx="4663">
                  <c:v>23.24</c:v>
                </c:pt>
                <c:pt idx="4664">
                  <c:v>23.88</c:v>
                </c:pt>
                <c:pt idx="4665">
                  <c:v>20.309999999999999</c:v>
                </c:pt>
                <c:pt idx="4666">
                  <c:v>20.73</c:v>
                </c:pt>
                <c:pt idx="4667">
                  <c:v>11.12</c:v>
                </c:pt>
                <c:pt idx="4668">
                  <c:v>11.7</c:v>
                </c:pt>
                <c:pt idx="4669">
                  <c:v>19.440000000000001</c:v>
                </c:pt>
                <c:pt idx="4670">
                  <c:v>20.52</c:v>
                </c:pt>
                <c:pt idx="4671">
                  <c:v>19.23</c:v>
                </c:pt>
                <c:pt idx="4672">
                  <c:v>19.23</c:v>
                </c:pt>
                <c:pt idx="4673">
                  <c:v>19.23</c:v>
                </c:pt>
                <c:pt idx="4674">
                  <c:v>30.33</c:v>
                </c:pt>
                <c:pt idx="4675">
                  <c:v>15.82</c:v>
                </c:pt>
                <c:pt idx="4676">
                  <c:v>18.53</c:v>
                </c:pt>
                <c:pt idx="4677">
                  <c:v>15.55</c:v>
                </c:pt>
                <c:pt idx="4678">
                  <c:v>11.93</c:v>
                </c:pt>
                <c:pt idx="4679">
                  <c:v>36.01</c:v>
                </c:pt>
                <c:pt idx="4680">
                  <c:v>47.34</c:v>
                </c:pt>
                <c:pt idx="4681">
                  <c:v>10.199999999999999</c:v>
                </c:pt>
                <c:pt idx="4682">
                  <c:v>21.67</c:v>
                </c:pt>
                <c:pt idx="4683">
                  <c:v>21.67</c:v>
                </c:pt>
                <c:pt idx="4684">
                  <c:v>16.11</c:v>
                </c:pt>
                <c:pt idx="4685">
                  <c:v>24.33</c:v>
                </c:pt>
                <c:pt idx="4686">
                  <c:v>24.75</c:v>
                </c:pt>
                <c:pt idx="4687">
                  <c:v>12.75</c:v>
                </c:pt>
                <c:pt idx="4688">
                  <c:v>12.38</c:v>
                </c:pt>
                <c:pt idx="4689">
                  <c:v>12</c:v>
                </c:pt>
                <c:pt idx="4690">
                  <c:v>19.53</c:v>
                </c:pt>
                <c:pt idx="4691">
                  <c:v>21</c:v>
                </c:pt>
                <c:pt idx="4692">
                  <c:v>16.5</c:v>
                </c:pt>
                <c:pt idx="4693">
                  <c:v>12.2</c:v>
                </c:pt>
                <c:pt idx="4694">
                  <c:v>25</c:v>
                </c:pt>
                <c:pt idx="4695">
                  <c:v>27.57</c:v>
                </c:pt>
                <c:pt idx="4696">
                  <c:v>11.7</c:v>
                </c:pt>
                <c:pt idx="4697">
                  <c:v>10.199999999999999</c:v>
                </c:pt>
                <c:pt idx="4698">
                  <c:v>15</c:v>
                </c:pt>
                <c:pt idx="4699">
                  <c:v>11.12</c:v>
                </c:pt>
                <c:pt idx="4700">
                  <c:v>10.45</c:v>
                </c:pt>
                <c:pt idx="4701">
                  <c:v>10.56</c:v>
                </c:pt>
                <c:pt idx="4702">
                  <c:v>18.47</c:v>
                </c:pt>
                <c:pt idx="4703">
                  <c:v>20.73</c:v>
                </c:pt>
                <c:pt idx="4704">
                  <c:v>19.23</c:v>
                </c:pt>
                <c:pt idx="4705">
                  <c:v>15.82</c:v>
                </c:pt>
                <c:pt idx="4706">
                  <c:v>18.53</c:v>
                </c:pt>
                <c:pt idx="4707">
                  <c:v>15.55</c:v>
                </c:pt>
                <c:pt idx="4708">
                  <c:v>27.68</c:v>
                </c:pt>
                <c:pt idx="4709">
                  <c:v>29.72</c:v>
                </c:pt>
                <c:pt idx="4710">
                  <c:v>15.16</c:v>
                </c:pt>
                <c:pt idx="4711">
                  <c:v>75.959999999999994</c:v>
                </c:pt>
                <c:pt idx="4712">
                  <c:v>75.959999999999994</c:v>
                </c:pt>
                <c:pt idx="4713">
                  <c:v>75.959999999999994</c:v>
                </c:pt>
                <c:pt idx="4714">
                  <c:v>40.35</c:v>
                </c:pt>
                <c:pt idx="4715">
                  <c:v>40.35</c:v>
                </c:pt>
                <c:pt idx="4716">
                  <c:v>47.6</c:v>
                </c:pt>
                <c:pt idx="4717">
                  <c:v>41</c:v>
                </c:pt>
                <c:pt idx="4718">
                  <c:v>40.35</c:v>
                </c:pt>
                <c:pt idx="4719">
                  <c:v>44.72</c:v>
                </c:pt>
                <c:pt idx="4720">
                  <c:v>44.04</c:v>
                </c:pt>
                <c:pt idx="4721">
                  <c:v>35</c:v>
                </c:pt>
                <c:pt idx="4722">
                  <c:v>30</c:v>
                </c:pt>
                <c:pt idx="4723">
                  <c:v>41.9</c:v>
                </c:pt>
                <c:pt idx="4724">
                  <c:v>41.98</c:v>
                </c:pt>
                <c:pt idx="4725">
                  <c:v>40.35</c:v>
                </c:pt>
                <c:pt idx="4726">
                  <c:v>48.3</c:v>
                </c:pt>
                <c:pt idx="4727">
                  <c:v>58.04</c:v>
                </c:pt>
                <c:pt idx="4728">
                  <c:v>55.01</c:v>
                </c:pt>
                <c:pt idx="4729">
                  <c:v>55.46</c:v>
                </c:pt>
                <c:pt idx="4730">
                  <c:v>56.56</c:v>
                </c:pt>
                <c:pt idx="4731">
                  <c:v>56.56</c:v>
                </c:pt>
                <c:pt idx="4732">
                  <c:v>56.56</c:v>
                </c:pt>
                <c:pt idx="4733">
                  <c:v>56.56</c:v>
                </c:pt>
                <c:pt idx="4734">
                  <c:v>63.38</c:v>
                </c:pt>
                <c:pt idx="4735">
                  <c:v>63.38</c:v>
                </c:pt>
                <c:pt idx="4736">
                  <c:v>63.38</c:v>
                </c:pt>
                <c:pt idx="4737">
                  <c:v>63.38</c:v>
                </c:pt>
                <c:pt idx="4738">
                  <c:v>63.38</c:v>
                </c:pt>
                <c:pt idx="4739">
                  <c:v>63.38</c:v>
                </c:pt>
                <c:pt idx="4740">
                  <c:v>63.38</c:v>
                </c:pt>
                <c:pt idx="4741">
                  <c:v>55.46</c:v>
                </c:pt>
                <c:pt idx="4742">
                  <c:v>56.56</c:v>
                </c:pt>
                <c:pt idx="4743">
                  <c:v>56.56</c:v>
                </c:pt>
                <c:pt idx="4744">
                  <c:v>61.47</c:v>
                </c:pt>
                <c:pt idx="4745">
                  <c:v>52.92</c:v>
                </c:pt>
                <c:pt idx="4746">
                  <c:v>55.04</c:v>
                </c:pt>
                <c:pt idx="4747">
                  <c:v>62.89</c:v>
                </c:pt>
                <c:pt idx="4748">
                  <c:v>65.81</c:v>
                </c:pt>
                <c:pt idx="4749">
                  <c:v>60</c:v>
                </c:pt>
                <c:pt idx="4750">
                  <c:v>60</c:v>
                </c:pt>
                <c:pt idx="4751">
                  <c:v>56.79</c:v>
                </c:pt>
                <c:pt idx="4752">
                  <c:v>56.79</c:v>
                </c:pt>
                <c:pt idx="4753">
                  <c:v>75.959999999999994</c:v>
                </c:pt>
                <c:pt idx="4754">
                  <c:v>75.959999999999994</c:v>
                </c:pt>
                <c:pt idx="4755">
                  <c:v>75.959999999999994</c:v>
                </c:pt>
                <c:pt idx="4756">
                  <c:v>64.64</c:v>
                </c:pt>
                <c:pt idx="4757">
                  <c:v>64.64</c:v>
                </c:pt>
                <c:pt idx="4758">
                  <c:v>64.64</c:v>
                </c:pt>
                <c:pt idx="4759">
                  <c:v>70.03</c:v>
                </c:pt>
                <c:pt idx="4760">
                  <c:v>70.83</c:v>
                </c:pt>
                <c:pt idx="4761">
                  <c:v>64</c:v>
                </c:pt>
                <c:pt idx="4762">
                  <c:v>70.03</c:v>
                </c:pt>
                <c:pt idx="4763">
                  <c:v>70.83</c:v>
                </c:pt>
                <c:pt idx="4764">
                  <c:v>62.32</c:v>
                </c:pt>
                <c:pt idx="4765">
                  <c:v>65.239999999999995</c:v>
                </c:pt>
                <c:pt idx="4766">
                  <c:v>120</c:v>
                </c:pt>
                <c:pt idx="4767">
                  <c:v>72.09</c:v>
                </c:pt>
                <c:pt idx="4768">
                  <c:v>72.09</c:v>
                </c:pt>
                <c:pt idx="4769">
                  <c:v>72.09</c:v>
                </c:pt>
                <c:pt idx="4770">
                  <c:v>72.09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2D-4A58-8971-0442522B7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3944071"/>
        <c:axId val="1953952263"/>
      </c:scatterChart>
      <c:valAx>
        <c:axId val="1953944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52263"/>
        <c:crosses val="autoZero"/>
        <c:crossBetween val="midCat"/>
      </c:valAx>
      <c:valAx>
        <c:axId val="1953952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 (¥)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944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[TokyoRentalMarketOverview.xlsx]CHARTS!PivotTable2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Rent by Building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CHARTS!$K$4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CHARTS!$J$5:$J$29</c:f>
              <c:strCach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19</c:v>
                </c:pt>
                <c:pt idx="17">
                  <c:v>24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30</c:v>
                </c:pt>
                <c:pt idx="22">
                  <c:v>31</c:v>
                </c:pt>
                <c:pt idx="23">
                  <c:v>33</c:v>
                </c:pt>
              </c:strCache>
            </c:strRef>
          </c:cat>
          <c:val>
            <c:numRef>
              <c:f>CHARTS!$K$5:$K$29</c:f>
              <c:numCache>
                <c:formatCode>General</c:formatCode>
                <c:ptCount val="24"/>
                <c:pt idx="0">
                  <c:v>118000</c:v>
                </c:pt>
                <c:pt idx="1">
                  <c:v>89691.330998248683</c:v>
                </c:pt>
                <c:pt idx="2">
                  <c:v>138934.18881759854</c:v>
                </c:pt>
                <c:pt idx="3">
                  <c:v>124494.0594059406</c:v>
                </c:pt>
                <c:pt idx="4">
                  <c:v>132790.20618556702</c:v>
                </c:pt>
                <c:pt idx="5">
                  <c:v>132034.01360544219</c:v>
                </c:pt>
                <c:pt idx="6">
                  <c:v>152504.68085106384</c:v>
                </c:pt>
                <c:pt idx="7">
                  <c:v>156410.10638297873</c:v>
                </c:pt>
                <c:pt idx="8">
                  <c:v>129906.99300699301</c:v>
                </c:pt>
                <c:pt idx="9">
                  <c:v>142843.02325581395</c:v>
                </c:pt>
                <c:pt idx="10">
                  <c:v>175885.05747126436</c:v>
                </c:pt>
                <c:pt idx="11">
                  <c:v>179956.73076923078</c:v>
                </c:pt>
                <c:pt idx="12">
                  <c:v>164705.88235294117</c:v>
                </c:pt>
                <c:pt idx="13">
                  <c:v>221210.52631578947</c:v>
                </c:pt>
                <c:pt idx="14">
                  <c:v>174758.62068965516</c:v>
                </c:pt>
                <c:pt idx="15">
                  <c:v>215522.2222222219</c:v>
                </c:pt>
                <c:pt idx="16">
                  <c:v>190777.77777777778</c:v>
                </c:pt>
                <c:pt idx="17">
                  <c:v>120000</c:v>
                </c:pt>
                <c:pt idx="18">
                  <c:v>410000</c:v>
                </c:pt>
                <c:pt idx="19">
                  <c:v>410000</c:v>
                </c:pt>
                <c:pt idx="20">
                  <c:v>322500</c:v>
                </c:pt>
                <c:pt idx="21">
                  <c:v>330000</c:v>
                </c:pt>
                <c:pt idx="22">
                  <c:v>210000</c:v>
                </c:pt>
                <c:pt idx="23">
                  <c:v>254083.33333333334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4C-4D54-9549-01DAFA5D1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37268232"/>
        <c:axId val="451048455"/>
      </c:barChart>
      <c:catAx>
        <c:axId val="1937268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building_size (floors)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048455"/>
        <c:crosses val="autoZero"/>
        <c:auto val="1"/>
        <c:lblAlgn val="ctr"/>
        <c:lblOffset val="100"/>
        <c:noMultiLvlLbl val="0"/>
      </c:catAx>
      <c:valAx>
        <c:axId val="451048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rent (¥)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7268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[TokyoRentalMarketOverview.xlsx]CHARTS!PivotTable3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Rent by Building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CHARTS!$W$4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CHARTS!$V$5:$V$13</c:f>
              <c:strCache>
                <c:ptCount val="8"/>
                <c:pt idx="0">
                  <c:v>&lt;1</c:v>
                </c:pt>
                <c:pt idx="1">
                  <c:v>1-10</c:v>
                </c:pt>
                <c:pt idx="2">
                  <c:v>11-20</c:v>
                </c:pt>
                <c:pt idx="3">
                  <c:v>21-30</c:v>
                </c:pt>
                <c:pt idx="4">
                  <c:v>31-40</c:v>
                </c:pt>
                <c:pt idx="5">
                  <c:v>41-50</c:v>
                </c:pt>
                <c:pt idx="6">
                  <c:v>51-60</c:v>
                </c:pt>
                <c:pt idx="7">
                  <c:v>61+</c:v>
                </c:pt>
              </c:strCache>
            </c:strRef>
          </c:cat>
          <c:val>
            <c:numRef>
              <c:f>CHARTS!$W$5:$W$13</c:f>
              <c:numCache>
                <c:formatCode>General</c:formatCode>
                <c:ptCount val="8"/>
                <c:pt idx="0">
                  <c:v>182679.9100449775</c:v>
                </c:pt>
                <c:pt idx="1">
                  <c:v>144409.06801007557</c:v>
                </c:pt>
                <c:pt idx="2">
                  <c:v>124367.49024707412</c:v>
                </c:pt>
                <c:pt idx="3">
                  <c:v>104655.86690017513</c:v>
                </c:pt>
                <c:pt idx="4">
                  <c:v>95985.099846390163</c:v>
                </c:pt>
                <c:pt idx="5">
                  <c:v>84735.231316725985</c:v>
                </c:pt>
                <c:pt idx="6">
                  <c:v>100804.4776119403</c:v>
                </c:pt>
                <c:pt idx="7">
                  <c:v>72106.818181818177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5-4271-98B2-84D3A2D3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1743368"/>
        <c:axId val="2001745416"/>
      </c:barChart>
      <c:catAx>
        <c:axId val="2001743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range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45416"/>
        <c:crosses val="autoZero"/>
        <c:auto val="1"/>
        <c:lblAlgn val="ctr"/>
        <c:lblOffset val="100"/>
        <c:noMultiLvlLbl val="0"/>
      </c:catAx>
      <c:valAx>
        <c:axId val="200174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of rent (¥)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1743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2</xdr:row>
      <xdr:rowOff>180975</xdr:rowOff>
    </xdr:from>
    <xdr:to>
      <xdr:col>7</xdr:col>
      <xdr:colOff>104775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A6DA47-067E-390E-B674-E43D0CA89A8C}"/>
            </a:ext>
            <a:ext uri="{147F2762-F138-4A5C-976F-8EAC2B608ADB}">
              <a16:predDERef xmlns:a16="http://schemas.microsoft.com/office/drawing/2014/main" pred="{178AAC3E-9D7D-3703-C696-BC2BD31ED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590550</xdr:colOff>
      <xdr:row>3</xdr:row>
      <xdr:rowOff>9525</xdr:rowOff>
    </xdr:from>
    <xdr:to>
      <xdr:col>18</xdr:col>
      <xdr:colOff>495300</xdr:colOff>
      <xdr:row>27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B1D0BF-1F9D-FA43-A299-69CC4AF0581C}"/>
            </a:ext>
            <a:ext uri="{147F2762-F138-4A5C-976F-8EAC2B608ADB}">
              <a16:predDERef xmlns:a16="http://schemas.microsoft.com/office/drawing/2014/main" pred="{09A6DA47-067E-390E-B674-E43D0CA89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19050</xdr:colOff>
      <xdr:row>3</xdr:row>
      <xdr:rowOff>19050</xdr:rowOff>
    </xdr:from>
    <xdr:to>
      <xdr:col>35</xdr:col>
      <xdr:colOff>333375</xdr:colOff>
      <xdr:row>27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0B553E-9E76-B136-5EA3-B78E34A1471F}"/>
            </a:ext>
            <a:ext uri="{147F2762-F138-4A5C-976F-8EAC2B608ADB}">
              <a16:predDERef xmlns:a16="http://schemas.microsoft.com/office/drawing/2014/main" pred="{5DB1D0BF-1F9D-FA43-A299-69CC4AF058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323850</xdr:colOff>
      <xdr:row>29</xdr:row>
      <xdr:rowOff>161925</xdr:rowOff>
    </xdr:from>
    <xdr:to>
      <xdr:col>18</xdr:col>
      <xdr:colOff>285750</xdr:colOff>
      <xdr:row>61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395CC14-61A2-0236-B562-FD37ED0C5CE7}"/>
            </a:ext>
            <a:ext uri="{147F2762-F138-4A5C-976F-8EAC2B608ADB}">
              <a16:predDERef xmlns:a16="http://schemas.microsoft.com/office/drawing/2014/main" pred="{180B553E-9E76-B136-5EA3-B78E34A14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134350" y="5686425"/>
          <a:ext cx="10191750" cy="6067425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</xdr:colOff>
      <xdr:row>30</xdr:row>
      <xdr:rowOff>9525</xdr:rowOff>
    </xdr:from>
    <xdr:to>
      <xdr:col>35</xdr:col>
      <xdr:colOff>152400</xdr:colOff>
      <xdr:row>62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C53A4E-E628-40AB-CC6D-2C75BF178D9D}"/>
            </a:ext>
            <a:ext uri="{147F2762-F138-4A5C-976F-8EAC2B608ADB}">
              <a16:predDERef xmlns:a16="http://schemas.microsoft.com/office/drawing/2014/main" pred="{C395CC14-61A2-0236-B562-FD37ED0C5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97725" y="5724525"/>
          <a:ext cx="10239375" cy="61150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935590278" createdVersion="8" refreshedVersion="8" minRefreshableVersion="3" recordCount="4772" xr:uid="{8B77CD41-A148-49A0-B7F3-B63379223C61}">
  <cacheSource type="worksheet">
    <worksheetSource name="listings"/>
  </cacheSource>
  <cacheFields count="21">
    <cacheField name="url" numFmtId="0">
      <sharedItems/>
    </cacheField>
    <cacheField name="title" numFmtId="0">
      <sharedItems/>
    </cacheField>
    <cacheField name="address" numFmtId="0">
      <sharedItems/>
    </cacheField>
    <cacheField name="rent (¥)" numFmtId="0">
      <sharedItems containsSemiMixedTypes="0" containsString="0" containsNumber="1" minValue="22000" maxValue="566100"/>
    </cacheField>
    <cacheField name="management_fee (¥)" numFmtId="0">
      <sharedItems containsString="0" containsBlank="1" containsNumber="1" containsInteger="1" minValue="1000" maxValue="150000"/>
    </cacheField>
    <cacheField name="deposit (¥)" numFmtId="0">
      <sharedItems containsString="0" containsBlank="1" containsNumber="1" minValue="22000" maxValue="1155000"/>
    </cacheField>
    <cacheField name="key_money (¥)" numFmtId="0">
      <sharedItems containsString="0" containsBlank="1" containsNumber="1" minValue="22000" maxValue="849200"/>
    </cacheField>
    <cacheField name="floor" numFmtId="0">
      <sharedItems containsSemiMixedTypes="0" containsString="0" containsNumber="1" containsInteger="1" minValue="-2" maxValue="30"/>
    </cacheField>
    <cacheField name="floor_plan" numFmtId="0">
      <sharedItems count="21">
        <s v="1R"/>
        <s v="1DK"/>
        <s v="1K"/>
        <s v="1LDK"/>
        <s v="1LK"/>
        <s v="1SLDK"/>
        <s v="2DK"/>
        <s v="2K"/>
        <s v="2LDK"/>
        <s v="2SK"/>
        <s v="2SLDK"/>
        <s v="3DK"/>
        <s v="3K"/>
        <s v="3LDK"/>
        <s v="4DK"/>
        <s v="4LDK"/>
        <s v="1SK"/>
        <s v="3SLDK"/>
        <s v="4K"/>
        <s v="1SDK"/>
        <s v="2SDK"/>
      </sharedItems>
    </cacheField>
    <cacheField name="area ( m²)" numFmtId="0">
      <sharedItems containsSemiMixedTypes="0" containsString="0" containsNumber="1" minValue="6.2" maxValue="158.44"/>
    </cacheField>
    <cacheField name="building_age (years)" numFmtId="0">
      <sharedItems containsSemiMixedTypes="0" containsString="0" containsNumber="1" containsInteger="1" minValue="0" maxValue="99"/>
    </cacheField>
    <cacheField name="building_size (floors)" numFmtId="0">
      <sharedItems containsSemiMixedTypes="0" containsString="0" containsNumber="1" containsInteger="1" minValue="1" maxValue="33" count="24">
        <n v="2"/>
        <n v="10"/>
        <n v="3"/>
        <n v="12"/>
        <n v="4"/>
        <n v="6"/>
        <n v="9"/>
        <n v="5"/>
        <n v="11"/>
        <n v="8"/>
        <n v="7"/>
        <n v="15"/>
        <n v="14"/>
        <n v="13"/>
        <n v="30"/>
        <n v="24"/>
        <n v="1"/>
        <n v="31"/>
        <n v="16"/>
        <n v="33"/>
        <n v="28"/>
        <n v="26"/>
        <n v="25"/>
        <n v="19"/>
      </sharedItems>
    </cacheField>
    <cacheField name="nearest_station" numFmtId="0">
      <sharedItems/>
    </cacheField>
    <cacheField name="distance_to_nearest_station (min)" numFmtId="0">
      <sharedItems containsSemiMixedTypes="0" containsString="0" containsNumber="1" containsInteger="1" minValue="1" maxValue="15"/>
    </cacheField>
    <cacheField name="avg_distance_to_stations (min)" numFmtId="0">
      <sharedItems containsSemiMixedTypes="0" containsString="0" containsNumber="1" minValue="1" maxValue="18.329999999999998"/>
    </cacheField>
    <cacheField name="avg_rent_by_station (¥)" numFmtId="0">
      <sharedItems containsSemiMixedTypes="0" containsString="0" containsNumber="1" minValue="55000" maxValue="205000"/>
    </cacheField>
    <cacheField name="avg_rent_by_floor_plan (¥)" numFmtId="0">
      <sharedItems containsSemiMixedTypes="0" containsString="0" containsNumber="1" minValue="77692.34" maxValue="388200"/>
    </cacheField>
    <cacheField name="count_listings_per_station" numFmtId="0">
      <sharedItems containsSemiMixedTypes="0" containsString="0" containsNumber="1" containsInteger="1" minValue="1" maxValue="648"/>
    </cacheField>
    <cacheField name="count_listings_per_floor_plan" numFmtId="0">
      <sharedItems containsSemiMixedTypes="0" containsString="0" containsNumber="1" containsInteger="1" minValue="1" maxValue="1622"/>
    </cacheField>
    <cacheField name="area range ( m²)" numFmtId="0">
      <sharedItems/>
    </cacheField>
    <cacheField name="age range (years)" numFmtId="0">
      <sharedItems count="8">
        <s v="1-10"/>
        <s v="21-30"/>
        <s v="61+"/>
        <s v="41-50"/>
        <s v="31-40"/>
        <s v="51-60"/>
        <s v="&lt;1"/>
        <s v="11-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2">
  <r>
    <s v="https://suumo.jp/chintai/jnc_000104126490/?bc=100483387552"/>
    <s v="西武新宿線 上石神井駅 2階建 築4年"/>
    <s v="東京都練馬区上石神井１"/>
    <n v="74000"/>
    <n v="3000"/>
    <m/>
    <m/>
    <n v="2"/>
    <x v="0"/>
    <n v="20.79"/>
    <n v="4"/>
    <x v="0"/>
    <s v="上石神井駅"/>
    <n v="6"/>
    <n v="13.67"/>
    <n v="74000"/>
    <n v="77692.34"/>
    <n v="1"/>
    <n v="1071"/>
    <s v="20-30"/>
    <x v="0"/>
  </r>
  <r>
    <s v="https://suumo.jp/chintai/jnc_000104178846/?bc=100476609409"/>
    <s v="Rua目白"/>
    <s v="東京都新宿区下落合３"/>
    <n v="110000"/>
    <n v="6000"/>
    <n v="110000"/>
    <n v="110000"/>
    <n v="1"/>
    <x v="1"/>
    <n v="36.18"/>
    <n v="24"/>
    <x v="0"/>
    <s v="下落合駅"/>
    <n v="1"/>
    <n v="7.67"/>
    <n v="136411.03"/>
    <n v="123325.96"/>
    <n v="390"/>
    <n v="339"/>
    <s v="30-40"/>
    <x v="1"/>
  </r>
  <r>
    <s v="https://suumo.jp/chintai/jnc_000104326010/?bc=100486220203"/>
    <s v="ZOOM高田馬場"/>
    <s v="東京都新宿区下落合１"/>
    <n v="153000"/>
    <n v="8000"/>
    <n v="153000"/>
    <n v="153000"/>
    <n v="4"/>
    <x v="1"/>
    <n v="30.56"/>
    <n v="5"/>
    <x v="1"/>
    <s v="下落合駅"/>
    <n v="5"/>
    <n v="10.67"/>
    <n v="136411.03"/>
    <n v="123325.96"/>
    <n v="390"/>
    <n v="339"/>
    <s v="30-40"/>
    <x v="0"/>
  </r>
  <r>
    <s v="https://suumo.jp/chintai/jnc_000075356931/?bc=100484582900"/>
    <s v="ZOOM高田馬場"/>
    <s v="東京都新宿区下落合１"/>
    <n v="130000"/>
    <n v="8000"/>
    <n v="130000"/>
    <n v="130000"/>
    <n v="5"/>
    <x v="1"/>
    <n v="30.69"/>
    <n v="5"/>
    <x v="1"/>
    <s v="下落合駅"/>
    <n v="5"/>
    <n v="10.67"/>
    <n v="136411.03"/>
    <n v="123325.96"/>
    <n v="390"/>
    <n v="339"/>
    <s v="30-40"/>
    <x v="0"/>
  </r>
  <r>
    <s v="https://suumo.jp/chintai/jnc_000075356934/?bc=100481518869"/>
    <s v="ZOOM高田馬場"/>
    <s v="東京都新宿区下落合１"/>
    <n v="133000"/>
    <n v="7000"/>
    <n v="133000"/>
    <n v="133000"/>
    <n v="8"/>
    <x v="1"/>
    <n v="29.37"/>
    <n v="5"/>
    <x v="1"/>
    <s v="下落合駅"/>
    <n v="5"/>
    <n v="10.67"/>
    <n v="136411.03"/>
    <n v="123325.96"/>
    <n v="390"/>
    <n v="339"/>
    <s v="20-30"/>
    <x v="0"/>
  </r>
  <r>
    <s v="https://suumo.jp/chintai/jnc_000076867817/?bc=100472304790"/>
    <s v="アマリア落合"/>
    <s v="東京都新宿区中落合２"/>
    <n v="73000"/>
    <m/>
    <n v="73000"/>
    <m/>
    <n v="2"/>
    <x v="1"/>
    <n v="27.2"/>
    <n v="67"/>
    <x v="0"/>
    <s v="下落合駅"/>
    <n v="8"/>
    <n v="10"/>
    <n v="136411.03"/>
    <n v="123325.96"/>
    <n v="390"/>
    <n v="339"/>
    <s v="20-30"/>
    <x v="2"/>
  </r>
  <r>
    <s v="https://suumo.jp/chintai/jnc_000104509144/?bc=100477031684"/>
    <s v="カーサ野原"/>
    <s v="東京都新宿区上落合１"/>
    <n v="95000"/>
    <n v="3000"/>
    <n v="95000"/>
    <n v="95000"/>
    <n v="3"/>
    <x v="1"/>
    <n v="32.700000000000003"/>
    <n v="42"/>
    <x v="2"/>
    <s v="下落合駅"/>
    <n v="3"/>
    <n v="10"/>
    <n v="136411.03"/>
    <n v="123325.96"/>
    <n v="390"/>
    <n v="339"/>
    <s v="30-40"/>
    <x v="3"/>
  </r>
  <r>
    <s v="https://suumo.jp/chintai/jnc_000096117880/?bc=100484812654"/>
    <s v="ガラ・シティ高田馬場"/>
    <s v="東京都新宿区下落合２"/>
    <n v="145000"/>
    <n v="5000"/>
    <n v="145000"/>
    <n v="145000"/>
    <n v="12"/>
    <x v="1"/>
    <n v="35"/>
    <n v="24"/>
    <x v="3"/>
    <s v="下落合駅"/>
    <n v="7"/>
    <n v="8"/>
    <n v="136411.03"/>
    <n v="123325.96"/>
    <n v="390"/>
    <n v="339"/>
    <s v="30-40"/>
    <x v="1"/>
  </r>
  <r>
    <s v="https://suumo.jp/chintai/jnc_000077275791/?bc=100479711807"/>
    <s v="コーポ塩島"/>
    <s v="東京都新宿区高田馬場３"/>
    <n v="100000"/>
    <n v="12000"/>
    <n v="100000"/>
    <n v="100000"/>
    <n v="2"/>
    <x v="1"/>
    <n v="30.24"/>
    <n v="38"/>
    <x v="4"/>
    <s v="下落合駅"/>
    <n v="3"/>
    <n v="8.33"/>
    <n v="136411.03"/>
    <n v="123325.96"/>
    <n v="390"/>
    <n v="339"/>
    <s v="30-40"/>
    <x v="4"/>
  </r>
  <r>
    <s v="https://suumo.jp/chintai/jnc_000104391729/?bc=100485548359"/>
    <s v="フォレストヒルズ中落合"/>
    <s v="東京都新宿区中落合２"/>
    <n v="108000"/>
    <n v="10000"/>
    <m/>
    <n v="108000"/>
    <n v="3"/>
    <x v="1"/>
    <n v="29.98"/>
    <n v="28"/>
    <x v="4"/>
    <s v="下落合駅"/>
    <n v="5"/>
    <n v="10.67"/>
    <n v="136411.03"/>
    <n v="123325.96"/>
    <n v="390"/>
    <n v="339"/>
    <s v="20-30"/>
    <x v="1"/>
  </r>
  <r>
    <s v="https://suumo.jp/chintai/jnc_000104091492/?bc=100483049052"/>
    <s v="モダンアパートメント高田馬場"/>
    <s v="東京都新宿区下落合４"/>
    <n v="103000"/>
    <n v="4000"/>
    <n v="103000"/>
    <n v="103000"/>
    <n v="3"/>
    <x v="1"/>
    <n v="25.98"/>
    <n v="6"/>
    <x v="2"/>
    <s v="下落合駅"/>
    <n v="6"/>
    <n v="12"/>
    <n v="136411.03"/>
    <n v="123325.96"/>
    <n v="390"/>
    <n v="339"/>
    <s v="20-30"/>
    <x v="0"/>
  </r>
  <r>
    <s v="https://suumo.jp/chintai/jnc_000032425636/?bc=100486085999"/>
    <s v="米山アパート"/>
    <s v="東京都新宿区高田馬場３"/>
    <n v="63000"/>
    <m/>
    <n v="63000"/>
    <n v="63000"/>
    <n v="1"/>
    <x v="1"/>
    <n v="22"/>
    <n v="52"/>
    <x v="0"/>
    <s v="下落合駅"/>
    <n v="7"/>
    <n v="11"/>
    <n v="136411.03"/>
    <n v="123325.96"/>
    <n v="390"/>
    <n v="339"/>
    <s v="20-30"/>
    <x v="5"/>
  </r>
  <r>
    <s v="https://suumo.jp/chintai/jnc_000102547002/?bc=100411665602"/>
    <s v="落合エイコーマンション"/>
    <s v="東京都新宿区下落合１"/>
    <n v="65000"/>
    <n v="3000"/>
    <n v="65000"/>
    <n v="65000"/>
    <n v="6"/>
    <x v="1"/>
    <n v="25"/>
    <n v="48"/>
    <x v="5"/>
    <s v="下落合駅"/>
    <n v="4"/>
    <n v="6"/>
    <n v="136411.03"/>
    <n v="123325.96"/>
    <n v="390"/>
    <n v="339"/>
    <s v="20-30"/>
    <x v="3"/>
  </r>
  <r>
    <s v="https://suumo.jp/chintai/jnc_000104249152/?bc=100483926770"/>
    <s v="西武新宿線 下落合駅 2階建 築2年"/>
    <s v="東京都新宿区中落合２"/>
    <n v="160000"/>
    <n v="15000"/>
    <m/>
    <m/>
    <n v="1"/>
    <x v="1"/>
    <n v="33.450000000000003"/>
    <n v="2"/>
    <x v="0"/>
    <s v="下落合駅"/>
    <n v="4"/>
    <n v="10.67"/>
    <n v="136411.03"/>
    <n v="123325.96"/>
    <n v="390"/>
    <n v="339"/>
    <s v="30-40"/>
    <x v="0"/>
  </r>
  <r>
    <s v="https://suumo.jp/chintai/jnc_000104391730/?bc=100485488978"/>
    <s v="西武新宿線 下落合駅 3階建 築28年"/>
    <s v="東京都新宿区中落合２"/>
    <n v="108000"/>
    <n v="10000"/>
    <m/>
    <n v="108000"/>
    <n v="3"/>
    <x v="1"/>
    <n v="29.98"/>
    <n v="28"/>
    <x v="2"/>
    <s v="下落合駅"/>
    <n v="5"/>
    <n v="14.33"/>
    <n v="136411.03"/>
    <n v="123325.96"/>
    <n v="390"/>
    <n v="339"/>
    <s v="20-30"/>
    <x v="1"/>
  </r>
  <r>
    <s v="https://suumo.jp/chintai/jnc_000104186385/?bc=100483625662"/>
    <s v="西武新宿線 下落合駅 3階建 築4年"/>
    <s v="東京都新宿区下落合４"/>
    <n v="128000"/>
    <n v="20000"/>
    <m/>
    <m/>
    <n v="1"/>
    <x v="1"/>
    <n v="24.05"/>
    <n v="4"/>
    <x v="2"/>
    <s v="下落合駅"/>
    <n v="7"/>
    <n v="10.67"/>
    <n v="136411.03"/>
    <n v="123325.96"/>
    <n v="390"/>
    <n v="339"/>
    <s v="20-30"/>
    <x v="0"/>
  </r>
  <r>
    <s v="https://suumo.jp/chintai/jnc_000103593438/?bc=100481242083"/>
    <s v="西武新宿線 下落合駅 4階建 築39年"/>
    <s v="東京都新宿区下落合１"/>
    <n v="74000"/>
    <n v="3000"/>
    <n v="74000"/>
    <m/>
    <n v="1"/>
    <x v="1"/>
    <n v="28.17"/>
    <n v="39"/>
    <x v="4"/>
    <s v="下落合駅"/>
    <n v="3"/>
    <n v="9"/>
    <n v="136411.03"/>
    <n v="123325.96"/>
    <n v="390"/>
    <n v="339"/>
    <s v="20-30"/>
    <x v="4"/>
  </r>
  <r>
    <s v="https://suumo.jp/chintai/jnc_000103873092/?bc=100481705535"/>
    <s v="西武新宿線 下落合駅 9階建 築29年"/>
    <s v="東京都新宿区高田馬場３"/>
    <n v="99000"/>
    <n v="5000"/>
    <n v="99000"/>
    <n v="99000"/>
    <n v="8"/>
    <x v="1"/>
    <n v="28.55"/>
    <n v="29"/>
    <x v="6"/>
    <s v="下落合駅"/>
    <n v="9"/>
    <n v="11.33"/>
    <n v="136411.03"/>
    <n v="123325.96"/>
    <n v="390"/>
    <n v="339"/>
    <s v="20-30"/>
    <x v="1"/>
  </r>
  <r>
    <s v="https://suumo.jp/chintai/jnc_000097881606/?bc=100437961598"/>
    <s v="西武新宿線 下落合駅 9階建 築29年"/>
    <s v="東京都新宿区高田馬場３"/>
    <n v="89000"/>
    <n v="5000"/>
    <n v="89000"/>
    <n v="89000"/>
    <n v="9"/>
    <x v="1"/>
    <n v="28.55"/>
    <n v="29"/>
    <x v="6"/>
    <s v="下落合駅"/>
    <n v="9"/>
    <n v="11.33"/>
    <n v="136411.03"/>
    <n v="123325.96"/>
    <n v="390"/>
    <n v="339"/>
    <s v="20-30"/>
    <x v="1"/>
  </r>
  <r>
    <s v="https://suumo.jp/chintai/jnc_000104076250/?bc=100482936491"/>
    <s v="Ｄ’ｓＶＡＲＩＥ高田馬場レジデンス"/>
    <s v="東京都新宿区下落合４"/>
    <n v="128000"/>
    <n v="20000"/>
    <m/>
    <m/>
    <n v="1"/>
    <x v="1"/>
    <n v="24.05"/>
    <n v="4"/>
    <x v="4"/>
    <s v="下落合駅"/>
    <n v="7"/>
    <n v="8.5"/>
    <n v="136411.03"/>
    <n v="123325.96"/>
    <n v="390"/>
    <n v="339"/>
    <s v="20-30"/>
    <x v="0"/>
  </r>
  <r>
    <s v="https://suumo.jp/chintai/jnc_000104509202/?bc=100486166184"/>
    <s v="ＪＲ山手線 高田馬場駅 10階建 築5年"/>
    <s v="東京都新宿区下落合１"/>
    <n v="153000"/>
    <n v="8000"/>
    <n v="153000"/>
    <n v="153000"/>
    <n v="4"/>
    <x v="1"/>
    <n v="30.56"/>
    <n v="5"/>
    <x v="1"/>
    <s v="下落合駅"/>
    <n v="5"/>
    <n v="9.67"/>
    <n v="136411.03"/>
    <n v="123325.96"/>
    <n v="390"/>
    <n v="339"/>
    <s v="30-40"/>
    <x v="0"/>
  </r>
  <r>
    <s v="https://suumo.jp/chintai/jnc_000104498689/?bc=100486107896"/>
    <s v="ＪＲ山手線 高田馬場駅 2階建 築52年"/>
    <s v="東京都新宿区高田馬場３"/>
    <n v="63000"/>
    <m/>
    <n v="63000"/>
    <n v="63000"/>
    <n v="1"/>
    <x v="1"/>
    <n v="22"/>
    <n v="52"/>
    <x v="0"/>
    <s v="下落合駅"/>
    <n v="7"/>
    <n v="10"/>
    <n v="136411.03"/>
    <n v="123325.96"/>
    <n v="390"/>
    <n v="339"/>
    <s v="20-30"/>
    <x v="5"/>
  </r>
  <r>
    <s v="https://suumo.jp/chintai/jnc_000104085847/?bc=100483324484"/>
    <s v="ＪＲ山手線 高田馬場駅 3階建 築6年"/>
    <s v="東京都新宿区下落合４"/>
    <n v="103000"/>
    <n v="4000"/>
    <n v="103000"/>
    <n v="103000"/>
    <n v="3"/>
    <x v="1"/>
    <n v="25.98"/>
    <n v="6"/>
    <x v="2"/>
    <s v="下落合駅"/>
    <n v="6"/>
    <n v="11.33"/>
    <n v="136411.03"/>
    <n v="123325.96"/>
    <n v="390"/>
    <n v="339"/>
    <s v="20-30"/>
    <x v="0"/>
  </r>
  <r>
    <s v="https://suumo.jp/chintai/jnc_000104454676/?bc=100485779101"/>
    <s v="ＪＲ山手線 高田馬場駅 4階建 新築"/>
    <s v="東京都新宿区高田馬場３"/>
    <n v="155000"/>
    <n v="10000"/>
    <m/>
    <m/>
    <n v="2"/>
    <x v="1"/>
    <n v="26.92"/>
    <n v="0"/>
    <x v="4"/>
    <s v="下落合駅"/>
    <n v="6"/>
    <n v="8.33"/>
    <n v="136411.03"/>
    <n v="123325.96"/>
    <n v="390"/>
    <n v="339"/>
    <s v="20-30"/>
    <x v="6"/>
  </r>
  <r>
    <s v="https://suumo.jp/chintai/jnc_000103658019/?bc=100480409754"/>
    <s v="ＪＲ山手線 高田馬場駅 地下1地上4階建 新築"/>
    <s v="東京都新宿区高田馬場３"/>
    <n v="155000"/>
    <n v="10000"/>
    <m/>
    <m/>
    <n v="2"/>
    <x v="1"/>
    <n v="26.92"/>
    <n v="0"/>
    <x v="7"/>
    <s v="下落合駅"/>
    <n v="6"/>
    <n v="8"/>
    <n v="136411.03"/>
    <n v="123325.96"/>
    <n v="390"/>
    <n v="339"/>
    <s v="20-30"/>
    <x v="6"/>
  </r>
  <r>
    <s v="https://suumo.jp/chintai/jnc_000103636276/?bc=100481322745"/>
    <s v="ＬｉｖｅＦｌａｔ高田馬場"/>
    <s v="東京都新宿区高田馬場３"/>
    <n v="155000"/>
    <n v="10000"/>
    <m/>
    <m/>
    <n v="2"/>
    <x v="1"/>
    <n v="26.92"/>
    <n v="0"/>
    <x v="7"/>
    <s v="下落合駅"/>
    <n v="6"/>
    <n v="8"/>
    <n v="136411.03"/>
    <n v="123325.96"/>
    <n v="390"/>
    <n v="339"/>
    <s v="20-30"/>
    <x v="6"/>
  </r>
  <r>
    <s v="https://suumo.jp/chintai/jnc_000103636278/?bc=100480714785"/>
    <s v="ＬｉｖｅＦｌａｔ高田馬場"/>
    <s v="東京都新宿区高田馬場３"/>
    <n v="160000"/>
    <n v="10000"/>
    <m/>
    <m/>
    <n v="3"/>
    <x v="1"/>
    <n v="28.75"/>
    <n v="0"/>
    <x v="7"/>
    <s v="下落合駅"/>
    <n v="6"/>
    <n v="8"/>
    <n v="136411.03"/>
    <n v="123325.96"/>
    <n v="390"/>
    <n v="339"/>
    <s v="20-30"/>
    <x v="6"/>
  </r>
  <r>
    <s v="https://suumo.jp/chintai/jnc_000104372539/?bc=100479096561"/>
    <s v="APRICOT"/>
    <s v="東京都新宿区中落合２"/>
    <n v="94000"/>
    <n v="5000"/>
    <m/>
    <n v="188000"/>
    <n v="1"/>
    <x v="2"/>
    <n v="26.27"/>
    <n v="20"/>
    <x v="0"/>
    <s v="下落合駅"/>
    <n v="9"/>
    <n v="13.33"/>
    <n v="136411.03"/>
    <n v="95329.65"/>
    <n v="390"/>
    <n v="1622"/>
    <s v="20-30"/>
    <x v="7"/>
  </r>
  <r>
    <s v="https://suumo.jp/chintai/jnc_000104540969/?bc=100469218526"/>
    <s v="APRICOT"/>
    <s v="東京都新宿区中落合２"/>
    <n v="95000"/>
    <n v="5000"/>
    <m/>
    <n v="190000"/>
    <n v="1"/>
    <x v="2"/>
    <n v="26.27"/>
    <n v="20"/>
    <x v="0"/>
    <s v="下落合駅"/>
    <n v="9"/>
    <n v="13.33"/>
    <n v="136411.03"/>
    <n v="95329.65"/>
    <n v="390"/>
    <n v="1622"/>
    <s v="20-30"/>
    <x v="7"/>
  </r>
  <r>
    <s v="https://suumo.jp/chintai/jnc_000103770588/?bc=100480731616"/>
    <s v="AXAS高田馬場"/>
    <s v="東京都新宿区高田馬場４"/>
    <n v="110000"/>
    <n v="10000"/>
    <m/>
    <n v="110000"/>
    <n v="5"/>
    <x v="2"/>
    <n v="26.03"/>
    <n v="15"/>
    <x v="8"/>
    <s v="下落合駅"/>
    <n v="8"/>
    <n v="10.33"/>
    <n v="136411.03"/>
    <n v="95329.65"/>
    <n v="390"/>
    <n v="1622"/>
    <s v="20-30"/>
    <x v="7"/>
  </r>
  <r>
    <s v="https://suumo.jp/chintai/jnc_000104285663/?bc=100484819235"/>
    <s v="B City 高田馬場　alivie"/>
    <s v="東京都新宿区高田馬場３"/>
    <n v="93000"/>
    <n v="15000"/>
    <m/>
    <n v="93000"/>
    <n v="2"/>
    <x v="2"/>
    <n v="25.52"/>
    <n v="13"/>
    <x v="5"/>
    <s v="下落合駅"/>
    <n v="3"/>
    <n v="8.67"/>
    <n v="136411.03"/>
    <n v="95329.65"/>
    <n v="390"/>
    <n v="1622"/>
    <s v="20-30"/>
    <x v="7"/>
  </r>
  <r>
    <s v="https://suumo.jp/chintai/jnc_000103599931/?bc=100483908962"/>
    <s v="B City 高田馬場　alivie"/>
    <s v="東京都新宿区高田馬場３"/>
    <n v="92000"/>
    <n v="10000"/>
    <n v="92000"/>
    <n v="92000"/>
    <n v="4"/>
    <x v="2"/>
    <n v="25.52"/>
    <n v="13"/>
    <x v="5"/>
    <s v="下落合駅"/>
    <n v="3"/>
    <n v="8.67"/>
    <n v="136411.03"/>
    <n v="95329.65"/>
    <n v="390"/>
    <n v="1622"/>
    <s v="20-30"/>
    <x v="7"/>
  </r>
  <r>
    <s v="https://suumo.jp/chintai/jnc_000102663277/?bc=100481899450"/>
    <s v="CREAL高田馬場"/>
    <s v="東京都新宿区下落合４"/>
    <n v="89000"/>
    <n v="10000"/>
    <m/>
    <m/>
    <n v="1"/>
    <x v="2"/>
    <n v="20.29"/>
    <n v="6"/>
    <x v="2"/>
    <s v="下落合駅"/>
    <n v="4"/>
    <n v="11"/>
    <n v="136411.03"/>
    <n v="95329.65"/>
    <n v="390"/>
    <n v="1622"/>
    <s v="20-30"/>
    <x v="0"/>
  </r>
  <r>
    <s v="https://suumo.jp/chintai/jnc_000103204675/?bc=100481380994"/>
    <s v="アイコート下落合"/>
    <s v="東京都新宿区下落合４"/>
    <n v="90000"/>
    <n v="5000"/>
    <n v="90000"/>
    <m/>
    <n v="1"/>
    <x v="2"/>
    <n v="22.48"/>
    <n v="8"/>
    <x v="0"/>
    <s v="下落合駅"/>
    <n v="7"/>
    <n v="11"/>
    <n v="136411.03"/>
    <n v="95329.65"/>
    <n v="390"/>
    <n v="1622"/>
    <s v="20-30"/>
    <x v="0"/>
  </r>
  <r>
    <s v="https://suumo.jp/chintai/jnc_000104509150/?bc=100445998708"/>
    <s v="アルティザ新宿落合ソノリテ"/>
    <s v="東京都新宿区上落合２"/>
    <n v="126000"/>
    <n v="18000"/>
    <m/>
    <m/>
    <n v="2"/>
    <x v="2"/>
    <n v="25.13"/>
    <n v="2"/>
    <x v="7"/>
    <s v="下落合駅"/>
    <n v="5"/>
    <n v="7.67"/>
    <n v="136411.03"/>
    <n v="95329.65"/>
    <n v="390"/>
    <n v="1622"/>
    <s v="20-30"/>
    <x v="0"/>
  </r>
  <r>
    <s v="https://suumo.jp/chintai/jnc_000103610284/?bc=100485948516"/>
    <s v="アルティザ新宿落合ソノリテ"/>
    <s v="東京都新宿区上落合２"/>
    <n v="127000"/>
    <n v="18000"/>
    <m/>
    <m/>
    <n v="2"/>
    <x v="2"/>
    <n v="26.42"/>
    <n v="2"/>
    <x v="7"/>
    <s v="下落合駅"/>
    <n v="5"/>
    <n v="7.67"/>
    <n v="136411.03"/>
    <n v="95329.65"/>
    <n v="390"/>
    <n v="1622"/>
    <s v="20-30"/>
    <x v="0"/>
  </r>
  <r>
    <s v="https://suumo.jp/chintai/jnc_000104518508/?bc=100486226750"/>
    <s v="エクセル"/>
    <s v="東京都新宿区上落合１"/>
    <n v="76000"/>
    <n v="2000"/>
    <n v="76000"/>
    <n v="76000"/>
    <n v="1"/>
    <x v="2"/>
    <n v="19.440000000000001"/>
    <n v="26"/>
    <x v="0"/>
    <s v="下落合駅"/>
    <n v="8"/>
    <n v="9"/>
    <n v="136411.03"/>
    <n v="95329.65"/>
    <n v="390"/>
    <n v="1622"/>
    <s v="10-20"/>
    <x v="1"/>
  </r>
  <r>
    <s v="https://suumo.jp/chintai/jnc_000104101241/?bc=100484364723"/>
    <s v="エミリブ下落合"/>
    <s v="東京都新宿区下落合１"/>
    <n v="143000"/>
    <n v="8000"/>
    <m/>
    <m/>
    <n v="3"/>
    <x v="2"/>
    <n v="25.46"/>
    <n v="14"/>
    <x v="9"/>
    <s v="下落合駅"/>
    <n v="1"/>
    <n v="9.33"/>
    <n v="136411.03"/>
    <n v="95329.65"/>
    <n v="390"/>
    <n v="1622"/>
    <s v="20-30"/>
    <x v="7"/>
  </r>
  <r>
    <s v="https://suumo.jp/chintai/jnc_000104028799/?bc=100482474767"/>
    <s v="エミリブ下落合"/>
    <s v="東京都新宿区下落合１"/>
    <n v="143000"/>
    <n v="8000"/>
    <m/>
    <m/>
    <n v="4"/>
    <x v="2"/>
    <n v="25.46"/>
    <n v="14"/>
    <x v="9"/>
    <s v="下落合駅"/>
    <n v="1"/>
    <n v="9.33"/>
    <n v="136411.03"/>
    <n v="95329.65"/>
    <n v="390"/>
    <n v="1622"/>
    <s v="20-30"/>
    <x v="7"/>
  </r>
  <r>
    <s v="https://suumo.jp/chintai/jnc_000104261574/?bc=100484237488"/>
    <s v="エミリブ下落合"/>
    <s v="東京都新宿区下落合１"/>
    <n v="144000"/>
    <n v="8000"/>
    <m/>
    <m/>
    <n v="4"/>
    <x v="2"/>
    <n v="25.46"/>
    <n v="14"/>
    <x v="9"/>
    <s v="下落合駅"/>
    <n v="1"/>
    <n v="9.33"/>
    <n v="136411.03"/>
    <n v="95329.65"/>
    <n v="390"/>
    <n v="1622"/>
    <s v="20-30"/>
    <x v="7"/>
  </r>
  <r>
    <s v="https://suumo.jp/chintai/jnc_000101438332/?bc=100484673781"/>
    <s v="エミリブ下落合"/>
    <s v="東京都新宿区下落合１"/>
    <n v="145000"/>
    <n v="8000"/>
    <m/>
    <m/>
    <n v="6"/>
    <x v="2"/>
    <n v="25.11"/>
    <n v="14"/>
    <x v="9"/>
    <s v="下落合駅"/>
    <n v="1"/>
    <n v="9.33"/>
    <n v="136411.03"/>
    <n v="95329.65"/>
    <n v="390"/>
    <n v="1622"/>
    <s v="20-30"/>
    <x v="7"/>
  </r>
  <r>
    <s v="https://suumo.jp/chintai/jnc_000103432592/?bc=100484350773"/>
    <s v="エミリブ下落合"/>
    <s v="東京都新宿区下落合１"/>
    <n v="145000"/>
    <n v="8000"/>
    <m/>
    <m/>
    <n v="6"/>
    <x v="2"/>
    <n v="25.46"/>
    <n v="14"/>
    <x v="9"/>
    <s v="下落合駅"/>
    <n v="1"/>
    <n v="9.33"/>
    <n v="136411.03"/>
    <n v="95329.65"/>
    <n v="390"/>
    <n v="1622"/>
    <s v="20-30"/>
    <x v="7"/>
  </r>
  <r>
    <s v="https://suumo.jp/chintai/jnc_000104458798/?bc=100485975408"/>
    <s v="エヴァーライフ"/>
    <s v="東京都新宿区上落合１"/>
    <n v="85000"/>
    <n v="2000"/>
    <n v="42500"/>
    <n v="127500"/>
    <n v="1"/>
    <x v="2"/>
    <n v="21.06"/>
    <n v="16"/>
    <x v="0"/>
    <s v="下落合駅"/>
    <n v="3"/>
    <n v="6.67"/>
    <n v="136411.03"/>
    <n v="95329.65"/>
    <n v="390"/>
    <n v="1622"/>
    <s v="20-30"/>
    <x v="7"/>
  </r>
  <r>
    <s v="https://suumo.jp/chintai/jnc_000104473636/?bc=100486287928"/>
    <s v="エーデルシュタイン"/>
    <s v="東京都新宿区上落合１"/>
    <n v="107000"/>
    <n v="3500"/>
    <m/>
    <n v="214000"/>
    <n v="2"/>
    <x v="2"/>
    <n v="27.09"/>
    <n v="14"/>
    <x v="4"/>
    <s v="下落合駅"/>
    <n v="4"/>
    <n v="10"/>
    <n v="136411.03"/>
    <n v="95329.65"/>
    <n v="390"/>
    <n v="1622"/>
    <s v="20-30"/>
    <x v="7"/>
  </r>
  <r>
    <s v="https://suumo.jp/chintai/jnc_000104101250/?bc=100484260197"/>
    <s v="カメリア新目白"/>
    <s v="東京都新宿区中落合１"/>
    <n v="95000"/>
    <n v="5000"/>
    <n v="95000"/>
    <n v="95000"/>
    <n v="4"/>
    <x v="2"/>
    <n v="22"/>
    <n v="27"/>
    <x v="7"/>
    <s v="下落合駅"/>
    <n v="3"/>
    <n v="8.33"/>
    <n v="136411.03"/>
    <n v="95329.65"/>
    <n v="390"/>
    <n v="1622"/>
    <s v="20-30"/>
    <x v="1"/>
  </r>
  <r>
    <s v="https://suumo.jp/chintai/jnc_000029055424/?bc=100484455961"/>
    <s v="ガラ・シティ高田馬場"/>
    <s v="東京都新宿区下落合２"/>
    <n v="80000"/>
    <n v="9000"/>
    <n v="80000"/>
    <n v="160000"/>
    <n v="3"/>
    <x v="2"/>
    <n v="23.08"/>
    <n v="24"/>
    <x v="3"/>
    <s v="下落合駅"/>
    <n v="7"/>
    <n v="8"/>
    <n v="136411.03"/>
    <n v="95329.65"/>
    <n v="390"/>
    <n v="1622"/>
    <s v="20-30"/>
    <x v="1"/>
  </r>
  <r>
    <s v="https://suumo.jp/chintai/jnc_000104411710/?bc=100485619761"/>
    <s v="クレイシア新宿中落合"/>
    <s v="東京都新宿区中落合２"/>
    <n v="95500"/>
    <n v="12000"/>
    <n v="95500"/>
    <n v="95500"/>
    <n v="4"/>
    <x v="2"/>
    <n v="25.61"/>
    <n v="6"/>
    <x v="6"/>
    <s v="下落合駅"/>
    <n v="9"/>
    <n v="9.67"/>
    <n v="136411.03"/>
    <n v="95329.65"/>
    <n v="390"/>
    <n v="1622"/>
    <s v="20-30"/>
    <x v="0"/>
  </r>
  <r>
    <s v="https://suumo.jp/chintai/jnc_000104326013/?bc=100484825547"/>
    <s v="グランジュール目白西"/>
    <s v="東京都新宿区下落合４"/>
    <n v="92000"/>
    <n v="8000"/>
    <m/>
    <n v="92000"/>
    <n v="8"/>
    <x v="2"/>
    <n v="22.28"/>
    <n v="24"/>
    <x v="6"/>
    <s v="下落合駅"/>
    <n v="3"/>
    <n v="9.33"/>
    <n v="136411.03"/>
    <n v="95329.65"/>
    <n v="390"/>
    <n v="1622"/>
    <s v="20-30"/>
    <x v="1"/>
  </r>
  <r>
    <s v="https://suumo.jp/chintai/jnc_000104295011/?bc=100485609698"/>
    <s v="グラントゥルース上落合"/>
    <s v="東京都新宿区上落合２"/>
    <n v="90000"/>
    <n v="5000"/>
    <m/>
    <n v="90000"/>
    <n v="7"/>
    <x v="2"/>
    <n v="19.73"/>
    <n v="22"/>
    <x v="6"/>
    <s v="下落合駅"/>
    <n v="6"/>
    <n v="7.67"/>
    <n v="136411.03"/>
    <n v="95329.65"/>
    <n v="390"/>
    <n v="1622"/>
    <s v="10-20"/>
    <x v="1"/>
  </r>
  <r>
    <s v="https://suumo.jp/chintai/jnc_000104148252/?bc=100483716035"/>
    <s v="コンフォリア中落合"/>
    <s v="東京都新宿区中落合２"/>
    <n v="107000"/>
    <n v="10000"/>
    <n v="107000"/>
    <m/>
    <n v="2"/>
    <x v="2"/>
    <n v="25.41"/>
    <n v="15"/>
    <x v="2"/>
    <s v="下落合駅"/>
    <n v="6"/>
    <n v="12.67"/>
    <n v="136411.03"/>
    <n v="95329.65"/>
    <n v="390"/>
    <n v="1622"/>
    <s v="20-30"/>
    <x v="7"/>
  </r>
  <r>
    <s v="https://suumo.jp/chintai/jnc_000104449308/?bc=100485866781"/>
    <s v="コンフォリア中落合"/>
    <s v="東京都新宿区中落合２"/>
    <n v="108000"/>
    <n v="10000"/>
    <n v="108000"/>
    <m/>
    <n v="3"/>
    <x v="2"/>
    <n v="25.41"/>
    <n v="15"/>
    <x v="2"/>
    <s v="下落合駅"/>
    <n v="6"/>
    <n v="12.67"/>
    <n v="136411.03"/>
    <n v="95329.65"/>
    <n v="390"/>
    <n v="1622"/>
    <s v="20-30"/>
    <x v="7"/>
  </r>
  <r>
    <s v="https://suumo.jp/chintai/jnc_000076923218/?bc=100240207609"/>
    <s v="サニーコートさつき"/>
    <s v="東京都新宿区高田馬場３"/>
    <n v="59000"/>
    <n v="3000"/>
    <n v="59000"/>
    <n v="59000"/>
    <n v="1"/>
    <x v="2"/>
    <n v="18"/>
    <n v="32"/>
    <x v="0"/>
    <s v="下落合駅"/>
    <n v="6"/>
    <n v="8.67"/>
    <n v="136411.03"/>
    <n v="95329.65"/>
    <n v="390"/>
    <n v="1622"/>
    <s v="10-20"/>
    <x v="4"/>
  </r>
  <r>
    <s v="https://suumo.jp/chintai/jnc_000091728138/?bc=100247375189"/>
    <s v="サニーコートさつき"/>
    <s v="東京都新宿区高田馬場３"/>
    <n v="59000"/>
    <n v="3000"/>
    <n v="59000"/>
    <n v="59000"/>
    <n v="2"/>
    <x v="2"/>
    <n v="18"/>
    <n v="32"/>
    <x v="0"/>
    <s v="下落合駅"/>
    <n v="6"/>
    <n v="8.67"/>
    <n v="136411.03"/>
    <n v="95329.65"/>
    <n v="390"/>
    <n v="1622"/>
    <s v="10-20"/>
    <x v="4"/>
  </r>
  <r>
    <s v="https://suumo.jp/chintai/jnc_000103373127/?bc=100479665537"/>
    <s v="シティハイム・オーティアス"/>
    <s v="東京都新宿区高田馬場４"/>
    <n v="60000"/>
    <m/>
    <n v="60000"/>
    <m/>
    <n v="1"/>
    <x v="2"/>
    <n v="18.149999999999999"/>
    <n v="37"/>
    <x v="0"/>
    <s v="下落合駅"/>
    <n v="9"/>
    <n v="10"/>
    <n v="136411.03"/>
    <n v="95329.65"/>
    <n v="390"/>
    <n v="1622"/>
    <s v="10-20"/>
    <x v="4"/>
  </r>
  <r>
    <s v="https://suumo.jp/chintai/jnc_000104015693/?bc=100482195422"/>
    <s v="シプレ新宿中落合"/>
    <s v="東京都新宿区中落合２"/>
    <n v="102000"/>
    <n v="15000"/>
    <n v="102000"/>
    <m/>
    <n v="1"/>
    <x v="2"/>
    <n v="19.72"/>
    <n v="2"/>
    <x v="4"/>
    <s v="下落合駅"/>
    <n v="5"/>
    <n v="9.33"/>
    <n v="136411.03"/>
    <n v="95329.65"/>
    <n v="390"/>
    <n v="1622"/>
    <s v="10-20"/>
    <x v="0"/>
  </r>
  <r>
    <s v="https://suumo.jp/chintai/jnc_000101605831/?bc=100478743563"/>
    <s v="シプレ新宿中落合"/>
    <s v="東京都新宿区中落合２"/>
    <n v="100000"/>
    <n v="15000"/>
    <n v="100000"/>
    <m/>
    <n v="1"/>
    <x v="2"/>
    <n v="19.72"/>
    <n v="2"/>
    <x v="4"/>
    <s v="下落合駅"/>
    <n v="5"/>
    <n v="9.33"/>
    <n v="136411.03"/>
    <n v="95329.65"/>
    <n v="390"/>
    <n v="1622"/>
    <s v="10-20"/>
    <x v="0"/>
  </r>
  <r>
    <s v="https://suumo.jp/chintai/jnc_000102028780/?bc=100477243529"/>
    <s v="シーズンフラッツ高田馬場リバーサイドノース"/>
    <s v="東京都新宿区高田馬場３"/>
    <n v="130000"/>
    <n v="10000"/>
    <m/>
    <m/>
    <n v="4"/>
    <x v="2"/>
    <n v="25.39"/>
    <n v="4"/>
    <x v="5"/>
    <s v="下落合駅"/>
    <n v="7"/>
    <n v="10.33"/>
    <n v="136411.03"/>
    <n v="95329.65"/>
    <n v="390"/>
    <n v="1622"/>
    <s v="20-30"/>
    <x v="0"/>
  </r>
  <r>
    <s v="https://suumo.jp/chintai/jnc_000104010134/?bc=100482328548"/>
    <s v="ジェノヴィア新宿中落合スカイガーデン"/>
    <s v="東京都新宿区中落合２"/>
    <n v="116000"/>
    <n v="15000"/>
    <m/>
    <n v="232000"/>
    <n v="4"/>
    <x v="2"/>
    <n v="25.85"/>
    <n v="7"/>
    <x v="1"/>
    <s v="下落合駅"/>
    <n v="9"/>
    <n v="9.33"/>
    <n v="136411.03"/>
    <n v="95329.65"/>
    <n v="390"/>
    <n v="1622"/>
    <s v="20-30"/>
    <x v="0"/>
  </r>
  <r>
    <s v="https://suumo.jp/chintai/jnc_000101753099/?bc=100464300734"/>
    <s v="ジェノヴィア新宿中落合スカイガーデン"/>
    <s v="東京都新宿区中落合２"/>
    <n v="139000"/>
    <n v="11000"/>
    <m/>
    <n v="139000"/>
    <n v="6"/>
    <x v="2"/>
    <n v="25.84"/>
    <n v="7"/>
    <x v="1"/>
    <s v="下落合駅"/>
    <n v="9"/>
    <n v="9.33"/>
    <n v="136411.03"/>
    <n v="95329.65"/>
    <n v="390"/>
    <n v="1622"/>
    <s v="20-30"/>
    <x v="0"/>
  </r>
  <r>
    <s v="https://suumo.jp/chintai/jnc_000097389553/?bc=100445850221"/>
    <s v="ジェノヴィア新宿中落合スカイガーデン"/>
    <s v="東京都新宿区中落合２"/>
    <n v="140000"/>
    <n v="11000"/>
    <m/>
    <n v="140000"/>
    <n v="7"/>
    <x v="2"/>
    <n v="25.85"/>
    <n v="7"/>
    <x v="1"/>
    <s v="下落合駅"/>
    <n v="9"/>
    <n v="9.33"/>
    <n v="136411.03"/>
    <n v="95329.65"/>
    <n v="390"/>
    <n v="1622"/>
    <s v="20-30"/>
    <x v="0"/>
  </r>
  <r>
    <s v="https://suumo.jp/chintai/jnc_000101629254/?bc=100485050680"/>
    <s v="ジェノヴィア新宿中落合スカイガーデン"/>
    <s v="東京都新宿区中落合２"/>
    <n v="120000"/>
    <n v="15000"/>
    <m/>
    <m/>
    <n v="9"/>
    <x v="2"/>
    <n v="25.85"/>
    <n v="7"/>
    <x v="1"/>
    <s v="下落合駅"/>
    <n v="9"/>
    <n v="9.33"/>
    <n v="136411.03"/>
    <n v="95329.65"/>
    <n v="390"/>
    <n v="1622"/>
    <s v="20-30"/>
    <x v="0"/>
  </r>
  <r>
    <s v="https://suumo.jp/chintai/jnc_000101618579/?bc=100461418870"/>
    <s v="ジェノヴィア新宿中落合スカイガーデン"/>
    <s v="東京都新宿区中落合２"/>
    <n v="141000"/>
    <n v="11000"/>
    <m/>
    <n v="141000"/>
    <n v="9"/>
    <x v="2"/>
    <n v="25.85"/>
    <n v="7"/>
    <x v="1"/>
    <s v="下落合駅"/>
    <n v="9"/>
    <n v="9.33"/>
    <n v="136411.03"/>
    <n v="95329.65"/>
    <n v="390"/>
    <n v="1622"/>
    <s v="20-30"/>
    <x v="0"/>
  </r>
  <r>
    <s v="https://suumo.jp/chintai/jnc_000104518515/?bc=100486237502"/>
    <s v="スカイコート高田馬場第６"/>
    <s v="東京都新宿区下落合４"/>
    <n v="95000"/>
    <n v="7000"/>
    <n v="95000"/>
    <n v="95000"/>
    <n v="4"/>
    <x v="2"/>
    <n v="20.149999999999999"/>
    <n v="24"/>
    <x v="1"/>
    <s v="下落合駅"/>
    <n v="2"/>
    <n v="8"/>
    <n v="136411.03"/>
    <n v="95329.65"/>
    <n v="390"/>
    <n v="1622"/>
    <s v="20-30"/>
    <x v="1"/>
  </r>
  <r>
    <s v="https://suumo.jp/chintai/jnc_000100583627/?bc=100452605864"/>
    <s v="ステューディオＡ１"/>
    <s v="東京都新宿区下落合４"/>
    <n v="84000"/>
    <n v="3000"/>
    <n v="84000"/>
    <n v="84000"/>
    <n v="1"/>
    <x v="2"/>
    <n v="29.02"/>
    <n v="22"/>
    <x v="0"/>
    <s v="下落合駅"/>
    <n v="5"/>
    <n v="11"/>
    <n v="136411.03"/>
    <n v="95329.65"/>
    <n v="390"/>
    <n v="1622"/>
    <s v="20-30"/>
    <x v="1"/>
  </r>
  <r>
    <s v="https://suumo.jp/chintai/jnc_000104525309/?bc=100486373949"/>
    <s v="ステージグランデ上落合"/>
    <s v="東京都新宿区上落合１"/>
    <n v="94000"/>
    <n v="5000"/>
    <m/>
    <n v="94000"/>
    <n v="3"/>
    <x v="2"/>
    <n v="22.8"/>
    <n v="17"/>
    <x v="10"/>
    <s v="下落合駅"/>
    <n v="3"/>
    <n v="8"/>
    <n v="136411.03"/>
    <n v="95329.65"/>
    <n v="390"/>
    <n v="1622"/>
    <s v="20-30"/>
    <x v="7"/>
  </r>
  <r>
    <s v="https://suumo.jp/chintai/jnc_000103222837/?bc=100476268474"/>
    <s v="ステージグランデ上落合"/>
    <s v="東京都新宿区上落合１"/>
    <n v="88000"/>
    <n v="10000"/>
    <n v="88000"/>
    <n v="88000"/>
    <n v="4"/>
    <x v="2"/>
    <n v="24.37"/>
    <n v="17"/>
    <x v="10"/>
    <s v="下落合駅"/>
    <n v="3"/>
    <n v="8"/>
    <n v="136411.03"/>
    <n v="95329.65"/>
    <n v="390"/>
    <n v="1622"/>
    <s v="20-30"/>
    <x v="7"/>
  </r>
  <r>
    <s v="https://suumo.jp/chintai/jnc_000103013407/?bc=100483127538"/>
    <s v="セリュークス高田馬場"/>
    <s v="東京都新宿区高田馬場３"/>
    <n v="100000"/>
    <n v="10000"/>
    <m/>
    <m/>
    <n v="3"/>
    <x v="2"/>
    <n v="25.58"/>
    <n v="11"/>
    <x v="7"/>
    <s v="下落合駅"/>
    <n v="8"/>
    <n v="9.33"/>
    <n v="136411.03"/>
    <n v="95329.65"/>
    <n v="390"/>
    <n v="1622"/>
    <s v="20-30"/>
    <x v="7"/>
  </r>
  <r>
    <s v="https://suumo.jp/chintai/jnc_000104249145/?bc=100484202633"/>
    <s v="セリュークス高田馬場"/>
    <s v="東京都新宿区高田馬場３"/>
    <n v="120000"/>
    <n v="15000"/>
    <m/>
    <n v="120000"/>
    <n v="5"/>
    <x v="2"/>
    <n v="30.81"/>
    <n v="11"/>
    <x v="7"/>
    <s v="下落合駅"/>
    <n v="8"/>
    <n v="9.33"/>
    <n v="136411.03"/>
    <n v="95329.65"/>
    <n v="390"/>
    <n v="1622"/>
    <s v="30-40"/>
    <x v="7"/>
  </r>
  <r>
    <s v="https://suumo.jp/chintai/jnc_000104325998/?bc=100484705132"/>
    <s v="ソフィア上落合"/>
    <s v="東京都新宿区上落合１"/>
    <n v="72000"/>
    <n v="3000"/>
    <n v="72000"/>
    <n v="72000"/>
    <n v="1"/>
    <x v="2"/>
    <n v="24"/>
    <n v="28"/>
    <x v="2"/>
    <s v="下落合駅"/>
    <n v="3"/>
    <n v="7"/>
    <n v="136411.03"/>
    <n v="95329.65"/>
    <n v="390"/>
    <n v="1622"/>
    <s v="20-30"/>
    <x v="1"/>
  </r>
  <r>
    <s v="https://suumo.jp/chintai/jnc_000104280009/?bc=100476713172"/>
    <s v="ドエル下落合"/>
    <s v="東京都新宿区下落合４"/>
    <n v="84000"/>
    <n v="8000"/>
    <m/>
    <n v="84000"/>
    <n v="2"/>
    <x v="2"/>
    <n v="22.27"/>
    <n v="37"/>
    <x v="0"/>
    <s v="下落合駅"/>
    <n v="4"/>
    <n v="11"/>
    <n v="136411.03"/>
    <n v="95329.65"/>
    <n v="390"/>
    <n v="1622"/>
    <s v="20-30"/>
    <x v="4"/>
  </r>
  <r>
    <s v="https://suumo.jp/chintai/jnc_000048786664/?bc=100287072165"/>
    <s v="バラハウス"/>
    <s v="東京都新宿区下落合４"/>
    <n v="58000"/>
    <n v="3000"/>
    <n v="58000"/>
    <n v="58000"/>
    <n v="1"/>
    <x v="2"/>
    <n v="18.8"/>
    <n v="52"/>
    <x v="0"/>
    <s v="下落合駅"/>
    <n v="5"/>
    <n v="11.67"/>
    <n v="136411.03"/>
    <n v="95329.65"/>
    <n v="390"/>
    <n v="1622"/>
    <s v="10-20"/>
    <x v="5"/>
  </r>
  <r>
    <s v="https://suumo.jp/chintai/jnc_000058579261/?bc=100287072622"/>
    <s v="バラハウス"/>
    <s v="東京都新宿区下落合４"/>
    <n v="58000"/>
    <n v="3000"/>
    <n v="58000"/>
    <n v="58000"/>
    <n v="1"/>
    <x v="2"/>
    <n v="20.059999999999999"/>
    <n v="52"/>
    <x v="0"/>
    <s v="下落合駅"/>
    <n v="5"/>
    <n v="11.67"/>
    <n v="136411.03"/>
    <n v="95329.65"/>
    <n v="390"/>
    <n v="1622"/>
    <s v="20-30"/>
    <x v="5"/>
  </r>
  <r>
    <s v="https://suumo.jp/chintai/jnc_000042878231/?bc=100287072755"/>
    <s v="バラハウス"/>
    <s v="東京都新宿区下落合４"/>
    <n v="57000"/>
    <n v="3000"/>
    <n v="57000"/>
    <n v="57000"/>
    <n v="2"/>
    <x v="2"/>
    <n v="20.059999999999999"/>
    <n v="52"/>
    <x v="0"/>
    <s v="下落合駅"/>
    <n v="5"/>
    <n v="11.67"/>
    <n v="136411.03"/>
    <n v="95329.65"/>
    <n v="390"/>
    <n v="1622"/>
    <s v="20-30"/>
    <x v="5"/>
  </r>
  <r>
    <s v="https://suumo.jp/chintai/jnc_000104241027/?bc=100482544688"/>
    <s v="パークウェル下落合駅前"/>
    <s v="東京都新宿区下落合１"/>
    <n v="88000"/>
    <n v="6000"/>
    <n v="44000"/>
    <n v="88000"/>
    <n v="4"/>
    <x v="2"/>
    <n v="22.5"/>
    <n v="19"/>
    <x v="1"/>
    <s v="下落合駅"/>
    <n v="2"/>
    <n v="9.67"/>
    <n v="136411.03"/>
    <n v="95329.65"/>
    <n v="390"/>
    <n v="1622"/>
    <s v="20-30"/>
    <x v="7"/>
  </r>
  <r>
    <s v="https://suumo.jp/chintai/jnc_000068789972/?bc=100477855456"/>
    <s v="ビラニューセンチュリー２"/>
    <s v="東京都新宿区中落合２"/>
    <n v="58000"/>
    <m/>
    <n v="58000"/>
    <m/>
    <n v="2"/>
    <x v="2"/>
    <n v="20"/>
    <n v="38"/>
    <x v="0"/>
    <s v="下落合駅"/>
    <n v="7"/>
    <n v="10.33"/>
    <n v="136411.03"/>
    <n v="95329.65"/>
    <n v="390"/>
    <n v="1622"/>
    <s v="20-30"/>
    <x v="4"/>
  </r>
  <r>
    <s v="https://suumo.jp/chintai/jnc_000104186367/?bc=100485091608"/>
    <s v="フェニックス下落合"/>
    <s v="東京都新宿区上落合２"/>
    <n v="70000"/>
    <n v="7000"/>
    <n v="70000"/>
    <n v="70000"/>
    <n v="2"/>
    <x v="2"/>
    <n v="20.07"/>
    <n v="27"/>
    <x v="9"/>
    <s v="下落合駅"/>
    <n v="5"/>
    <n v="6.67"/>
    <n v="136411.03"/>
    <n v="95329.65"/>
    <n v="390"/>
    <n v="1622"/>
    <s v="20-30"/>
    <x v="1"/>
  </r>
  <r>
    <s v="https://suumo.jp/chintai/jnc_000102238493/?bc=100468103650"/>
    <s v="フラワーハウス"/>
    <s v="東京都新宿区上落合２"/>
    <n v="68000"/>
    <n v="7000"/>
    <m/>
    <m/>
    <n v="2"/>
    <x v="2"/>
    <n v="19.11"/>
    <n v="31"/>
    <x v="2"/>
    <s v="下落合駅"/>
    <n v="5"/>
    <n v="11.33"/>
    <n v="136411.03"/>
    <n v="95329.65"/>
    <n v="390"/>
    <n v="1622"/>
    <s v="10-20"/>
    <x v="4"/>
  </r>
  <r>
    <s v="https://suumo.jp/chintai/jnc_000104076260/?bc=100482781325"/>
    <s v="フローラ中落合"/>
    <s v="東京都新宿区中落合２"/>
    <n v="75000"/>
    <n v="4000"/>
    <m/>
    <n v="75000"/>
    <n v="1"/>
    <x v="2"/>
    <n v="23.18"/>
    <n v="28"/>
    <x v="0"/>
    <s v="下落合駅"/>
    <n v="7"/>
    <n v="10.33"/>
    <n v="136411.03"/>
    <n v="95329.65"/>
    <n v="390"/>
    <n v="1622"/>
    <s v="20-30"/>
    <x v="1"/>
  </r>
  <r>
    <s v="https://suumo.jp/chintai/jnc_000104280008/?bc=100484530979"/>
    <s v="ブライズ高田馬場"/>
    <s v="東京都新宿区下落合４"/>
    <n v="91000"/>
    <n v="8000"/>
    <m/>
    <n v="182000"/>
    <n v="4"/>
    <x v="2"/>
    <n v="20.79"/>
    <n v="17"/>
    <x v="1"/>
    <s v="下落合駅"/>
    <n v="5"/>
    <n v="10"/>
    <n v="136411.03"/>
    <n v="95329.65"/>
    <n v="390"/>
    <n v="1622"/>
    <s v="20-30"/>
    <x v="7"/>
  </r>
  <r>
    <s v="https://suumo.jp/chintai/jnc_000104186396/?bc=100485297256"/>
    <s v="プラザ中落合"/>
    <s v="東京都新宿区中落合２"/>
    <n v="95000"/>
    <n v="15000"/>
    <n v="95000"/>
    <n v="95000"/>
    <n v="2"/>
    <x v="2"/>
    <n v="27.08"/>
    <n v="21"/>
    <x v="4"/>
    <s v="下落合駅"/>
    <n v="4"/>
    <n v="9.33"/>
    <n v="136411.03"/>
    <n v="95329.65"/>
    <n v="390"/>
    <n v="1622"/>
    <s v="20-30"/>
    <x v="1"/>
  </r>
  <r>
    <s v="https://suumo.jp/chintai/jnc_000104096792/?bc=100483165992"/>
    <s v="プレール・ドゥーク新宿下落合"/>
    <s v="東京都新宿区下落合１"/>
    <n v="107000"/>
    <n v="8000"/>
    <m/>
    <n v="107000"/>
    <n v="5"/>
    <x v="2"/>
    <n v="25.53"/>
    <n v="11"/>
    <x v="1"/>
    <s v="下落合駅"/>
    <n v="3"/>
    <n v="7.67"/>
    <n v="136411.03"/>
    <n v="95329.65"/>
    <n v="390"/>
    <n v="1622"/>
    <s v="20-30"/>
    <x v="7"/>
  </r>
  <r>
    <s v="https://suumo.jp/chintai/jnc_000103439937/?bc=100477627542"/>
    <s v="プレール・ドゥーク新宿下落合"/>
    <s v="東京都新宿区下落合１"/>
    <n v="125000"/>
    <n v="11000"/>
    <m/>
    <n v="125000"/>
    <n v="9"/>
    <x v="2"/>
    <n v="25.53"/>
    <n v="11"/>
    <x v="1"/>
    <s v="下落合駅"/>
    <n v="3"/>
    <n v="7.67"/>
    <n v="136411.03"/>
    <n v="95329.65"/>
    <n v="390"/>
    <n v="1622"/>
    <s v="20-30"/>
    <x v="7"/>
  </r>
  <r>
    <s v="https://suumo.jp/chintai/jnc_000104509145/?bc=100486110694"/>
    <s v="プレール新宿落合"/>
    <s v="東京都新宿区上落合１"/>
    <n v="78000"/>
    <n v="8000"/>
    <m/>
    <n v="78000"/>
    <n v="1"/>
    <x v="2"/>
    <n v="20.329999999999998"/>
    <n v="23"/>
    <x v="10"/>
    <s v="下落合駅"/>
    <n v="2"/>
    <n v="5"/>
    <n v="136411.03"/>
    <n v="95329.65"/>
    <n v="390"/>
    <n v="1622"/>
    <s v="20-30"/>
    <x v="1"/>
  </r>
  <r>
    <s v="https://suumo.jp/chintai/jnc_000102217307/?bc=100484134340"/>
    <s v="プレール新宿落合"/>
    <s v="東京都新宿区上落合１"/>
    <n v="78000"/>
    <n v="10000"/>
    <m/>
    <n v="78000"/>
    <n v="6"/>
    <x v="2"/>
    <n v="21.22"/>
    <n v="23"/>
    <x v="10"/>
    <s v="下落合駅"/>
    <n v="2"/>
    <n v="5"/>
    <n v="136411.03"/>
    <n v="95329.65"/>
    <n v="390"/>
    <n v="1622"/>
    <s v="20-30"/>
    <x v="1"/>
  </r>
  <r>
    <s v="https://suumo.jp/chintai/jnc_000104509146/?bc=100484083288"/>
    <s v="プレール新宿落合"/>
    <s v="東京都新宿区上落合１"/>
    <n v="79000"/>
    <n v="10000"/>
    <m/>
    <n v="79000"/>
    <n v="6"/>
    <x v="2"/>
    <n v="21.22"/>
    <n v="23"/>
    <x v="10"/>
    <s v="下落合駅"/>
    <n v="2"/>
    <n v="5"/>
    <n v="136411.03"/>
    <n v="95329.65"/>
    <n v="390"/>
    <n v="1622"/>
    <s v="20-30"/>
    <x v="1"/>
  </r>
  <r>
    <s v="https://suumo.jp/chintai/jnc_000103969227/?bc=100207109619"/>
    <s v="メゾン城田A"/>
    <s v="東京都新宿区高田馬場３"/>
    <n v="67000"/>
    <n v="5500"/>
    <m/>
    <n v="67000"/>
    <n v="2"/>
    <x v="2"/>
    <n v="19.399999999999999"/>
    <n v="33"/>
    <x v="0"/>
    <s v="下落合駅"/>
    <n v="7"/>
    <n v="9"/>
    <n v="136411.03"/>
    <n v="95329.65"/>
    <n v="390"/>
    <n v="1622"/>
    <s v="10-20"/>
    <x v="4"/>
  </r>
  <r>
    <s v="https://suumo.jp/chintai/jnc_000104241020/?bc=100485824886"/>
    <s v="リバーサイドレジデンス中井"/>
    <s v="東京都新宿区上落合２"/>
    <n v="83000"/>
    <n v="3500"/>
    <n v="83000"/>
    <n v="83000"/>
    <n v="3"/>
    <x v="2"/>
    <n v="20.48"/>
    <n v="21"/>
    <x v="4"/>
    <s v="下落合駅"/>
    <n v="5"/>
    <n v="9"/>
    <n v="136411.03"/>
    <n v="95329.65"/>
    <n v="390"/>
    <n v="1622"/>
    <s v="20-30"/>
    <x v="1"/>
  </r>
  <r>
    <s v="https://suumo.jp/chintai/jnc_000104334632/?bc=100484936706"/>
    <s v="レアライズ高田馬場"/>
    <s v="東京都新宿区下落合１"/>
    <n v="108000"/>
    <n v="10000"/>
    <m/>
    <n v="108000"/>
    <n v="4"/>
    <x v="2"/>
    <n v="26.71"/>
    <n v="7"/>
    <x v="6"/>
    <s v="下落合駅"/>
    <n v="3"/>
    <n v="10.33"/>
    <n v="136411.03"/>
    <n v="95329.65"/>
    <n v="390"/>
    <n v="1622"/>
    <s v="20-30"/>
    <x v="0"/>
  </r>
  <r>
    <s v="https://suumo.jp/chintai/jnc_000103089850/?bc=100474915502"/>
    <s v="レオパレスシェモアIII"/>
    <s v="東京都新宿区下落合１"/>
    <n v="109000"/>
    <n v="5500"/>
    <m/>
    <n v="109000"/>
    <n v="2"/>
    <x v="2"/>
    <n v="19.87"/>
    <n v="17"/>
    <x v="2"/>
    <s v="下落合駅"/>
    <n v="7"/>
    <n v="11.33"/>
    <n v="136411.03"/>
    <n v="95329.65"/>
    <n v="390"/>
    <n v="1622"/>
    <s v="10-20"/>
    <x v="7"/>
  </r>
  <r>
    <s v="https://suumo.jp/chintai/jnc_000104310244/?bc=100485743287"/>
    <s v="レオパレスシェモアIII"/>
    <s v="東京都新宿区下落合１"/>
    <n v="110000"/>
    <n v="5500"/>
    <m/>
    <n v="110000"/>
    <n v="3"/>
    <x v="2"/>
    <n v="19.87"/>
    <n v="17"/>
    <x v="2"/>
    <s v="下落合駅"/>
    <n v="7"/>
    <n v="11.33"/>
    <n v="136411.03"/>
    <n v="95329.65"/>
    <n v="390"/>
    <n v="1622"/>
    <s v="10-20"/>
    <x v="7"/>
  </r>
  <r>
    <s v="https://suumo.jp/chintai/jnc_000104235641/?bc=100484222255"/>
    <s v="レジディア中落合"/>
    <s v="東京都新宿区中落合１"/>
    <n v="127000"/>
    <n v="15000"/>
    <m/>
    <m/>
    <n v="4"/>
    <x v="2"/>
    <n v="28.67"/>
    <n v="18"/>
    <x v="10"/>
    <s v="下落合駅"/>
    <n v="5"/>
    <n v="7.33"/>
    <n v="136411.03"/>
    <n v="95329.65"/>
    <n v="390"/>
    <n v="1622"/>
    <s v="20-30"/>
    <x v="7"/>
  </r>
  <r>
    <s v="https://suumo.jp/chintai/jnc_000102182208/?bc=100470609015"/>
    <s v="レジディア中落合"/>
    <s v="東京都新宿区中落合１"/>
    <n v="108000"/>
    <n v="10000"/>
    <m/>
    <m/>
    <n v="5"/>
    <x v="2"/>
    <n v="26.5"/>
    <n v="18"/>
    <x v="10"/>
    <s v="下落合駅"/>
    <n v="5"/>
    <n v="7.33"/>
    <n v="136411.03"/>
    <n v="95329.65"/>
    <n v="390"/>
    <n v="1622"/>
    <s v="20-30"/>
    <x v="7"/>
  </r>
  <r>
    <s v="https://suumo.jp/chintai/jnc_000103959567/?bc=100480403730"/>
    <s v="レジディア中落合C"/>
    <s v="東京都新宿区中落合１"/>
    <n v="105000"/>
    <n v="15000"/>
    <m/>
    <m/>
    <n v="2"/>
    <x v="2"/>
    <n v="24.49"/>
    <n v="18"/>
    <x v="10"/>
    <s v="下落合駅"/>
    <n v="4"/>
    <n v="9.33"/>
    <n v="136411.03"/>
    <n v="95329.65"/>
    <n v="390"/>
    <n v="1622"/>
    <s v="20-30"/>
    <x v="7"/>
  </r>
  <r>
    <s v="https://suumo.jp/chintai/jnc_000103959566/?bc=100482222712"/>
    <s v="レジディア中落合C"/>
    <s v="東京都新宿区中落合１"/>
    <n v="122000"/>
    <n v="20000"/>
    <m/>
    <m/>
    <n v="2"/>
    <x v="2"/>
    <n v="30.19"/>
    <n v="18"/>
    <x v="10"/>
    <s v="下落合駅"/>
    <n v="4"/>
    <n v="9.33"/>
    <n v="136411.03"/>
    <n v="95329.65"/>
    <n v="390"/>
    <n v="1622"/>
    <s v="30-40"/>
    <x v="7"/>
  </r>
  <r>
    <s v="https://suumo.jp/chintai/jnc_000103195058/?bc=100475685002"/>
    <s v="レジディア中落合C"/>
    <s v="東京都新宿区中落合１"/>
    <n v="125000"/>
    <n v="20000"/>
    <m/>
    <m/>
    <n v="2"/>
    <x v="2"/>
    <n v="30.19"/>
    <n v="18"/>
    <x v="10"/>
    <s v="下落合駅"/>
    <n v="4"/>
    <n v="9.33"/>
    <n v="136411.03"/>
    <n v="95329.65"/>
    <n v="390"/>
    <n v="1622"/>
    <s v="30-40"/>
    <x v="7"/>
  </r>
  <r>
    <s v="https://suumo.jp/chintai/jnc_000103523795/?bc=100478488838"/>
    <s v="レジディア中落合C"/>
    <s v="東京都新宿区中落合１"/>
    <n v="120000"/>
    <n v="15000"/>
    <m/>
    <m/>
    <n v="6"/>
    <x v="2"/>
    <n v="26.01"/>
    <n v="18"/>
    <x v="10"/>
    <s v="下落合駅"/>
    <n v="4"/>
    <n v="9.33"/>
    <n v="136411.03"/>
    <n v="95329.65"/>
    <n v="390"/>
    <n v="1622"/>
    <s v="20-30"/>
    <x v="7"/>
  </r>
  <r>
    <s v="https://suumo.jp/chintai/jnc_000103813448/?bc=100482929261"/>
    <s v="レストF"/>
    <s v="東京都新宿区下落合４"/>
    <n v="65000"/>
    <n v="3000"/>
    <n v="65000"/>
    <m/>
    <n v="1"/>
    <x v="2"/>
    <n v="20"/>
    <n v="65"/>
    <x v="0"/>
    <s v="下落合駅"/>
    <n v="9"/>
    <n v="11"/>
    <n v="136411.03"/>
    <n v="95329.65"/>
    <n v="390"/>
    <n v="1622"/>
    <s v="20-30"/>
    <x v="2"/>
  </r>
  <r>
    <s v="https://suumo.jp/chintai/jnc_000104316367/?bc=100476268764"/>
    <s v="ヴェルト新宿落合"/>
    <s v="東京都新宿区下落合４"/>
    <n v="83000"/>
    <n v="15000"/>
    <m/>
    <m/>
    <n v="3"/>
    <x v="2"/>
    <n v="20.2"/>
    <n v="23"/>
    <x v="4"/>
    <s v="下落合駅"/>
    <n v="4"/>
    <n v="9.5"/>
    <n v="136411.03"/>
    <n v="95329.65"/>
    <n v="390"/>
    <n v="1622"/>
    <s v="20-30"/>
    <x v="1"/>
  </r>
  <r>
    <s v="https://suumo.jp/chintai/jnc_000104531796/?bc=100360155662"/>
    <s v="啓コーポ"/>
    <s v="東京都新宿区上落合１"/>
    <n v="66000"/>
    <m/>
    <n v="66000"/>
    <m/>
    <n v="3"/>
    <x v="2"/>
    <n v="17.5"/>
    <n v="38"/>
    <x v="2"/>
    <s v="下落合駅"/>
    <n v="3"/>
    <n v="6.67"/>
    <n v="136411.03"/>
    <n v="95329.65"/>
    <n v="390"/>
    <n v="1622"/>
    <s v="10-20"/>
    <x v="4"/>
  </r>
  <r>
    <s v="https://suumo.jp/chintai/jnc_000062516629/?bc=100482283090"/>
    <s v="川村マンション"/>
    <s v="東京都新宿区下落合４"/>
    <n v="60000"/>
    <n v="3000"/>
    <n v="60000"/>
    <m/>
    <n v="1"/>
    <x v="2"/>
    <n v="22.3"/>
    <n v="52"/>
    <x v="2"/>
    <s v="下落合駅"/>
    <n v="2"/>
    <n v="9.67"/>
    <n v="136411.03"/>
    <n v="95329.65"/>
    <n v="390"/>
    <n v="1622"/>
    <s v="20-30"/>
    <x v="5"/>
  </r>
  <r>
    <s v="https://suumo.jp/chintai/jnc_000104442185/?bc=100485695164"/>
    <s v="文祥下落合ハイツ"/>
    <s v="東京都新宿区下落合１"/>
    <n v="78500"/>
    <n v="7500"/>
    <n v="78500"/>
    <n v="78500"/>
    <n v="5"/>
    <x v="2"/>
    <n v="20.97"/>
    <n v="23"/>
    <x v="1"/>
    <s v="下落合駅"/>
    <n v="3"/>
    <n v="9"/>
    <n v="136411.03"/>
    <n v="95329.65"/>
    <n v="390"/>
    <n v="1622"/>
    <s v="20-30"/>
    <x v="1"/>
  </r>
  <r>
    <s v="https://suumo.jp/chintai/jnc_000104280006/?bc=100484356288"/>
    <s v="文祥下落合ハイツ"/>
    <s v="東京都新宿区下落合１"/>
    <n v="80000"/>
    <n v="7500"/>
    <n v="80000"/>
    <n v="80000"/>
    <n v="6"/>
    <x v="2"/>
    <n v="20.97"/>
    <n v="23"/>
    <x v="1"/>
    <s v="下落合駅"/>
    <n v="3"/>
    <n v="9"/>
    <n v="136411.03"/>
    <n v="95329.65"/>
    <n v="390"/>
    <n v="1622"/>
    <s v="20-30"/>
    <x v="1"/>
  </r>
  <r>
    <s v="https://suumo.jp/chintai/jnc_000103734400/?bc=100480174932"/>
    <s v="文祥下落合ハイツ"/>
    <s v="東京都新宿区下落合１"/>
    <n v="79500"/>
    <n v="7500"/>
    <n v="79500"/>
    <n v="79500"/>
    <n v="7"/>
    <x v="2"/>
    <n v="20.97"/>
    <n v="23"/>
    <x v="1"/>
    <s v="下落合駅"/>
    <n v="3"/>
    <n v="9"/>
    <n v="136411.03"/>
    <n v="95329.65"/>
    <n v="390"/>
    <n v="1622"/>
    <s v="20-30"/>
    <x v="1"/>
  </r>
  <r>
    <s v="https://suumo.jp/chintai/jnc_000054734682/?bc=100482564818"/>
    <s v="日神パレス下落合"/>
    <s v="東京都新宿区中落合１"/>
    <n v="62000"/>
    <m/>
    <n v="124000"/>
    <m/>
    <n v="3"/>
    <x v="2"/>
    <n v="12.29"/>
    <n v="39"/>
    <x v="7"/>
    <s v="下落合駅"/>
    <n v="3"/>
    <n v="7.33"/>
    <n v="136411.03"/>
    <n v="95329.65"/>
    <n v="390"/>
    <n v="1622"/>
    <s v="10-20"/>
    <x v="4"/>
  </r>
  <r>
    <s v="https://suumo.jp/chintai/jnc_000104049654/?bc=100329148685"/>
    <s v="目白ハイベルズ"/>
    <s v="東京都新宿区下落合４"/>
    <n v="62000"/>
    <n v="5000"/>
    <n v="62000"/>
    <m/>
    <n v="3"/>
    <x v="2"/>
    <n v="19.32"/>
    <n v="39"/>
    <x v="5"/>
    <s v="下落合駅"/>
    <n v="10"/>
    <n v="10.67"/>
    <n v="136411.03"/>
    <n v="95329.65"/>
    <n v="390"/>
    <n v="1622"/>
    <s v="10-20"/>
    <x v="4"/>
  </r>
  <r>
    <s v="https://suumo.jp/chintai/jnc_000100910961/?bc=100455367759"/>
    <s v="第２２オーナーズビル"/>
    <s v="東京都新宿区下落合４"/>
    <n v="80000"/>
    <n v="3000"/>
    <n v="80000"/>
    <n v="80000"/>
    <n v="2"/>
    <x v="2"/>
    <n v="25"/>
    <n v="50"/>
    <x v="0"/>
    <s v="下落合駅"/>
    <n v="4"/>
    <n v="11.33"/>
    <n v="136411.03"/>
    <n v="95329.65"/>
    <n v="390"/>
    <n v="1622"/>
    <s v="20-30"/>
    <x v="3"/>
  </r>
  <r>
    <s v="https://suumo.jp/chintai/jnc_000103480988/?bc=100485929011"/>
    <s v="美鈴コーポ"/>
    <s v="東京都新宿区下落合４"/>
    <n v="65000"/>
    <n v="3000"/>
    <n v="65000"/>
    <n v="65000"/>
    <n v="2"/>
    <x v="2"/>
    <n v="15.53"/>
    <n v="61"/>
    <x v="0"/>
    <s v="下落合駅"/>
    <n v="7"/>
    <n v="12.33"/>
    <n v="136411.03"/>
    <n v="95329.65"/>
    <n v="390"/>
    <n v="1622"/>
    <s v="10-20"/>
    <x v="2"/>
  </r>
  <r>
    <s v="https://suumo.jp/chintai/jnc_000104391716/?bc=100485296503"/>
    <s v="美鈴コーポ"/>
    <s v="東京都新宿区下落合４"/>
    <n v="65000"/>
    <n v="3000"/>
    <n v="65000"/>
    <n v="65000"/>
    <n v="2"/>
    <x v="2"/>
    <n v="20.7"/>
    <n v="61"/>
    <x v="0"/>
    <s v="下落合駅"/>
    <n v="7"/>
    <n v="12.33"/>
    <n v="136411.03"/>
    <n v="95329.65"/>
    <n v="390"/>
    <n v="1622"/>
    <s v="20-30"/>
    <x v="2"/>
  </r>
  <r>
    <s v="https://suumo.jp/chintai/jnc_000103815976/?bc=100480917226"/>
    <s v="西武新宿線 下落合駅 11階建 築15年"/>
    <s v="東京都新宿区高田馬場４"/>
    <n v="110000"/>
    <n v="10000"/>
    <m/>
    <n v="110000"/>
    <n v="5"/>
    <x v="2"/>
    <n v="26.03"/>
    <n v="15"/>
    <x v="8"/>
    <s v="下落合駅"/>
    <n v="8"/>
    <n v="11"/>
    <n v="136411.03"/>
    <n v="95329.65"/>
    <n v="390"/>
    <n v="1622"/>
    <s v="20-30"/>
    <x v="7"/>
  </r>
  <r>
    <s v="https://suumo.jp/chintai/jnc_000104186384/?bc=100483935990"/>
    <s v="西武新宿線 下落合駅 11階建 築8年"/>
    <s v="東京都新宿区下落合４"/>
    <n v="118000"/>
    <n v="12000"/>
    <n v="118000"/>
    <n v="118000"/>
    <n v="4"/>
    <x v="2"/>
    <n v="25.36"/>
    <n v="8"/>
    <x v="8"/>
    <s v="下落合駅"/>
    <n v="3"/>
    <n v="7"/>
    <n v="136411.03"/>
    <n v="95329.65"/>
    <n v="390"/>
    <n v="1622"/>
    <s v="20-30"/>
    <x v="0"/>
  </r>
  <r>
    <s v="https://suumo.jp/chintai/jnc_000104548552/?bc=100486447631"/>
    <s v="西武新宿線 下落合駅 2階建 築17年"/>
    <s v="東京都新宿区高田馬場３"/>
    <n v="58000"/>
    <n v="3000"/>
    <m/>
    <m/>
    <n v="1"/>
    <x v="2"/>
    <n v="9.2899999999999991"/>
    <n v="17"/>
    <x v="0"/>
    <s v="下落合駅"/>
    <n v="7"/>
    <n v="9.67"/>
    <n v="136411.03"/>
    <n v="95329.65"/>
    <n v="390"/>
    <n v="1622"/>
    <s v="&lt;10"/>
    <x v="7"/>
  </r>
  <r>
    <s v="https://suumo.jp/chintai/jnc_000102404600/?bc=100469216592"/>
    <s v="西武新宿線 下落合駅 2階建 築20年"/>
    <s v="東京都新宿区中落合２"/>
    <n v="103000"/>
    <n v="5000"/>
    <m/>
    <n v="154500"/>
    <n v="1"/>
    <x v="2"/>
    <n v="26.27"/>
    <n v="20"/>
    <x v="0"/>
    <s v="下落合駅"/>
    <n v="9"/>
    <n v="12.67"/>
    <n v="136411.03"/>
    <n v="95329.65"/>
    <n v="390"/>
    <n v="1622"/>
    <s v="20-30"/>
    <x v="7"/>
  </r>
  <r>
    <s v="https://suumo.jp/chintai/jnc_000104383630/?bc=100469211351"/>
    <s v="西武新宿線 下落合駅 2階建 築20年"/>
    <s v="東京都新宿区中落合２"/>
    <n v="94000"/>
    <n v="5000"/>
    <m/>
    <n v="188000"/>
    <n v="1"/>
    <x v="2"/>
    <n v="26.27"/>
    <n v="20"/>
    <x v="0"/>
    <s v="下落合駅"/>
    <n v="9"/>
    <n v="12.67"/>
    <n v="136411.03"/>
    <n v="95329.65"/>
    <n v="390"/>
    <n v="1622"/>
    <s v="20-30"/>
    <x v="7"/>
  </r>
  <r>
    <s v="https://suumo.jp/chintai/jnc_000102049930/?bc=100467074632"/>
    <s v="西武新宿線 下落合駅 2階建 築22年"/>
    <s v="東京都新宿区下落合４"/>
    <n v="84000"/>
    <n v="3000"/>
    <n v="84000"/>
    <n v="84000"/>
    <n v="1"/>
    <x v="2"/>
    <n v="29.02"/>
    <n v="22"/>
    <x v="0"/>
    <s v="下落合駅"/>
    <n v="5"/>
    <n v="11"/>
    <n v="136411.03"/>
    <n v="95329.65"/>
    <n v="390"/>
    <n v="1622"/>
    <s v="20-30"/>
    <x v="1"/>
  </r>
  <r>
    <s v="https://suumo.jp/chintai/jnc_000104186394/?bc=100483625646"/>
    <s v="西武新宿線 下落合駅 2階建 築27年"/>
    <s v="東京都新宿区中落合２"/>
    <n v="75000"/>
    <n v="4000"/>
    <m/>
    <n v="75000"/>
    <n v="1"/>
    <x v="2"/>
    <n v="23.18"/>
    <n v="27"/>
    <x v="0"/>
    <s v="下落合駅"/>
    <n v="7"/>
    <n v="15.67"/>
    <n v="136411.03"/>
    <n v="95329.65"/>
    <n v="390"/>
    <n v="1622"/>
    <s v="20-30"/>
    <x v="1"/>
  </r>
  <r>
    <s v="https://suumo.jp/chintai/jnc_000100904864/?bc=100485043271"/>
    <s v="西武新宿線 下落合駅 2階建 築50年"/>
    <s v="東京都新宿区下落合４"/>
    <n v="80000"/>
    <n v="3000"/>
    <n v="80000"/>
    <n v="80000"/>
    <n v="2"/>
    <x v="2"/>
    <n v="25"/>
    <n v="50"/>
    <x v="0"/>
    <s v="下落合駅"/>
    <n v="4"/>
    <n v="10.67"/>
    <n v="136411.03"/>
    <n v="95329.65"/>
    <n v="390"/>
    <n v="1622"/>
    <s v="20-30"/>
    <x v="3"/>
  </r>
  <r>
    <s v="https://suumo.jp/chintai/jnc_000102663278/?bc=100471568724"/>
    <s v="西武新宿線 下落合駅 2階建 築6年"/>
    <s v="東京都新宿区下落合４"/>
    <n v="89000"/>
    <n v="10000"/>
    <m/>
    <n v="44500"/>
    <n v="1"/>
    <x v="2"/>
    <n v="20.29"/>
    <n v="6"/>
    <x v="0"/>
    <s v="下落合駅"/>
    <n v="3"/>
    <n v="9.33"/>
    <n v="136411.03"/>
    <n v="95329.65"/>
    <n v="390"/>
    <n v="1622"/>
    <s v="20-30"/>
    <x v="0"/>
  </r>
  <r>
    <s v="https://suumo.jp/chintai/jnc_000103244903/?bc=100476380187"/>
    <s v="西武新宿線 下落合駅 2階建 築8年"/>
    <s v="東京都新宿区下落合４"/>
    <n v="90000"/>
    <n v="5000"/>
    <n v="90000"/>
    <m/>
    <n v="1"/>
    <x v="2"/>
    <n v="20.77"/>
    <n v="8"/>
    <x v="0"/>
    <s v="下落合駅"/>
    <n v="7"/>
    <n v="11"/>
    <n v="136411.03"/>
    <n v="95329.65"/>
    <n v="390"/>
    <n v="1622"/>
    <s v="20-30"/>
    <x v="0"/>
  </r>
  <r>
    <s v="https://suumo.jp/chintai/jnc_000103481000/?bc=100477030899"/>
    <s v="西武新宿線 下落合駅 3階建 築13年"/>
    <s v="東京都新宿区中落合２"/>
    <n v="77000"/>
    <n v="3000"/>
    <m/>
    <n v="77000"/>
    <n v="2"/>
    <x v="2"/>
    <n v="17.22"/>
    <n v="13"/>
    <x v="2"/>
    <s v="下落合駅"/>
    <n v="10"/>
    <n v="12"/>
    <n v="136411.03"/>
    <n v="95329.65"/>
    <n v="390"/>
    <n v="1622"/>
    <s v="10-20"/>
    <x v="7"/>
  </r>
  <r>
    <s v="https://suumo.jp/chintai/jnc_000104473675/?bc=100485959513"/>
    <s v="西武新宿線 下落合駅 3階建 築15年"/>
    <s v="東京都新宿区中落合２"/>
    <n v="107000"/>
    <n v="10000"/>
    <n v="107000"/>
    <m/>
    <n v="2"/>
    <x v="2"/>
    <n v="25.41"/>
    <n v="15"/>
    <x v="2"/>
    <s v="下落合駅"/>
    <n v="6"/>
    <n v="11"/>
    <n v="136411.03"/>
    <n v="95329.65"/>
    <n v="390"/>
    <n v="1622"/>
    <s v="20-30"/>
    <x v="7"/>
  </r>
  <r>
    <s v="https://suumo.jp/chintai/jnc_000103182473/?bc=100483192135"/>
    <s v="西武新宿線 下落合駅 3階建 築17年"/>
    <s v="東京都新宿区下落合１"/>
    <n v="109000"/>
    <n v="5500"/>
    <m/>
    <n v="109000"/>
    <n v="2"/>
    <x v="2"/>
    <n v="19.87"/>
    <n v="17"/>
    <x v="2"/>
    <s v="下落合駅"/>
    <n v="7"/>
    <n v="10.33"/>
    <n v="136411.03"/>
    <n v="95329.65"/>
    <n v="390"/>
    <n v="1622"/>
    <s v="10-20"/>
    <x v="7"/>
  </r>
  <r>
    <s v="https://suumo.jp/chintai/jnc_000104326012/?bc=100484740931"/>
    <s v="西武新宿線 下落合駅 4分 広々9帖 バストイレ別 敷金無 収納有"/>
    <s v="東京都新宿区下落合４"/>
    <n v="84000"/>
    <n v="8000"/>
    <m/>
    <n v="84000"/>
    <n v="2"/>
    <x v="2"/>
    <n v="22.27"/>
    <n v="37"/>
    <x v="0"/>
    <s v="下落合駅"/>
    <n v="4"/>
    <n v="7.5"/>
    <n v="136411.03"/>
    <n v="95329.65"/>
    <n v="390"/>
    <n v="1622"/>
    <s v="20-30"/>
    <x v="4"/>
  </r>
  <r>
    <s v="https://suumo.jp/chintai/jnc_000104249118/?bc=100484880569"/>
    <s v="西武新宿線 下落合駅 4階建 築20年"/>
    <s v="東京都新宿区上落合２"/>
    <n v="83000"/>
    <n v="3500"/>
    <n v="83000"/>
    <n v="83000"/>
    <n v="3"/>
    <x v="2"/>
    <n v="20.48"/>
    <n v="20"/>
    <x v="4"/>
    <s v="下落合駅"/>
    <n v="5"/>
    <n v="9"/>
    <n v="136411.03"/>
    <n v="95329.65"/>
    <n v="390"/>
    <n v="1622"/>
    <s v="20-30"/>
    <x v="7"/>
  </r>
  <r>
    <s v="https://suumo.jp/chintai/jnc_000104383631/?bc=100485291903"/>
    <s v="西武新宿線 下落合駅 4階建 築21年"/>
    <s v="東京都新宿区中落合２"/>
    <n v="95000"/>
    <n v="15000"/>
    <n v="95000"/>
    <n v="95000"/>
    <n v="2"/>
    <x v="2"/>
    <n v="27.08"/>
    <n v="21"/>
    <x v="4"/>
    <s v="下落合駅"/>
    <n v="4"/>
    <n v="9.67"/>
    <n v="136411.03"/>
    <n v="95329.65"/>
    <n v="390"/>
    <n v="1622"/>
    <s v="20-30"/>
    <x v="1"/>
  </r>
  <r>
    <s v="https://suumo.jp/chintai/jnc_000104525331/?bc=100486251642"/>
    <s v="西武新宿線 下落合駅 4階建 築2年"/>
    <s v="東京都新宿区中落合２"/>
    <n v="102000"/>
    <n v="15000"/>
    <n v="102000"/>
    <m/>
    <n v="1"/>
    <x v="2"/>
    <n v="19.72"/>
    <n v="2"/>
    <x v="4"/>
    <s v="下落合駅"/>
    <n v="5"/>
    <n v="9.33"/>
    <n v="136411.03"/>
    <n v="95329.65"/>
    <n v="390"/>
    <n v="1622"/>
    <s v="10-20"/>
    <x v="0"/>
  </r>
  <r>
    <s v="https://suumo.jp/chintai/jnc_000104196097/?bc=100483714860"/>
    <s v="西武新宿線 下落合駅 4階建 築4年"/>
    <s v="東京都新宿区中落合２"/>
    <n v="105000"/>
    <n v="15000"/>
    <m/>
    <m/>
    <n v="4"/>
    <x v="2"/>
    <n v="25.52"/>
    <n v="4"/>
    <x v="4"/>
    <s v="下落合駅"/>
    <n v="10"/>
    <n v="11.5"/>
    <n v="136411.03"/>
    <n v="95329.65"/>
    <n v="390"/>
    <n v="1622"/>
    <s v="20-30"/>
    <x v="0"/>
  </r>
  <r>
    <s v="https://suumo.jp/chintai/jnc_000103625542/?bc=100479084345"/>
    <s v="西武新宿線 下落合駅 5階建 築2年"/>
    <s v="東京都新宿区上落合２"/>
    <n v="127000"/>
    <n v="18000"/>
    <m/>
    <m/>
    <n v="2"/>
    <x v="2"/>
    <n v="26.42"/>
    <n v="2"/>
    <x v="7"/>
    <s v="下落合駅"/>
    <n v="5"/>
    <n v="7.67"/>
    <n v="136411.03"/>
    <n v="95329.65"/>
    <n v="390"/>
    <n v="1622"/>
    <s v="20-30"/>
    <x v="0"/>
  </r>
  <r>
    <s v="https://suumo.jp/chintai/jnc_000104285664/?bc=100484575491"/>
    <s v="西武新宿線 下落合駅 6階建 築13年"/>
    <s v="東京都新宿区高田馬場３"/>
    <n v="93000"/>
    <n v="15000"/>
    <m/>
    <n v="93000"/>
    <n v="2"/>
    <x v="2"/>
    <n v="25.52"/>
    <n v="13"/>
    <x v="5"/>
    <s v="下落合駅"/>
    <n v="3"/>
    <n v="9"/>
    <n v="136411.03"/>
    <n v="95329.65"/>
    <n v="390"/>
    <n v="1622"/>
    <s v="20-30"/>
    <x v="7"/>
  </r>
  <r>
    <s v="https://suumo.jp/chintai/jnc_000103599932/?bc=100483125686"/>
    <s v="西武新宿線 下落合駅 6階建 築13年"/>
    <s v="東京都新宿区高田馬場３"/>
    <n v="92000"/>
    <n v="10000"/>
    <n v="92000"/>
    <n v="92000"/>
    <n v="4"/>
    <x v="2"/>
    <n v="25.52"/>
    <n v="13"/>
    <x v="5"/>
    <s v="下落合駅"/>
    <n v="3"/>
    <n v="9"/>
    <n v="136411.03"/>
    <n v="95329.65"/>
    <n v="390"/>
    <n v="1622"/>
    <s v="20-30"/>
    <x v="7"/>
  </r>
  <r>
    <s v="https://suumo.jp/chintai/jnc_000104525310/?bc=100486291602"/>
    <s v="西武新宿線 下落合駅 7階建 築17年"/>
    <s v="東京都新宿区上落合１"/>
    <n v="94000"/>
    <n v="5000"/>
    <m/>
    <n v="94000"/>
    <n v="3"/>
    <x v="2"/>
    <n v="22.8"/>
    <n v="17"/>
    <x v="10"/>
    <s v="下落合駅"/>
    <n v="2"/>
    <n v="8"/>
    <n v="136411.03"/>
    <n v="95329.65"/>
    <n v="390"/>
    <n v="1622"/>
    <s v="20-30"/>
    <x v="7"/>
  </r>
  <r>
    <s v="https://suumo.jp/chintai/jnc_000103222838/?bc=100481490895"/>
    <s v="西武新宿線 下落合駅 7階建 築17年"/>
    <s v="東京都新宿区上落合１"/>
    <n v="88000"/>
    <n v="10000"/>
    <n v="88000"/>
    <n v="88000"/>
    <n v="4"/>
    <x v="2"/>
    <n v="24.37"/>
    <n v="17"/>
    <x v="10"/>
    <s v="下落合駅"/>
    <n v="2"/>
    <n v="8"/>
    <n v="136411.03"/>
    <n v="95329.65"/>
    <n v="390"/>
    <n v="1622"/>
    <s v="20-30"/>
    <x v="7"/>
  </r>
  <r>
    <s v="https://suumo.jp/chintai/jnc_000104249151/?bc=100484197693"/>
    <s v="西武新宿線 下落合駅 7階建 築18年"/>
    <s v="東京都新宿区中落合１"/>
    <n v="127000"/>
    <n v="15000"/>
    <m/>
    <m/>
    <n v="4"/>
    <x v="2"/>
    <n v="28.67"/>
    <n v="18"/>
    <x v="10"/>
    <s v="下落合駅"/>
    <n v="5"/>
    <n v="6"/>
    <n v="136411.03"/>
    <n v="95329.65"/>
    <n v="390"/>
    <n v="1622"/>
    <s v="20-30"/>
    <x v="7"/>
  </r>
  <r>
    <s v="https://suumo.jp/chintai/jnc_000103536082/?bc=100478274259"/>
    <s v="西武新宿線 下落合駅 7階建 築18年"/>
    <s v="東京都新宿区中落合１"/>
    <n v="120000"/>
    <n v="15000"/>
    <m/>
    <m/>
    <n v="6"/>
    <x v="2"/>
    <n v="28.82"/>
    <n v="18"/>
    <x v="10"/>
    <s v="下落合駅"/>
    <n v="5"/>
    <n v="7"/>
    <n v="136411.03"/>
    <n v="95329.65"/>
    <n v="390"/>
    <n v="1622"/>
    <s v="20-30"/>
    <x v="7"/>
  </r>
  <r>
    <s v="https://suumo.jp/chintai/jnc_000104509147/?bc=100486167183"/>
    <s v="西武新宿線 下落合駅 7階建 築23年"/>
    <s v="東京都新宿区上落合１"/>
    <n v="78000"/>
    <n v="8000"/>
    <n v="78000"/>
    <n v="78000"/>
    <n v="1"/>
    <x v="2"/>
    <n v="20.329999999999998"/>
    <n v="23"/>
    <x v="10"/>
    <s v="下落合駅"/>
    <n v="3"/>
    <n v="6"/>
    <n v="136411.03"/>
    <n v="95329.65"/>
    <n v="390"/>
    <n v="1622"/>
    <s v="20-30"/>
    <x v="1"/>
  </r>
  <r>
    <s v="https://suumo.jp/chintai/jnc_000104509148/?bc=100484086156"/>
    <s v="西武新宿線 下落合駅 7階建 築23年"/>
    <s v="東京都新宿区上落合１"/>
    <n v="79000"/>
    <n v="10000"/>
    <m/>
    <n v="79000"/>
    <n v="6"/>
    <x v="2"/>
    <n v="21.22"/>
    <n v="23"/>
    <x v="10"/>
    <s v="下落合駅"/>
    <n v="3"/>
    <n v="6"/>
    <n v="136411.03"/>
    <n v="95329.65"/>
    <n v="390"/>
    <n v="1622"/>
    <s v="20-30"/>
    <x v="1"/>
  </r>
  <r>
    <s v="https://suumo.jp/chintai/jnc_000104491570/?bc=100486051704"/>
    <s v="西武新宿線 下落合駅 9階建 築21年"/>
    <s v="東京都新宿区上落合２"/>
    <n v="90000"/>
    <n v="5000"/>
    <m/>
    <n v="90000"/>
    <n v="7"/>
    <x v="2"/>
    <n v="19.73"/>
    <n v="21"/>
    <x v="6"/>
    <s v="下落合駅"/>
    <n v="6"/>
    <n v="7.67"/>
    <n v="136411.03"/>
    <n v="95329.65"/>
    <n v="390"/>
    <n v="1622"/>
    <s v="10-20"/>
    <x v="1"/>
  </r>
  <r>
    <s v="https://suumo.jp/chintai/jnc_000104383629/?bc=100485215806"/>
    <s v="西武新宿線 下落合駅 9階建 築24年"/>
    <s v="東京都新宿区下落合４"/>
    <n v="92000"/>
    <n v="8000"/>
    <m/>
    <n v="92000"/>
    <n v="8"/>
    <x v="2"/>
    <n v="22.28"/>
    <n v="24"/>
    <x v="6"/>
    <s v="下落合駅"/>
    <n v="2"/>
    <n v="9"/>
    <n v="136411.03"/>
    <n v="95329.65"/>
    <n v="390"/>
    <n v="1622"/>
    <s v="20-30"/>
    <x v="1"/>
  </r>
  <r>
    <s v="https://suumo.jp/chintai/jnc_000104347523/?bc=100484951736"/>
    <s v="西武新宿線 下落合駅 9階建 築2年"/>
    <s v="東京都新宿区下落合１"/>
    <n v="125000"/>
    <n v="15000"/>
    <n v="125000"/>
    <n v="125000"/>
    <n v="3"/>
    <x v="2"/>
    <n v="26.22"/>
    <n v="2"/>
    <x v="6"/>
    <s v="下落合駅"/>
    <n v="5"/>
    <n v="8.67"/>
    <n v="136411.03"/>
    <n v="95329.65"/>
    <n v="390"/>
    <n v="1622"/>
    <s v="20-30"/>
    <x v="0"/>
  </r>
  <r>
    <s v="https://suumo.jp/chintai/jnc_000104411711/?bc=100485562262"/>
    <s v="西武新宿線 下落合駅 9階建 築6年"/>
    <s v="東京都新宿区中落合２"/>
    <n v="95500"/>
    <n v="12000"/>
    <n v="95500"/>
    <n v="95500"/>
    <n v="4"/>
    <x v="2"/>
    <n v="25.61"/>
    <n v="6"/>
    <x v="6"/>
    <s v="下落合駅"/>
    <n v="9"/>
    <n v="9.67"/>
    <n v="136411.03"/>
    <n v="95329.65"/>
    <n v="390"/>
    <n v="1622"/>
    <s v="20-30"/>
    <x v="0"/>
  </r>
  <r>
    <s v="https://suumo.jp/chintai/jnc_000104202523/?bc=100484093368"/>
    <s v="西武新宿線 下落合駅 9階建 築7年"/>
    <s v="東京都新宿区下落合１"/>
    <n v="125000"/>
    <n v="15000"/>
    <n v="125000"/>
    <n v="187500"/>
    <n v="6"/>
    <x v="2"/>
    <n v="31.08"/>
    <n v="7"/>
    <x v="6"/>
    <s v="下落合駅"/>
    <n v="5"/>
    <n v="10"/>
    <n v="136411.03"/>
    <n v="95329.65"/>
    <n v="390"/>
    <n v="1622"/>
    <s v="30-40"/>
    <x v="0"/>
  </r>
  <r>
    <s v="https://suumo.jp/chintai/jnc_000103409548/?bc=100480467926"/>
    <s v="西武新宿線 下落合駅 9階建 築7年"/>
    <s v="東京都新宿区下落合１"/>
    <n v="124000"/>
    <n v="15000"/>
    <n v="124000"/>
    <n v="186000"/>
    <n v="9"/>
    <x v="2"/>
    <n v="30.09"/>
    <n v="7"/>
    <x v="6"/>
    <s v="下落合駅"/>
    <n v="5"/>
    <n v="10"/>
    <n v="136411.03"/>
    <n v="95329.65"/>
    <n v="390"/>
    <n v="1622"/>
    <s v="30-40"/>
    <x v="0"/>
  </r>
  <r>
    <s v="https://suumo.jp/chintai/jnc_000104039399/?bc=100482424456"/>
    <s v="西武新宿線 下落合駅 地下1地上4階建 築27年"/>
    <s v="東京都新宿区中落合１"/>
    <n v="95000"/>
    <n v="5000"/>
    <n v="95000"/>
    <n v="95000"/>
    <n v="4"/>
    <x v="2"/>
    <n v="22"/>
    <n v="27"/>
    <x v="7"/>
    <s v="下落合駅"/>
    <n v="3"/>
    <n v="10.33"/>
    <n v="136411.03"/>
    <n v="95329.65"/>
    <n v="390"/>
    <n v="1622"/>
    <s v="20-30"/>
    <x v="1"/>
  </r>
  <r>
    <s v="https://suumo.jp/chintai/jnc_000100723342/?bc=100457738869"/>
    <s v="西武新宿線 下落合駅 地下1地上9階建 築7年"/>
    <s v="東京都新宿区中落合２"/>
    <n v="115000"/>
    <n v="15000"/>
    <m/>
    <n v="172500"/>
    <n v="4"/>
    <x v="2"/>
    <n v="25.84"/>
    <n v="7"/>
    <x v="1"/>
    <s v="下落合駅"/>
    <n v="11"/>
    <n v="12.67"/>
    <n v="136411.03"/>
    <n v="95329.65"/>
    <n v="390"/>
    <n v="1622"/>
    <s v="20-30"/>
    <x v="0"/>
  </r>
  <r>
    <s v="https://suumo.jp/chintai/jnc_000101653328/?bc=100484530678"/>
    <s v="西武新宿線 下落合駅 地下1地上9階建 築7年"/>
    <s v="東京都新宿区中落合２"/>
    <n v="120000"/>
    <n v="15000"/>
    <m/>
    <n v="120000"/>
    <n v="9"/>
    <x v="2"/>
    <n v="25.85"/>
    <n v="7"/>
    <x v="1"/>
    <s v="下落合駅"/>
    <n v="11"/>
    <n v="12.67"/>
    <n v="136411.03"/>
    <n v="95329.65"/>
    <n v="390"/>
    <n v="1622"/>
    <s v="20-30"/>
    <x v="0"/>
  </r>
  <r>
    <s v="https://suumo.jp/chintai/jnc_000104091506/?bc=100366531141"/>
    <s v="（No shower 風呂無し）椿荘"/>
    <s v="東京都新宿区高田馬場３"/>
    <n v="35000"/>
    <n v="1000"/>
    <n v="35000"/>
    <n v="35000"/>
    <n v="1"/>
    <x v="2"/>
    <n v="18"/>
    <n v="49"/>
    <x v="0"/>
    <s v="下落合駅"/>
    <n v="4"/>
    <n v="8"/>
    <n v="136411.03"/>
    <n v="95329.65"/>
    <n v="390"/>
    <n v="1622"/>
    <s v="10-20"/>
    <x v="3"/>
  </r>
  <r>
    <s v="https://suumo.jp/chintai/jnc_000104091510/?bc=100484096005"/>
    <s v="ＡＲＫＭＡＲＫ新宿下落合"/>
    <s v="東京都新宿区中落合２"/>
    <n v="105000"/>
    <n v="15000"/>
    <m/>
    <m/>
    <n v="4"/>
    <x v="2"/>
    <n v="25.52"/>
    <n v="4"/>
    <x v="4"/>
    <s v="下落合駅"/>
    <n v="10"/>
    <n v="11"/>
    <n v="136411.03"/>
    <n v="95329.65"/>
    <n v="390"/>
    <n v="1622"/>
    <s v="20-30"/>
    <x v="0"/>
  </r>
  <r>
    <s v="https://suumo.jp/chintai/jnc_000103447289/?bc=100485870090"/>
    <s v="Ｂｅｌｌｅ Ｖｉｌｌｅ 下落合"/>
    <s v="東京都新宿区下落合４"/>
    <n v="70000"/>
    <n v="5000"/>
    <n v="70000"/>
    <n v="70000"/>
    <n v="1"/>
    <x v="2"/>
    <n v="19.73"/>
    <n v="34"/>
    <x v="2"/>
    <s v="下落合駅"/>
    <n v="6"/>
    <n v="11"/>
    <n v="136411.03"/>
    <n v="95329.65"/>
    <n v="390"/>
    <n v="1622"/>
    <s v="10-20"/>
    <x v="4"/>
  </r>
  <r>
    <s v="https://suumo.jp/chintai/jnc_000104548543/?bc=100486432431"/>
    <s v="ＪＲ山手線 目白駅 2階建 築65年"/>
    <s v="東京都新宿区下落合４"/>
    <n v="65000"/>
    <n v="3000"/>
    <n v="65000"/>
    <m/>
    <n v="1"/>
    <x v="2"/>
    <n v="20"/>
    <n v="65"/>
    <x v="0"/>
    <s v="下落合駅"/>
    <n v="9"/>
    <n v="11"/>
    <n v="136411.03"/>
    <n v="95329.65"/>
    <n v="390"/>
    <n v="1622"/>
    <s v="20-30"/>
    <x v="2"/>
  </r>
  <r>
    <s v="https://suumo.jp/chintai/jnc_000104285641/?bc=100484575236"/>
    <s v="ＪＲ山手線 高田馬場駅 10階建 築17年"/>
    <s v="東京都新宿区下落合４"/>
    <n v="91000"/>
    <n v="8000"/>
    <m/>
    <n v="182000"/>
    <n v="4"/>
    <x v="2"/>
    <n v="20.79"/>
    <n v="17"/>
    <x v="1"/>
    <s v="下落合駅"/>
    <n v="5"/>
    <n v="10"/>
    <n v="136411.03"/>
    <n v="95329.65"/>
    <n v="390"/>
    <n v="1622"/>
    <s v="20-30"/>
    <x v="7"/>
  </r>
  <r>
    <s v="https://suumo.jp/chintai/jnc_000102457925/?bc=100037761056"/>
    <s v="ＪＲ山手線 高田馬場駅 2階建 築32年"/>
    <s v="東京都新宿区下落合４"/>
    <n v="58000"/>
    <n v="2000"/>
    <n v="58000"/>
    <n v="58000"/>
    <n v="1"/>
    <x v="2"/>
    <n v="17.39"/>
    <n v="32"/>
    <x v="0"/>
    <s v="下落合駅"/>
    <n v="6"/>
    <n v="11.67"/>
    <n v="136411.03"/>
    <n v="95329.65"/>
    <n v="390"/>
    <n v="1622"/>
    <s v="10-20"/>
    <x v="4"/>
  </r>
  <r>
    <s v="https://suumo.jp/chintai/jnc_000102457926/?bc=100469738941"/>
    <s v="ＪＲ山手線 高田馬場駅 2階建 築32年"/>
    <s v="東京都新宿区下落合４"/>
    <n v="60000"/>
    <n v="2000"/>
    <n v="60000"/>
    <n v="60000"/>
    <n v="2"/>
    <x v="2"/>
    <n v="17.39"/>
    <n v="32"/>
    <x v="0"/>
    <s v="下落合駅"/>
    <n v="6"/>
    <n v="11.67"/>
    <n v="136411.03"/>
    <n v="95329.65"/>
    <n v="390"/>
    <n v="1622"/>
    <s v="10-20"/>
    <x v="4"/>
  </r>
  <r>
    <s v="https://suumo.jp/chintai/jnc_000104049644/?bc=100482550808"/>
    <s v="ＪＲ山手線 高田馬場駅 7階建 築33年"/>
    <s v="東京都新宿区下落合１"/>
    <n v="84000"/>
    <n v="6000"/>
    <n v="84000"/>
    <n v="84000"/>
    <n v="2"/>
    <x v="2"/>
    <n v="16.95"/>
    <n v="33"/>
    <x v="10"/>
    <s v="下落合駅"/>
    <n v="3"/>
    <n v="5.67"/>
    <n v="136411.03"/>
    <n v="95329.65"/>
    <n v="390"/>
    <n v="1622"/>
    <s v="10-20"/>
    <x v="4"/>
  </r>
  <r>
    <s v="https://suumo.jp/chintai/jnc_000102117464/?bc=100472332037"/>
    <s v="ＪＲ山手線 高田馬場駅 8階建 築14年"/>
    <s v="東京都新宿区下落合１"/>
    <n v="133000"/>
    <n v="8000"/>
    <m/>
    <m/>
    <n v="1"/>
    <x v="2"/>
    <n v="25.46"/>
    <n v="14"/>
    <x v="9"/>
    <s v="下落合駅"/>
    <n v="1"/>
    <n v="8"/>
    <n v="136411.03"/>
    <n v="95329.65"/>
    <n v="390"/>
    <n v="1622"/>
    <s v="20-30"/>
    <x v="7"/>
  </r>
  <r>
    <s v="https://suumo.jp/chintai/jnc_000104316366/?bc=100484683008"/>
    <s v="ＪＲ山手線 高田馬場駅 8階建 築14年"/>
    <s v="東京都新宿区下落合１"/>
    <n v="144000"/>
    <n v="8000"/>
    <m/>
    <m/>
    <n v="4"/>
    <x v="2"/>
    <n v="25.46"/>
    <n v="14"/>
    <x v="9"/>
    <s v="下落合駅"/>
    <n v="1"/>
    <n v="8"/>
    <n v="136411.03"/>
    <n v="95329.65"/>
    <n v="390"/>
    <n v="1622"/>
    <s v="20-30"/>
    <x v="7"/>
  </r>
  <r>
    <s v="https://suumo.jp/chintai/jnc_000101792624/?bc=100463519300"/>
    <s v="ＪＲ山手線 高田馬場駅 8階建 築14年"/>
    <s v="東京都新宿区下落合１"/>
    <n v="145000"/>
    <n v="8000"/>
    <m/>
    <m/>
    <n v="6"/>
    <x v="2"/>
    <n v="25.11"/>
    <n v="14"/>
    <x v="9"/>
    <s v="下落合駅"/>
    <n v="1"/>
    <n v="8"/>
    <n v="136411.03"/>
    <n v="95329.65"/>
    <n v="390"/>
    <n v="1622"/>
    <s v="20-30"/>
    <x v="7"/>
  </r>
  <r>
    <s v="https://suumo.jp/chintai/jnc_000102159280/?bc=100479322061"/>
    <s v="ＪＲ山手線 高田馬場駅 8階建 築27年"/>
    <s v="東京都新宿区下落合４"/>
    <n v="78400"/>
    <n v="6600"/>
    <n v="78400"/>
    <n v="78400"/>
    <n v="7"/>
    <x v="2"/>
    <n v="18.46"/>
    <n v="27"/>
    <x v="9"/>
    <s v="下落合駅"/>
    <n v="3"/>
    <n v="9"/>
    <n v="136411.03"/>
    <n v="95329.65"/>
    <n v="390"/>
    <n v="1622"/>
    <s v="10-20"/>
    <x v="1"/>
  </r>
  <r>
    <s v="https://suumo.jp/chintai/jnc_000103649359/?bc=100479082717"/>
    <s v="ＪＲ山手線 高田馬場駅 9階建 築6年"/>
    <s v="東京都新宿区下落合１"/>
    <n v="112000"/>
    <n v="10000"/>
    <n v="112000"/>
    <n v="112000"/>
    <n v="8"/>
    <x v="2"/>
    <n v="26.22"/>
    <n v="6"/>
    <x v="6"/>
    <s v="下落合駅"/>
    <n v="4"/>
    <n v="6"/>
    <n v="136411.03"/>
    <n v="95329.65"/>
    <n v="390"/>
    <n v="1622"/>
    <s v="20-30"/>
    <x v="0"/>
  </r>
  <r>
    <s v="https://suumo.jp/chintai/jnc_000104341289/?bc=100484891215"/>
    <s v="ＪＲ山手線 高田馬場駅 9階建 築7年"/>
    <s v="東京都新宿区下落合１"/>
    <n v="108000"/>
    <n v="10000"/>
    <m/>
    <n v="108000"/>
    <n v="4"/>
    <x v="2"/>
    <n v="26.71"/>
    <n v="7"/>
    <x v="6"/>
    <s v="下落合駅"/>
    <n v="3"/>
    <n v="7.67"/>
    <n v="136411.03"/>
    <n v="95329.65"/>
    <n v="390"/>
    <n v="1622"/>
    <s v="20-30"/>
    <x v="0"/>
  </r>
  <r>
    <s v="https://suumo.jp/chintai/jnc_000103658017/?bc=100482568276"/>
    <s v="ＪＲ山手線 高田馬場駅 地下1地上4階建 新築"/>
    <s v="東京都新宿区高田馬場３"/>
    <n v="151000"/>
    <n v="10000"/>
    <m/>
    <m/>
    <n v="2"/>
    <x v="2"/>
    <n v="26.3"/>
    <n v="0"/>
    <x v="7"/>
    <s v="下落合駅"/>
    <n v="6"/>
    <n v="8"/>
    <n v="136411.03"/>
    <n v="95329.65"/>
    <n v="390"/>
    <n v="1622"/>
    <s v="20-30"/>
    <x v="6"/>
  </r>
  <r>
    <s v="https://suumo.jp/chintai/jnc_000103636274/?bc=100479269826"/>
    <s v="ＬｉｖｅＦｌａｔ高田馬場"/>
    <s v="東京都新宿区高田馬場３"/>
    <n v="151000"/>
    <n v="10000"/>
    <m/>
    <m/>
    <n v="2"/>
    <x v="2"/>
    <n v="26.3"/>
    <n v="0"/>
    <x v="7"/>
    <s v="下落合駅"/>
    <n v="6"/>
    <n v="8"/>
    <n v="136411.03"/>
    <n v="95329.65"/>
    <n v="390"/>
    <n v="1622"/>
    <s v="20-30"/>
    <x v="6"/>
  </r>
  <r>
    <s v="https://suumo.jp/chintai/jnc_000104156197/?bc=100483643131"/>
    <s v="Ｎ’ｓ　ＰＡＲＫ　Ｒｅｓｉｄｅｎｃｅ　高田馬場"/>
    <s v="東京都新宿区下落合１"/>
    <n v="124000"/>
    <n v="15000"/>
    <n v="124000"/>
    <n v="186000"/>
    <n v="6"/>
    <x v="2"/>
    <n v="30.09"/>
    <n v="7"/>
    <x v="6"/>
    <s v="下落合駅"/>
    <n v="5"/>
    <n v="10"/>
    <n v="136411.03"/>
    <n v="95329.65"/>
    <n v="390"/>
    <n v="1622"/>
    <s v="30-40"/>
    <x v="0"/>
  </r>
  <r>
    <s v="https://suumo.jp/chintai/jnc_000104156198/?bc=100485551420"/>
    <s v="Ｎ’ｓ　ＰＡＲＫ　Ｒｅｓｉｄｅｎｃｅ　高田馬場"/>
    <s v="東京都新宿区下落合１"/>
    <n v="125000"/>
    <n v="15000"/>
    <n v="125000"/>
    <n v="187500"/>
    <n v="6"/>
    <x v="2"/>
    <n v="31.08"/>
    <n v="7"/>
    <x v="6"/>
    <s v="下落合駅"/>
    <n v="5"/>
    <n v="10"/>
    <n v="136411.03"/>
    <n v="95329.65"/>
    <n v="390"/>
    <n v="1622"/>
    <s v="30-40"/>
    <x v="0"/>
  </r>
  <r>
    <s v="https://suumo.jp/chintai/jnc_000104003337/?bc=100482378212"/>
    <s v="Ｔ’ｓ　ＯＴＡＫＩＢＡＳＨＩ"/>
    <s v="東京都新宿区高田馬場３"/>
    <n v="85000"/>
    <m/>
    <n v="85000"/>
    <n v="85000"/>
    <n v="2"/>
    <x v="2"/>
    <n v="19.62"/>
    <n v="12"/>
    <x v="0"/>
    <s v="下落合駅"/>
    <n v="6"/>
    <n v="9.67"/>
    <n v="136411.03"/>
    <n v="95329.65"/>
    <n v="390"/>
    <n v="1622"/>
    <s v="10-20"/>
    <x v="7"/>
  </r>
  <r>
    <s v="https://suumo.jp/chintai/jnc_000103316451/?bc=100480124687"/>
    <s v="AZ Smart 目白御留山"/>
    <s v="東京都新宿区中落合２"/>
    <n v="202000"/>
    <n v="15000"/>
    <m/>
    <m/>
    <n v="2"/>
    <x v="3"/>
    <n v="40.049999999999997"/>
    <n v="2"/>
    <x v="4"/>
    <s v="下落合駅"/>
    <n v="4"/>
    <n v="10"/>
    <n v="136411.03"/>
    <n v="168453.81"/>
    <n v="390"/>
    <n v="788"/>
    <s v="40-50"/>
    <x v="0"/>
  </r>
  <r>
    <s v="https://suumo.jp/chintai/jnc_000100786321/?bc=100482094133"/>
    <s v="AZ Smart 目白御留山"/>
    <s v="東京都新宿区中落合２"/>
    <n v="214000"/>
    <n v="15000"/>
    <m/>
    <m/>
    <n v="-2"/>
    <x v="3"/>
    <n v="43.35"/>
    <n v="2"/>
    <x v="4"/>
    <s v="下落合駅"/>
    <n v="4"/>
    <n v="10"/>
    <n v="136411.03"/>
    <n v="168453.81"/>
    <n v="390"/>
    <n v="788"/>
    <s v="40-50"/>
    <x v="0"/>
  </r>
  <r>
    <s v="https://suumo.jp/chintai/jnc_000103277822/?bc=100477001681"/>
    <s v="CE LA VI 中落合"/>
    <s v="東京都新宿区中落合２"/>
    <n v="122000"/>
    <n v="3000"/>
    <m/>
    <n v="122000"/>
    <n v="1"/>
    <x v="3"/>
    <n v="34.19"/>
    <n v="5"/>
    <x v="2"/>
    <s v="下落合駅"/>
    <n v="9"/>
    <n v="11.67"/>
    <n v="136411.03"/>
    <n v="168453.81"/>
    <n v="390"/>
    <n v="788"/>
    <s v="30-40"/>
    <x v="0"/>
  </r>
  <r>
    <s v="https://suumo.jp/chintai/jnc_000104363196/?bc=100477032516"/>
    <s v="NOBEL中落合"/>
    <s v="東京都新宿区中落合２"/>
    <n v="188000"/>
    <n v="10500"/>
    <n v="188000"/>
    <n v="376000"/>
    <n v="1"/>
    <x v="3"/>
    <n v="51.16"/>
    <n v="0"/>
    <x v="2"/>
    <s v="下落合駅"/>
    <n v="10"/>
    <n v="10"/>
    <n v="136411.03"/>
    <n v="168453.81"/>
    <n v="390"/>
    <n v="788"/>
    <s v="50-60"/>
    <x v="6"/>
  </r>
  <r>
    <s v="https://suumo.jp/chintai/jnc_000103248525/?bc=100476956338"/>
    <s v="TOKIO下落合"/>
    <s v="東京都新宿区上落合１"/>
    <n v="147000"/>
    <n v="8000"/>
    <n v="147000"/>
    <n v="147000"/>
    <n v="4"/>
    <x v="3"/>
    <n v="38.950000000000003"/>
    <n v="8"/>
    <x v="7"/>
    <s v="下落合駅"/>
    <n v="2"/>
    <n v="8.33"/>
    <n v="136411.03"/>
    <n v="168453.81"/>
    <n v="390"/>
    <n v="788"/>
    <s v="30-40"/>
    <x v="0"/>
  </r>
  <r>
    <s v="https://suumo.jp/chintai/jnc_000102273871/?bc=100483744193"/>
    <s v="エミリブ下落合"/>
    <s v="東京都新宿区下落合１"/>
    <n v="225000"/>
    <n v="10000"/>
    <m/>
    <m/>
    <n v="6"/>
    <x v="3"/>
    <n v="40.340000000000003"/>
    <n v="14"/>
    <x v="9"/>
    <s v="下落合駅"/>
    <n v="1"/>
    <n v="9.33"/>
    <n v="136411.03"/>
    <n v="168453.81"/>
    <n v="390"/>
    <n v="788"/>
    <s v="40-50"/>
    <x v="7"/>
  </r>
  <r>
    <s v="https://suumo.jp/chintai/jnc_000102914341/?bc=100473610974"/>
    <s v="グレースフィオーレＡＫ"/>
    <s v="東京都新宿区下落合４"/>
    <n v="165000"/>
    <n v="8000"/>
    <n v="82500"/>
    <n v="165000"/>
    <n v="1"/>
    <x v="3"/>
    <n v="49.23"/>
    <n v="5"/>
    <x v="0"/>
    <s v="下落合駅"/>
    <n v="5"/>
    <n v="11"/>
    <n v="136411.03"/>
    <n v="168453.81"/>
    <n v="390"/>
    <n v="788"/>
    <s v="40-50"/>
    <x v="0"/>
  </r>
  <r>
    <s v="https://suumo.jp/chintai/jnc_000102914341/?bc=100473610974"/>
    <s v="グレースフィオーレＡＫ"/>
    <s v="東京都新宿区下落合４"/>
    <n v="165000"/>
    <n v="8000"/>
    <n v="82500"/>
    <n v="165000"/>
    <n v="2"/>
    <x v="3"/>
    <n v="49.23"/>
    <n v="5"/>
    <x v="0"/>
    <s v="下落合駅"/>
    <n v="5"/>
    <n v="11"/>
    <n v="136411.03"/>
    <n v="168453.81"/>
    <n v="390"/>
    <n v="788"/>
    <s v="40-50"/>
    <x v="0"/>
  </r>
  <r>
    <s v="https://suumo.jp/chintai/jnc_000102887610/?bc=100477207033"/>
    <s v="グレースフィオーレＡＫ"/>
    <s v="東京都新宿区下落合４"/>
    <n v="169000"/>
    <n v="6000"/>
    <n v="169000"/>
    <n v="169000"/>
    <n v="2"/>
    <x v="3"/>
    <n v="38.74"/>
    <n v="5"/>
    <x v="0"/>
    <s v="下落合駅"/>
    <n v="5"/>
    <n v="11"/>
    <n v="136411.03"/>
    <n v="168453.81"/>
    <n v="390"/>
    <n v="788"/>
    <s v="30-40"/>
    <x v="0"/>
  </r>
  <r>
    <s v="https://suumo.jp/chintai/jnc_000103129761/?bc=100473059124"/>
    <s v="コンフォリア下落合"/>
    <s v="東京都新宿区中落合２"/>
    <n v="163000"/>
    <n v="15000"/>
    <n v="163000"/>
    <m/>
    <n v="1"/>
    <x v="3"/>
    <n v="44.93"/>
    <n v="21"/>
    <x v="7"/>
    <s v="下落合駅"/>
    <n v="3"/>
    <n v="9.67"/>
    <n v="136411.03"/>
    <n v="168453.81"/>
    <n v="390"/>
    <n v="788"/>
    <s v="40-50"/>
    <x v="1"/>
  </r>
  <r>
    <s v="https://suumo.jp/chintai/jnc_000103578617/?bc=100478725919"/>
    <s v="コンフォリア下落合"/>
    <s v="東京都新宿区中落合２"/>
    <n v="165000"/>
    <n v="15000"/>
    <n v="165000"/>
    <m/>
    <n v="3"/>
    <x v="3"/>
    <n v="40.950000000000003"/>
    <n v="21"/>
    <x v="7"/>
    <s v="下落合駅"/>
    <n v="3"/>
    <n v="9.67"/>
    <n v="136411.03"/>
    <n v="168453.81"/>
    <n v="390"/>
    <n v="788"/>
    <s v="40-50"/>
    <x v="1"/>
  </r>
  <r>
    <s v="https://suumo.jp/chintai/jnc_000103937409/?bc=100481831447"/>
    <s v="サンクタスデュオ下落合"/>
    <s v="東京都新宿区上落合１"/>
    <n v="165000"/>
    <n v="13000"/>
    <n v="165000"/>
    <n v="165000"/>
    <n v="7"/>
    <x v="3"/>
    <n v="40.04"/>
    <n v="28"/>
    <x v="1"/>
    <s v="下落合駅"/>
    <n v="6"/>
    <n v="11.33"/>
    <n v="136411.03"/>
    <n v="168453.81"/>
    <n v="390"/>
    <n v="788"/>
    <s v="40-50"/>
    <x v="1"/>
  </r>
  <r>
    <s v="https://suumo.jp/chintai/jnc_000104411709/?bc=100485453366"/>
    <s v="シーズンフラッツ高田馬場リバーサイド"/>
    <s v="東京都新宿区高田馬場３"/>
    <n v="205000"/>
    <n v="15000"/>
    <m/>
    <m/>
    <n v="6"/>
    <x v="3"/>
    <n v="42.12"/>
    <n v="4"/>
    <x v="5"/>
    <s v="下落合駅"/>
    <n v="7"/>
    <n v="10.33"/>
    <n v="136411.03"/>
    <n v="168453.81"/>
    <n v="390"/>
    <n v="788"/>
    <s v="40-50"/>
    <x v="0"/>
  </r>
  <r>
    <s v="https://suumo.jp/chintai/jnc_000104464219/?bc=100486223670"/>
    <s v="シーズンフラッツ高田馬場リバーサイドサウス"/>
    <s v="東京都新宿区高田馬場３"/>
    <n v="143000"/>
    <n v="10000"/>
    <m/>
    <m/>
    <n v="2"/>
    <x v="3"/>
    <n v="28.32"/>
    <n v="4"/>
    <x v="5"/>
    <s v="下落合駅"/>
    <n v="7"/>
    <n v="11"/>
    <n v="136411.03"/>
    <n v="168453.81"/>
    <n v="390"/>
    <n v="788"/>
    <s v="20-30"/>
    <x v="0"/>
  </r>
  <r>
    <s v="https://suumo.jp/chintai/jnc_000104107326/?bc=100483336748"/>
    <s v="シーズンフラッツ高田馬場リバーサイドサウス"/>
    <s v="東京都新宿区高田馬場３"/>
    <n v="150000"/>
    <n v="10000"/>
    <m/>
    <m/>
    <n v="2"/>
    <x v="3"/>
    <n v="30.48"/>
    <n v="4"/>
    <x v="5"/>
    <s v="下落合駅"/>
    <n v="7"/>
    <n v="11"/>
    <n v="136411.03"/>
    <n v="168453.81"/>
    <n v="390"/>
    <n v="788"/>
    <s v="30-40"/>
    <x v="0"/>
  </r>
  <r>
    <s v="https://suumo.jp/chintai/jnc_000103222867/?bc=100477569060"/>
    <s v="シーズンフラッツ高田馬場リバーサイドサウス"/>
    <s v="東京都新宿区高田馬場３"/>
    <n v="149000"/>
    <n v="10000"/>
    <m/>
    <m/>
    <n v="3"/>
    <x v="3"/>
    <n v="30.48"/>
    <n v="4"/>
    <x v="5"/>
    <s v="下落合駅"/>
    <n v="7"/>
    <n v="11"/>
    <n v="136411.03"/>
    <n v="168453.81"/>
    <n v="390"/>
    <n v="788"/>
    <s v="30-40"/>
    <x v="0"/>
  </r>
  <r>
    <s v="https://suumo.jp/chintai/jnc_000102493099/?bc=100476000024"/>
    <s v="シーズンフラッツ高田馬場リバーサイドサウス"/>
    <s v="東京都新宿区高田馬場３"/>
    <n v="150000"/>
    <n v="10000"/>
    <m/>
    <m/>
    <n v="3"/>
    <x v="3"/>
    <n v="30.82"/>
    <n v="4"/>
    <x v="5"/>
    <s v="下落合駅"/>
    <n v="7"/>
    <n v="11"/>
    <n v="136411.03"/>
    <n v="168453.81"/>
    <n v="390"/>
    <n v="788"/>
    <s v="30-40"/>
    <x v="0"/>
  </r>
  <r>
    <s v="https://suumo.jp/chintai/jnc_000104347538/?bc=100485105281"/>
    <s v="シーズンフラッツ高田馬場リバーサイドサウス"/>
    <s v="東京都新宿区高田馬場３"/>
    <n v="205000"/>
    <n v="15000"/>
    <m/>
    <m/>
    <n v="6"/>
    <x v="3"/>
    <n v="42.12"/>
    <n v="4"/>
    <x v="5"/>
    <s v="下落合駅"/>
    <n v="7"/>
    <n v="11"/>
    <n v="136411.03"/>
    <n v="168453.81"/>
    <n v="390"/>
    <n v="788"/>
    <s v="40-50"/>
    <x v="0"/>
  </r>
  <r>
    <s v="https://suumo.jp/chintai/jnc_000102966657/?bc=100484537315"/>
    <s v="シーズンフラッツ高田馬場リバーサイドノース"/>
    <s v="東京都新宿区高田馬場３"/>
    <n v="142000"/>
    <n v="10000"/>
    <m/>
    <m/>
    <n v="3"/>
    <x v="3"/>
    <n v="28.77"/>
    <n v="4"/>
    <x v="5"/>
    <s v="下落合駅"/>
    <n v="7"/>
    <n v="10.33"/>
    <n v="136411.03"/>
    <n v="168453.81"/>
    <n v="390"/>
    <n v="788"/>
    <s v="20-30"/>
    <x v="0"/>
  </r>
  <r>
    <s v="https://suumo.jp/chintai/jnc_000096531990/?bc=100445881939"/>
    <s v="ジェノヴィア新宿中落合スカイガーデン"/>
    <s v="東京都新宿区中落合２"/>
    <n v="217000"/>
    <n v="11000"/>
    <m/>
    <n v="217000"/>
    <n v="1"/>
    <x v="3"/>
    <n v="45.4"/>
    <n v="7"/>
    <x v="1"/>
    <s v="下落合駅"/>
    <n v="9"/>
    <n v="9.33"/>
    <n v="136411.03"/>
    <n v="168453.81"/>
    <n v="390"/>
    <n v="788"/>
    <s v="40-50"/>
    <x v="0"/>
  </r>
  <r>
    <s v="https://suumo.jp/chintai/jnc_000096531989/?bc=100454132291"/>
    <s v="ジェノヴィア新宿中落合スカイガーデン"/>
    <s v="東京都新宿区中落合２"/>
    <n v="218000"/>
    <n v="11000"/>
    <m/>
    <n v="218000"/>
    <n v="1"/>
    <x v="3"/>
    <n v="46.83"/>
    <n v="7"/>
    <x v="1"/>
    <s v="下落合駅"/>
    <n v="9"/>
    <n v="9.33"/>
    <n v="136411.03"/>
    <n v="168453.81"/>
    <n v="390"/>
    <n v="788"/>
    <s v="40-50"/>
    <x v="0"/>
  </r>
  <r>
    <s v="https://suumo.jp/chintai/jnc_000102212663/?bc=100458507814"/>
    <s v="ジニア新宿中落合"/>
    <s v="東京都新宿区中落合２"/>
    <n v="177000"/>
    <n v="10000"/>
    <n v="177000"/>
    <m/>
    <n v="1"/>
    <x v="3"/>
    <n v="39.97"/>
    <n v="3"/>
    <x v="2"/>
    <s v="下落合駅"/>
    <n v="6"/>
    <n v="10.33"/>
    <n v="136411.03"/>
    <n v="168453.81"/>
    <n v="390"/>
    <n v="788"/>
    <s v="30-40"/>
    <x v="0"/>
  </r>
  <r>
    <s v="https://suumo.jp/chintai/jnc_000101472306/?bc=100460643251"/>
    <s v="ジニア新宿中落合"/>
    <s v="東京都新宿区中落合２"/>
    <n v="177000"/>
    <n v="10000"/>
    <m/>
    <m/>
    <n v="-1"/>
    <x v="3"/>
    <n v="39.97"/>
    <n v="3"/>
    <x v="2"/>
    <s v="下落合駅"/>
    <n v="6"/>
    <n v="10.33"/>
    <n v="136411.03"/>
    <n v="168453.81"/>
    <n v="390"/>
    <n v="788"/>
    <s v="30-40"/>
    <x v="0"/>
  </r>
  <r>
    <s v="https://suumo.jp/chintai/jnc_000103473420/?bc=100477982683"/>
    <s v="デュオステージ下落合"/>
    <s v="東京都新宿区中落合１"/>
    <n v="143000"/>
    <n v="10000"/>
    <n v="143000"/>
    <n v="143000"/>
    <n v="2"/>
    <x v="3"/>
    <n v="33.6"/>
    <n v="4"/>
    <x v="5"/>
    <s v="下落合駅"/>
    <n v="5"/>
    <n v="9.67"/>
    <n v="136411.03"/>
    <n v="168453.81"/>
    <n v="390"/>
    <n v="788"/>
    <s v="30-40"/>
    <x v="0"/>
  </r>
  <r>
    <s v="https://suumo.jp/chintai/jnc_000101837149/?bc=100476150094"/>
    <s v="ノブレス上落合"/>
    <s v="東京都新宿区上落合１"/>
    <n v="120000"/>
    <n v="8000"/>
    <n v="120000"/>
    <n v="120000"/>
    <n v="2"/>
    <x v="3"/>
    <n v="30.03"/>
    <n v="11"/>
    <x v="7"/>
    <s v="下落合駅"/>
    <n v="4"/>
    <n v="10"/>
    <n v="136411.03"/>
    <n v="168453.81"/>
    <n v="390"/>
    <n v="788"/>
    <s v="30-40"/>
    <x v="7"/>
  </r>
  <r>
    <s v="https://suumo.jp/chintai/jnc_000104548553/?bc=100486433732"/>
    <s v="フェニックス高田馬場"/>
    <s v="東京都新宿区高田馬場３"/>
    <n v="132000"/>
    <n v="16000"/>
    <n v="132000"/>
    <n v="132000"/>
    <n v="3"/>
    <x v="3"/>
    <n v="39.770000000000003"/>
    <n v="27"/>
    <x v="9"/>
    <s v="下落合駅"/>
    <n v="9"/>
    <n v="10.33"/>
    <n v="136411.03"/>
    <n v="168453.81"/>
    <n v="390"/>
    <n v="788"/>
    <s v="30-40"/>
    <x v="1"/>
  </r>
  <r>
    <s v="https://suumo.jp/chintai/jnc_000104003345/?bc=100473682899"/>
    <s v="プレール・ドゥーク新宿中落合"/>
    <s v="東京都新宿区中落合２"/>
    <n v="210000"/>
    <n v="10000"/>
    <m/>
    <m/>
    <n v="4"/>
    <x v="3"/>
    <n v="51.04"/>
    <n v="15"/>
    <x v="7"/>
    <s v="下落合駅"/>
    <n v="3"/>
    <n v="10.33"/>
    <n v="136411.03"/>
    <n v="168453.81"/>
    <n v="390"/>
    <n v="788"/>
    <s v="50-60"/>
    <x v="7"/>
  </r>
  <r>
    <s v="https://suumo.jp/chintai/jnc_000102948022/?bc=100473769305"/>
    <s v="プレール・ドゥーク新宿中落合"/>
    <s v="東京都新宿区中落合２"/>
    <n v="260000"/>
    <n v="10000"/>
    <m/>
    <m/>
    <n v="4"/>
    <x v="3"/>
    <n v="51.04"/>
    <n v="15"/>
    <x v="7"/>
    <s v="下落合駅"/>
    <n v="3"/>
    <n v="10.33"/>
    <n v="136411.03"/>
    <n v="168453.81"/>
    <n v="390"/>
    <n v="788"/>
    <s v="50-60"/>
    <x v="7"/>
  </r>
  <r>
    <s v="https://suumo.jp/chintai/jnc_000104540968/?bc=100411172241"/>
    <s v="マンションニューライフ落合"/>
    <s v="東京都新宿区中落合１"/>
    <n v="110000"/>
    <m/>
    <n v="110000"/>
    <n v="110000"/>
    <n v="1"/>
    <x v="3"/>
    <n v="42.35"/>
    <n v="47"/>
    <x v="4"/>
    <s v="下落合駅"/>
    <n v="2"/>
    <n v="8.33"/>
    <n v="136411.03"/>
    <n v="168453.81"/>
    <n v="390"/>
    <n v="788"/>
    <s v="40-50"/>
    <x v="3"/>
  </r>
  <r>
    <s v="https://suumo.jp/chintai/jnc_000104326033/?bc=100484783504"/>
    <s v="ラポール落合"/>
    <s v="東京都新宿区中落合２"/>
    <n v="150000"/>
    <n v="9000"/>
    <n v="150000"/>
    <n v="225000"/>
    <n v="1"/>
    <x v="3"/>
    <n v="41.49"/>
    <n v="6"/>
    <x v="2"/>
    <s v="下落合駅"/>
    <n v="10"/>
    <n v="10.67"/>
    <n v="136411.03"/>
    <n v="168453.81"/>
    <n v="390"/>
    <n v="788"/>
    <s v="40-50"/>
    <x v="0"/>
  </r>
  <r>
    <s v="https://suumo.jp/chintai/jnc_000103542038/?bc=100478450992"/>
    <s v="リヴィコート下落合"/>
    <s v="東京都新宿区下落合１"/>
    <n v="144000"/>
    <n v="10000"/>
    <n v="144000"/>
    <m/>
    <n v="2"/>
    <x v="3"/>
    <n v="32.04"/>
    <n v="3"/>
    <x v="5"/>
    <s v="下落合駅"/>
    <n v="1"/>
    <n v="10"/>
    <n v="136411.03"/>
    <n v="168453.81"/>
    <n v="390"/>
    <n v="788"/>
    <s v="30-40"/>
    <x v="0"/>
  </r>
  <r>
    <s v="https://suumo.jp/chintai/jnc_000103542039/?bc=100483893685"/>
    <s v="リヴィコート下落合"/>
    <s v="東京都新宿区下落合１"/>
    <n v="145000"/>
    <n v="10000"/>
    <n v="145000"/>
    <m/>
    <n v="3"/>
    <x v="3"/>
    <n v="32.04"/>
    <n v="3"/>
    <x v="5"/>
    <s v="下落合駅"/>
    <n v="1"/>
    <n v="10"/>
    <n v="136411.03"/>
    <n v="168453.81"/>
    <n v="390"/>
    <n v="788"/>
    <s v="30-40"/>
    <x v="0"/>
  </r>
  <r>
    <s v="https://suumo.jp/chintai/jnc_000104398989/?bc=100485333156"/>
    <s v="ルクレ目白西坂"/>
    <s v="東京都新宿区中落合２"/>
    <n v="165000"/>
    <n v="15000"/>
    <m/>
    <m/>
    <n v="1"/>
    <x v="3"/>
    <n v="39.83"/>
    <n v="4"/>
    <x v="4"/>
    <s v="下落合駅"/>
    <n v="4"/>
    <n v="11"/>
    <n v="136411.03"/>
    <n v="168453.81"/>
    <n v="390"/>
    <n v="788"/>
    <s v="30-40"/>
    <x v="0"/>
  </r>
  <r>
    <s v="https://suumo.jp/chintai/jnc_000104196099/?bc=100481847160"/>
    <s v="ルクレ目白西坂"/>
    <s v="東京都新宿区中落合２"/>
    <n v="165000"/>
    <n v="15000"/>
    <m/>
    <m/>
    <n v="-1"/>
    <x v="3"/>
    <n v="39.83"/>
    <n v="4"/>
    <x v="4"/>
    <s v="下落合駅"/>
    <n v="4"/>
    <n v="10.67"/>
    <n v="136411.03"/>
    <n v="168453.81"/>
    <n v="390"/>
    <n v="788"/>
    <s v="30-40"/>
    <x v="0"/>
  </r>
  <r>
    <s v="https://suumo.jp/chintai/jnc_000102238509/?bc=100475152159"/>
    <s v="レジディア中落合"/>
    <s v="東京都新宿区中落合１"/>
    <n v="152000"/>
    <n v="20000"/>
    <n v="152000"/>
    <m/>
    <n v="5"/>
    <x v="3"/>
    <n v="41.05"/>
    <n v="18"/>
    <x v="10"/>
    <s v="下落合駅"/>
    <n v="5"/>
    <n v="7.33"/>
    <n v="136411.03"/>
    <n v="168453.81"/>
    <n v="390"/>
    <n v="788"/>
    <s v="40-50"/>
    <x v="7"/>
  </r>
  <r>
    <s v="https://suumo.jp/chintai/jnc_000103649371/?bc=100479809876"/>
    <s v="レジディア中落合"/>
    <s v="東京都新宿区中落合１"/>
    <n v="163000"/>
    <n v="20000"/>
    <n v="163000"/>
    <n v="163000"/>
    <n v="7"/>
    <x v="3"/>
    <n v="42.56"/>
    <n v="18"/>
    <x v="10"/>
    <s v="下落合駅"/>
    <n v="5"/>
    <n v="7.33"/>
    <n v="136411.03"/>
    <n v="168453.81"/>
    <n v="390"/>
    <n v="788"/>
    <s v="40-50"/>
    <x v="7"/>
  </r>
  <r>
    <s v="https://suumo.jp/chintai/jnc_000101837169/?bc=100463669960"/>
    <s v="中落合２丁目ハウス"/>
    <s v="東京都新宿区中落合２"/>
    <n v="120000"/>
    <m/>
    <m/>
    <n v="120000"/>
    <n v="1"/>
    <x v="3"/>
    <n v="41.4"/>
    <n v="45"/>
    <x v="0"/>
    <s v="下落合駅"/>
    <n v="7"/>
    <n v="9"/>
    <n v="136411.03"/>
    <n v="168453.81"/>
    <n v="390"/>
    <n v="788"/>
    <s v="40-50"/>
    <x v="3"/>
  </r>
  <r>
    <s v="https://suumo.jp/chintai/jnc_000103937410/?bc=100486174963"/>
    <s v="西武新宿線 下落合駅 10階建 築28年"/>
    <s v="東京都新宿区上落合１"/>
    <n v="165000"/>
    <n v="13000"/>
    <n v="165000"/>
    <n v="165000"/>
    <n v="7"/>
    <x v="3"/>
    <n v="40.04"/>
    <n v="28"/>
    <x v="1"/>
    <s v="下落合駅"/>
    <n v="6"/>
    <n v="9.67"/>
    <n v="136411.03"/>
    <n v="168453.81"/>
    <n v="390"/>
    <n v="788"/>
    <s v="40-50"/>
    <x v="1"/>
  </r>
  <r>
    <s v="https://suumo.jp/chintai/jnc_000103454060/?bc=100477615018"/>
    <s v="西武新宿線 下落合駅 2階建 築2年"/>
    <s v="東京都新宿区下落合４"/>
    <n v="152000"/>
    <n v="10000"/>
    <n v="152000"/>
    <n v="152000"/>
    <n v="2"/>
    <x v="3"/>
    <n v="31.63"/>
    <n v="2"/>
    <x v="0"/>
    <s v="下落合駅"/>
    <n v="3"/>
    <n v="10.67"/>
    <n v="136411.03"/>
    <n v="168453.81"/>
    <n v="390"/>
    <n v="788"/>
    <s v="30-40"/>
    <x v="0"/>
  </r>
  <r>
    <s v="https://suumo.jp/chintai/jnc_000104186395/?bc=100483625637"/>
    <s v="西武新宿線 下落合駅 2階建 築2年"/>
    <s v="東京都新宿区中落合２"/>
    <n v="202000"/>
    <n v="15000"/>
    <m/>
    <m/>
    <n v="2"/>
    <x v="3"/>
    <n v="40.049999999999997"/>
    <n v="2"/>
    <x v="0"/>
    <s v="下落合駅"/>
    <n v="4"/>
    <n v="10.67"/>
    <n v="136411.03"/>
    <n v="168453.81"/>
    <n v="390"/>
    <n v="788"/>
    <s v="40-50"/>
    <x v="0"/>
  </r>
  <r>
    <s v="https://suumo.jp/chintai/jnc_000102352469/?bc=100453592589"/>
    <s v="西武新宿線 下落合駅 2階建 築2年"/>
    <s v="東京都新宿区中落合２"/>
    <n v="214000"/>
    <n v="15000"/>
    <m/>
    <m/>
    <n v="-2"/>
    <x v="3"/>
    <n v="43.35"/>
    <n v="2"/>
    <x v="0"/>
    <s v="下落合駅"/>
    <n v="4"/>
    <n v="10.67"/>
    <n v="136411.03"/>
    <n v="168453.81"/>
    <n v="390"/>
    <n v="788"/>
    <s v="40-50"/>
    <x v="0"/>
  </r>
  <r>
    <s v="https://suumo.jp/chintai/jnc_000102932232/?bc=100483911624"/>
    <s v="西武新宿線 下落合駅 2階建 築5年"/>
    <s v="東京都新宿区下落合４"/>
    <n v="165000"/>
    <n v="8000"/>
    <n v="82500"/>
    <n v="165000"/>
    <n v="1"/>
    <x v="3"/>
    <n v="49.23"/>
    <n v="5"/>
    <x v="0"/>
    <s v="下落合駅"/>
    <n v="5"/>
    <n v="11"/>
    <n v="136411.03"/>
    <n v="168453.81"/>
    <n v="390"/>
    <n v="788"/>
    <s v="40-50"/>
    <x v="0"/>
  </r>
  <r>
    <s v="https://suumo.jp/chintai/jnc_000102932232/?bc=100483911624"/>
    <s v="西武新宿線 下落合駅 2階建 築5年"/>
    <s v="東京都新宿区下落合４"/>
    <n v="165000"/>
    <n v="8000"/>
    <n v="82500"/>
    <n v="165000"/>
    <n v="2"/>
    <x v="3"/>
    <n v="49.23"/>
    <n v="5"/>
    <x v="0"/>
    <s v="下落合駅"/>
    <n v="5"/>
    <n v="11"/>
    <n v="136411.03"/>
    <n v="168453.81"/>
    <n v="390"/>
    <n v="788"/>
    <s v="40-50"/>
    <x v="0"/>
  </r>
  <r>
    <s v="https://suumo.jp/chintai/jnc_000102932233/?bc=100485197624"/>
    <s v="西武新宿線 下落合駅 2階建 築5年"/>
    <s v="東京都新宿区下落合４"/>
    <n v="169000"/>
    <n v="6000"/>
    <n v="84500"/>
    <n v="84500"/>
    <n v="2"/>
    <x v="3"/>
    <n v="38.74"/>
    <n v="5"/>
    <x v="0"/>
    <s v="下落合駅"/>
    <n v="5"/>
    <n v="11"/>
    <n v="136411.03"/>
    <n v="168453.81"/>
    <n v="390"/>
    <n v="788"/>
    <s v="30-40"/>
    <x v="0"/>
  </r>
  <r>
    <s v="https://suumo.jp/chintai/jnc_000101505111/?bc=100459980503"/>
    <s v="西武新宿線 下落合駅 3階建 築3年"/>
    <s v="東京都新宿区中落合２"/>
    <n v="177000"/>
    <n v="10000"/>
    <m/>
    <m/>
    <n v="1"/>
    <x v="3"/>
    <n v="39.97"/>
    <n v="3"/>
    <x v="2"/>
    <s v="下落合駅"/>
    <n v="6"/>
    <n v="10"/>
    <n v="136411.03"/>
    <n v="168453.81"/>
    <n v="390"/>
    <n v="788"/>
    <s v="30-40"/>
    <x v="0"/>
  </r>
  <r>
    <s v="https://suumo.jp/chintai/jnc_000103277823/?bc=100481241435"/>
    <s v="西武新宿線 下落合駅 3階建 築4年"/>
    <s v="東京都新宿区中落合２"/>
    <n v="122000"/>
    <n v="3000"/>
    <m/>
    <n v="122000"/>
    <n v="1"/>
    <x v="3"/>
    <n v="34.19"/>
    <n v="4"/>
    <x v="2"/>
    <s v="下落合駅"/>
    <n v="9"/>
    <n v="11.33"/>
    <n v="136411.03"/>
    <n v="168453.81"/>
    <n v="390"/>
    <n v="788"/>
    <s v="30-40"/>
    <x v="0"/>
  </r>
  <r>
    <s v="https://suumo.jp/chintai/jnc_000104334640/?bc=100484819928"/>
    <s v="西武新宿線 下落合駅 3階建 築6年"/>
    <s v="東京都新宿区中落合２"/>
    <n v="150000"/>
    <n v="9000"/>
    <n v="150000"/>
    <n v="225000"/>
    <n v="1"/>
    <x v="3"/>
    <n v="41.49"/>
    <n v="6"/>
    <x v="2"/>
    <s v="下落合駅"/>
    <n v="10"/>
    <n v="10.67"/>
    <n v="136411.03"/>
    <n v="168453.81"/>
    <n v="390"/>
    <n v="788"/>
    <s v="40-50"/>
    <x v="0"/>
  </r>
  <r>
    <s v="https://suumo.jp/chintai/jnc_000103994036/?bc=100484661527"/>
    <s v="西武新宿線 下落合駅 3階建 築7年"/>
    <s v="東京都新宿区上落合１"/>
    <n v="154000"/>
    <n v="6000"/>
    <n v="154000"/>
    <n v="231000"/>
    <n v="2"/>
    <x v="3"/>
    <n v="43.75"/>
    <n v="7"/>
    <x v="2"/>
    <s v="下落合駅"/>
    <n v="6"/>
    <n v="11"/>
    <n v="136411.03"/>
    <n v="168453.81"/>
    <n v="390"/>
    <n v="788"/>
    <s v="40-50"/>
    <x v="0"/>
  </r>
  <r>
    <s v="https://suumo.jp/chintai/jnc_000104363170/?bc=100485043067"/>
    <s v="西武新宿線 下落合駅 4階建 築4年"/>
    <s v="東京都新宿区上落合１"/>
    <n v="148000"/>
    <n v="5000"/>
    <n v="148000"/>
    <n v="148000"/>
    <n v="3"/>
    <x v="3"/>
    <n v="37.32"/>
    <n v="4"/>
    <x v="4"/>
    <s v="下落合駅"/>
    <n v="4"/>
    <n v="6.33"/>
    <n v="136411.03"/>
    <n v="168453.81"/>
    <n v="390"/>
    <n v="788"/>
    <s v="30-40"/>
    <x v="0"/>
  </r>
  <r>
    <s v="https://suumo.jp/chintai/jnc_000103161361/?bc=100479205098"/>
    <s v="西武新宿線 下落合駅 5階建 築21年"/>
    <s v="東京都新宿区中落合２"/>
    <n v="163000"/>
    <n v="15000"/>
    <n v="163000"/>
    <m/>
    <n v="1"/>
    <x v="3"/>
    <n v="44.93"/>
    <n v="21"/>
    <x v="7"/>
    <s v="下落合駅"/>
    <n v="3"/>
    <n v="11"/>
    <n v="136411.03"/>
    <n v="168453.81"/>
    <n v="390"/>
    <n v="788"/>
    <s v="40-50"/>
    <x v="1"/>
  </r>
  <r>
    <s v="https://suumo.jp/chintai/jnc_000103585736/?bc=100479269824"/>
    <s v="西武新宿線 下落合駅 5階建 築21年"/>
    <s v="東京都新宿区中落合２"/>
    <n v="165000"/>
    <n v="15000"/>
    <n v="165000"/>
    <m/>
    <n v="3"/>
    <x v="3"/>
    <n v="40.950000000000003"/>
    <n v="21"/>
    <x v="7"/>
    <s v="下落合駅"/>
    <n v="3"/>
    <n v="11"/>
    <n v="136411.03"/>
    <n v="168453.81"/>
    <n v="390"/>
    <n v="788"/>
    <s v="40-50"/>
    <x v="1"/>
  </r>
  <r>
    <s v="https://suumo.jp/chintai/jnc_000090804512/?bc=100481489930"/>
    <s v="西武新宿線 下落合駅 6階建 築3年"/>
    <s v="東京都新宿区下落合１"/>
    <n v="144000"/>
    <n v="10000"/>
    <n v="144000"/>
    <m/>
    <n v="2"/>
    <x v="3"/>
    <n v="32.04"/>
    <n v="3"/>
    <x v="5"/>
    <s v="下落合駅"/>
    <n v="1"/>
    <n v="8.67"/>
    <n v="136411.03"/>
    <n v="168453.81"/>
    <n v="390"/>
    <n v="788"/>
    <s v="30-40"/>
    <x v="0"/>
  </r>
  <r>
    <s v="https://suumo.jp/chintai/jnc_000103557388/?bc=100483125053"/>
    <s v="西武新宿線 下落合駅 6階建 築3年"/>
    <s v="東京都新宿区下落合１"/>
    <n v="145000"/>
    <n v="10000"/>
    <n v="145000"/>
    <m/>
    <n v="3"/>
    <x v="3"/>
    <n v="32.04"/>
    <n v="3"/>
    <x v="5"/>
    <s v="下落合駅"/>
    <n v="1"/>
    <n v="8.67"/>
    <n v="136411.03"/>
    <n v="168453.81"/>
    <n v="390"/>
    <n v="788"/>
    <s v="30-40"/>
    <x v="0"/>
  </r>
  <r>
    <s v="https://suumo.jp/chintai/jnc_000103487237/?bc=100478381172"/>
    <s v="西武新宿線 下落合駅 6階建 築4年"/>
    <s v="東京都新宿区中落合１"/>
    <n v="143000"/>
    <n v="10000"/>
    <n v="143000"/>
    <n v="143000"/>
    <n v="2"/>
    <x v="3"/>
    <n v="33.6"/>
    <n v="4"/>
    <x v="5"/>
    <s v="下落合駅"/>
    <n v="5"/>
    <n v="8"/>
    <n v="136411.03"/>
    <n v="168453.81"/>
    <n v="390"/>
    <n v="788"/>
    <s v="30-40"/>
    <x v="0"/>
  </r>
  <r>
    <s v="https://suumo.jp/chintai/jnc_000103654510/?bc=100479404937"/>
    <s v="西武新宿線 下落合駅 7階建 築18年"/>
    <s v="東京都新宿区中落合１"/>
    <n v="163000"/>
    <n v="20000"/>
    <n v="163000"/>
    <n v="163000"/>
    <n v="7"/>
    <x v="3"/>
    <n v="42.56"/>
    <n v="18"/>
    <x v="10"/>
    <s v="下落合駅"/>
    <n v="5"/>
    <n v="6"/>
    <n v="136411.03"/>
    <n v="168453.81"/>
    <n v="390"/>
    <n v="788"/>
    <s v="40-50"/>
    <x v="7"/>
  </r>
  <r>
    <s v="https://suumo.jp/chintai/jnc_000102189529/?bc=100467322778"/>
    <s v="西武新宿線 下落合駅 地上2階建 築45年"/>
    <s v="東京都新宿区中落合２"/>
    <n v="120000"/>
    <m/>
    <m/>
    <n v="120000"/>
    <n v="1"/>
    <x v="3"/>
    <n v="41.4"/>
    <n v="45"/>
    <x v="0"/>
    <s v="下落合駅"/>
    <n v="7"/>
    <n v="9"/>
    <n v="136411.03"/>
    <n v="168453.81"/>
    <n v="390"/>
    <n v="788"/>
    <s v="40-50"/>
    <x v="3"/>
  </r>
  <r>
    <s v="https://suumo.jp/chintai/jnc_000096597989/?bc=100459887684"/>
    <s v="西武新宿線 下落合駅 地下1地上9階建 築7年"/>
    <s v="東京都新宿区中落合２"/>
    <n v="217000"/>
    <n v="11000"/>
    <m/>
    <n v="217000"/>
    <n v="1"/>
    <x v="3"/>
    <n v="45.4"/>
    <n v="7"/>
    <x v="1"/>
    <s v="下落合駅"/>
    <n v="11"/>
    <n v="12.67"/>
    <n v="136411.03"/>
    <n v="168453.81"/>
    <n v="390"/>
    <n v="788"/>
    <s v="40-50"/>
    <x v="0"/>
  </r>
  <r>
    <s v="https://suumo.jp/chintai/jnc_000104196101/?bc=100480365651"/>
    <s v="西武新宿線 下落合駅 地下2地上2階建 築4年"/>
    <s v="東京都新宿区中落合２"/>
    <n v="165000"/>
    <n v="15000"/>
    <m/>
    <m/>
    <n v="1"/>
    <x v="3"/>
    <n v="39.83"/>
    <n v="4"/>
    <x v="4"/>
    <s v="下落合駅"/>
    <n v="4"/>
    <n v="11"/>
    <n v="136411.03"/>
    <n v="168453.81"/>
    <n v="390"/>
    <n v="788"/>
    <s v="30-40"/>
    <x v="0"/>
  </r>
  <r>
    <s v="https://suumo.jp/chintai/jnc_000102869257/?bc=100473053167"/>
    <s v="ＡＸＩＳ高田馬場"/>
    <s v="東京都新宿区高田馬場３"/>
    <n v="205000"/>
    <n v="5000"/>
    <n v="205000"/>
    <n v="307500"/>
    <n v="1"/>
    <x v="3"/>
    <n v="82.2"/>
    <n v="9"/>
    <x v="2"/>
    <s v="下落合駅"/>
    <n v="4"/>
    <n v="8.33"/>
    <n v="136411.03"/>
    <n v="168453.81"/>
    <n v="390"/>
    <n v="788"/>
    <s v="80-90"/>
    <x v="0"/>
  </r>
  <r>
    <s v="https://suumo.jp/chintai/jnc_000102869257/?bc=100473053167"/>
    <s v="ＡＸＩＳ高田馬場"/>
    <s v="東京都新宿区高田馬場３"/>
    <n v="205000"/>
    <n v="5000"/>
    <n v="205000"/>
    <n v="307500"/>
    <n v="2"/>
    <x v="3"/>
    <n v="82.2"/>
    <n v="9"/>
    <x v="2"/>
    <s v="下落合駅"/>
    <n v="4"/>
    <n v="8.33"/>
    <n v="136411.03"/>
    <n v="168453.81"/>
    <n v="390"/>
    <n v="788"/>
    <s v="80-90"/>
    <x v="0"/>
  </r>
  <r>
    <s v="https://suumo.jp/chintai/jnc_000102869257/?bc=100473053167"/>
    <s v="ＡＸＩＳ高田馬場"/>
    <s v="東京都新宿区高田馬場３"/>
    <n v="205000"/>
    <n v="5000"/>
    <n v="205000"/>
    <n v="307500"/>
    <n v="3"/>
    <x v="3"/>
    <n v="82.2"/>
    <n v="9"/>
    <x v="2"/>
    <s v="下落合駅"/>
    <n v="4"/>
    <n v="8.33"/>
    <n v="136411.03"/>
    <n v="168453.81"/>
    <n v="390"/>
    <n v="788"/>
    <s v="80-90"/>
    <x v="0"/>
  </r>
  <r>
    <s v="https://suumo.jp/chintai/jnc_000103198556/?bc=100475721914"/>
    <s v="Ｇｒａｎ　Ｄｕｏ　高田馬場"/>
    <s v="東京都新宿区高田馬場３"/>
    <n v="136000"/>
    <n v="4000"/>
    <m/>
    <n v="136000"/>
    <n v="3"/>
    <x v="3"/>
    <n v="30.18"/>
    <n v="6"/>
    <x v="2"/>
    <s v="下落合駅"/>
    <n v="8"/>
    <n v="11.33"/>
    <n v="136411.03"/>
    <n v="168453.81"/>
    <n v="390"/>
    <n v="788"/>
    <s v="30-40"/>
    <x v="0"/>
  </r>
  <r>
    <s v="https://suumo.jp/chintai/jnc_000102932238/?bc=100473581120"/>
    <s v="ＪＲ山手線 高田馬場駅 3階建 築9年"/>
    <s v="東京都新宿区高田馬場３"/>
    <n v="205000"/>
    <n v="5000"/>
    <n v="205000"/>
    <n v="307500"/>
    <n v="1"/>
    <x v="3"/>
    <n v="82.2"/>
    <n v="9"/>
    <x v="2"/>
    <s v="下落合駅"/>
    <n v="4"/>
    <n v="8.33"/>
    <n v="136411.03"/>
    <n v="168453.81"/>
    <n v="390"/>
    <n v="788"/>
    <s v="80-90"/>
    <x v="0"/>
  </r>
  <r>
    <s v="https://suumo.jp/chintai/jnc_000102932238/?bc=100473581120"/>
    <s v="ＪＲ山手線 高田馬場駅 3階建 築9年"/>
    <s v="東京都新宿区高田馬場３"/>
    <n v="205000"/>
    <n v="5000"/>
    <n v="205000"/>
    <n v="307500"/>
    <n v="2"/>
    <x v="3"/>
    <n v="82.2"/>
    <n v="9"/>
    <x v="2"/>
    <s v="下落合駅"/>
    <n v="4"/>
    <n v="8.33"/>
    <n v="136411.03"/>
    <n v="168453.81"/>
    <n v="390"/>
    <n v="788"/>
    <s v="80-90"/>
    <x v="0"/>
  </r>
  <r>
    <s v="https://suumo.jp/chintai/jnc_000102932238/?bc=100473581120"/>
    <s v="ＪＲ山手線 高田馬場駅 3階建 築9年"/>
    <s v="東京都新宿区高田馬場３"/>
    <n v="205000"/>
    <n v="5000"/>
    <n v="205000"/>
    <n v="307500"/>
    <n v="3"/>
    <x v="3"/>
    <n v="82.2"/>
    <n v="9"/>
    <x v="2"/>
    <s v="下落合駅"/>
    <n v="4"/>
    <n v="8.33"/>
    <n v="136411.03"/>
    <n v="168453.81"/>
    <n v="390"/>
    <n v="788"/>
    <s v="80-90"/>
    <x v="0"/>
  </r>
  <r>
    <s v="https://suumo.jp/chintai/jnc_000104491577/?bc=100486049126"/>
    <s v="ＪＲ山手線 高田馬場駅 3階建 築9年"/>
    <s v="東京都新宿区下落合４"/>
    <n v="160000"/>
    <n v="9000"/>
    <m/>
    <n v="320000"/>
    <n v="3"/>
    <x v="3"/>
    <n v="42.18"/>
    <n v="9"/>
    <x v="2"/>
    <s v="下落合駅"/>
    <n v="6"/>
    <n v="10.67"/>
    <n v="136411.03"/>
    <n v="168453.81"/>
    <n v="390"/>
    <n v="788"/>
    <s v="40-50"/>
    <x v="0"/>
  </r>
  <r>
    <s v="https://suumo.jp/chintai/jnc_000104107327/?bc=100483075519"/>
    <s v="ＪＲ山手線 高田馬場駅 6階建 築4年"/>
    <s v="東京都新宿区高田馬場３"/>
    <n v="150000"/>
    <n v="10000"/>
    <m/>
    <m/>
    <n v="2"/>
    <x v="3"/>
    <n v="30.48"/>
    <n v="4"/>
    <x v="5"/>
    <s v="下落合駅"/>
    <n v="7"/>
    <n v="10.33"/>
    <n v="136411.03"/>
    <n v="168453.81"/>
    <n v="390"/>
    <n v="788"/>
    <s v="30-40"/>
    <x v="0"/>
  </r>
  <r>
    <s v="https://suumo.jp/chintai/jnc_000102970929/?bc=100485048902"/>
    <s v="ＪＲ山手線 高田馬場駅 6階建 築4年"/>
    <s v="東京都新宿区高田馬場３"/>
    <n v="142000"/>
    <n v="10000"/>
    <m/>
    <m/>
    <n v="3"/>
    <x v="3"/>
    <n v="30.48"/>
    <n v="4"/>
    <x v="5"/>
    <s v="下落合駅"/>
    <n v="7"/>
    <n v="10.33"/>
    <n v="136411.03"/>
    <n v="168453.81"/>
    <n v="390"/>
    <n v="788"/>
    <s v="30-40"/>
    <x v="0"/>
  </r>
  <r>
    <s v="https://suumo.jp/chintai/jnc_000103217355/?bc=100482138207"/>
    <s v="ＪＲ山手線 高田馬場駅 6階建 築4年"/>
    <s v="東京都新宿区高田馬場３"/>
    <n v="149000"/>
    <n v="10000"/>
    <m/>
    <m/>
    <n v="3"/>
    <x v="3"/>
    <n v="30.48"/>
    <n v="4"/>
    <x v="5"/>
    <s v="下落合駅"/>
    <n v="7"/>
    <n v="10.33"/>
    <n v="136411.03"/>
    <n v="168453.81"/>
    <n v="390"/>
    <n v="788"/>
    <s v="30-40"/>
    <x v="0"/>
  </r>
  <r>
    <s v="https://suumo.jp/chintai/jnc_000104347516/?bc=100485133123"/>
    <s v="ＵＣＭ　ＫＡＭＩＯＣＨＩＡＩ"/>
    <s v="東京都新宿区上落合１"/>
    <n v="148000"/>
    <n v="5000"/>
    <n v="148000"/>
    <n v="148000"/>
    <n v="3"/>
    <x v="3"/>
    <n v="37.32"/>
    <n v="4"/>
    <x v="4"/>
    <s v="下落合駅"/>
    <n v="4"/>
    <n v="6.33"/>
    <n v="136411.03"/>
    <n v="168453.81"/>
    <n v="390"/>
    <n v="788"/>
    <s v="30-40"/>
    <x v="0"/>
  </r>
  <r>
    <s v="https://suumo.jp/chintai/jnc_000104285669/?bc=100458800106"/>
    <s v="極光マンション"/>
    <s v="東京都新宿区中落合２"/>
    <n v="100000"/>
    <n v="10000"/>
    <n v="100000"/>
    <n v="100000"/>
    <n v="7"/>
    <x v="4"/>
    <n v="41.23"/>
    <n v="47"/>
    <x v="6"/>
    <s v="下落合駅"/>
    <n v="9"/>
    <n v="13.33"/>
    <n v="136411.03"/>
    <n v="100000"/>
    <n v="390"/>
    <n v="2"/>
    <s v="40-50"/>
    <x v="3"/>
  </r>
  <r>
    <s v="https://suumo.jp/chintai/jnc_000104285670/?bc=100484407802"/>
    <s v="西武新宿線 下落合駅 9階建 築47年"/>
    <s v="東京都新宿区中落合２"/>
    <n v="100000"/>
    <n v="10000"/>
    <n v="100000"/>
    <n v="100000"/>
    <n v="7"/>
    <x v="4"/>
    <n v="41.23"/>
    <n v="47"/>
    <x v="6"/>
    <s v="下落合駅"/>
    <n v="9"/>
    <n v="13.33"/>
    <n v="136411.03"/>
    <n v="100000"/>
    <n v="390"/>
    <n v="2"/>
    <s v="40-50"/>
    <x v="3"/>
  </r>
  <r>
    <s v="https://suumo.jp/chintai/jnc_000103459014/?bc=100477686380"/>
    <s v="Grandia高田馬場NORTH"/>
    <s v="東京都新宿区高田馬場３"/>
    <n v="68000"/>
    <n v="4000"/>
    <m/>
    <m/>
    <n v="2"/>
    <x v="0"/>
    <n v="10.29"/>
    <n v="7"/>
    <x v="0"/>
    <s v="下落合駅"/>
    <n v="8"/>
    <n v="13.33"/>
    <n v="136411.03"/>
    <n v="77692.34"/>
    <n v="390"/>
    <n v="1071"/>
    <s v="10-20"/>
    <x v="0"/>
  </r>
  <r>
    <s v="https://suumo.jp/chintai/jnc_000104138641/?bc=100483247178"/>
    <s v="Grandia高田馬場WEST"/>
    <s v="東京都新宿区高田馬場３"/>
    <n v="58000"/>
    <n v="5000"/>
    <m/>
    <m/>
    <n v="1"/>
    <x v="0"/>
    <n v="10.23"/>
    <n v="8"/>
    <x v="0"/>
    <s v="下落合駅"/>
    <n v="8"/>
    <n v="12"/>
    <n v="136411.03"/>
    <n v="77692.34"/>
    <n v="390"/>
    <n v="1071"/>
    <s v="10-20"/>
    <x v="0"/>
  </r>
  <r>
    <s v="https://suumo.jp/chintai/jnc_000045519833/?bc=100484737991"/>
    <s v="KTサトウ"/>
    <s v="東京都新宿区高田馬場３"/>
    <n v="80000"/>
    <m/>
    <n v="80000"/>
    <m/>
    <n v="3"/>
    <x v="0"/>
    <n v="23.6"/>
    <n v="31"/>
    <x v="7"/>
    <s v="下落合駅"/>
    <n v="5"/>
    <n v="9.67"/>
    <n v="136411.03"/>
    <n v="77692.34"/>
    <n v="390"/>
    <n v="1071"/>
    <s v="20-30"/>
    <x v="4"/>
  </r>
  <r>
    <s v="https://suumo.jp/chintai/jnc_000065705403/?bc=100453697738"/>
    <s v="Leaf.nakaochiai"/>
    <s v="東京都新宿区中落合２"/>
    <n v="113000"/>
    <n v="3000"/>
    <n v="113000"/>
    <m/>
    <n v="4"/>
    <x v="0"/>
    <n v="30.19"/>
    <n v="7"/>
    <x v="4"/>
    <s v="下落合駅"/>
    <n v="4"/>
    <n v="6.5"/>
    <n v="136411.03"/>
    <n v="77692.34"/>
    <n v="390"/>
    <n v="1071"/>
    <s v="30-40"/>
    <x v="0"/>
  </r>
  <r>
    <s v="https://suumo.jp/chintai/jnc_000050969583/?bc=100484925496"/>
    <s v="SKY HOUSE A棟"/>
    <s v="東京都新宿区下落合４"/>
    <n v="65000"/>
    <n v="3000"/>
    <m/>
    <m/>
    <n v="2"/>
    <x v="0"/>
    <n v="12"/>
    <n v="11"/>
    <x v="0"/>
    <s v="下落合駅"/>
    <n v="3"/>
    <n v="10.67"/>
    <n v="136411.03"/>
    <n v="77692.34"/>
    <n v="390"/>
    <n v="1071"/>
    <s v="10-20"/>
    <x v="7"/>
  </r>
  <r>
    <s v="https://suumo.jp/chintai/jnc_000022365824/?bc=100480550083"/>
    <s v="SKY HOUSE B棟"/>
    <s v="東京都新宿区下落合４"/>
    <n v="71000"/>
    <n v="3000"/>
    <m/>
    <m/>
    <n v="2"/>
    <x v="0"/>
    <n v="14.91"/>
    <n v="11"/>
    <x v="0"/>
    <s v="下落合駅"/>
    <n v="3"/>
    <n v="10.33"/>
    <n v="136411.03"/>
    <n v="77692.34"/>
    <n v="390"/>
    <n v="1071"/>
    <s v="10-20"/>
    <x v="7"/>
  </r>
  <r>
    <s v="https://suumo.jp/chintai/jnc_000079974052/?bc=100481599681"/>
    <s v="SKY HOUSE B棟"/>
    <s v="東京都新宿区下落合４"/>
    <n v="66000"/>
    <n v="3000"/>
    <m/>
    <n v="66000"/>
    <n v="2"/>
    <x v="0"/>
    <n v="16.02"/>
    <n v="11"/>
    <x v="0"/>
    <s v="下落合駅"/>
    <n v="3"/>
    <n v="10.33"/>
    <n v="136411.03"/>
    <n v="77692.34"/>
    <n v="390"/>
    <n v="1071"/>
    <s v="10-20"/>
    <x v="7"/>
  </r>
  <r>
    <s v="https://suumo.jp/chintai/jnc_000099896911/?bc=100359612045"/>
    <s v="アパルト"/>
    <s v="東京都新宿区高田馬場４"/>
    <n v="50000"/>
    <m/>
    <n v="50000"/>
    <n v="50000"/>
    <n v="2"/>
    <x v="0"/>
    <n v="15"/>
    <n v="43"/>
    <x v="0"/>
    <s v="下落合駅"/>
    <n v="11"/>
    <n v="12.67"/>
    <n v="136411.03"/>
    <n v="77692.34"/>
    <n v="390"/>
    <n v="1071"/>
    <s v="10-20"/>
    <x v="3"/>
  </r>
  <r>
    <s v="https://suumo.jp/chintai/jnc_000103959565/?bc=100481847888"/>
    <s v="アーバンプレイス高田馬場12"/>
    <s v="東京都新宿区中落合１"/>
    <n v="74000"/>
    <n v="5000"/>
    <m/>
    <m/>
    <n v="2"/>
    <x v="0"/>
    <n v="12"/>
    <n v="6"/>
    <x v="0"/>
    <s v="下落合駅"/>
    <n v="5"/>
    <n v="13.33"/>
    <n v="136411.03"/>
    <n v="77692.34"/>
    <n v="390"/>
    <n v="1071"/>
    <s v="10-20"/>
    <x v="0"/>
  </r>
  <r>
    <s v="https://suumo.jp/chintai/jnc_000103994040/?bc=100482079589"/>
    <s v="ウッド ８４"/>
    <s v="東京都新宿区上落合１"/>
    <n v="54000"/>
    <n v="3000"/>
    <n v="54000"/>
    <n v="54000"/>
    <n v="1"/>
    <x v="0"/>
    <n v="11.25"/>
    <n v="7"/>
    <x v="0"/>
    <s v="下落合駅"/>
    <n v="5"/>
    <n v="7.33"/>
    <n v="136411.03"/>
    <n v="77692.34"/>
    <n v="390"/>
    <n v="1071"/>
    <s v="10-20"/>
    <x v="0"/>
  </r>
  <r>
    <s v="https://suumo.jp/chintai/jnc_000103913408/?bc=100484190521"/>
    <s v="グレースベガ"/>
    <s v="東京都新宿区高田馬場３"/>
    <n v="64000"/>
    <n v="3000"/>
    <m/>
    <m/>
    <n v="1"/>
    <x v="0"/>
    <n v="9.2899999999999991"/>
    <n v="16"/>
    <x v="0"/>
    <s v="下落合駅"/>
    <n v="7"/>
    <n v="10"/>
    <n v="136411.03"/>
    <n v="77692.34"/>
    <n v="390"/>
    <n v="1071"/>
    <s v="&lt;10"/>
    <x v="7"/>
  </r>
  <r>
    <s v="https://suumo.jp/chintai/jnc_000104310250/?bc=100484784387"/>
    <s v="グレースベガ"/>
    <s v="東京都新宿区高田馬場３"/>
    <n v="67000"/>
    <n v="3000"/>
    <m/>
    <m/>
    <n v="1"/>
    <x v="0"/>
    <n v="9.2899999999999991"/>
    <n v="16"/>
    <x v="0"/>
    <s v="下落合駅"/>
    <n v="7"/>
    <n v="10"/>
    <n v="136411.03"/>
    <n v="77692.34"/>
    <n v="390"/>
    <n v="1071"/>
    <s v="&lt;10"/>
    <x v="7"/>
  </r>
  <r>
    <s v="https://suumo.jp/chintai/jnc_000103903361/?bc=100483724300"/>
    <s v="コーポ江川"/>
    <s v="東京都新宿区下落合４"/>
    <n v="68000"/>
    <n v="2000"/>
    <n v="68000"/>
    <n v="68000"/>
    <n v="2"/>
    <x v="0"/>
    <n v="20"/>
    <n v="57"/>
    <x v="0"/>
    <s v="下落合駅"/>
    <n v="2"/>
    <n v="7.33"/>
    <n v="136411.03"/>
    <n v="77692.34"/>
    <n v="390"/>
    <n v="1071"/>
    <s v="20-30"/>
    <x v="5"/>
  </r>
  <r>
    <s v="https://suumo.jp/chintai/jnc_000104063401/?bc=100483885720"/>
    <s v="シャトー桐"/>
    <s v="東京都新宿区下落合４"/>
    <n v="82000"/>
    <n v="3000"/>
    <n v="82000"/>
    <n v="82000"/>
    <n v="3"/>
    <x v="0"/>
    <n v="24"/>
    <n v="48"/>
    <x v="2"/>
    <s v="下落合駅"/>
    <n v="7"/>
    <n v="11.67"/>
    <n v="136411.03"/>
    <n v="77692.34"/>
    <n v="390"/>
    <n v="1071"/>
    <s v="20-30"/>
    <x v="3"/>
  </r>
  <r>
    <s v="https://suumo.jp/chintai/jnc_000103863948/?bc=100475548947"/>
    <s v="スカイコート高田馬場"/>
    <s v="東京都新宿区高田馬場３"/>
    <n v="67900"/>
    <n v="6100"/>
    <n v="67900"/>
    <n v="67900"/>
    <n v="3"/>
    <x v="0"/>
    <n v="16.16"/>
    <n v="31"/>
    <x v="4"/>
    <s v="下落合駅"/>
    <n v="2"/>
    <n v="8.33"/>
    <n v="136411.03"/>
    <n v="77692.34"/>
    <n v="390"/>
    <n v="1071"/>
    <s v="10-20"/>
    <x v="4"/>
  </r>
  <r>
    <s v="https://suumo.jp/chintai/jnc_000103863949/?bc=100481485683"/>
    <s v="スカイコート高田馬場"/>
    <s v="東京都新宿区高田馬場３"/>
    <n v="68000"/>
    <n v="5000"/>
    <n v="68000"/>
    <n v="68000"/>
    <n v="4"/>
    <x v="0"/>
    <n v="16.16"/>
    <n v="31"/>
    <x v="4"/>
    <s v="下落合駅"/>
    <n v="2"/>
    <n v="8.33"/>
    <n v="136411.03"/>
    <n v="77692.34"/>
    <n v="390"/>
    <n v="1071"/>
    <s v="10-20"/>
    <x v="4"/>
  </r>
  <r>
    <s v="https://suumo.jp/chintai/jnc_000103761983/?bc=100444388669"/>
    <s v="チェスターハウス目白"/>
    <s v="東京都新宿区下落合４"/>
    <n v="104000"/>
    <n v="8000"/>
    <n v="104000"/>
    <n v="104000"/>
    <n v="-1"/>
    <x v="0"/>
    <n v="25.55"/>
    <n v="23"/>
    <x v="7"/>
    <s v="下落合駅"/>
    <n v="4"/>
    <n v="10.67"/>
    <n v="136411.03"/>
    <n v="77692.34"/>
    <n v="390"/>
    <n v="1071"/>
    <s v="20-30"/>
    <x v="1"/>
  </r>
  <r>
    <s v="https://suumo.jp/chintai/jnc_000101558134/?bc=100460743988"/>
    <s v="ハーモニーテラス高田馬場II"/>
    <s v="東京都新宿区高田馬場３"/>
    <n v="69000"/>
    <n v="4000"/>
    <m/>
    <n v="69000"/>
    <n v="1"/>
    <x v="0"/>
    <n v="10.23"/>
    <n v="8"/>
    <x v="0"/>
    <s v="下落合駅"/>
    <n v="7"/>
    <n v="8.33"/>
    <n v="136411.03"/>
    <n v="77692.34"/>
    <n v="390"/>
    <n v="1071"/>
    <s v="10-20"/>
    <x v="0"/>
  </r>
  <r>
    <s v="https://suumo.jp/chintai/jnc_000064175789/?bc=100485314750"/>
    <s v="フィリップ下落合"/>
    <s v="東京都新宿区下落合４"/>
    <n v="59500"/>
    <n v="5000"/>
    <m/>
    <m/>
    <n v="1"/>
    <x v="0"/>
    <n v="9.64"/>
    <n v="11"/>
    <x v="0"/>
    <s v="下落合駅"/>
    <n v="5"/>
    <n v="12.33"/>
    <n v="136411.03"/>
    <n v="77692.34"/>
    <n v="390"/>
    <n v="1071"/>
    <s v="&lt;10"/>
    <x v="7"/>
  </r>
  <r>
    <s v="https://suumo.jp/chintai/jnc_000104249117/?bc=100485129746"/>
    <s v="プライム落合"/>
    <s v="東京都新宿区上落合１"/>
    <n v="64000"/>
    <n v="3000"/>
    <m/>
    <m/>
    <n v="2"/>
    <x v="0"/>
    <n v="10.07"/>
    <n v="12"/>
    <x v="0"/>
    <s v="下落合駅"/>
    <n v="5"/>
    <n v="6"/>
    <n v="136411.03"/>
    <n v="77692.34"/>
    <n v="390"/>
    <n v="1071"/>
    <s v="10-20"/>
    <x v="7"/>
  </r>
  <r>
    <s v="https://suumo.jp/chintai/jnc_000102853738/?bc=100477243603"/>
    <s v="プレイス下落合"/>
    <s v="東京都新宿区下落合４"/>
    <n v="88000"/>
    <n v="3000"/>
    <n v="44000"/>
    <n v="132000"/>
    <n v="2"/>
    <x v="0"/>
    <n v="30.89"/>
    <n v="21"/>
    <x v="0"/>
    <s v="下落合駅"/>
    <n v="7"/>
    <n v="12"/>
    <n v="136411.03"/>
    <n v="77692.34"/>
    <n v="390"/>
    <n v="1071"/>
    <s v="30-40"/>
    <x v="1"/>
  </r>
  <r>
    <s v="https://suumo.jp/chintai/jnc_000104347522/?bc=100485147436"/>
    <s v="レガリス高田馬場II"/>
    <s v="東京都新宿区下落合１"/>
    <n v="125000"/>
    <n v="15000"/>
    <n v="125000"/>
    <n v="125000"/>
    <n v="3"/>
    <x v="0"/>
    <n v="26.22"/>
    <n v="2"/>
    <x v="6"/>
    <s v="下落合駅"/>
    <n v="5"/>
    <n v="9.33"/>
    <n v="136411.03"/>
    <n v="77692.34"/>
    <n v="390"/>
    <n v="1071"/>
    <s v="20-30"/>
    <x v="0"/>
  </r>
  <r>
    <s v="https://suumo.jp/chintai/jnc_000103654509/?bc=100486230568"/>
    <s v="レジディア中落合"/>
    <s v="東京都新宿区中落合１"/>
    <n v="104000"/>
    <n v="15000"/>
    <m/>
    <m/>
    <n v="2"/>
    <x v="0"/>
    <n v="24.09"/>
    <n v="18"/>
    <x v="10"/>
    <s v="下落合駅"/>
    <n v="5"/>
    <n v="7.33"/>
    <n v="136411.03"/>
    <n v="77692.34"/>
    <n v="390"/>
    <n v="1071"/>
    <s v="20-30"/>
    <x v="7"/>
  </r>
  <r>
    <s v="https://suumo.jp/chintai/jnc_000102861955/?bc=100474381699"/>
    <s v="レジディア中落合"/>
    <s v="東京都新宿区中落合１"/>
    <n v="90000"/>
    <n v="10000"/>
    <m/>
    <m/>
    <n v="4"/>
    <x v="0"/>
    <n v="21.74"/>
    <n v="18"/>
    <x v="10"/>
    <s v="下落合駅"/>
    <n v="5"/>
    <n v="7.33"/>
    <n v="136411.03"/>
    <n v="77692.34"/>
    <n v="390"/>
    <n v="1071"/>
    <s v="20-30"/>
    <x v="7"/>
  </r>
  <r>
    <s v="https://suumo.jp/chintai/jnc_000103654508/?bc=100479420036"/>
    <s v="レジディア中落合Ｂ棟"/>
    <s v="東京都新宿区中落合１"/>
    <n v="104000"/>
    <n v="15000"/>
    <m/>
    <m/>
    <n v="2"/>
    <x v="0"/>
    <n v="24.09"/>
    <n v="18"/>
    <x v="10"/>
    <s v="下落合駅"/>
    <n v="5"/>
    <n v="7.67"/>
    <n v="136411.03"/>
    <n v="77692.34"/>
    <n v="390"/>
    <n v="1071"/>
    <s v="20-30"/>
    <x v="7"/>
  </r>
  <r>
    <s v="https://suumo.jp/chintai/jnc_000104531820/?bc=100467796486"/>
    <s v="レジデンス美奈真"/>
    <s v="東京都新宿区高田馬場３"/>
    <n v="74000"/>
    <m/>
    <n v="74000"/>
    <n v="74000"/>
    <n v="2"/>
    <x v="0"/>
    <n v="19.52"/>
    <n v="36"/>
    <x v="2"/>
    <s v="下落合駅"/>
    <n v="3"/>
    <n v="10.67"/>
    <n v="136411.03"/>
    <n v="77692.34"/>
    <n v="390"/>
    <n v="1071"/>
    <s v="10-20"/>
    <x v="4"/>
  </r>
  <r>
    <s v="https://suumo.jp/chintai/jnc_000103701860/?bc=100216649525"/>
    <s v="上落合ハイツ"/>
    <s v="東京都新宿区上落合１"/>
    <n v="60000"/>
    <n v="3000"/>
    <n v="60000"/>
    <n v="60000"/>
    <n v="1"/>
    <x v="0"/>
    <n v="17"/>
    <n v="40"/>
    <x v="4"/>
    <s v="下落合駅"/>
    <n v="5"/>
    <n v="7.67"/>
    <n v="136411.03"/>
    <n v="77692.34"/>
    <n v="390"/>
    <n v="1071"/>
    <s v="10-20"/>
    <x v="4"/>
  </r>
  <r>
    <s v="https://suumo.jp/chintai/jnc_000101578479/?bc=100460783783"/>
    <s v="共立ハウス"/>
    <s v="東京都新宿区下落合４"/>
    <n v="53000"/>
    <m/>
    <n v="53000"/>
    <n v="53000"/>
    <n v="1"/>
    <x v="0"/>
    <n v="26"/>
    <n v="50"/>
    <x v="0"/>
    <s v="下落合駅"/>
    <n v="6"/>
    <n v="10.67"/>
    <n v="136411.03"/>
    <n v="77692.34"/>
    <n v="390"/>
    <n v="1071"/>
    <s v="20-30"/>
    <x v="3"/>
  </r>
  <r>
    <s v="https://suumo.jp/chintai/jnc_000102196872/?bc=100430308356"/>
    <s v="日神パレス下落合"/>
    <s v="東京都新宿区中落合１"/>
    <n v="60000"/>
    <m/>
    <m/>
    <m/>
    <n v="3"/>
    <x v="0"/>
    <n v="14.72"/>
    <n v="39"/>
    <x v="7"/>
    <s v="下落合駅"/>
    <n v="3"/>
    <n v="7.33"/>
    <n v="136411.03"/>
    <n v="77692.34"/>
    <n v="390"/>
    <n v="1071"/>
    <s v="10-20"/>
    <x v="4"/>
  </r>
  <r>
    <s v="https://suumo.jp/chintai/jnc_000100933275/?bc=100484687835"/>
    <s v="東山堂コーポ"/>
    <s v="東京都新宿区高田馬場３"/>
    <n v="105000"/>
    <n v="5000"/>
    <n v="105000"/>
    <n v="105000"/>
    <n v="2"/>
    <x v="0"/>
    <n v="33.200000000000003"/>
    <n v="51"/>
    <x v="2"/>
    <s v="下落合駅"/>
    <n v="8"/>
    <n v="12"/>
    <n v="136411.03"/>
    <n v="77692.34"/>
    <n v="390"/>
    <n v="1071"/>
    <s v="30-40"/>
    <x v="5"/>
  </r>
  <r>
    <s v="https://suumo.jp/chintai/jnc_000104473634/?bc=100482530666"/>
    <s v="瑞豊マンション"/>
    <s v="東京都新宿区上落合１"/>
    <n v="64000"/>
    <m/>
    <n v="64000"/>
    <m/>
    <n v="3"/>
    <x v="0"/>
    <n v="17"/>
    <n v="36"/>
    <x v="4"/>
    <s v="下落合駅"/>
    <n v="3"/>
    <n v="6.33"/>
    <n v="136411.03"/>
    <n v="77692.34"/>
    <n v="390"/>
    <n v="1071"/>
    <s v="10-20"/>
    <x v="4"/>
  </r>
  <r>
    <s v="https://suumo.jp/chintai/jnc_000104473635/?bc=100387930079"/>
    <s v="瑞豊マンション"/>
    <s v="東京都新宿区上落合１"/>
    <n v="64000"/>
    <m/>
    <n v="64000"/>
    <m/>
    <n v="4"/>
    <x v="0"/>
    <n v="17"/>
    <n v="36"/>
    <x v="4"/>
    <s v="下落合駅"/>
    <n v="3"/>
    <n v="6.33"/>
    <n v="136411.03"/>
    <n v="77692.34"/>
    <n v="390"/>
    <n v="1071"/>
    <s v="10-20"/>
    <x v="4"/>
  </r>
  <r>
    <s v="https://suumo.jp/chintai/jnc_000101970294/?bc=100465185218"/>
    <s v="禄幸ハイム"/>
    <s v="東京都新宿区下落合４"/>
    <n v="72000"/>
    <m/>
    <n v="72000"/>
    <m/>
    <n v="1"/>
    <x v="0"/>
    <n v="25.4"/>
    <n v="33"/>
    <x v="4"/>
    <s v="下落合駅"/>
    <n v="5"/>
    <n v="9.67"/>
    <n v="136411.03"/>
    <n v="77692.34"/>
    <n v="390"/>
    <n v="1071"/>
    <s v="20-30"/>
    <x v="4"/>
  </r>
  <r>
    <s v="https://suumo.jp/chintai/jnc_000017561919/?bc=100467434492"/>
    <s v="福寿館"/>
    <s v="東京都新宿区高田馬場３"/>
    <n v="42000"/>
    <n v="2000"/>
    <n v="42000"/>
    <n v="42000"/>
    <n v="2"/>
    <x v="0"/>
    <n v="15"/>
    <n v="66"/>
    <x v="0"/>
    <s v="下落合駅"/>
    <n v="7"/>
    <n v="11.67"/>
    <n v="136411.03"/>
    <n v="77692.34"/>
    <n v="390"/>
    <n v="1071"/>
    <s v="10-20"/>
    <x v="2"/>
  </r>
  <r>
    <s v="https://suumo.jp/chintai/jnc_000103707783/?bc=100480154287"/>
    <s v="落合テラス1号館"/>
    <s v="東京都新宿区上落合１"/>
    <n v="56000"/>
    <n v="6000"/>
    <m/>
    <m/>
    <n v="1"/>
    <x v="0"/>
    <n v="12.26"/>
    <n v="7"/>
    <x v="0"/>
    <s v="下落合駅"/>
    <n v="8"/>
    <n v="9.33"/>
    <n v="136411.03"/>
    <n v="77692.34"/>
    <n v="390"/>
    <n v="1071"/>
    <s v="10-20"/>
    <x v="0"/>
  </r>
  <r>
    <s v="https://suumo.jp/chintai/jnc_000103536083/?bc=100481109375"/>
    <s v="藤ハイツ"/>
    <s v="東京都新宿区中落合２"/>
    <n v="55000"/>
    <m/>
    <m/>
    <m/>
    <n v="1"/>
    <x v="0"/>
    <n v="13.5"/>
    <n v="48"/>
    <x v="0"/>
    <s v="下落合駅"/>
    <n v="7"/>
    <n v="8.33"/>
    <n v="136411.03"/>
    <n v="77692.34"/>
    <n v="390"/>
    <n v="1071"/>
    <s v="10-20"/>
    <x v="3"/>
  </r>
  <r>
    <s v="https://suumo.jp/chintai/jnc_000054271268/?bc=100483917501"/>
    <s v="藤ハイツ"/>
    <s v="東京都新宿区中落合２"/>
    <n v="50000"/>
    <m/>
    <m/>
    <m/>
    <n v="1"/>
    <x v="0"/>
    <n v="13.5"/>
    <n v="48"/>
    <x v="0"/>
    <s v="下落合駅"/>
    <n v="7"/>
    <n v="8.33"/>
    <n v="136411.03"/>
    <n v="77692.34"/>
    <n v="390"/>
    <n v="1071"/>
    <s v="10-20"/>
    <x v="3"/>
  </r>
  <r>
    <s v="https://suumo.jp/chintai/jnc_000104107332/?bc=100482604858"/>
    <s v="藤ハイツ"/>
    <s v="東京都新宿区中落合２"/>
    <n v="55000"/>
    <m/>
    <m/>
    <m/>
    <n v="2"/>
    <x v="0"/>
    <n v="13.5"/>
    <n v="48"/>
    <x v="0"/>
    <s v="下落合駅"/>
    <n v="7"/>
    <n v="10"/>
    <n v="136411.03"/>
    <n v="77692.34"/>
    <n v="390"/>
    <n v="1071"/>
    <s v="10-20"/>
    <x v="3"/>
  </r>
  <r>
    <s v="https://suumo.jp/chintai/jnc_000103937422/?bc=100485143216"/>
    <s v="西武新宿線 下落合駅 11階建 築8年"/>
    <s v="東京都新宿区下落合４"/>
    <n v="108000"/>
    <n v="12000"/>
    <n v="108000"/>
    <n v="108000"/>
    <n v="2"/>
    <x v="0"/>
    <n v="25.47"/>
    <n v="8"/>
    <x v="8"/>
    <s v="下落合駅"/>
    <n v="3"/>
    <n v="7"/>
    <n v="136411.03"/>
    <n v="77692.34"/>
    <n v="390"/>
    <n v="1071"/>
    <s v="20-30"/>
    <x v="0"/>
  </r>
  <r>
    <s v="https://suumo.jp/chintai/jnc_000103546624/?bc=100485556266"/>
    <s v="西武新宿線 下落合駅 11階建 築8年"/>
    <s v="東京都新宿区下落合４"/>
    <n v="109000"/>
    <n v="12000"/>
    <n v="109000"/>
    <n v="109000"/>
    <n v="3"/>
    <x v="0"/>
    <n v="25.47"/>
    <n v="8"/>
    <x v="8"/>
    <s v="下落合駅"/>
    <n v="3"/>
    <n v="7"/>
    <n v="136411.03"/>
    <n v="77692.34"/>
    <n v="390"/>
    <n v="1071"/>
    <s v="20-30"/>
    <x v="0"/>
  </r>
  <r>
    <s v="https://suumo.jp/chintai/jnc_000064175790/?bc=100485379617"/>
    <s v="西武新宿線 下落合駅 2階建 築11年"/>
    <s v="東京都新宿区下落合４"/>
    <n v="59500"/>
    <n v="5000"/>
    <m/>
    <m/>
    <n v="1"/>
    <x v="0"/>
    <n v="14.2"/>
    <n v="11"/>
    <x v="0"/>
    <s v="下落合駅"/>
    <n v="6"/>
    <n v="11"/>
    <n v="136411.03"/>
    <n v="77692.34"/>
    <n v="390"/>
    <n v="1071"/>
    <s v="10-20"/>
    <x v="7"/>
  </r>
  <r>
    <s v="https://suumo.jp/chintai/jnc_000104222326/?bc=100483959637"/>
    <s v="西武新宿線 下落合駅 2階建 築12年"/>
    <s v="東京都新宿区上落合１"/>
    <n v="64000"/>
    <n v="3000"/>
    <m/>
    <m/>
    <n v="2"/>
    <x v="0"/>
    <n v="10.07"/>
    <n v="12"/>
    <x v="0"/>
    <s v="下落合駅"/>
    <n v="5"/>
    <n v="9.33"/>
    <n v="136411.03"/>
    <n v="77692.34"/>
    <n v="390"/>
    <n v="1071"/>
    <s v="10-20"/>
    <x v="7"/>
  </r>
  <r>
    <s v="https://suumo.jp/chintai/jnc_000103959525/?bc=100482340693"/>
    <s v="西武新宿線 下落合駅 2階建 築17年"/>
    <s v="東京都新宿区高田馬場３"/>
    <n v="64000"/>
    <n v="3000"/>
    <m/>
    <m/>
    <n v="1"/>
    <x v="0"/>
    <n v="9.2899999999999991"/>
    <n v="17"/>
    <x v="0"/>
    <s v="下落合駅"/>
    <n v="7"/>
    <n v="9.67"/>
    <n v="136411.03"/>
    <n v="77692.34"/>
    <n v="390"/>
    <n v="1071"/>
    <s v="&lt;10"/>
    <x v="7"/>
  </r>
  <r>
    <s v="https://suumo.jp/chintai/jnc_000104310251/?bc=100482113172"/>
    <s v="西武新宿線 下落合駅 2階建 築17年"/>
    <s v="東京都新宿区高田馬場３"/>
    <n v="67000"/>
    <n v="3000"/>
    <m/>
    <m/>
    <n v="1"/>
    <x v="0"/>
    <n v="9.2899999999999991"/>
    <n v="17"/>
    <x v="0"/>
    <s v="下落合駅"/>
    <n v="7"/>
    <n v="9.67"/>
    <n v="136411.03"/>
    <n v="77692.34"/>
    <n v="390"/>
    <n v="1071"/>
    <s v="&lt;10"/>
    <x v="7"/>
  </r>
  <r>
    <s v="https://suumo.jp/chintai/jnc_000102869252/?bc=100480789969"/>
    <s v="西武新宿線 下落合駅 2階建 築21年"/>
    <s v="東京都新宿区下落合４"/>
    <n v="88000"/>
    <n v="3000"/>
    <n v="44000"/>
    <n v="132000"/>
    <n v="2"/>
    <x v="0"/>
    <n v="30.89"/>
    <n v="21"/>
    <x v="0"/>
    <s v="下落合駅"/>
    <n v="7"/>
    <n v="12"/>
    <n v="136411.03"/>
    <n v="77692.34"/>
    <n v="390"/>
    <n v="1071"/>
    <s v="30-40"/>
    <x v="1"/>
  </r>
  <r>
    <s v="https://suumo.jp/chintai/jnc_000052609798/?bc=100481232098"/>
    <s v="西武新宿線 下落合駅 2階建 築22年"/>
    <s v="東京都新宿区中落合２"/>
    <n v="65000"/>
    <n v="4000"/>
    <n v="65000"/>
    <n v="65000"/>
    <n v="1"/>
    <x v="0"/>
    <n v="15.4"/>
    <n v="22"/>
    <x v="0"/>
    <s v="下落合駅"/>
    <n v="8"/>
    <n v="10.67"/>
    <n v="136411.03"/>
    <n v="77692.34"/>
    <n v="390"/>
    <n v="1071"/>
    <s v="10-20"/>
    <x v="1"/>
  </r>
  <r>
    <s v="https://suumo.jp/chintai/jnc_000104482298/?bc=100485508044"/>
    <s v="西武新宿線 下落合駅 2階建 築48年"/>
    <s v="東京都新宿区中落合２"/>
    <n v="55000"/>
    <m/>
    <m/>
    <m/>
    <n v="1"/>
    <x v="0"/>
    <n v="13.5"/>
    <n v="48"/>
    <x v="0"/>
    <s v="下落合駅"/>
    <n v="7"/>
    <n v="8.33"/>
    <n v="136411.03"/>
    <n v="77692.34"/>
    <n v="390"/>
    <n v="1071"/>
    <s v="10-20"/>
    <x v="3"/>
  </r>
  <r>
    <s v="https://suumo.jp/chintai/jnc_000104303533/?bc=100484104864"/>
    <s v="西武新宿線 下落合駅 2階建 築48年"/>
    <s v="東京都新宿区中落合２"/>
    <n v="55000"/>
    <m/>
    <m/>
    <m/>
    <n v="2"/>
    <x v="0"/>
    <n v="13.5"/>
    <n v="48"/>
    <x v="0"/>
    <s v="下落合駅"/>
    <n v="7"/>
    <n v="8.67"/>
    <n v="136411.03"/>
    <n v="77692.34"/>
    <n v="390"/>
    <n v="1071"/>
    <s v="10-20"/>
    <x v="3"/>
  </r>
  <r>
    <s v="https://suumo.jp/chintai/jnc_000104473674/?bc=100485948489"/>
    <s v="西武新宿線 下落合駅 2階建 築48年"/>
    <s v="東京都新宿区中落合２"/>
    <n v="50000"/>
    <m/>
    <m/>
    <m/>
    <n v="2"/>
    <x v="0"/>
    <n v="13.5"/>
    <n v="48"/>
    <x v="0"/>
    <s v="下落合駅"/>
    <n v="7"/>
    <n v="8.67"/>
    <n v="136411.03"/>
    <n v="77692.34"/>
    <n v="390"/>
    <n v="1071"/>
    <s v="10-20"/>
    <x v="3"/>
  </r>
  <r>
    <s v="https://suumo.jp/chintai/jnc_000103491797/?bc=100485186783"/>
    <s v="西武新宿線 下落合駅 2階建 築61年"/>
    <s v="東京都新宿区下落合４"/>
    <n v="65000"/>
    <n v="3000"/>
    <n v="65000"/>
    <n v="65000"/>
    <n v="2"/>
    <x v="0"/>
    <n v="20.7"/>
    <n v="61"/>
    <x v="0"/>
    <s v="下落合駅"/>
    <n v="7"/>
    <n v="12"/>
    <n v="136411.03"/>
    <n v="77692.34"/>
    <n v="390"/>
    <n v="1071"/>
    <s v="20-30"/>
    <x v="2"/>
  </r>
  <r>
    <s v="https://suumo.jp/chintai/jnc_000101817234/?bc=100485886158"/>
    <s v="西武新宿線 下落合駅 3階建 築29年"/>
    <s v="東京都新宿区高田馬場３"/>
    <n v="75000"/>
    <n v="5000"/>
    <n v="75000"/>
    <m/>
    <n v="2"/>
    <x v="0"/>
    <n v="16.11"/>
    <n v="29"/>
    <x v="2"/>
    <s v="下落合駅"/>
    <n v="9"/>
    <n v="12.33"/>
    <n v="136411.03"/>
    <n v="77692.34"/>
    <n v="390"/>
    <n v="1071"/>
    <s v="10-20"/>
    <x v="1"/>
  </r>
  <r>
    <s v="https://suumo.jp/chintai/jnc_000087371641/?bc=100485572300"/>
    <s v="西武新宿線 下落合駅 3階建 築29年"/>
    <s v="東京都新宿区高田馬場３"/>
    <n v="80000"/>
    <n v="4000"/>
    <n v="80000"/>
    <m/>
    <n v="2"/>
    <x v="0"/>
    <n v="24.33"/>
    <n v="29"/>
    <x v="2"/>
    <s v="下落合駅"/>
    <n v="9"/>
    <n v="12.33"/>
    <n v="136411.03"/>
    <n v="77692.34"/>
    <n v="390"/>
    <n v="1071"/>
    <s v="20-30"/>
    <x v="1"/>
  </r>
  <r>
    <s v="https://suumo.jp/chintai/jnc_000104196075/?bc=100483716680"/>
    <s v="西武新宿線 下落合駅 3階建 築48年"/>
    <s v="東京都新宿区下落合４"/>
    <n v="82000"/>
    <n v="3000"/>
    <n v="82000"/>
    <n v="82000"/>
    <n v="3"/>
    <x v="0"/>
    <n v="24"/>
    <n v="48"/>
    <x v="2"/>
    <s v="下落合駅"/>
    <n v="7"/>
    <n v="11.33"/>
    <n v="136411.03"/>
    <n v="77692.34"/>
    <n v="390"/>
    <n v="1071"/>
    <s v="20-30"/>
    <x v="3"/>
  </r>
  <r>
    <s v="https://suumo.jp/chintai/jnc_000104091495/?bc=100465883037"/>
    <s v="西武新宿線 下落合駅 3階建 築4年"/>
    <s v="東京都新宿区下落合４"/>
    <n v="178000"/>
    <n v="20000"/>
    <m/>
    <m/>
    <n v="3"/>
    <x v="0"/>
    <n v="30.04"/>
    <n v="4"/>
    <x v="2"/>
    <s v="下落合駅"/>
    <n v="7"/>
    <n v="10.67"/>
    <n v="136411.03"/>
    <n v="77692.34"/>
    <n v="390"/>
    <n v="1071"/>
    <s v="30-40"/>
    <x v="0"/>
  </r>
  <r>
    <s v="https://suumo.jp/chintai/jnc_000103863951/?bc=100481320966"/>
    <s v="西武新宿線 下落合駅 4階建 築31年"/>
    <s v="東京都新宿区高田馬場３"/>
    <n v="68000"/>
    <n v="5000"/>
    <n v="68000"/>
    <n v="68000"/>
    <n v="4"/>
    <x v="0"/>
    <n v="16.16"/>
    <n v="31"/>
    <x v="4"/>
    <s v="下落合駅"/>
    <n v="2"/>
    <n v="8.67"/>
    <n v="136411.03"/>
    <n v="77692.34"/>
    <n v="390"/>
    <n v="1071"/>
    <s v="10-20"/>
    <x v="4"/>
  </r>
  <r>
    <s v="https://suumo.jp/chintai/jnc_000102893074/?bc=100469036365"/>
    <s v="西武新宿線 下落合駅 7階建 築18年"/>
    <s v="東京都新宿区中落合１"/>
    <n v="103000"/>
    <n v="10000"/>
    <m/>
    <m/>
    <n v="4"/>
    <x v="0"/>
    <n v="26.18"/>
    <n v="18"/>
    <x v="10"/>
    <s v="下落合駅"/>
    <n v="5"/>
    <n v="6"/>
    <n v="136411.03"/>
    <n v="77692.34"/>
    <n v="390"/>
    <n v="1071"/>
    <s v="20-30"/>
    <x v="7"/>
  </r>
  <r>
    <s v="https://suumo.jp/chintai/jnc_000104525316/?bc=100486251604"/>
    <s v="西武新宿線 下落合駅 地下1地上2階建 築6年"/>
    <s v="東京都新宿区下落合４"/>
    <n v="70000"/>
    <n v="4000"/>
    <n v="70000"/>
    <m/>
    <n v="-1"/>
    <x v="0"/>
    <n v="11.09"/>
    <n v="6"/>
    <x v="2"/>
    <s v="下落合駅"/>
    <n v="3"/>
    <n v="9"/>
    <n v="136411.03"/>
    <n v="77692.34"/>
    <n v="390"/>
    <n v="1071"/>
    <s v="10-20"/>
    <x v="0"/>
  </r>
  <r>
    <s v="https://suumo.jp/chintai/jnc_000103821671/?bc=100470398110"/>
    <s v="西武新宿線 下落合駅 地下1地上4階建 築23年"/>
    <s v="東京都新宿区下落合４"/>
    <n v="104000"/>
    <n v="8000"/>
    <n v="104000"/>
    <n v="104000"/>
    <n v="-1"/>
    <x v="0"/>
    <n v="25.55"/>
    <n v="23"/>
    <x v="7"/>
    <s v="下落合駅"/>
    <n v="4"/>
    <n v="10.67"/>
    <n v="136411.03"/>
    <n v="77692.34"/>
    <n v="390"/>
    <n v="1071"/>
    <s v="20-30"/>
    <x v="1"/>
  </r>
  <r>
    <s v="https://suumo.jp/chintai/jnc_000103459001/?bc=100454050550"/>
    <s v="ＡＣＫハウス"/>
    <s v="東京都新宿区上落合２"/>
    <n v="65000"/>
    <m/>
    <n v="65000"/>
    <n v="65000"/>
    <n v="1"/>
    <x v="0"/>
    <n v="20.25"/>
    <n v="26"/>
    <x v="0"/>
    <s v="下落合駅"/>
    <n v="5"/>
    <n v="6"/>
    <n v="136411.03"/>
    <n v="77692.34"/>
    <n v="390"/>
    <n v="1071"/>
    <s v="20-30"/>
    <x v="1"/>
  </r>
  <r>
    <s v="https://suumo.jp/chintai/jnc_000104091494/?bc=100476385626"/>
    <s v="Ｄ’ｓＶＡＲＩＥ高田馬場レジデンス"/>
    <s v="東京都新宿区下落合４"/>
    <n v="178000"/>
    <n v="20000"/>
    <m/>
    <m/>
    <n v="3"/>
    <x v="0"/>
    <n v="30.04"/>
    <n v="4"/>
    <x v="4"/>
    <s v="下落合駅"/>
    <n v="7"/>
    <n v="8.5"/>
    <n v="136411.03"/>
    <n v="77692.34"/>
    <n v="390"/>
    <n v="1071"/>
    <s v="30-40"/>
    <x v="0"/>
  </r>
  <r>
    <s v="https://suumo.jp/chintai/jnc_000102077596/?bc=100384217439"/>
    <s v="Ｄ’ｓＶＡＲＩＥ高田馬場レジデンス"/>
    <s v="東京都新宿区下落合４"/>
    <n v="195000"/>
    <n v="20000"/>
    <m/>
    <m/>
    <n v="3"/>
    <x v="0"/>
    <n v="30.04"/>
    <n v="4"/>
    <x v="4"/>
    <s v="下落合駅"/>
    <n v="7"/>
    <n v="8.5"/>
    <n v="136411.03"/>
    <n v="77692.34"/>
    <n v="390"/>
    <n v="1071"/>
    <s v="30-40"/>
    <x v="0"/>
  </r>
  <r>
    <s v="https://suumo.jp/chintai/jnc_000102537684/?bc=100470504816"/>
    <s v="ＦＡＲＭ　ＨＯＵＳＥ"/>
    <s v="東京都新宿区下落合４"/>
    <n v="75000"/>
    <n v="2000"/>
    <n v="75000"/>
    <n v="75000"/>
    <n v="1"/>
    <x v="0"/>
    <n v="30.22"/>
    <n v="6"/>
    <x v="0"/>
    <s v="下落合駅"/>
    <n v="5"/>
    <n v="10.67"/>
    <n v="136411.03"/>
    <n v="77692.34"/>
    <n v="390"/>
    <n v="1071"/>
    <s v="30-40"/>
    <x v="0"/>
  </r>
  <r>
    <s v="https://suumo.jp/chintai/jnc_000102641520/?bc=100412016431"/>
    <s v="Ｇｒｏｗｃｅｌ下落合"/>
    <s v="東京都新宿区下落合４"/>
    <n v="68000"/>
    <n v="4000"/>
    <n v="68000"/>
    <m/>
    <n v="-1"/>
    <x v="0"/>
    <n v="11.09"/>
    <n v="6"/>
    <x v="2"/>
    <s v="下落合駅"/>
    <n v="3"/>
    <n v="9"/>
    <n v="136411.03"/>
    <n v="77692.34"/>
    <n v="390"/>
    <n v="1071"/>
    <s v="10-20"/>
    <x v="0"/>
  </r>
  <r>
    <s v="https://suumo.jp/chintai/jnc_000099562380/?bc=100444670502"/>
    <s v="Ｇｒｏｗｃｅｌ下落合"/>
    <s v="東京都新宿区下落合４"/>
    <n v="70000"/>
    <n v="4000"/>
    <n v="70000"/>
    <m/>
    <n v="-1"/>
    <x v="0"/>
    <n v="11.09"/>
    <n v="6"/>
    <x v="2"/>
    <s v="下落合駅"/>
    <n v="3"/>
    <n v="9"/>
    <n v="136411.03"/>
    <n v="77692.34"/>
    <n v="390"/>
    <n v="1071"/>
    <s v="10-20"/>
    <x v="0"/>
  </r>
  <r>
    <s v="https://suumo.jp/chintai/jnc_000104116884/?bc=100483136036"/>
    <s v="ＪＲ山手線 高田馬場駅 2階建 築11年"/>
    <s v="東京都新宿区下落合４"/>
    <n v="71000"/>
    <n v="3000"/>
    <m/>
    <n v="71000"/>
    <n v="2"/>
    <x v="0"/>
    <n v="21.55"/>
    <n v="11"/>
    <x v="0"/>
    <s v="下落合駅"/>
    <n v="3"/>
    <n v="10.33"/>
    <n v="136411.03"/>
    <n v="77692.34"/>
    <n v="390"/>
    <n v="1071"/>
    <s v="20-30"/>
    <x v="7"/>
  </r>
  <r>
    <s v="https://suumo.jp/chintai/jnc_000104531819/?bc=100483959623"/>
    <s v="ＪＲ山手線 高田馬場駅 2階建 築8年"/>
    <s v="東京都新宿区高田馬場３"/>
    <n v="66000"/>
    <n v="6000"/>
    <m/>
    <m/>
    <n v="2"/>
    <x v="0"/>
    <n v="11.93"/>
    <n v="8"/>
    <x v="0"/>
    <s v="下落合駅"/>
    <n v="7"/>
    <n v="10.33"/>
    <n v="136411.03"/>
    <n v="77692.34"/>
    <n v="390"/>
    <n v="1071"/>
    <s v="10-20"/>
    <x v="0"/>
  </r>
  <r>
    <s v="https://suumo.jp/chintai/jnc_000103658018/?bc=100479799853"/>
    <s v="ＪＲ山手線 高田馬場駅 地下1地上4階建 新築"/>
    <s v="東京都新宿区高田馬場３"/>
    <n v="149000"/>
    <n v="10000"/>
    <m/>
    <m/>
    <n v="2"/>
    <x v="0"/>
    <n v="25.59"/>
    <n v="0"/>
    <x v="7"/>
    <s v="下落合駅"/>
    <n v="6"/>
    <n v="8"/>
    <n v="136411.03"/>
    <n v="77692.34"/>
    <n v="390"/>
    <n v="1071"/>
    <s v="20-30"/>
    <x v="6"/>
  </r>
  <r>
    <s v="https://suumo.jp/chintai/jnc_000094620192/?bc=100410047551"/>
    <s v="Ｋシャトー"/>
    <s v="東京都新宿区上落合１"/>
    <n v="60000"/>
    <n v="3000"/>
    <n v="60000"/>
    <m/>
    <n v="1"/>
    <x v="0"/>
    <n v="13.21"/>
    <n v="38"/>
    <x v="0"/>
    <s v="下落合駅"/>
    <n v="4"/>
    <n v="9.33"/>
    <n v="136411.03"/>
    <n v="77692.34"/>
    <n v="390"/>
    <n v="1071"/>
    <s v="10-20"/>
    <x v="4"/>
  </r>
  <r>
    <s v="https://suumo.jp/chintai/jnc_000103636275/?bc=100483617681"/>
    <s v="ＬｉｖｅＦｌａｔ高田馬場"/>
    <s v="東京都新宿区高田馬場３"/>
    <n v="149000"/>
    <n v="10000"/>
    <m/>
    <m/>
    <n v="2"/>
    <x v="0"/>
    <n v="25.59"/>
    <n v="0"/>
    <x v="7"/>
    <s v="下落合駅"/>
    <n v="6"/>
    <n v="8"/>
    <n v="136411.03"/>
    <n v="77692.34"/>
    <n v="390"/>
    <n v="1071"/>
    <s v="20-30"/>
    <x v="6"/>
  </r>
  <r>
    <s v="https://suumo.jp/chintai/jnc_000101412190/?bc=100461508094"/>
    <s v="ＳＴバード"/>
    <s v="東京都新宿区高田馬場３"/>
    <n v="59000"/>
    <n v="1000"/>
    <n v="59000"/>
    <m/>
    <n v="2"/>
    <x v="0"/>
    <n v="12.44"/>
    <n v="35"/>
    <x v="0"/>
    <s v="下落合駅"/>
    <n v="7"/>
    <n v="10"/>
    <n v="136411.03"/>
    <n v="77692.34"/>
    <n v="390"/>
    <n v="1071"/>
    <s v="10-20"/>
    <x v="4"/>
  </r>
  <r>
    <s v="https://suumo.jp/chintai/jnc_000102751111/?bc=100472109440"/>
    <s v="ＳＴバード"/>
    <s v="東京都新宿区高田馬場３"/>
    <n v="59000"/>
    <n v="1000"/>
    <n v="59000"/>
    <m/>
    <n v="2"/>
    <x v="0"/>
    <n v="13.5"/>
    <n v="35"/>
    <x v="0"/>
    <s v="下落合駅"/>
    <n v="7"/>
    <n v="10"/>
    <n v="136411.03"/>
    <n v="77692.34"/>
    <n v="390"/>
    <n v="1071"/>
    <s v="10-20"/>
    <x v="4"/>
  </r>
  <r>
    <s v="https://suumo.jp/chintai/jnc_000103701888/?bc=100480033267"/>
    <s v="Ｓｕｎｒｉｓｅ Ｒｅｓｉｄｅｎｃｅ Ｍｅｊｉｒｏ"/>
    <s v="東京都新宿区中落合２"/>
    <n v="70000"/>
    <m/>
    <n v="70000"/>
    <m/>
    <n v="2"/>
    <x v="0"/>
    <n v="13.17"/>
    <n v="36"/>
    <x v="0"/>
    <s v="下落合駅"/>
    <n v="8"/>
    <n v="10.67"/>
    <n v="136411.03"/>
    <n v="77692.34"/>
    <n v="390"/>
    <n v="1071"/>
    <s v="10-20"/>
    <x v="4"/>
  </r>
  <r>
    <s v="https://suumo.jp/chintai/jnc_000102777018/?bc=100485157999"/>
    <s v="ＺＯＯＭ新宿下落合"/>
    <s v="東京都新宿区下落合４"/>
    <n v="108000"/>
    <n v="12000"/>
    <n v="108000"/>
    <n v="108000"/>
    <n v="2"/>
    <x v="0"/>
    <n v="25.47"/>
    <n v="8"/>
    <x v="8"/>
    <s v="下落合駅"/>
    <n v="3"/>
    <n v="9.67"/>
    <n v="136411.03"/>
    <n v="77692.34"/>
    <n v="390"/>
    <n v="1071"/>
    <s v="20-30"/>
    <x v="0"/>
  </r>
  <r>
    <s v="https://suumo.jp/chintai/jnc_000103409550/?bc=100478570011"/>
    <s v="ＺＯＯＭ新宿下落合"/>
    <s v="東京都新宿区下落合４"/>
    <n v="109000"/>
    <n v="12000"/>
    <n v="109000"/>
    <n v="109000"/>
    <n v="3"/>
    <x v="0"/>
    <n v="25.47"/>
    <n v="8"/>
    <x v="8"/>
    <s v="下落合駅"/>
    <n v="3"/>
    <n v="9.67"/>
    <n v="136411.03"/>
    <n v="77692.34"/>
    <n v="390"/>
    <n v="1071"/>
    <s v="20-30"/>
    <x v="0"/>
  </r>
  <r>
    <s v="https://suumo.jp/chintai/jnc_000103352695/?bc=100483940061"/>
    <s v="ＺＯＯＭ新宿下落合"/>
    <s v="東京都新宿区下落合４"/>
    <n v="118000"/>
    <n v="12000"/>
    <n v="118000"/>
    <n v="118000"/>
    <n v="4"/>
    <x v="0"/>
    <n v="25.36"/>
    <n v="8"/>
    <x v="8"/>
    <s v="下落合駅"/>
    <n v="3"/>
    <n v="9.67"/>
    <n v="136411.03"/>
    <n v="77692.34"/>
    <n v="390"/>
    <n v="1071"/>
    <s v="20-30"/>
    <x v="0"/>
  </r>
  <r>
    <s v="https://suumo.jp/chintai/jnc_000100786319/?bc=100455685235"/>
    <s v="AZ Smart 目白御留山"/>
    <s v="東京都新宿区中落合２"/>
    <n v="246000"/>
    <n v="15000"/>
    <m/>
    <m/>
    <n v="-2"/>
    <x v="5"/>
    <n v="48.99"/>
    <n v="2"/>
    <x v="4"/>
    <s v="下落合駅"/>
    <n v="4"/>
    <n v="10"/>
    <n v="136411.03"/>
    <n v="207063.41"/>
    <n v="390"/>
    <n v="41"/>
    <s v="40-50"/>
    <x v="0"/>
  </r>
  <r>
    <s v="https://suumo.jp/chintai/jnc_000100872676/?bc=100375073859"/>
    <s v="西武新宿線 下落合駅 2階建 築2年"/>
    <s v="東京都新宿区中落合２"/>
    <n v="246000"/>
    <n v="15000"/>
    <m/>
    <m/>
    <n v="-2"/>
    <x v="5"/>
    <n v="48.99"/>
    <n v="2"/>
    <x v="0"/>
    <s v="下落合駅"/>
    <n v="4"/>
    <n v="10.67"/>
    <n v="136411.03"/>
    <n v="207063.41"/>
    <n v="390"/>
    <n v="41"/>
    <s v="40-50"/>
    <x v="0"/>
  </r>
  <r>
    <s v="https://suumo.jp/chintai/jnc_000103674203/?bc=100479598373"/>
    <s v="サトウマンション"/>
    <s v="東京都新宿区下落合１"/>
    <n v="130000"/>
    <n v="5000"/>
    <n v="130000"/>
    <n v="130000"/>
    <n v="3"/>
    <x v="6"/>
    <n v="46.53"/>
    <n v="46"/>
    <x v="7"/>
    <s v="下落合駅"/>
    <n v="2"/>
    <n v="6"/>
    <n v="136411.03"/>
    <n v="141491.45000000001"/>
    <n v="390"/>
    <n v="117"/>
    <s v="40-50"/>
    <x v="3"/>
  </r>
  <r>
    <s v="https://suumo.jp/chintai/jnc_000104491569/?bc=100486075316"/>
    <s v="プライムブリス新宿上落合"/>
    <s v="東京都新宿区上落合１"/>
    <n v="153000"/>
    <n v="12000"/>
    <n v="153000"/>
    <n v="153000"/>
    <n v="6"/>
    <x v="6"/>
    <n v="30.02"/>
    <n v="2"/>
    <x v="10"/>
    <s v="下落合駅"/>
    <n v="4"/>
    <n v="6.33"/>
    <n v="136411.03"/>
    <n v="141491.45000000001"/>
    <n v="390"/>
    <n v="117"/>
    <s v="30-40"/>
    <x v="0"/>
  </r>
  <r>
    <s v="https://suumo.jp/chintai/jnc_000104531825/?bc=100486348974"/>
    <s v="ルクレ目白西坂"/>
    <s v="東京都新宿区中落合２"/>
    <n v="185000"/>
    <n v="15000"/>
    <m/>
    <m/>
    <n v="2"/>
    <x v="6"/>
    <n v="39.22"/>
    <n v="4"/>
    <x v="4"/>
    <s v="下落合駅"/>
    <n v="4"/>
    <n v="10.67"/>
    <n v="136411.03"/>
    <n v="141491.45000000001"/>
    <n v="390"/>
    <n v="117"/>
    <s v="30-40"/>
    <x v="0"/>
  </r>
  <r>
    <s v="https://suumo.jp/chintai/jnc_000101588342/?bc=100466686867"/>
    <s v="ルーブル高田馬場弐番館"/>
    <s v="東京都新宿区下落合１"/>
    <n v="144000"/>
    <n v="12000"/>
    <n v="144000"/>
    <n v="144000"/>
    <n v="4"/>
    <x v="6"/>
    <n v="40.9"/>
    <n v="21"/>
    <x v="9"/>
    <s v="下落合駅"/>
    <n v="1"/>
    <n v="1"/>
    <n v="136411.03"/>
    <n v="141491.45000000001"/>
    <n v="390"/>
    <n v="117"/>
    <s v="40-50"/>
    <x v="1"/>
  </r>
  <r>
    <s v="https://suumo.jp/chintai/jnc_000103701859/?bc=100479854223"/>
    <s v="上落合ハイツ"/>
    <s v="東京都新宿区上落合１"/>
    <n v="99000"/>
    <n v="6000"/>
    <n v="99000"/>
    <n v="99000"/>
    <n v="3"/>
    <x v="6"/>
    <n v="42"/>
    <n v="40"/>
    <x v="4"/>
    <s v="下落合駅"/>
    <n v="5"/>
    <n v="7.67"/>
    <n v="136411.03"/>
    <n v="141491.45000000001"/>
    <n v="390"/>
    <n v="117"/>
    <s v="40-50"/>
    <x v="4"/>
  </r>
  <r>
    <s v="https://suumo.jp/chintai/jnc_000104054956/?bc=100482602849"/>
    <s v="ＪＲ山手線 高田馬場駅 5階建 築48年"/>
    <s v="東京都新宿区下落合１"/>
    <n v="120000"/>
    <n v="5000"/>
    <m/>
    <n v="120000"/>
    <n v="1"/>
    <x v="6"/>
    <n v="33.56"/>
    <n v="48"/>
    <x v="7"/>
    <s v="下落合駅"/>
    <n v="4"/>
    <n v="6.5"/>
    <n v="136411.03"/>
    <n v="141491.45000000001"/>
    <n v="390"/>
    <n v="117"/>
    <s v="30-40"/>
    <x v="3"/>
  </r>
  <r>
    <s v="https://suumo.jp/chintai/jnc_000103680257/?bc=100483001211"/>
    <s v="ＪＲ山手線 高田馬場駅 地下1地上4階建 新築"/>
    <s v="東京都新宿区高田馬場３"/>
    <n v="235000"/>
    <n v="15000"/>
    <m/>
    <m/>
    <n v="4"/>
    <x v="6"/>
    <n v="46.78"/>
    <n v="0"/>
    <x v="7"/>
    <s v="下落合駅"/>
    <n v="6"/>
    <n v="8"/>
    <n v="136411.03"/>
    <n v="141491.45000000001"/>
    <n v="390"/>
    <n v="117"/>
    <s v="40-50"/>
    <x v="6"/>
  </r>
  <r>
    <s v="https://suumo.jp/chintai/jnc_000103636277/?bc=100479847612"/>
    <s v="ＬｉｖｅＦｌａｔ高田馬場"/>
    <s v="東京都新宿区高田馬場３"/>
    <n v="205000"/>
    <n v="15000"/>
    <m/>
    <m/>
    <n v="3"/>
    <x v="6"/>
    <n v="39.07"/>
    <n v="0"/>
    <x v="7"/>
    <s v="下落合駅"/>
    <n v="6"/>
    <n v="8"/>
    <n v="136411.03"/>
    <n v="141491.45000000001"/>
    <n v="390"/>
    <n v="117"/>
    <s v="30-40"/>
    <x v="6"/>
  </r>
  <r>
    <s v="https://suumo.jp/chintai/jnc_000103636279/?bc=100479327577"/>
    <s v="ＬｉｖｅＦｌａｔ高田馬場"/>
    <s v="東京都新宿区高田馬場３"/>
    <n v="235000"/>
    <n v="15000"/>
    <m/>
    <m/>
    <n v="4"/>
    <x v="6"/>
    <n v="46.78"/>
    <n v="0"/>
    <x v="7"/>
    <s v="下落合駅"/>
    <n v="6"/>
    <n v="8"/>
    <n v="136411.03"/>
    <n v="141491.45000000001"/>
    <n v="390"/>
    <n v="117"/>
    <s v="40-50"/>
    <x v="6"/>
  </r>
  <r>
    <s v="https://suumo.jp/chintai/jnc_000104398957/?bc=100485336970"/>
    <s v="アヴァンツァーレ新宿ピアチェーレ"/>
    <s v="東京都新宿区上落合１"/>
    <n v="115000"/>
    <m/>
    <n v="115000"/>
    <n v="115000"/>
    <n v="3"/>
    <x v="7"/>
    <n v="29.53"/>
    <n v="57"/>
    <x v="8"/>
    <s v="下落合駅"/>
    <n v="3"/>
    <n v="9"/>
    <n v="136411.03"/>
    <n v="117441.44"/>
    <n v="390"/>
    <n v="111"/>
    <s v="20-30"/>
    <x v="5"/>
  </r>
  <r>
    <s v="https://suumo.jp/chintai/jnc_000103439926/?bc=100477812086"/>
    <s v="パストラール"/>
    <s v="東京都新宿区上落合１"/>
    <n v="120000"/>
    <n v="10000"/>
    <n v="120000"/>
    <n v="120000"/>
    <n v="2"/>
    <x v="7"/>
    <n v="40.44"/>
    <n v="30"/>
    <x v="4"/>
    <s v="下落合駅"/>
    <n v="4"/>
    <n v="7.33"/>
    <n v="136411.03"/>
    <n v="117441.44"/>
    <n v="390"/>
    <n v="111"/>
    <s v="40-50"/>
    <x v="1"/>
  </r>
  <r>
    <s v="https://suumo.jp/chintai/jnc_000103169324/?bc=100475437980"/>
    <s v="メゾンパックス"/>
    <s v="東京都新宿区中落合２"/>
    <n v="100000"/>
    <m/>
    <n v="200000"/>
    <n v="100000"/>
    <n v="6"/>
    <x v="7"/>
    <n v="35.1"/>
    <n v="56"/>
    <x v="9"/>
    <s v="下落合駅"/>
    <n v="7"/>
    <n v="8.67"/>
    <n v="136411.03"/>
    <n v="117441.44"/>
    <n v="390"/>
    <n v="111"/>
    <s v="30-40"/>
    <x v="5"/>
  </r>
  <r>
    <s v="https://suumo.jp/chintai/jnc_000104531824/?bc=100486361608"/>
    <s v="ルクレ目白西坂"/>
    <s v="東京都新宿区中落合２"/>
    <n v="150000"/>
    <n v="15000"/>
    <m/>
    <m/>
    <n v="-2"/>
    <x v="7"/>
    <n v="29.13"/>
    <n v="4"/>
    <x v="4"/>
    <s v="下落合駅"/>
    <n v="4"/>
    <n v="10.67"/>
    <n v="136411.03"/>
    <n v="117441.44"/>
    <n v="390"/>
    <n v="111"/>
    <s v="20-30"/>
    <x v="0"/>
  </r>
  <r>
    <s v="https://suumo.jp/chintai/jnc_000103198519/?bc=100477954121"/>
    <s v="下落合グリーンパーク"/>
    <s v="東京都新宿区上落合１"/>
    <n v="115000"/>
    <m/>
    <n v="115000"/>
    <n v="115000"/>
    <n v="3"/>
    <x v="7"/>
    <n v="29.53"/>
    <n v="57"/>
    <x v="8"/>
    <s v="下落合駅"/>
    <n v="1"/>
    <n v="8.33"/>
    <n v="136411.03"/>
    <n v="117441.44"/>
    <n v="390"/>
    <n v="111"/>
    <s v="20-30"/>
    <x v="5"/>
  </r>
  <r>
    <s v="https://suumo.jp/chintai/jnc_000071125459/?bc=100481346302"/>
    <s v="西武新宿線 下落合駅 11階建 築57年"/>
    <s v="東京都新宿区上落合１"/>
    <n v="115000"/>
    <m/>
    <n v="230000"/>
    <n v="115000"/>
    <n v="3"/>
    <x v="7"/>
    <n v="29.53"/>
    <n v="57"/>
    <x v="8"/>
    <s v="下落合駅"/>
    <n v="3"/>
    <n v="6"/>
    <n v="136411.03"/>
    <n v="117441.44"/>
    <n v="390"/>
    <n v="111"/>
    <s v="20-30"/>
    <x v="5"/>
  </r>
  <r>
    <s v="https://suumo.jp/chintai/jnc_000103473379/?bc=100480789904"/>
    <s v="西武新宿線 下落合駅 4階建 築31年"/>
    <s v="東京都新宿区上落合１"/>
    <n v="120000"/>
    <n v="10000"/>
    <n v="120000"/>
    <n v="120000"/>
    <n v="2"/>
    <x v="7"/>
    <n v="40.44"/>
    <n v="31"/>
    <x v="4"/>
    <s v="下落合駅"/>
    <n v="4"/>
    <n v="7"/>
    <n v="136411.03"/>
    <n v="117441.44"/>
    <n v="390"/>
    <n v="111"/>
    <s v="40-50"/>
    <x v="4"/>
  </r>
  <r>
    <s v="https://suumo.jp/chintai/jnc_000104363194/?bc=100476965382"/>
    <s v="NOBEL中落合"/>
    <s v="東京都新宿区中落合２"/>
    <n v="250000"/>
    <n v="10500"/>
    <n v="250000"/>
    <n v="500000"/>
    <n v="1"/>
    <x v="8"/>
    <n v="51.03"/>
    <n v="0"/>
    <x v="2"/>
    <s v="下落合駅"/>
    <n v="10"/>
    <n v="10"/>
    <n v="136411.03"/>
    <n v="232352.65"/>
    <n v="390"/>
    <n v="359"/>
    <s v="50-60"/>
    <x v="6"/>
  </r>
  <r>
    <s v="https://suumo.jp/chintai/jnc_000104363195/?bc=100476965496"/>
    <s v="NOBEL中落合"/>
    <s v="東京都新宿区中落合２"/>
    <n v="252000"/>
    <n v="10500"/>
    <n v="252000"/>
    <n v="504000"/>
    <n v="1"/>
    <x v="8"/>
    <n v="54.94"/>
    <n v="0"/>
    <x v="2"/>
    <s v="下落合駅"/>
    <n v="10"/>
    <n v="10"/>
    <n v="136411.03"/>
    <n v="232352.65"/>
    <n v="390"/>
    <n v="359"/>
    <s v="50-60"/>
    <x v="6"/>
  </r>
  <r>
    <s v="https://suumo.jp/chintai/jnc_000104363198/?bc=100480384463"/>
    <s v="NOBEL中落合"/>
    <s v="東京都新宿区中落合２"/>
    <n v="258000"/>
    <n v="12500"/>
    <n v="258000"/>
    <n v="516000"/>
    <n v="2"/>
    <x v="8"/>
    <n v="54.94"/>
    <n v="0"/>
    <x v="2"/>
    <s v="下落合駅"/>
    <n v="10"/>
    <n v="10"/>
    <n v="136411.03"/>
    <n v="232352.65"/>
    <n v="390"/>
    <n v="359"/>
    <s v="50-60"/>
    <x v="6"/>
  </r>
  <r>
    <s v="https://suumo.jp/chintai/jnc_000104363197/?bc=100480384461"/>
    <s v="NOBEL中落合"/>
    <s v="東京都新宿区中落合２"/>
    <n v="266000"/>
    <n v="12500"/>
    <n v="266000"/>
    <n v="532000"/>
    <n v="2"/>
    <x v="8"/>
    <n v="58.96"/>
    <n v="0"/>
    <x v="2"/>
    <s v="下落合駅"/>
    <n v="10"/>
    <n v="10"/>
    <n v="136411.03"/>
    <n v="232352.65"/>
    <n v="390"/>
    <n v="359"/>
    <s v="50-60"/>
    <x v="6"/>
  </r>
  <r>
    <s v="https://suumo.jp/chintai/jnc_000104363201/?bc=100480384464"/>
    <s v="NOBEL中落合"/>
    <s v="東京都新宿区中落合２"/>
    <n v="265000"/>
    <n v="12500"/>
    <n v="265000"/>
    <n v="530000"/>
    <n v="3"/>
    <x v="8"/>
    <n v="54.94"/>
    <n v="0"/>
    <x v="2"/>
    <s v="下落合駅"/>
    <n v="10"/>
    <n v="10"/>
    <n v="136411.03"/>
    <n v="232352.65"/>
    <n v="390"/>
    <n v="359"/>
    <s v="50-60"/>
    <x v="6"/>
  </r>
  <r>
    <s v="https://suumo.jp/chintai/jnc_000104363202/?bc=100480384456"/>
    <s v="NOBEL中落合"/>
    <s v="東京都新宿区中落合２"/>
    <n v="261000"/>
    <n v="12500"/>
    <n v="261000"/>
    <n v="522000"/>
    <n v="3"/>
    <x v="8"/>
    <n v="57.2"/>
    <n v="0"/>
    <x v="2"/>
    <s v="下落合駅"/>
    <n v="10"/>
    <n v="10"/>
    <n v="136411.03"/>
    <n v="232352.65"/>
    <n v="390"/>
    <n v="359"/>
    <s v="50-60"/>
    <x v="6"/>
  </r>
  <r>
    <s v="https://suumo.jp/chintai/jnc_000103005824/?bc=100482164581"/>
    <s v="Nodo House（ノードハウス）"/>
    <s v="東京都新宿区下落合４"/>
    <n v="267000"/>
    <n v="3000"/>
    <n v="267000"/>
    <m/>
    <n v="1"/>
    <x v="8"/>
    <n v="68.78"/>
    <n v="0"/>
    <x v="2"/>
    <s v="下落合駅"/>
    <n v="3"/>
    <n v="11"/>
    <n v="136411.03"/>
    <n v="232352.65"/>
    <n v="390"/>
    <n v="359"/>
    <s v="60-70"/>
    <x v="6"/>
  </r>
  <r>
    <s v="https://suumo.jp/chintai/jnc_000103005825/?bc=100482164593"/>
    <s v="Nodo House（ノードハウス）"/>
    <s v="東京都新宿区下落合４"/>
    <n v="238000"/>
    <n v="3000"/>
    <n v="238000"/>
    <m/>
    <n v="2"/>
    <x v="8"/>
    <n v="60.36"/>
    <n v="0"/>
    <x v="2"/>
    <s v="下落合駅"/>
    <n v="3"/>
    <n v="11"/>
    <n v="136411.03"/>
    <n v="232352.65"/>
    <n v="390"/>
    <n v="359"/>
    <s v="60-70"/>
    <x v="6"/>
  </r>
  <r>
    <s v="https://suumo.jp/chintai/jnc_000103005826/?bc=100474165816"/>
    <s v="Nodo House（ノードハウス）"/>
    <s v="東京都新宿区下落合４"/>
    <n v="292000"/>
    <n v="3000"/>
    <n v="292000"/>
    <m/>
    <n v="3"/>
    <x v="8"/>
    <n v="70.98"/>
    <n v="0"/>
    <x v="2"/>
    <s v="下落合駅"/>
    <n v="3"/>
    <n v="11"/>
    <n v="136411.03"/>
    <n v="232352.65"/>
    <n v="390"/>
    <n v="359"/>
    <s v="70-80"/>
    <x v="6"/>
  </r>
  <r>
    <s v="https://suumo.jp/chintai/jnc_000104347525/?bc=100484947643"/>
    <s v="エンブレム下落合"/>
    <s v="東京都新宿区下落合４"/>
    <n v="240000"/>
    <n v="20000"/>
    <n v="240000"/>
    <n v="240000"/>
    <n v="3"/>
    <x v="8"/>
    <n v="87.9"/>
    <n v="40"/>
    <x v="2"/>
    <s v="下落合駅"/>
    <n v="5"/>
    <n v="11.67"/>
    <n v="136411.03"/>
    <n v="232352.65"/>
    <n v="390"/>
    <n v="359"/>
    <s v="80-90"/>
    <x v="4"/>
  </r>
  <r>
    <s v="https://suumo.jp/chintai/jnc_000102792266/?bc=100467628907"/>
    <s v="クレヴィア新宿中落合ウエスト"/>
    <s v="東京都新宿区中落合１"/>
    <n v="280000"/>
    <n v="20000"/>
    <n v="280000"/>
    <n v="280000"/>
    <n v="5"/>
    <x v="8"/>
    <n v="54.51"/>
    <n v="3"/>
    <x v="10"/>
    <s v="下落合駅"/>
    <n v="6"/>
    <n v="8.67"/>
    <n v="136411.03"/>
    <n v="232352.65"/>
    <n v="390"/>
    <n v="359"/>
    <s v="50-60"/>
    <x v="0"/>
  </r>
  <r>
    <s v="https://suumo.jp/chintai/jnc_000103717075/?bc=100485547904"/>
    <s v="グレース目白"/>
    <s v="東京都新宿区下落合４"/>
    <n v="175000"/>
    <n v="10000"/>
    <m/>
    <n v="175000"/>
    <n v="3"/>
    <x v="8"/>
    <n v="59.06"/>
    <n v="35"/>
    <x v="2"/>
    <s v="下落合駅"/>
    <n v="9"/>
    <n v="12"/>
    <n v="136411.03"/>
    <n v="232352.65"/>
    <n v="390"/>
    <n v="359"/>
    <s v="50-60"/>
    <x v="4"/>
  </r>
  <r>
    <s v="https://suumo.jp/chintai/jnc_000104107333/?bc=100483962568"/>
    <s v="フォレストヒルズ中落合"/>
    <s v="東京都新宿区中落合２"/>
    <n v="195000"/>
    <n v="10000"/>
    <n v="195000"/>
    <n v="195000"/>
    <n v="2"/>
    <x v="8"/>
    <n v="56.32"/>
    <n v="28"/>
    <x v="4"/>
    <s v="下落合駅"/>
    <n v="5"/>
    <n v="10.67"/>
    <n v="136411.03"/>
    <n v="232352.65"/>
    <n v="390"/>
    <n v="359"/>
    <s v="50-60"/>
    <x v="1"/>
  </r>
  <r>
    <s v="https://suumo.jp/chintai/jnc_000103244912/?bc=100484516802"/>
    <s v="メゾンカルム中落合North"/>
    <s v="東京都新宿区中落合２"/>
    <n v="214000"/>
    <n v="15000"/>
    <n v="214000"/>
    <m/>
    <n v="1"/>
    <x v="8"/>
    <n v="65.75"/>
    <n v="37"/>
    <x v="2"/>
    <s v="下落合駅"/>
    <n v="6"/>
    <n v="10.67"/>
    <n v="136411.03"/>
    <n v="232352.65"/>
    <n v="390"/>
    <n v="359"/>
    <s v="60-70"/>
    <x v="4"/>
  </r>
  <r>
    <s v="https://suumo.jp/chintai/jnc_000103487240/?bc=100478002269"/>
    <s v="メゾンカルム中落合South"/>
    <s v="東京都新宿区中落合２"/>
    <n v="214000"/>
    <n v="15000"/>
    <n v="214000"/>
    <m/>
    <n v="3"/>
    <x v="8"/>
    <n v="64.42"/>
    <n v="37"/>
    <x v="2"/>
    <s v="下落合駅"/>
    <n v="6"/>
    <n v="8.5"/>
    <n v="136411.03"/>
    <n v="232352.65"/>
    <n v="390"/>
    <n v="359"/>
    <s v="60-70"/>
    <x v="4"/>
  </r>
  <r>
    <s v="https://suumo.jp/chintai/jnc_000104156224/?bc=100483401178"/>
    <s v="メゾンカルム中落合ノース"/>
    <s v="東京都新宿区中落合２"/>
    <n v="214000"/>
    <n v="15000"/>
    <n v="214000"/>
    <m/>
    <n v="3"/>
    <x v="8"/>
    <n v="64.42"/>
    <n v="37"/>
    <x v="2"/>
    <s v="下落合駅"/>
    <n v="8"/>
    <n v="10.33"/>
    <n v="136411.03"/>
    <n v="232352.65"/>
    <n v="390"/>
    <n v="359"/>
    <s v="60-70"/>
    <x v="4"/>
  </r>
  <r>
    <s v="https://suumo.jp/chintai/jnc_000103182501/?bc=100481085281"/>
    <s v="レジディア中落合"/>
    <s v="東京都新宿区中落合１"/>
    <n v="210000"/>
    <n v="25000"/>
    <n v="210000"/>
    <n v="210000"/>
    <n v="6"/>
    <x v="8"/>
    <n v="55.99"/>
    <n v="18"/>
    <x v="10"/>
    <s v="下落合駅"/>
    <n v="5"/>
    <n v="7.33"/>
    <n v="136411.03"/>
    <n v="232352.65"/>
    <n v="390"/>
    <n v="359"/>
    <s v="50-60"/>
    <x v="7"/>
  </r>
  <r>
    <s v="https://suumo.jp/chintai/jnc_000102182209/?bc=100465280390"/>
    <s v="レジディア中落合"/>
    <s v="東京都新宿区中落合１"/>
    <n v="230000"/>
    <n v="15000"/>
    <n v="230000"/>
    <n v="230000"/>
    <n v="6"/>
    <x v="8"/>
    <n v="55.99"/>
    <n v="18"/>
    <x v="10"/>
    <s v="下落合駅"/>
    <n v="5"/>
    <n v="7.33"/>
    <n v="136411.03"/>
    <n v="232352.65"/>
    <n v="390"/>
    <n v="359"/>
    <s v="50-60"/>
    <x v="7"/>
  </r>
  <r>
    <s v="https://suumo.jp/chintai/jnc_000103610322/?bc=100486428152"/>
    <s v="レジディア中落合Ｂ棟"/>
    <s v="東京都新宿区中落合１"/>
    <n v="222000"/>
    <n v="25000"/>
    <n v="222000"/>
    <m/>
    <n v="7"/>
    <x v="8"/>
    <n v="61.57"/>
    <n v="18"/>
    <x v="10"/>
    <s v="下落合駅"/>
    <n v="5"/>
    <n v="7.67"/>
    <n v="136411.03"/>
    <n v="232352.65"/>
    <n v="390"/>
    <n v="359"/>
    <s v="60-70"/>
    <x v="7"/>
  </r>
  <r>
    <s v="https://suumo.jp/chintai/jnc_000102182204/?bc=100463476224"/>
    <s v="レジディア中落合Ｂ棟"/>
    <s v="東京都新宿区中落合１"/>
    <n v="245000"/>
    <n v="15000"/>
    <n v="245000"/>
    <m/>
    <n v="7"/>
    <x v="8"/>
    <n v="61.57"/>
    <n v="18"/>
    <x v="10"/>
    <s v="下落合駅"/>
    <n v="5"/>
    <n v="7.67"/>
    <n v="136411.03"/>
    <n v="232352.65"/>
    <n v="390"/>
    <n v="359"/>
    <s v="60-70"/>
    <x v="7"/>
  </r>
  <r>
    <s v="https://suumo.jp/chintai/jnc_000104043934/?bc=100482914996"/>
    <s v="日興パレス高田馬場"/>
    <s v="東京都新宿区上落合１"/>
    <n v="173000"/>
    <n v="22000"/>
    <n v="173000"/>
    <n v="173000"/>
    <n v="4"/>
    <x v="8"/>
    <n v="44.71"/>
    <n v="45"/>
    <x v="5"/>
    <s v="下落合駅"/>
    <n v="8"/>
    <n v="12"/>
    <n v="136411.03"/>
    <n v="232352.65"/>
    <n v="390"/>
    <n v="359"/>
    <s v="40-50"/>
    <x v="3"/>
  </r>
  <r>
    <s v="https://suumo.jp/chintai/jnc_000104020997/?bc=100482260147"/>
    <s v="西武新宿線 下落合駅 3階建 新築"/>
    <s v="東京都新宿区下落合４"/>
    <n v="267000"/>
    <n v="3000"/>
    <n v="267000"/>
    <m/>
    <n v="1"/>
    <x v="8"/>
    <n v="68.78"/>
    <n v="0"/>
    <x v="2"/>
    <s v="下落合駅"/>
    <n v="3"/>
    <n v="11"/>
    <n v="136411.03"/>
    <n v="232352.65"/>
    <n v="390"/>
    <n v="359"/>
    <s v="60-70"/>
    <x v="6"/>
  </r>
  <r>
    <s v="https://suumo.jp/chintai/jnc_000104020998/?bc=100482260139"/>
    <s v="西武新宿線 下落合駅 3階建 新築"/>
    <s v="東京都新宿区下落合４"/>
    <n v="238000"/>
    <n v="3000"/>
    <n v="238000"/>
    <m/>
    <n v="2"/>
    <x v="8"/>
    <n v="60.36"/>
    <n v="0"/>
    <x v="2"/>
    <s v="下落合駅"/>
    <n v="3"/>
    <n v="11"/>
    <n v="136411.03"/>
    <n v="232352.65"/>
    <n v="390"/>
    <n v="359"/>
    <s v="60-70"/>
    <x v="6"/>
  </r>
  <r>
    <s v="https://suumo.jp/chintai/jnc_000104276183/?bc=100484342447"/>
    <s v="西武新宿線 下落合駅 3階建 築36年"/>
    <s v="東京都新宿区中落合２"/>
    <n v="210000"/>
    <n v="15000"/>
    <n v="210000"/>
    <m/>
    <n v="1"/>
    <x v="8"/>
    <n v="63"/>
    <n v="36"/>
    <x v="2"/>
    <s v="下落合駅"/>
    <n v="6"/>
    <n v="10.67"/>
    <n v="136411.03"/>
    <n v="232352.65"/>
    <n v="390"/>
    <n v="359"/>
    <s v="60-70"/>
    <x v="4"/>
  </r>
  <r>
    <s v="https://suumo.jp/chintai/jnc_000103277818/?bc=100478215977"/>
    <s v="西武新宿線 下落合駅 3階建 築36年"/>
    <s v="東京都新宿区中落合２"/>
    <n v="211000"/>
    <n v="15000"/>
    <n v="211000"/>
    <m/>
    <n v="3"/>
    <x v="8"/>
    <n v="63"/>
    <n v="36"/>
    <x v="2"/>
    <s v="下落合駅"/>
    <n v="6"/>
    <n v="10.67"/>
    <n v="136411.03"/>
    <n v="232352.65"/>
    <n v="390"/>
    <n v="359"/>
    <s v="60-70"/>
    <x v="4"/>
  </r>
  <r>
    <s v="https://suumo.jp/chintai/jnc_000104271769/?bc=100484484640"/>
    <s v="西武新宿線 下落合駅 3階建 築40年"/>
    <s v="東京都新宿区下落合４"/>
    <n v="240000"/>
    <n v="20000"/>
    <n v="240000"/>
    <n v="240000"/>
    <n v="3"/>
    <x v="8"/>
    <n v="87.9"/>
    <n v="40"/>
    <x v="2"/>
    <s v="下落合駅"/>
    <n v="5"/>
    <n v="11.33"/>
    <n v="136411.03"/>
    <n v="232352.65"/>
    <n v="390"/>
    <n v="359"/>
    <s v="80-90"/>
    <x v="4"/>
  </r>
  <r>
    <s v="https://suumo.jp/chintai/jnc_000103238932/?bc=100476987594"/>
    <s v="西武新宿線 下落合駅 5階建 築46年"/>
    <s v="東京都新宿区下落合１"/>
    <n v="130000"/>
    <n v="5000"/>
    <n v="130000"/>
    <n v="130000"/>
    <n v="3"/>
    <x v="8"/>
    <n v="44.5"/>
    <n v="46"/>
    <x v="7"/>
    <s v="下落合駅"/>
    <n v="2"/>
    <n v="8"/>
    <n v="136411.03"/>
    <n v="232352.65"/>
    <n v="390"/>
    <n v="359"/>
    <s v="40-50"/>
    <x v="3"/>
  </r>
  <r>
    <s v="https://suumo.jp/chintai/jnc_000104398971/?bc=100485334165"/>
    <s v="西武新宿線 下落合駅 地下1地上1階建 築45年"/>
    <s v="東京都新宿区下落合４"/>
    <n v="138000"/>
    <m/>
    <n v="138000"/>
    <n v="138000"/>
    <n v="-1"/>
    <x v="8"/>
    <n v="40"/>
    <n v="45"/>
    <x v="0"/>
    <s v="下落合駅"/>
    <n v="3"/>
    <n v="10.67"/>
    <n v="136411.03"/>
    <n v="232352.65"/>
    <n v="390"/>
    <n v="359"/>
    <s v="40-50"/>
    <x v="3"/>
  </r>
  <r>
    <s v="https://suumo.jp/chintai/jnc_000104398971/?bc=100485334165"/>
    <s v="西武新宿線 下落合駅 地下1地上1階建 築45年"/>
    <s v="東京都新宿区下落合４"/>
    <n v="138000"/>
    <m/>
    <n v="138000"/>
    <n v="138000"/>
    <n v="0"/>
    <x v="8"/>
    <n v="40"/>
    <n v="45"/>
    <x v="0"/>
    <s v="下落合駅"/>
    <n v="3"/>
    <n v="10.67"/>
    <n v="136411.03"/>
    <n v="232352.65"/>
    <n v="390"/>
    <n v="359"/>
    <s v="40-50"/>
    <x v="3"/>
  </r>
  <r>
    <s v="https://suumo.jp/chintai/jnc_000104398971/?bc=100485334165"/>
    <s v="西武新宿線 下落合駅 地下1地上1階建 築45年"/>
    <s v="東京都新宿区下落合４"/>
    <n v="138000"/>
    <m/>
    <n v="138000"/>
    <n v="138000"/>
    <n v="1"/>
    <x v="8"/>
    <n v="40"/>
    <n v="45"/>
    <x v="0"/>
    <s v="下落合駅"/>
    <n v="3"/>
    <n v="10.67"/>
    <n v="136411.03"/>
    <n v="232352.65"/>
    <n v="390"/>
    <n v="359"/>
    <s v="40-50"/>
    <x v="3"/>
  </r>
  <r>
    <s v="https://suumo.jp/chintai/jnc_000103057431/?bc=100476788861"/>
    <s v="高田馬場3丁目戸建"/>
    <s v="東京都新宿区高田馬場３"/>
    <n v="248000"/>
    <m/>
    <n v="496000"/>
    <n v="248000"/>
    <n v="1"/>
    <x v="8"/>
    <n v="63.38"/>
    <n v="5"/>
    <x v="2"/>
    <s v="下落合駅"/>
    <n v="7"/>
    <n v="7.67"/>
    <n v="136411.03"/>
    <n v="232352.65"/>
    <n v="390"/>
    <n v="359"/>
    <s v="60-70"/>
    <x v="0"/>
  </r>
  <r>
    <s v="https://suumo.jp/chintai/jnc_000103057431/?bc=100476788861"/>
    <s v="高田馬場3丁目戸建"/>
    <s v="東京都新宿区高田馬場３"/>
    <n v="248000"/>
    <m/>
    <n v="496000"/>
    <n v="248000"/>
    <n v="2"/>
    <x v="8"/>
    <n v="63.38"/>
    <n v="5"/>
    <x v="2"/>
    <s v="下落合駅"/>
    <n v="7"/>
    <n v="7.67"/>
    <n v="136411.03"/>
    <n v="232352.65"/>
    <n v="390"/>
    <n v="359"/>
    <s v="60-70"/>
    <x v="0"/>
  </r>
  <r>
    <s v="https://suumo.jp/chintai/jnc_000103057431/?bc=100476788861"/>
    <s v="高田馬場3丁目戸建"/>
    <s v="東京都新宿区高田馬場３"/>
    <n v="248000"/>
    <m/>
    <n v="496000"/>
    <n v="248000"/>
    <n v="3"/>
    <x v="8"/>
    <n v="63.38"/>
    <n v="5"/>
    <x v="2"/>
    <s v="下落合駅"/>
    <n v="7"/>
    <n v="7.67"/>
    <n v="136411.03"/>
    <n v="232352.65"/>
    <n v="390"/>
    <n v="359"/>
    <s v="60-70"/>
    <x v="0"/>
  </r>
  <r>
    <s v="https://suumo.jp/chintai/jnc_000103473414/?bc=100479492336"/>
    <s v="高田馬場3丁目戸建て"/>
    <s v="東京都新宿区高田馬場３"/>
    <n v="220000"/>
    <m/>
    <n v="220000"/>
    <n v="220000"/>
    <n v="2"/>
    <x v="8"/>
    <n v="63.09"/>
    <n v="44"/>
    <x v="0"/>
    <s v="下落合駅"/>
    <n v="3"/>
    <n v="9.33"/>
    <n v="136411.03"/>
    <n v="232352.65"/>
    <n v="390"/>
    <n v="359"/>
    <s v="60-70"/>
    <x v="3"/>
  </r>
  <r>
    <s v="https://suumo.jp/chintai/jnc_000103658015/?bc=100479661409"/>
    <s v="ＪＲ山手線 高田馬場駅 地下1地上4階建 新築"/>
    <s v="東京都新宿区高田馬場３"/>
    <n v="235000"/>
    <n v="15000"/>
    <m/>
    <m/>
    <n v="1"/>
    <x v="8"/>
    <n v="49.64"/>
    <n v="0"/>
    <x v="7"/>
    <s v="下落合駅"/>
    <n v="6"/>
    <n v="8"/>
    <n v="136411.03"/>
    <n v="232352.65"/>
    <n v="390"/>
    <n v="359"/>
    <s v="40-50"/>
    <x v="6"/>
  </r>
  <r>
    <s v="https://suumo.jp/chintai/jnc_000103658016/?bc=100479800361"/>
    <s v="ＪＲ山手線 高田馬場駅 地下1地上4階建 新築"/>
    <s v="東京都新宿区高田馬場３"/>
    <n v="240000"/>
    <n v="15000"/>
    <m/>
    <m/>
    <n v="1"/>
    <x v="8"/>
    <n v="50.79"/>
    <n v="0"/>
    <x v="7"/>
    <s v="下落合駅"/>
    <n v="6"/>
    <n v="8"/>
    <n v="136411.03"/>
    <n v="232352.65"/>
    <n v="390"/>
    <n v="359"/>
    <s v="50-60"/>
    <x v="6"/>
  </r>
  <r>
    <s v="https://suumo.jp/chintai/jnc_000103658014/?bc=100479800395"/>
    <s v="ＪＲ山手線 高田馬場駅 地下1地上4階建 新築"/>
    <s v="東京都新宿区高田馬場３"/>
    <n v="250000"/>
    <n v="15000"/>
    <m/>
    <m/>
    <n v="1"/>
    <x v="8"/>
    <n v="53.43"/>
    <n v="0"/>
    <x v="7"/>
    <s v="下落合駅"/>
    <n v="6"/>
    <n v="8"/>
    <n v="136411.03"/>
    <n v="232352.65"/>
    <n v="390"/>
    <n v="359"/>
    <s v="50-60"/>
    <x v="6"/>
  </r>
  <r>
    <s v="https://suumo.jp/chintai/jnc_000103636272/?bc=100481356769"/>
    <s v="ＬｉｖｅＦｌａｔ高田馬場"/>
    <s v="東京都新宿区高田馬場３"/>
    <n v="235000"/>
    <n v="15000"/>
    <m/>
    <m/>
    <n v="1"/>
    <x v="8"/>
    <n v="49.64"/>
    <n v="0"/>
    <x v="7"/>
    <s v="下落合駅"/>
    <n v="6"/>
    <n v="8"/>
    <n v="136411.03"/>
    <n v="232352.65"/>
    <n v="390"/>
    <n v="359"/>
    <s v="40-50"/>
    <x v="6"/>
  </r>
  <r>
    <s v="https://suumo.jp/chintai/jnc_000103636273/?bc=100485036508"/>
    <s v="ＬｉｖｅＦｌａｔ高田馬場"/>
    <s v="東京都新宿区高田馬場３"/>
    <n v="240000"/>
    <n v="15000"/>
    <m/>
    <m/>
    <n v="1"/>
    <x v="8"/>
    <n v="50.79"/>
    <n v="0"/>
    <x v="7"/>
    <s v="下落合駅"/>
    <n v="6"/>
    <n v="8"/>
    <n v="136411.03"/>
    <n v="232352.65"/>
    <n v="390"/>
    <n v="359"/>
    <s v="50-60"/>
    <x v="6"/>
  </r>
  <r>
    <s v="https://suumo.jp/chintai/jnc_000103636271/?bc=100480984482"/>
    <s v="ＬｉｖｅＦｌａｔ高田馬場"/>
    <s v="東京都新宿区高田馬場３"/>
    <n v="250000"/>
    <n v="15000"/>
    <m/>
    <m/>
    <n v="1"/>
    <x v="8"/>
    <n v="53.43"/>
    <n v="0"/>
    <x v="7"/>
    <s v="下落合駅"/>
    <n v="6"/>
    <n v="8"/>
    <n v="136411.03"/>
    <n v="232352.65"/>
    <n v="390"/>
    <n v="359"/>
    <s v="50-60"/>
    <x v="6"/>
  </r>
  <r>
    <s v="https://suumo.jp/chintai/jnc_000104196098/?bc=100481840552"/>
    <s v="ルクレ目白西坂"/>
    <s v="東京都新宿区中落合２"/>
    <n v="145000"/>
    <n v="15000"/>
    <m/>
    <m/>
    <n v="2"/>
    <x v="9"/>
    <n v="28.41"/>
    <n v="4"/>
    <x v="4"/>
    <s v="下落合駅"/>
    <n v="4"/>
    <n v="10.67"/>
    <n v="136411.03"/>
    <n v="145000"/>
    <n v="390"/>
    <n v="2"/>
    <s v="20-30"/>
    <x v="0"/>
  </r>
  <r>
    <s v="https://suumo.jp/chintai/jnc_000104196100/?bc=100482071573"/>
    <s v="西武新宿線 下落合駅 地下2地上2階建 築4年"/>
    <s v="東京都新宿区中落合２"/>
    <n v="145000"/>
    <n v="15000"/>
    <m/>
    <m/>
    <n v="2"/>
    <x v="9"/>
    <n v="28.41"/>
    <n v="4"/>
    <x v="4"/>
    <s v="下落合駅"/>
    <n v="4"/>
    <n v="11"/>
    <n v="136411.03"/>
    <n v="145000"/>
    <n v="390"/>
    <n v="2"/>
    <s v="20-30"/>
    <x v="0"/>
  </r>
  <r>
    <s v="https://suumo.jp/chintai/jnc_000103244914/?bc=100476591044"/>
    <s v="メゾンカルム中落合North"/>
    <s v="東京都新宿区中落合２"/>
    <n v="212000"/>
    <n v="15000"/>
    <n v="212000"/>
    <m/>
    <n v="2"/>
    <x v="10"/>
    <n v="63"/>
    <n v="37"/>
    <x v="2"/>
    <s v="下落合駅"/>
    <n v="6"/>
    <n v="10.67"/>
    <n v="136411.03"/>
    <n v="282153.84999999998"/>
    <n v="390"/>
    <n v="26"/>
    <s v="60-70"/>
    <x v="4"/>
  </r>
  <r>
    <s v="https://suumo.jp/chintai/jnc_000104156222/?bc=100483401182"/>
    <s v="メゾンカルム中落合ノース"/>
    <s v="東京都新宿区中落合２"/>
    <n v="214000"/>
    <n v="15000"/>
    <n v="214000"/>
    <m/>
    <n v="1"/>
    <x v="10"/>
    <n v="65.75"/>
    <n v="37"/>
    <x v="2"/>
    <s v="下落合駅"/>
    <n v="8"/>
    <n v="10.33"/>
    <n v="136411.03"/>
    <n v="282153.84999999998"/>
    <n v="390"/>
    <n v="26"/>
    <s v="60-70"/>
    <x v="4"/>
  </r>
  <r>
    <s v="https://suumo.jp/chintai/jnc_000104416545/?bc=100485866859"/>
    <s v="西武新宿線 下落合駅 3階建 築36年"/>
    <s v="東京都新宿区中落合２"/>
    <n v="214000"/>
    <n v="15000"/>
    <n v="214000"/>
    <m/>
    <n v="1"/>
    <x v="10"/>
    <n v="66.650000000000006"/>
    <n v="36"/>
    <x v="2"/>
    <s v="下落合駅"/>
    <n v="6"/>
    <n v="10.67"/>
    <n v="136411.03"/>
    <n v="282153.84999999998"/>
    <n v="390"/>
    <n v="26"/>
    <s v="60-70"/>
    <x v="4"/>
  </r>
  <r>
    <s v="https://suumo.jp/chintai/jnc_000091631801/?bc=100482442866"/>
    <s v="グラナーデ目白御留山"/>
    <s v="東京都新宿区下落合４"/>
    <n v="242000"/>
    <n v="10000"/>
    <m/>
    <m/>
    <n v="2"/>
    <x v="11"/>
    <n v="54.65"/>
    <n v="2"/>
    <x v="2"/>
    <s v="下落合駅"/>
    <n v="8"/>
    <n v="12.67"/>
    <n v="136411.03"/>
    <n v="184333.33"/>
    <n v="390"/>
    <n v="18"/>
    <s v="50-60"/>
    <x v="0"/>
  </r>
  <r>
    <s v="https://suumo.jp/chintai/jnc_000091638408/?bc=100360284581"/>
    <s v="西武新宿線 下落合駅 3階建 築2年"/>
    <s v="東京都新宿区下落合４"/>
    <n v="242000"/>
    <n v="10000"/>
    <m/>
    <m/>
    <n v="2"/>
    <x v="11"/>
    <n v="54.65"/>
    <n v="2"/>
    <x v="2"/>
    <s v="下落合駅"/>
    <n v="8"/>
    <n v="12.33"/>
    <n v="136411.03"/>
    <n v="184333.33"/>
    <n v="390"/>
    <n v="18"/>
    <s v="50-60"/>
    <x v="0"/>
  </r>
  <r>
    <s v="https://suumo.jp/chintai/jnc_000104378568/?bc=100485173344"/>
    <s v="中落合2丁目戸建"/>
    <s v="東京都新宿区中落合２"/>
    <n v="200000"/>
    <m/>
    <n v="200000"/>
    <n v="200000"/>
    <n v="1"/>
    <x v="12"/>
    <n v="41.09"/>
    <n v="42"/>
    <x v="0"/>
    <s v="下落合駅"/>
    <n v="9"/>
    <n v="12"/>
    <n v="136411.03"/>
    <n v="163600"/>
    <n v="390"/>
    <n v="5"/>
    <s v="40-50"/>
    <x v="3"/>
  </r>
  <r>
    <s v="https://suumo.jp/chintai/jnc_000104378568/?bc=100485173344"/>
    <s v="中落合2丁目戸建"/>
    <s v="東京都新宿区中落合２"/>
    <n v="200000"/>
    <m/>
    <n v="200000"/>
    <n v="200000"/>
    <n v="2"/>
    <x v="12"/>
    <n v="41.09"/>
    <n v="42"/>
    <x v="0"/>
    <s v="下落合駅"/>
    <n v="9"/>
    <n v="12"/>
    <n v="136411.03"/>
    <n v="163600"/>
    <n v="390"/>
    <n v="5"/>
    <s v="40-50"/>
    <x v="3"/>
  </r>
  <r>
    <s v="https://suumo.jp/chintai/jnc_000104363199/?bc=100480384462"/>
    <s v="NOBEL中落合"/>
    <s v="東京都新宿区中落合２"/>
    <n v="278000"/>
    <n v="12500"/>
    <n v="278000"/>
    <n v="556000"/>
    <n v="2"/>
    <x v="13"/>
    <n v="68.75"/>
    <n v="0"/>
    <x v="2"/>
    <s v="下落合駅"/>
    <n v="10"/>
    <n v="10"/>
    <n v="136411.03"/>
    <n v="288705.81"/>
    <n v="390"/>
    <n v="155"/>
    <s v="60-70"/>
    <x v="6"/>
  </r>
  <r>
    <s v="https://suumo.jp/chintai/jnc_000104363200/?bc=100480384465"/>
    <s v="NOBEL中落合"/>
    <s v="東京都新宿区中落合２"/>
    <n v="281000"/>
    <n v="12500"/>
    <n v="281000"/>
    <n v="562000"/>
    <n v="3"/>
    <x v="13"/>
    <n v="66.849999999999994"/>
    <n v="0"/>
    <x v="2"/>
    <s v="下落合駅"/>
    <n v="10"/>
    <n v="10"/>
    <n v="136411.03"/>
    <n v="288705.81"/>
    <n v="390"/>
    <n v="155"/>
    <s v="60-70"/>
    <x v="6"/>
  </r>
  <r>
    <s v="https://suumo.jp/chintai/jnc_000102847679/?bc=100450181152"/>
    <s v="ガーデンスクエア目白"/>
    <s v="東京都新宿区下落合４"/>
    <n v="430000"/>
    <n v="10000"/>
    <n v="430000"/>
    <n v="430000"/>
    <n v="1"/>
    <x v="13"/>
    <n v="105.71"/>
    <n v="0"/>
    <x v="0"/>
    <s v="下落合駅"/>
    <n v="7"/>
    <n v="13"/>
    <n v="136411.03"/>
    <n v="288705.81"/>
    <n v="390"/>
    <n v="155"/>
    <s v="100+"/>
    <x v="6"/>
  </r>
  <r>
    <s v="https://suumo.jp/chintai/jnc_000102847679/?bc=100450181152"/>
    <s v="ガーデンスクエア目白"/>
    <s v="東京都新宿区下落合４"/>
    <n v="430000"/>
    <n v="10000"/>
    <n v="430000"/>
    <n v="430000"/>
    <n v="2"/>
    <x v="13"/>
    <n v="105.71"/>
    <n v="0"/>
    <x v="0"/>
    <s v="下落合駅"/>
    <n v="7"/>
    <n v="13"/>
    <n v="136411.03"/>
    <n v="288705.81"/>
    <n v="390"/>
    <n v="155"/>
    <s v="100+"/>
    <x v="6"/>
  </r>
  <r>
    <s v="https://suumo.jp/chintai/jnc_000102847682/?bc=100450181154"/>
    <s v="ガーデンスクエア目白"/>
    <s v="東京都新宿区下落合４"/>
    <n v="320000"/>
    <n v="10000"/>
    <n v="320000"/>
    <n v="320000"/>
    <n v="1"/>
    <x v="13"/>
    <n v="83.27"/>
    <n v="0"/>
    <x v="0"/>
    <s v="下落合駅"/>
    <n v="7"/>
    <n v="13"/>
    <n v="136411.03"/>
    <n v="288705.81"/>
    <n v="390"/>
    <n v="155"/>
    <s v="80-90"/>
    <x v="6"/>
  </r>
  <r>
    <s v="https://suumo.jp/chintai/jnc_000102847682/?bc=100450181154"/>
    <s v="ガーデンスクエア目白"/>
    <s v="東京都新宿区下落合４"/>
    <n v="320000"/>
    <n v="10000"/>
    <n v="320000"/>
    <n v="320000"/>
    <n v="2"/>
    <x v="13"/>
    <n v="83.27"/>
    <n v="0"/>
    <x v="0"/>
    <s v="下落合駅"/>
    <n v="7"/>
    <n v="13"/>
    <n v="136411.03"/>
    <n v="288705.81"/>
    <n v="390"/>
    <n v="155"/>
    <s v="80-90"/>
    <x v="6"/>
  </r>
  <r>
    <s v="https://suumo.jp/chintai/jnc_000102847677/?bc=100450181067"/>
    <s v="ガーデンスクエア目白"/>
    <s v="東京都新宿区下落合４"/>
    <n v="320000"/>
    <n v="10000"/>
    <n v="320000"/>
    <n v="320000"/>
    <n v="1"/>
    <x v="13"/>
    <n v="84.7"/>
    <n v="0"/>
    <x v="0"/>
    <s v="下落合駅"/>
    <n v="7"/>
    <n v="13"/>
    <n v="136411.03"/>
    <n v="288705.81"/>
    <n v="390"/>
    <n v="155"/>
    <s v="80-90"/>
    <x v="6"/>
  </r>
  <r>
    <s v="https://suumo.jp/chintai/jnc_000102847677/?bc=100450181067"/>
    <s v="ガーデンスクエア目白"/>
    <s v="東京都新宿区下落合４"/>
    <n v="320000"/>
    <n v="10000"/>
    <n v="320000"/>
    <n v="320000"/>
    <n v="2"/>
    <x v="13"/>
    <n v="84.7"/>
    <n v="0"/>
    <x v="0"/>
    <s v="下落合駅"/>
    <n v="7"/>
    <n v="13"/>
    <n v="136411.03"/>
    <n v="288705.81"/>
    <n v="390"/>
    <n v="155"/>
    <s v="80-90"/>
    <x v="6"/>
  </r>
  <r>
    <s v="https://suumo.jp/chintai/jnc_000102847675/?bc=100450181149"/>
    <s v="ガーデンスクエア目白"/>
    <s v="東京都新宿区下落合４"/>
    <n v="320000"/>
    <n v="10000"/>
    <n v="320000"/>
    <n v="320000"/>
    <n v="1"/>
    <x v="13"/>
    <n v="85.06"/>
    <n v="0"/>
    <x v="0"/>
    <s v="下落合駅"/>
    <n v="7"/>
    <n v="13"/>
    <n v="136411.03"/>
    <n v="288705.81"/>
    <n v="390"/>
    <n v="155"/>
    <s v="80-90"/>
    <x v="6"/>
  </r>
  <r>
    <s v="https://suumo.jp/chintai/jnc_000102847675/?bc=100450181149"/>
    <s v="ガーデンスクエア目白"/>
    <s v="東京都新宿区下落合４"/>
    <n v="320000"/>
    <n v="10000"/>
    <n v="320000"/>
    <n v="320000"/>
    <n v="2"/>
    <x v="13"/>
    <n v="85.06"/>
    <n v="0"/>
    <x v="0"/>
    <s v="下落合駅"/>
    <n v="7"/>
    <n v="13"/>
    <n v="136411.03"/>
    <n v="288705.81"/>
    <n v="390"/>
    <n v="155"/>
    <s v="80-90"/>
    <x v="6"/>
  </r>
  <r>
    <s v="https://suumo.jp/chintai/jnc_000103244911/?bc=100476468568"/>
    <s v="メゾンカルム中落合North"/>
    <s v="東京都新宿区中落合２"/>
    <n v="214000"/>
    <n v="15000"/>
    <n v="214000"/>
    <m/>
    <n v="1"/>
    <x v="13"/>
    <n v="66.650000000000006"/>
    <n v="37"/>
    <x v="2"/>
    <s v="下落合駅"/>
    <n v="6"/>
    <n v="10.67"/>
    <n v="136411.03"/>
    <n v="288705.81"/>
    <n v="390"/>
    <n v="155"/>
    <s v="60-70"/>
    <x v="4"/>
  </r>
  <r>
    <s v="https://suumo.jp/chintai/jnc_000103244913/?bc=100476591045"/>
    <s v="メゾンカルム中落合North"/>
    <s v="東京都新宿区中落合２"/>
    <n v="214000"/>
    <n v="15000"/>
    <n v="214000"/>
    <m/>
    <n v="2"/>
    <x v="13"/>
    <n v="66.650000000000006"/>
    <n v="37"/>
    <x v="2"/>
    <s v="下落合駅"/>
    <n v="6"/>
    <n v="10.67"/>
    <n v="136411.03"/>
    <n v="288705.81"/>
    <n v="390"/>
    <n v="155"/>
    <s v="60-70"/>
    <x v="4"/>
  </r>
  <r>
    <s v="https://suumo.jp/chintai/jnc_000103487239/?bc=100474545814"/>
    <s v="メゾンカルム中落合South"/>
    <s v="東京都新宿区中落合２"/>
    <n v="210000"/>
    <n v="15000"/>
    <n v="210000"/>
    <m/>
    <n v="1"/>
    <x v="13"/>
    <n v="63"/>
    <n v="37"/>
    <x v="2"/>
    <s v="下落合駅"/>
    <n v="6"/>
    <n v="8.5"/>
    <n v="136411.03"/>
    <n v="288705.81"/>
    <n v="390"/>
    <n v="155"/>
    <s v="60-70"/>
    <x v="4"/>
  </r>
  <r>
    <s v="https://suumo.jp/chintai/jnc_000103244916/?bc=100474503733"/>
    <s v="メゾンカルム中落合South"/>
    <s v="東京都新宿区中落合２"/>
    <n v="211000"/>
    <n v="15000"/>
    <n v="211000"/>
    <m/>
    <n v="3"/>
    <x v="13"/>
    <n v="63"/>
    <n v="37"/>
    <x v="2"/>
    <s v="下落合駅"/>
    <n v="6"/>
    <n v="8.5"/>
    <n v="136411.03"/>
    <n v="288705.81"/>
    <n v="390"/>
    <n v="155"/>
    <s v="60-70"/>
    <x v="4"/>
  </r>
  <r>
    <s v="https://suumo.jp/chintai/jnc_000103813462/?bc=100480731161"/>
    <s v="メゾンカルム中落合サウス"/>
    <s v="東京都新宿区中落合２"/>
    <n v="211000"/>
    <n v="15000"/>
    <n v="211000"/>
    <m/>
    <n v="3"/>
    <x v="13"/>
    <n v="63"/>
    <n v="37"/>
    <x v="2"/>
    <s v="下落合駅"/>
    <n v="7"/>
    <n v="11.33"/>
    <n v="136411.03"/>
    <n v="288705.81"/>
    <n v="390"/>
    <n v="155"/>
    <s v="60-70"/>
    <x v="4"/>
  </r>
  <r>
    <s v="https://suumo.jp/chintai/jnc_000104156221/?bc=100483401176"/>
    <s v="メゾンカルム中落合ノース"/>
    <s v="東京都新宿区中落合２"/>
    <n v="214000"/>
    <n v="15000"/>
    <n v="214000"/>
    <m/>
    <n v="1"/>
    <x v="13"/>
    <n v="66.650000000000006"/>
    <n v="37"/>
    <x v="2"/>
    <s v="下落合駅"/>
    <n v="8"/>
    <n v="10.33"/>
    <n v="136411.03"/>
    <n v="288705.81"/>
    <n v="390"/>
    <n v="155"/>
    <s v="60-70"/>
    <x v="4"/>
  </r>
  <r>
    <s v="https://suumo.jp/chintai/jnc_000104156223/?bc=100483401177"/>
    <s v="メゾンカルム中落合ノース"/>
    <s v="東京都新宿区中落合２"/>
    <n v="214000"/>
    <n v="15000"/>
    <n v="214000"/>
    <m/>
    <n v="2"/>
    <x v="13"/>
    <n v="66.650000000000006"/>
    <n v="37"/>
    <x v="2"/>
    <s v="下落合駅"/>
    <n v="8"/>
    <n v="10.33"/>
    <n v="136411.03"/>
    <n v="288705.81"/>
    <n v="390"/>
    <n v="155"/>
    <s v="60-70"/>
    <x v="4"/>
  </r>
  <r>
    <s v="https://suumo.jp/chintai/jnc_000104138645/?bc=100483280914"/>
    <s v="メゾンカルム中落合ノース"/>
    <s v="東京都新宿区中落合２"/>
    <n v="215000"/>
    <n v="15000"/>
    <n v="215000"/>
    <m/>
    <n v="3"/>
    <x v="13"/>
    <n v="66.650000000000006"/>
    <n v="37"/>
    <x v="2"/>
    <s v="下落合駅"/>
    <n v="8"/>
    <n v="10.33"/>
    <n v="136411.03"/>
    <n v="288705.81"/>
    <n v="390"/>
    <n v="155"/>
    <s v="60-70"/>
    <x v="4"/>
  </r>
  <r>
    <s v="https://suumo.jp/chintai/jnc_000103649362/?bc=100479403993"/>
    <s v="レジディア目白御留山"/>
    <s v="東京都新宿区下落合４"/>
    <n v="380000"/>
    <n v="25000"/>
    <n v="380000"/>
    <n v="380000"/>
    <n v="1"/>
    <x v="13"/>
    <n v="85.2"/>
    <n v="24"/>
    <x v="4"/>
    <s v="下落合駅"/>
    <n v="4"/>
    <n v="10.67"/>
    <n v="136411.03"/>
    <n v="288705.81"/>
    <n v="390"/>
    <n v="155"/>
    <s v="80-90"/>
    <x v="1"/>
  </r>
  <r>
    <s v="https://suumo.jp/chintai/jnc_000103654502/?bc=100479404941"/>
    <s v="西武新宿線 下落合駅 3階建 築24年"/>
    <s v="東京都新宿区下落合４"/>
    <n v="380000"/>
    <n v="25000"/>
    <n v="380000"/>
    <n v="380000"/>
    <n v="1"/>
    <x v="13"/>
    <n v="85.2"/>
    <n v="24"/>
    <x v="2"/>
    <s v="下落合駅"/>
    <n v="3"/>
    <n v="10.67"/>
    <n v="136411.03"/>
    <n v="288705.81"/>
    <n v="390"/>
    <n v="155"/>
    <s v="80-90"/>
    <x v="1"/>
  </r>
  <r>
    <s v="https://suumo.jp/chintai/jnc_000103277816/?bc=100484683030"/>
    <s v="西武新宿線 下落合駅 3階建 築36年"/>
    <s v="東京都新宿区中落合２"/>
    <n v="214000"/>
    <n v="15000"/>
    <n v="214000"/>
    <m/>
    <n v="1"/>
    <x v="13"/>
    <n v="66.650000000000006"/>
    <n v="36"/>
    <x v="2"/>
    <s v="下落合駅"/>
    <n v="6"/>
    <n v="10.67"/>
    <n v="136411.03"/>
    <n v="288705.81"/>
    <n v="390"/>
    <n v="155"/>
    <s v="60-70"/>
    <x v="4"/>
  </r>
  <r>
    <s v="https://suumo.jp/chintai/jnc_000103424094/?bc=100477385570"/>
    <s v="西武新宿線 下落合駅 地上2階建 築46年"/>
    <s v="東京都新宿区下落合４"/>
    <n v="200000"/>
    <n v="30000"/>
    <n v="400000"/>
    <m/>
    <n v="1"/>
    <x v="14"/>
    <n v="74.84"/>
    <n v="46"/>
    <x v="0"/>
    <s v="下落合駅"/>
    <n v="9"/>
    <n v="12.33"/>
    <n v="136411.03"/>
    <n v="226000"/>
    <n v="390"/>
    <n v="5"/>
    <s v="70-80"/>
    <x v="3"/>
  </r>
  <r>
    <s v="https://suumo.jp/chintai/jnc_000103424094/?bc=100477385570"/>
    <s v="西武新宿線 下落合駅 地上2階建 築46年"/>
    <s v="東京都新宿区下落合４"/>
    <n v="200000"/>
    <n v="30000"/>
    <n v="400000"/>
    <m/>
    <n v="2"/>
    <x v="14"/>
    <n v="74.84"/>
    <n v="46"/>
    <x v="0"/>
    <s v="下落合駅"/>
    <n v="9"/>
    <n v="12.33"/>
    <n v="136411.03"/>
    <n v="226000"/>
    <n v="390"/>
    <n v="5"/>
    <s v="70-80"/>
    <x v="3"/>
  </r>
  <r>
    <s v="https://suumo.jp/chintai/jnc_000103856302/?bc=100481274574"/>
    <s v="パレス26"/>
    <s v="東京都新宿区中落合２"/>
    <n v="380000"/>
    <n v="4000"/>
    <n v="380000"/>
    <n v="380000"/>
    <n v="3"/>
    <x v="15"/>
    <n v="108"/>
    <n v="56"/>
    <x v="2"/>
    <s v="下落合駅"/>
    <n v="8"/>
    <n v="10.33"/>
    <n v="136411.03"/>
    <n v="388200"/>
    <n v="390"/>
    <n v="20"/>
    <s v="100+"/>
    <x v="5"/>
  </r>
  <r>
    <s v="https://suumo.jp/chintai/jnc_000103856303/?bc=100481186522"/>
    <s v="西武新宿線 下落合駅 3階建 築56年"/>
    <s v="東京都新宿区中落合２"/>
    <n v="380000"/>
    <n v="4000"/>
    <n v="380000"/>
    <n v="380000"/>
    <n v="3"/>
    <x v="15"/>
    <n v="108"/>
    <n v="56"/>
    <x v="2"/>
    <s v="下落合駅"/>
    <n v="8"/>
    <n v="12.67"/>
    <n v="136411.03"/>
    <n v="388200"/>
    <n v="390"/>
    <n v="20"/>
    <s v="100+"/>
    <x v="5"/>
  </r>
  <r>
    <s v="https://suumo.jp/chintai/jnc_000103969230/?bc=100481180680"/>
    <s v="Ｈｘ中落合"/>
    <s v="東京都新宿区中落合２"/>
    <n v="380000"/>
    <n v="4000"/>
    <n v="380000"/>
    <n v="380000"/>
    <n v="3"/>
    <x v="15"/>
    <n v="108"/>
    <n v="56"/>
    <x v="2"/>
    <s v="下落合駅"/>
    <n v="8"/>
    <n v="10.33"/>
    <n v="136411.03"/>
    <n v="388200"/>
    <n v="390"/>
    <n v="20"/>
    <s v="100+"/>
    <x v="5"/>
  </r>
  <r>
    <s v="https://suumo.jp/chintai/jnc_000102202699/?bc=100467429770"/>
    <s v="アトラス・モリト"/>
    <s v="東京都中野区上高田４"/>
    <n v="108000"/>
    <n v="4000"/>
    <n v="108000"/>
    <n v="108000"/>
    <n v="2"/>
    <x v="1"/>
    <n v="32.82"/>
    <n v="30"/>
    <x v="4"/>
    <s v="中井駅"/>
    <n v="7"/>
    <n v="10.33"/>
    <n v="110380.12"/>
    <n v="123325.96"/>
    <n v="322"/>
    <n v="339"/>
    <s v="30-40"/>
    <x v="1"/>
  </r>
  <r>
    <s v="https://suumo.jp/chintai/jnc_000103976338/?bc=100482219227"/>
    <s v="アミカル・エフ"/>
    <s v="東京都新宿区上落合２"/>
    <n v="137000"/>
    <n v="7000"/>
    <n v="137000"/>
    <n v="164400"/>
    <n v="2"/>
    <x v="1"/>
    <n v="32.74"/>
    <n v="22"/>
    <x v="9"/>
    <s v="中井駅"/>
    <n v="5"/>
    <n v="7.33"/>
    <n v="110380.12"/>
    <n v="123325.96"/>
    <n v="322"/>
    <n v="339"/>
    <s v="30-40"/>
    <x v="1"/>
  </r>
  <r>
    <s v="https://suumo.jp/chintai/jnc_000103937413/?bc=100483637061"/>
    <s v="アミカル・エフ"/>
    <s v="東京都新宿区上落合２"/>
    <n v="130000"/>
    <n v="7000"/>
    <n v="130000"/>
    <n v="130000"/>
    <n v="3"/>
    <x v="1"/>
    <n v="36.01"/>
    <n v="22"/>
    <x v="9"/>
    <s v="中井駅"/>
    <n v="5"/>
    <n v="7.33"/>
    <n v="110380.12"/>
    <n v="123325.96"/>
    <n v="322"/>
    <n v="339"/>
    <s v="30-40"/>
    <x v="1"/>
  </r>
  <r>
    <s v="https://suumo.jp/chintai/jnc_000103337886/?bc=100476691001"/>
    <s v="アミカル・エフ"/>
    <s v="東京都新宿区上落合２"/>
    <n v="138000"/>
    <n v="70000"/>
    <n v="138000"/>
    <n v="165600"/>
    <n v="3"/>
    <x v="1"/>
    <n v="36.11"/>
    <n v="22"/>
    <x v="9"/>
    <s v="中井駅"/>
    <n v="5"/>
    <n v="7.33"/>
    <n v="110380.12"/>
    <n v="123325.96"/>
    <n v="322"/>
    <n v="339"/>
    <s v="30-40"/>
    <x v="1"/>
  </r>
  <r>
    <s v="https://suumo.jp/chintai/jnc_000103103177/?bc=100479632582"/>
    <s v="アート・フル中井"/>
    <s v="東京都新宿区中井２"/>
    <n v="110000"/>
    <n v="5000"/>
    <n v="110000"/>
    <n v="110000"/>
    <n v="1"/>
    <x v="1"/>
    <n v="25.38"/>
    <n v="9"/>
    <x v="2"/>
    <s v="中井駅"/>
    <n v="5"/>
    <n v="6.33"/>
    <n v="110380.12"/>
    <n v="123325.96"/>
    <n v="322"/>
    <n v="339"/>
    <s v="20-30"/>
    <x v="0"/>
  </r>
  <r>
    <s v="https://suumo.jp/chintai/jnc_000104211353/?bc=100475784796"/>
    <s v="アート・フル中井"/>
    <s v="東京都新宿区中井２"/>
    <n v="122000"/>
    <n v="5000"/>
    <n v="122000"/>
    <n v="122000"/>
    <n v="3"/>
    <x v="1"/>
    <n v="25.38"/>
    <n v="9"/>
    <x v="2"/>
    <s v="中井駅"/>
    <n v="5"/>
    <n v="6.33"/>
    <n v="110380.12"/>
    <n v="123325.96"/>
    <n v="322"/>
    <n v="339"/>
    <s v="20-30"/>
    <x v="0"/>
  </r>
  <r>
    <s v="https://suumo.jp/chintai/jnc_000103110656/?bc=100480977419"/>
    <s v="アート・フル中井"/>
    <s v="東京都新宿区中井２"/>
    <n v="125000"/>
    <n v="5000"/>
    <n v="125000"/>
    <n v="125000"/>
    <n v="3"/>
    <x v="1"/>
    <n v="25.38"/>
    <n v="9"/>
    <x v="2"/>
    <s v="中井駅"/>
    <n v="5"/>
    <n v="6.33"/>
    <n v="110380.12"/>
    <n v="123325.96"/>
    <n v="322"/>
    <n v="339"/>
    <s v="20-30"/>
    <x v="0"/>
  </r>
  <r>
    <s v="https://suumo.jp/chintai/jnc_000104531822/?bc=100486297099"/>
    <s v="グランディフローラ"/>
    <s v="東京都新宿区中井１"/>
    <n v="106000"/>
    <n v="2000"/>
    <n v="106000"/>
    <n v="106000"/>
    <n v="2"/>
    <x v="1"/>
    <n v="34.4"/>
    <n v="17"/>
    <x v="2"/>
    <s v="中井駅"/>
    <n v="5"/>
    <n v="9.33"/>
    <n v="110380.12"/>
    <n v="123325.96"/>
    <n v="322"/>
    <n v="339"/>
    <s v="30-40"/>
    <x v="7"/>
  </r>
  <r>
    <s v="https://suumo.jp/chintai/jnc_000104222356/?bc=100484466006"/>
    <s v="グリーンコート一の坂"/>
    <s v="東京都新宿区中井２"/>
    <n v="145000"/>
    <n v="5000"/>
    <n v="145000"/>
    <n v="145000"/>
    <n v="1"/>
    <x v="1"/>
    <n v="32.19"/>
    <n v="26"/>
    <x v="2"/>
    <s v="中井駅"/>
    <n v="4"/>
    <n v="8.67"/>
    <n v="110380.12"/>
    <n v="123325.96"/>
    <n v="322"/>
    <n v="339"/>
    <s v="30-40"/>
    <x v="1"/>
  </r>
  <r>
    <s v="https://suumo.jp/chintai/jnc_000104525329/?bc=100486362884"/>
    <s v="グリーンコート一の坂"/>
    <s v="東京都新宿区中井２"/>
    <n v="148000"/>
    <n v="5000"/>
    <n v="148000"/>
    <n v="148000"/>
    <n v="2"/>
    <x v="1"/>
    <n v="30.93"/>
    <n v="26"/>
    <x v="2"/>
    <s v="中井駅"/>
    <n v="4"/>
    <n v="8.67"/>
    <n v="110380.12"/>
    <n v="123325.96"/>
    <n v="322"/>
    <n v="339"/>
    <s v="30-40"/>
    <x v="1"/>
  </r>
  <r>
    <s v="https://suumo.jp/chintai/jnc_000088470029/?bc=100470591304"/>
    <s v="ニューハイツ中落合"/>
    <s v="東京都新宿区中落合１"/>
    <n v="99000"/>
    <n v="6000"/>
    <n v="99000"/>
    <n v="99000"/>
    <n v="3"/>
    <x v="1"/>
    <n v="33.380000000000003"/>
    <n v="43"/>
    <x v="5"/>
    <s v="中井駅"/>
    <n v="5"/>
    <n v="6"/>
    <n v="110380.12"/>
    <n v="123325.96"/>
    <n v="322"/>
    <n v="339"/>
    <s v="30-40"/>
    <x v="3"/>
  </r>
  <r>
    <s v="https://suumo.jp/chintai/jnc_000104356681/?bc=100485551352"/>
    <s v="ヴェルテ落合"/>
    <s v="東京都新宿区上落合３"/>
    <n v="85000"/>
    <n v="5000"/>
    <n v="85000"/>
    <m/>
    <n v="3"/>
    <x v="1"/>
    <n v="26"/>
    <n v="36"/>
    <x v="9"/>
    <s v="中井駅"/>
    <n v="5"/>
    <n v="10"/>
    <n v="110380.12"/>
    <n v="123325.96"/>
    <n v="322"/>
    <n v="339"/>
    <s v="20-30"/>
    <x v="4"/>
  </r>
  <r>
    <s v="https://suumo.jp/chintai/jnc_000103473422/?bc=100480789629"/>
    <s v="西武新宿線 中井駅 15階建 築21年"/>
    <s v="東京都新宿区中落合３"/>
    <n v="132000"/>
    <n v="10000"/>
    <n v="132000"/>
    <n v="132000"/>
    <n v="14"/>
    <x v="1"/>
    <n v="32.61"/>
    <n v="21"/>
    <x v="11"/>
    <s v="中井駅"/>
    <n v="9"/>
    <n v="11.33"/>
    <n v="110380.12"/>
    <n v="123325.96"/>
    <n v="322"/>
    <n v="339"/>
    <s v="30-40"/>
    <x v="1"/>
  </r>
  <r>
    <s v="https://suumo.jp/chintai/jnc_000104540966/?bc=100486361369"/>
    <s v="西武新宿線 中井駅 3階建 築17年"/>
    <s v="東京都新宿区中井１"/>
    <n v="106000"/>
    <n v="2000"/>
    <n v="106000"/>
    <n v="106000"/>
    <n v="2"/>
    <x v="1"/>
    <n v="34.49"/>
    <n v="17"/>
    <x v="2"/>
    <s v="中井駅"/>
    <n v="6"/>
    <n v="11.67"/>
    <n v="110380.12"/>
    <n v="123325.96"/>
    <n v="322"/>
    <n v="339"/>
    <s v="30-40"/>
    <x v="7"/>
  </r>
  <r>
    <s v="https://suumo.jp/chintai/jnc_000088485964/?bc=100479492534"/>
    <s v="西武新宿線 中井駅 地下1地上5階建 築43年"/>
    <s v="東京都新宿区中落合１"/>
    <n v="99000"/>
    <n v="6000"/>
    <n v="99000"/>
    <n v="99000"/>
    <n v="3"/>
    <x v="1"/>
    <n v="33.380000000000003"/>
    <n v="43"/>
    <x v="5"/>
    <s v="中井駅"/>
    <n v="5"/>
    <n v="5"/>
    <n v="110380.12"/>
    <n v="123325.96"/>
    <n v="322"/>
    <n v="339"/>
    <s v="30-40"/>
    <x v="3"/>
  </r>
  <r>
    <s v="https://suumo.jp/chintai/jnc_000104255996/?bc=100484205063"/>
    <s v="都営大江戸線 中井駅 3階建 築26年"/>
    <s v="東京都新宿区中井２"/>
    <n v="145000"/>
    <n v="5000"/>
    <n v="145000"/>
    <n v="145000"/>
    <n v="1"/>
    <x v="1"/>
    <n v="32.19"/>
    <n v="26"/>
    <x v="2"/>
    <s v="中井駅"/>
    <n v="4"/>
    <n v="11.67"/>
    <n v="110380.12"/>
    <n v="123325.96"/>
    <n v="322"/>
    <n v="339"/>
    <s v="30-40"/>
    <x v="1"/>
  </r>
  <r>
    <s v="https://suumo.jp/chintai/jnc_000104540967/?bc=100486401507"/>
    <s v="都営大江戸線 中井駅 3階建 築26年"/>
    <s v="東京都新宿区中井２"/>
    <n v="148000"/>
    <n v="5000"/>
    <n v="148000"/>
    <n v="148000"/>
    <n v="2"/>
    <x v="1"/>
    <n v="30.93"/>
    <n v="26"/>
    <x v="2"/>
    <s v="中井駅"/>
    <n v="4"/>
    <n v="11.67"/>
    <n v="110380.12"/>
    <n v="123325.96"/>
    <n v="322"/>
    <n v="339"/>
    <s v="30-40"/>
    <x v="1"/>
  </r>
  <r>
    <s v="https://suumo.jp/chintai/jnc_000102627516/?bc=100468394968"/>
    <s v="都営大江戸線 中井駅 4階建 築30年"/>
    <s v="東京都中野区上高田４"/>
    <n v="108000"/>
    <n v="4000"/>
    <n v="108000"/>
    <n v="108000"/>
    <n v="2"/>
    <x v="1"/>
    <n v="32.82"/>
    <n v="30"/>
    <x v="4"/>
    <s v="中井駅"/>
    <n v="7"/>
    <n v="10.33"/>
    <n v="110380.12"/>
    <n v="123325.96"/>
    <n v="322"/>
    <n v="339"/>
    <s v="30-40"/>
    <x v="1"/>
  </r>
  <r>
    <s v="https://suumo.jp/chintai/jnc_000104356682/?bc=100485004469"/>
    <s v="都営大江戸線 中井駅 5階建 築36年"/>
    <s v="東京都新宿区上落合３"/>
    <n v="85000"/>
    <n v="5000"/>
    <n v="85000"/>
    <m/>
    <n v="3"/>
    <x v="1"/>
    <n v="26"/>
    <n v="36"/>
    <x v="7"/>
    <s v="中井駅"/>
    <n v="5"/>
    <n v="10"/>
    <n v="110380.12"/>
    <n v="123325.96"/>
    <n v="322"/>
    <n v="339"/>
    <s v="20-30"/>
    <x v="4"/>
  </r>
  <r>
    <s v="https://suumo.jp/chintai/jnc_000104010125/?bc=100482159881"/>
    <s v="都営大江戸線 中井駅 8階建 築22年"/>
    <s v="東京都新宿区上落合２"/>
    <n v="137000"/>
    <n v="7000"/>
    <n v="137000"/>
    <n v="164400"/>
    <n v="2"/>
    <x v="1"/>
    <n v="32.74"/>
    <n v="22"/>
    <x v="9"/>
    <s v="中井駅"/>
    <n v="6"/>
    <n v="8"/>
    <n v="110380.12"/>
    <n v="123325.96"/>
    <n v="322"/>
    <n v="339"/>
    <s v="30-40"/>
    <x v="1"/>
  </r>
  <r>
    <s v="https://suumo.jp/chintai/jnc_000104107295/?bc=100470867016"/>
    <s v="都営大江戸線 中井駅 8階建 築22年"/>
    <s v="東京都新宿区上落合２"/>
    <n v="123000"/>
    <n v="7000"/>
    <n v="123000"/>
    <n v="123000"/>
    <n v="3"/>
    <x v="1"/>
    <n v="36.01"/>
    <n v="22"/>
    <x v="9"/>
    <s v="中井駅"/>
    <n v="6"/>
    <n v="8"/>
    <n v="110380.12"/>
    <n v="123325.96"/>
    <n v="322"/>
    <n v="339"/>
    <s v="30-40"/>
    <x v="1"/>
  </r>
  <r>
    <s v="https://suumo.jp/chintai/jnc_000102554723/?bc=100481736431"/>
    <s v="都営大江戸線 中井駅 8階建 築22年"/>
    <s v="東京都新宿区上落合２"/>
    <n v="137000"/>
    <n v="7000"/>
    <n v="137000"/>
    <n v="164400"/>
    <n v="3"/>
    <x v="1"/>
    <n v="36.01"/>
    <n v="22"/>
    <x v="9"/>
    <s v="中井駅"/>
    <n v="6"/>
    <n v="8"/>
    <n v="110380.12"/>
    <n v="123325.96"/>
    <n v="322"/>
    <n v="339"/>
    <s v="30-40"/>
    <x v="1"/>
  </r>
  <r>
    <s v="https://suumo.jp/chintai/jnc_000103959498/?bc=100482729893"/>
    <s v="都営大江戸線 中井駅 8階建 築22年"/>
    <s v="東京都新宿区上落合２"/>
    <n v="130000"/>
    <n v="7000"/>
    <n v="130000"/>
    <n v="130000"/>
    <n v="3"/>
    <x v="1"/>
    <n v="36.01"/>
    <n v="22"/>
    <x v="9"/>
    <s v="中井駅"/>
    <n v="6"/>
    <n v="8"/>
    <n v="110380.12"/>
    <n v="123325.96"/>
    <n v="322"/>
    <n v="339"/>
    <s v="30-40"/>
    <x v="1"/>
  </r>
  <r>
    <s v="https://suumo.jp/chintai/jnc_000103337887/?bc=100476706766"/>
    <s v="都営大江戸線 中井駅 8階建 築22年"/>
    <s v="東京都新宿区上落合２"/>
    <n v="138000"/>
    <n v="7000"/>
    <n v="138000"/>
    <n v="165600"/>
    <n v="3"/>
    <x v="1"/>
    <n v="36.11"/>
    <n v="22"/>
    <x v="9"/>
    <s v="中井駅"/>
    <n v="6"/>
    <n v="8"/>
    <n v="110380.12"/>
    <n v="123325.96"/>
    <n v="322"/>
    <n v="339"/>
    <s v="30-40"/>
    <x v="1"/>
  </r>
  <r>
    <s v="https://suumo.jp/chintai/jnc_000103110658/?bc=100481224382"/>
    <s v="都営大江戸線 中井駅 地下1地上2階建 築9年"/>
    <s v="東京都新宿区中井２"/>
    <n v="125000"/>
    <n v="5000"/>
    <n v="125000"/>
    <n v="125000"/>
    <n v="2"/>
    <x v="1"/>
    <n v="31.05"/>
    <n v="9"/>
    <x v="2"/>
    <s v="中井駅"/>
    <n v="5"/>
    <n v="8.67"/>
    <n v="110380.12"/>
    <n v="123325.96"/>
    <n v="322"/>
    <n v="339"/>
    <s v="30-40"/>
    <x v="0"/>
  </r>
  <r>
    <s v="https://suumo.jp/chintai/jnc_000104162764/?bc=100483412599"/>
    <s v="ＡＧＲＡＴＩＯ新宿中井"/>
    <s v="東京都新宿区中井１"/>
    <n v="130000"/>
    <n v="4000"/>
    <m/>
    <n v="130000"/>
    <n v="4"/>
    <x v="1"/>
    <n v="31.06"/>
    <n v="4"/>
    <x v="5"/>
    <s v="中井駅"/>
    <n v="7"/>
    <n v="10.67"/>
    <n v="110380.12"/>
    <n v="123325.96"/>
    <n v="322"/>
    <n v="339"/>
    <s v="30-40"/>
    <x v="0"/>
  </r>
  <r>
    <s v="https://suumo.jp/chintai/jnc_000100189262/?bc=100449432125"/>
    <s v="MODULOR中井"/>
    <s v="東京都新宿区中井１"/>
    <n v="115000"/>
    <n v="4000"/>
    <n v="115000"/>
    <n v="115000"/>
    <n v="4"/>
    <x v="2"/>
    <n v="34.340000000000003"/>
    <n v="20"/>
    <x v="4"/>
    <s v="中井駅"/>
    <n v="6"/>
    <n v="10.67"/>
    <n v="110380.12"/>
    <n v="95329.65"/>
    <n v="322"/>
    <n v="1622"/>
    <s v="30-40"/>
    <x v="7"/>
  </r>
  <r>
    <s v="https://suumo.jp/chintai/jnc_000104316348/?bc=100484703551"/>
    <s v="Oceano"/>
    <s v="東京都新宿区上落合１"/>
    <n v="124000"/>
    <n v="10000"/>
    <m/>
    <m/>
    <n v="3"/>
    <x v="2"/>
    <n v="33.78"/>
    <n v="19"/>
    <x v="2"/>
    <s v="中井駅"/>
    <n v="5"/>
    <n v="9"/>
    <n v="110380.12"/>
    <n v="95329.65"/>
    <n v="322"/>
    <n v="1622"/>
    <s v="30-40"/>
    <x v="7"/>
  </r>
  <r>
    <s v="https://suumo.jp/chintai/jnc_000103018309/?bc=100486231257"/>
    <s v="Opus　II"/>
    <s v="東京都新宿区上落合３"/>
    <n v="108000"/>
    <n v="2000"/>
    <n v="108000"/>
    <n v="108000"/>
    <n v="2"/>
    <x v="2"/>
    <n v="25.51"/>
    <n v="9"/>
    <x v="0"/>
    <s v="中井駅"/>
    <n v="5"/>
    <n v="7.33"/>
    <n v="110380.12"/>
    <n v="95329.65"/>
    <n v="322"/>
    <n v="1622"/>
    <s v="20-30"/>
    <x v="0"/>
  </r>
  <r>
    <s v="https://suumo.jp/chintai/jnc_000102861952/?bc=100480672477"/>
    <s v="PREMIUM CUBE 新宿中井"/>
    <s v="東京都新宿区中井２"/>
    <n v="124000"/>
    <n v="15000"/>
    <n v="124000"/>
    <n v="124000"/>
    <n v="4"/>
    <x v="2"/>
    <n v="25.65"/>
    <n v="5"/>
    <x v="7"/>
    <s v="中井駅"/>
    <n v="2"/>
    <n v="8"/>
    <n v="110380.12"/>
    <n v="95329.65"/>
    <n v="322"/>
    <n v="1622"/>
    <s v="20-30"/>
    <x v="0"/>
  </r>
  <r>
    <s v="https://suumo.jp/chintai/jnc_000104425544/?bc=100482931097"/>
    <s v="PREMIUM CUBE 新宿中井"/>
    <s v="東京都新宿区中井２"/>
    <n v="130000"/>
    <n v="15000"/>
    <m/>
    <n v="130000"/>
    <n v="4"/>
    <x v="2"/>
    <n v="25.65"/>
    <n v="5"/>
    <x v="7"/>
    <s v="中井駅"/>
    <n v="2"/>
    <n v="8"/>
    <n v="110380.12"/>
    <n v="95329.65"/>
    <n v="322"/>
    <n v="1622"/>
    <s v="20-30"/>
    <x v="0"/>
  </r>
  <r>
    <s v="https://suumo.jp/chintai/jnc_000100413886/?bc=100437296505"/>
    <s v="「防音マンション」ラシクラス新宿中井"/>
    <s v="東京都新宿区中井２"/>
    <n v="136000"/>
    <n v="15000"/>
    <m/>
    <m/>
    <n v="1"/>
    <x v="2"/>
    <n v="28.33"/>
    <n v="0"/>
    <x v="4"/>
    <s v="中井駅"/>
    <n v="7"/>
    <n v="8.5"/>
    <n v="110380.12"/>
    <n v="95329.65"/>
    <n v="322"/>
    <n v="1622"/>
    <s v="20-30"/>
    <x v="6"/>
  </r>
  <r>
    <s v="https://suumo.jp/chintai/jnc_000100413885/?bc=100437296508"/>
    <s v="「防音マンション」ラシクラス新宿中井"/>
    <s v="東京都新宿区中井２"/>
    <n v="153000"/>
    <n v="15000"/>
    <m/>
    <m/>
    <n v="1"/>
    <x v="2"/>
    <n v="32.619999999999997"/>
    <n v="0"/>
    <x v="4"/>
    <s v="中井駅"/>
    <n v="7"/>
    <n v="8.5"/>
    <n v="110380.12"/>
    <n v="95329.65"/>
    <n v="322"/>
    <n v="1622"/>
    <s v="30-40"/>
    <x v="6"/>
  </r>
  <r>
    <s v="https://suumo.jp/chintai/jnc_000103439955/?bc=100485023834"/>
    <s v="アザーレ・キュリオス新宿中井"/>
    <s v="東京都新宿区中井２"/>
    <n v="86000"/>
    <n v="3000"/>
    <n v="86000"/>
    <n v="86000"/>
    <n v="1"/>
    <x v="2"/>
    <n v="20.91"/>
    <n v="4"/>
    <x v="0"/>
    <s v="中井駅"/>
    <n v="7"/>
    <n v="10.33"/>
    <n v="110380.12"/>
    <n v="95329.65"/>
    <n v="322"/>
    <n v="1622"/>
    <s v="20-30"/>
    <x v="0"/>
  </r>
  <r>
    <s v="https://suumo.jp/chintai/jnc_000103510639/?bc=100483906907"/>
    <s v="イアース新宿中井"/>
    <s v="東京都新宿区中井１"/>
    <n v="100000"/>
    <n v="14000"/>
    <m/>
    <n v="100000"/>
    <n v="2"/>
    <x v="2"/>
    <n v="25.64"/>
    <n v="7"/>
    <x v="4"/>
    <s v="中井駅"/>
    <n v="6"/>
    <n v="10.67"/>
    <n v="110380.12"/>
    <n v="95329.65"/>
    <n v="322"/>
    <n v="1622"/>
    <s v="20-30"/>
    <x v="0"/>
  </r>
  <r>
    <s v="https://suumo.jp/chintai/jnc_000103505756/?bc=100484989481"/>
    <s v="イアース新宿中井"/>
    <s v="東京都新宿区中井１"/>
    <n v="100000"/>
    <n v="14000"/>
    <m/>
    <n v="100000"/>
    <n v="3"/>
    <x v="2"/>
    <n v="25.22"/>
    <n v="7"/>
    <x v="4"/>
    <s v="中井駅"/>
    <n v="6"/>
    <n v="10.67"/>
    <n v="110380.12"/>
    <n v="95329.65"/>
    <n v="322"/>
    <n v="1622"/>
    <s v="20-30"/>
    <x v="0"/>
  </r>
  <r>
    <s v="https://suumo.jp/chintai/jnc_000103863961/?bc=100481330552"/>
    <s v="イアース新宿中井"/>
    <s v="東京都新宿区中井１"/>
    <n v="101000"/>
    <n v="14000"/>
    <m/>
    <n v="101000"/>
    <n v="3"/>
    <x v="2"/>
    <n v="25.64"/>
    <n v="7"/>
    <x v="4"/>
    <s v="中井駅"/>
    <n v="6"/>
    <n v="10.67"/>
    <n v="110380.12"/>
    <n v="95329.65"/>
    <n v="322"/>
    <n v="1622"/>
    <s v="20-30"/>
    <x v="0"/>
  </r>
  <r>
    <s v="https://suumo.jp/chintai/jnc_000103643852/?bc=100479481887"/>
    <s v="エクセレント中井"/>
    <s v="東京都新宿区中井２"/>
    <n v="63000"/>
    <n v="8000"/>
    <n v="63000"/>
    <n v="63000"/>
    <n v="1"/>
    <x v="2"/>
    <n v="23.24"/>
    <n v="35"/>
    <x v="2"/>
    <s v="中井駅"/>
    <n v="6"/>
    <n v="10.33"/>
    <n v="110380.12"/>
    <n v="95329.65"/>
    <n v="322"/>
    <n v="1622"/>
    <s v="20-30"/>
    <x v="4"/>
  </r>
  <r>
    <s v="https://suumo.jp/chintai/jnc_000104437835/?bc=100486150652"/>
    <s v="クレイノブレスボヌール"/>
    <s v="東京都新宿区中井１"/>
    <n v="102000"/>
    <n v="5500"/>
    <m/>
    <n v="102000"/>
    <n v="1"/>
    <x v="2"/>
    <n v="22.01"/>
    <n v="7"/>
    <x v="0"/>
    <s v="中井駅"/>
    <n v="8"/>
    <n v="11.67"/>
    <n v="110380.12"/>
    <n v="95329.65"/>
    <n v="322"/>
    <n v="1622"/>
    <s v="20-30"/>
    <x v="0"/>
  </r>
  <r>
    <s v="https://suumo.jp/chintai/jnc_000104482300/?bc=100485611550"/>
    <s v="グランアセット中落合"/>
    <s v="東京都新宿区中落合４"/>
    <n v="92000"/>
    <n v="5000"/>
    <m/>
    <m/>
    <n v="1"/>
    <x v="2"/>
    <n v="19.739999999999998"/>
    <n v="19"/>
    <x v="2"/>
    <s v="中井駅"/>
    <n v="6"/>
    <n v="9.67"/>
    <n v="110380.12"/>
    <n v="95329.65"/>
    <n v="322"/>
    <n v="1622"/>
    <s v="10-20"/>
    <x v="7"/>
  </r>
  <r>
    <s v="https://suumo.jp/chintai/jnc_000104416547/?bc=100486109097"/>
    <s v="グランアセット中落合"/>
    <s v="東京都新宿区中落合４"/>
    <n v="90000"/>
    <n v="5000"/>
    <m/>
    <m/>
    <n v="1"/>
    <x v="2"/>
    <n v="19.739999999999998"/>
    <n v="19"/>
    <x v="2"/>
    <s v="中井駅"/>
    <n v="6"/>
    <n v="9.67"/>
    <n v="110380.12"/>
    <n v="95329.65"/>
    <n v="322"/>
    <n v="1622"/>
    <s v="10-20"/>
    <x v="7"/>
  </r>
  <r>
    <s v="https://suumo.jp/chintai/jnc_000103909131/?bc=100483761691"/>
    <s v="グリーンテラス"/>
    <s v="東京都中野区上高田４"/>
    <n v="70000"/>
    <m/>
    <n v="70000"/>
    <n v="70000"/>
    <n v="1"/>
    <x v="2"/>
    <n v="22.17"/>
    <n v="27"/>
    <x v="0"/>
    <s v="中井駅"/>
    <n v="8"/>
    <n v="11.67"/>
    <n v="110380.12"/>
    <n v="95329.65"/>
    <n v="322"/>
    <n v="1622"/>
    <s v="20-30"/>
    <x v="1"/>
  </r>
  <r>
    <s v="https://suumo.jp/chintai/jnc_000095479704/?bc=100486226745"/>
    <s v="グリーンパレス"/>
    <s v="東京都新宿区上落合２"/>
    <n v="75000"/>
    <n v="3000"/>
    <n v="75000"/>
    <n v="75000"/>
    <n v="1"/>
    <x v="2"/>
    <n v="18.23"/>
    <n v="38"/>
    <x v="0"/>
    <s v="中井駅"/>
    <n v="1"/>
    <n v="6.67"/>
    <n v="110380.12"/>
    <n v="95329.65"/>
    <n v="322"/>
    <n v="1622"/>
    <s v="10-20"/>
    <x v="4"/>
  </r>
  <r>
    <s v="https://suumo.jp/chintai/jnc_000095479705/?bc=100484583073"/>
    <s v="グリーンパレス"/>
    <s v="東京都新宿区上落合２"/>
    <n v="76000"/>
    <n v="3000"/>
    <n v="76000"/>
    <n v="76000"/>
    <n v="1"/>
    <x v="2"/>
    <n v="18.23"/>
    <n v="38"/>
    <x v="0"/>
    <s v="中井駅"/>
    <n v="1"/>
    <n v="6.67"/>
    <n v="110380.12"/>
    <n v="95329.65"/>
    <n v="322"/>
    <n v="1622"/>
    <s v="10-20"/>
    <x v="4"/>
  </r>
  <r>
    <s v="https://suumo.jp/chintai/jnc_000104285621/?bc=100484583067"/>
    <s v="グリーンパレス"/>
    <s v="東京都新宿区上落合２"/>
    <n v="77000"/>
    <n v="3000"/>
    <n v="77000"/>
    <n v="77000"/>
    <n v="2"/>
    <x v="2"/>
    <n v="18.23"/>
    <n v="38"/>
    <x v="0"/>
    <s v="中井駅"/>
    <n v="1"/>
    <n v="6.67"/>
    <n v="110380.12"/>
    <n v="95329.65"/>
    <n v="322"/>
    <n v="1622"/>
    <s v="10-20"/>
    <x v="4"/>
  </r>
  <r>
    <s v="https://suumo.jp/chintai/jnc_000085016265/?bc=100483112485"/>
    <s v="コーポセレクション"/>
    <s v="東京都新宿区中井１"/>
    <n v="58000"/>
    <m/>
    <n v="58000"/>
    <n v="58000"/>
    <n v="1"/>
    <x v="2"/>
    <n v="15.2"/>
    <n v="63"/>
    <x v="0"/>
    <s v="中井駅"/>
    <n v="3"/>
    <n v="5.67"/>
    <n v="110380.12"/>
    <n v="95329.65"/>
    <n v="322"/>
    <n v="1622"/>
    <s v="10-20"/>
    <x v="2"/>
  </r>
  <r>
    <s v="https://suumo.jp/chintai/jnc_000103064937/?bc=100453023026"/>
    <s v="コーポ・プロスパ"/>
    <s v="東京都新宿区上落合３"/>
    <n v="56000"/>
    <n v="2000"/>
    <m/>
    <m/>
    <n v="1"/>
    <x v="2"/>
    <n v="16.47"/>
    <n v="33"/>
    <x v="0"/>
    <s v="中井駅"/>
    <n v="4"/>
    <n v="7.33"/>
    <n v="110380.12"/>
    <n v="95329.65"/>
    <n v="322"/>
    <n v="1622"/>
    <s v="10-20"/>
    <x v="4"/>
  </r>
  <r>
    <s v="https://suumo.jp/chintai/jnc_000103064936/?bc=100452357895"/>
    <s v="コーポ・プロスパ"/>
    <s v="東京都新宿区上落合３"/>
    <n v="56000"/>
    <n v="2000"/>
    <m/>
    <m/>
    <n v="1"/>
    <x v="2"/>
    <n v="16.5"/>
    <n v="33"/>
    <x v="0"/>
    <s v="中井駅"/>
    <n v="4"/>
    <n v="7.33"/>
    <n v="110380.12"/>
    <n v="95329.65"/>
    <n v="322"/>
    <n v="1622"/>
    <s v="10-20"/>
    <x v="4"/>
  </r>
  <r>
    <s v="https://suumo.jp/chintai/jnc_000100568425/?bc=100452442934"/>
    <s v="コーポ・プロスパ"/>
    <s v="東京都新宿区上落合３"/>
    <n v="60000"/>
    <n v="2000"/>
    <m/>
    <m/>
    <n v="2"/>
    <x v="2"/>
    <n v="16.2"/>
    <n v="33"/>
    <x v="0"/>
    <s v="中井駅"/>
    <n v="4"/>
    <n v="7.33"/>
    <n v="110380.12"/>
    <n v="95329.65"/>
    <n v="322"/>
    <n v="1622"/>
    <s v="10-20"/>
    <x v="4"/>
  </r>
  <r>
    <s v="https://suumo.jp/chintai/jnc_000103722891/?bc=100480022356"/>
    <s v="コーポ・プロスパ"/>
    <s v="東京都新宿区上落合３"/>
    <n v="60000"/>
    <n v="2000"/>
    <m/>
    <m/>
    <n v="2"/>
    <x v="2"/>
    <n v="16.47"/>
    <n v="33"/>
    <x v="0"/>
    <s v="中井駅"/>
    <n v="4"/>
    <n v="7.33"/>
    <n v="110380.12"/>
    <n v="95329.65"/>
    <n v="322"/>
    <n v="1622"/>
    <s v="10-20"/>
    <x v="4"/>
  </r>
  <r>
    <s v="https://suumo.jp/chintai/jnc_000045105849/?bc=100347255317"/>
    <s v="コーポ寺口"/>
    <s v="東京都新宿区中井２"/>
    <n v="65000"/>
    <m/>
    <n v="65000"/>
    <n v="65000"/>
    <n v="1"/>
    <x v="2"/>
    <n v="20"/>
    <n v="41"/>
    <x v="0"/>
    <s v="中井駅"/>
    <n v="10"/>
    <n v="12"/>
    <n v="110380.12"/>
    <n v="95329.65"/>
    <n v="322"/>
    <n v="1622"/>
    <s v="20-30"/>
    <x v="3"/>
  </r>
  <r>
    <s v="https://suumo.jp/chintai/jnc_000103217358/?bc=100480722188"/>
    <s v="コーポ寺口"/>
    <s v="東京都新宿区中井２"/>
    <n v="65000"/>
    <n v="3000"/>
    <n v="65000"/>
    <n v="65000"/>
    <n v="2"/>
    <x v="2"/>
    <n v="20"/>
    <n v="41"/>
    <x v="0"/>
    <s v="中井駅"/>
    <n v="10"/>
    <n v="12"/>
    <n v="110380.12"/>
    <n v="95329.65"/>
    <n v="322"/>
    <n v="1622"/>
    <s v="20-30"/>
    <x v="3"/>
  </r>
  <r>
    <s v="https://suumo.jp/chintai/jnc_000103960418/?bc=100482125089"/>
    <s v="サンフラワー中井"/>
    <s v="東京都中野区上高田４"/>
    <n v="54000"/>
    <m/>
    <n v="54000"/>
    <m/>
    <n v="1"/>
    <x v="2"/>
    <n v="14.8"/>
    <n v="36"/>
    <x v="0"/>
    <s v="中井駅"/>
    <n v="6"/>
    <n v="9.33"/>
    <n v="110380.12"/>
    <n v="95329.65"/>
    <n v="322"/>
    <n v="1622"/>
    <s v="10-20"/>
    <x v="4"/>
  </r>
  <r>
    <s v="https://suumo.jp/chintai/jnc_000104473673/?bc=100485952886"/>
    <s v="スカイコートグレース新宿中落合"/>
    <s v="東京都新宿区中落合１"/>
    <n v="107800"/>
    <n v="8200"/>
    <n v="107800"/>
    <n v="107800"/>
    <n v="1"/>
    <x v="2"/>
    <n v="25.6"/>
    <n v="6"/>
    <x v="4"/>
    <s v="中井駅"/>
    <n v="6"/>
    <n v="9.67"/>
    <n v="110380.12"/>
    <n v="95329.65"/>
    <n v="322"/>
    <n v="1622"/>
    <s v="20-30"/>
    <x v="0"/>
  </r>
  <r>
    <s v="https://suumo.jp/chintai/jnc_000103337915/?bc=100486383865"/>
    <s v="スカイコートグレース新宿中落合"/>
    <s v="東京都新宿区中落合１"/>
    <n v="108800"/>
    <n v="8200"/>
    <n v="108800"/>
    <n v="108800"/>
    <n v="2"/>
    <x v="2"/>
    <n v="25.52"/>
    <n v="6"/>
    <x v="4"/>
    <s v="中井駅"/>
    <n v="6"/>
    <n v="9.67"/>
    <n v="110380.12"/>
    <n v="95329.65"/>
    <n v="322"/>
    <n v="1622"/>
    <s v="20-30"/>
    <x v="0"/>
  </r>
  <r>
    <s v="https://suumo.jp/chintai/jnc_000102687697/?bc=100480993000"/>
    <s v="スカイコートグレース新宿中落合"/>
    <s v="東京都新宿区中落合１"/>
    <n v="108699.999999999"/>
    <n v="8300"/>
    <n v="108699.999999999"/>
    <n v="108699.999999999"/>
    <n v="2"/>
    <x v="2"/>
    <n v="25.86"/>
    <n v="6"/>
    <x v="4"/>
    <s v="中井駅"/>
    <n v="6"/>
    <n v="9.67"/>
    <n v="110380.12"/>
    <n v="95329.65"/>
    <n v="322"/>
    <n v="1622"/>
    <s v="20-30"/>
    <x v="0"/>
  </r>
  <r>
    <s v="https://suumo.jp/chintai/jnc_000103994067/?bc=100484172527"/>
    <s v="スカイコートグレース新宿中落合"/>
    <s v="東京都新宿区中落合１"/>
    <n v="109300"/>
    <n v="8200"/>
    <n v="109300"/>
    <n v="109300"/>
    <n v="3"/>
    <x v="2"/>
    <n v="25.6"/>
    <n v="6"/>
    <x v="4"/>
    <s v="中井駅"/>
    <n v="6"/>
    <n v="9.67"/>
    <n v="110380.12"/>
    <n v="95329.65"/>
    <n v="322"/>
    <n v="1622"/>
    <s v="20-30"/>
    <x v="0"/>
  </r>
  <r>
    <s v="https://suumo.jp/chintai/jnc_000103856289/?bc=100481231725"/>
    <s v="スカイコート新宿落合第６"/>
    <s v="東京都新宿区上落合３"/>
    <n v="77000"/>
    <n v="6000"/>
    <n v="77000"/>
    <n v="77000"/>
    <n v="2"/>
    <x v="2"/>
    <n v="18.48"/>
    <n v="26"/>
    <x v="4"/>
    <s v="中井駅"/>
    <n v="7"/>
    <n v="10.67"/>
    <n v="110380.12"/>
    <n v="95329.65"/>
    <n v="322"/>
    <n v="1622"/>
    <s v="10-20"/>
    <x v="1"/>
  </r>
  <r>
    <s v="https://suumo.jp/chintai/jnc_000104509154/?bc=100486353253"/>
    <s v="スカイコート新宿落合第６"/>
    <s v="東京都新宿区上落合３"/>
    <n v="78000"/>
    <n v="6000"/>
    <n v="78000"/>
    <n v="78000"/>
    <n v="3"/>
    <x v="2"/>
    <n v="18.5"/>
    <n v="26"/>
    <x v="4"/>
    <s v="中井駅"/>
    <n v="7"/>
    <n v="10.67"/>
    <n v="110380.12"/>
    <n v="95329.65"/>
    <n v="322"/>
    <n v="1622"/>
    <s v="10-20"/>
    <x v="1"/>
  </r>
  <r>
    <s v="https://suumo.jp/chintai/jnc_000103519515/?bc=100478343038"/>
    <s v="スカイコート新宿落合第６"/>
    <s v="東京都新宿区上落合３"/>
    <n v="75000"/>
    <n v="6000"/>
    <n v="75000"/>
    <n v="75000"/>
    <n v="4"/>
    <x v="2"/>
    <n v="18.48"/>
    <n v="26"/>
    <x v="4"/>
    <s v="中井駅"/>
    <n v="7"/>
    <n v="10.67"/>
    <n v="110380.12"/>
    <n v="95329.65"/>
    <n v="322"/>
    <n v="1622"/>
    <s v="10-20"/>
    <x v="1"/>
  </r>
  <r>
    <s v="https://suumo.jp/chintai/jnc_000103694565/?bc=100482084634"/>
    <s v="スカイコート新宿落合第６"/>
    <s v="東京都新宿区上落合３"/>
    <n v="78000"/>
    <n v="6000"/>
    <n v="78000"/>
    <n v="78000"/>
    <n v="4"/>
    <x v="2"/>
    <n v="18.48"/>
    <n v="26"/>
    <x v="4"/>
    <s v="中井駅"/>
    <n v="7"/>
    <n v="10.67"/>
    <n v="110380.12"/>
    <n v="95329.65"/>
    <n v="322"/>
    <n v="1622"/>
    <s v="10-20"/>
    <x v="1"/>
  </r>
  <r>
    <s v="https://suumo.jp/chintai/jnc_000104020990/?bc=100486476626"/>
    <s v="スカイコート新宿落合第６"/>
    <s v="東京都新宿区上落合３"/>
    <n v="79000"/>
    <n v="6000"/>
    <n v="79000"/>
    <n v="79000"/>
    <n v="4"/>
    <x v="2"/>
    <n v="18.48"/>
    <n v="26"/>
    <x v="4"/>
    <s v="中井駅"/>
    <n v="7"/>
    <n v="10.67"/>
    <n v="110380.12"/>
    <n v="95329.65"/>
    <n v="322"/>
    <n v="1622"/>
    <s v="10-20"/>
    <x v="1"/>
  </r>
  <r>
    <s v="https://suumo.jp/chintai/jnc_000103156177/?bc=100482282492"/>
    <s v="スピティ落合"/>
    <s v="東京都新宿区上落合２"/>
    <n v="92000"/>
    <n v="2000"/>
    <n v="92000"/>
    <m/>
    <n v="1"/>
    <x v="2"/>
    <n v="21.06"/>
    <n v="33"/>
    <x v="2"/>
    <s v="中井駅"/>
    <n v="5"/>
    <n v="7"/>
    <n v="110380.12"/>
    <n v="95329.65"/>
    <n v="322"/>
    <n v="1622"/>
    <s v="20-30"/>
    <x v="4"/>
  </r>
  <r>
    <s v="https://suumo.jp/chintai/jnc_000103330324/?bc=100481626844"/>
    <s v="スピティ落合"/>
    <s v="東京都新宿区上落合２"/>
    <n v="88000"/>
    <n v="2000"/>
    <n v="88000"/>
    <m/>
    <n v="2"/>
    <x v="2"/>
    <n v="21.06"/>
    <n v="33"/>
    <x v="2"/>
    <s v="中井駅"/>
    <n v="5"/>
    <n v="7"/>
    <n v="110380.12"/>
    <n v="95329.65"/>
    <n v="322"/>
    <n v="1622"/>
    <s v="20-30"/>
    <x v="4"/>
  </r>
  <r>
    <s v="https://suumo.jp/chintai/jnc_000104255981/?bc=100484466092"/>
    <s v="セジョリ新宿上落合"/>
    <s v="東京都新宿区上落合３"/>
    <n v="117000"/>
    <n v="12000"/>
    <m/>
    <m/>
    <n v="3"/>
    <x v="2"/>
    <n v="25.95"/>
    <n v="5"/>
    <x v="7"/>
    <s v="中井駅"/>
    <n v="4"/>
    <n v="8"/>
    <n v="110380.12"/>
    <n v="95329.65"/>
    <n v="322"/>
    <n v="1622"/>
    <s v="20-30"/>
    <x v="0"/>
  </r>
  <r>
    <s v="https://suumo.jp/chintai/jnc_000092610572/?bc=100483038846"/>
    <s v="デュオステージ中落合"/>
    <s v="東京都新宿区中落合１"/>
    <n v="137000"/>
    <n v="10000"/>
    <m/>
    <m/>
    <n v="2"/>
    <x v="2"/>
    <n v="30.6"/>
    <n v="8"/>
    <x v="4"/>
    <s v="中井駅"/>
    <n v="5"/>
    <n v="7.33"/>
    <n v="110380.12"/>
    <n v="95329.65"/>
    <n v="322"/>
    <n v="1622"/>
    <s v="30-40"/>
    <x v="0"/>
  </r>
  <r>
    <s v="https://suumo.jp/chintai/jnc_000103268898/?bc=100476571844"/>
    <s v="デュオステージ中落合"/>
    <s v="東京都新宿区中落合１"/>
    <n v="135000"/>
    <n v="10000"/>
    <m/>
    <n v="135000"/>
    <n v="3"/>
    <x v="2"/>
    <n v="30.69"/>
    <n v="8"/>
    <x v="4"/>
    <s v="中井駅"/>
    <n v="5"/>
    <n v="7.33"/>
    <n v="110380.12"/>
    <n v="95329.65"/>
    <n v="322"/>
    <n v="1622"/>
    <s v="30-40"/>
    <x v="0"/>
  </r>
  <r>
    <s v="https://suumo.jp/chintai/jnc_000104211533/?bc=100483833455"/>
    <s v="トーシンフェニックス落合公園"/>
    <s v="東京都中野区上高田４"/>
    <n v="75000"/>
    <n v="7000"/>
    <n v="75000"/>
    <n v="75000"/>
    <n v="3"/>
    <x v="2"/>
    <n v="20.9"/>
    <n v="22"/>
    <x v="7"/>
    <s v="中井駅"/>
    <n v="9"/>
    <n v="11"/>
    <n v="110380.12"/>
    <n v="95329.65"/>
    <n v="322"/>
    <n v="1622"/>
    <s v="20-30"/>
    <x v="1"/>
  </r>
  <r>
    <s v="https://suumo.jp/chintai/jnc_000104028806/?bc=100482355170"/>
    <s v="ハイツ伊良"/>
    <s v="東京都新宿区中井２"/>
    <n v="63000"/>
    <m/>
    <n v="63000"/>
    <n v="63000"/>
    <n v="1"/>
    <x v="2"/>
    <n v="22"/>
    <n v="66"/>
    <x v="0"/>
    <s v="中井駅"/>
    <n v="9"/>
    <n v="11"/>
    <n v="110380.12"/>
    <n v="95329.65"/>
    <n v="322"/>
    <n v="1622"/>
    <s v="20-30"/>
    <x v="2"/>
  </r>
  <r>
    <s v="https://suumo.jp/chintai/jnc_000103798068/?bc=100483988050"/>
    <s v="ヒカリハウス"/>
    <s v="東京都新宿区上落合２"/>
    <n v="82000"/>
    <n v="3000"/>
    <n v="82000"/>
    <n v="82000"/>
    <n v="1"/>
    <x v="2"/>
    <n v="20"/>
    <n v="56"/>
    <x v="0"/>
    <s v="中井駅"/>
    <n v="3"/>
    <n v="4.67"/>
    <n v="110380.12"/>
    <n v="95329.65"/>
    <n v="322"/>
    <n v="1622"/>
    <s v="20-30"/>
    <x v="5"/>
  </r>
  <r>
    <s v="https://suumo.jp/chintai/jnc_000103217362/?bc=100484587885"/>
    <s v="ヒルクレスト中井"/>
    <s v="東京都新宿区中井２"/>
    <n v="86000"/>
    <n v="3000"/>
    <n v="43000"/>
    <n v="129000"/>
    <n v="1"/>
    <x v="2"/>
    <n v="22.79"/>
    <n v="16"/>
    <x v="0"/>
    <s v="中井駅"/>
    <n v="6"/>
    <n v="9.33"/>
    <n v="110380.12"/>
    <n v="95329.65"/>
    <n v="322"/>
    <n v="1622"/>
    <s v="20-30"/>
    <x v="7"/>
  </r>
  <r>
    <s v="https://suumo.jp/chintai/jnc_000103891513/?bc=100482617650"/>
    <s v="ヒルクレスト中井"/>
    <s v="東京都新宿区中井２"/>
    <n v="93000"/>
    <n v="3000"/>
    <n v="46500"/>
    <n v="139500"/>
    <n v="2"/>
    <x v="2"/>
    <n v="34.06"/>
    <n v="16"/>
    <x v="0"/>
    <s v="中井駅"/>
    <n v="6"/>
    <n v="9.33"/>
    <n v="110380.12"/>
    <n v="95329.65"/>
    <n v="322"/>
    <n v="1622"/>
    <s v="30-40"/>
    <x v="7"/>
  </r>
  <r>
    <s v="https://suumo.jp/chintai/jnc_000103701886/?bc=100479880207"/>
    <s v="フェアリーランド"/>
    <s v="東京都新宿区中落合１"/>
    <n v="79000"/>
    <n v="3000"/>
    <n v="158000"/>
    <n v="158000"/>
    <n v="2"/>
    <x v="2"/>
    <n v="26.4"/>
    <n v="16"/>
    <x v="0"/>
    <s v="中井駅"/>
    <n v="3"/>
    <n v="6.67"/>
    <n v="110380.12"/>
    <n v="95329.65"/>
    <n v="322"/>
    <n v="1622"/>
    <s v="20-30"/>
    <x v="7"/>
  </r>
  <r>
    <s v="https://suumo.jp/chintai/jnc_000103903848/?bc=100483617350"/>
    <s v="フェニックス落合公園"/>
    <s v="東京都中野区上高田４"/>
    <n v="75000"/>
    <n v="7000"/>
    <n v="75000"/>
    <n v="75000"/>
    <n v="3"/>
    <x v="2"/>
    <n v="20.9"/>
    <n v="22"/>
    <x v="7"/>
    <s v="中井駅"/>
    <n v="9"/>
    <n v="11"/>
    <n v="110380.12"/>
    <n v="95329.65"/>
    <n v="322"/>
    <n v="1622"/>
    <s v="20-30"/>
    <x v="1"/>
  </r>
  <r>
    <s v="https://suumo.jp/chintai/jnc_000096465952/?bc=100486327512"/>
    <s v="フラット六ノ坂"/>
    <s v="東京都新宿区中井２"/>
    <n v="76000"/>
    <n v="2000"/>
    <n v="76000"/>
    <n v="76000"/>
    <n v="1"/>
    <x v="2"/>
    <n v="25"/>
    <n v="22"/>
    <x v="0"/>
    <s v="中井駅"/>
    <n v="8"/>
    <n v="10"/>
    <n v="110380.12"/>
    <n v="95329.65"/>
    <n v="322"/>
    <n v="1622"/>
    <s v="20-30"/>
    <x v="1"/>
  </r>
  <r>
    <s v="https://suumo.jp/chintai/jnc_000103928524/?bc=100481641414"/>
    <s v="ブライズ新宿中井"/>
    <s v="東京都新宿区中井１"/>
    <n v="80500"/>
    <n v="5000"/>
    <n v="80500"/>
    <n v="80500"/>
    <n v="4"/>
    <x v="2"/>
    <n v="19.440000000000001"/>
    <n v="18"/>
    <x v="10"/>
    <s v="中井駅"/>
    <n v="4"/>
    <n v="9.33"/>
    <n v="110380.12"/>
    <n v="95329.65"/>
    <n v="322"/>
    <n v="1622"/>
    <s v="10-20"/>
    <x v="7"/>
  </r>
  <r>
    <s v="https://suumo.jp/chintai/jnc_000104107294/?bc=100480706269"/>
    <s v="ブルーノート"/>
    <s v="東京都新宿区上落合２"/>
    <n v="92000"/>
    <n v="13000"/>
    <m/>
    <n v="92000"/>
    <n v="1"/>
    <x v="2"/>
    <n v="26.1"/>
    <n v="19"/>
    <x v="10"/>
    <s v="中井駅"/>
    <n v="5"/>
    <n v="7.67"/>
    <n v="110380.12"/>
    <n v="95329.65"/>
    <n v="322"/>
    <n v="1622"/>
    <s v="20-30"/>
    <x v="7"/>
  </r>
  <r>
    <s v="https://suumo.jp/chintai/jnc_000103362601/?bc=100483964208"/>
    <s v="ブルーノート"/>
    <s v="東京都新宿区上落合２"/>
    <n v="99000"/>
    <n v="13000"/>
    <m/>
    <n v="99000"/>
    <n v="1"/>
    <x v="2"/>
    <n v="26.1"/>
    <n v="19"/>
    <x v="10"/>
    <s v="中井駅"/>
    <n v="5"/>
    <n v="7.67"/>
    <n v="110380.12"/>
    <n v="95329.65"/>
    <n v="322"/>
    <n v="1622"/>
    <s v="20-30"/>
    <x v="7"/>
  </r>
  <r>
    <s v="https://suumo.jp/chintai/jnc_000047970576/?bc=100485551374"/>
    <s v="ブルーハイネス落合"/>
    <s v="東京都新宿区上落合２"/>
    <n v="63000"/>
    <n v="3000"/>
    <n v="63000"/>
    <n v="63000"/>
    <n v="1"/>
    <x v="2"/>
    <n v="18.43"/>
    <n v="33"/>
    <x v="2"/>
    <s v="中井駅"/>
    <n v="4"/>
    <n v="6"/>
    <n v="110380.12"/>
    <n v="95329.65"/>
    <n v="322"/>
    <n v="1622"/>
    <s v="10-20"/>
    <x v="4"/>
  </r>
  <r>
    <s v="https://suumo.jp/chintai/jnc_000103937445/?bc=100481851978"/>
    <s v="ボヌール中井"/>
    <s v="東京都新宿区中井２"/>
    <n v="72000"/>
    <n v="3000"/>
    <m/>
    <m/>
    <n v="2"/>
    <x v="2"/>
    <n v="22.06"/>
    <n v="26"/>
    <x v="0"/>
    <s v="中井駅"/>
    <n v="4"/>
    <n v="9.33"/>
    <n v="110380.12"/>
    <n v="95329.65"/>
    <n v="322"/>
    <n v="1622"/>
    <s v="20-30"/>
    <x v="1"/>
  </r>
  <r>
    <s v="https://suumo.jp/chintai/jnc_000104261586/?bc=100485134843"/>
    <s v="ミルフォード中井"/>
    <s v="東京都新宿区中落合１"/>
    <n v="76000"/>
    <n v="2000"/>
    <n v="76000"/>
    <n v="76000"/>
    <n v="4"/>
    <x v="2"/>
    <n v="18.5"/>
    <n v="37"/>
    <x v="9"/>
    <s v="中井駅"/>
    <n v="2"/>
    <n v="4.33"/>
    <n v="110380.12"/>
    <n v="95329.65"/>
    <n v="322"/>
    <n v="1622"/>
    <s v="10-20"/>
    <x v="4"/>
  </r>
  <r>
    <s v="https://suumo.jp/chintai/jnc_000103913411/?bc=100481708528"/>
    <s v="ミルフォード中井"/>
    <s v="東京都新宿区中落合１"/>
    <n v="73000"/>
    <n v="2000"/>
    <n v="73000"/>
    <n v="73000"/>
    <n v="5"/>
    <x v="2"/>
    <n v="16.18"/>
    <n v="37"/>
    <x v="9"/>
    <s v="中井駅"/>
    <n v="2"/>
    <n v="4.33"/>
    <n v="110380.12"/>
    <n v="95329.65"/>
    <n v="322"/>
    <n v="1622"/>
    <s v="10-20"/>
    <x v="4"/>
  </r>
  <r>
    <s v="https://suumo.jp/chintai/jnc_000104458800/?bc=100485854868"/>
    <s v="メイクスミニ新宿落合"/>
    <s v="東京都新宿区上落合３"/>
    <n v="107000"/>
    <n v="12000"/>
    <n v="107000"/>
    <n v="107000"/>
    <n v="1"/>
    <x v="2"/>
    <n v="23.12"/>
    <n v="2"/>
    <x v="2"/>
    <s v="中井駅"/>
    <n v="7"/>
    <n v="8.67"/>
    <n v="110380.12"/>
    <n v="95329.65"/>
    <n v="322"/>
    <n v="1622"/>
    <s v="20-30"/>
    <x v="0"/>
  </r>
  <r>
    <s v="https://suumo.jp/chintai/jnc_000101512509/?bc=100465191078"/>
    <s v="メインステージ新宿中井"/>
    <s v="東京都新宿区中井２"/>
    <n v="105000"/>
    <n v="15000"/>
    <m/>
    <n v="105000"/>
    <n v="3"/>
    <x v="2"/>
    <n v="25.65"/>
    <n v="9"/>
    <x v="4"/>
    <s v="中井駅"/>
    <n v="6"/>
    <n v="12.33"/>
    <n v="110380.12"/>
    <n v="95329.65"/>
    <n v="322"/>
    <n v="1622"/>
    <s v="20-30"/>
    <x v="0"/>
  </r>
  <r>
    <s v="https://suumo.jp/chintai/jnc_000104482297/?bc=100485975266"/>
    <s v="メインステージ新宿中井"/>
    <s v="東京都新宿区中井２"/>
    <n v="110000"/>
    <n v="15000"/>
    <m/>
    <n v="110000"/>
    <n v="4"/>
    <x v="2"/>
    <n v="25.65"/>
    <n v="9"/>
    <x v="4"/>
    <s v="中井駅"/>
    <n v="6"/>
    <n v="12.33"/>
    <n v="110380.12"/>
    <n v="95329.65"/>
    <n v="322"/>
    <n v="1622"/>
    <s v="20-30"/>
    <x v="0"/>
  </r>
  <r>
    <s v="https://suumo.jp/chintai/jnc_000103459002/?bc=100477948521"/>
    <s v="メゾン落合"/>
    <s v="東京都新宿区上落合３"/>
    <n v="97000"/>
    <n v="2000"/>
    <n v="48500"/>
    <n v="145500"/>
    <n v="1"/>
    <x v="2"/>
    <n v="26"/>
    <n v="15"/>
    <x v="2"/>
    <s v="中井駅"/>
    <n v="5"/>
    <n v="8"/>
    <n v="110380.12"/>
    <n v="95329.65"/>
    <n v="322"/>
    <n v="1622"/>
    <s v="20-30"/>
    <x v="7"/>
  </r>
  <r>
    <s v="https://suumo.jp/chintai/jnc_000104229485/?bc=100401171143"/>
    <s v="モアメゾン"/>
    <s v="東京都新宿区中落合１"/>
    <n v="67000"/>
    <n v="3000"/>
    <n v="67000"/>
    <m/>
    <n v="3"/>
    <x v="2"/>
    <n v="20"/>
    <n v="36"/>
    <x v="7"/>
    <s v="中井駅"/>
    <n v="2"/>
    <n v="5.33"/>
    <n v="110380.12"/>
    <n v="95329.65"/>
    <n v="322"/>
    <n v="1622"/>
    <s v="20-30"/>
    <x v="4"/>
  </r>
  <r>
    <s v="https://suumo.jp/chintai/jnc_000103804589/?bc=100480991910"/>
    <s v="リーフコート"/>
    <s v="東京都新宿区上落合２"/>
    <n v="85000"/>
    <n v="8000"/>
    <n v="85000"/>
    <n v="85000"/>
    <n v="3"/>
    <x v="2"/>
    <n v="21.87"/>
    <n v="17"/>
    <x v="2"/>
    <s v="中井駅"/>
    <n v="4"/>
    <n v="7.33"/>
    <n v="110380.12"/>
    <n v="95329.65"/>
    <n v="322"/>
    <n v="1622"/>
    <s v="20-30"/>
    <x v="7"/>
  </r>
  <r>
    <s v="https://suumo.jp/chintai/jnc_000103896683/?bc=100482376483"/>
    <s v="リーフテラス"/>
    <s v="東京都新宿区上落合１"/>
    <n v="82000"/>
    <n v="5000"/>
    <n v="82000"/>
    <n v="82000"/>
    <n v="2"/>
    <x v="2"/>
    <n v="20.58"/>
    <n v="16"/>
    <x v="0"/>
    <s v="中井駅"/>
    <n v="5"/>
    <n v="8.67"/>
    <n v="110380.12"/>
    <n v="95329.65"/>
    <n v="322"/>
    <n v="1622"/>
    <s v="20-30"/>
    <x v="7"/>
  </r>
  <r>
    <s v="https://suumo.jp/chintai/jnc_000104416541/?bc=100485854053"/>
    <s v="ルクレ中落合"/>
    <s v="東京都新宿区中落合１"/>
    <n v="106000"/>
    <n v="10000"/>
    <m/>
    <m/>
    <n v="3"/>
    <x v="2"/>
    <n v="22.89"/>
    <n v="17"/>
    <x v="6"/>
    <s v="中井駅"/>
    <n v="2"/>
    <n v="4.67"/>
    <n v="110380.12"/>
    <n v="95329.65"/>
    <n v="322"/>
    <n v="1622"/>
    <s v="20-30"/>
    <x v="7"/>
  </r>
  <r>
    <s v="https://suumo.jp/chintai/jnc_000104416542/?bc=100485896828"/>
    <s v="ルクレ中落合"/>
    <s v="東京都新宿区中落合１"/>
    <n v="108000"/>
    <n v="10000"/>
    <m/>
    <m/>
    <n v="6"/>
    <x v="2"/>
    <n v="22.89"/>
    <n v="17"/>
    <x v="6"/>
    <s v="中井駅"/>
    <n v="2"/>
    <n v="4.67"/>
    <n v="110380.12"/>
    <n v="95329.65"/>
    <n v="322"/>
    <n v="1622"/>
    <s v="20-30"/>
    <x v="7"/>
  </r>
  <r>
    <s v="https://suumo.jp/chintai/jnc_000103959563/?bc=100480759892"/>
    <s v="ルクレ中落合"/>
    <s v="東京都新宿区中落合１"/>
    <n v="108000"/>
    <n v="10000"/>
    <m/>
    <m/>
    <n v="7"/>
    <x v="2"/>
    <n v="22.89"/>
    <n v="17"/>
    <x v="6"/>
    <s v="中井駅"/>
    <n v="2"/>
    <n v="4.67"/>
    <n v="110380.12"/>
    <n v="95329.65"/>
    <n v="322"/>
    <n v="1622"/>
    <s v="20-30"/>
    <x v="7"/>
  </r>
  <r>
    <s v="https://suumo.jp/chintai/jnc_000104416543/?bc=100485715308"/>
    <s v="ルクレ中落合"/>
    <s v="東京都新宿区中落合１"/>
    <n v="111000"/>
    <n v="10000"/>
    <m/>
    <m/>
    <n v="8"/>
    <x v="2"/>
    <n v="22.89"/>
    <n v="17"/>
    <x v="6"/>
    <s v="中井駅"/>
    <n v="2"/>
    <n v="4.67"/>
    <n v="110380.12"/>
    <n v="95329.65"/>
    <n v="322"/>
    <n v="1622"/>
    <s v="20-30"/>
    <x v="7"/>
  </r>
  <r>
    <s v="https://suumo.jp/chintai/jnc_000104416544/?bc=100486373569"/>
    <s v="ルクレ中落合"/>
    <s v="東京都新宿区中落合１"/>
    <n v="112000"/>
    <n v="10000"/>
    <m/>
    <m/>
    <n v="9"/>
    <x v="2"/>
    <n v="22.89"/>
    <n v="17"/>
    <x v="6"/>
    <s v="中井駅"/>
    <n v="2"/>
    <n v="4.67"/>
    <n v="110380.12"/>
    <n v="95329.65"/>
    <n v="322"/>
    <n v="1622"/>
    <s v="20-30"/>
    <x v="7"/>
  </r>
  <r>
    <s v="https://suumo.jp/chintai/jnc_000102932244/?bc=100486396094"/>
    <s v="レオパレス中落合ヒルズ"/>
    <s v="東京都新宿区中落合４"/>
    <n v="109000"/>
    <n v="5500"/>
    <m/>
    <n v="109000"/>
    <n v="2"/>
    <x v="2"/>
    <n v="20.81"/>
    <n v="18"/>
    <x v="2"/>
    <s v="中井駅"/>
    <n v="5"/>
    <n v="8.67"/>
    <n v="110380.12"/>
    <n v="95329.65"/>
    <n v="322"/>
    <n v="1622"/>
    <s v="20-30"/>
    <x v="7"/>
  </r>
  <r>
    <s v="https://suumo.jp/chintai/jnc_000103557380/?bc=100482336837"/>
    <s v="レガリス新宿落合"/>
    <s v="東京都新宿区上落合１"/>
    <n v="110000"/>
    <n v="15000"/>
    <n v="110000"/>
    <n v="110000"/>
    <n v="3"/>
    <x v="2"/>
    <n v="25.38"/>
    <n v="8"/>
    <x v="4"/>
    <s v="中井駅"/>
    <n v="5"/>
    <n v="7"/>
    <n v="110380.12"/>
    <n v="95329.65"/>
    <n v="322"/>
    <n v="1622"/>
    <s v="20-30"/>
    <x v="0"/>
  </r>
  <r>
    <s v="https://suumo.jp/chintai/jnc_000104054964/?bc=100482789400"/>
    <s v="ワコーレ中井"/>
    <s v="東京都新宿区中井１"/>
    <n v="59000"/>
    <n v="8000"/>
    <m/>
    <m/>
    <n v="1"/>
    <x v="2"/>
    <n v="19.239999999999998"/>
    <n v="38"/>
    <x v="4"/>
    <s v="中井駅"/>
    <n v="7"/>
    <n v="9"/>
    <n v="110380.12"/>
    <n v="95329.65"/>
    <n v="322"/>
    <n v="1622"/>
    <s v="10-20"/>
    <x v="4"/>
  </r>
  <r>
    <s v="https://suumo.jp/chintai/jnc_000098875818/?bc=100482918494"/>
    <s v="中井エイトハウス"/>
    <s v="東京都新宿区中井１"/>
    <n v="57000"/>
    <n v="3000"/>
    <n v="57000"/>
    <n v="57000"/>
    <n v="2"/>
    <x v="2"/>
    <n v="23.09"/>
    <n v="48"/>
    <x v="0"/>
    <s v="中井駅"/>
    <n v="1"/>
    <n v="7"/>
    <n v="110380.12"/>
    <n v="95329.65"/>
    <n v="322"/>
    <n v="1622"/>
    <s v="20-30"/>
    <x v="3"/>
  </r>
  <r>
    <s v="https://suumo.jp/chintai/jnc_000068876872/?bc=100483299132"/>
    <s v="中井マーサ"/>
    <s v="東京都新宿区中落合４"/>
    <n v="55000"/>
    <n v="2000"/>
    <n v="55000"/>
    <m/>
    <n v="1"/>
    <x v="2"/>
    <n v="13"/>
    <n v="37"/>
    <x v="0"/>
    <s v="中井駅"/>
    <n v="6"/>
    <n v="9.67"/>
    <n v="110380.12"/>
    <n v="95329.65"/>
    <n v="322"/>
    <n v="1622"/>
    <s v="10-20"/>
    <x v="4"/>
  </r>
  <r>
    <s v="https://suumo.jp/chintai/jnc_000101532694/?bc=100468433261"/>
    <s v="井坂荘"/>
    <s v="東京都新宿区上落合３"/>
    <n v="60000"/>
    <m/>
    <n v="60000"/>
    <n v="60000"/>
    <n v="2"/>
    <x v="2"/>
    <n v="18"/>
    <n v="42"/>
    <x v="0"/>
    <s v="中井駅"/>
    <n v="4"/>
    <n v="5.33"/>
    <n v="110380.12"/>
    <n v="95329.65"/>
    <n v="322"/>
    <n v="1622"/>
    <s v="10-20"/>
    <x v="3"/>
  </r>
  <r>
    <s v="https://suumo.jp/chintai/jnc_000103094759/?bc=100474924705"/>
    <s v="岩崎荘"/>
    <s v="東京都新宿区上落合３"/>
    <n v="34000"/>
    <n v="1000"/>
    <n v="45000"/>
    <n v="34000"/>
    <n v="1"/>
    <x v="2"/>
    <n v="15"/>
    <n v="55"/>
    <x v="0"/>
    <s v="中井駅"/>
    <n v="8"/>
    <n v="11"/>
    <n v="110380.12"/>
    <n v="95329.65"/>
    <n v="322"/>
    <n v="1622"/>
    <s v="10-20"/>
    <x v="5"/>
  </r>
  <r>
    <s v="https://suumo.jp/chintai/jnc_000103499748/?bc=100477965331"/>
    <s v="岩田荘"/>
    <s v="東京都新宿区上落合３"/>
    <n v="59000"/>
    <n v="3000"/>
    <n v="59000"/>
    <n v="59000"/>
    <n v="2"/>
    <x v="2"/>
    <n v="20"/>
    <n v="54"/>
    <x v="0"/>
    <s v="中井駅"/>
    <n v="3"/>
    <n v="5.33"/>
    <n v="110380.12"/>
    <n v="95329.65"/>
    <n v="322"/>
    <n v="1622"/>
    <s v="20-30"/>
    <x v="5"/>
  </r>
  <r>
    <s v="https://suumo.jp/chintai/jnc_000104125636/?bc=100483769869"/>
    <s v="東京メトロ東西線 落合駅 2階建 築56年"/>
    <s v="東京都新宿区上落合２"/>
    <n v="82000"/>
    <n v="3000"/>
    <n v="82000"/>
    <n v="82000"/>
    <n v="1"/>
    <x v="2"/>
    <n v="20"/>
    <n v="56"/>
    <x v="0"/>
    <s v="中井駅"/>
    <n v="3"/>
    <n v="7.67"/>
    <n v="110380.12"/>
    <n v="95329.65"/>
    <n v="322"/>
    <n v="1622"/>
    <s v="20-30"/>
    <x v="5"/>
  </r>
  <r>
    <s v="https://suumo.jp/chintai/jnc_000104186368/?bc=100483715404"/>
    <s v="東京メトロ東西線 落合駅 4階建 築15年"/>
    <s v="東京都新宿区上落合２"/>
    <n v="125000"/>
    <n v="6500"/>
    <m/>
    <m/>
    <n v="2"/>
    <x v="2"/>
    <n v="33.61"/>
    <n v="15"/>
    <x v="4"/>
    <s v="中井駅"/>
    <n v="5"/>
    <n v="7.67"/>
    <n v="110380.12"/>
    <n v="95329.65"/>
    <n v="322"/>
    <n v="1622"/>
    <s v="30-40"/>
    <x v="7"/>
  </r>
  <r>
    <s v="https://suumo.jp/chintai/jnc_000103903348/?bc=100481705533"/>
    <s v="東京メトロ東西線 落合駅 4階建 築26年"/>
    <s v="東京都新宿区上落合３"/>
    <n v="77000"/>
    <n v="6000"/>
    <n v="77000"/>
    <n v="77000"/>
    <n v="2"/>
    <x v="2"/>
    <n v="18.48"/>
    <n v="26"/>
    <x v="4"/>
    <s v="中井駅"/>
    <n v="6"/>
    <n v="7"/>
    <n v="110380.12"/>
    <n v="95329.65"/>
    <n v="322"/>
    <n v="1622"/>
    <s v="10-20"/>
    <x v="1"/>
  </r>
  <r>
    <s v="https://suumo.jp/chintai/jnc_000103523781/?bc=100478341856"/>
    <s v="東京メトロ東西線 落合駅 4階建 築26年"/>
    <s v="東京都新宿区上落合３"/>
    <n v="75000"/>
    <n v="6000"/>
    <n v="75000"/>
    <n v="75000"/>
    <n v="4"/>
    <x v="2"/>
    <n v="18.48"/>
    <n v="26"/>
    <x v="4"/>
    <s v="中井駅"/>
    <n v="6"/>
    <n v="7"/>
    <n v="110380.12"/>
    <n v="95329.65"/>
    <n v="322"/>
    <n v="1622"/>
    <s v="10-20"/>
    <x v="1"/>
  </r>
  <r>
    <s v="https://suumo.jp/chintai/jnc_000103316396/?bc=100476776439"/>
    <s v="東京メトロ東西線 落合駅 4階建 築26年"/>
    <s v="東京都新宿区上落合３"/>
    <n v="78000"/>
    <n v="6000"/>
    <n v="78000"/>
    <n v="78000"/>
    <n v="4"/>
    <x v="2"/>
    <n v="18.48"/>
    <n v="26"/>
    <x v="4"/>
    <s v="中井駅"/>
    <n v="6"/>
    <n v="7"/>
    <n v="110380.12"/>
    <n v="95329.65"/>
    <n v="322"/>
    <n v="1622"/>
    <s v="10-20"/>
    <x v="1"/>
  </r>
  <r>
    <s v="https://suumo.jp/chintai/jnc_000104039388/?bc=100482341578"/>
    <s v="東京メトロ東西線 落合駅 4階建 築26年"/>
    <s v="東京都新宿区上落合３"/>
    <n v="79000"/>
    <n v="6000"/>
    <n v="79000"/>
    <n v="79000"/>
    <n v="4"/>
    <x v="2"/>
    <n v="18.48"/>
    <n v="26"/>
    <x v="4"/>
    <s v="中井駅"/>
    <n v="6"/>
    <n v="7"/>
    <n v="110380.12"/>
    <n v="95329.65"/>
    <n v="322"/>
    <n v="1622"/>
    <s v="10-20"/>
    <x v="1"/>
  </r>
  <r>
    <s v="https://suumo.jp/chintai/jnc_000099363124/?bc=100468393591"/>
    <s v="第二谷口荘"/>
    <s v="東京都新宿区上落合３"/>
    <n v="58000"/>
    <m/>
    <n v="58000"/>
    <n v="58000"/>
    <n v="2"/>
    <x v="2"/>
    <n v="18"/>
    <n v="46"/>
    <x v="0"/>
    <s v="中井駅"/>
    <n v="4"/>
    <n v="5.67"/>
    <n v="110380.12"/>
    <n v="95329.65"/>
    <n v="322"/>
    <n v="1622"/>
    <s v="10-20"/>
    <x v="3"/>
  </r>
  <r>
    <s v="https://suumo.jp/chintai/jnc_000103222874/?bc=100485738481"/>
    <s v="西武新宿線 中井駅 2階建 築17年"/>
    <s v="東京都新宿区中井２"/>
    <n v="86000"/>
    <n v="3000"/>
    <n v="43000"/>
    <n v="129000"/>
    <n v="1"/>
    <x v="2"/>
    <n v="22.79"/>
    <n v="17"/>
    <x v="0"/>
    <s v="中井駅"/>
    <n v="6"/>
    <n v="9.33"/>
    <n v="110380.12"/>
    <n v="95329.65"/>
    <n v="322"/>
    <n v="1622"/>
    <s v="20-30"/>
    <x v="7"/>
  </r>
  <r>
    <s v="https://suumo.jp/chintai/jnc_000091646118/?bc=100312006700"/>
    <s v="西武新宿線 中井駅 2階建 築21年"/>
    <s v="東京都新宿区中井２"/>
    <n v="67500"/>
    <n v="2500"/>
    <n v="67500"/>
    <n v="67500"/>
    <n v="1"/>
    <x v="2"/>
    <n v="20"/>
    <n v="21"/>
    <x v="0"/>
    <s v="中井駅"/>
    <n v="8"/>
    <n v="10.33"/>
    <n v="110380.12"/>
    <n v="95329.65"/>
    <n v="322"/>
    <n v="1622"/>
    <s v="20-30"/>
    <x v="1"/>
  </r>
  <r>
    <s v="https://suumo.jp/chintai/jnc_000104406525/?bc=100485411217"/>
    <s v="西武新宿線 中井駅 2階建 築32年"/>
    <s v="東京都新宿区中落合４"/>
    <n v="59000"/>
    <n v="3000"/>
    <n v="118000"/>
    <m/>
    <n v="1"/>
    <x v="2"/>
    <n v="18.5"/>
    <n v="32"/>
    <x v="0"/>
    <s v="中井駅"/>
    <n v="5"/>
    <n v="9"/>
    <n v="110380.12"/>
    <n v="95329.65"/>
    <n v="322"/>
    <n v="1622"/>
    <s v="10-20"/>
    <x v="4"/>
  </r>
  <r>
    <s v="https://suumo.jp/chintai/jnc_000104406526/?bc=100485411218"/>
    <s v="西武新宿線 中井駅 2階建 築32年"/>
    <s v="東京都新宿区中落合４"/>
    <n v="65000"/>
    <n v="3000"/>
    <n v="130000"/>
    <m/>
    <n v="2"/>
    <x v="2"/>
    <n v="18.22"/>
    <n v="32"/>
    <x v="0"/>
    <s v="中井駅"/>
    <n v="5"/>
    <n v="9"/>
    <n v="110380.12"/>
    <n v="95329.65"/>
    <n v="322"/>
    <n v="1622"/>
    <s v="10-20"/>
    <x v="4"/>
  </r>
  <r>
    <s v="https://suumo.jp/chintai/jnc_000070521786/?bc=100456464062"/>
    <s v="西武新宿線 中井駅 2階建 築37年"/>
    <s v="東京都新宿区中落合４"/>
    <n v="55000"/>
    <n v="2000"/>
    <n v="55000"/>
    <m/>
    <n v="1"/>
    <x v="2"/>
    <n v="13"/>
    <n v="37"/>
    <x v="0"/>
    <s v="中井駅"/>
    <n v="6"/>
    <n v="9.67"/>
    <n v="110380.12"/>
    <n v="95329.65"/>
    <n v="322"/>
    <n v="1622"/>
    <s v="10-20"/>
    <x v="4"/>
  </r>
  <r>
    <s v="https://suumo.jp/chintai/jnc_000102764652/?bc=100472267933"/>
    <s v="西武新宿線 中井駅 2階建 築38年"/>
    <s v="東京都新宿区上落合２"/>
    <n v="75000"/>
    <n v="3000"/>
    <n v="75000"/>
    <n v="75000"/>
    <n v="1"/>
    <x v="2"/>
    <n v="18.23"/>
    <n v="38"/>
    <x v="0"/>
    <s v="中井駅"/>
    <n v="3"/>
    <n v="7.33"/>
    <n v="110380.12"/>
    <n v="95329.65"/>
    <n v="322"/>
    <n v="1622"/>
    <s v="10-20"/>
    <x v="4"/>
  </r>
  <r>
    <s v="https://suumo.jp/chintai/jnc_000103217359/?bc=100456555999"/>
    <s v="西武新宿線 中井駅 2階建 築39年"/>
    <s v="東京都新宿区中井２"/>
    <n v="65000"/>
    <m/>
    <n v="65000"/>
    <n v="65000"/>
    <n v="1"/>
    <x v="2"/>
    <n v="18.86"/>
    <n v="39"/>
    <x v="0"/>
    <s v="中井駅"/>
    <n v="9"/>
    <n v="11"/>
    <n v="110380.12"/>
    <n v="95329.65"/>
    <n v="322"/>
    <n v="1622"/>
    <s v="10-20"/>
    <x v="4"/>
  </r>
  <r>
    <s v="https://suumo.jp/chintai/jnc_000103217360/?bc=100456378680"/>
    <s v="西武新宿線 中井駅 2階建 築39年"/>
    <s v="東京都新宿区中井２"/>
    <n v="65000"/>
    <m/>
    <n v="65000"/>
    <n v="65000"/>
    <n v="2"/>
    <x v="2"/>
    <n v="18.86"/>
    <n v="39"/>
    <x v="0"/>
    <s v="中井駅"/>
    <n v="9"/>
    <n v="11"/>
    <n v="110380.12"/>
    <n v="95329.65"/>
    <n v="322"/>
    <n v="1622"/>
    <s v="10-20"/>
    <x v="4"/>
  </r>
  <r>
    <s v="https://suumo.jp/chintai/jnc_000104021007/?bc=100482281547"/>
    <s v="西武新宿線 中井駅 2階建 築4年"/>
    <s v="東京都新宿区中井２"/>
    <n v="86000"/>
    <n v="3000"/>
    <n v="86000"/>
    <n v="86000"/>
    <n v="1"/>
    <x v="2"/>
    <n v="20.91"/>
    <n v="4"/>
    <x v="0"/>
    <s v="中井駅"/>
    <n v="5"/>
    <n v="9.33"/>
    <n v="110380.12"/>
    <n v="95329.65"/>
    <n v="322"/>
    <n v="1622"/>
    <s v="20-30"/>
    <x v="0"/>
  </r>
  <r>
    <s v="https://suumo.jp/chintai/jnc_000103110630/?bc=100474931629"/>
    <s v="西武新宿線 中井駅 2階建 築55年"/>
    <s v="東京都新宿区上落合３"/>
    <n v="34000"/>
    <n v="1000"/>
    <n v="45000"/>
    <n v="34000"/>
    <n v="1"/>
    <x v="2"/>
    <n v="15"/>
    <n v="55"/>
    <x v="0"/>
    <s v="中井駅"/>
    <n v="8"/>
    <n v="11"/>
    <n v="110380.12"/>
    <n v="95329.65"/>
    <n v="322"/>
    <n v="1622"/>
    <s v="10-20"/>
    <x v="5"/>
  </r>
  <r>
    <s v="https://suumo.jp/chintai/jnc_000099588835/?bc=100477729225"/>
    <s v="西武新宿線 中井駅 3階建 築17年"/>
    <s v="東京都新宿区上落合２"/>
    <n v="76000"/>
    <n v="8000"/>
    <n v="76000"/>
    <n v="76000"/>
    <n v="1"/>
    <x v="2"/>
    <n v="21.87"/>
    <n v="17"/>
    <x v="2"/>
    <s v="中井駅"/>
    <n v="5"/>
    <n v="7.67"/>
    <n v="110380.12"/>
    <n v="95329.65"/>
    <n v="322"/>
    <n v="1622"/>
    <s v="20-30"/>
    <x v="7"/>
  </r>
  <r>
    <s v="https://suumo.jp/chintai/jnc_000047752549/?bc=100481344248"/>
    <s v="西武新宿線 中井駅 3階建 築33年"/>
    <s v="東京都新宿区上落合２"/>
    <n v="63000"/>
    <n v="3000"/>
    <n v="63000"/>
    <n v="63000"/>
    <n v="1"/>
    <x v="2"/>
    <n v="18.43"/>
    <n v="33"/>
    <x v="2"/>
    <s v="中井駅"/>
    <n v="4"/>
    <n v="6.67"/>
    <n v="110380.12"/>
    <n v="95329.65"/>
    <n v="322"/>
    <n v="1622"/>
    <s v="10-20"/>
    <x v="4"/>
  </r>
  <r>
    <s v="https://suumo.jp/chintai/jnc_000104416499/?bc=100485497867"/>
    <s v="西武新宿線 中井駅 4階建 築30年"/>
    <s v="東京都新宿区上落合１"/>
    <n v="85000"/>
    <n v="5000"/>
    <n v="85000"/>
    <n v="85000"/>
    <n v="3"/>
    <x v="2"/>
    <n v="22.15"/>
    <n v="30"/>
    <x v="4"/>
    <s v="中井駅"/>
    <n v="7"/>
    <n v="12"/>
    <n v="110380.12"/>
    <n v="95329.65"/>
    <n v="322"/>
    <n v="1622"/>
    <s v="20-30"/>
    <x v="1"/>
  </r>
  <r>
    <s v="https://suumo.jp/chintai/jnc_000103575250/?bc=100478651058"/>
    <s v="西武新宿線 中井駅 4階建 築3年"/>
    <s v="東京都新宿区中落合１"/>
    <n v="108000"/>
    <n v="10000"/>
    <n v="108000"/>
    <m/>
    <n v="2"/>
    <x v="2"/>
    <n v="23.28"/>
    <n v="3"/>
    <x v="4"/>
    <s v="中井駅"/>
    <n v="3"/>
    <n v="9"/>
    <n v="110380.12"/>
    <n v="95329.65"/>
    <n v="322"/>
    <n v="1622"/>
    <s v="20-30"/>
    <x v="0"/>
  </r>
  <r>
    <s v="https://suumo.jp/chintai/jnc_000104241042/?bc=100338164180"/>
    <s v="西武新宿線 中井駅 4階建 築9年"/>
    <s v="東京都新宿区中井２"/>
    <n v="110000"/>
    <n v="15000"/>
    <m/>
    <n v="110000"/>
    <n v="4"/>
    <x v="2"/>
    <n v="25.65"/>
    <n v="9"/>
    <x v="4"/>
    <s v="中井駅"/>
    <n v="6"/>
    <n v="12.33"/>
    <n v="110380.12"/>
    <n v="95329.65"/>
    <n v="322"/>
    <n v="1622"/>
    <s v="20-30"/>
    <x v="0"/>
  </r>
  <r>
    <s v="https://suumo.jp/chintai/jnc_000103734392/?bc=100481344257"/>
    <s v="西武新宿線 中井駅 7階建 築19年"/>
    <s v="東京都新宿区上落合２"/>
    <n v="99000"/>
    <n v="13000"/>
    <m/>
    <n v="99000"/>
    <n v="1"/>
    <x v="2"/>
    <n v="26.1"/>
    <n v="19"/>
    <x v="10"/>
    <s v="中井駅"/>
    <n v="6"/>
    <n v="8"/>
    <n v="110380.12"/>
    <n v="95329.65"/>
    <n v="322"/>
    <n v="1622"/>
    <s v="20-30"/>
    <x v="7"/>
  </r>
  <r>
    <s v="https://suumo.jp/chintai/jnc_000103959564/?bc=100482334098"/>
    <s v="西武新宿線 中井駅 7階建 築37年"/>
    <s v="東京都新宿区中落合１"/>
    <n v="73000"/>
    <n v="2000"/>
    <n v="73000"/>
    <n v="73000"/>
    <n v="5"/>
    <x v="2"/>
    <n v="16.18"/>
    <n v="37"/>
    <x v="10"/>
    <s v="中井駅"/>
    <n v="2"/>
    <n v="6.67"/>
    <n v="110380.12"/>
    <n v="95329.65"/>
    <n v="322"/>
    <n v="1622"/>
    <s v="10-20"/>
    <x v="4"/>
  </r>
  <r>
    <s v="https://suumo.jp/chintai/jnc_000104372515/?bc=100485498300"/>
    <s v="西武新宿線 中井駅 8階建 築27年"/>
    <s v="東京都新宿区上落合２"/>
    <n v="70000"/>
    <n v="7000"/>
    <n v="70000"/>
    <n v="70000"/>
    <n v="2"/>
    <x v="2"/>
    <n v="20.07"/>
    <n v="27"/>
    <x v="9"/>
    <s v="中井駅"/>
    <n v="5"/>
    <n v="7.67"/>
    <n v="110380.12"/>
    <n v="95329.65"/>
    <n v="322"/>
    <n v="1622"/>
    <s v="20-30"/>
    <x v="1"/>
  </r>
  <r>
    <s v="https://suumo.jp/chintai/jnc_000101924305/?bc=100480461900"/>
    <s v="西武新宿線 中井駅 8階建 築27年"/>
    <s v="東京都新宿区上落合２"/>
    <n v="77000"/>
    <n v="6000"/>
    <n v="77000"/>
    <m/>
    <n v="7"/>
    <x v="2"/>
    <n v="20.07"/>
    <n v="27"/>
    <x v="9"/>
    <s v="中井駅"/>
    <n v="5"/>
    <n v="7.67"/>
    <n v="110380.12"/>
    <n v="95329.65"/>
    <n v="322"/>
    <n v="1622"/>
    <s v="20-30"/>
    <x v="1"/>
  </r>
  <r>
    <s v="https://suumo.jp/chintai/jnc_000104458811/?bc=100485821977"/>
    <s v="西武新宿線 中井駅 9階建 築17年"/>
    <s v="東京都新宿区中落合１"/>
    <n v="106000"/>
    <n v="10000"/>
    <m/>
    <m/>
    <n v="3"/>
    <x v="2"/>
    <n v="22.89"/>
    <n v="17"/>
    <x v="6"/>
    <s v="中井駅"/>
    <n v="2"/>
    <n v="5.67"/>
    <n v="110380.12"/>
    <n v="95329.65"/>
    <n v="322"/>
    <n v="1622"/>
    <s v="20-30"/>
    <x v="7"/>
  </r>
  <r>
    <s v="https://suumo.jp/chintai/jnc_000104458812/?bc=100485821998"/>
    <s v="西武新宿線 中井駅 9階建 築17年"/>
    <s v="東京都新宿区中落合１"/>
    <n v="108000"/>
    <n v="10000"/>
    <m/>
    <m/>
    <n v="6"/>
    <x v="2"/>
    <n v="22.89"/>
    <n v="17"/>
    <x v="6"/>
    <s v="中井駅"/>
    <n v="2"/>
    <n v="5.67"/>
    <n v="110380.12"/>
    <n v="95329.65"/>
    <n v="322"/>
    <n v="1622"/>
    <s v="20-30"/>
    <x v="7"/>
  </r>
  <r>
    <s v="https://suumo.jp/chintai/jnc_000104531826/?bc=100486328193"/>
    <s v="西武新宿線 中井駅 地下1地上3階建 築19年"/>
    <s v="東京都新宿区中落合４"/>
    <n v="92000"/>
    <n v="5000"/>
    <m/>
    <m/>
    <n v="1"/>
    <x v="2"/>
    <n v="19.739999999999998"/>
    <n v="19"/>
    <x v="4"/>
    <s v="中井駅"/>
    <n v="6"/>
    <n v="9"/>
    <n v="110380.12"/>
    <n v="95329.65"/>
    <n v="322"/>
    <n v="1622"/>
    <s v="10-20"/>
    <x v="7"/>
  </r>
  <r>
    <s v="https://suumo.jp/chintai/jnc_000104482301/?bc=100486004052"/>
    <s v="西武新宿線 中井駅 地下1地上3階建 築19年"/>
    <s v="東京都新宿区中落合４"/>
    <n v="90000"/>
    <n v="5000"/>
    <m/>
    <m/>
    <n v="1"/>
    <x v="2"/>
    <n v="19.739999999999998"/>
    <n v="19"/>
    <x v="4"/>
    <s v="中井駅"/>
    <n v="6"/>
    <n v="9"/>
    <n v="110380.12"/>
    <n v="95329.65"/>
    <n v="322"/>
    <n v="1622"/>
    <s v="10-20"/>
    <x v="7"/>
  </r>
  <r>
    <s v="https://suumo.jp/chintai/jnc_000103701887/?bc=100486088064"/>
    <s v="都営大江戸線 中井駅 2階建 築16年"/>
    <s v="東京都新宿区中落合１"/>
    <n v="79000"/>
    <n v="3000"/>
    <n v="158000"/>
    <n v="158000"/>
    <n v="2"/>
    <x v="2"/>
    <n v="26.4"/>
    <n v="16"/>
    <x v="0"/>
    <s v="中井駅"/>
    <n v="3"/>
    <n v="6.67"/>
    <n v="110380.12"/>
    <n v="95329.65"/>
    <n v="322"/>
    <n v="1622"/>
    <s v="20-30"/>
    <x v="7"/>
  </r>
  <r>
    <s v="https://suumo.jp/chintai/jnc_000104363173/?bc=100485045706"/>
    <s v="都営大江戸線 中井駅 2階建 築38年"/>
    <s v="東京都新宿区上落合２"/>
    <n v="77000"/>
    <n v="3000"/>
    <n v="77000"/>
    <n v="77000"/>
    <n v="2"/>
    <x v="2"/>
    <n v="18.23"/>
    <n v="38"/>
    <x v="0"/>
    <s v="中井駅"/>
    <n v="1"/>
    <n v="7"/>
    <n v="110380.12"/>
    <n v="95329.65"/>
    <n v="322"/>
    <n v="1622"/>
    <s v="10-20"/>
    <x v="4"/>
  </r>
  <r>
    <s v="https://suumo.jp/chintai/jnc_000103023768/?bc=100485215858"/>
    <s v="都営大江戸線 中井駅 2階建 築9年"/>
    <s v="東京都新宿区上落合３"/>
    <n v="108000"/>
    <n v="2000"/>
    <n v="108000"/>
    <n v="108000"/>
    <n v="2"/>
    <x v="2"/>
    <n v="25.51"/>
    <n v="9"/>
    <x v="0"/>
    <s v="中井駅"/>
    <n v="5"/>
    <n v="10"/>
    <n v="110380.12"/>
    <n v="95329.65"/>
    <n v="322"/>
    <n v="1622"/>
    <s v="20-30"/>
    <x v="0"/>
  </r>
  <r>
    <s v="https://suumo.jp/chintai/jnc_000104085857/?bc=100482871887"/>
    <s v="都営大江戸線 中井駅 3階建 築24年"/>
    <s v="東京都新宿区中落合１"/>
    <n v="140000"/>
    <n v="5000"/>
    <n v="140000"/>
    <n v="140000"/>
    <n v="2"/>
    <x v="2"/>
    <n v="31.99"/>
    <n v="24"/>
    <x v="2"/>
    <s v="中井駅"/>
    <n v="3"/>
    <n v="10.33"/>
    <n v="110380.12"/>
    <n v="95329.65"/>
    <n v="322"/>
    <n v="1622"/>
    <s v="30-40"/>
    <x v="1"/>
  </r>
  <r>
    <s v="https://suumo.jp/chintai/jnc_000104473637/?bc=100485944042"/>
    <s v="都営大江戸線 中井駅 3階建 築33年"/>
    <s v="東京都新宿区上落合２"/>
    <n v="96000"/>
    <n v="2000"/>
    <n v="96000"/>
    <n v="96000"/>
    <n v="1"/>
    <x v="2"/>
    <n v="21.06"/>
    <n v="33"/>
    <x v="2"/>
    <s v="中井駅"/>
    <n v="2"/>
    <n v="2"/>
    <n v="110380.12"/>
    <n v="95329.65"/>
    <n v="322"/>
    <n v="1622"/>
    <s v="20-30"/>
    <x v="4"/>
  </r>
  <r>
    <s v="https://suumo.jp/chintai/jnc_000103337916/?bc=100476864411"/>
    <s v="都営大江戸線 中井駅 4階建 築7年"/>
    <s v="東京都新宿区中落合１"/>
    <n v="106000"/>
    <n v="15000"/>
    <m/>
    <n v="159000"/>
    <n v="2"/>
    <x v="2"/>
    <n v="25.52"/>
    <n v="7"/>
    <x v="4"/>
    <s v="中井駅"/>
    <n v="5"/>
    <n v="8.33"/>
    <n v="110380.12"/>
    <n v="95329.65"/>
    <n v="322"/>
    <n v="1622"/>
    <s v="20-30"/>
    <x v="0"/>
  </r>
  <r>
    <s v="https://suumo.jp/chintai/jnc_000103976389/?bc=100486336356"/>
    <s v="都営大江戸線 中井駅 4階建 築7年"/>
    <s v="東京都新宿区中落合１"/>
    <n v="108800"/>
    <n v="8200"/>
    <n v="108800"/>
    <n v="108800"/>
    <n v="2"/>
    <x v="2"/>
    <n v="25.52"/>
    <n v="7"/>
    <x v="4"/>
    <s v="中井駅"/>
    <n v="5"/>
    <n v="8.33"/>
    <n v="110380.12"/>
    <n v="95329.65"/>
    <n v="322"/>
    <n v="1622"/>
    <s v="20-30"/>
    <x v="0"/>
  </r>
  <r>
    <s v="https://suumo.jp/chintai/jnc_000102324033/?bc=100480789656"/>
    <s v="都営大江戸線 中井駅 4階建 築7年"/>
    <s v="東京都新宿区中落合１"/>
    <n v="100000"/>
    <n v="11000"/>
    <m/>
    <n v="100000"/>
    <n v="2"/>
    <x v="2"/>
    <n v="25.52"/>
    <n v="7"/>
    <x v="4"/>
    <s v="中井駅"/>
    <n v="5"/>
    <n v="8.33"/>
    <n v="110380.12"/>
    <n v="95329.65"/>
    <n v="322"/>
    <n v="1622"/>
    <s v="20-30"/>
    <x v="0"/>
  </r>
  <r>
    <s v="https://suumo.jp/chintai/jnc_000103505757/?bc=100484137937"/>
    <s v="都営大江戸線 中井駅 4階建 築7年"/>
    <s v="東京都新宿区中井１"/>
    <n v="100000"/>
    <n v="14000"/>
    <m/>
    <n v="100000"/>
    <n v="2"/>
    <x v="2"/>
    <n v="25.64"/>
    <n v="7"/>
    <x v="4"/>
    <s v="中井駅"/>
    <n v="6"/>
    <n v="11.33"/>
    <n v="110380.12"/>
    <n v="95329.65"/>
    <n v="322"/>
    <n v="1622"/>
    <s v="20-30"/>
    <x v="0"/>
  </r>
  <r>
    <s v="https://suumo.jp/chintai/jnc_000103505759/?bc=100484573845"/>
    <s v="都営大江戸線 中井駅 4階建 築7年"/>
    <s v="東京都新宿区中井１"/>
    <n v="100000"/>
    <n v="14000"/>
    <m/>
    <n v="100000"/>
    <n v="3"/>
    <x v="2"/>
    <n v="25.22"/>
    <n v="7"/>
    <x v="4"/>
    <s v="中井駅"/>
    <n v="6"/>
    <n v="11.33"/>
    <n v="110380.12"/>
    <n v="95329.65"/>
    <n v="322"/>
    <n v="1622"/>
    <s v="20-30"/>
    <x v="0"/>
  </r>
  <r>
    <s v="https://suumo.jp/chintai/jnc_000103505760/?bc=100480003878"/>
    <s v="都営大江戸線 中井駅 4階建 築7年"/>
    <s v="東京都新宿区中井１"/>
    <n v="100000"/>
    <n v="14000"/>
    <m/>
    <n v="100000"/>
    <n v="4"/>
    <x v="2"/>
    <n v="25.2"/>
    <n v="7"/>
    <x v="4"/>
    <s v="中井駅"/>
    <n v="6"/>
    <n v="11.33"/>
    <n v="110380.12"/>
    <n v="95329.65"/>
    <n v="322"/>
    <n v="1622"/>
    <s v="20-30"/>
    <x v="0"/>
  </r>
  <r>
    <s v="https://suumo.jp/chintai/jnc_000104464185/?bc=100485865649"/>
    <s v="都営大江戸線 中井駅 4階建 築8年"/>
    <s v="東京都新宿区上落合１"/>
    <n v="106000"/>
    <n v="10000"/>
    <m/>
    <n v="106000"/>
    <n v="2"/>
    <x v="2"/>
    <n v="25.38"/>
    <n v="8"/>
    <x v="4"/>
    <s v="中井駅"/>
    <n v="5"/>
    <n v="7"/>
    <n v="110380.12"/>
    <n v="95329.65"/>
    <n v="322"/>
    <n v="1622"/>
    <s v="20-30"/>
    <x v="0"/>
  </r>
  <r>
    <s v="https://suumo.jp/chintai/jnc_000103557381/?bc=100478503298"/>
    <s v="都営大江戸線 中井駅 4階建 築8年"/>
    <s v="東京都新宿区上落合１"/>
    <n v="110000"/>
    <n v="15000"/>
    <n v="110000"/>
    <n v="110000"/>
    <n v="2"/>
    <x v="2"/>
    <n v="25.38"/>
    <n v="8"/>
    <x v="4"/>
    <s v="中井駅"/>
    <n v="5"/>
    <n v="7"/>
    <n v="110380.12"/>
    <n v="95329.65"/>
    <n v="322"/>
    <n v="1622"/>
    <s v="20-30"/>
    <x v="0"/>
  </r>
  <r>
    <s v="https://suumo.jp/chintai/jnc_000103557382/?bc=100480172710"/>
    <s v="都営大江戸線 中井駅 4階建 築8年"/>
    <s v="東京都新宿区上落合１"/>
    <n v="110000"/>
    <n v="15000"/>
    <n v="110000"/>
    <n v="110000"/>
    <n v="3"/>
    <x v="2"/>
    <n v="25.38"/>
    <n v="8"/>
    <x v="4"/>
    <s v="中井駅"/>
    <n v="5"/>
    <n v="7"/>
    <n v="110380.12"/>
    <n v="95329.65"/>
    <n v="322"/>
    <n v="1622"/>
    <s v="20-30"/>
    <x v="0"/>
  </r>
  <r>
    <s v="https://suumo.jp/chintai/jnc_000104186917/?bc=100483545948"/>
    <s v="都営大江戸線 中井駅 5階建 築22年"/>
    <s v="東京都中野区上高田４"/>
    <n v="75000"/>
    <n v="7000"/>
    <n v="75000"/>
    <n v="75000"/>
    <n v="3"/>
    <x v="2"/>
    <n v="20.9"/>
    <n v="22"/>
    <x v="7"/>
    <s v="中井駅"/>
    <n v="9"/>
    <n v="9.67"/>
    <n v="110380.12"/>
    <n v="95329.65"/>
    <n v="322"/>
    <n v="1622"/>
    <s v="20-30"/>
    <x v="1"/>
  </r>
  <r>
    <s v="https://suumo.jp/chintai/jnc_000103440547/?bc=100469514310"/>
    <s v="都営大江戸線 中井駅 5階建 築30年"/>
    <s v="東京都中野区上高田４"/>
    <n v="86000"/>
    <n v="7000"/>
    <n v="86000"/>
    <m/>
    <n v="2"/>
    <x v="2"/>
    <n v="20.09"/>
    <n v="30"/>
    <x v="7"/>
    <s v="中井駅"/>
    <n v="9"/>
    <n v="13.33"/>
    <n v="110380.12"/>
    <n v="95329.65"/>
    <n v="322"/>
    <n v="1622"/>
    <s v="20-30"/>
    <x v="1"/>
  </r>
  <r>
    <s v="https://suumo.jp/chintai/jnc_000104303532/?bc=100484566870"/>
    <s v="都営大江戸線 中井駅 地下1地上2階建 築9年"/>
    <s v="東京都新宿区中井２"/>
    <n v="122000"/>
    <n v="5000"/>
    <n v="122000"/>
    <n v="122000"/>
    <n v="2"/>
    <x v="2"/>
    <n v="25.38"/>
    <n v="9"/>
    <x v="2"/>
    <s v="中井駅"/>
    <n v="5"/>
    <n v="8.67"/>
    <n v="110380.12"/>
    <n v="95329.65"/>
    <n v="322"/>
    <n v="1622"/>
    <s v="20-30"/>
    <x v="0"/>
  </r>
  <r>
    <s v="https://suumo.jp/chintai/jnc_000104498690/?bc=100486070272"/>
    <s v="都営大江戸線 中井駅 地下1地上3階建 築25年"/>
    <s v="東京都新宿区中井１"/>
    <n v="60000"/>
    <n v="3000"/>
    <n v="60000"/>
    <m/>
    <n v="2"/>
    <x v="2"/>
    <n v="16.02"/>
    <n v="25"/>
    <x v="4"/>
    <s v="中井駅"/>
    <n v="4"/>
    <n v="6"/>
    <n v="110380.12"/>
    <n v="95329.65"/>
    <n v="322"/>
    <n v="1622"/>
    <s v="10-20"/>
    <x v="1"/>
  </r>
  <r>
    <s v="https://suumo.jp/chintai/jnc_000104192169/?bc=100483913865"/>
    <s v="都営大江戸線 中井駅 地下1地上6階建 築20年"/>
    <s v="東京都新宿区上落合３"/>
    <n v="107000"/>
    <n v="15000"/>
    <m/>
    <m/>
    <n v="3"/>
    <x v="2"/>
    <n v="23.5"/>
    <n v="20"/>
    <x v="10"/>
    <s v="中井駅"/>
    <n v="3"/>
    <n v="4"/>
    <n v="110380.12"/>
    <n v="95329.65"/>
    <n v="322"/>
    <n v="1622"/>
    <s v="20-30"/>
    <x v="7"/>
  </r>
  <r>
    <s v="https://suumo.jp/chintai/jnc_000103499750/?bc=100478343311"/>
    <s v="都営大江戸線 中井駅 地下1地上6階建 築20年"/>
    <s v="東京都新宿区上落合３"/>
    <n v="109000"/>
    <n v="15000"/>
    <m/>
    <m/>
    <n v="3"/>
    <x v="2"/>
    <n v="23.5"/>
    <n v="20"/>
    <x v="10"/>
    <s v="中井駅"/>
    <n v="3"/>
    <n v="4"/>
    <n v="110380.12"/>
    <n v="95329.65"/>
    <n v="322"/>
    <n v="1622"/>
    <s v="20-30"/>
    <x v="7"/>
  </r>
  <r>
    <s v="https://suumo.jp/chintai/jnc_000103821674/?bc=100482783092"/>
    <s v="ＧＲＡＮＰＡＳＥＯ新宿中井"/>
    <s v="東京都新宿区中落合１"/>
    <n v="100000"/>
    <n v="5000"/>
    <n v="100000"/>
    <m/>
    <n v="4"/>
    <x v="2"/>
    <n v="25.37"/>
    <n v="24"/>
    <x v="4"/>
    <s v="中井駅"/>
    <n v="4"/>
    <n v="5.67"/>
    <n v="110380.12"/>
    <n v="95329.65"/>
    <n v="322"/>
    <n v="1622"/>
    <s v="20-30"/>
    <x v="1"/>
  </r>
  <r>
    <s v="https://suumo.jp/chintai/jnc_000104285623/?bc=100484515380"/>
    <s v="ＪＲ中央線 東中野駅 12階建 築32年"/>
    <s v="東京都新宿区上落合３"/>
    <n v="87000"/>
    <n v="5000"/>
    <n v="87000"/>
    <n v="87000"/>
    <n v="5"/>
    <x v="2"/>
    <n v="23.1"/>
    <n v="32"/>
    <x v="3"/>
    <s v="中井駅"/>
    <n v="2"/>
    <n v="5"/>
    <n v="110380.12"/>
    <n v="95329.65"/>
    <n v="322"/>
    <n v="1622"/>
    <s v="20-30"/>
    <x v="4"/>
  </r>
  <r>
    <s v="https://suumo.jp/chintai/jnc_000103054500/?bc=100474544375"/>
    <s v="ＯｐｕｓII"/>
    <s v="東京都新宿区上落合３"/>
    <n v="108000"/>
    <n v="2000"/>
    <n v="108000"/>
    <n v="108000"/>
    <n v="1"/>
    <x v="2"/>
    <n v="25.51"/>
    <n v="9"/>
    <x v="0"/>
    <s v="中井駅"/>
    <n v="5"/>
    <n v="8.67"/>
    <n v="110380.12"/>
    <n v="95329.65"/>
    <n v="322"/>
    <n v="1622"/>
    <s v="20-30"/>
    <x v="0"/>
  </r>
  <r>
    <s v="https://suumo.jp/chintai/jnc_000103054500/?bc=100474544375"/>
    <s v="ＯｐｕｓII"/>
    <s v="東京都新宿区上落合３"/>
    <n v="108000"/>
    <n v="2000"/>
    <n v="108000"/>
    <n v="108000"/>
    <n v="2"/>
    <x v="2"/>
    <n v="25.51"/>
    <n v="9"/>
    <x v="0"/>
    <s v="中井駅"/>
    <n v="5"/>
    <n v="8.67"/>
    <n v="110380.12"/>
    <n v="95329.65"/>
    <n v="322"/>
    <n v="1622"/>
    <s v="20-30"/>
    <x v="0"/>
  </r>
  <r>
    <s v="https://suumo.jp/chintai/jnc_000104069552/?bc=100483005645"/>
    <s v="ＰＬＡＴＺ中井"/>
    <s v="東京都新宿区中落合１"/>
    <n v="140000"/>
    <n v="5000"/>
    <n v="140000"/>
    <n v="140000"/>
    <n v="2"/>
    <x v="2"/>
    <n v="31.99"/>
    <n v="24"/>
    <x v="2"/>
    <s v="中井駅"/>
    <n v="2"/>
    <n v="7"/>
    <n v="110380.12"/>
    <n v="95329.65"/>
    <n v="322"/>
    <n v="1622"/>
    <s v="30-40"/>
    <x v="1"/>
  </r>
  <r>
    <s v="https://suumo.jp/chintai/jnc_000104368369/?bc=100485069125"/>
    <s v="ｌａ　Ｅｓｔａｃｉｏｎ"/>
    <s v="東京都新宿区中井２"/>
    <n v="75000"/>
    <n v="2000"/>
    <n v="75000"/>
    <m/>
    <n v="2"/>
    <x v="2"/>
    <n v="20.45"/>
    <n v="26"/>
    <x v="0"/>
    <s v="中井駅"/>
    <n v="4"/>
    <n v="8.67"/>
    <n v="110380.12"/>
    <n v="95329.65"/>
    <n v="322"/>
    <n v="1622"/>
    <s v="20-30"/>
    <x v="1"/>
  </r>
  <r>
    <s v="https://suumo.jp/chintai/jnc_000093536605/?bc=100475694637"/>
    <s v="Fullea上落合"/>
    <s v="東京都新宿区上落合３"/>
    <n v="162000"/>
    <n v="15000"/>
    <n v="162000"/>
    <m/>
    <n v="2"/>
    <x v="3"/>
    <n v="33.08"/>
    <n v="1"/>
    <x v="7"/>
    <s v="中井駅"/>
    <n v="10"/>
    <n v="13"/>
    <n v="110380.12"/>
    <n v="168453.81"/>
    <n v="322"/>
    <n v="788"/>
    <s v="30-40"/>
    <x v="0"/>
  </r>
  <r>
    <s v="https://suumo.jp/chintai/jnc_000100598374/?bc=100486088227"/>
    <s v="Prunier"/>
    <s v="東京都新宿区上落合１"/>
    <n v="163000"/>
    <m/>
    <n v="163000"/>
    <n v="81500"/>
    <n v="1"/>
    <x v="3"/>
    <n v="44.91"/>
    <n v="0"/>
    <x v="0"/>
    <s v="中井駅"/>
    <n v="6"/>
    <n v="8"/>
    <n v="110380.12"/>
    <n v="168453.81"/>
    <n v="322"/>
    <n v="788"/>
    <s v="40-50"/>
    <x v="6"/>
  </r>
  <r>
    <s v="https://suumo.jp/chintai/jnc_000104454668/?bc=100484745789"/>
    <s v="ガーデンコートT"/>
    <s v="東京都新宿区上落合２"/>
    <n v="189000"/>
    <m/>
    <n v="189000"/>
    <n v="226800"/>
    <n v="1"/>
    <x v="3"/>
    <n v="55"/>
    <n v="23"/>
    <x v="7"/>
    <s v="中井駅"/>
    <n v="3"/>
    <n v="6"/>
    <n v="110380.12"/>
    <n v="168453.81"/>
    <n v="322"/>
    <n v="788"/>
    <s v="50-60"/>
    <x v="1"/>
  </r>
  <r>
    <s v="https://suumo.jp/chintai/jnc_000103779678/?bc=100481525149"/>
    <s v="ガーデンコートT"/>
    <s v="東京都新宿区上落合２"/>
    <n v="196000"/>
    <m/>
    <n v="196000"/>
    <n v="235200"/>
    <n v="1"/>
    <x v="3"/>
    <n v="55"/>
    <n v="23"/>
    <x v="7"/>
    <s v="中井駅"/>
    <n v="3"/>
    <n v="6"/>
    <n v="110380.12"/>
    <n v="168453.81"/>
    <n v="322"/>
    <n v="788"/>
    <s v="50-60"/>
    <x v="1"/>
  </r>
  <r>
    <s v="https://suumo.jp/chintai/jnc_000103928525/?bc=100481654064"/>
    <s v="クレスト五の坂"/>
    <s v="東京都新宿区中井２"/>
    <n v="145000"/>
    <n v="6500"/>
    <m/>
    <n v="217500"/>
    <n v="1"/>
    <x v="3"/>
    <n v="42.2"/>
    <n v="28"/>
    <x v="0"/>
    <s v="中井駅"/>
    <n v="7"/>
    <n v="10.33"/>
    <n v="110380.12"/>
    <n v="168453.81"/>
    <n v="322"/>
    <n v="788"/>
    <s v="40-50"/>
    <x v="1"/>
  </r>
  <r>
    <s v="https://suumo.jp/chintai/jnc_000103435858/?bc=100476226038"/>
    <s v="クレヴィア新宿中落合WEST"/>
    <s v="東京都新宿区中落合１"/>
    <n v="165000"/>
    <n v="15000"/>
    <n v="165000"/>
    <n v="165000"/>
    <n v="1"/>
    <x v="3"/>
    <n v="40.1"/>
    <n v="3"/>
    <x v="10"/>
    <s v="中井駅"/>
    <n v="6"/>
    <n v="9"/>
    <n v="110380.12"/>
    <n v="168453.81"/>
    <n v="322"/>
    <n v="788"/>
    <s v="40-50"/>
    <x v="0"/>
  </r>
  <r>
    <s v="https://suumo.jp/chintai/jnc_000102887601/?bc=100473158541"/>
    <s v="グランドメゾン落合"/>
    <s v="東京都新宿区上落合２"/>
    <n v="160000"/>
    <n v="12000"/>
    <m/>
    <n v="320000"/>
    <n v="4"/>
    <x v="3"/>
    <n v="52.35"/>
    <n v="34"/>
    <x v="3"/>
    <s v="中井駅"/>
    <n v="2"/>
    <n v="5.67"/>
    <n v="110380.12"/>
    <n v="168453.81"/>
    <n v="322"/>
    <n v="788"/>
    <s v="50-60"/>
    <x v="4"/>
  </r>
  <r>
    <s v="https://suumo.jp/chintai/jnc_000104498664/?bc=100486162415"/>
    <s v="ヒルコート上落合"/>
    <s v="東京都新宿区上落合２"/>
    <n v="157000"/>
    <n v="6000"/>
    <m/>
    <n v="235500"/>
    <n v="1"/>
    <x v="3"/>
    <n v="45.8"/>
    <n v="13"/>
    <x v="0"/>
    <s v="中井駅"/>
    <n v="6"/>
    <n v="8"/>
    <n v="110380.12"/>
    <n v="168453.81"/>
    <n v="322"/>
    <n v="788"/>
    <s v="40-50"/>
    <x v="7"/>
  </r>
  <r>
    <s v="https://suumo.jp/chintai/jnc_000075824782/?bc=100481081095"/>
    <s v="ビクトリーガーデン中落合"/>
    <s v="東京都新宿区中落合１"/>
    <n v="146000"/>
    <n v="9000"/>
    <m/>
    <m/>
    <n v="4"/>
    <x v="3"/>
    <n v="30.1"/>
    <n v="4"/>
    <x v="4"/>
    <s v="中井駅"/>
    <n v="5"/>
    <n v="7.33"/>
    <n v="110380.12"/>
    <n v="168453.81"/>
    <n v="322"/>
    <n v="788"/>
    <s v="30-40"/>
    <x v="0"/>
  </r>
  <r>
    <s v="https://suumo.jp/chintai/jnc_000103150446/?bc=100475784247"/>
    <s v="プランシェール落合"/>
    <s v="東京都新宿区上落合３"/>
    <n v="166000"/>
    <n v="12000"/>
    <n v="166000"/>
    <n v="199200"/>
    <n v="5"/>
    <x v="3"/>
    <n v="46.56"/>
    <n v="26"/>
    <x v="5"/>
    <s v="中井駅"/>
    <n v="3"/>
    <n v="8.33"/>
    <n v="110380.12"/>
    <n v="168453.81"/>
    <n v="322"/>
    <n v="788"/>
    <s v="40-50"/>
    <x v="1"/>
  </r>
  <r>
    <s v="https://suumo.jp/chintai/jnc_000102942561/?bc=100473675840"/>
    <s v="中銀落合マンシオン"/>
    <s v="東京都新宿区中落合２"/>
    <n v="135000"/>
    <n v="15000"/>
    <n v="135000"/>
    <n v="135000"/>
    <n v="2"/>
    <x v="3"/>
    <n v="38.93"/>
    <n v="47"/>
    <x v="6"/>
    <s v="中井駅"/>
    <n v="8"/>
    <n v="9.67"/>
    <n v="110380.12"/>
    <n v="168453.81"/>
    <n v="322"/>
    <n v="788"/>
    <s v="30-40"/>
    <x v="3"/>
  </r>
  <r>
    <s v="https://suumo.jp/chintai/jnc_000104464187/?bc=100480992974"/>
    <s v="東京メトロ東西線 落合駅 5階建 築23年"/>
    <s v="東京都新宿区上落合２"/>
    <n v="189000"/>
    <m/>
    <n v="189000"/>
    <n v="189000"/>
    <n v="1"/>
    <x v="3"/>
    <n v="55"/>
    <n v="23"/>
    <x v="7"/>
    <s v="中井駅"/>
    <n v="3"/>
    <n v="3.5"/>
    <n v="110380.12"/>
    <n v="168453.81"/>
    <n v="322"/>
    <n v="788"/>
    <s v="50-60"/>
    <x v="1"/>
  </r>
  <r>
    <s v="https://suumo.jp/chintai/jnc_000103791966/?bc=100485413544"/>
    <s v="東京メトロ東西線 落合駅 5階建 築23年"/>
    <s v="東京都新宿区上落合２"/>
    <n v="196000"/>
    <m/>
    <n v="196000"/>
    <n v="235200"/>
    <n v="1"/>
    <x v="3"/>
    <n v="55"/>
    <n v="23"/>
    <x v="7"/>
    <s v="中井駅"/>
    <n v="3"/>
    <n v="3.5"/>
    <n v="110380.12"/>
    <n v="168453.81"/>
    <n v="322"/>
    <n v="788"/>
    <s v="50-60"/>
    <x v="1"/>
  </r>
  <r>
    <s v="https://suumo.jp/chintai/jnc_000096952777/?bc=100456653468"/>
    <s v="落合公園ハウス"/>
    <s v="東京都新宿区中井１"/>
    <n v="170000"/>
    <n v="15000"/>
    <n v="170000"/>
    <n v="170000"/>
    <n v="8"/>
    <x v="3"/>
    <n v="51.84"/>
    <n v="56"/>
    <x v="9"/>
    <s v="中井駅"/>
    <n v="9"/>
    <n v="11.33"/>
    <n v="110380.12"/>
    <n v="168453.81"/>
    <n v="322"/>
    <n v="788"/>
    <s v="50-60"/>
    <x v="5"/>
  </r>
  <r>
    <s v="https://suumo.jp/chintai/jnc_000103809133/?bc=100480705836"/>
    <s v="西武新宿線 中井駅 2階建 新築"/>
    <s v="東京都新宿区上落合１"/>
    <n v="163000"/>
    <m/>
    <n v="163000"/>
    <n v="81500"/>
    <n v="2"/>
    <x v="3"/>
    <n v="44.91"/>
    <n v="0"/>
    <x v="0"/>
    <s v="中井駅"/>
    <n v="5"/>
    <n v="9.33"/>
    <n v="110380.12"/>
    <n v="168453.81"/>
    <n v="322"/>
    <n v="788"/>
    <s v="40-50"/>
    <x v="6"/>
  </r>
  <r>
    <s v="https://suumo.jp/chintai/jnc_000104054966/?bc=100482583715"/>
    <s v="西武新宿線 中井駅 2階建 築28年"/>
    <s v="東京都新宿区中井２"/>
    <n v="145000"/>
    <n v="6500"/>
    <m/>
    <n v="217500"/>
    <n v="1"/>
    <x v="3"/>
    <n v="42.2"/>
    <n v="28"/>
    <x v="0"/>
    <s v="中井駅"/>
    <n v="7"/>
    <n v="12.33"/>
    <n v="110380.12"/>
    <n v="168453.81"/>
    <n v="322"/>
    <n v="788"/>
    <s v="40-50"/>
    <x v="1"/>
  </r>
  <r>
    <s v="https://suumo.jp/chintai/jnc_000103779711/?bc=100480218330"/>
    <s v="西武新宿線 中井駅 地下5地上5階建 築4年"/>
    <s v="東京都新宿区中落合１"/>
    <n v="160000"/>
    <n v="150000"/>
    <m/>
    <m/>
    <n v="4"/>
    <x v="3"/>
    <n v="30.96"/>
    <n v="4"/>
    <x v="1"/>
    <s v="中井駅"/>
    <n v="2"/>
    <n v="5"/>
    <n v="110380.12"/>
    <n v="168453.81"/>
    <n v="322"/>
    <n v="788"/>
    <s v="30-40"/>
    <x v="0"/>
  </r>
  <r>
    <s v="https://suumo.jp/chintai/jnc_000104116896/?bc=100483139865"/>
    <s v="都営大江戸線 中井駅 4階建 築6年"/>
    <s v="東京都新宿区中落合１"/>
    <n v="158000"/>
    <n v="8000"/>
    <n v="158000"/>
    <n v="158000"/>
    <n v="4"/>
    <x v="3"/>
    <n v="40.51"/>
    <n v="6"/>
    <x v="4"/>
    <s v="中井駅"/>
    <n v="4"/>
    <n v="6.67"/>
    <n v="110380.12"/>
    <n v="168453.81"/>
    <n v="322"/>
    <n v="788"/>
    <s v="40-50"/>
    <x v="0"/>
  </r>
  <r>
    <s v="https://suumo.jp/chintai/jnc_000096772680/?bc=100474798883"/>
    <s v="都営大江戸線 中井駅 8階建 築56年"/>
    <s v="東京都新宿区中井１"/>
    <n v="170000"/>
    <n v="15000"/>
    <n v="170000"/>
    <n v="170000"/>
    <n v="8"/>
    <x v="3"/>
    <n v="51.84"/>
    <n v="56"/>
    <x v="9"/>
    <s v="中井駅"/>
    <n v="9"/>
    <n v="10.67"/>
    <n v="110380.12"/>
    <n v="168453.81"/>
    <n v="322"/>
    <n v="788"/>
    <s v="50-60"/>
    <x v="5"/>
  </r>
  <r>
    <s v="https://suumo.jp/chintai/jnc_000103402562/?bc=100484683028"/>
    <s v="都営大江戸線 中井駅 地下1地上6階建 築20年"/>
    <s v="東京都新宿区上落合３"/>
    <n v="203000"/>
    <n v="20000"/>
    <n v="203000"/>
    <n v="203000"/>
    <n v="4"/>
    <x v="3"/>
    <n v="41.4"/>
    <n v="20"/>
    <x v="10"/>
    <s v="中井駅"/>
    <n v="3"/>
    <n v="4"/>
    <n v="110380.12"/>
    <n v="168453.81"/>
    <n v="322"/>
    <n v="788"/>
    <s v="40-50"/>
    <x v="7"/>
  </r>
  <r>
    <s v="https://suumo.jp/chintai/jnc_000103110629/?bc=100483166322"/>
    <s v="ＪＲ中央線 東中野駅 2階建 築13年"/>
    <s v="東京都新宿区上落合２"/>
    <n v="129000"/>
    <n v="3000"/>
    <n v="129000"/>
    <n v="129000"/>
    <n v="2"/>
    <x v="3"/>
    <n v="38.86"/>
    <n v="13"/>
    <x v="0"/>
    <s v="中井駅"/>
    <n v="5"/>
    <n v="8.67"/>
    <n v="110380.12"/>
    <n v="168453.81"/>
    <n v="322"/>
    <n v="788"/>
    <s v="30-40"/>
    <x v="7"/>
  </r>
  <r>
    <s v="https://suumo.jp/chintai/jnc_000103491783/?bc=100478797835"/>
    <s v="AQUAレジデンス中井"/>
    <s v="東京都新宿区上落合３"/>
    <n v="44000"/>
    <n v="2000"/>
    <m/>
    <m/>
    <n v="2"/>
    <x v="0"/>
    <n v="7.4"/>
    <n v="37"/>
    <x v="2"/>
    <s v="中井駅"/>
    <n v="5"/>
    <n v="9.67"/>
    <n v="110380.12"/>
    <n v="77692.34"/>
    <n v="322"/>
    <n v="1071"/>
    <s v="&lt;10"/>
    <x v="4"/>
  </r>
  <r>
    <s v="https://suumo.jp/chintai/jnc_000102077572/?bc=100478797842"/>
    <s v="AQUAレジデンス中井"/>
    <s v="東京都新宿区上落合３"/>
    <n v="46000"/>
    <n v="2000"/>
    <m/>
    <m/>
    <n v="3"/>
    <x v="0"/>
    <n v="6.2"/>
    <n v="37"/>
    <x v="2"/>
    <s v="中井駅"/>
    <n v="5"/>
    <n v="9.67"/>
    <n v="110380.12"/>
    <n v="77692.34"/>
    <n v="322"/>
    <n v="1071"/>
    <s v="&lt;10"/>
    <x v="4"/>
  </r>
  <r>
    <s v="https://suumo.jp/chintai/jnc_000068272178/?bc=100478491868"/>
    <s v="AQUAレジデンス中井"/>
    <s v="東京都新宿区上落合３"/>
    <n v="44000"/>
    <n v="2000"/>
    <m/>
    <m/>
    <n v="3"/>
    <x v="0"/>
    <n v="7.7"/>
    <n v="37"/>
    <x v="2"/>
    <s v="中井駅"/>
    <n v="5"/>
    <n v="9.67"/>
    <n v="110380.12"/>
    <n v="77692.34"/>
    <n v="322"/>
    <n v="1071"/>
    <s v="&lt;10"/>
    <x v="4"/>
  </r>
  <r>
    <s v="https://suumo.jp/chintai/jnc_000103198522/?bc=100482498494"/>
    <s v="Nano 上落合"/>
    <s v="東京都新宿区上落合３"/>
    <n v="78000"/>
    <n v="5000"/>
    <m/>
    <m/>
    <n v="2"/>
    <x v="0"/>
    <n v="13.53"/>
    <n v="6"/>
    <x v="2"/>
    <s v="中井駅"/>
    <n v="1"/>
    <n v="8"/>
    <n v="110380.12"/>
    <n v="77692.34"/>
    <n v="322"/>
    <n v="1071"/>
    <s v="10-20"/>
    <x v="0"/>
  </r>
  <r>
    <s v="https://suumo.jp/chintai/jnc_000102484271/?bc=100483576801"/>
    <s v="Nano 上落合"/>
    <s v="東京都新宿区上落合３"/>
    <n v="78000"/>
    <n v="5000"/>
    <m/>
    <m/>
    <n v="2"/>
    <x v="0"/>
    <n v="9"/>
    <n v="6"/>
    <x v="2"/>
    <s v="中井駅"/>
    <n v="1"/>
    <n v="8"/>
    <n v="110380.12"/>
    <n v="77692.34"/>
    <n v="322"/>
    <n v="1071"/>
    <s v="&lt;10"/>
    <x v="0"/>
  </r>
  <r>
    <s v="https://suumo.jp/chintai/jnc_000104509152/?bc=100486142103"/>
    <s v="Nano 上落合"/>
    <s v="東京都新宿区上落合３"/>
    <n v="78000"/>
    <n v="5000"/>
    <m/>
    <m/>
    <n v="3"/>
    <x v="0"/>
    <n v="13.12"/>
    <n v="6"/>
    <x v="2"/>
    <s v="中井駅"/>
    <n v="1"/>
    <n v="8"/>
    <n v="110380.12"/>
    <n v="77692.34"/>
    <n v="322"/>
    <n v="1071"/>
    <s v="10-20"/>
    <x v="0"/>
  </r>
  <r>
    <s v="https://suumo.jp/chintai/jnc_000102805041/?bc=100475940326"/>
    <s v="Nano 上落合"/>
    <s v="東京都新宿区上落合３"/>
    <n v="78000"/>
    <n v="5000"/>
    <m/>
    <m/>
    <n v="3"/>
    <x v="0"/>
    <n v="9"/>
    <n v="6"/>
    <x v="2"/>
    <s v="中井駅"/>
    <n v="1"/>
    <n v="8"/>
    <n v="110380.12"/>
    <n v="77692.34"/>
    <n v="322"/>
    <n v="1071"/>
    <s v="&lt;10"/>
    <x v="0"/>
  </r>
  <r>
    <s v="https://suumo.jp/chintai/jnc_000103285441/?bc=100481561013"/>
    <s v="Nano 上落合"/>
    <s v="東京都新宿区上落合３"/>
    <n v="76000"/>
    <n v="5000"/>
    <m/>
    <m/>
    <n v="-1"/>
    <x v="0"/>
    <n v="9"/>
    <n v="6"/>
    <x v="2"/>
    <s v="中井駅"/>
    <n v="1"/>
    <n v="8"/>
    <n v="110380.12"/>
    <n v="77692.34"/>
    <n v="322"/>
    <n v="1071"/>
    <s v="&lt;10"/>
    <x v="0"/>
  </r>
  <r>
    <s v="https://suumo.jp/chintai/jnc_000104525332/?bc=100486288113"/>
    <s v="Studio24"/>
    <s v="東京都新宿区中落合４"/>
    <n v="66000"/>
    <n v="4000"/>
    <m/>
    <n v="66000"/>
    <n v="2"/>
    <x v="0"/>
    <n v="12.07"/>
    <n v="2"/>
    <x v="0"/>
    <s v="中井駅"/>
    <n v="8"/>
    <n v="14.33"/>
    <n v="110380.12"/>
    <n v="77692.34"/>
    <n v="322"/>
    <n v="1071"/>
    <s v="10-20"/>
    <x v="0"/>
  </r>
  <r>
    <s v="https://suumo.jp/chintai/jnc_000104196096/?bc=100483701491"/>
    <s v="trias117"/>
    <s v="東京都新宿区中落合１"/>
    <n v="97000"/>
    <n v="18000"/>
    <n v="97000"/>
    <m/>
    <n v="2"/>
    <x v="0"/>
    <n v="18.399999999999999"/>
    <n v="3"/>
    <x v="4"/>
    <s v="中井駅"/>
    <n v="1"/>
    <n v="8"/>
    <n v="110380.12"/>
    <n v="77692.34"/>
    <n v="322"/>
    <n v="1071"/>
    <s v="10-20"/>
    <x v="0"/>
  </r>
  <r>
    <s v="https://suumo.jp/chintai/jnc_000103928526/?bc=100481267951"/>
    <s v="trias117"/>
    <s v="東京都新宿区中落合１"/>
    <n v="97000"/>
    <n v="18000"/>
    <n v="97000"/>
    <m/>
    <n v="2"/>
    <x v="0"/>
    <n v="18.7"/>
    <n v="3"/>
    <x v="4"/>
    <s v="中井駅"/>
    <n v="1"/>
    <n v="8"/>
    <n v="110380.12"/>
    <n v="77692.34"/>
    <n v="322"/>
    <n v="1071"/>
    <s v="10-20"/>
    <x v="0"/>
  </r>
  <r>
    <s v="https://suumo.jp/chintai/jnc_000093927006/?bc=100404987757"/>
    <s v="アイミリビル"/>
    <s v="東京都新宿区上落合３"/>
    <n v="63000"/>
    <n v="4000"/>
    <m/>
    <m/>
    <n v="1"/>
    <x v="0"/>
    <n v="11.66"/>
    <n v="2"/>
    <x v="0"/>
    <s v="中井駅"/>
    <n v="5"/>
    <n v="6.33"/>
    <n v="110380.12"/>
    <n v="77692.34"/>
    <n v="322"/>
    <n v="1071"/>
    <s v="10-20"/>
    <x v="0"/>
  </r>
  <r>
    <s v="https://suumo.jp/chintai/jnc_000103570820/?bc=100478610426"/>
    <s v="アスパイア上落合Ｃ"/>
    <s v="東京都新宿区上落合３"/>
    <n v="62000"/>
    <n v="3000"/>
    <m/>
    <m/>
    <n v="1"/>
    <x v="0"/>
    <n v="11.52"/>
    <n v="13"/>
    <x v="0"/>
    <s v="中井駅"/>
    <n v="2"/>
    <n v="7"/>
    <n v="110380.12"/>
    <n v="77692.34"/>
    <n v="322"/>
    <n v="1071"/>
    <s v="10-20"/>
    <x v="7"/>
  </r>
  <r>
    <s v="https://suumo.jp/chintai/jnc_000058686581/?bc=100472645995"/>
    <s v="アスパイア上落合Ｃ"/>
    <s v="東京都新宿区上落合３"/>
    <n v="65000"/>
    <n v="3000"/>
    <m/>
    <m/>
    <n v="2"/>
    <x v="0"/>
    <n v="10.23"/>
    <n v="13"/>
    <x v="0"/>
    <s v="中井駅"/>
    <n v="2"/>
    <n v="7"/>
    <n v="110380.12"/>
    <n v="77692.34"/>
    <n v="322"/>
    <n v="1071"/>
    <s v="10-20"/>
    <x v="7"/>
  </r>
  <r>
    <s v="https://suumo.jp/chintai/jnc_000058686584/?bc=100469871113"/>
    <s v="アスパイア上落合Ｅ"/>
    <s v="東京都新宿区上落合３"/>
    <n v="65000"/>
    <n v="3000"/>
    <m/>
    <m/>
    <n v="2"/>
    <x v="0"/>
    <n v="11.05"/>
    <n v="13"/>
    <x v="0"/>
    <s v="中井駅"/>
    <n v="2"/>
    <n v="7"/>
    <n v="110380.12"/>
    <n v="77692.34"/>
    <n v="322"/>
    <n v="1071"/>
    <s v="10-20"/>
    <x v="7"/>
  </r>
  <r>
    <s v="https://suumo.jp/chintai/jnc_000100203691/?bc=100449486205"/>
    <s v="アンフィールド2"/>
    <s v="東京都新宿区中井２"/>
    <n v="65000"/>
    <m/>
    <n v="65000"/>
    <n v="65000"/>
    <n v="2"/>
    <x v="0"/>
    <n v="19"/>
    <n v="26"/>
    <x v="0"/>
    <s v="中井駅"/>
    <n v="6"/>
    <n v="9"/>
    <n v="110380.12"/>
    <n v="77692.34"/>
    <n v="322"/>
    <n v="1071"/>
    <s v="10-20"/>
    <x v="1"/>
  </r>
  <r>
    <s v="https://suumo.jp/chintai/jnc_000103818062/?bc=100481634627"/>
    <s v="アーバンプレイス新宿N"/>
    <s v="東京都新宿区中井１"/>
    <n v="64000"/>
    <n v="4000"/>
    <m/>
    <n v="64000"/>
    <n v="2"/>
    <x v="0"/>
    <n v="10.07"/>
    <n v="7"/>
    <x v="0"/>
    <s v="中井駅"/>
    <n v="5"/>
    <n v="8.67"/>
    <n v="110380.12"/>
    <n v="77692.34"/>
    <n v="322"/>
    <n v="1071"/>
    <s v="10-20"/>
    <x v="0"/>
  </r>
  <r>
    <s v="https://suumo.jp/chintai/jnc_000097722599/?bc=100358960457"/>
    <s v="アーバンプレイス落合A"/>
    <s v="東京都新宿区上落合３"/>
    <n v="77000"/>
    <n v="11000"/>
    <m/>
    <n v="77000"/>
    <n v="1"/>
    <x v="0"/>
    <n v="12"/>
    <n v="19"/>
    <x v="0"/>
    <s v="中井駅"/>
    <n v="5"/>
    <n v="7.33"/>
    <n v="110380.12"/>
    <n v="77692.34"/>
    <n v="322"/>
    <n v="1071"/>
    <s v="10-20"/>
    <x v="7"/>
  </r>
  <r>
    <s v="https://suumo.jp/chintai/jnc_000096791765/?bc=100483673431"/>
    <s v="アールフラット中落合"/>
    <s v="東京都新宿区中落合４"/>
    <n v="82000"/>
    <n v="3000"/>
    <n v="82000"/>
    <n v="82000"/>
    <n v="1"/>
    <x v="0"/>
    <n v="18.89"/>
    <n v="22"/>
    <x v="0"/>
    <s v="中井駅"/>
    <n v="8"/>
    <n v="11"/>
    <n v="110380.12"/>
    <n v="77692.34"/>
    <n v="322"/>
    <n v="1071"/>
    <s v="10-20"/>
    <x v="1"/>
  </r>
  <r>
    <s v="https://suumo.jp/chintai/jnc_000103873075/?bc=100481285925"/>
    <s v="インテック落合"/>
    <s v="東京都新宿区上落合２"/>
    <n v="62000"/>
    <n v="3000"/>
    <m/>
    <m/>
    <n v="2"/>
    <x v="0"/>
    <n v="20"/>
    <n v="37"/>
    <x v="0"/>
    <s v="中井駅"/>
    <n v="3"/>
    <n v="5"/>
    <n v="110380.12"/>
    <n v="77692.34"/>
    <n v="322"/>
    <n v="1071"/>
    <s v="20-30"/>
    <x v="4"/>
  </r>
  <r>
    <s v="https://suumo.jp/chintai/jnc_000104049637/?bc=100482507404"/>
    <s v="ウインズ落合"/>
    <s v="東京都新宿区上落合２"/>
    <n v="65000"/>
    <n v="5000"/>
    <n v="65000"/>
    <n v="65000"/>
    <n v="2"/>
    <x v="0"/>
    <n v="14.47"/>
    <n v="36"/>
    <x v="1"/>
    <s v="中井駅"/>
    <n v="1"/>
    <n v="6.67"/>
    <n v="110380.12"/>
    <n v="77692.34"/>
    <n v="322"/>
    <n v="1071"/>
    <s v="10-20"/>
    <x v="4"/>
  </r>
  <r>
    <s v="https://suumo.jp/chintai/jnc_000103959497/?bc=100481904247"/>
    <s v="ウインズ落合"/>
    <s v="東京都新宿区上落合２"/>
    <n v="65000"/>
    <m/>
    <n v="65000"/>
    <n v="65000"/>
    <n v="2"/>
    <x v="0"/>
    <n v="16.940000000000001"/>
    <n v="36"/>
    <x v="1"/>
    <s v="中井駅"/>
    <n v="1"/>
    <n v="6.67"/>
    <n v="110380.12"/>
    <n v="77692.34"/>
    <n v="322"/>
    <n v="1071"/>
    <s v="10-20"/>
    <x v="4"/>
  </r>
  <r>
    <s v="https://suumo.jp/chintai/jnc_000103947305/?bc=100442376124"/>
    <s v="ウインズ落合"/>
    <s v="東京都新宿区上落合２"/>
    <n v="64000"/>
    <n v="4000"/>
    <n v="64000"/>
    <m/>
    <n v="4"/>
    <x v="0"/>
    <n v="16.940000000000001"/>
    <n v="36"/>
    <x v="1"/>
    <s v="中井駅"/>
    <n v="1"/>
    <n v="6.67"/>
    <n v="110380.12"/>
    <n v="77692.34"/>
    <n v="322"/>
    <n v="1071"/>
    <s v="10-20"/>
    <x v="4"/>
  </r>
  <r>
    <s v="https://suumo.jp/chintai/jnc_000104138606/?bc=100482698392"/>
    <s v="エスポアール"/>
    <s v="東京都新宿区上落合３"/>
    <n v="67000"/>
    <m/>
    <n v="67000"/>
    <n v="67000"/>
    <n v="1"/>
    <x v="0"/>
    <n v="20.25"/>
    <n v="35"/>
    <x v="0"/>
    <s v="中井駅"/>
    <n v="4"/>
    <n v="5"/>
    <n v="110380.12"/>
    <n v="77692.34"/>
    <n v="322"/>
    <n v="1071"/>
    <s v="20-30"/>
    <x v="4"/>
  </r>
  <r>
    <s v="https://suumo.jp/chintai/jnc_000103346198/?bc=100479322591"/>
    <s v="カトルセゾン"/>
    <s v="東京都新宿区中落合４"/>
    <n v="80000"/>
    <n v="2000"/>
    <n v="80000"/>
    <m/>
    <n v="1"/>
    <x v="0"/>
    <n v="26.43"/>
    <n v="30"/>
    <x v="0"/>
    <s v="中井駅"/>
    <n v="6"/>
    <n v="10"/>
    <n v="110380.12"/>
    <n v="77692.34"/>
    <n v="322"/>
    <n v="1071"/>
    <s v="20-30"/>
    <x v="1"/>
  </r>
  <r>
    <s v="https://suumo.jp/chintai/jnc_000104498691/?bc=100486448754"/>
    <s v="カーサ中井"/>
    <s v="東京都新宿区中落合１"/>
    <n v="73000"/>
    <n v="6000"/>
    <n v="73000"/>
    <n v="73000"/>
    <n v="2"/>
    <x v="0"/>
    <n v="17.98"/>
    <n v="32"/>
    <x v="10"/>
    <s v="中井駅"/>
    <n v="3"/>
    <n v="6.33"/>
    <n v="110380.12"/>
    <n v="77692.34"/>
    <n v="322"/>
    <n v="1071"/>
    <s v="10-20"/>
    <x v="4"/>
  </r>
  <r>
    <s v="https://suumo.jp/chintai/jnc_000032575661/?bc=100486446574"/>
    <s v="クラフト中井"/>
    <s v="東京都新宿区中井２"/>
    <n v="77000"/>
    <n v="3000"/>
    <n v="77000"/>
    <n v="77000"/>
    <n v="1"/>
    <x v="0"/>
    <n v="20.5"/>
    <n v="9"/>
    <x v="0"/>
    <s v="中井駅"/>
    <n v="3"/>
    <n v="8.67"/>
    <n v="110380.12"/>
    <n v="77692.34"/>
    <n v="322"/>
    <n v="1071"/>
    <s v="20-30"/>
    <x v="0"/>
  </r>
  <r>
    <s v="https://suumo.jp/chintai/jnc_000103649369/?bc=100481209227"/>
    <s v="グランエッグス新宿中井"/>
    <s v="東京都新宿区中井１"/>
    <n v="84000"/>
    <n v="5000"/>
    <n v="84000"/>
    <m/>
    <n v="1"/>
    <x v="0"/>
    <n v="18.899999999999999"/>
    <n v="11"/>
    <x v="2"/>
    <s v="中井駅"/>
    <n v="5"/>
    <n v="6.33"/>
    <n v="110380.12"/>
    <n v="77692.34"/>
    <n v="322"/>
    <n v="1071"/>
    <s v="10-20"/>
    <x v="7"/>
  </r>
  <r>
    <s v="https://suumo.jp/chintai/jnc_000050334953/?bc=100482257976"/>
    <s v="グリーンヒル"/>
    <s v="東京都新宿区中井２"/>
    <n v="48000"/>
    <n v="2000"/>
    <m/>
    <m/>
    <n v="1"/>
    <x v="0"/>
    <n v="17.940000000000001"/>
    <n v="41"/>
    <x v="0"/>
    <s v="中井駅"/>
    <n v="5"/>
    <n v="6.67"/>
    <n v="110380.12"/>
    <n v="77692.34"/>
    <n v="322"/>
    <n v="1071"/>
    <s v="10-20"/>
    <x v="3"/>
  </r>
  <r>
    <s v="https://suumo.jp/chintai/jnc_000104069554/?bc=100482730243"/>
    <s v="グレースレーヌ"/>
    <s v="東京都新宿区中落合３"/>
    <n v="55000"/>
    <n v="3000"/>
    <m/>
    <m/>
    <n v="1"/>
    <x v="0"/>
    <n v="10.01"/>
    <n v="15"/>
    <x v="0"/>
    <s v="中井駅"/>
    <n v="9"/>
    <n v="15"/>
    <n v="110380.12"/>
    <n v="77692.34"/>
    <n v="322"/>
    <n v="1071"/>
    <s v="10-20"/>
    <x v="7"/>
  </r>
  <r>
    <s v="https://suumo.jp/chintai/jnc_000053444939/?bc=100177087813"/>
    <s v="コーポ宮本"/>
    <s v="東京都新宿区上落合３"/>
    <n v="45000"/>
    <m/>
    <n v="45000"/>
    <m/>
    <n v="3"/>
    <x v="0"/>
    <n v="12"/>
    <n v="57"/>
    <x v="2"/>
    <s v="中井駅"/>
    <n v="4"/>
    <n v="7.33"/>
    <n v="110380.12"/>
    <n v="77692.34"/>
    <n v="322"/>
    <n v="1071"/>
    <s v="10-20"/>
    <x v="5"/>
  </r>
  <r>
    <s v="https://suumo.jp/chintai/jnc_000104148250/?bc=100483553189"/>
    <s v="サニーハウス"/>
    <s v="東京都新宿区中井１"/>
    <n v="53000"/>
    <n v="7000"/>
    <n v="53000"/>
    <n v="53000"/>
    <n v="1"/>
    <x v="0"/>
    <n v="14.85"/>
    <n v="42"/>
    <x v="0"/>
    <s v="中井駅"/>
    <n v="4"/>
    <n v="8.67"/>
    <n v="110380.12"/>
    <n v="77692.34"/>
    <n v="322"/>
    <n v="1071"/>
    <s v="10-20"/>
    <x v="3"/>
  </r>
  <r>
    <s v="https://suumo.jp/chintai/jnc_000104125657/?bc=100483343754"/>
    <s v="サニーハウス"/>
    <s v="東京都新宿区中井１"/>
    <n v="53000"/>
    <n v="7000"/>
    <n v="53000"/>
    <n v="53000"/>
    <n v="1"/>
    <x v="0"/>
    <n v="15.02"/>
    <n v="42"/>
    <x v="0"/>
    <s v="中井駅"/>
    <n v="4"/>
    <n v="8.67"/>
    <n v="110380.12"/>
    <n v="77692.34"/>
    <n v="322"/>
    <n v="1071"/>
    <s v="10-20"/>
    <x v="3"/>
  </r>
  <r>
    <s v="https://suumo.jp/chintai/jnc_000101722211/?bc=100387498028"/>
    <s v="サークルハウス中落合"/>
    <s v="東京都新宿区中落合１"/>
    <n v="57000"/>
    <n v="3000"/>
    <m/>
    <m/>
    <n v="2"/>
    <x v="0"/>
    <n v="12.92"/>
    <n v="10"/>
    <x v="0"/>
    <s v="中井駅"/>
    <n v="7"/>
    <n v="11.33"/>
    <n v="110380.12"/>
    <n v="77692.34"/>
    <n v="322"/>
    <n v="1071"/>
    <s v="10-20"/>
    <x v="0"/>
  </r>
  <r>
    <s v="https://suumo.jp/chintai/jnc_000093216945/?bc=100479810436"/>
    <s v="サークルハウス中落合"/>
    <s v="東京都新宿区中落合１"/>
    <n v="57000"/>
    <n v="3000"/>
    <m/>
    <m/>
    <n v="2"/>
    <x v="0"/>
    <n v="13.17"/>
    <n v="10"/>
    <x v="0"/>
    <s v="中井駅"/>
    <n v="7"/>
    <n v="11.33"/>
    <n v="110380.12"/>
    <n v="77692.34"/>
    <n v="322"/>
    <n v="1071"/>
    <s v="10-20"/>
    <x v="0"/>
  </r>
  <r>
    <s v="https://suumo.jp/chintai/jnc_000103643853/?bc=100479151054"/>
    <s v="シェルブルー中落合"/>
    <s v="東京都新宿区中落合１"/>
    <n v="86000"/>
    <n v="5000"/>
    <m/>
    <m/>
    <n v="3"/>
    <x v="0"/>
    <n v="18"/>
    <n v="6"/>
    <x v="7"/>
    <s v="中井駅"/>
    <n v="5"/>
    <n v="8.67"/>
    <n v="110380.12"/>
    <n v="77692.34"/>
    <n v="322"/>
    <n v="1071"/>
    <s v="10-20"/>
    <x v="0"/>
  </r>
  <r>
    <s v="https://suumo.jp/chintai/jnc_000028057728/?bc=100485298464"/>
    <s v="シエスタルミエール"/>
    <s v="東京都新宿区中井１"/>
    <n v="59000"/>
    <n v="3000"/>
    <m/>
    <m/>
    <n v="2"/>
    <x v="0"/>
    <n v="9.9700000000000006"/>
    <n v="17"/>
    <x v="0"/>
    <s v="中井駅"/>
    <n v="7"/>
    <n v="11.67"/>
    <n v="110380.12"/>
    <n v="77692.34"/>
    <n v="322"/>
    <n v="1071"/>
    <s v="&lt;10"/>
    <x v="7"/>
  </r>
  <r>
    <s v="https://suumo.jp/chintai/jnc_000090835319/?bc=100483480554"/>
    <s v="シャルムタナカ"/>
    <s v="東京都新宿区上落合２"/>
    <n v="65000"/>
    <n v="5000"/>
    <n v="65000"/>
    <n v="65000"/>
    <n v="2"/>
    <x v="0"/>
    <n v="16.47"/>
    <n v="33"/>
    <x v="7"/>
    <s v="中井駅"/>
    <n v="1"/>
    <n v="6"/>
    <n v="110380.12"/>
    <n v="77692.34"/>
    <n v="322"/>
    <n v="1071"/>
    <s v="10-20"/>
    <x v="4"/>
  </r>
  <r>
    <s v="https://suumo.jp/chintai/jnc_000104043935/?bc=100482930503"/>
    <s v="シャルムタナカ"/>
    <s v="東京都新宿区上落合２"/>
    <n v="70000"/>
    <n v="5000"/>
    <n v="70000"/>
    <n v="70000"/>
    <n v="2"/>
    <x v="0"/>
    <n v="16.47"/>
    <n v="33"/>
    <x v="7"/>
    <s v="中井駅"/>
    <n v="1"/>
    <n v="6"/>
    <n v="110380.12"/>
    <n v="77692.34"/>
    <n v="322"/>
    <n v="1071"/>
    <s v="10-20"/>
    <x v="4"/>
  </r>
  <r>
    <s v="https://suumo.jp/chintai/jnc_000079506082/?bc=100452179465"/>
    <s v="シャルムタナカ"/>
    <s v="東京都新宿区上落合２"/>
    <n v="72000"/>
    <n v="5000"/>
    <n v="72000"/>
    <n v="72000"/>
    <n v="2"/>
    <x v="0"/>
    <n v="19.95"/>
    <n v="33"/>
    <x v="7"/>
    <s v="中井駅"/>
    <n v="1"/>
    <n v="6"/>
    <n v="110380.12"/>
    <n v="77692.34"/>
    <n v="322"/>
    <n v="1071"/>
    <s v="10-20"/>
    <x v="4"/>
  </r>
  <r>
    <s v="https://suumo.jp/chintai/jnc_000022843448/?bc=100335593986"/>
    <s v="シャンテ中井"/>
    <s v="東京都新宿区中井１"/>
    <n v="52000"/>
    <n v="3000"/>
    <n v="52000"/>
    <n v="52000"/>
    <n v="3"/>
    <x v="0"/>
    <n v="14.31"/>
    <n v="23"/>
    <x v="2"/>
    <s v="中井駅"/>
    <n v="7"/>
    <n v="11"/>
    <n v="110380.12"/>
    <n v="77692.34"/>
    <n v="322"/>
    <n v="1071"/>
    <s v="10-20"/>
    <x v="1"/>
  </r>
  <r>
    <s v="https://suumo.jp/chintai/jnc_000104222327/?bc=100484341297"/>
    <s v="スカイコート新宿落合第5"/>
    <s v="東京都新宿区上落合３"/>
    <n v="69000"/>
    <n v="8000"/>
    <n v="69000"/>
    <n v="69000"/>
    <n v="2"/>
    <x v="0"/>
    <n v="16.5"/>
    <n v="30"/>
    <x v="4"/>
    <s v="中井駅"/>
    <n v="4"/>
    <n v="8"/>
    <n v="110380.12"/>
    <n v="77692.34"/>
    <n v="322"/>
    <n v="1071"/>
    <s v="10-20"/>
    <x v="1"/>
  </r>
  <r>
    <s v="https://suumo.jp/chintai/jnc_000104458799/?bc=100485973357"/>
    <s v="スピティ落合"/>
    <s v="東京都新宿区上落合２"/>
    <n v="96000"/>
    <n v="2000"/>
    <n v="96000"/>
    <n v="96000"/>
    <n v="1"/>
    <x v="0"/>
    <n v="21.06"/>
    <n v="33"/>
    <x v="2"/>
    <s v="中井駅"/>
    <n v="5"/>
    <n v="7"/>
    <n v="110380.12"/>
    <n v="77692.34"/>
    <n v="322"/>
    <n v="1071"/>
    <s v="20-30"/>
    <x v="4"/>
  </r>
  <r>
    <s v="https://suumo.jp/chintai/jnc_000104491572/?bc=100486131389"/>
    <s v="スピティ落合"/>
    <s v="東京都新宿区上落合２"/>
    <n v="100000"/>
    <n v="2000"/>
    <n v="100000"/>
    <n v="100000"/>
    <n v="2"/>
    <x v="0"/>
    <n v="21.06"/>
    <n v="33"/>
    <x v="2"/>
    <s v="中井駅"/>
    <n v="5"/>
    <n v="7"/>
    <n v="110380.12"/>
    <n v="77692.34"/>
    <n v="322"/>
    <n v="1071"/>
    <s v="20-30"/>
    <x v="4"/>
  </r>
  <r>
    <s v="https://suumo.jp/chintai/jnc_000104491573/?bc=100486138700"/>
    <s v="スピティ落合"/>
    <s v="東京都新宿区上落合２"/>
    <n v="92000"/>
    <n v="2000"/>
    <n v="92000"/>
    <n v="92000"/>
    <n v="3"/>
    <x v="0"/>
    <n v="21.06"/>
    <n v="33"/>
    <x v="2"/>
    <s v="中井駅"/>
    <n v="5"/>
    <n v="7"/>
    <n v="110380.12"/>
    <n v="77692.34"/>
    <n v="322"/>
    <n v="1071"/>
    <s v="20-30"/>
    <x v="4"/>
  </r>
  <r>
    <s v="https://suumo.jp/chintai/jnc_000101224022/?bc=100482475688"/>
    <s v="テラス1063"/>
    <s v="東京都新宿区中井２"/>
    <n v="66000"/>
    <n v="2000"/>
    <n v="66000"/>
    <n v="66000"/>
    <n v="2"/>
    <x v="0"/>
    <n v="20.7"/>
    <n v="31"/>
    <x v="0"/>
    <s v="中井駅"/>
    <n v="5"/>
    <n v="8.33"/>
    <n v="110380.12"/>
    <n v="77692.34"/>
    <n v="322"/>
    <n v="1071"/>
    <s v="20-30"/>
    <x v="4"/>
  </r>
  <r>
    <s v="https://suumo.jp/chintai/jnc_000102936161/?bc=100471339678"/>
    <s v="ハイツ川島"/>
    <s v="東京都新宿区上落合２"/>
    <n v="62000"/>
    <m/>
    <n v="62000"/>
    <m/>
    <n v="2"/>
    <x v="0"/>
    <n v="18.149999999999999"/>
    <n v="38"/>
    <x v="0"/>
    <s v="中井駅"/>
    <n v="4"/>
    <n v="7"/>
    <n v="110380.12"/>
    <n v="77692.34"/>
    <n v="322"/>
    <n v="1071"/>
    <s v="10-20"/>
    <x v="4"/>
  </r>
  <r>
    <s v="https://suumo.jp/chintai/jnc_000084454337/?bc=100469626968"/>
    <s v="ハピネス中井"/>
    <s v="東京都新宿区中落合１"/>
    <n v="58000"/>
    <n v="2000"/>
    <n v="58000"/>
    <m/>
    <n v="1"/>
    <x v="0"/>
    <n v="17.12"/>
    <n v="36"/>
    <x v="0"/>
    <s v="中井駅"/>
    <n v="2"/>
    <n v="6"/>
    <n v="110380.12"/>
    <n v="77692.34"/>
    <n v="322"/>
    <n v="1071"/>
    <s v="10-20"/>
    <x v="4"/>
  </r>
  <r>
    <s v="https://suumo.jp/chintai/jnc_000104325999/?bc=100484738416"/>
    <s v="バレエハウスK"/>
    <s v="東京都新宿区上落合２"/>
    <n v="80000"/>
    <n v="6000"/>
    <n v="80000"/>
    <m/>
    <n v="4"/>
    <x v="0"/>
    <n v="22.43"/>
    <n v="30"/>
    <x v="6"/>
    <s v="中井駅"/>
    <n v="2"/>
    <n v="5.33"/>
    <n v="110380.12"/>
    <n v="77692.34"/>
    <n v="322"/>
    <n v="1071"/>
    <s v="20-30"/>
    <x v="1"/>
  </r>
  <r>
    <s v="https://suumo.jp/chintai/jnc_000104510083/?bc=100486187479"/>
    <s v="パールハイツ前島"/>
    <s v="東京都中野区上高田４"/>
    <n v="75000"/>
    <n v="3000"/>
    <n v="75000"/>
    <m/>
    <n v="3"/>
    <x v="0"/>
    <n v="22"/>
    <n v="42"/>
    <x v="2"/>
    <s v="中井駅"/>
    <n v="7"/>
    <n v="10"/>
    <n v="110380.12"/>
    <n v="77692.34"/>
    <n v="322"/>
    <n v="1071"/>
    <s v="20-30"/>
    <x v="3"/>
  </r>
  <r>
    <s v="https://suumo.jp/chintai/jnc_000104295045/?bc=100484499410"/>
    <s v="フレシール中落合"/>
    <s v="東京都新宿区中落合１"/>
    <n v="73000"/>
    <m/>
    <n v="73000"/>
    <n v="73000"/>
    <n v="1"/>
    <x v="0"/>
    <n v="9.14"/>
    <n v="7"/>
    <x v="2"/>
    <s v="中井駅"/>
    <n v="6"/>
    <n v="9.67"/>
    <n v="110380.12"/>
    <n v="77692.34"/>
    <n v="322"/>
    <n v="1071"/>
    <s v="&lt;10"/>
    <x v="0"/>
  </r>
  <r>
    <s v="https://suumo.jp/chintai/jnc_000102914330/?bc=100473457062"/>
    <s v="フレンズマンション"/>
    <s v="東京都新宿区上落合３"/>
    <n v="59000"/>
    <n v="2000"/>
    <n v="59000"/>
    <m/>
    <n v="1"/>
    <x v="0"/>
    <n v="20.16"/>
    <n v="39"/>
    <x v="2"/>
    <s v="中井駅"/>
    <n v="3"/>
    <n v="7.33"/>
    <n v="110380.12"/>
    <n v="77692.34"/>
    <n v="322"/>
    <n v="1071"/>
    <s v="20-30"/>
    <x v="4"/>
  </r>
  <r>
    <s v="https://suumo.jp/chintai/jnc_000103873102/?bc=100485777528"/>
    <s v="ブライズ新宿中井"/>
    <s v="東京都新宿区中井１"/>
    <n v="80000"/>
    <n v="9000"/>
    <n v="80000"/>
    <n v="80000"/>
    <n v="3"/>
    <x v="0"/>
    <n v="19.78"/>
    <n v="18"/>
    <x v="10"/>
    <s v="中井駅"/>
    <n v="4"/>
    <n v="9.33"/>
    <n v="110380.12"/>
    <n v="77692.34"/>
    <n v="322"/>
    <n v="1071"/>
    <s v="10-20"/>
    <x v="7"/>
  </r>
  <r>
    <s v="https://suumo.jp/chintai/jnc_000103742495/?bc=100480550109"/>
    <s v="メゾン・ド・シャルム"/>
    <s v="東京都新宿区上落合１"/>
    <n v="64000"/>
    <n v="5000"/>
    <m/>
    <m/>
    <n v="1"/>
    <x v="0"/>
    <n v="14.56"/>
    <n v="46"/>
    <x v="2"/>
    <s v="中井駅"/>
    <n v="6"/>
    <n v="7.33"/>
    <n v="110380.12"/>
    <n v="77692.34"/>
    <n v="322"/>
    <n v="1071"/>
    <s v="10-20"/>
    <x v="3"/>
  </r>
  <r>
    <s v="https://suumo.jp/chintai/jnc_000100786316/?bc=100454299900"/>
    <s v="メゾン中落合"/>
    <s v="東京都新宿区中落合１"/>
    <n v="63000"/>
    <m/>
    <n v="63000"/>
    <n v="63000"/>
    <n v="2"/>
    <x v="0"/>
    <n v="21"/>
    <n v="39"/>
    <x v="0"/>
    <s v="中井駅"/>
    <n v="2"/>
    <n v="6"/>
    <n v="110380.12"/>
    <n v="77692.34"/>
    <n v="322"/>
    <n v="1071"/>
    <s v="20-30"/>
    <x v="4"/>
  </r>
  <r>
    <s v="https://suumo.jp/chintai/jnc_000103500317/?bc=100478011003"/>
    <s v="ラ・メゾン中井"/>
    <s v="東京都中野区上高田４"/>
    <n v="58000"/>
    <n v="4000"/>
    <n v="58000"/>
    <m/>
    <n v="1"/>
    <x v="0"/>
    <n v="16.7"/>
    <n v="38"/>
    <x v="2"/>
    <s v="中井駅"/>
    <n v="6"/>
    <n v="9.33"/>
    <n v="110380.12"/>
    <n v="77692.34"/>
    <n v="322"/>
    <n v="1071"/>
    <s v="10-20"/>
    <x v="4"/>
  </r>
  <r>
    <s v="https://suumo.jp/chintai/jnc_000104003313/?bc=100482306921"/>
    <s v="上落合レジデンス"/>
    <s v="東京都新宿区上落合１"/>
    <n v="67000"/>
    <n v="4000"/>
    <m/>
    <m/>
    <n v="4"/>
    <x v="0"/>
    <n v="17.010000000000002"/>
    <n v="32"/>
    <x v="7"/>
    <s v="中井駅"/>
    <n v="6"/>
    <n v="9.67"/>
    <n v="110380.12"/>
    <n v="77692.34"/>
    <n v="322"/>
    <n v="1071"/>
    <s v="10-20"/>
    <x v="4"/>
  </r>
  <r>
    <s v="https://suumo.jp/chintai/jnc_000104432908/?bc=100485604201"/>
    <s v="中落合TERRACE (中落合テラス)"/>
    <s v="東京都新宿区中落合４"/>
    <n v="69000"/>
    <n v="2500"/>
    <n v="69000"/>
    <m/>
    <n v="2"/>
    <x v="0"/>
    <n v="14.23"/>
    <n v="9"/>
    <x v="0"/>
    <s v="中井駅"/>
    <n v="7"/>
    <n v="11.33"/>
    <n v="110380.12"/>
    <n v="77692.34"/>
    <n v="322"/>
    <n v="1071"/>
    <s v="10-20"/>
    <x v="0"/>
  </r>
  <r>
    <s v="https://suumo.jp/chintai/jnc_000103815630/?bc=100480748775"/>
    <s v="新宿中井アパートメント"/>
    <s v="東京都新宿区中井２"/>
    <n v="78000"/>
    <n v="7000"/>
    <n v="78000"/>
    <n v="78000"/>
    <n v="1"/>
    <x v="0"/>
    <n v="18.010000000000002"/>
    <n v="2"/>
    <x v="0"/>
    <s v="中井駅"/>
    <n v="6"/>
    <n v="10.33"/>
    <n v="110380.12"/>
    <n v="77692.34"/>
    <n v="322"/>
    <n v="1071"/>
    <s v="10-20"/>
    <x v="0"/>
  </r>
  <r>
    <s v="https://suumo.jp/chintai/jnc_000103761963/?bc=100209868023"/>
    <s v="東京メトロ東西線 落合駅 2階建 築19年"/>
    <s v="東京都新宿区上落合３"/>
    <n v="49000"/>
    <n v="5000"/>
    <m/>
    <m/>
    <n v="1"/>
    <x v="0"/>
    <n v="10"/>
    <n v="19"/>
    <x v="0"/>
    <s v="中井駅"/>
    <n v="5"/>
    <n v="8.67"/>
    <n v="110380.12"/>
    <n v="77692.34"/>
    <n v="322"/>
    <n v="1071"/>
    <s v="10-20"/>
    <x v="7"/>
  </r>
  <r>
    <s v="https://suumo.jp/chintai/jnc_000097722600/?bc=100486075699"/>
    <s v="東京メトロ東西線 落合駅 2階建 築19年"/>
    <s v="東京都新宿区上落合３"/>
    <n v="77000"/>
    <n v="11000"/>
    <m/>
    <n v="77000"/>
    <n v="1"/>
    <x v="0"/>
    <n v="12"/>
    <n v="19"/>
    <x v="0"/>
    <s v="中井駅"/>
    <n v="5"/>
    <n v="8.67"/>
    <n v="110380.12"/>
    <n v="77692.34"/>
    <n v="322"/>
    <n v="1071"/>
    <s v="10-20"/>
    <x v="7"/>
  </r>
  <r>
    <s v="https://suumo.jp/chintai/jnc_000104368365/?bc=100485101129"/>
    <s v="東京メトロ東西線 落合駅 4階建 築30年"/>
    <s v="東京都新宿区上落合３"/>
    <n v="69000"/>
    <n v="8000"/>
    <n v="69000"/>
    <n v="69000"/>
    <n v="2"/>
    <x v="0"/>
    <n v="16.5"/>
    <n v="30"/>
    <x v="4"/>
    <s v="中井駅"/>
    <n v="4"/>
    <n v="7"/>
    <n v="110380.12"/>
    <n v="77692.34"/>
    <n v="322"/>
    <n v="1071"/>
    <s v="10-20"/>
    <x v="1"/>
  </r>
  <r>
    <s v="https://suumo.jp/chintai/jnc_000104241022/?bc=100484141573"/>
    <s v="東京メトロ東西線 落合駅 5階建 築12年"/>
    <s v="東京都新宿区上落合３"/>
    <n v="77000"/>
    <n v="3000"/>
    <n v="77000"/>
    <n v="77000"/>
    <n v="2"/>
    <x v="0"/>
    <n v="20.25"/>
    <n v="12"/>
    <x v="7"/>
    <s v="中井駅"/>
    <n v="3"/>
    <n v="5.67"/>
    <n v="110380.12"/>
    <n v="77692.34"/>
    <n v="322"/>
    <n v="1071"/>
    <s v="20-30"/>
    <x v="7"/>
  </r>
  <r>
    <s v="https://suumo.jp/chintai/jnc_000101824640/?bc=100463542475"/>
    <s v="第２コーポ勝美"/>
    <s v="東京都新宿区中井１"/>
    <n v="57000"/>
    <n v="3000"/>
    <n v="57000"/>
    <n v="57000"/>
    <n v="2"/>
    <x v="0"/>
    <n v="14.32"/>
    <n v="37"/>
    <x v="0"/>
    <s v="中井駅"/>
    <n v="1"/>
    <n v="5"/>
    <n v="110380.12"/>
    <n v="77692.34"/>
    <n v="322"/>
    <n v="1071"/>
    <s v="10-20"/>
    <x v="4"/>
  </r>
  <r>
    <s v="https://suumo.jp/chintai/jnc_000104076261/?bc=100482782804"/>
    <s v="西武新宿線 中井駅 2階建 築15年"/>
    <s v="東京都新宿区中落合３"/>
    <n v="55000"/>
    <n v="3000"/>
    <m/>
    <m/>
    <n v="1"/>
    <x v="0"/>
    <n v="10.01"/>
    <n v="15"/>
    <x v="0"/>
    <s v="中井駅"/>
    <n v="9"/>
    <n v="10.67"/>
    <n v="110380.12"/>
    <n v="77692.34"/>
    <n v="322"/>
    <n v="1071"/>
    <s v="10-20"/>
    <x v="7"/>
  </r>
  <r>
    <s v="https://suumo.jp/chintai/jnc_000029055466/?bc=100485001022"/>
    <s v="西武新宿線 中井駅 2階建 築17年"/>
    <s v="東京都新宿区中井１"/>
    <n v="59000"/>
    <n v="3000"/>
    <m/>
    <m/>
    <n v="2"/>
    <x v="0"/>
    <n v="9.9700000000000006"/>
    <n v="17"/>
    <x v="0"/>
    <s v="中井駅"/>
    <n v="7"/>
    <n v="11.67"/>
    <n v="110380.12"/>
    <n v="77692.34"/>
    <n v="322"/>
    <n v="1071"/>
    <s v="&lt;10"/>
    <x v="7"/>
  </r>
  <r>
    <s v="https://suumo.jp/chintai/jnc_000097267006/?bc=100480239751"/>
    <s v="西武新宿線 中井駅 2階建 築17年"/>
    <s v="東京都新宿区中井１"/>
    <n v="60000"/>
    <n v="3000"/>
    <m/>
    <m/>
    <n v="2"/>
    <x v="0"/>
    <n v="9.9700000000000006"/>
    <n v="17"/>
    <x v="0"/>
    <s v="中井駅"/>
    <n v="7"/>
    <n v="11.67"/>
    <n v="110380.12"/>
    <n v="77692.34"/>
    <n v="322"/>
    <n v="1071"/>
    <s v="&lt;10"/>
    <x v="7"/>
  </r>
  <r>
    <s v="https://suumo.jp/chintai/jnc_000102829289/?bc=100473618768"/>
    <s v="西武新宿線 中井駅 2階建 築2年"/>
    <s v="東京都新宿区中落合４"/>
    <n v="64000"/>
    <n v="4000"/>
    <m/>
    <n v="64000"/>
    <n v="1"/>
    <x v="0"/>
    <n v="12.07"/>
    <n v="2"/>
    <x v="0"/>
    <s v="中井駅"/>
    <n v="8"/>
    <n v="10.67"/>
    <n v="110380.12"/>
    <n v="77692.34"/>
    <n v="322"/>
    <n v="1071"/>
    <s v="10-20"/>
    <x v="0"/>
  </r>
  <r>
    <s v="https://suumo.jp/chintai/jnc_000103362628/?bc=100480789597"/>
    <s v="西武新宿線 中井駅 2階建 築30年"/>
    <s v="東京都新宿区中落合４"/>
    <n v="80000"/>
    <n v="2000"/>
    <n v="80000"/>
    <m/>
    <n v="1"/>
    <x v="0"/>
    <n v="26.43"/>
    <n v="30"/>
    <x v="0"/>
    <s v="中井駅"/>
    <n v="5"/>
    <n v="9.67"/>
    <n v="110380.12"/>
    <n v="77692.34"/>
    <n v="322"/>
    <n v="1071"/>
    <s v="20-30"/>
    <x v="1"/>
  </r>
  <r>
    <s v="https://suumo.jp/chintai/jnc_000102457936/?bc=100473971696"/>
    <s v="西武新宿線 中井駅 2階建 築36年"/>
    <s v="東京都新宿区中落合１"/>
    <n v="58000"/>
    <n v="2000"/>
    <n v="58000"/>
    <m/>
    <n v="1"/>
    <x v="0"/>
    <n v="17.12"/>
    <n v="36"/>
    <x v="0"/>
    <s v="中井駅"/>
    <n v="2"/>
    <n v="6"/>
    <n v="110380.12"/>
    <n v="77692.34"/>
    <n v="322"/>
    <n v="1071"/>
    <s v="10-20"/>
    <x v="4"/>
  </r>
  <r>
    <s v="https://suumo.jp/chintai/jnc_000102936162/?bc=100473972108"/>
    <s v="西武新宿線 中井駅 2階建 築38年"/>
    <s v="東京都新宿区上落合２"/>
    <n v="62000"/>
    <m/>
    <n v="62000"/>
    <m/>
    <n v="2"/>
    <x v="0"/>
    <n v="18.149999999999999"/>
    <n v="38"/>
    <x v="0"/>
    <s v="中井駅"/>
    <n v="4"/>
    <n v="7"/>
    <n v="110380.12"/>
    <n v="77692.34"/>
    <n v="322"/>
    <n v="1071"/>
    <s v="10-20"/>
    <x v="4"/>
  </r>
  <r>
    <s v="https://suumo.jp/chintai/jnc_000032575673/?bc=100486258989"/>
    <s v="西武新宿線 中井駅 2階建 築9年"/>
    <s v="東京都新宿区中井２"/>
    <n v="77000"/>
    <n v="3000"/>
    <n v="77000"/>
    <n v="77000"/>
    <n v="1"/>
    <x v="0"/>
    <n v="20.5"/>
    <n v="9"/>
    <x v="0"/>
    <s v="中井駅"/>
    <n v="3"/>
    <n v="6.33"/>
    <n v="110380.12"/>
    <n v="77692.34"/>
    <n v="322"/>
    <n v="1071"/>
    <s v="20-30"/>
    <x v="0"/>
  </r>
  <r>
    <s v="https://suumo.jp/chintai/jnc_000104498692/?bc=100486107913"/>
    <s v="西武新宿線 中井駅 2階建 築9年"/>
    <s v="東京都新宿区中落合４"/>
    <n v="69000"/>
    <n v="2500"/>
    <n v="69000"/>
    <m/>
    <n v="2"/>
    <x v="0"/>
    <n v="14.23"/>
    <n v="9"/>
    <x v="0"/>
    <s v="中井駅"/>
    <n v="7"/>
    <n v="13"/>
    <n v="110380.12"/>
    <n v="77692.34"/>
    <n v="322"/>
    <n v="1071"/>
    <s v="10-20"/>
    <x v="0"/>
  </r>
  <r>
    <s v="https://suumo.jp/chintai/jnc_000022902842/?bc=100480327628"/>
    <s v="西武新宿線 中井駅 3階建 築23年"/>
    <s v="東京都新宿区中井１"/>
    <n v="52000"/>
    <n v="3000"/>
    <n v="52000"/>
    <n v="52000"/>
    <n v="3"/>
    <x v="0"/>
    <n v="14.31"/>
    <n v="23"/>
    <x v="2"/>
    <s v="中井駅"/>
    <n v="7"/>
    <n v="8.33"/>
    <n v="110380.12"/>
    <n v="77692.34"/>
    <n v="322"/>
    <n v="1071"/>
    <s v="10-20"/>
    <x v="1"/>
  </r>
  <r>
    <s v="https://suumo.jp/chintai/jnc_000104295043/?bc=100476043170"/>
    <s v="西武新宿線 中井駅 4階建 築40年"/>
    <s v="東京都新宿区中井２"/>
    <n v="69000"/>
    <n v="3000"/>
    <m/>
    <m/>
    <n v="3"/>
    <x v="0"/>
    <n v="15.54"/>
    <n v="40"/>
    <x v="4"/>
    <s v="中井駅"/>
    <n v="5"/>
    <n v="7.33"/>
    <n v="110380.12"/>
    <n v="77692.34"/>
    <n v="322"/>
    <n v="1071"/>
    <s v="10-20"/>
    <x v="4"/>
  </r>
  <r>
    <s v="https://suumo.jp/chintai/jnc_000104196094/?bc=100480445975"/>
    <s v="西武新宿線 中井駅 4階建 築42年"/>
    <s v="東京都新宿区中落合１"/>
    <n v="70000"/>
    <n v="3000"/>
    <n v="70000"/>
    <m/>
    <n v="4"/>
    <x v="0"/>
    <n v="23"/>
    <n v="42"/>
    <x v="4"/>
    <s v="中井駅"/>
    <n v="6"/>
    <n v="8.67"/>
    <n v="110380.12"/>
    <n v="77692.34"/>
    <n v="322"/>
    <n v="1071"/>
    <s v="20-30"/>
    <x v="3"/>
  </r>
  <r>
    <s v="https://suumo.jp/chintai/jnc_000090835322/?bc=100484560694"/>
    <s v="西武新宿線 中井駅 5階建 築33年"/>
    <s v="東京都新宿区上落合２"/>
    <n v="65000"/>
    <n v="5000"/>
    <n v="65000"/>
    <n v="65000"/>
    <n v="2"/>
    <x v="0"/>
    <n v="16.47"/>
    <n v="33"/>
    <x v="7"/>
    <s v="中井駅"/>
    <n v="1"/>
    <n v="2.33"/>
    <n v="110380.12"/>
    <n v="77692.34"/>
    <n v="322"/>
    <n v="1071"/>
    <s v="10-20"/>
    <x v="4"/>
  </r>
  <r>
    <s v="https://suumo.jp/chintai/jnc_000103649370/?bc=100479526092"/>
    <s v="西武新宿線 中井駅 7階建 築18年"/>
    <s v="東京都新宿区中落合１"/>
    <n v="104000"/>
    <n v="15000"/>
    <m/>
    <m/>
    <n v="2"/>
    <x v="0"/>
    <n v="24.09"/>
    <n v="18"/>
    <x v="10"/>
    <s v="中井駅"/>
    <n v="6"/>
    <n v="10.67"/>
    <n v="110380.12"/>
    <n v="77692.34"/>
    <n v="322"/>
    <n v="1071"/>
    <s v="20-30"/>
    <x v="7"/>
  </r>
  <r>
    <s v="https://suumo.jp/chintai/jnc_000102893071/?bc=100473972831"/>
    <s v="西武新宿線 中井駅 地下1地上4階建 築5年"/>
    <s v="東京都新宿区中井２"/>
    <n v="124000"/>
    <n v="15000"/>
    <n v="124000"/>
    <n v="124000"/>
    <n v="3"/>
    <x v="0"/>
    <n v="25.65"/>
    <n v="5"/>
    <x v="7"/>
    <s v="中井駅"/>
    <n v="2"/>
    <n v="8"/>
    <n v="110380.12"/>
    <n v="77692.34"/>
    <n v="322"/>
    <n v="1071"/>
    <s v="20-30"/>
    <x v="0"/>
  </r>
  <r>
    <s v="https://suumo.jp/chintai/jnc_000104437836/?bc=100485581156"/>
    <s v="西武新宿線 中井駅 地下1地上4階建 築5年"/>
    <s v="東京都新宿区中井２"/>
    <n v="130000"/>
    <n v="15000"/>
    <m/>
    <n v="130000"/>
    <n v="3"/>
    <x v="0"/>
    <n v="25.65"/>
    <n v="5"/>
    <x v="7"/>
    <s v="中井駅"/>
    <n v="2"/>
    <n v="8"/>
    <n v="110380.12"/>
    <n v="77692.34"/>
    <n v="322"/>
    <n v="1071"/>
    <s v="20-30"/>
    <x v="0"/>
  </r>
  <r>
    <s v="https://suumo.jp/chintai/jnc_000103643854/?bc=100479193305"/>
    <s v="西武新宿線 中井駅 地下1地上4階建 築6年"/>
    <s v="東京都新宿区中落合１"/>
    <n v="86000"/>
    <n v="5000"/>
    <m/>
    <m/>
    <n v="3"/>
    <x v="0"/>
    <n v="18"/>
    <n v="6"/>
    <x v="7"/>
    <s v="中井駅"/>
    <n v="3"/>
    <n v="7.33"/>
    <n v="110380.12"/>
    <n v="77692.34"/>
    <n v="322"/>
    <n v="1071"/>
    <s v="10-20"/>
    <x v="0"/>
  </r>
  <r>
    <s v="https://suumo.jp/chintai/jnc_000103883461/?bc=100481346175"/>
    <s v="西武新宿線 中井駅 地下1地上6階建 築18年"/>
    <s v="東京都新宿区中井１"/>
    <n v="80000"/>
    <n v="9000"/>
    <n v="80000"/>
    <n v="80000"/>
    <n v="3"/>
    <x v="0"/>
    <n v="19.78"/>
    <n v="18"/>
    <x v="10"/>
    <s v="中井駅"/>
    <n v="2"/>
    <n v="6"/>
    <n v="110380.12"/>
    <n v="77692.34"/>
    <n v="322"/>
    <n v="1071"/>
    <s v="10-20"/>
    <x v="7"/>
  </r>
  <r>
    <s v="https://suumo.jp/chintai/jnc_000101722212/?bc=100463149845"/>
    <s v="都営大江戸線 中井駅 2階建 築10年"/>
    <s v="東京都新宿区中落合１"/>
    <n v="57000"/>
    <n v="3000"/>
    <m/>
    <m/>
    <n v="2"/>
    <x v="0"/>
    <n v="12.92"/>
    <n v="10"/>
    <x v="0"/>
    <s v="中井駅"/>
    <n v="7"/>
    <n v="11.33"/>
    <n v="110380.12"/>
    <n v="77692.34"/>
    <n v="322"/>
    <n v="1071"/>
    <s v="10-20"/>
    <x v="0"/>
  </r>
  <r>
    <s v="https://suumo.jp/chintai/jnc_000093223622/?bc=100480411931"/>
    <s v="都営大江戸線 中井駅 2階建 築10年"/>
    <s v="東京都新宿区中落合１"/>
    <n v="57000"/>
    <n v="3000"/>
    <m/>
    <m/>
    <n v="2"/>
    <x v="0"/>
    <n v="13.17"/>
    <n v="10"/>
    <x v="0"/>
    <s v="中井駅"/>
    <n v="7"/>
    <n v="11.33"/>
    <n v="110380.12"/>
    <n v="77692.34"/>
    <n v="322"/>
    <n v="1071"/>
    <s v="10-20"/>
    <x v="0"/>
  </r>
  <r>
    <s v="https://suumo.jp/chintai/jnc_000102017132/?bc=100465582660"/>
    <s v="都営大江戸線 中井駅 2階建 築31年"/>
    <s v="東京都新宿区中井２"/>
    <n v="66000"/>
    <n v="2000"/>
    <n v="66000"/>
    <n v="66000"/>
    <n v="2"/>
    <x v="0"/>
    <n v="20.7"/>
    <n v="31"/>
    <x v="0"/>
    <s v="中井駅"/>
    <n v="5"/>
    <n v="9.33"/>
    <n v="110380.12"/>
    <n v="77692.34"/>
    <n v="322"/>
    <n v="1071"/>
    <s v="20-30"/>
    <x v="4"/>
  </r>
  <r>
    <s v="https://suumo.jp/chintai/jnc_000103658028/?bc=100484318625"/>
    <s v="都営大江戸線 中井駅 3階建 築11年"/>
    <s v="東京都新宿区中井１"/>
    <n v="84000"/>
    <n v="5000"/>
    <n v="84000"/>
    <m/>
    <n v="1"/>
    <x v="0"/>
    <n v="18.899999999999999"/>
    <n v="11"/>
    <x v="2"/>
    <s v="中井駅"/>
    <n v="5"/>
    <n v="6.33"/>
    <n v="110380.12"/>
    <n v="77692.34"/>
    <n v="322"/>
    <n v="1071"/>
    <s v="10-20"/>
    <x v="7"/>
  </r>
  <r>
    <s v="https://suumo.jp/chintai/jnc_000104498665/?bc=100486204666"/>
    <s v="都営大江戸線 中井駅 3階建 築33年"/>
    <s v="東京都新宿区上落合２"/>
    <n v="96000"/>
    <n v="2000"/>
    <n v="96000"/>
    <n v="96000"/>
    <n v="1"/>
    <x v="0"/>
    <n v="21.06"/>
    <n v="33"/>
    <x v="2"/>
    <s v="中井駅"/>
    <n v="2"/>
    <n v="2"/>
    <n v="110380.12"/>
    <n v="77692.34"/>
    <n v="322"/>
    <n v="1071"/>
    <s v="20-30"/>
    <x v="4"/>
  </r>
  <r>
    <s v="https://suumo.jp/chintai/jnc_000104509151/?bc=100486204662"/>
    <s v="都営大江戸線 中井駅 3階建 築33年"/>
    <s v="東京都新宿区上落合２"/>
    <n v="100000"/>
    <n v="2000"/>
    <n v="100000"/>
    <n v="100000"/>
    <n v="2"/>
    <x v="0"/>
    <n v="21.06"/>
    <n v="33"/>
    <x v="2"/>
    <s v="中井駅"/>
    <n v="2"/>
    <n v="2"/>
    <n v="110380.12"/>
    <n v="77692.34"/>
    <n v="322"/>
    <n v="1071"/>
    <s v="20-30"/>
    <x v="4"/>
  </r>
  <r>
    <s v="https://suumo.jp/chintai/jnc_000104498666/?bc=100486144571"/>
    <s v="都営大江戸線 中井駅 3階建 築33年"/>
    <s v="東京都新宿区上落合２"/>
    <n v="92000"/>
    <n v="2000"/>
    <n v="92000"/>
    <n v="92000"/>
    <n v="3"/>
    <x v="0"/>
    <n v="21.06"/>
    <n v="33"/>
    <x v="2"/>
    <s v="中井駅"/>
    <n v="2"/>
    <n v="2"/>
    <n v="110380.12"/>
    <n v="77692.34"/>
    <n v="322"/>
    <n v="1071"/>
    <s v="20-30"/>
    <x v="4"/>
  </r>
  <r>
    <s v="https://suumo.jp/chintai/jnc_000104101238/?bc=100482970711"/>
    <s v="都営大江戸線 中井駅 3階建 築37年"/>
    <s v="東京都新宿区上落合３"/>
    <n v="44000"/>
    <n v="2000"/>
    <m/>
    <m/>
    <n v="2"/>
    <x v="0"/>
    <n v="7.4"/>
    <n v="37"/>
    <x v="2"/>
    <s v="中井駅"/>
    <n v="5"/>
    <n v="15"/>
    <n v="110380.12"/>
    <n v="77692.34"/>
    <n v="322"/>
    <n v="1071"/>
    <s v="&lt;10"/>
    <x v="4"/>
  </r>
  <r>
    <s v="https://suumo.jp/chintai/jnc_000102154717/?bc=100482075184"/>
    <s v="都営大江戸線 中井駅 3階建 築37年"/>
    <s v="東京都新宿区上落合３"/>
    <n v="46000"/>
    <n v="2000"/>
    <m/>
    <m/>
    <n v="3"/>
    <x v="0"/>
    <n v="6.2"/>
    <n v="37"/>
    <x v="2"/>
    <s v="中井駅"/>
    <n v="5"/>
    <n v="15"/>
    <n v="110380.12"/>
    <n v="77692.34"/>
    <n v="322"/>
    <n v="1071"/>
    <s v="&lt;10"/>
    <x v="4"/>
  </r>
  <r>
    <s v="https://suumo.jp/chintai/jnc_000068305919/?bc=100481827544"/>
    <s v="都営大江戸線 中井駅 3階建 築37年"/>
    <s v="東京都新宿区上落合３"/>
    <n v="44000"/>
    <n v="2000"/>
    <m/>
    <m/>
    <n v="3"/>
    <x v="0"/>
    <n v="7.7"/>
    <n v="37"/>
    <x v="2"/>
    <s v="中井駅"/>
    <n v="5"/>
    <n v="15"/>
    <n v="110380.12"/>
    <n v="77692.34"/>
    <n v="322"/>
    <n v="1071"/>
    <s v="&lt;10"/>
    <x v="4"/>
  </r>
  <r>
    <s v="https://suumo.jp/chintai/jnc_000102813956/?bc=100472653605"/>
    <s v="都営大江戸線 中井駅 3階建 築6年"/>
    <s v="東京都新宿区上落合３"/>
    <n v="78000"/>
    <n v="6000"/>
    <m/>
    <m/>
    <n v="1"/>
    <x v="0"/>
    <n v="13.12"/>
    <n v="6"/>
    <x v="2"/>
    <s v="中井駅"/>
    <n v="1"/>
    <n v="5.33"/>
    <n v="110380.12"/>
    <n v="77692.34"/>
    <n v="322"/>
    <n v="1071"/>
    <s v="10-20"/>
    <x v="0"/>
  </r>
  <r>
    <s v="https://suumo.jp/chintai/jnc_000103198523/?bc=100261977537"/>
    <s v="都営大江戸線 中井駅 3階建 築6年"/>
    <s v="東京都新宿区上落合３"/>
    <n v="78000"/>
    <n v="5000"/>
    <m/>
    <m/>
    <n v="1"/>
    <x v="0"/>
    <n v="9.25"/>
    <n v="6"/>
    <x v="2"/>
    <s v="中井駅"/>
    <n v="1"/>
    <n v="5.33"/>
    <n v="110380.12"/>
    <n v="77692.34"/>
    <n v="322"/>
    <n v="1071"/>
    <s v="&lt;10"/>
    <x v="0"/>
  </r>
  <r>
    <s v="https://suumo.jp/chintai/jnc_000103285443/?bc=100483506297"/>
    <s v="都営大江戸線 中井駅 3階建 築6年"/>
    <s v="東京都新宿区上落合３"/>
    <n v="76000"/>
    <n v="5000"/>
    <m/>
    <m/>
    <n v="1"/>
    <x v="0"/>
    <n v="9"/>
    <n v="6"/>
    <x v="2"/>
    <s v="中井駅"/>
    <n v="1"/>
    <n v="5.33"/>
    <n v="110380.12"/>
    <n v="77692.34"/>
    <n v="322"/>
    <n v="1071"/>
    <s v="&lt;10"/>
    <x v="0"/>
  </r>
  <r>
    <s v="https://suumo.jp/chintai/jnc_000102546983/?bc=100470562971"/>
    <s v="都営大江戸線 中井駅 3階建 築6年"/>
    <s v="東京都新宿区上落合３"/>
    <n v="78000"/>
    <n v="5000"/>
    <m/>
    <m/>
    <n v="3"/>
    <x v="0"/>
    <n v="13.04"/>
    <n v="6"/>
    <x v="2"/>
    <s v="中井駅"/>
    <n v="1"/>
    <n v="5.33"/>
    <n v="110380.12"/>
    <n v="77692.34"/>
    <n v="322"/>
    <n v="1071"/>
    <s v="10-20"/>
    <x v="0"/>
  </r>
  <r>
    <s v="https://suumo.jp/chintai/jnc_000102861933/?bc=100483064075"/>
    <s v="都営大江戸線 中井駅 3階建 築6年"/>
    <s v="東京都新宿区上落合３"/>
    <n v="78000"/>
    <n v="5000"/>
    <m/>
    <m/>
    <n v="3"/>
    <x v="0"/>
    <n v="9"/>
    <n v="6"/>
    <x v="2"/>
    <s v="中井駅"/>
    <n v="1"/>
    <n v="5.33"/>
    <n v="110380.12"/>
    <n v="77692.34"/>
    <n v="322"/>
    <n v="1071"/>
    <s v="&lt;10"/>
    <x v="0"/>
  </r>
  <r>
    <s v="https://suumo.jp/chintai/jnc_000102663293/?bc=100471539017"/>
    <s v="都営大江戸線 中井駅 4階建 築2年"/>
    <s v="東京都新宿区中井１"/>
    <n v="87000"/>
    <n v="10000"/>
    <m/>
    <m/>
    <n v="4"/>
    <x v="0"/>
    <n v="20.11"/>
    <n v="2"/>
    <x v="4"/>
    <s v="中井駅"/>
    <n v="5"/>
    <n v="11"/>
    <n v="110380.12"/>
    <n v="77692.34"/>
    <n v="322"/>
    <n v="1071"/>
    <s v="20-30"/>
    <x v="0"/>
  </r>
  <r>
    <s v="https://suumo.jp/chintai/jnc_000088186231/?bc=100483813327"/>
    <s v="都営大江戸線 中井駅 4階建 築6年"/>
    <s v="東京都新宿区中落合１"/>
    <n v="89000"/>
    <n v="3000"/>
    <m/>
    <m/>
    <n v="2"/>
    <x v="0"/>
    <n v="18.04"/>
    <n v="6"/>
    <x v="4"/>
    <s v="中井駅"/>
    <n v="2"/>
    <n v="7.33"/>
    <n v="110380.12"/>
    <n v="77692.34"/>
    <n v="322"/>
    <n v="1071"/>
    <s v="10-20"/>
    <x v="0"/>
  </r>
  <r>
    <s v="https://suumo.jp/chintai/jnc_000103843616/?bc=100481040301"/>
    <s v="野村ビル"/>
    <s v="東京都新宿区中井１"/>
    <n v="65000"/>
    <n v="2000"/>
    <n v="65000"/>
    <m/>
    <n v="2"/>
    <x v="0"/>
    <n v="18"/>
    <n v="36"/>
    <x v="2"/>
    <s v="中井駅"/>
    <n v="6"/>
    <n v="9"/>
    <n v="110380.12"/>
    <n v="77692.34"/>
    <n v="322"/>
    <n v="1071"/>
    <s v="10-20"/>
    <x v="4"/>
  </r>
  <r>
    <s v="https://suumo.jp/chintai/jnc_000102039270/?bc=100465872810"/>
    <s v="ＪＲ中央線 東中野駅 2階建 築13年"/>
    <s v="東京都新宿区上落合２"/>
    <n v="91000"/>
    <n v="4000"/>
    <n v="91000"/>
    <n v="91000"/>
    <n v="1"/>
    <x v="0"/>
    <n v="26.12"/>
    <n v="13"/>
    <x v="0"/>
    <s v="中井駅"/>
    <n v="5"/>
    <n v="8.67"/>
    <n v="110380.12"/>
    <n v="77692.34"/>
    <n v="322"/>
    <n v="1071"/>
    <s v="20-30"/>
    <x v="7"/>
  </r>
  <r>
    <s v="https://suumo.jp/chintai/jnc_000088179370/?bc=100483771681"/>
    <s v="Ｎｏａｈ ｓ　Ａｒｋ"/>
    <s v="東京都新宿区中落合１"/>
    <n v="89000"/>
    <n v="3000"/>
    <m/>
    <m/>
    <n v="2"/>
    <x v="0"/>
    <n v="18.04"/>
    <n v="6"/>
    <x v="4"/>
    <s v="中井駅"/>
    <n v="2"/>
    <n v="7.33"/>
    <n v="110380.12"/>
    <n v="77692.34"/>
    <n v="322"/>
    <n v="1071"/>
    <s v="10-20"/>
    <x v="0"/>
  </r>
  <r>
    <s v="https://suumo.jp/chintai/jnc_000102654680/?bc=100475226068"/>
    <s v="Ｙ’ｓ　Ｃｏｕｒｔ　Ｎａｋａｉ"/>
    <s v="東京都新宿区中井１"/>
    <n v="87000"/>
    <n v="10000"/>
    <m/>
    <m/>
    <n v="4"/>
    <x v="0"/>
    <n v="20.11"/>
    <n v="2"/>
    <x v="4"/>
    <s v="中井駅"/>
    <n v="8"/>
    <n v="11.33"/>
    <n v="110380.12"/>
    <n v="77692.34"/>
    <n v="322"/>
    <n v="1071"/>
    <s v="20-30"/>
    <x v="0"/>
  </r>
  <r>
    <s v="https://suumo.jp/chintai/jnc_000104310255/?bc=100484634030"/>
    <s v="西武新宿線 中井駅 2階建 築15年"/>
    <s v="東京都新宿区中井２"/>
    <n v="90000"/>
    <n v="3000"/>
    <n v="90000"/>
    <m/>
    <n v="1"/>
    <x v="16"/>
    <n v="17.100000000000001"/>
    <n v="15"/>
    <x v="0"/>
    <s v="中井駅"/>
    <n v="5"/>
    <n v="10.67"/>
    <n v="110380.12"/>
    <n v="92000"/>
    <n v="322"/>
    <n v="9"/>
    <s v="10-20"/>
    <x v="7"/>
  </r>
  <r>
    <s v="https://suumo.jp/chintai/jnc_000095797873/?bc=100358655329"/>
    <s v="クレヴィア新宿中落合WEST"/>
    <s v="東京都新宿区中落合１"/>
    <n v="295000"/>
    <n v="25000"/>
    <n v="590000"/>
    <n v="295000"/>
    <n v="2"/>
    <x v="5"/>
    <n v="71.23"/>
    <n v="3"/>
    <x v="10"/>
    <s v="中井駅"/>
    <n v="6"/>
    <n v="9"/>
    <n v="110380.12"/>
    <n v="207063.41"/>
    <n v="322"/>
    <n v="41"/>
    <s v="70-80"/>
    <x v="0"/>
  </r>
  <r>
    <s v="https://suumo.jp/chintai/jnc_000104091509/?bc=100484920028"/>
    <s v="プランドール"/>
    <s v="東京都新宿区中落合１"/>
    <n v="175000"/>
    <n v="2000"/>
    <n v="175000"/>
    <n v="350000"/>
    <n v="2"/>
    <x v="6"/>
    <n v="57.34"/>
    <n v="5"/>
    <x v="2"/>
    <s v="中井駅"/>
    <n v="4"/>
    <n v="7.33"/>
    <n v="110380.12"/>
    <n v="141491.45000000001"/>
    <n v="322"/>
    <n v="117"/>
    <s v="50-60"/>
    <x v="0"/>
  </r>
  <r>
    <s v="https://suumo.jp/chintai/jnc_000104125658/?bc=100484284642"/>
    <s v="都営大江戸線 中井駅 3階建 築6年"/>
    <s v="東京都新宿区中落合１"/>
    <n v="175000"/>
    <n v="2000"/>
    <n v="175000"/>
    <n v="350000"/>
    <n v="2"/>
    <x v="6"/>
    <n v="57.34"/>
    <n v="6"/>
    <x v="2"/>
    <s v="中井駅"/>
    <n v="4"/>
    <n v="11"/>
    <n v="110380.12"/>
    <n v="141491.45000000001"/>
    <n v="322"/>
    <n v="117"/>
    <s v="50-60"/>
    <x v="0"/>
  </r>
  <r>
    <s v="https://suumo.jp/chintai/jnc_000102554740/?bc=100479225937"/>
    <s v="グリーンヒル中井"/>
    <s v="東京都新宿区中井１"/>
    <n v="104000"/>
    <n v="3000"/>
    <n v="104000"/>
    <n v="104000"/>
    <n v="1"/>
    <x v="7"/>
    <n v="35"/>
    <n v="32"/>
    <x v="2"/>
    <s v="中井駅"/>
    <n v="5"/>
    <n v="8.67"/>
    <n v="110380.12"/>
    <n v="117441.44"/>
    <n v="322"/>
    <n v="111"/>
    <s v="30-40"/>
    <x v="4"/>
  </r>
  <r>
    <s v="https://suumo.jp/chintai/jnc_000104416540/?bc=100485609995"/>
    <s v="ブライズ新宿中井"/>
    <s v="東京都新宿区中井１"/>
    <n v="155000"/>
    <n v="15000"/>
    <m/>
    <m/>
    <n v="5"/>
    <x v="7"/>
    <n v="39.92"/>
    <n v="18"/>
    <x v="10"/>
    <s v="中井駅"/>
    <n v="4"/>
    <n v="9.33"/>
    <n v="110380.12"/>
    <n v="117441.44"/>
    <n v="322"/>
    <n v="111"/>
    <s v="30-40"/>
    <x v="7"/>
  </r>
  <r>
    <s v="https://suumo.jp/chintai/jnc_000095832217/?bc=100484790947"/>
    <s v="ブライズ新宿中井"/>
    <s v="東京都新宿区中井１"/>
    <n v="150000"/>
    <n v="15000"/>
    <m/>
    <m/>
    <n v="5"/>
    <x v="7"/>
    <n v="39.92"/>
    <n v="18"/>
    <x v="10"/>
    <s v="中井駅"/>
    <n v="4"/>
    <n v="9.33"/>
    <n v="110380.12"/>
    <n v="117441.44"/>
    <n v="322"/>
    <n v="111"/>
    <s v="30-40"/>
    <x v="7"/>
  </r>
  <r>
    <s v="https://suumo.jp/chintai/jnc_000101897557/?bc=100465461487"/>
    <s v="ブルーハイネス落合"/>
    <s v="東京都新宿区上落合２"/>
    <n v="122000"/>
    <n v="3000"/>
    <n v="122000"/>
    <n v="122000"/>
    <n v="3"/>
    <x v="7"/>
    <n v="38.479999999999997"/>
    <n v="33"/>
    <x v="2"/>
    <s v="中井駅"/>
    <n v="4"/>
    <n v="6"/>
    <n v="110380.12"/>
    <n v="117441.44"/>
    <n v="322"/>
    <n v="111"/>
    <s v="30-40"/>
    <x v="4"/>
  </r>
  <r>
    <s v="https://suumo.jp/chintai/jnc_000061260509/?bc=100485854258"/>
    <s v="第一山下荘"/>
    <s v="東京都新宿区上落合２"/>
    <n v="87000"/>
    <m/>
    <n v="87000"/>
    <n v="87000"/>
    <n v="2"/>
    <x v="7"/>
    <n v="30"/>
    <n v="66"/>
    <x v="0"/>
    <s v="中井駅"/>
    <n v="3"/>
    <n v="6"/>
    <n v="110380.12"/>
    <n v="117441.44"/>
    <n v="322"/>
    <n v="111"/>
    <s v="30-40"/>
    <x v="2"/>
  </r>
  <r>
    <s v="https://suumo.jp/chintai/jnc_000104356679/?bc=100485569380"/>
    <s v="篠原ビル"/>
    <s v="東京都新宿区上落合２"/>
    <n v="110000"/>
    <m/>
    <n v="110000"/>
    <n v="110000"/>
    <n v="2"/>
    <x v="7"/>
    <n v="37.700000000000003"/>
    <n v="47"/>
    <x v="4"/>
    <s v="中井駅"/>
    <n v="1"/>
    <n v="5.67"/>
    <n v="110380.12"/>
    <n v="117441.44"/>
    <n v="322"/>
    <n v="111"/>
    <s v="30-40"/>
    <x v="3"/>
  </r>
  <r>
    <s v="https://suumo.jp/chintai/jnc_000102678961/?bc=100471631231"/>
    <s v="西武新宿線 中井駅 4階建 築42年"/>
    <s v="東京都新宿区中落合３"/>
    <n v="125000"/>
    <n v="7000"/>
    <n v="125000"/>
    <m/>
    <n v="4"/>
    <x v="7"/>
    <n v="40.03"/>
    <n v="42"/>
    <x v="4"/>
    <s v="中井駅"/>
    <n v="10"/>
    <n v="10"/>
    <n v="110380.12"/>
    <n v="117441.44"/>
    <n v="322"/>
    <n v="111"/>
    <s v="40-50"/>
    <x v="3"/>
  </r>
  <r>
    <s v="https://suumo.jp/chintai/jnc_000102238520/?bc=100467698731"/>
    <s v="エリシオン"/>
    <s v="東京都新宿区中落合４"/>
    <n v="240000"/>
    <n v="10000"/>
    <n v="240000"/>
    <n v="240000"/>
    <n v="1"/>
    <x v="8"/>
    <n v="59.62"/>
    <n v="0"/>
    <x v="2"/>
    <s v="中井駅"/>
    <n v="9"/>
    <n v="10"/>
    <n v="110380.12"/>
    <n v="232352.65"/>
    <n v="322"/>
    <n v="359"/>
    <s v="50-60"/>
    <x v="6"/>
  </r>
  <r>
    <s v="https://suumo.jp/chintai/jnc_000102238520/?bc=100467698731"/>
    <s v="エリシオン"/>
    <s v="東京都新宿区中落合４"/>
    <n v="240000"/>
    <n v="10000"/>
    <n v="240000"/>
    <n v="240000"/>
    <n v="2"/>
    <x v="8"/>
    <n v="59.62"/>
    <n v="0"/>
    <x v="2"/>
    <s v="中井駅"/>
    <n v="9"/>
    <n v="10"/>
    <n v="110380.12"/>
    <n v="232352.65"/>
    <n v="322"/>
    <n v="359"/>
    <s v="50-60"/>
    <x v="6"/>
  </r>
  <r>
    <s v="https://suumo.jp/chintai/jnc_000102238520/?bc=100467698731"/>
    <s v="エリシオン"/>
    <s v="東京都新宿区中落合４"/>
    <n v="240000"/>
    <n v="10000"/>
    <n v="240000"/>
    <n v="240000"/>
    <n v="3"/>
    <x v="8"/>
    <n v="59.62"/>
    <n v="0"/>
    <x v="2"/>
    <s v="中井駅"/>
    <n v="9"/>
    <n v="10"/>
    <n v="110380.12"/>
    <n v="232352.65"/>
    <n v="322"/>
    <n v="359"/>
    <s v="50-60"/>
    <x v="6"/>
  </r>
  <r>
    <s v="https://suumo.jp/chintai/jnc_000102238521/?bc=100467698735"/>
    <s v="エリシオン"/>
    <s v="東京都新宿区中落合４"/>
    <n v="243000"/>
    <n v="10000"/>
    <n v="243000"/>
    <n v="243000"/>
    <n v="1"/>
    <x v="8"/>
    <n v="61.28"/>
    <n v="0"/>
    <x v="2"/>
    <s v="中井駅"/>
    <n v="9"/>
    <n v="10"/>
    <n v="110380.12"/>
    <n v="232352.65"/>
    <n v="322"/>
    <n v="359"/>
    <s v="60-70"/>
    <x v="6"/>
  </r>
  <r>
    <s v="https://suumo.jp/chintai/jnc_000102238521/?bc=100467698735"/>
    <s v="エリシオン"/>
    <s v="東京都新宿区中落合４"/>
    <n v="243000"/>
    <n v="10000"/>
    <n v="243000"/>
    <n v="243000"/>
    <n v="2"/>
    <x v="8"/>
    <n v="61.28"/>
    <n v="0"/>
    <x v="2"/>
    <s v="中井駅"/>
    <n v="9"/>
    <n v="10"/>
    <n v="110380.12"/>
    <n v="232352.65"/>
    <n v="322"/>
    <n v="359"/>
    <s v="60-70"/>
    <x v="6"/>
  </r>
  <r>
    <s v="https://suumo.jp/chintai/jnc_000102238521/?bc=100467698735"/>
    <s v="エリシオン"/>
    <s v="東京都新宿区中落合４"/>
    <n v="243000"/>
    <n v="10000"/>
    <n v="243000"/>
    <n v="243000"/>
    <n v="3"/>
    <x v="8"/>
    <n v="61.28"/>
    <n v="0"/>
    <x v="2"/>
    <s v="中井駅"/>
    <n v="9"/>
    <n v="10"/>
    <n v="110380.12"/>
    <n v="232352.65"/>
    <n v="322"/>
    <n v="359"/>
    <s v="60-70"/>
    <x v="6"/>
  </r>
  <r>
    <s v="https://suumo.jp/chintai/jnc_000102238513/?bc=100467698734"/>
    <s v="エリシオン"/>
    <s v="東京都新宿区中落合４"/>
    <n v="245000"/>
    <n v="10000"/>
    <n v="245000"/>
    <n v="245000"/>
    <n v="1"/>
    <x v="8"/>
    <n v="67.489999999999995"/>
    <n v="0"/>
    <x v="2"/>
    <s v="中井駅"/>
    <n v="9"/>
    <n v="10"/>
    <n v="110380.12"/>
    <n v="232352.65"/>
    <n v="322"/>
    <n v="359"/>
    <s v="60-70"/>
    <x v="6"/>
  </r>
  <r>
    <s v="https://suumo.jp/chintai/jnc_000102238513/?bc=100467698734"/>
    <s v="エリシオン"/>
    <s v="東京都新宿区中落合４"/>
    <n v="245000"/>
    <n v="10000"/>
    <n v="245000"/>
    <n v="245000"/>
    <n v="2"/>
    <x v="8"/>
    <n v="67.489999999999995"/>
    <n v="0"/>
    <x v="2"/>
    <s v="中井駅"/>
    <n v="9"/>
    <n v="10"/>
    <n v="110380.12"/>
    <n v="232352.65"/>
    <n v="322"/>
    <n v="359"/>
    <s v="60-70"/>
    <x v="6"/>
  </r>
  <r>
    <s v="https://suumo.jp/chintai/jnc_000102238513/?bc=100467698734"/>
    <s v="エリシオン"/>
    <s v="東京都新宿区中落合４"/>
    <n v="245000"/>
    <n v="10000"/>
    <n v="245000"/>
    <n v="245000"/>
    <n v="3"/>
    <x v="8"/>
    <n v="67.489999999999995"/>
    <n v="0"/>
    <x v="2"/>
    <s v="中井駅"/>
    <n v="9"/>
    <n v="10"/>
    <n v="110380.12"/>
    <n v="232352.65"/>
    <n v="322"/>
    <n v="359"/>
    <s v="60-70"/>
    <x v="6"/>
  </r>
  <r>
    <s v="https://suumo.jp/chintai/jnc_000102238515/?bc=100467698724"/>
    <s v="エリシオン"/>
    <s v="東京都新宿区中落合４"/>
    <n v="255000"/>
    <n v="10000"/>
    <n v="255000"/>
    <n v="255000"/>
    <n v="1"/>
    <x v="8"/>
    <n v="67.900000000000006"/>
    <n v="0"/>
    <x v="2"/>
    <s v="中井駅"/>
    <n v="9"/>
    <n v="10"/>
    <n v="110380.12"/>
    <n v="232352.65"/>
    <n v="322"/>
    <n v="359"/>
    <s v="60-70"/>
    <x v="6"/>
  </r>
  <r>
    <s v="https://suumo.jp/chintai/jnc_000102238515/?bc=100467698724"/>
    <s v="エリシオン"/>
    <s v="東京都新宿区中落合４"/>
    <n v="255000"/>
    <n v="10000"/>
    <n v="255000"/>
    <n v="255000"/>
    <n v="2"/>
    <x v="8"/>
    <n v="67.900000000000006"/>
    <n v="0"/>
    <x v="2"/>
    <s v="中井駅"/>
    <n v="9"/>
    <n v="10"/>
    <n v="110380.12"/>
    <n v="232352.65"/>
    <n v="322"/>
    <n v="359"/>
    <s v="60-70"/>
    <x v="6"/>
  </r>
  <r>
    <s v="https://suumo.jp/chintai/jnc_000102238515/?bc=100467698724"/>
    <s v="エリシオン"/>
    <s v="東京都新宿区中落合４"/>
    <n v="255000"/>
    <n v="10000"/>
    <n v="255000"/>
    <n v="255000"/>
    <n v="3"/>
    <x v="8"/>
    <n v="67.900000000000006"/>
    <n v="0"/>
    <x v="2"/>
    <s v="中井駅"/>
    <n v="9"/>
    <n v="10"/>
    <n v="110380.12"/>
    <n v="232352.65"/>
    <n v="322"/>
    <n v="359"/>
    <s v="60-70"/>
    <x v="6"/>
  </r>
  <r>
    <s v="https://suumo.jp/chintai/jnc_000103662821/?bc=100472190249"/>
    <s v="クレヴィア新宿中落合WEST"/>
    <s v="東京都新宿区中落合１"/>
    <n v="260000"/>
    <n v="20000"/>
    <n v="260000"/>
    <n v="260000"/>
    <n v="5"/>
    <x v="8"/>
    <n v="54.51"/>
    <n v="3"/>
    <x v="10"/>
    <s v="中井駅"/>
    <n v="6"/>
    <n v="9"/>
    <n v="110380.12"/>
    <n v="232352.65"/>
    <n v="322"/>
    <n v="359"/>
    <s v="50-60"/>
    <x v="0"/>
  </r>
  <r>
    <s v="https://suumo.jp/chintai/jnc_000102417192/?bc=100466749206"/>
    <s v="クレヴィア新宿中落合WEST"/>
    <s v="東京都新宿区中落合１"/>
    <n v="280000"/>
    <n v="20000"/>
    <n v="280000"/>
    <n v="280000"/>
    <n v="5"/>
    <x v="8"/>
    <n v="54.51"/>
    <n v="3"/>
    <x v="10"/>
    <s v="中井駅"/>
    <n v="6"/>
    <n v="9"/>
    <n v="110380.12"/>
    <n v="232352.65"/>
    <n v="322"/>
    <n v="359"/>
    <s v="50-60"/>
    <x v="0"/>
  </r>
  <r>
    <s v="https://suumo.jp/chintai/jnc_000104464223/?bc=100485838270"/>
    <s v="パインヒル落合"/>
    <s v="東京都新宿区中落合４"/>
    <n v="210000"/>
    <n v="10000"/>
    <n v="210000"/>
    <n v="210000"/>
    <n v="2"/>
    <x v="8"/>
    <n v="74.7"/>
    <n v="35"/>
    <x v="2"/>
    <s v="中井駅"/>
    <n v="7"/>
    <n v="8.67"/>
    <n v="110380.12"/>
    <n v="232352.65"/>
    <n v="322"/>
    <n v="359"/>
    <s v="70-80"/>
    <x v="4"/>
  </r>
  <r>
    <s v="https://suumo.jp/chintai/jnc_000104186393/?bc=100483595576"/>
    <s v="フォレストハイツ"/>
    <s v="東京都新宿区中落合１"/>
    <n v="152000"/>
    <m/>
    <n v="152000"/>
    <n v="152000"/>
    <n v="1"/>
    <x v="8"/>
    <n v="57"/>
    <n v="30"/>
    <x v="0"/>
    <s v="中井駅"/>
    <n v="6"/>
    <n v="8.67"/>
    <n v="110380.12"/>
    <n v="232352.65"/>
    <n v="322"/>
    <n v="359"/>
    <s v="50-60"/>
    <x v="1"/>
  </r>
  <r>
    <s v="https://suumo.jp/chintai/jnc_000103150463/?bc=100475302072"/>
    <s v="プレジオ落合"/>
    <s v="東京都新宿区中落合１"/>
    <n v="132000"/>
    <n v="3000"/>
    <n v="132000"/>
    <n v="132000"/>
    <n v="4"/>
    <x v="8"/>
    <n v="49.58"/>
    <n v="31"/>
    <x v="4"/>
    <s v="中井駅"/>
    <n v="1"/>
    <n v="3.67"/>
    <n v="110380.12"/>
    <n v="232352.65"/>
    <n v="322"/>
    <n v="359"/>
    <s v="40-50"/>
    <x v="4"/>
  </r>
  <r>
    <s v="https://suumo.jp/chintai/jnc_000103473382/?bc=100477786108"/>
    <s v="東京メトロ東西線 落合駅 5階建 築23年"/>
    <s v="東京都新宿区上落合２"/>
    <n v="236000"/>
    <n v="14000"/>
    <n v="236000"/>
    <n v="236000"/>
    <n v="5"/>
    <x v="8"/>
    <n v="65"/>
    <n v="23"/>
    <x v="7"/>
    <s v="中井駅"/>
    <n v="3"/>
    <n v="3.5"/>
    <n v="110380.12"/>
    <n v="232352.65"/>
    <n v="322"/>
    <n v="359"/>
    <s v="60-70"/>
    <x v="1"/>
  </r>
  <r>
    <s v="https://suumo.jp/chintai/jnc_000103605210/?bc=100473970386"/>
    <s v="西武新宿線 中井駅 7階建 築18年"/>
    <s v="東京都新宿区中落合１"/>
    <n v="222000"/>
    <n v="25000"/>
    <n v="222000"/>
    <m/>
    <n v="7"/>
    <x v="8"/>
    <n v="61.57"/>
    <n v="18"/>
    <x v="10"/>
    <s v="中井駅"/>
    <n v="6"/>
    <n v="10.67"/>
    <n v="110380.12"/>
    <n v="232352.65"/>
    <n v="322"/>
    <n v="359"/>
    <s v="60-70"/>
    <x v="7"/>
  </r>
  <r>
    <s v="https://suumo.jp/chintai/jnc_000102709843/?bc=100467249061"/>
    <s v="西武新宿線 中井駅 7階建 築3年"/>
    <s v="東京都新宿区中落合１"/>
    <n v="280000"/>
    <n v="20000"/>
    <n v="280000"/>
    <n v="280000"/>
    <n v="5"/>
    <x v="8"/>
    <n v="54.51"/>
    <n v="3"/>
    <x v="10"/>
    <s v="中井駅"/>
    <n v="6"/>
    <n v="11.67"/>
    <n v="110380.12"/>
    <n v="232352.65"/>
    <n v="322"/>
    <n v="359"/>
    <s v="50-60"/>
    <x v="0"/>
  </r>
  <r>
    <s v="https://suumo.jp/chintai/jnc_000103117876/?bc=100475935066"/>
    <s v="シャルムMK"/>
    <s v="東京都新宿区上落合２"/>
    <n v="165000"/>
    <n v="5000"/>
    <n v="165000"/>
    <n v="165000"/>
    <n v="1"/>
    <x v="11"/>
    <n v="54.64"/>
    <n v="37"/>
    <x v="2"/>
    <s v="中井駅"/>
    <n v="5"/>
    <n v="6"/>
    <n v="110380.12"/>
    <n v="184333.33"/>
    <n v="322"/>
    <n v="18"/>
    <s v="50-60"/>
    <x v="4"/>
  </r>
  <r>
    <s v="https://suumo.jp/chintai/jnc_000104548554/?bc=100486445213"/>
    <s v="ファミール"/>
    <s v="東京都新宿区中落合１"/>
    <n v="195000"/>
    <n v="5000"/>
    <n v="195000"/>
    <n v="195000"/>
    <n v="3"/>
    <x v="11"/>
    <n v="79.489999999999995"/>
    <n v="45"/>
    <x v="2"/>
    <s v="中井駅"/>
    <n v="6"/>
    <n v="8.67"/>
    <n v="110380.12"/>
    <n v="184333.33"/>
    <n v="322"/>
    <n v="18"/>
    <s v="70-80"/>
    <x v="3"/>
  </r>
  <r>
    <s v="https://suumo.jp/chintai/jnc_000099161249/?bc=100477977460"/>
    <s v="都営大江戸線 中井駅 地上2階建 築50年"/>
    <s v="東京都新宿区中井２"/>
    <n v="148000"/>
    <m/>
    <n v="148000"/>
    <n v="148000"/>
    <n v="1"/>
    <x v="12"/>
    <n v="46.26"/>
    <n v="50"/>
    <x v="0"/>
    <s v="中井駅"/>
    <n v="6"/>
    <n v="10"/>
    <n v="110380.12"/>
    <n v="163600"/>
    <n v="322"/>
    <n v="5"/>
    <s v="40-50"/>
    <x v="3"/>
  </r>
  <r>
    <s v="https://suumo.jp/chintai/jnc_000099161249/?bc=100477977460"/>
    <s v="都営大江戸線 中井駅 地上2階建 築50年"/>
    <s v="東京都新宿区中井２"/>
    <n v="148000"/>
    <m/>
    <n v="148000"/>
    <n v="148000"/>
    <n v="2"/>
    <x v="12"/>
    <n v="46.26"/>
    <n v="50"/>
    <x v="0"/>
    <s v="中井駅"/>
    <n v="6"/>
    <n v="10"/>
    <n v="110380.12"/>
    <n v="163600"/>
    <n v="322"/>
    <n v="5"/>
    <s v="40-50"/>
    <x v="3"/>
  </r>
  <r>
    <s v="https://suumo.jp/chintai/jnc_000102979649/?bc=100473944707"/>
    <s v="アトラス・モリト"/>
    <s v="東京都中野区上高田４"/>
    <n v="226000"/>
    <n v="4000"/>
    <n v="226000"/>
    <n v="226000"/>
    <n v="1"/>
    <x v="13"/>
    <n v="64.75"/>
    <n v="30"/>
    <x v="4"/>
    <s v="中井駅"/>
    <n v="7"/>
    <n v="10.33"/>
    <n v="110380.12"/>
    <n v="288705.81"/>
    <n v="322"/>
    <n v="155"/>
    <s v="60-70"/>
    <x v="1"/>
  </r>
  <r>
    <s v="https://suumo.jp/chintai/jnc_000102238517/?bc=100467698729"/>
    <s v="エリシオン"/>
    <s v="東京都新宿区中落合４"/>
    <n v="290000"/>
    <n v="10000"/>
    <n v="290000"/>
    <n v="290000"/>
    <n v="1"/>
    <x v="13"/>
    <n v="76.38"/>
    <n v="0"/>
    <x v="2"/>
    <s v="中井駅"/>
    <n v="9"/>
    <n v="10"/>
    <n v="110380.12"/>
    <n v="288705.81"/>
    <n v="322"/>
    <n v="155"/>
    <s v="70-80"/>
    <x v="6"/>
  </r>
  <r>
    <s v="https://suumo.jp/chintai/jnc_000102238517/?bc=100467698729"/>
    <s v="エリシオン"/>
    <s v="東京都新宿区中落合４"/>
    <n v="290000"/>
    <n v="10000"/>
    <n v="290000"/>
    <n v="290000"/>
    <n v="2"/>
    <x v="13"/>
    <n v="76.38"/>
    <n v="0"/>
    <x v="2"/>
    <s v="中井駅"/>
    <n v="9"/>
    <n v="10"/>
    <n v="110380.12"/>
    <n v="288705.81"/>
    <n v="322"/>
    <n v="155"/>
    <s v="70-80"/>
    <x v="6"/>
  </r>
  <r>
    <s v="https://suumo.jp/chintai/jnc_000102238517/?bc=100467698729"/>
    <s v="エリシオン"/>
    <s v="東京都新宿区中落合４"/>
    <n v="290000"/>
    <n v="10000"/>
    <n v="290000"/>
    <n v="290000"/>
    <n v="3"/>
    <x v="13"/>
    <n v="76.38"/>
    <n v="0"/>
    <x v="2"/>
    <s v="中井駅"/>
    <n v="9"/>
    <n v="10"/>
    <n v="110380.12"/>
    <n v="288705.81"/>
    <n v="322"/>
    <n v="155"/>
    <s v="70-80"/>
    <x v="6"/>
  </r>
  <r>
    <s v="https://suumo.jp/chintai/jnc_000102238519/?bc=100467698733"/>
    <s v="エリシオン"/>
    <s v="東京都新宿区中落合４"/>
    <n v="300000"/>
    <n v="10000"/>
    <n v="300000"/>
    <n v="300000"/>
    <n v="1"/>
    <x v="13"/>
    <n v="78.87"/>
    <n v="0"/>
    <x v="2"/>
    <s v="中井駅"/>
    <n v="9"/>
    <n v="10"/>
    <n v="110380.12"/>
    <n v="288705.81"/>
    <n v="322"/>
    <n v="155"/>
    <s v="70-80"/>
    <x v="6"/>
  </r>
  <r>
    <s v="https://suumo.jp/chintai/jnc_000102238519/?bc=100467698733"/>
    <s v="エリシオン"/>
    <s v="東京都新宿区中落合４"/>
    <n v="300000"/>
    <n v="10000"/>
    <n v="300000"/>
    <n v="300000"/>
    <n v="2"/>
    <x v="13"/>
    <n v="78.87"/>
    <n v="0"/>
    <x v="2"/>
    <s v="中井駅"/>
    <n v="9"/>
    <n v="10"/>
    <n v="110380.12"/>
    <n v="288705.81"/>
    <n v="322"/>
    <n v="155"/>
    <s v="70-80"/>
    <x v="6"/>
  </r>
  <r>
    <s v="https://suumo.jp/chintai/jnc_000102238519/?bc=100467698733"/>
    <s v="エリシオン"/>
    <s v="東京都新宿区中落合４"/>
    <n v="300000"/>
    <n v="10000"/>
    <n v="300000"/>
    <n v="300000"/>
    <n v="3"/>
    <x v="13"/>
    <n v="78.87"/>
    <n v="0"/>
    <x v="2"/>
    <s v="中井駅"/>
    <n v="9"/>
    <n v="10"/>
    <n v="110380.12"/>
    <n v="288705.81"/>
    <n v="322"/>
    <n v="155"/>
    <s v="70-80"/>
    <x v="6"/>
  </r>
  <r>
    <s v="https://suumo.jp/chintai/jnc_000102238516/?bc=100467698727"/>
    <s v="エリシオン"/>
    <s v="東京都新宿区中落合４"/>
    <n v="280000"/>
    <n v="10000"/>
    <n v="280000"/>
    <n v="280000"/>
    <n v="1"/>
    <x v="13"/>
    <n v="68.11"/>
    <n v="0"/>
    <x v="2"/>
    <s v="中井駅"/>
    <n v="9"/>
    <n v="10"/>
    <n v="110380.12"/>
    <n v="288705.81"/>
    <n v="322"/>
    <n v="155"/>
    <s v="60-70"/>
    <x v="6"/>
  </r>
  <r>
    <s v="https://suumo.jp/chintai/jnc_000102238518/?bc=100467698728"/>
    <s v="エリシオン"/>
    <s v="東京都新宿区中落合４"/>
    <n v="295000"/>
    <n v="10000"/>
    <n v="295000"/>
    <n v="295000"/>
    <n v="1"/>
    <x v="13"/>
    <n v="70.599999999999994"/>
    <n v="0"/>
    <x v="2"/>
    <s v="中井駅"/>
    <n v="9"/>
    <n v="10"/>
    <n v="110380.12"/>
    <n v="288705.81"/>
    <n v="322"/>
    <n v="155"/>
    <s v="70-80"/>
    <x v="6"/>
  </r>
  <r>
    <s v="https://suumo.jp/chintai/jnc_000103976336/?bc=100482171337"/>
    <s v="ガーデンコートT"/>
    <s v="東京都新宿区上落合２"/>
    <n v="315000"/>
    <m/>
    <n v="315000"/>
    <n v="378000"/>
    <n v="4"/>
    <x v="13"/>
    <n v="84.25"/>
    <n v="23"/>
    <x v="7"/>
    <s v="中井駅"/>
    <n v="3"/>
    <n v="6"/>
    <n v="110380.12"/>
    <n v="288705.81"/>
    <n v="322"/>
    <n v="155"/>
    <s v="80-90"/>
    <x v="1"/>
  </r>
  <r>
    <s v="https://suumo.jp/chintai/jnc_000101329212/?bc=100465659542"/>
    <s v="ニューハイツ中落合"/>
    <s v="東京都新宿区中落合１"/>
    <n v="210000"/>
    <n v="10000"/>
    <n v="210000"/>
    <n v="210000"/>
    <n v="5"/>
    <x v="13"/>
    <n v="71.58"/>
    <n v="43"/>
    <x v="5"/>
    <s v="中井駅"/>
    <n v="5"/>
    <n v="6"/>
    <n v="110380.12"/>
    <n v="288705.81"/>
    <n v="322"/>
    <n v="155"/>
    <s v="70-80"/>
    <x v="3"/>
  </r>
  <r>
    <s v="https://suumo.jp/chintai/jnc_000104464222/?bc=100463210401"/>
    <s v="中落合東豊エステート"/>
    <s v="東京都新宿区中落合２"/>
    <n v="210000"/>
    <n v="15000"/>
    <n v="210000"/>
    <n v="210000"/>
    <n v="2"/>
    <x v="13"/>
    <n v="68.14"/>
    <n v="55"/>
    <x v="6"/>
    <s v="中井駅"/>
    <n v="7"/>
    <n v="9.33"/>
    <n v="110380.12"/>
    <n v="288705.81"/>
    <n v="322"/>
    <n v="155"/>
    <s v="60-70"/>
    <x v="5"/>
  </r>
  <r>
    <s v="https://suumo.jp/chintai/jnc_000101771127/?bc=100469400092"/>
    <s v="中落合東豊エステート"/>
    <s v="東京都新宿区中落合２"/>
    <n v="230000"/>
    <n v="15000"/>
    <n v="230000"/>
    <n v="230000"/>
    <n v="2"/>
    <x v="13"/>
    <n v="68.14"/>
    <n v="55"/>
    <x v="6"/>
    <s v="中井駅"/>
    <n v="7"/>
    <n v="9.33"/>
    <n v="110380.12"/>
    <n v="288705.81"/>
    <n v="322"/>
    <n v="155"/>
    <s v="60-70"/>
    <x v="5"/>
  </r>
  <r>
    <s v="https://suumo.jp/chintai/jnc_000101777014/?bc=100464415088"/>
    <s v="西武新宿線 中井駅 9階建 築55年"/>
    <s v="東京都新宿区中落合２"/>
    <n v="230000"/>
    <n v="15000"/>
    <n v="230000"/>
    <n v="230000"/>
    <n v="2"/>
    <x v="13"/>
    <n v="68.14"/>
    <n v="55"/>
    <x v="6"/>
    <s v="中井駅"/>
    <n v="7"/>
    <n v="13.67"/>
    <n v="110380.12"/>
    <n v="288705.81"/>
    <n v="322"/>
    <n v="155"/>
    <s v="60-70"/>
    <x v="5"/>
  </r>
  <r>
    <s v="https://suumo.jp/chintai/jnc_000098026966/?bc=100483859922"/>
    <s v="西武新宿線 中井駅 地上3階建 築10年"/>
    <s v="東京都新宿区中落合４"/>
    <n v="278000"/>
    <m/>
    <n v="278000"/>
    <n v="278000"/>
    <n v="1"/>
    <x v="13"/>
    <n v="67.95"/>
    <n v="10"/>
    <x v="2"/>
    <s v="中井駅"/>
    <n v="8"/>
    <n v="11.67"/>
    <n v="110380.12"/>
    <n v="288705.81"/>
    <n v="322"/>
    <n v="155"/>
    <s v="60-70"/>
    <x v="0"/>
  </r>
  <r>
    <s v="https://suumo.jp/chintai/jnc_000098026966/?bc=100483859922"/>
    <s v="西武新宿線 中井駅 地上3階建 築10年"/>
    <s v="東京都新宿区中落合４"/>
    <n v="278000"/>
    <m/>
    <n v="278000"/>
    <n v="278000"/>
    <n v="2"/>
    <x v="13"/>
    <n v="67.95"/>
    <n v="10"/>
    <x v="2"/>
    <s v="中井駅"/>
    <n v="8"/>
    <n v="11.67"/>
    <n v="110380.12"/>
    <n v="288705.81"/>
    <n v="322"/>
    <n v="155"/>
    <s v="60-70"/>
    <x v="0"/>
  </r>
  <r>
    <s v="https://suumo.jp/chintai/jnc_000098026966/?bc=100483859922"/>
    <s v="西武新宿線 中井駅 地上3階建 築10年"/>
    <s v="東京都新宿区中落合４"/>
    <n v="278000"/>
    <m/>
    <n v="278000"/>
    <n v="278000"/>
    <n v="3"/>
    <x v="13"/>
    <n v="67.95"/>
    <n v="10"/>
    <x v="2"/>
    <s v="中井駅"/>
    <n v="8"/>
    <n v="11.67"/>
    <n v="110380.12"/>
    <n v="288705.81"/>
    <n v="322"/>
    <n v="155"/>
    <s v="60-70"/>
    <x v="0"/>
  </r>
  <r>
    <s v="https://suumo.jp/chintai/jnc_000103144296/?bc=100475266420"/>
    <s v="都営大江戸線 中井駅 4階建 築30年"/>
    <s v="東京都中野区上高田４"/>
    <n v="226000"/>
    <n v="4000"/>
    <n v="226000"/>
    <n v="226000"/>
    <n v="1"/>
    <x v="13"/>
    <n v="64.75"/>
    <n v="30"/>
    <x v="4"/>
    <s v="中井駅"/>
    <n v="7"/>
    <n v="10.33"/>
    <n v="110380.12"/>
    <n v="288705.81"/>
    <n v="322"/>
    <n v="155"/>
    <s v="60-70"/>
    <x v="1"/>
  </r>
  <r>
    <s v="https://suumo.jp/chintai/jnc_000102971543/?bc=100483193855"/>
    <s v="ウェルスクエアイズム中野坂上"/>
    <s v="東京都中野区中野１"/>
    <n v="146000"/>
    <n v="8000"/>
    <m/>
    <n v="146000"/>
    <n v="2"/>
    <x v="1"/>
    <n v="27.13"/>
    <n v="7"/>
    <x v="4"/>
    <s v="中野坂上駅"/>
    <n v="9"/>
    <n v="11.67"/>
    <n v="125484.85"/>
    <n v="123325.96"/>
    <n v="33"/>
    <n v="339"/>
    <s v="20-30"/>
    <x v="0"/>
  </r>
  <r>
    <s v="https://suumo.jp/chintai/jnc_000102979672/?bc=100474749778"/>
    <s v="東京メトロ丸ノ内線 中野坂上駅 4階建 築6年"/>
    <s v="東京都中野区中野１"/>
    <n v="146000"/>
    <n v="8000"/>
    <m/>
    <n v="146000"/>
    <n v="2"/>
    <x v="1"/>
    <n v="27.13"/>
    <n v="6"/>
    <x v="4"/>
    <s v="中野坂上駅"/>
    <n v="9"/>
    <n v="13.33"/>
    <n v="125484.85"/>
    <n v="123325.96"/>
    <n v="33"/>
    <n v="339"/>
    <s v="20-30"/>
    <x v="0"/>
  </r>
  <r>
    <s v="https://suumo.jp/chintai/jnc_000103690587/?bc=100479887194"/>
    <s v="エルファーロ中野坂上"/>
    <s v="東京都中野区中央２"/>
    <n v="118000"/>
    <n v="12000"/>
    <n v="118000"/>
    <n v="118000"/>
    <n v="3"/>
    <x v="2"/>
    <n v="21.6"/>
    <n v="2"/>
    <x v="4"/>
    <s v="中野坂上駅"/>
    <n v="7"/>
    <n v="11.33"/>
    <n v="125484.85"/>
    <n v="95329.65"/>
    <n v="33"/>
    <n v="1622"/>
    <s v="20-30"/>
    <x v="0"/>
  </r>
  <r>
    <s v="https://suumo.jp/chintai/jnc_000103090318/?bc=100474930104"/>
    <s v="ルーブル中野坂上"/>
    <s v="東京都中野区中央１"/>
    <n v="97000"/>
    <n v="15000"/>
    <m/>
    <n v="97000"/>
    <n v="12"/>
    <x v="2"/>
    <n v="21.18"/>
    <n v="25"/>
    <x v="3"/>
    <s v="中野坂上駅"/>
    <n v="4"/>
    <n v="9"/>
    <n v="125484.85"/>
    <n v="95329.65"/>
    <n v="33"/>
    <n v="1622"/>
    <s v="20-30"/>
    <x v="1"/>
  </r>
  <r>
    <s v="https://suumo.jp/chintai/jnc_000104108076/?bc=100483127693"/>
    <s v="ルーブル中野坂上伍番館"/>
    <s v="東京都中野区東中野１"/>
    <n v="117000"/>
    <n v="10000"/>
    <m/>
    <n v="117000"/>
    <n v="2"/>
    <x v="2"/>
    <n v="25.23"/>
    <n v="13"/>
    <x v="10"/>
    <s v="中野坂上駅"/>
    <n v="7"/>
    <n v="10.67"/>
    <n v="125484.85"/>
    <n v="95329.65"/>
    <n v="33"/>
    <n v="1622"/>
    <s v="20-30"/>
    <x v="7"/>
  </r>
  <r>
    <s v="https://suumo.jp/chintai/jnc_000041187186/?bc=100485606339"/>
    <s v="レガロ中野坂上"/>
    <s v="東京都中野区東中野２"/>
    <n v="89000"/>
    <n v="10000"/>
    <m/>
    <n v="89000"/>
    <n v="2"/>
    <x v="2"/>
    <n v="21.94"/>
    <n v="21"/>
    <x v="6"/>
    <s v="中野坂上駅"/>
    <n v="5"/>
    <n v="10"/>
    <n v="125484.85"/>
    <n v="95329.65"/>
    <n v="33"/>
    <n v="1622"/>
    <s v="20-30"/>
    <x v="1"/>
  </r>
  <r>
    <s v="https://suumo.jp/chintai/jnc_000104499536/?bc=100486125289"/>
    <s v="レガロ中野坂上"/>
    <s v="東京都中野区東中野２"/>
    <n v="98000"/>
    <n v="12000"/>
    <n v="98000"/>
    <n v="98000"/>
    <n v="8"/>
    <x v="2"/>
    <n v="21.78"/>
    <n v="21"/>
    <x v="6"/>
    <s v="中野坂上駅"/>
    <n v="5"/>
    <n v="10"/>
    <n v="125484.85"/>
    <n v="95329.65"/>
    <n v="33"/>
    <n v="1622"/>
    <s v="20-30"/>
    <x v="1"/>
  </r>
  <r>
    <s v="https://suumo.jp/chintai/jnc_000103111351/?bc=100482767119"/>
    <s v="先山邸"/>
    <s v="東京都中野区中央１"/>
    <n v="80000"/>
    <n v="3000"/>
    <n v="80000"/>
    <m/>
    <n v="2"/>
    <x v="2"/>
    <n v="21.48"/>
    <n v="60"/>
    <x v="0"/>
    <s v="中野坂上駅"/>
    <n v="8"/>
    <n v="11"/>
    <n v="125484.85"/>
    <n v="95329.65"/>
    <n v="33"/>
    <n v="1622"/>
    <s v="20-30"/>
    <x v="5"/>
  </r>
  <r>
    <s v="https://suumo.jp/chintai/jnc_000103111352/?bc=100474931746"/>
    <s v="東京メトロ丸ノ内線 中野坂上駅 12階建 築25年"/>
    <s v="東京都中野区中央１"/>
    <n v="97000"/>
    <n v="15000"/>
    <m/>
    <n v="97000"/>
    <n v="12"/>
    <x v="2"/>
    <n v="21.18"/>
    <n v="25"/>
    <x v="3"/>
    <s v="中野坂上駅"/>
    <n v="4"/>
    <n v="9"/>
    <n v="125484.85"/>
    <n v="95329.65"/>
    <n v="33"/>
    <n v="1622"/>
    <s v="20-30"/>
    <x v="1"/>
  </r>
  <r>
    <s v="https://suumo.jp/chintai/jnc_000103099945/?bc=100475104590"/>
    <s v="東京メトロ丸ノ内線 中野坂上駅 2階建 築60年"/>
    <s v="東京都中野区中央１"/>
    <n v="80000"/>
    <n v="3000"/>
    <n v="80000"/>
    <m/>
    <n v="2"/>
    <x v="2"/>
    <n v="21.48"/>
    <n v="60"/>
    <x v="0"/>
    <s v="中野坂上駅"/>
    <n v="7"/>
    <n v="10.67"/>
    <n v="125484.85"/>
    <n v="95329.65"/>
    <n v="33"/>
    <n v="1622"/>
    <s v="20-30"/>
    <x v="5"/>
  </r>
  <r>
    <s v="https://suumo.jp/chintai/jnc_000104532491/?bc=100486355279"/>
    <s v="東京メトロ丸ノ内線 中野坂上駅 4階建 築21年"/>
    <s v="東京都中野区中野１"/>
    <n v="83000"/>
    <n v="7000"/>
    <n v="83000"/>
    <n v="83000"/>
    <n v="1"/>
    <x v="2"/>
    <n v="19.87"/>
    <n v="21"/>
    <x v="4"/>
    <s v="中野坂上駅"/>
    <n v="8"/>
    <n v="12.67"/>
    <n v="125484.85"/>
    <n v="95329.65"/>
    <n v="33"/>
    <n v="1622"/>
    <s v="10-20"/>
    <x v="1"/>
  </r>
  <r>
    <s v="https://suumo.jp/chintai/jnc_000103702511/?bc=100480563611"/>
    <s v="東京メトロ丸ノ内線 中野坂上駅 4階建 築2年"/>
    <s v="東京都中野区中央２"/>
    <n v="118000"/>
    <n v="12000"/>
    <n v="118000"/>
    <n v="118000"/>
    <n v="3"/>
    <x v="2"/>
    <n v="21.6"/>
    <n v="2"/>
    <x v="4"/>
    <s v="中野坂上駅"/>
    <n v="9"/>
    <n v="12.33"/>
    <n v="125484.85"/>
    <n v="95329.65"/>
    <n v="33"/>
    <n v="1622"/>
    <s v="20-30"/>
    <x v="0"/>
  </r>
  <r>
    <s v="https://suumo.jp/chintai/jnc_000104108077/?bc=100483526640"/>
    <s v="東京メトロ丸ノ内線 中野坂上駅 7階建 築13年"/>
    <s v="東京都中野区東中野１"/>
    <n v="117000"/>
    <n v="10000"/>
    <m/>
    <n v="117000"/>
    <n v="2"/>
    <x v="2"/>
    <n v="25.23"/>
    <n v="13"/>
    <x v="10"/>
    <s v="中野坂上駅"/>
    <n v="7"/>
    <n v="10.33"/>
    <n v="125484.85"/>
    <n v="95329.65"/>
    <n v="33"/>
    <n v="1622"/>
    <s v="20-30"/>
    <x v="7"/>
  </r>
  <r>
    <s v="https://suumo.jp/chintai/jnc_000104426279/?bc=100485605832"/>
    <s v="東京メトロ丸ノ内線 中野坂上駅 9階建 築21年"/>
    <s v="東京都中野区東中野２"/>
    <n v="89000"/>
    <n v="10000"/>
    <m/>
    <n v="89000"/>
    <n v="2"/>
    <x v="2"/>
    <n v="21.94"/>
    <n v="21"/>
    <x v="6"/>
    <s v="中野坂上駅"/>
    <n v="5"/>
    <n v="10"/>
    <n v="125484.85"/>
    <n v="95329.65"/>
    <n v="33"/>
    <n v="1622"/>
    <s v="20-30"/>
    <x v="1"/>
  </r>
  <r>
    <s v="https://suumo.jp/chintai/jnc_000104499537/?bc=100486161094"/>
    <s v="東京メトロ丸ノ内線 中野坂上駅 9階建 築21年"/>
    <s v="東京都中野区東中野２"/>
    <n v="98000"/>
    <n v="12000"/>
    <n v="98000"/>
    <n v="98000"/>
    <n v="8"/>
    <x v="2"/>
    <n v="21.78"/>
    <n v="21"/>
    <x v="6"/>
    <s v="中野坂上駅"/>
    <n v="5"/>
    <n v="10"/>
    <n v="125484.85"/>
    <n v="95329.65"/>
    <n v="33"/>
    <n v="1622"/>
    <s v="20-30"/>
    <x v="1"/>
  </r>
  <r>
    <s v="https://suumo.jp/chintai/jnc_000103780377/?bc=100480582071"/>
    <s v="アプリーレ東中野"/>
    <s v="東京都中野区東中野２"/>
    <n v="220000"/>
    <n v="10000"/>
    <n v="220000"/>
    <n v="220000"/>
    <n v="3"/>
    <x v="3"/>
    <n v="41.7"/>
    <n v="8"/>
    <x v="6"/>
    <s v="中野坂上駅"/>
    <n v="9"/>
    <n v="11.67"/>
    <n v="125484.85"/>
    <n v="168453.81"/>
    <n v="33"/>
    <n v="788"/>
    <s v="40-50"/>
    <x v="0"/>
  </r>
  <r>
    <s v="https://suumo.jp/chintai/jnc_000102109240/?bc=100466911222"/>
    <s v="アプリーレ東中野"/>
    <s v="東京都中野区東中野２"/>
    <n v="164000"/>
    <n v="10000"/>
    <n v="164000"/>
    <m/>
    <n v="4"/>
    <x v="3"/>
    <n v="31.52"/>
    <n v="8"/>
    <x v="6"/>
    <s v="中野坂上駅"/>
    <n v="9"/>
    <n v="11.67"/>
    <n v="125484.85"/>
    <n v="168453.81"/>
    <n v="33"/>
    <n v="788"/>
    <s v="30-40"/>
    <x v="0"/>
  </r>
  <r>
    <s v="https://suumo.jp/chintai/jnc_000103424497/?bc=100477444702"/>
    <s v="プリューム中野坂上"/>
    <s v="東京都中野区東中野２"/>
    <n v="200000"/>
    <n v="12000"/>
    <n v="200000"/>
    <n v="300000"/>
    <n v="4"/>
    <x v="3"/>
    <n v="46.6"/>
    <n v="4"/>
    <x v="1"/>
    <s v="中野坂上駅"/>
    <n v="7"/>
    <n v="10.33"/>
    <n v="125484.85"/>
    <n v="168453.81"/>
    <n v="33"/>
    <n v="788"/>
    <s v="40-50"/>
    <x v="0"/>
  </r>
  <r>
    <s v="https://suumo.jp/chintai/jnc_000104241722/?bc=100484216834"/>
    <s v="ラミィ中野坂上"/>
    <s v="東京都中野区東中野１"/>
    <n v="177000"/>
    <n v="15000"/>
    <m/>
    <m/>
    <n v="2"/>
    <x v="3"/>
    <n v="30.8"/>
    <n v="1"/>
    <x v="7"/>
    <s v="中野坂上駅"/>
    <n v="6"/>
    <n v="9.33"/>
    <n v="125484.85"/>
    <n v="168453.81"/>
    <n v="33"/>
    <n v="788"/>
    <s v="30-40"/>
    <x v="0"/>
  </r>
  <r>
    <s v="https://suumo.jp/chintai/jnc_000104235939/?bc=100484190069"/>
    <s v="東京メトロ丸ノ内線 中野坂上駅 5階建 築1年"/>
    <s v="東京都中野区東中野１"/>
    <n v="177000"/>
    <n v="15000"/>
    <m/>
    <m/>
    <n v="2"/>
    <x v="3"/>
    <n v="30.8"/>
    <n v="1"/>
    <x v="7"/>
    <s v="中野坂上駅"/>
    <n v="6"/>
    <n v="9.33"/>
    <n v="125484.85"/>
    <n v="168453.81"/>
    <n v="33"/>
    <n v="788"/>
    <s v="30-40"/>
    <x v="0"/>
  </r>
  <r>
    <s v="https://suumo.jp/chintai/jnc_000103717514/?bc=100480390326"/>
    <s v="東京メトロ丸ノ内線 中野坂上駅 地下1地上10階建 築19年"/>
    <s v="東京都中野区中央２"/>
    <n v="165000"/>
    <n v="5000"/>
    <n v="165000"/>
    <n v="165000"/>
    <n v="7"/>
    <x v="3"/>
    <n v="39.25"/>
    <n v="19"/>
    <x v="8"/>
    <s v="中野坂上駅"/>
    <n v="3"/>
    <n v="11"/>
    <n v="125484.85"/>
    <n v="168453.81"/>
    <n v="33"/>
    <n v="788"/>
    <s v="30-40"/>
    <x v="7"/>
  </r>
  <r>
    <s v="https://suumo.jp/chintai/jnc_000104060449/?bc=100483495382"/>
    <s v="TOP中野第5"/>
    <s v="東京都中野区中央２"/>
    <n v="56000"/>
    <n v="3000"/>
    <m/>
    <m/>
    <n v="3"/>
    <x v="0"/>
    <n v="14.1"/>
    <n v="41"/>
    <x v="4"/>
    <s v="中野坂上駅"/>
    <n v="5"/>
    <n v="10"/>
    <n v="125484.85"/>
    <n v="77692.34"/>
    <n v="33"/>
    <n v="1071"/>
    <s v="10-20"/>
    <x v="3"/>
  </r>
  <r>
    <s v="https://suumo.jp/chintai/jnc_000103891844/?bc=100485748040"/>
    <s v="myplan中野坂上（マイプラン中野坂上）"/>
    <s v="東京都中野区中央１"/>
    <n v="64000"/>
    <n v="10000"/>
    <m/>
    <m/>
    <n v="2"/>
    <x v="0"/>
    <n v="11.38"/>
    <n v="10"/>
    <x v="0"/>
    <s v="中野坂上駅"/>
    <n v="5"/>
    <n v="10.67"/>
    <n v="125484.85"/>
    <n v="77692.34"/>
    <n v="33"/>
    <n v="1071"/>
    <s v="10-20"/>
    <x v="0"/>
  </r>
  <r>
    <s v="https://suumo.jp/chintai/jnc_000104086240/?bc=100483328076"/>
    <s v="フィリップ東中野"/>
    <s v="東京都中野区東中野２"/>
    <n v="74000"/>
    <n v="5000"/>
    <n v="74000"/>
    <n v="74000"/>
    <n v="1"/>
    <x v="0"/>
    <n v="9.01"/>
    <n v="9"/>
    <x v="0"/>
    <s v="中野坂上駅"/>
    <n v="8"/>
    <n v="12"/>
    <n v="125484.85"/>
    <n v="77692.34"/>
    <n v="33"/>
    <n v="1071"/>
    <s v="&lt;10"/>
    <x v="0"/>
  </r>
  <r>
    <s v="https://suumo.jp/chintai/jnc_000065311091/?bc=100479922379"/>
    <s v="メゾン中央"/>
    <s v="東京都中野区中央２"/>
    <n v="66000"/>
    <n v="2000"/>
    <n v="66000"/>
    <m/>
    <n v="1"/>
    <x v="0"/>
    <n v="17"/>
    <n v="37"/>
    <x v="4"/>
    <s v="中野坂上駅"/>
    <n v="7"/>
    <n v="12.33"/>
    <n v="125484.85"/>
    <n v="77692.34"/>
    <n v="33"/>
    <n v="1071"/>
    <s v="10-20"/>
    <x v="4"/>
  </r>
  <r>
    <s v="https://suumo.jp/chintai/jnc_000104335107/?bc=100484936465"/>
    <s v="ライトテラス中野坂上"/>
    <s v="東京都中野区中央１"/>
    <n v="115000"/>
    <n v="25000"/>
    <m/>
    <m/>
    <n v="3"/>
    <x v="0"/>
    <n v="25.14"/>
    <n v="8"/>
    <x v="4"/>
    <s v="中野坂上駅"/>
    <n v="8"/>
    <n v="11.67"/>
    <n v="125484.85"/>
    <n v="77692.34"/>
    <n v="33"/>
    <n v="1071"/>
    <s v="20-30"/>
    <x v="0"/>
  </r>
  <r>
    <s v="https://suumo.jp/chintai/jnc_000104101590/?bc=100483478822"/>
    <s v="東京メトロ丸ノ内線 中野坂上駅 2階建 築9年"/>
    <s v="東京都中野区東中野２"/>
    <n v="74000"/>
    <n v="5000"/>
    <n v="74000"/>
    <n v="74000"/>
    <n v="1"/>
    <x v="0"/>
    <n v="9.01"/>
    <n v="9"/>
    <x v="0"/>
    <s v="中野坂上駅"/>
    <n v="8"/>
    <n v="11.67"/>
    <n v="125484.85"/>
    <n v="77692.34"/>
    <n v="33"/>
    <n v="1071"/>
    <s v="&lt;10"/>
    <x v="0"/>
  </r>
  <r>
    <s v="https://suumo.jp/chintai/jnc_000103663176/?bc=100479877513"/>
    <s v="都営大江戸線 中野坂上駅 4階建 築37年"/>
    <s v="東京都中野区中央２"/>
    <n v="66000"/>
    <n v="2000"/>
    <n v="66000"/>
    <m/>
    <n v="1"/>
    <x v="0"/>
    <n v="17"/>
    <n v="37"/>
    <x v="4"/>
    <s v="中野坂上駅"/>
    <n v="7"/>
    <n v="12.33"/>
    <n v="125484.85"/>
    <n v="77692.34"/>
    <n v="33"/>
    <n v="1071"/>
    <s v="10-20"/>
    <x v="4"/>
  </r>
  <r>
    <s v="https://suumo.jp/chintai/jnc_000101259028/?bc=100481332380"/>
    <s v="宮園キャピタルマンション"/>
    <s v="東京都中野区東中野２"/>
    <n v="150000"/>
    <m/>
    <n v="150000"/>
    <n v="150000"/>
    <n v="3"/>
    <x v="6"/>
    <n v="35.1"/>
    <n v="56"/>
    <x v="3"/>
    <s v="中野坂上駅"/>
    <n v="5"/>
    <n v="8.67"/>
    <n v="125484.85"/>
    <n v="141491.45000000001"/>
    <n v="33"/>
    <n v="117"/>
    <s v="30-40"/>
    <x v="5"/>
  </r>
  <r>
    <s v="https://suumo.jp/chintai/jnc_000101241253/?bc=100480555879"/>
    <s v="東京メトロ丸ノ内線 中野坂上駅 12階建 築56年"/>
    <s v="東京都中野区東中野２"/>
    <n v="150000"/>
    <m/>
    <n v="150000"/>
    <n v="150000"/>
    <n v="3"/>
    <x v="6"/>
    <n v="35.1"/>
    <n v="56"/>
    <x v="3"/>
    <s v="中野坂上駅"/>
    <n v="5"/>
    <n v="8.67"/>
    <n v="125484.85"/>
    <n v="141491.45000000001"/>
    <n v="33"/>
    <n v="117"/>
    <s v="30-40"/>
    <x v="5"/>
  </r>
  <r>
    <s v="https://suumo.jp/chintai/jnc_000103864705/?bc=100481651226"/>
    <s v="プリューム中野坂上"/>
    <s v="東京都中野区東中野２"/>
    <n v="155000"/>
    <n v="12000"/>
    <n v="155000"/>
    <n v="232500"/>
    <n v="6"/>
    <x v="7"/>
    <n v="32.56"/>
    <n v="4"/>
    <x v="1"/>
    <s v="中野坂上駅"/>
    <n v="7"/>
    <n v="10.33"/>
    <n v="125484.85"/>
    <n v="117441.44"/>
    <n v="33"/>
    <n v="111"/>
    <s v="30-40"/>
    <x v="0"/>
  </r>
  <r>
    <s v="https://suumo.jp/chintai/jnc_000103780378/?bc=100480866529"/>
    <s v="アプリーレ東中野"/>
    <s v="東京都中野区東中野２"/>
    <n v="225000"/>
    <n v="10000"/>
    <n v="225000"/>
    <n v="225000"/>
    <n v="7"/>
    <x v="8"/>
    <n v="41.7"/>
    <n v="8"/>
    <x v="6"/>
    <s v="中野坂上駅"/>
    <n v="9"/>
    <n v="11.67"/>
    <n v="125484.85"/>
    <n v="232352.65"/>
    <n v="33"/>
    <n v="359"/>
    <s v="40-50"/>
    <x v="0"/>
  </r>
  <r>
    <s v="https://suumo.jp/chintai/jnc_000104392269/?bc=100485316342"/>
    <s v="中野坂上パーク・ホームズ"/>
    <s v="東京都中野区中央１"/>
    <n v="270000"/>
    <m/>
    <n v="540000"/>
    <n v="270000"/>
    <n v="2"/>
    <x v="8"/>
    <n v="61.29"/>
    <n v="26"/>
    <x v="6"/>
    <s v="中野坂上駅"/>
    <n v="6"/>
    <n v="11.33"/>
    <n v="125484.85"/>
    <n v="232352.65"/>
    <n v="33"/>
    <n v="359"/>
    <s v="60-70"/>
    <x v="1"/>
  </r>
  <r>
    <s v="https://suumo.jp/chintai/jnc_000104317205/?bc=100485180460"/>
    <s v="ALTERNA中野"/>
    <s v="東京都中野区中野５"/>
    <n v="151000"/>
    <n v="10000"/>
    <m/>
    <m/>
    <n v="3"/>
    <x v="1"/>
    <n v="27.96"/>
    <n v="3"/>
    <x v="8"/>
    <s v="中野駅"/>
    <n v="8"/>
    <n v="13"/>
    <n v="133470.28"/>
    <n v="123325.96"/>
    <n v="286"/>
    <n v="339"/>
    <s v="20-30"/>
    <x v="0"/>
  </r>
  <r>
    <s v="https://suumo.jp/chintai/jnc_000103386558/?bc=100459240700"/>
    <s v="ALTERNA中野"/>
    <s v="東京都中野区中野５"/>
    <n v="146000"/>
    <n v="10000"/>
    <m/>
    <m/>
    <n v="4"/>
    <x v="1"/>
    <n v="27.96"/>
    <n v="3"/>
    <x v="8"/>
    <s v="中野駅"/>
    <n v="8"/>
    <n v="13"/>
    <n v="133470.28"/>
    <n v="123325.96"/>
    <n v="286"/>
    <n v="339"/>
    <s v="20-30"/>
    <x v="0"/>
  </r>
  <r>
    <s v="https://suumo.jp/chintai/jnc_000102338649/?bc=100477078528"/>
    <s v="ALTERNA中野"/>
    <s v="東京都中野区中野５"/>
    <n v="152000"/>
    <n v="10000"/>
    <m/>
    <m/>
    <n v="4"/>
    <x v="1"/>
    <n v="27.96"/>
    <n v="3"/>
    <x v="8"/>
    <s v="中野駅"/>
    <n v="8"/>
    <n v="13"/>
    <n v="133470.28"/>
    <n v="123325.96"/>
    <n v="286"/>
    <n v="339"/>
    <s v="20-30"/>
    <x v="0"/>
  </r>
  <r>
    <s v="https://suumo.jp/chintai/jnc_000103864685/?bc=100481224311"/>
    <s v="ALTERNA中野"/>
    <s v="東京都中野区中野５"/>
    <n v="146000"/>
    <n v="10000"/>
    <m/>
    <m/>
    <n v="8"/>
    <x v="1"/>
    <n v="25.86"/>
    <n v="3"/>
    <x v="8"/>
    <s v="中野駅"/>
    <n v="8"/>
    <n v="13"/>
    <n v="133470.28"/>
    <n v="123325.96"/>
    <n v="286"/>
    <n v="339"/>
    <s v="20-30"/>
    <x v="0"/>
  </r>
  <r>
    <s v="https://suumo.jp/chintai/jnc_000104280472/?bc=100481982776"/>
    <s v="ALTERNA中野"/>
    <s v="東京都中野区中野５"/>
    <n v="152000"/>
    <n v="10000"/>
    <m/>
    <m/>
    <n v="8"/>
    <x v="1"/>
    <n v="25.86"/>
    <n v="3"/>
    <x v="8"/>
    <s v="中野駅"/>
    <n v="8"/>
    <n v="13"/>
    <n v="133470.28"/>
    <n v="123325.96"/>
    <n v="286"/>
    <n v="339"/>
    <s v="20-30"/>
    <x v="0"/>
  </r>
  <r>
    <s v="https://suumo.jp/chintai/jnc_000103563625/?bc=100485575484"/>
    <s v="バウスステージ中野"/>
    <s v="東京都中野区新井１"/>
    <n v="125000"/>
    <n v="10000"/>
    <n v="125000"/>
    <n v="125000"/>
    <n v="2"/>
    <x v="1"/>
    <n v="25.28"/>
    <n v="4"/>
    <x v="12"/>
    <s v="中野駅"/>
    <n v="7"/>
    <n v="8.67"/>
    <n v="133470.28"/>
    <n v="123325.96"/>
    <n v="286"/>
    <n v="339"/>
    <s v="20-30"/>
    <x v="0"/>
  </r>
  <r>
    <s v="https://suumo.jp/chintai/jnc_000103123135/?bc=100475208579"/>
    <s v="メゾン・ド・プティ"/>
    <s v="東京都中野区中野６"/>
    <n v="169000"/>
    <n v="5000"/>
    <n v="169000"/>
    <n v="338000"/>
    <n v="2"/>
    <x v="1"/>
    <n v="35.270000000000003"/>
    <n v="3"/>
    <x v="2"/>
    <s v="中野駅"/>
    <n v="11"/>
    <n v="12.33"/>
    <n v="133470.28"/>
    <n v="123325.96"/>
    <n v="286"/>
    <n v="339"/>
    <s v="30-40"/>
    <x v="0"/>
  </r>
  <r>
    <s v="https://suumo.jp/chintai/jnc_000103771397/?bc=100480695109"/>
    <s v="メゾン中野"/>
    <s v="東京都中野区新井１"/>
    <n v="92000"/>
    <n v="2000"/>
    <n v="92000"/>
    <n v="92000"/>
    <n v="1"/>
    <x v="1"/>
    <n v="37"/>
    <n v="40"/>
    <x v="2"/>
    <s v="中野駅"/>
    <n v="7"/>
    <n v="10.67"/>
    <n v="133470.28"/>
    <n v="123325.96"/>
    <n v="286"/>
    <n v="339"/>
    <s v="30-40"/>
    <x v="4"/>
  </r>
  <r>
    <s v="https://suumo.jp/chintai/jnc_000103123136/?bc=100475568074"/>
    <s v="東京メトロ東西線 中野駅 3階建 築3年"/>
    <s v="東京都中野区中野６"/>
    <n v="169000"/>
    <n v="5000"/>
    <n v="169000"/>
    <n v="338000"/>
    <n v="2"/>
    <x v="1"/>
    <n v="35.270000000000003"/>
    <n v="3"/>
    <x v="2"/>
    <s v="中野駅"/>
    <n v="11"/>
    <n v="13"/>
    <n v="133470.28"/>
    <n v="123325.96"/>
    <n v="286"/>
    <n v="339"/>
    <s v="30-40"/>
    <x v="0"/>
  </r>
  <r>
    <s v="https://suumo.jp/chintai/jnc_000104341759/?bc=100484887465"/>
    <s v="ＪＲ中央線 中野駅 11階建 築3年"/>
    <s v="東京都中野区中野５"/>
    <n v="151000"/>
    <n v="10000"/>
    <m/>
    <m/>
    <n v="3"/>
    <x v="1"/>
    <n v="27.96"/>
    <n v="3"/>
    <x v="8"/>
    <s v="中野駅"/>
    <n v="8"/>
    <n v="14.33"/>
    <n v="133470.28"/>
    <n v="123325.96"/>
    <n v="286"/>
    <n v="339"/>
    <s v="20-30"/>
    <x v="0"/>
  </r>
  <r>
    <s v="https://suumo.jp/chintai/jnc_000103717518/?bc=100480000727"/>
    <s v="ＪＲ中央線 中野駅 11階建 築3年"/>
    <s v="東京都中野区中野５"/>
    <n v="142000"/>
    <n v="10000"/>
    <m/>
    <m/>
    <n v="4"/>
    <x v="1"/>
    <n v="25.34"/>
    <n v="3"/>
    <x v="8"/>
    <s v="中野駅"/>
    <n v="8"/>
    <n v="14.33"/>
    <n v="133470.28"/>
    <n v="123325.96"/>
    <n v="286"/>
    <n v="339"/>
    <s v="20-30"/>
    <x v="0"/>
  </r>
  <r>
    <s v="https://suumo.jp/chintai/jnc_000104272158/?bc=100485214005"/>
    <s v="ＪＲ中央線 中野駅 11階建 築3年"/>
    <s v="東京都中野区中野５"/>
    <n v="152000"/>
    <n v="10000"/>
    <m/>
    <m/>
    <n v="8"/>
    <x v="1"/>
    <n v="25.86"/>
    <n v="3"/>
    <x v="8"/>
    <s v="中野駅"/>
    <n v="8"/>
    <n v="14.33"/>
    <n v="133470.28"/>
    <n v="123325.96"/>
    <n v="286"/>
    <n v="339"/>
    <s v="20-30"/>
    <x v="0"/>
  </r>
  <r>
    <s v="https://suumo.jp/chintai/jnc_000103802414/?bc=100481182635"/>
    <s v="ＪＲ中央線 中野駅 3階建 築40年"/>
    <s v="東京都中野区新井１"/>
    <n v="92000"/>
    <n v="2000"/>
    <n v="92000"/>
    <n v="92000"/>
    <n v="1"/>
    <x v="1"/>
    <n v="37"/>
    <n v="40"/>
    <x v="2"/>
    <s v="中野駅"/>
    <n v="7"/>
    <n v="12.67"/>
    <n v="133470.28"/>
    <n v="123325.96"/>
    <n v="286"/>
    <n v="339"/>
    <s v="30-40"/>
    <x v="4"/>
  </r>
  <r>
    <s v="https://suumo.jp/chintai/jnc_000103563627/?bc=100478631831"/>
    <s v="ＪＲ総武線 中野駅 14階建 築4年"/>
    <s v="東京都中野区新井１"/>
    <n v="125000"/>
    <n v="10000"/>
    <n v="125000"/>
    <n v="125000"/>
    <n v="2"/>
    <x v="1"/>
    <n v="25.28"/>
    <n v="4"/>
    <x v="12"/>
    <s v="中野駅"/>
    <n v="7"/>
    <n v="12"/>
    <n v="133470.28"/>
    <n v="123325.96"/>
    <n v="286"/>
    <n v="339"/>
    <s v="20-30"/>
    <x v="0"/>
  </r>
  <r>
    <s v="https://suumo.jp/chintai/jnc_000103563628/?bc=100478552262"/>
    <s v="ＪＲ総武線 中野駅 14階建 築4年"/>
    <s v="東京都中野区新井１"/>
    <n v="133000"/>
    <n v="10000"/>
    <n v="133000"/>
    <n v="133000"/>
    <n v="9"/>
    <x v="1"/>
    <n v="25.28"/>
    <n v="4"/>
    <x v="12"/>
    <s v="中野駅"/>
    <n v="7"/>
    <n v="12"/>
    <n v="133470.28"/>
    <n v="123325.96"/>
    <n v="286"/>
    <n v="339"/>
    <s v="20-30"/>
    <x v="0"/>
  </r>
  <r>
    <s v="https://suumo.jp/chintai/jnc_000103818215/?bc=100481222355"/>
    <s v="ＪＲ総武線 中野駅 4階建 築4年"/>
    <s v="東京都中野区新井２"/>
    <n v="160000"/>
    <n v="12000"/>
    <n v="160000"/>
    <m/>
    <n v="2"/>
    <x v="1"/>
    <n v="33.49"/>
    <n v="4"/>
    <x v="4"/>
    <s v="中野駅"/>
    <n v="10"/>
    <n v="12"/>
    <n v="133470.28"/>
    <n v="123325.96"/>
    <n v="286"/>
    <n v="339"/>
    <s v="30-40"/>
    <x v="0"/>
  </r>
  <r>
    <s v="https://suumo.jp/chintai/jnc_000102611968/?bc=100475511224"/>
    <s v="ＪＲ総武線 中野駅 5階建 築57年"/>
    <s v="東京都中野区新井１"/>
    <n v="88000"/>
    <n v="7000"/>
    <m/>
    <n v="88000"/>
    <n v="5"/>
    <x v="1"/>
    <n v="28.19"/>
    <n v="57"/>
    <x v="7"/>
    <s v="中野駅"/>
    <n v="10"/>
    <n v="10"/>
    <n v="133470.28"/>
    <n v="123325.96"/>
    <n v="286"/>
    <n v="339"/>
    <s v="20-30"/>
    <x v="5"/>
  </r>
  <r>
    <s v="https://suumo.jp/chintai/jnc_000102338648/?bc=100478343098"/>
    <s v="ALTERNA中野"/>
    <s v="東京都中野区中野５"/>
    <n v="167000"/>
    <n v="10000"/>
    <m/>
    <m/>
    <n v="4"/>
    <x v="2"/>
    <n v="30.51"/>
    <n v="3"/>
    <x v="8"/>
    <s v="中野駅"/>
    <n v="8"/>
    <n v="13"/>
    <n v="133470.28"/>
    <n v="95329.65"/>
    <n v="286"/>
    <n v="1622"/>
    <s v="30-40"/>
    <x v="0"/>
  </r>
  <r>
    <s v="https://suumo.jp/chintai/jnc_000103864684/?bc=100481842254"/>
    <s v="ALTERNA中野"/>
    <s v="東京都中野区中野５"/>
    <n v="150000"/>
    <n v="10000"/>
    <m/>
    <m/>
    <n v="6"/>
    <x v="2"/>
    <n v="30.51"/>
    <n v="3"/>
    <x v="8"/>
    <s v="中野駅"/>
    <n v="8"/>
    <n v="13"/>
    <n v="133470.28"/>
    <n v="95329.65"/>
    <n v="286"/>
    <n v="1622"/>
    <s v="30-40"/>
    <x v="0"/>
  </r>
  <r>
    <s v="https://suumo.jp/chintai/jnc_000104286393/?bc=100484750738"/>
    <s v="EXIA中野"/>
    <s v="東京都中野区中野１"/>
    <n v="85000"/>
    <n v="5000"/>
    <m/>
    <m/>
    <n v="3"/>
    <x v="2"/>
    <n v="16.79"/>
    <n v="5"/>
    <x v="2"/>
    <s v="中野駅"/>
    <n v="12"/>
    <n v="14"/>
    <n v="133470.28"/>
    <n v="95329.65"/>
    <n v="286"/>
    <n v="1622"/>
    <s v="10-20"/>
    <x v="0"/>
  </r>
  <r>
    <s v="https://suumo.jp/chintai/jnc_000104241712/?bc=100484089725"/>
    <s v="GRAN　PASEO 中野"/>
    <s v="東京都中野区中野５"/>
    <n v="125000"/>
    <n v="15000"/>
    <m/>
    <m/>
    <n v="2"/>
    <x v="2"/>
    <n v="28.35"/>
    <n v="5"/>
    <x v="4"/>
    <s v="中野駅"/>
    <n v="10"/>
    <n v="12.33"/>
    <n v="133470.28"/>
    <n v="95329.65"/>
    <n v="286"/>
    <n v="1622"/>
    <s v="20-30"/>
    <x v="0"/>
  </r>
  <r>
    <s v="https://suumo.jp/chintai/jnc_000104063955/?bc=100482680235"/>
    <s v="IMハウス"/>
    <s v="東京都中野区中野５"/>
    <n v="110000"/>
    <n v="6000"/>
    <n v="110000"/>
    <n v="110000"/>
    <n v="2"/>
    <x v="2"/>
    <n v="33.950000000000003"/>
    <n v="27"/>
    <x v="0"/>
    <s v="中野駅"/>
    <n v="10"/>
    <n v="14"/>
    <n v="133470.28"/>
    <n v="95329.65"/>
    <n v="286"/>
    <n v="1622"/>
    <s v="30-40"/>
    <x v="1"/>
  </r>
  <r>
    <s v="https://suumo.jp/chintai/jnc_000103708139/?bc=100479917190"/>
    <s v="ZOOM中野"/>
    <s v="東京都中野区新井１"/>
    <n v="132000"/>
    <n v="10000"/>
    <n v="132000"/>
    <n v="132000"/>
    <n v="4"/>
    <x v="2"/>
    <n v="25.74"/>
    <n v="8"/>
    <x v="10"/>
    <s v="中野駅"/>
    <n v="8"/>
    <n v="10.33"/>
    <n v="133470.28"/>
    <n v="95329.65"/>
    <n v="286"/>
    <n v="1622"/>
    <s v="20-30"/>
    <x v="0"/>
  </r>
  <r>
    <s v="https://suumo.jp/chintai/jnc_000104326781/?bc=100486237160"/>
    <s v="ZOOM中野"/>
    <s v="東京都中野区新井１"/>
    <n v="125000"/>
    <n v="10000"/>
    <n v="125000"/>
    <n v="125000"/>
    <n v="5"/>
    <x v="2"/>
    <n v="26.07"/>
    <n v="8"/>
    <x v="10"/>
    <s v="中野駅"/>
    <n v="8"/>
    <n v="10.33"/>
    <n v="133470.28"/>
    <n v="95329.65"/>
    <n v="286"/>
    <n v="1622"/>
    <s v="20-30"/>
    <x v="0"/>
  </r>
  <r>
    <s v="https://suumo.jp/chintai/jnc_000102252306/?bc=100474669697"/>
    <s v="ZOOM中野"/>
    <s v="東京都中野区新井１"/>
    <n v="148000"/>
    <n v="10000"/>
    <n v="148000"/>
    <n v="148000"/>
    <n v="5"/>
    <x v="2"/>
    <n v="29.22"/>
    <n v="8"/>
    <x v="10"/>
    <s v="中野駅"/>
    <n v="8"/>
    <n v="10.33"/>
    <n v="133470.28"/>
    <n v="95329.65"/>
    <n v="286"/>
    <n v="1622"/>
    <s v="20-30"/>
    <x v="0"/>
  </r>
  <r>
    <s v="https://suumo.jp/chintai/jnc_000083043152/?bc=100426282983"/>
    <s v="たま江荘"/>
    <s v="東京都中野区中野５"/>
    <n v="36000"/>
    <n v="4000"/>
    <n v="36000"/>
    <n v="36000"/>
    <n v="2"/>
    <x v="2"/>
    <n v="12"/>
    <n v="50"/>
    <x v="0"/>
    <s v="中野駅"/>
    <n v="5"/>
    <n v="13.67"/>
    <n v="133470.28"/>
    <n v="95329.65"/>
    <n v="286"/>
    <n v="1622"/>
    <s v="10-20"/>
    <x v="3"/>
  </r>
  <r>
    <s v="https://suumo.jp/chintai/jnc_000104126149/?bc=100483166353"/>
    <s v="アインルーエ"/>
    <s v="東京都中野区中野５"/>
    <n v="86000"/>
    <n v="2000"/>
    <n v="86000"/>
    <m/>
    <n v="3"/>
    <x v="2"/>
    <n v="25.92"/>
    <n v="29"/>
    <x v="2"/>
    <s v="中野駅"/>
    <n v="7"/>
    <n v="14"/>
    <n v="133470.28"/>
    <n v="95329.65"/>
    <n v="286"/>
    <n v="1622"/>
    <s v="20-30"/>
    <x v="1"/>
  </r>
  <r>
    <s v="https://suumo.jp/chintai/jnc_000102484789/?bc=100469977175"/>
    <s v="エスティメゾン中野"/>
    <s v="東京都中野区中央５"/>
    <n v="130000"/>
    <n v="8000"/>
    <n v="130000"/>
    <n v="130000"/>
    <n v="3"/>
    <x v="2"/>
    <n v="21.56"/>
    <n v="17"/>
    <x v="1"/>
    <s v="中野駅"/>
    <n v="6"/>
    <n v="13.33"/>
    <n v="133470.28"/>
    <n v="95329.65"/>
    <n v="286"/>
    <n v="1622"/>
    <s v="20-30"/>
    <x v="7"/>
  </r>
  <r>
    <s v="https://suumo.jp/chintai/jnc_000103891851/?bc=100482128346"/>
    <s v="オーパス中野"/>
    <s v="東京都中野区中野６"/>
    <n v="82000"/>
    <n v="3000"/>
    <m/>
    <m/>
    <n v="3"/>
    <x v="2"/>
    <n v="21.12"/>
    <n v="19"/>
    <x v="2"/>
    <s v="中野駅"/>
    <n v="11"/>
    <n v="12.33"/>
    <n v="133470.28"/>
    <n v="95329.65"/>
    <n v="286"/>
    <n v="1622"/>
    <s v="20-30"/>
    <x v="7"/>
  </r>
  <r>
    <s v="https://suumo.jp/chintai/jnc_000074127286/?bc=100485129837"/>
    <s v="オーパス中野"/>
    <s v="東京都中野区中野６"/>
    <n v="82000"/>
    <n v="3000"/>
    <m/>
    <m/>
    <n v="3"/>
    <x v="2"/>
    <n v="21.94"/>
    <n v="19"/>
    <x v="2"/>
    <s v="中野駅"/>
    <n v="11"/>
    <n v="12.33"/>
    <n v="133470.28"/>
    <n v="95329.65"/>
    <n v="286"/>
    <n v="1622"/>
    <s v="20-30"/>
    <x v="7"/>
  </r>
  <r>
    <s v="https://suumo.jp/chintai/jnc_000102493457/?bc=100481609406"/>
    <s v="クラッサ中野"/>
    <s v="東京都中野区中野５"/>
    <n v="121000"/>
    <n v="6000"/>
    <n v="121000"/>
    <m/>
    <n v="1"/>
    <x v="2"/>
    <n v="26.85"/>
    <n v="20"/>
    <x v="10"/>
    <s v="中野駅"/>
    <n v="5"/>
    <n v="14.67"/>
    <n v="133470.28"/>
    <n v="95329.65"/>
    <n v="286"/>
    <n v="1622"/>
    <s v="20-30"/>
    <x v="7"/>
  </r>
  <r>
    <s v="https://suumo.jp/chintai/jnc_000102050307/?bc=100465991128"/>
    <s v="クローバー中野"/>
    <s v="東京都中野区新井１"/>
    <n v="73000"/>
    <n v="2000"/>
    <n v="73000"/>
    <n v="73000"/>
    <n v="1"/>
    <x v="2"/>
    <n v="20.09"/>
    <n v="32"/>
    <x v="0"/>
    <s v="中野駅"/>
    <n v="8"/>
    <n v="15.33"/>
    <n v="133470.28"/>
    <n v="95329.65"/>
    <n v="286"/>
    <n v="1622"/>
    <s v="20-30"/>
    <x v="4"/>
  </r>
  <r>
    <s v="https://suumo.jp/chintai/jnc_000103787157/?bc=100480534177"/>
    <s v="グランシャリオ"/>
    <s v="東京都中野区中野５"/>
    <n v="92000"/>
    <n v="4000"/>
    <n v="92000"/>
    <n v="92000"/>
    <n v="4"/>
    <x v="2"/>
    <n v="21.51"/>
    <n v="30"/>
    <x v="4"/>
    <s v="中野駅"/>
    <n v="4"/>
    <n v="13.67"/>
    <n v="133470.28"/>
    <n v="95329.65"/>
    <n v="286"/>
    <n v="1622"/>
    <s v="20-30"/>
    <x v="1"/>
  </r>
  <r>
    <s v="https://suumo.jp/chintai/jnc_000102893453/?bc=100478827994"/>
    <s v="コーポ明日香"/>
    <s v="東京都中野区中野５"/>
    <n v="74000"/>
    <n v="2500"/>
    <n v="74000"/>
    <n v="74000"/>
    <n v="1"/>
    <x v="2"/>
    <n v="23.5"/>
    <n v="44"/>
    <x v="0"/>
    <s v="中野駅"/>
    <n v="4"/>
    <n v="12.33"/>
    <n v="133470.28"/>
    <n v="95329.65"/>
    <n v="286"/>
    <n v="1622"/>
    <s v="20-30"/>
    <x v="3"/>
  </r>
  <r>
    <s v="https://suumo.jp/chintai/jnc_000104464934/?bc=100485846106"/>
    <s v="サティ中野"/>
    <s v="東京都中野区新井２"/>
    <n v="78000"/>
    <n v="5000"/>
    <n v="78000"/>
    <n v="78000"/>
    <n v="1"/>
    <x v="2"/>
    <n v="20.3"/>
    <n v="36"/>
    <x v="4"/>
    <s v="中野駅"/>
    <n v="10"/>
    <n v="10"/>
    <n v="133470.28"/>
    <n v="95329.65"/>
    <n v="286"/>
    <n v="1622"/>
    <s v="20-30"/>
    <x v="4"/>
  </r>
  <r>
    <s v="https://suumo.jp/chintai/jnc_000079844852/?bc=100483990645"/>
    <s v="チョコラータ中野"/>
    <s v="東京都中野区新井１"/>
    <n v="102000"/>
    <n v="3000"/>
    <m/>
    <m/>
    <n v="2"/>
    <x v="2"/>
    <n v="21.08"/>
    <n v="3"/>
    <x v="4"/>
    <s v="中野駅"/>
    <n v="8"/>
    <n v="14"/>
    <n v="133470.28"/>
    <n v="95329.65"/>
    <n v="286"/>
    <n v="1622"/>
    <s v="20-30"/>
    <x v="0"/>
  </r>
  <r>
    <s v="https://suumo.jp/chintai/jnc_000095140727/?bc=100484901477"/>
    <s v="ネスト中野"/>
    <s v="東京都中野区新井２"/>
    <n v="84000"/>
    <n v="6000"/>
    <m/>
    <n v="84000"/>
    <n v="2"/>
    <x v="2"/>
    <n v="20.28"/>
    <n v="12"/>
    <x v="2"/>
    <s v="中野駅"/>
    <n v="9"/>
    <n v="10.33"/>
    <n v="133470.28"/>
    <n v="95329.65"/>
    <n v="286"/>
    <n v="1622"/>
    <s v="20-30"/>
    <x v="7"/>
  </r>
  <r>
    <s v="https://suumo.jp/chintai/jnc_000087327181/?bc=100481787321"/>
    <s v="ネスト中野"/>
    <s v="東京都中野区新井２"/>
    <n v="84000"/>
    <n v="6000"/>
    <m/>
    <n v="84000"/>
    <n v="3"/>
    <x v="2"/>
    <n v="20.28"/>
    <n v="12"/>
    <x v="2"/>
    <s v="中野駅"/>
    <n v="9"/>
    <n v="10.33"/>
    <n v="133470.28"/>
    <n v="95329.65"/>
    <n v="286"/>
    <n v="1622"/>
    <s v="20-30"/>
    <x v="7"/>
  </r>
  <r>
    <s v="https://suumo.jp/chintai/jnc_000017819667/?bc=100439284179"/>
    <s v="ハイツ西川"/>
    <s v="東京都中野区中野５"/>
    <n v="65000"/>
    <m/>
    <n v="65000"/>
    <n v="65000"/>
    <n v="2"/>
    <x v="2"/>
    <n v="20"/>
    <n v="59"/>
    <x v="0"/>
    <s v="中野駅"/>
    <n v="10"/>
    <n v="11"/>
    <n v="133470.28"/>
    <n v="95329.65"/>
    <n v="286"/>
    <n v="1622"/>
    <s v="20-30"/>
    <x v="5"/>
  </r>
  <r>
    <s v="https://suumo.jp/chintai/jnc_000102238897/?bc=100472190881"/>
    <s v="ビラワンデルング"/>
    <s v="東京都中野区中野５"/>
    <n v="70000"/>
    <n v="3000"/>
    <n v="70000"/>
    <m/>
    <n v="2"/>
    <x v="2"/>
    <n v="18.5"/>
    <n v="45"/>
    <x v="0"/>
    <s v="中野駅"/>
    <n v="4"/>
    <n v="12.33"/>
    <n v="133470.28"/>
    <n v="95329.65"/>
    <n v="286"/>
    <n v="1622"/>
    <s v="10-20"/>
    <x v="3"/>
  </r>
  <r>
    <s v="https://suumo.jp/chintai/jnc_000072014802/?bc=100249639344"/>
    <s v="ピア中野"/>
    <s v="東京都中野区新井２"/>
    <n v="58000"/>
    <m/>
    <n v="58000"/>
    <n v="58000"/>
    <n v="2"/>
    <x v="2"/>
    <n v="17"/>
    <n v="79"/>
    <x v="0"/>
    <s v="中野駅"/>
    <n v="10"/>
    <n v="12.33"/>
    <n v="133470.28"/>
    <n v="95329.65"/>
    <n v="286"/>
    <n v="1622"/>
    <s v="10-20"/>
    <x v="2"/>
  </r>
  <r>
    <s v="https://suumo.jp/chintai/jnc_000104215457/?bc=100478639651"/>
    <s v="プラウドフラット中野"/>
    <s v="東京都中野区中野５"/>
    <n v="146000"/>
    <n v="12000"/>
    <n v="146000"/>
    <n v="146000"/>
    <n v="3"/>
    <x v="2"/>
    <n v="25.22"/>
    <n v="6"/>
    <x v="7"/>
    <s v="中野駅"/>
    <n v="6"/>
    <n v="13.67"/>
    <n v="133470.28"/>
    <n v="95329.65"/>
    <n v="286"/>
    <n v="1622"/>
    <s v="20-30"/>
    <x v="0"/>
  </r>
  <r>
    <s v="https://suumo.jp/chintai/jnc_000103542499/?bc=100483810730"/>
    <s v="プラウドフラット中野"/>
    <s v="東京都中野区中野５"/>
    <n v="151000"/>
    <n v="12000"/>
    <n v="151000"/>
    <n v="151000"/>
    <n v="3"/>
    <x v="2"/>
    <n v="25.22"/>
    <n v="6"/>
    <x v="7"/>
    <s v="中野駅"/>
    <n v="6"/>
    <n v="13.67"/>
    <n v="133470.28"/>
    <n v="95329.65"/>
    <n v="286"/>
    <n v="1622"/>
    <s v="20-30"/>
    <x v="0"/>
  </r>
  <r>
    <s v="https://suumo.jp/chintai/jnc_000104215458/?bc=100476311499"/>
    <s v="プラウドフラット中野"/>
    <s v="東京都中野区中野５"/>
    <n v="147000"/>
    <n v="12000"/>
    <n v="147000"/>
    <n v="147000"/>
    <n v="4"/>
    <x v="2"/>
    <n v="25.3"/>
    <n v="6"/>
    <x v="7"/>
    <s v="中野駅"/>
    <n v="6"/>
    <n v="13.67"/>
    <n v="133470.28"/>
    <n v="95329.65"/>
    <n v="286"/>
    <n v="1622"/>
    <s v="20-30"/>
    <x v="0"/>
  </r>
  <r>
    <s v="https://suumo.jp/chintai/jnc_000095953110/?bc=100475924395"/>
    <s v="プラウドフラット中野"/>
    <s v="東京都中野区中野５"/>
    <n v="152000"/>
    <n v="12000"/>
    <n v="152000"/>
    <n v="152000"/>
    <n v="4"/>
    <x v="2"/>
    <n v="25.3"/>
    <n v="6"/>
    <x v="7"/>
    <s v="中野駅"/>
    <n v="6"/>
    <n v="13.67"/>
    <n v="133470.28"/>
    <n v="95329.65"/>
    <n v="286"/>
    <n v="1622"/>
    <s v="20-30"/>
    <x v="0"/>
  </r>
  <r>
    <s v="https://suumo.jp/chintai/jnc_000104215459/?bc=100478887143"/>
    <s v="プラウドフラット中野"/>
    <s v="東京都中野区中野５"/>
    <n v="148000"/>
    <n v="12000"/>
    <n v="148000"/>
    <n v="148000"/>
    <n v="5"/>
    <x v="2"/>
    <n v="25.15"/>
    <n v="6"/>
    <x v="7"/>
    <s v="中野駅"/>
    <n v="6"/>
    <n v="13.67"/>
    <n v="133470.28"/>
    <n v="95329.65"/>
    <n v="286"/>
    <n v="1622"/>
    <s v="20-30"/>
    <x v="0"/>
  </r>
  <r>
    <s v="https://suumo.jp/chintai/jnc_000103123134/?bc=100475266376"/>
    <s v="プラウドフラット中野"/>
    <s v="東京都中野区中野５"/>
    <n v="153000"/>
    <n v="12000"/>
    <n v="153000"/>
    <n v="153000"/>
    <n v="5"/>
    <x v="2"/>
    <n v="25.15"/>
    <n v="6"/>
    <x v="7"/>
    <s v="中野駅"/>
    <n v="6"/>
    <n v="13.67"/>
    <n v="133470.28"/>
    <n v="95329.65"/>
    <n v="286"/>
    <n v="1622"/>
    <s v="20-30"/>
    <x v="0"/>
  </r>
  <r>
    <s v="https://suumo.jp/chintai/jnc_000104222984/?bc=100483938552"/>
    <s v="プラウドフラット中野"/>
    <s v="東京都中野区中野５"/>
    <n v="148000"/>
    <n v="12000"/>
    <n v="148000"/>
    <n v="148000"/>
    <n v="5"/>
    <x v="2"/>
    <n v="25.3"/>
    <n v="6"/>
    <x v="7"/>
    <s v="中野駅"/>
    <n v="6"/>
    <n v="13.67"/>
    <n v="133470.28"/>
    <n v="95329.65"/>
    <n v="286"/>
    <n v="1622"/>
    <s v="20-30"/>
    <x v="0"/>
  </r>
  <r>
    <s v="https://suumo.jp/chintai/jnc_000104186936/?bc=100484008713"/>
    <s v="プラウドフラット中野"/>
    <s v="東京都中野区中野５"/>
    <n v="153000"/>
    <n v="12000"/>
    <n v="153000"/>
    <n v="153000"/>
    <n v="5"/>
    <x v="2"/>
    <n v="25.3"/>
    <n v="6"/>
    <x v="7"/>
    <s v="中野駅"/>
    <n v="6"/>
    <n v="13.67"/>
    <n v="133470.28"/>
    <n v="95329.65"/>
    <n v="286"/>
    <n v="1622"/>
    <s v="20-30"/>
    <x v="0"/>
  </r>
  <r>
    <s v="https://suumo.jp/chintai/jnc_000104474391/?bc=100485939181"/>
    <s v="プレジールメゾンKATO"/>
    <s v="東京都中野区中野５"/>
    <n v="115000"/>
    <n v="3500"/>
    <n v="115000"/>
    <n v="115000"/>
    <n v="2"/>
    <x v="2"/>
    <n v="30"/>
    <n v="16"/>
    <x v="2"/>
    <s v="中野駅"/>
    <n v="5"/>
    <n v="8"/>
    <n v="133470.28"/>
    <n v="95329.65"/>
    <n v="286"/>
    <n v="1622"/>
    <s v="30-40"/>
    <x v="7"/>
  </r>
  <r>
    <s v="https://suumo.jp/chintai/jnc_000104519158/?bc=100486221199"/>
    <s v="マインハウゼ"/>
    <s v="東京都中野区新井１"/>
    <n v="77000"/>
    <n v="2000"/>
    <n v="77000"/>
    <n v="77000"/>
    <n v="1"/>
    <x v="2"/>
    <n v="20"/>
    <n v="24"/>
    <x v="0"/>
    <s v="中野駅"/>
    <n v="9"/>
    <n v="9.33"/>
    <n v="133470.28"/>
    <n v="95329.65"/>
    <n v="286"/>
    <n v="1622"/>
    <s v="20-30"/>
    <x v="1"/>
  </r>
  <r>
    <s v="https://suumo.jp/chintai/jnc_000080156932/?bc=100486224097"/>
    <s v="メゾンジャンクション"/>
    <s v="東京都中野区中野５"/>
    <n v="76000"/>
    <n v="3000"/>
    <n v="76000"/>
    <m/>
    <n v="2"/>
    <x v="2"/>
    <n v="20"/>
    <n v="32"/>
    <x v="2"/>
    <s v="中野駅"/>
    <n v="7"/>
    <n v="11.33"/>
    <n v="133470.28"/>
    <n v="95329.65"/>
    <n v="286"/>
    <n v="1622"/>
    <s v="20-30"/>
    <x v="4"/>
  </r>
  <r>
    <s v="https://suumo.jp/chintai/jnc_000103135283/?bc=100482128698"/>
    <s v="ライオンズマンション中野第5"/>
    <s v="東京都中野区新井１"/>
    <n v="69000"/>
    <n v="5000"/>
    <m/>
    <n v="69000"/>
    <n v="5"/>
    <x v="2"/>
    <n v="19.04"/>
    <n v="35"/>
    <x v="7"/>
    <s v="中野駅"/>
    <n v="8"/>
    <n v="11.33"/>
    <n v="133470.28"/>
    <n v="95329.65"/>
    <n v="286"/>
    <n v="1622"/>
    <s v="10-20"/>
    <x v="4"/>
  </r>
  <r>
    <s v="https://suumo.jp/chintai/jnc_000104055229/?bc=100483165945"/>
    <s v="ラ・ルバーブ"/>
    <s v="東京都中野区新井２"/>
    <n v="87000"/>
    <m/>
    <n v="87000"/>
    <n v="87000"/>
    <n v="1"/>
    <x v="2"/>
    <n v="22.95"/>
    <n v="19"/>
    <x v="2"/>
    <s v="中野駅"/>
    <n v="6"/>
    <n v="11.67"/>
    <n v="133470.28"/>
    <n v="95329.65"/>
    <n v="286"/>
    <n v="1622"/>
    <s v="20-30"/>
    <x v="7"/>
  </r>
  <r>
    <s v="https://suumo.jp/chintai/jnc_000102888086/?bc=100473240780"/>
    <s v="リベラーレ中野"/>
    <s v="東京都中野区中野５"/>
    <n v="126000"/>
    <n v="11000"/>
    <m/>
    <n v="252000"/>
    <n v="1"/>
    <x v="2"/>
    <n v="26.82"/>
    <n v="8"/>
    <x v="1"/>
    <s v="中野駅"/>
    <n v="10"/>
    <n v="12"/>
    <n v="133470.28"/>
    <n v="95329.65"/>
    <n v="286"/>
    <n v="1622"/>
    <s v="20-30"/>
    <x v="0"/>
  </r>
  <r>
    <s v="https://suumo.jp/chintai/jnc_000104235932/?bc=100484133754"/>
    <s v="リヴシティ中野"/>
    <s v="東京都中野区中野２"/>
    <n v="100000"/>
    <n v="10000"/>
    <m/>
    <n v="100000"/>
    <n v="5"/>
    <x v="2"/>
    <n v="20.25"/>
    <n v="14"/>
    <x v="9"/>
    <s v="中野駅"/>
    <n v="10"/>
    <n v="16"/>
    <n v="133470.28"/>
    <n v="95329.65"/>
    <n v="286"/>
    <n v="1622"/>
    <s v="20-30"/>
    <x v="7"/>
  </r>
  <r>
    <s v="https://suumo.jp/chintai/jnc_000104192445/?bc=100483854941"/>
    <s v="ルネサンスコート中野"/>
    <s v="東京都中野区新井１"/>
    <n v="133000"/>
    <n v="10000"/>
    <m/>
    <m/>
    <n v="4"/>
    <x v="2"/>
    <n v="25.45"/>
    <n v="6"/>
    <x v="9"/>
    <s v="中野駅"/>
    <n v="8"/>
    <n v="10"/>
    <n v="133470.28"/>
    <n v="95329.65"/>
    <n v="286"/>
    <n v="1622"/>
    <s v="20-30"/>
    <x v="0"/>
  </r>
  <r>
    <s v="https://suumo.jp/chintai/jnc_000104186934/?bc=100483602720"/>
    <s v="レインボー穂高"/>
    <s v="東京都中野区中野５"/>
    <n v="100000"/>
    <m/>
    <m/>
    <n v="100000"/>
    <n v="2"/>
    <x v="2"/>
    <n v="21.03"/>
    <n v="6"/>
    <x v="2"/>
    <s v="中野駅"/>
    <n v="6"/>
    <n v="11.67"/>
    <n v="133470.28"/>
    <n v="95329.65"/>
    <n v="286"/>
    <n v="1622"/>
    <s v="20-30"/>
    <x v="0"/>
  </r>
  <r>
    <s v="https://suumo.jp/chintai/jnc_000103432780/?bc=100482869590"/>
    <s v="レジディア中野"/>
    <s v="東京都中野区中野３"/>
    <n v="110000"/>
    <n v="15000"/>
    <m/>
    <m/>
    <n v="10"/>
    <x v="2"/>
    <n v="20.43"/>
    <n v="20"/>
    <x v="8"/>
    <s v="中野駅"/>
    <n v="1"/>
    <n v="11.67"/>
    <n v="133470.28"/>
    <n v="95329.65"/>
    <n v="286"/>
    <n v="1622"/>
    <s v="20-30"/>
    <x v="7"/>
  </r>
  <r>
    <s v="https://suumo.jp/chintai/jnc_000103487535/?bc=100477893469"/>
    <s v="レジディア中野"/>
    <s v="東京都中野区中野３"/>
    <n v="130000"/>
    <n v="15000"/>
    <m/>
    <m/>
    <n v="9"/>
    <x v="2"/>
    <n v="20.43"/>
    <n v="20"/>
    <x v="8"/>
    <s v="中野駅"/>
    <n v="1"/>
    <n v="11.67"/>
    <n v="133470.28"/>
    <n v="95329.65"/>
    <n v="286"/>
    <n v="1622"/>
    <s v="20-30"/>
    <x v="7"/>
  </r>
  <r>
    <s v="https://suumo.jp/chintai/jnc_000099392901/?bc=100447840420"/>
    <s v="五十嵐荘"/>
    <s v="東京都中野区新井１"/>
    <n v="53000"/>
    <m/>
    <n v="53000"/>
    <n v="53000"/>
    <n v="2"/>
    <x v="2"/>
    <n v="17.3"/>
    <n v="66"/>
    <x v="0"/>
    <s v="中野駅"/>
    <n v="10"/>
    <n v="11.67"/>
    <n v="133470.28"/>
    <n v="95329.65"/>
    <n v="286"/>
    <n v="1622"/>
    <s v="10-20"/>
    <x v="2"/>
  </r>
  <r>
    <s v="https://suumo.jp/chintai/jnc_000021963181/?bc=100424777562"/>
    <s v="東京メトロ東西線 中野駅 2階建 築59年"/>
    <s v="東京都中野区中野５"/>
    <n v="65000"/>
    <m/>
    <n v="65000"/>
    <n v="65000"/>
    <n v="2"/>
    <x v="2"/>
    <n v="18"/>
    <n v="59"/>
    <x v="0"/>
    <s v="中野駅"/>
    <n v="8"/>
    <n v="10.33"/>
    <n v="133470.28"/>
    <n v="95329.65"/>
    <n v="286"/>
    <n v="1622"/>
    <s v="10-20"/>
    <x v="5"/>
  </r>
  <r>
    <s v="https://suumo.jp/chintai/jnc_000079575898/?bc=100468253854"/>
    <s v="西原ハイム"/>
    <s v="東京都中野区新井２"/>
    <n v="52000"/>
    <m/>
    <n v="52000"/>
    <n v="52000"/>
    <n v="2"/>
    <x v="2"/>
    <n v="21.5"/>
    <n v="47"/>
    <x v="0"/>
    <s v="中野駅"/>
    <n v="7"/>
    <n v="11.67"/>
    <n v="133470.28"/>
    <n v="95329.65"/>
    <n v="286"/>
    <n v="1622"/>
    <s v="20-30"/>
    <x v="3"/>
  </r>
  <r>
    <s v="https://suumo.jp/chintai/jnc_000104464964/?bc=100485871052"/>
    <s v="ＥＴＥＲＮＯ・Ｋ（エテルノ・ケー）"/>
    <s v="東京都中野区中野５"/>
    <n v="93000"/>
    <n v="6000"/>
    <n v="93000"/>
    <n v="93000"/>
    <n v="1"/>
    <x v="2"/>
    <n v="24.09"/>
    <n v="15"/>
    <x v="2"/>
    <s v="中野駅"/>
    <n v="6"/>
    <n v="10"/>
    <n v="133470.28"/>
    <n v="95329.65"/>
    <n v="286"/>
    <n v="1622"/>
    <s v="20-30"/>
    <x v="7"/>
  </r>
  <r>
    <s v="https://suumo.jp/chintai/jnc_000103977484/?bc=100482378207"/>
    <s v="ＥＴＥＲＮＯ・Ｋ（エテルノ・ケー）"/>
    <s v="東京都中野区中野５"/>
    <n v="95000"/>
    <n v="6000"/>
    <n v="95000"/>
    <n v="95000"/>
    <n v="3"/>
    <x v="2"/>
    <n v="24.09"/>
    <n v="15"/>
    <x v="2"/>
    <s v="中野駅"/>
    <n v="6"/>
    <n v="10"/>
    <n v="133470.28"/>
    <n v="95329.65"/>
    <n v="286"/>
    <n v="1622"/>
    <s v="20-30"/>
    <x v="7"/>
  </r>
  <r>
    <s v="https://suumo.jp/chintai/jnc_000104464963/?bc=100486339894"/>
    <s v="ＧＲＡＮＤ　ＥＩＧＨＴ"/>
    <s v="東京都中野区中野５"/>
    <n v="64000"/>
    <n v="5500"/>
    <n v="60000"/>
    <n v="64000"/>
    <n v="1"/>
    <x v="2"/>
    <n v="21.26"/>
    <n v="34"/>
    <x v="0"/>
    <s v="中野駅"/>
    <n v="8"/>
    <n v="12.67"/>
    <n v="133470.28"/>
    <n v="95329.65"/>
    <n v="286"/>
    <n v="1622"/>
    <s v="20-30"/>
    <x v="4"/>
  </r>
  <r>
    <s v="https://suumo.jp/chintai/jnc_000102901037/?bc=100473545922"/>
    <s v="ＪＲ中央線 中野駅 10階建 築8年"/>
    <s v="東京都中野区中野５"/>
    <n v="126000"/>
    <n v="11000"/>
    <m/>
    <n v="252000"/>
    <n v="1"/>
    <x v="2"/>
    <n v="26.82"/>
    <n v="8"/>
    <x v="1"/>
    <s v="中野駅"/>
    <n v="8"/>
    <n v="13"/>
    <n v="133470.28"/>
    <n v="95329.65"/>
    <n v="286"/>
    <n v="1622"/>
    <s v="20-30"/>
    <x v="0"/>
  </r>
  <r>
    <s v="https://suumo.jp/chintai/jnc_000103481462/?bc=100485219830"/>
    <s v="ＪＲ中央線 中野駅 11階建 築20年"/>
    <s v="東京都中野区中野３"/>
    <n v="130000"/>
    <n v="15000"/>
    <m/>
    <m/>
    <n v="9"/>
    <x v="2"/>
    <n v="20.43"/>
    <n v="20"/>
    <x v="8"/>
    <s v="中野駅"/>
    <n v="1"/>
    <n v="11"/>
    <n v="133470.28"/>
    <n v="95329.65"/>
    <n v="286"/>
    <n v="1622"/>
    <s v="20-30"/>
    <x v="7"/>
  </r>
  <r>
    <s v="https://suumo.jp/chintai/jnc_000102771914/?bc=100473358723"/>
    <s v="ＪＲ中央線 中野駅 11階建 築60年"/>
    <s v="東京都中野区中野５"/>
    <n v="115000"/>
    <n v="3000"/>
    <n v="115000"/>
    <n v="115000"/>
    <n v="6"/>
    <x v="2"/>
    <n v="28"/>
    <n v="60"/>
    <x v="8"/>
    <s v="中野駅"/>
    <n v="10"/>
    <n v="15.33"/>
    <n v="133470.28"/>
    <n v="95329.65"/>
    <n v="286"/>
    <n v="1622"/>
    <s v="20-30"/>
    <x v="5"/>
  </r>
  <r>
    <s v="https://suumo.jp/chintai/jnc_000103571143/?bc=100478750361"/>
    <s v="ＪＲ中央線 中野駅 13階建 築5年"/>
    <s v="東京都中野区新井２"/>
    <n v="119000"/>
    <n v="12000"/>
    <n v="119000"/>
    <n v="119000"/>
    <n v="6"/>
    <x v="2"/>
    <n v="25.8"/>
    <n v="5"/>
    <x v="13"/>
    <s v="中野駅"/>
    <n v="8"/>
    <n v="13"/>
    <n v="133470.28"/>
    <n v="95329.65"/>
    <n v="286"/>
    <n v="1622"/>
    <s v="20-30"/>
    <x v="0"/>
  </r>
  <r>
    <s v="https://suumo.jp/chintai/jnc_000101358867/?bc=100458827981"/>
    <s v="ＪＲ中央線 中野駅 2階建 築27年"/>
    <s v="東京都中野区新井１"/>
    <n v="107000"/>
    <n v="3000"/>
    <n v="107000"/>
    <n v="107000"/>
    <n v="2"/>
    <x v="2"/>
    <n v="24.84"/>
    <n v="27"/>
    <x v="0"/>
    <s v="中野駅"/>
    <n v="7"/>
    <n v="10.67"/>
    <n v="133470.28"/>
    <n v="95329.65"/>
    <n v="286"/>
    <n v="1622"/>
    <s v="20-30"/>
    <x v="1"/>
  </r>
  <r>
    <s v="https://suumo.jp/chintai/jnc_000104060452/?bc=100482635949"/>
    <s v="ＪＲ中央線 中野駅 2階建 築27年"/>
    <s v="東京都中野区中野５"/>
    <n v="110000"/>
    <n v="6000"/>
    <n v="110000"/>
    <n v="110000"/>
    <n v="2"/>
    <x v="2"/>
    <n v="33.950000000000003"/>
    <n v="27"/>
    <x v="0"/>
    <s v="中野駅"/>
    <n v="10"/>
    <n v="14"/>
    <n v="133470.28"/>
    <n v="95329.65"/>
    <n v="286"/>
    <n v="1622"/>
    <s v="30-40"/>
    <x v="1"/>
  </r>
  <r>
    <s v="https://suumo.jp/chintai/jnc_000104482951/?bc=100485861784"/>
    <s v="ＪＲ中央線 中野駅 2階建 築34年"/>
    <s v="東京都中野区中野５"/>
    <n v="64000"/>
    <n v="5500"/>
    <n v="60000"/>
    <n v="64000"/>
    <n v="1"/>
    <x v="2"/>
    <n v="21.26"/>
    <n v="34"/>
    <x v="0"/>
    <s v="中野駅"/>
    <n v="8"/>
    <n v="12.67"/>
    <n v="133470.28"/>
    <n v="95329.65"/>
    <n v="286"/>
    <n v="1622"/>
    <s v="20-30"/>
    <x v="4"/>
  </r>
  <r>
    <s v="https://suumo.jp/chintai/jnc_000080148794/?bc=100473972708"/>
    <s v="ＪＲ中央線 中野駅 2階建 築47年"/>
    <s v="東京都中野区新井２"/>
    <n v="52000"/>
    <m/>
    <n v="52000"/>
    <n v="52000"/>
    <n v="2"/>
    <x v="2"/>
    <n v="21.5"/>
    <n v="47"/>
    <x v="0"/>
    <s v="中野駅"/>
    <n v="7"/>
    <n v="11.67"/>
    <n v="133470.28"/>
    <n v="95329.65"/>
    <n v="286"/>
    <n v="1622"/>
    <s v="20-30"/>
    <x v="3"/>
  </r>
  <r>
    <s v="https://suumo.jp/chintai/jnc_000097157516/?bc=100426761864"/>
    <s v="ＪＲ中央線 中野駅 2階建 築55年"/>
    <s v="東京都中野区中野５"/>
    <n v="36000"/>
    <n v="4000"/>
    <n v="36000"/>
    <n v="36000"/>
    <n v="2"/>
    <x v="2"/>
    <n v="12"/>
    <n v="55"/>
    <x v="0"/>
    <s v="中野駅"/>
    <n v="4"/>
    <n v="12"/>
    <n v="133470.28"/>
    <n v="95329.65"/>
    <n v="286"/>
    <n v="1622"/>
    <s v="10-20"/>
    <x v="5"/>
  </r>
  <r>
    <s v="https://suumo.jp/chintai/jnc_000103223519/?bc=100478101073"/>
    <s v="ＪＲ中央線 中野駅 3階建 築13年"/>
    <s v="東京都中野区中野５"/>
    <n v="82000"/>
    <n v="3000"/>
    <m/>
    <n v="82000"/>
    <n v="2"/>
    <x v="2"/>
    <n v="17.75"/>
    <n v="13"/>
    <x v="2"/>
    <s v="中野駅"/>
    <n v="9"/>
    <n v="13.67"/>
    <n v="133470.28"/>
    <n v="95329.65"/>
    <n v="286"/>
    <n v="1622"/>
    <s v="10-20"/>
    <x v="7"/>
  </r>
  <r>
    <s v="https://suumo.jp/chintai/jnc_000104464965/?bc=100485891622"/>
    <s v="ＪＲ中央線 中野駅 3階建 築15年"/>
    <s v="東京都中野区中野５"/>
    <n v="93000"/>
    <n v="6000"/>
    <n v="93000"/>
    <n v="93000"/>
    <n v="1"/>
    <x v="2"/>
    <n v="24.09"/>
    <n v="15"/>
    <x v="2"/>
    <s v="中野駅"/>
    <n v="6"/>
    <n v="10.67"/>
    <n v="133470.28"/>
    <n v="95329.65"/>
    <n v="286"/>
    <n v="1622"/>
    <s v="20-30"/>
    <x v="7"/>
  </r>
  <r>
    <s v="https://suumo.jp/chintai/jnc_000103969599/?bc=100481908031"/>
    <s v="ＪＲ中央線 中野駅 3階建 築15年"/>
    <s v="東京都中野区中野５"/>
    <n v="95000"/>
    <n v="6000"/>
    <n v="95000"/>
    <n v="95000"/>
    <n v="3"/>
    <x v="2"/>
    <n v="24.09"/>
    <n v="15"/>
    <x v="2"/>
    <s v="中野駅"/>
    <n v="6"/>
    <n v="10.67"/>
    <n v="133470.28"/>
    <n v="95329.65"/>
    <n v="286"/>
    <n v="1622"/>
    <s v="20-30"/>
    <x v="7"/>
  </r>
  <r>
    <s v="https://suumo.jp/chintai/jnc_000074354079/?bc=100485007681"/>
    <s v="ＪＲ中央線 中野駅 3階建 築19年"/>
    <s v="東京都中野区中野６"/>
    <n v="82000"/>
    <n v="3000"/>
    <m/>
    <m/>
    <n v="3"/>
    <x v="2"/>
    <n v="21.94"/>
    <n v="19"/>
    <x v="2"/>
    <s v="中野駅"/>
    <n v="10"/>
    <n v="14.67"/>
    <n v="133470.28"/>
    <n v="95329.65"/>
    <n v="286"/>
    <n v="1622"/>
    <s v="20-30"/>
    <x v="7"/>
  </r>
  <r>
    <s v="https://suumo.jp/chintai/jnc_000103594145/?bc=100481791690"/>
    <s v="ＪＲ中央線 中野駅 3階建 築20年"/>
    <s v="東京都中野区中野２"/>
    <n v="85000"/>
    <n v="7000"/>
    <n v="85000"/>
    <n v="85000"/>
    <n v="1"/>
    <x v="2"/>
    <n v="19.21"/>
    <n v="20"/>
    <x v="2"/>
    <s v="中野駅"/>
    <n v="4"/>
    <n v="12.67"/>
    <n v="133470.28"/>
    <n v="95329.65"/>
    <n v="286"/>
    <n v="1622"/>
    <s v="10-20"/>
    <x v="7"/>
  </r>
  <r>
    <s v="https://suumo.jp/chintai/jnc_000102324385/?bc=100473895566"/>
    <s v="ＪＲ中央線 中野駅 3階建 築20年"/>
    <s v="東京都中野区新井２"/>
    <n v="85000"/>
    <n v="2000"/>
    <n v="85000"/>
    <n v="85000"/>
    <n v="2"/>
    <x v="2"/>
    <n v="23.66"/>
    <n v="20"/>
    <x v="2"/>
    <s v="中野駅"/>
    <n v="8"/>
    <n v="10"/>
    <n v="133470.28"/>
    <n v="95329.65"/>
    <n v="286"/>
    <n v="1622"/>
    <s v="20-30"/>
    <x v="7"/>
  </r>
  <r>
    <s v="https://suumo.jp/chintai/jnc_000104117706/?bc=100483140384"/>
    <s v="ＪＲ中央線 中野駅 3階建 築28年"/>
    <s v="東京都中野区中野５"/>
    <n v="86000"/>
    <n v="2000"/>
    <n v="86000"/>
    <m/>
    <n v="3"/>
    <x v="2"/>
    <n v="25.92"/>
    <n v="28"/>
    <x v="2"/>
    <s v="中野駅"/>
    <n v="7"/>
    <n v="12"/>
    <n v="133470.28"/>
    <n v="95329.65"/>
    <n v="286"/>
    <n v="1622"/>
    <s v="20-30"/>
    <x v="1"/>
  </r>
  <r>
    <s v="https://suumo.jp/chintai/jnc_000080905163/?bc=100483458101"/>
    <s v="ＪＲ中央線 中野駅 3階建 築3年"/>
    <s v="東京都中野区新井２"/>
    <n v="130000"/>
    <n v="6000"/>
    <n v="130000"/>
    <n v="130000"/>
    <n v="2"/>
    <x v="2"/>
    <n v="30.17"/>
    <n v="3"/>
    <x v="2"/>
    <s v="中野駅"/>
    <n v="9"/>
    <n v="9.33"/>
    <n v="133470.28"/>
    <n v="95329.65"/>
    <n v="286"/>
    <n v="1622"/>
    <s v="30-40"/>
    <x v="0"/>
  </r>
  <r>
    <s v="https://suumo.jp/chintai/jnc_000103680800/?bc=100481412429"/>
    <s v="ＪＲ中央線 中野駅 3階建 築40年"/>
    <s v="東京都中野区中野６"/>
    <n v="79000"/>
    <n v="3000"/>
    <n v="79000"/>
    <n v="79000"/>
    <n v="2"/>
    <x v="2"/>
    <n v="18.559999999999999"/>
    <n v="40"/>
    <x v="2"/>
    <s v="中野駅"/>
    <n v="12"/>
    <n v="13"/>
    <n v="133470.28"/>
    <n v="95329.65"/>
    <n v="286"/>
    <n v="1622"/>
    <s v="10-20"/>
    <x v="4"/>
  </r>
  <r>
    <s v="https://suumo.jp/chintai/jnc_000103743361/?bc=100480232842"/>
    <s v="ＪＲ中央線 中野駅 3階建 築7年"/>
    <s v="東京都中野区中野６"/>
    <n v="97000"/>
    <n v="3000"/>
    <n v="97000"/>
    <n v="97000"/>
    <n v="1"/>
    <x v="2"/>
    <n v="19.399999999999999"/>
    <n v="7"/>
    <x v="2"/>
    <s v="中野駅"/>
    <n v="10"/>
    <n v="12.33"/>
    <n v="133470.28"/>
    <n v="95329.65"/>
    <n v="286"/>
    <n v="1622"/>
    <s v="10-20"/>
    <x v="0"/>
  </r>
  <r>
    <s v="https://suumo.jp/chintai/jnc_000103787158/?bc=100480534072"/>
    <s v="ＪＲ中央線 中野駅 4階建 築30年"/>
    <s v="東京都中野区中野５"/>
    <n v="92000"/>
    <n v="4000"/>
    <n v="92000"/>
    <n v="92000"/>
    <n v="4"/>
    <x v="2"/>
    <n v="21.51"/>
    <n v="30"/>
    <x v="4"/>
    <s v="中野駅"/>
    <n v="4"/>
    <n v="13.67"/>
    <n v="133470.28"/>
    <n v="95329.65"/>
    <n v="286"/>
    <n v="1622"/>
    <s v="20-30"/>
    <x v="1"/>
  </r>
  <r>
    <s v="https://suumo.jp/chintai/jnc_000104454968/?bc=100485781024"/>
    <s v="ＪＲ中央線 中野駅 4階建 築36年"/>
    <s v="東京都中野区新井２"/>
    <n v="78000"/>
    <n v="5000"/>
    <n v="78000"/>
    <n v="78000"/>
    <n v="1"/>
    <x v="2"/>
    <n v="20.3"/>
    <n v="36"/>
    <x v="4"/>
    <s v="中野駅"/>
    <n v="10"/>
    <n v="10"/>
    <n v="133470.28"/>
    <n v="95329.65"/>
    <n v="286"/>
    <n v="1622"/>
    <s v="20-30"/>
    <x v="4"/>
  </r>
  <r>
    <s v="https://suumo.jp/chintai/jnc_000054538236/?bc=100485412365"/>
    <s v="ＪＲ中央線 中野駅 4階建 築40年"/>
    <s v="東京都中野区中野５"/>
    <n v="61000"/>
    <m/>
    <n v="61000"/>
    <m/>
    <n v="2"/>
    <x v="2"/>
    <n v="14.25"/>
    <n v="40"/>
    <x v="4"/>
    <s v="中野駅"/>
    <n v="4"/>
    <n v="12"/>
    <n v="133470.28"/>
    <n v="95329.65"/>
    <n v="286"/>
    <n v="1622"/>
    <s v="10-20"/>
    <x v="4"/>
  </r>
  <r>
    <s v="https://suumo.jp/chintai/jnc_000103873801/?bc=100481334602"/>
    <s v="ＪＲ中央線 中野駅 4階建 築54年"/>
    <s v="東京都中野区中野５"/>
    <n v="93000"/>
    <n v="9000"/>
    <n v="93000"/>
    <n v="93000"/>
    <n v="3"/>
    <x v="2"/>
    <n v="24.71"/>
    <n v="54"/>
    <x v="4"/>
    <s v="中野駅"/>
    <n v="6"/>
    <n v="14"/>
    <n v="133470.28"/>
    <n v="95329.65"/>
    <n v="286"/>
    <n v="1622"/>
    <s v="20-30"/>
    <x v="5"/>
  </r>
  <r>
    <s v="https://suumo.jp/chintai/jnc_000104215460/?bc=100483549186"/>
    <s v="ＪＲ中央線 中野駅 5階建 築6年"/>
    <s v="東京都中野区中野５"/>
    <n v="146000"/>
    <n v="12000"/>
    <n v="146000"/>
    <n v="146000"/>
    <n v="3"/>
    <x v="2"/>
    <n v="25.22"/>
    <n v="6"/>
    <x v="7"/>
    <s v="中野駅"/>
    <n v="5"/>
    <n v="13.33"/>
    <n v="133470.28"/>
    <n v="95329.65"/>
    <n v="286"/>
    <n v="1622"/>
    <s v="20-30"/>
    <x v="0"/>
  </r>
  <r>
    <s v="https://suumo.jp/chintai/jnc_000104229982/?bc=100476309644"/>
    <s v="ＪＲ中央線 中野駅 5階建 築6年"/>
    <s v="東京都中野区中野５"/>
    <n v="147000"/>
    <n v="12000"/>
    <n v="147000"/>
    <n v="147000"/>
    <n v="4"/>
    <x v="2"/>
    <n v="25.3"/>
    <n v="6"/>
    <x v="7"/>
    <s v="中野駅"/>
    <n v="5"/>
    <n v="13.33"/>
    <n v="133470.28"/>
    <n v="95329.65"/>
    <n v="286"/>
    <n v="1622"/>
    <s v="20-30"/>
    <x v="0"/>
  </r>
  <r>
    <s v="https://suumo.jp/chintai/jnc_000095989673/?bc=100475945664"/>
    <s v="ＪＲ中央線 中野駅 5階建 築6年"/>
    <s v="東京都中野区中野５"/>
    <n v="152000"/>
    <n v="12000"/>
    <n v="152000"/>
    <n v="152000"/>
    <n v="4"/>
    <x v="2"/>
    <n v="25.3"/>
    <n v="6"/>
    <x v="7"/>
    <s v="中野駅"/>
    <n v="5"/>
    <n v="13.33"/>
    <n v="133470.28"/>
    <n v="95329.65"/>
    <n v="286"/>
    <n v="1622"/>
    <s v="20-30"/>
    <x v="0"/>
  </r>
  <r>
    <s v="https://suumo.jp/chintai/jnc_000104215462/?bc=100475232550"/>
    <s v="ＪＲ中央線 中野駅 5階建 築6年"/>
    <s v="東京都中野区中野５"/>
    <n v="148000"/>
    <n v="12000"/>
    <n v="148000"/>
    <n v="148000"/>
    <n v="5"/>
    <x v="2"/>
    <n v="25.15"/>
    <n v="6"/>
    <x v="7"/>
    <s v="中野駅"/>
    <n v="5"/>
    <n v="13.33"/>
    <n v="133470.28"/>
    <n v="95329.65"/>
    <n v="286"/>
    <n v="1622"/>
    <s v="20-30"/>
    <x v="0"/>
  </r>
  <r>
    <s v="https://suumo.jp/chintai/jnc_000104215461/?bc=100483673969"/>
    <s v="ＪＲ中央線 中野駅 5階建 築6年"/>
    <s v="東京都中野区中野５"/>
    <n v="148000"/>
    <n v="12000"/>
    <n v="148000"/>
    <n v="148000"/>
    <n v="5"/>
    <x v="2"/>
    <n v="25.3"/>
    <n v="6"/>
    <x v="7"/>
    <s v="中野駅"/>
    <n v="5"/>
    <n v="13.33"/>
    <n v="133470.28"/>
    <n v="95329.65"/>
    <n v="286"/>
    <n v="1622"/>
    <s v="20-30"/>
    <x v="0"/>
  </r>
  <r>
    <s v="https://suumo.jp/chintai/jnc_000103386562/?bc=100477123336"/>
    <s v="ＪＲ中央線 中野駅 7階建 築35年"/>
    <s v="東京都中野区中野５"/>
    <n v="160000"/>
    <n v="8000"/>
    <n v="320000"/>
    <n v="176000"/>
    <n v="2"/>
    <x v="2"/>
    <n v="42.33"/>
    <n v="35"/>
    <x v="10"/>
    <s v="中野駅"/>
    <n v="10"/>
    <n v="13.33"/>
    <n v="133470.28"/>
    <n v="95329.65"/>
    <n v="286"/>
    <n v="1622"/>
    <s v="40-50"/>
    <x v="4"/>
  </r>
  <r>
    <s v="https://suumo.jp/chintai/jnc_000104510070/?bc=100486235830"/>
    <s v="ＪＲ中央線 中野駅 7階建 築8年"/>
    <s v="東京都中野区新井１"/>
    <n v="125000"/>
    <n v="10000"/>
    <n v="125000"/>
    <n v="125000"/>
    <n v="5"/>
    <x v="2"/>
    <n v="26.07"/>
    <n v="8"/>
    <x v="10"/>
    <s v="中野駅"/>
    <n v="9"/>
    <n v="9.33"/>
    <n v="133470.28"/>
    <n v="95329.65"/>
    <n v="286"/>
    <n v="1622"/>
    <s v="20-30"/>
    <x v="0"/>
  </r>
  <r>
    <s v="https://suumo.jp/chintai/jnc_000103024396/?bc=100474669637"/>
    <s v="ＪＲ中央線 中野駅 7階建 築8年"/>
    <s v="東京都中野区新井１"/>
    <n v="148000"/>
    <n v="10000"/>
    <n v="148000"/>
    <n v="148000"/>
    <n v="5"/>
    <x v="2"/>
    <n v="29.22"/>
    <n v="8"/>
    <x v="10"/>
    <s v="中野駅"/>
    <n v="9"/>
    <n v="9.33"/>
    <n v="133470.28"/>
    <n v="95329.65"/>
    <n v="286"/>
    <n v="1622"/>
    <s v="20-30"/>
    <x v="0"/>
  </r>
  <r>
    <s v="https://suumo.jp/chintai/jnc_000104086234/?bc=100482942875"/>
    <s v="ＪＲ中央線 中野駅 8階建 築20年"/>
    <s v="東京都中野区中野２"/>
    <n v="143000"/>
    <n v="5000"/>
    <n v="143000"/>
    <n v="143000"/>
    <n v="8"/>
    <x v="2"/>
    <n v="29.56"/>
    <n v="20"/>
    <x v="9"/>
    <s v="中野駅"/>
    <n v="4"/>
    <n v="12"/>
    <n v="133470.28"/>
    <n v="95329.65"/>
    <n v="286"/>
    <n v="1622"/>
    <s v="20-30"/>
    <x v="7"/>
  </r>
  <r>
    <s v="https://suumo.jp/chintai/jnc_000104192446/?bc=100483673966"/>
    <s v="ＪＲ中央線 中野駅 8階建 築6年"/>
    <s v="東京都中野区新井１"/>
    <n v="133000"/>
    <n v="10000"/>
    <m/>
    <m/>
    <n v="4"/>
    <x v="2"/>
    <n v="25.45"/>
    <n v="6"/>
    <x v="9"/>
    <s v="中野駅"/>
    <n v="8"/>
    <n v="10.33"/>
    <n v="133470.28"/>
    <n v="95329.65"/>
    <n v="286"/>
    <n v="1622"/>
    <s v="20-30"/>
    <x v="0"/>
  </r>
  <r>
    <s v="https://suumo.jp/chintai/jnc_000104010585/?bc=100482217612"/>
    <s v="ＪＲ中央線 中野駅 9階建 築11年"/>
    <s v="東京都中野区中野３"/>
    <n v="132000"/>
    <n v="10000"/>
    <n v="132000"/>
    <n v="264000"/>
    <n v="6"/>
    <x v="2"/>
    <n v="26.73"/>
    <n v="11"/>
    <x v="6"/>
    <s v="中野駅"/>
    <n v="2"/>
    <n v="11.67"/>
    <n v="133470.28"/>
    <n v="95329.65"/>
    <n v="286"/>
    <n v="1622"/>
    <s v="20-30"/>
    <x v="7"/>
  </r>
  <r>
    <s v="https://suumo.jp/chintai/jnc_000104454985/?bc=100485929878"/>
    <s v="ＪＲ中央線 中野駅 9階建 築11年"/>
    <s v="東京都中野区中野３"/>
    <n v="134000"/>
    <n v="10000"/>
    <n v="134000"/>
    <n v="268000"/>
    <n v="7"/>
    <x v="2"/>
    <n v="26.73"/>
    <n v="11"/>
    <x v="6"/>
    <s v="中野駅"/>
    <n v="2"/>
    <n v="11.67"/>
    <n v="133470.28"/>
    <n v="95329.65"/>
    <n v="286"/>
    <n v="1622"/>
    <s v="20-30"/>
    <x v="7"/>
  </r>
  <r>
    <s v="https://suumo.jp/chintai/jnc_000103619510/?bc=100480348185"/>
    <s v="ＪＲ中央線 中野駅 9階建 築2年"/>
    <s v="東京都中野区中野５"/>
    <n v="152000"/>
    <n v="13000"/>
    <m/>
    <m/>
    <n v="8"/>
    <x v="2"/>
    <n v="28.42"/>
    <n v="2"/>
    <x v="6"/>
    <s v="中野駅"/>
    <n v="10"/>
    <n v="11"/>
    <n v="133470.28"/>
    <n v="95329.65"/>
    <n v="286"/>
    <n v="1622"/>
    <s v="20-30"/>
    <x v="0"/>
  </r>
  <r>
    <s v="https://suumo.jp/chintai/jnc_000103150916/?bc=100475417286"/>
    <s v="ＪＲ中央線 中野駅 地下1地上5階建 築35年"/>
    <s v="東京都中野区新井１"/>
    <n v="69000"/>
    <n v="5000"/>
    <m/>
    <n v="69000"/>
    <n v="5"/>
    <x v="2"/>
    <n v="19.04"/>
    <n v="35"/>
    <x v="5"/>
    <s v="中野駅"/>
    <n v="9"/>
    <n v="11.67"/>
    <n v="133470.28"/>
    <n v="95329.65"/>
    <n v="286"/>
    <n v="1622"/>
    <s v="10-20"/>
    <x v="4"/>
  </r>
  <r>
    <s v="https://suumo.jp/chintai/jnc_000104241714/?bc=100484106867"/>
    <s v="ＪＲ中央線 中野駅 地下4地上4階建 築5年"/>
    <s v="東京都中野区中野５"/>
    <n v="125000"/>
    <n v="15000"/>
    <m/>
    <m/>
    <n v="2"/>
    <x v="2"/>
    <n v="28.35"/>
    <n v="5"/>
    <x v="9"/>
    <s v="中野駅"/>
    <n v="10"/>
    <n v="13"/>
    <n v="133470.28"/>
    <n v="95329.65"/>
    <n v="286"/>
    <n v="1622"/>
    <s v="20-30"/>
    <x v="0"/>
  </r>
  <r>
    <s v="https://suumo.jp/chintai/jnc_000102818734/?bc=100473640775"/>
    <s v="ＪＲ総武線 中野駅 2階建 築44年"/>
    <s v="東京都中野区中野５"/>
    <n v="74000"/>
    <n v="2500"/>
    <n v="74000"/>
    <n v="74000"/>
    <n v="1"/>
    <x v="2"/>
    <n v="23.5"/>
    <n v="44"/>
    <x v="0"/>
    <s v="中野駅"/>
    <n v="4"/>
    <n v="13"/>
    <n v="133470.28"/>
    <n v="95329.65"/>
    <n v="286"/>
    <n v="1622"/>
    <s v="20-30"/>
    <x v="3"/>
  </r>
  <r>
    <s v="https://suumo.jp/chintai/jnc_000092175580/?bc=100482248010"/>
    <s v="ＪＲ総武線 中野駅 4階建 築42年"/>
    <s v="東京都中野区中野５"/>
    <n v="62000"/>
    <n v="5000"/>
    <m/>
    <m/>
    <n v="2"/>
    <x v="2"/>
    <n v="14.25"/>
    <n v="42"/>
    <x v="4"/>
    <s v="中野駅"/>
    <n v="4"/>
    <n v="12"/>
    <n v="133470.28"/>
    <n v="95329.65"/>
    <n v="286"/>
    <n v="1622"/>
    <s v="10-20"/>
    <x v="3"/>
  </r>
  <r>
    <s v="https://suumo.jp/chintai/jnc_000102489912/?bc=100478608487"/>
    <s v="ＪＲ総武線 中野駅 7階建 築20年"/>
    <s v="東京都中野区中野５"/>
    <n v="121000"/>
    <n v="6000"/>
    <n v="121000"/>
    <m/>
    <n v="1"/>
    <x v="2"/>
    <n v="26.85"/>
    <n v="20"/>
    <x v="10"/>
    <s v="中野駅"/>
    <n v="5"/>
    <n v="14"/>
    <n v="133470.28"/>
    <n v="95329.65"/>
    <n v="286"/>
    <n v="1622"/>
    <s v="20-30"/>
    <x v="7"/>
  </r>
  <r>
    <s v="https://suumo.jp/chintai/jnc_000098525839/?bc=100467668709"/>
    <s v="Ｖ－ｍｕｓｉｃ中野"/>
    <s v="東京都中野区中野５"/>
    <n v="147000"/>
    <n v="13000"/>
    <m/>
    <m/>
    <n v="2"/>
    <x v="2"/>
    <n v="28.38"/>
    <n v="2"/>
    <x v="6"/>
    <s v="中野駅"/>
    <n v="10"/>
    <n v="10.67"/>
    <n v="133470.28"/>
    <n v="95329.65"/>
    <n v="286"/>
    <n v="1622"/>
    <s v="20-30"/>
    <x v="0"/>
  </r>
  <r>
    <s v="https://suumo.jp/chintai/jnc_000103619509/?bc=100486339192"/>
    <s v="Ｖ－ｍｕｓｉｃ中野"/>
    <s v="東京都中野区中野５"/>
    <n v="152000"/>
    <n v="13000"/>
    <m/>
    <m/>
    <n v="8"/>
    <x v="2"/>
    <n v="28.42"/>
    <n v="2"/>
    <x v="6"/>
    <s v="中野駅"/>
    <n v="10"/>
    <n v="10.67"/>
    <n v="133470.28"/>
    <n v="95329.65"/>
    <n v="286"/>
    <n v="1622"/>
    <s v="20-30"/>
    <x v="0"/>
  </r>
  <r>
    <s v="https://suumo.jp/chintai/jnc_000104368696/?bc=100485606160"/>
    <s v="CB中野イリゼ"/>
    <s v="東京都中野区中野５"/>
    <n v="130000"/>
    <n v="4300"/>
    <m/>
    <n v="130000"/>
    <n v="3"/>
    <x v="3"/>
    <n v="37.39"/>
    <n v="6"/>
    <x v="2"/>
    <s v="中野駅"/>
    <n v="7"/>
    <n v="10.33"/>
    <n v="133470.28"/>
    <n v="168453.81"/>
    <n v="286"/>
    <n v="788"/>
    <s v="30-40"/>
    <x v="0"/>
  </r>
  <r>
    <s v="https://suumo.jp/chintai/jnc_000104241711/?bc=100484261652"/>
    <s v="GRAN　PASEO 中野"/>
    <s v="東京都中野区中野５"/>
    <n v="195000"/>
    <n v="15000"/>
    <m/>
    <m/>
    <n v="1"/>
    <x v="3"/>
    <n v="46.35"/>
    <n v="5"/>
    <x v="4"/>
    <s v="中野駅"/>
    <n v="10"/>
    <n v="12.33"/>
    <n v="133470.28"/>
    <n v="168453.81"/>
    <n v="286"/>
    <n v="788"/>
    <s v="40-50"/>
    <x v="0"/>
  </r>
  <r>
    <s v="https://suumo.jp/chintai/jnc_000103735174/?bc=100480375003"/>
    <s v="quador中野"/>
    <s v="東京都中野区中野６"/>
    <n v="192000"/>
    <n v="15000"/>
    <m/>
    <n v="96000"/>
    <n v="4"/>
    <x v="3"/>
    <n v="40.409999999999997"/>
    <n v="5"/>
    <x v="4"/>
    <s v="中野駅"/>
    <n v="9"/>
    <n v="12.67"/>
    <n v="133470.28"/>
    <n v="168453.81"/>
    <n v="286"/>
    <n v="788"/>
    <s v="40-50"/>
    <x v="0"/>
  </r>
  <r>
    <s v="https://suumo.jp/chintai/jnc_000101191635/?bc=100477325300"/>
    <s v="quador中野"/>
    <s v="東京都中野区中野６"/>
    <n v="200000"/>
    <n v="15000"/>
    <m/>
    <n v="100000"/>
    <n v="4"/>
    <x v="3"/>
    <n v="40.409999999999997"/>
    <n v="5"/>
    <x v="4"/>
    <s v="中野駅"/>
    <n v="9"/>
    <n v="12.67"/>
    <n v="133470.28"/>
    <n v="168453.81"/>
    <n v="286"/>
    <n v="788"/>
    <s v="40-50"/>
    <x v="0"/>
  </r>
  <r>
    <s v="https://suumo.jp/chintai/jnc_000103735172/?bc=100481224236"/>
    <s v="quador中野"/>
    <s v="東京都中野区中野６"/>
    <n v="194000"/>
    <n v="15000"/>
    <m/>
    <n v="97000"/>
    <n v="4"/>
    <x v="3"/>
    <n v="40.770000000000003"/>
    <n v="5"/>
    <x v="4"/>
    <s v="中野駅"/>
    <n v="9"/>
    <n v="12.67"/>
    <n v="133470.28"/>
    <n v="168453.81"/>
    <n v="286"/>
    <n v="788"/>
    <s v="40-50"/>
    <x v="0"/>
  </r>
  <r>
    <s v="https://suumo.jp/chintai/jnc_000103536618/?bc=100485512245"/>
    <s v="trias154"/>
    <s v="東京都中野区新井１"/>
    <n v="126000"/>
    <n v="18000"/>
    <m/>
    <n v="63000"/>
    <n v="2"/>
    <x v="3"/>
    <n v="25"/>
    <n v="0"/>
    <x v="7"/>
    <s v="中野駅"/>
    <n v="7"/>
    <n v="11.33"/>
    <n v="133470.28"/>
    <n v="168453.81"/>
    <n v="286"/>
    <n v="788"/>
    <s v="20-30"/>
    <x v="6"/>
  </r>
  <r>
    <s v="https://suumo.jp/chintai/jnc_000104286376/?bc=100484472816"/>
    <s v="trias154"/>
    <s v="東京都中野区新井１"/>
    <n v="149000"/>
    <n v="18000"/>
    <m/>
    <n v="149000"/>
    <n v="3"/>
    <x v="3"/>
    <n v="25"/>
    <n v="0"/>
    <x v="7"/>
    <s v="中野駅"/>
    <n v="7"/>
    <n v="11.33"/>
    <n v="133470.28"/>
    <n v="168453.81"/>
    <n v="286"/>
    <n v="788"/>
    <s v="20-30"/>
    <x v="6"/>
  </r>
  <r>
    <s v="https://suumo.jp/chintai/jnc_000103536619/?bc=100477757174"/>
    <s v="trias154"/>
    <s v="東京都中野区新井１"/>
    <n v="140000"/>
    <n v="18000"/>
    <m/>
    <n v="140000"/>
    <n v="5"/>
    <x v="3"/>
    <n v="27.28"/>
    <n v="0"/>
    <x v="7"/>
    <s v="中野駅"/>
    <n v="7"/>
    <n v="11.33"/>
    <n v="133470.28"/>
    <n v="168453.81"/>
    <n v="286"/>
    <n v="788"/>
    <s v="20-30"/>
    <x v="6"/>
  </r>
  <r>
    <s v="https://suumo.jp/chintai/jnc_000103909144/?bc=100481651229"/>
    <s v="アズ中野レジデンス"/>
    <s v="東京都中野区中野６"/>
    <n v="155000"/>
    <n v="5000"/>
    <n v="155000"/>
    <m/>
    <n v="4"/>
    <x v="3"/>
    <n v="39.35"/>
    <n v="22"/>
    <x v="4"/>
    <s v="中野駅"/>
    <n v="11"/>
    <n v="11.67"/>
    <n v="133470.28"/>
    <n v="168453.81"/>
    <n v="286"/>
    <n v="788"/>
    <s v="30-40"/>
    <x v="1"/>
  </r>
  <r>
    <s v="https://suumo.jp/chintai/jnc_000103103326/?bc=100485043765"/>
    <s v="アトリオフラッツ中野"/>
    <s v="東京都中野区新井２"/>
    <n v="189000"/>
    <n v="15000"/>
    <n v="189000"/>
    <m/>
    <n v="2"/>
    <x v="3"/>
    <n v="40.71"/>
    <n v="3"/>
    <x v="4"/>
    <s v="中野駅"/>
    <n v="10"/>
    <n v="11.33"/>
    <n v="133470.28"/>
    <n v="168453.81"/>
    <n v="286"/>
    <n v="788"/>
    <s v="40-50"/>
    <x v="0"/>
  </r>
  <r>
    <s v="https://suumo.jp/chintai/jnc_000102396462/?bc=100479316852"/>
    <s v="アンジュール中野"/>
    <s v="東京都中野区中野６"/>
    <n v="188000"/>
    <n v="6000"/>
    <m/>
    <n v="188000"/>
    <n v="3"/>
    <x v="3"/>
    <n v="42.39"/>
    <n v="4"/>
    <x v="2"/>
    <s v="中野駅"/>
    <n v="10"/>
    <n v="14"/>
    <n v="133470.28"/>
    <n v="168453.81"/>
    <n v="286"/>
    <n v="788"/>
    <s v="40-50"/>
    <x v="0"/>
  </r>
  <r>
    <s v="https://suumo.jp/chintai/jnc_000103750571/?bc=100480207882"/>
    <s v="アンジュール中野"/>
    <s v="東京都中野区中野６"/>
    <n v="194000"/>
    <n v="6000"/>
    <m/>
    <n v="194000"/>
    <n v="3"/>
    <x v="3"/>
    <n v="42.39"/>
    <n v="4"/>
    <x v="2"/>
    <s v="中野駅"/>
    <n v="10"/>
    <n v="14"/>
    <n v="133470.28"/>
    <n v="168453.81"/>
    <n v="286"/>
    <n v="788"/>
    <s v="40-50"/>
    <x v="0"/>
  </r>
  <r>
    <s v="https://suumo.jp/chintai/jnc_000104156762/?bc=100483887160"/>
    <s v="イーストポイント中野"/>
    <s v="東京都中野区中野５"/>
    <n v="172000"/>
    <n v="10000"/>
    <n v="172000"/>
    <n v="344000"/>
    <n v="4"/>
    <x v="3"/>
    <n v="37.31"/>
    <n v="16"/>
    <x v="7"/>
    <s v="中野駅"/>
    <n v="3"/>
    <n v="9"/>
    <n v="133470.28"/>
    <n v="168453.81"/>
    <n v="286"/>
    <n v="788"/>
    <s v="30-40"/>
    <x v="7"/>
  </r>
  <r>
    <s v="https://suumo.jp/chintai/jnc_000102986866/?bc=100474005055"/>
    <s v="カーサドルチェ中野"/>
    <s v="東京都中野区中野６"/>
    <n v="88000"/>
    <m/>
    <n v="88000"/>
    <n v="88000"/>
    <n v="1"/>
    <x v="3"/>
    <n v="38.880000000000003"/>
    <n v="34"/>
    <x v="0"/>
    <s v="中野駅"/>
    <n v="10"/>
    <n v="12.67"/>
    <n v="133470.28"/>
    <n v="168453.81"/>
    <n v="286"/>
    <n v="788"/>
    <s v="30-40"/>
    <x v="4"/>
  </r>
  <r>
    <s v="https://suumo.jp/chintai/jnc_000103903819/?bc=100479658083"/>
    <s v="クアードロ中野223"/>
    <s v="東京都中野区新井２"/>
    <n v="190000"/>
    <n v="20000"/>
    <n v="190000"/>
    <m/>
    <n v="1"/>
    <x v="3"/>
    <n v="40.21"/>
    <n v="0"/>
    <x v="4"/>
    <s v="中野駅"/>
    <n v="11"/>
    <n v="12"/>
    <n v="133470.28"/>
    <n v="168453.81"/>
    <n v="286"/>
    <n v="788"/>
    <s v="40-50"/>
    <x v="6"/>
  </r>
  <r>
    <s v="https://suumo.jp/chintai/jnc_000103903822/?bc=100479661731"/>
    <s v="クアードロ中野223"/>
    <s v="東京都中野区新井２"/>
    <n v="160000"/>
    <n v="15000"/>
    <n v="160000"/>
    <m/>
    <n v="2"/>
    <x v="3"/>
    <n v="30.75"/>
    <n v="0"/>
    <x v="4"/>
    <s v="中野駅"/>
    <n v="11"/>
    <n v="12"/>
    <n v="133470.28"/>
    <n v="168453.81"/>
    <n v="286"/>
    <n v="788"/>
    <s v="30-40"/>
    <x v="6"/>
  </r>
  <r>
    <s v="https://suumo.jp/chintai/jnc_000103903821/?bc=100479659505"/>
    <s v="クアードロ中野223"/>
    <s v="東京都中野区新井２"/>
    <n v="200000"/>
    <n v="20000"/>
    <n v="200000"/>
    <m/>
    <n v="2"/>
    <x v="3"/>
    <n v="40.21"/>
    <n v="0"/>
    <x v="4"/>
    <s v="中野駅"/>
    <n v="11"/>
    <n v="12"/>
    <n v="133470.28"/>
    <n v="168453.81"/>
    <n v="286"/>
    <n v="788"/>
    <s v="40-50"/>
    <x v="6"/>
  </r>
  <r>
    <s v="https://suumo.jp/chintai/jnc_000103903824/?bc=100479662722"/>
    <s v="クアードロ中野223"/>
    <s v="東京都中野区新井２"/>
    <n v="165000"/>
    <n v="15000"/>
    <n v="165000"/>
    <m/>
    <n v="3"/>
    <x v="3"/>
    <n v="30.75"/>
    <n v="0"/>
    <x v="4"/>
    <s v="中野駅"/>
    <n v="11"/>
    <n v="12"/>
    <n v="133470.28"/>
    <n v="168453.81"/>
    <n v="286"/>
    <n v="788"/>
    <s v="30-40"/>
    <x v="6"/>
  </r>
  <r>
    <s v="https://suumo.jp/chintai/jnc_000103903823/?bc=100479662252"/>
    <s v="クアードロ中野223"/>
    <s v="東京都中野区新井２"/>
    <n v="205000"/>
    <n v="20000"/>
    <n v="205000"/>
    <m/>
    <n v="3"/>
    <x v="3"/>
    <n v="40.21"/>
    <n v="0"/>
    <x v="4"/>
    <s v="中野駅"/>
    <n v="11"/>
    <n v="12"/>
    <n v="133470.28"/>
    <n v="168453.81"/>
    <n v="286"/>
    <n v="788"/>
    <s v="40-50"/>
    <x v="6"/>
  </r>
  <r>
    <s v="https://suumo.jp/chintai/jnc_000103903825/?bc=100479663359"/>
    <s v="クアードロ中野223"/>
    <s v="東京都中野区新井２"/>
    <n v="210000"/>
    <n v="20000"/>
    <n v="210000"/>
    <m/>
    <n v="4"/>
    <x v="3"/>
    <n v="40.21"/>
    <n v="0"/>
    <x v="4"/>
    <s v="中野駅"/>
    <n v="11"/>
    <n v="12"/>
    <n v="133470.28"/>
    <n v="168453.81"/>
    <n v="286"/>
    <n v="788"/>
    <s v="40-50"/>
    <x v="6"/>
  </r>
  <r>
    <s v="https://suumo.jp/chintai/jnc_000103357981/?bc=100476846614"/>
    <s v="コンフォルテハイム中野"/>
    <s v="東京都中野区中野５"/>
    <n v="150000"/>
    <n v="10000"/>
    <n v="150000"/>
    <m/>
    <n v="6"/>
    <x v="3"/>
    <n v="38.979999999999997"/>
    <n v="21"/>
    <x v="1"/>
    <s v="中野駅"/>
    <n v="11"/>
    <n v="12.67"/>
    <n v="133470.28"/>
    <n v="168453.81"/>
    <n v="286"/>
    <n v="788"/>
    <s v="30-40"/>
    <x v="1"/>
  </r>
  <r>
    <s v="https://suumo.jp/chintai/jnc_000097205680/?bc=100486076474"/>
    <s v="ドアーズ中野"/>
    <s v="東京都中野区中野５"/>
    <n v="130000"/>
    <n v="10000"/>
    <n v="130000"/>
    <m/>
    <n v="4"/>
    <x v="3"/>
    <n v="43.26"/>
    <n v="37"/>
    <x v="5"/>
    <s v="中野駅"/>
    <n v="8"/>
    <n v="13"/>
    <n v="133470.28"/>
    <n v="168453.81"/>
    <n v="286"/>
    <n v="788"/>
    <s v="40-50"/>
    <x v="4"/>
  </r>
  <r>
    <s v="https://suumo.jp/chintai/jnc_000103563626/?bc=100478553478"/>
    <s v="バウスステージ中野"/>
    <s v="東京都中野区新井１"/>
    <n v="133000"/>
    <n v="10000"/>
    <n v="133000"/>
    <n v="133000"/>
    <n v="9"/>
    <x v="3"/>
    <n v="25.28"/>
    <n v="4"/>
    <x v="12"/>
    <s v="中野駅"/>
    <n v="7"/>
    <n v="8.67"/>
    <n v="133470.28"/>
    <n v="168453.81"/>
    <n v="286"/>
    <n v="788"/>
    <s v="20-30"/>
    <x v="0"/>
  </r>
  <r>
    <s v="https://suumo.jp/chintai/jnc_000104229967/?bc=100484027253"/>
    <s v="パルクＡＹＡ"/>
    <s v="東京都中野区新井２"/>
    <n v="153000"/>
    <n v="3000"/>
    <n v="153000"/>
    <n v="153000"/>
    <n v="1"/>
    <x v="3"/>
    <n v="43.89"/>
    <n v="14"/>
    <x v="2"/>
    <s v="中野駅"/>
    <n v="8"/>
    <n v="14"/>
    <n v="133470.28"/>
    <n v="168453.81"/>
    <n v="286"/>
    <n v="788"/>
    <s v="40-50"/>
    <x v="7"/>
  </r>
  <r>
    <s v="https://suumo.jp/chintai/jnc_000103006494/?bc=100478488635"/>
    <s v="ビバグランデ桃林"/>
    <s v="東京都中野区新井２"/>
    <n v="170000"/>
    <m/>
    <n v="170000"/>
    <n v="340000"/>
    <n v="3"/>
    <x v="3"/>
    <n v="46.97"/>
    <n v="5"/>
    <x v="2"/>
    <s v="中野駅"/>
    <n v="7"/>
    <n v="11.67"/>
    <n v="133470.28"/>
    <n v="168453.81"/>
    <n v="286"/>
    <n v="788"/>
    <s v="40-50"/>
    <x v="0"/>
  </r>
  <r>
    <s v="https://suumo.jp/chintai/jnc_000104357232/?bc=100485127668"/>
    <s v="プラウドフラット中野"/>
    <s v="東京都中野区中野５"/>
    <n v="227000"/>
    <n v="15000"/>
    <n v="227000"/>
    <n v="227000"/>
    <n v="4"/>
    <x v="3"/>
    <n v="40.33"/>
    <n v="6"/>
    <x v="7"/>
    <s v="中野駅"/>
    <n v="6"/>
    <n v="13.67"/>
    <n v="133470.28"/>
    <n v="168453.81"/>
    <n v="286"/>
    <n v="788"/>
    <s v="40-50"/>
    <x v="0"/>
  </r>
  <r>
    <s v="https://suumo.jp/chintai/jnc_000102633019/?bc=100471465201"/>
    <s v="メゾン・ド・プティ"/>
    <s v="東京都中野区中野６"/>
    <n v="168000"/>
    <n v="5000"/>
    <n v="168000"/>
    <n v="252000"/>
    <n v="2"/>
    <x v="3"/>
    <n v="35.799999999999997"/>
    <n v="3"/>
    <x v="2"/>
    <s v="中野駅"/>
    <n v="11"/>
    <n v="12.33"/>
    <n v="133470.28"/>
    <n v="168453.81"/>
    <n v="286"/>
    <n v="788"/>
    <s v="30-40"/>
    <x v="0"/>
  </r>
  <r>
    <s v="https://suumo.jp/chintai/jnc_000103032313/?bc=100482480835"/>
    <s v="ライオンズフォーシア中野"/>
    <s v="東京都中野区新井１"/>
    <n v="253000"/>
    <n v="10000"/>
    <n v="253000"/>
    <m/>
    <n v="8"/>
    <x v="3"/>
    <n v="47.33"/>
    <n v="3"/>
    <x v="9"/>
    <s v="中野駅"/>
    <n v="9"/>
    <n v="12.67"/>
    <n v="133470.28"/>
    <n v="168453.81"/>
    <n v="286"/>
    <n v="788"/>
    <s v="40-50"/>
    <x v="0"/>
  </r>
  <r>
    <s v="https://suumo.jp/chintai/jnc_000084485100/?bc=100482480946"/>
    <s v="ライオンズフォーシア中野"/>
    <s v="東京都中野区新井１"/>
    <n v="248000"/>
    <n v="15000"/>
    <n v="248000"/>
    <m/>
    <n v="8"/>
    <x v="3"/>
    <n v="47.79"/>
    <n v="3"/>
    <x v="9"/>
    <s v="中野駅"/>
    <n v="9"/>
    <n v="12.67"/>
    <n v="133470.28"/>
    <n v="168453.81"/>
    <n v="286"/>
    <n v="788"/>
    <s v="40-50"/>
    <x v="0"/>
  </r>
  <r>
    <s v="https://suumo.jp/chintai/jnc_000101685922/?bc=100461967385"/>
    <s v="リテラス中野"/>
    <s v="東京都中野区中野５"/>
    <n v="131000"/>
    <n v="12000"/>
    <n v="131000"/>
    <n v="131000"/>
    <n v="1"/>
    <x v="3"/>
    <n v="31.39"/>
    <n v="6"/>
    <x v="2"/>
    <s v="中野駅"/>
    <n v="9"/>
    <n v="10.33"/>
    <n v="133470.28"/>
    <n v="168453.81"/>
    <n v="286"/>
    <n v="788"/>
    <s v="30-40"/>
    <x v="0"/>
  </r>
  <r>
    <s v="https://suumo.jp/chintai/jnc_000104510113/?bc=100485924033"/>
    <s v="レコルト中野"/>
    <s v="東京都中野区中野５"/>
    <n v="160000"/>
    <n v="4000"/>
    <n v="160000"/>
    <n v="160000"/>
    <n v="2"/>
    <x v="3"/>
    <n v="37.83"/>
    <n v="7"/>
    <x v="2"/>
    <s v="中野駅"/>
    <n v="4"/>
    <n v="13"/>
    <n v="133470.28"/>
    <n v="168453.81"/>
    <n v="286"/>
    <n v="788"/>
    <s v="30-40"/>
    <x v="0"/>
  </r>
  <r>
    <s v="https://suumo.jp/chintai/jnc_000103762831/?bc=100480373582"/>
    <s v="ロネスタ中野"/>
    <s v="東京都中野区中野５"/>
    <n v="180000"/>
    <n v="10000"/>
    <n v="180000"/>
    <n v="180000"/>
    <n v="3"/>
    <x v="3"/>
    <n v="40.32"/>
    <n v="25"/>
    <x v="4"/>
    <s v="中野駅"/>
    <n v="3"/>
    <n v="12.67"/>
    <n v="133470.28"/>
    <n v="168453.81"/>
    <n v="286"/>
    <n v="788"/>
    <s v="40-50"/>
    <x v="1"/>
  </r>
  <r>
    <s v="https://suumo.jp/chintai/jnc_000102633020/?bc=100471600959"/>
    <s v="東京メトロ東西線 中野駅 3階建 築3年"/>
    <s v="東京都中野区中野６"/>
    <n v="168000"/>
    <n v="5000"/>
    <n v="168000"/>
    <n v="252000"/>
    <n v="2"/>
    <x v="3"/>
    <n v="35.799999999999997"/>
    <n v="3"/>
    <x v="2"/>
    <s v="中野駅"/>
    <n v="11"/>
    <n v="13"/>
    <n v="133470.28"/>
    <n v="168453.81"/>
    <n v="286"/>
    <n v="788"/>
    <s v="30-40"/>
    <x v="0"/>
  </r>
  <r>
    <s v="https://suumo.jp/chintai/jnc_000102087698/?bc=100452910715"/>
    <s v="ＪＲ中央線 中野駅 10階建 築21年"/>
    <s v="東京都中野区中野５"/>
    <n v="218000"/>
    <m/>
    <n v="218000"/>
    <n v="218000"/>
    <n v="6"/>
    <x v="3"/>
    <n v="50.22"/>
    <n v="21"/>
    <x v="1"/>
    <s v="中野駅"/>
    <n v="10"/>
    <n v="12.33"/>
    <n v="133470.28"/>
    <n v="168453.81"/>
    <n v="286"/>
    <n v="788"/>
    <s v="50-60"/>
    <x v="1"/>
  </r>
  <r>
    <s v="https://suumo.jp/chintai/jnc_000102905764/?bc=100479022300"/>
    <s v="ＪＲ中央線 中野駅 3階建 築10年"/>
    <s v="東京都中野区新井２"/>
    <n v="137000"/>
    <n v="6000"/>
    <n v="137000"/>
    <n v="137000"/>
    <n v="3"/>
    <x v="3"/>
    <n v="35.86"/>
    <n v="10"/>
    <x v="2"/>
    <s v="中野駅"/>
    <n v="9"/>
    <n v="12"/>
    <n v="133470.28"/>
    <n v="168453.81"/>
    <n v="286"/>
    <n v="788"/>
    <s v="30-40"/>
    <x v="0"/>
  </r>
  <r>
    <s v="https://suumo.jp/chintai/jnc_000102396463/?bc=100476744328"/>
    <s v="ＪＲ中央線 中野駅 3階建 築4年"/>
    <s v="東京都中野区中野６"/>
    <n v="188000"/>
    <n v="6000"/>
    <m/>
    <n v="188000"/>
    <n v="3"/>
    <x v="3"/>
    <n v="42.39"/>
    <n v="4"/>
    <x v="2"/>
    <s v="中野駅"/>
    <n v="10"/>
    <n v="13.67"/>
    <n v="133470.28"/>
    <n v="168453.81"/>
    <n v="286"/>
    <n v="788"/>
    <s v="40-50"/>
    <x v="0"/>
  </r>
  <r>
    <s v="https://suumo.jp/chintai/jnc_000103792587/?bc=100473972796"/>
    <s v="ＪＲ中央線 中野駅 3階建 築4年"/>
    <s v="東京都中野区中野６"/>
    <n v="194000"/>
    <n v="6000"/>
    <m/>
    <n v="194000"/>
    <n v="3"/>
    <x v="3"/>
    <n v="42.39"/>
    <n v="4"/>
    <x v="2"/>
    <s v="中野駅"/>
    <n v="10"/>
    <n v="13.67"/>
    <n v="133470.28"/>
    <n v="168453.81"/>
    <n v="286"/>
    <n v="788"/>
    <s v="40-50"/>
    <x v="0"/>
  </r>
  <r>
    <s v="https://suumo.jp/chintai/jnc_000104286397/?bc=100484432518"/>
    <s v="ＪＲ中央線 中野駅 3階建 築5年"/>
    <s v="東京都中野区中野５"/>
    <n v="181000"/>
    <n v="9000"/>
    <n v="181000"/>
    <n v="362000"/>
    <n v="2"/>
    <x v="3"/>
    <n v="44.49"/>
    <n v="5"/>
    <x v="2"/>
    <s v="中野駅"/>
    <n v="10"/>
    <n v="11"/>
    <n v="133470.28"/>
    <n v="168453.81"/>
    <n v="286"/>
    <n v="788"/>
    <s v="40-50"/>
    <x v="0"/>
  </r>
  <r>
    <s v="https://suumo.jp/chintai/jnc_000104373078/?bc=100485222305"/>
    <s v="ＪＲ中央線 中野駅 3階建 築6年"/>
    <s v="東京都中野区中野５"/>
    <n v="130000"/>
    <n v="4300"/>
    <m/>
    <n v="130000"/>
    <n v="3"/>
    <x v="3"/>
    <n v="37.39"/>
    <n v="6"/>
    <x v="2"/>
    <s v="中野駅"/>
    <n v="7"/>
    <n v="10.33"/>
    <n v="133470.28"/>
    <n v="168453.81"/>
    <n v="286"/>
    <n v="788"/>
    <s v="30-40"/>
    <x v="0"/>
  </r>
  <r>
    <s v="https://suumo.jp/chintai/jnc_000104510114/?bc=100486177932"/>
    <s v="ＪＲ中央線 中野駅 3階建 築7年"/>
    <s v="東京都中野区中野５"/>
    <n v="160000"/>
    <n v="4000"/>
    <n v="160000"/>
    <n v="160000"/>
    <n v="2"/>
    <x v="3"/>
    <n v="37.83"/>
    <n v="7"/>
    <x v="2"/>
    <s v="中野駅"/>
    <n v="2"/>
    <n v="11.33"/>
    <n v="133470.28"/>
    <n v="168453.81"/>
    <n v="286"/>
    <n v="788"/>
    <s v="30-40"/>
    <x v="0"/>
  </r>
  <r>
    <s v="https://suumo.jp/chintai/jnc_000103756780/?bc=100480348026"/>
    <s v="ＪＲ中央線 中野駅 4階建 築25年"/>
    <s v="東京都中野区中野５"/>
    <n v="180000"/>
    <n v="10000"/>
    <n v="180000"/>
    <n v="180000"/>
    <n v="3"/>
    <x v="3"/>
    <n v="40.32"/>
    <n v="25"/>
    <x v="4"/>
    <s v="中野駅"/>
    <n v="3"/>
    <n v="7"/>
    <n v="133470.28"/>
    <n v="168453.81"/>
    <n v="286"/>
    <n v="788"/>
    <s v="40-50"/>
    <x v="1"/>
  </r>
  <r>
    <s v="https://suumo.jp/chintai/jnc_000103735177/?bc=100479084346"/>
    <s v="ＪＲ中央線 中野駅 4階建 築5年"/>
    <s v="東京都中野区中野６"/>
    <n v="192000"/>
    <n v="15000"/>
    <m/>
    <n v="96000"/>
    <n v="4"/>
    <x v="3"/>
    <n v="40.409999999999997"/>
    <n v="5"/>
    <x v="4"/>
    <s v="中野駅"/>
    <n v="10"/>
    <n v="13.67"/>
    <n v="133470.28"/>
    <n v="168453.81"/>
    <n v="286"/>
    <n v="788"/>
    <s v="40-50"/>
    <x v="0"/>
  </r>
  <r>
    <s v="https://suumo.jp/chintai/jnc_000101191636/?bc=100478028282"/>
    <s v="ＪＲ中央線 中野駅 4階建 築5年"/>
    <s v="東京都中野区中野６"/>
    <n v="200000"/>
    <n v="15000"/>
    <m/>
    <n v="100000"/>
    <n v="4"/>
    <x v="3"/>
    <n v="40.409999999999997"/>
    <n v="5"/>
    <x v="4"/>
    <s v="中野駅"/>
    <n v="10"/>
    <n v="13.67"/>
    <n v="133470.28"/>
    <n v="168453.81"/>
    <n v="286"/>
    <n v="788"/>
    <s v="40-50"/>
    <x v="0"/>
  </r>
  <r>
    <s v="https://suumo.jp/chintai/jnc_000103802420/?bc=100472701810"/>
    <s v="ＪＲ中央線 中野駅 4階建 築5年"/>
    <s v="東京都中野区中野６"/>
    <n v="194000"/>
    <n v="15000"/>
    <m/>
    <n v="97000"/>
    <n v="4"/>
    <x v="3"/>
    <n v="40.770000000000003"/>
    <n v="5"/>
    <x v="4"/>
    <s v="中野駅"/>
    <n v="10"/>
    <n v="13.67"/>
    <n v="133470.28"/>
    <n v="168453.81"/>
    <n v="286"/>
    <n v="788"/>
    <s v="40-50"/>
    <x v="0"/>
  </r>
  <r>
    <s v="https://suumo.jp/chintai/jnc_000103575535/?bc=100479491372"/>
    <s v="ＪＲ中央線 中野駅 5階建 新築"/>
    <s v="東京都中野区新井１"/>
    <n v="126000"/>
    <n v="18000"/>
    <m/>
    <n v="63000"/>
    <n v="2"/>
    <x v="3"/>
    <n v="25"/>
    <n v="0"/>
    <x v="7"/>
    <s v="中野駅"/>
    <n v="7"/>
    <n v="11.33"/>
    <n v="133470.28"/>
    <n v="168453.81"/>
    <n v="286"/>
    <n v="788"/>
    <s v="20-30"/>
    <x v="6"/>
  </r>
  <r>
    <s v="https://suumo.jp/chintai/jnc_000104170650/?bc=100348154760"/>
    <s v="ＪＲ中央線 中野駅 5階建 築16年"/>
    <s v="東京都中野区中野５"/>
    <n v="172000"/>
    <n v="10000"/>
    <n v="172000"/>
    <n v="344000"/>
    <n v="4"/>
    <x v="3"/>
    <n v="37.31"/>
    <n v="16"/>
    <x v="7"/>
    <s v="中野駅"/>
    <n v="3"/>
    <n v="9"/>
    <n v="133470.28"/>
    <n v="168453.81"/>
    <n v="286"/>
    <n v="788"/>
    <s v="30-40"/>
    <x v="7"/>
  </r>
  <r>
    <s v="https://suumo.jp/chintai/jnc_000103459322/?bc=100483458102"/>
    <s v="ＪＲ中央線 中野駅 5階建 築6年"/>
    <s v="東京都中野区中野５"/>
    <n v="224000"/>
    <n v="15000"/>
    <n v="224000"/>
    <n v="224000"/>
    <n v="1"/>
    <x v="3"/>
    <n v="40.159999999999997"/>
    <n v="6"/>
    <x v="7"/>
    <s v="中野駅"/>
    <n v="5"/>
    <n v="13.33"/>
    <n v="133470.28"/>
    <n v="168453.81"/>
    <n v="286"/>
    <n v="788"/>
    <s v="40-50"/>
    <x v="0"/>
  </r>
  <r>
    <s v="https://suumo.jp/chintai/jnc_000104363643/?bc=100485377610"/>
    <s v="ＪＲ中央線 中野駅 5階建 築6年"/>
    <s v="東京都中野区中野５"/>
    <n v="227000"/>
    <n v="15000"/>
    <n v="227000"/>
    <n v="227000"/>
    <n v="4"/>
    <x v="3"/>
    <n v="40.33"/>
    <n v="6"/>
    <x v="7"/>
    <s v="中野駅"/>
    <n v="5"/>
    <n v="13.33"/>
    <n v="133470.28"/>
    <n v="168453.81"/>
    <n v="286"/>
    <n v="788"/>
    <s v="40-50"/>
    <x v="0"/>
  </r>
  <r>
    <s v="https://suumo.jp/chintai/jnc_000097194182/?bc=100484141572"/>
    <s v="ＪＲ中央線 中野駅 6階建 築37年"/>
    <s v="東京都中野区中野５"/>
    <n v="130000"/>
    <n v="10000"/>
    <n v="130000"/>
    <m/>
    <n v="4"/>
    <x v="3"/>
    <n v="43.26"/>
    <n v="37"/>
    <x v="5"/>
    <s v="中野駅"/>
    <n v="9"/>
    <n v="12.67"/>
    <n v="133470.28"/>
    <n v="168453.81"/>
    <n v="286"/>
    <n v="788"/>
    <s v="40-50"/>
    <x v="4"/>
  </r>
  <r>
    <s v="https://suumo.jp/chintai/jnc_000104304029/?bc=100484945439"/>
    <s v="ＪＲ中央線 中野駅 8階建 築20年"/>
    <s v="東京都中野区中野２"/>
    <n v="150000"/>
    <n v="10000"/>
    <m/>
    <n v="150000"/>
    <n v="6"/>
    <x v="3"/>
    <n v="40.81"/>
    <n v="20"/>
    <x v="9"/>
    <s v="中野駅"/>
    <n v="4"/>
    <n v="12"/>
    <n v="133470.28"/>
    <n v="168453.81"/>
    <n v="286"/>
    <n v="788"/>
    <s v="40-50"/>
    <x v="7"/>
  </r>
  <r>
    <s v="https://suumo.jp/chintai/jnc_000103919959/?bc=100481683909"/>
    <s v="ＪＲ中央線 中野駅 地下1地上4階建 築22年"/>
    <s v="東京都中野区中野６"/>
    <n v="155000"/>
    <n v="5000"/>
    <n v="155000"/>
    <m/>
    <n v="4"/>
    <x v="3"/>
    <n v="39.35"/>
    <n v="22"/>
    <x v="7"/>
    <s v="中野駅"/>
    <n v="11"/>
    <n v="12.67"/>
    <n v="133470.28"/>
    <n v="168453.81"/>
    <n v="286"/>
    <n v="788"/>
    <s v="30-40"/>
    <x v="1"/>
  </r>
  <r>
    <s v="https://suumo.jp/chintai/jnc_000104241713/?bc=100484106861"/>
    <s v="ＪＲ中央線 中野駅 地下4地上4階建 築5年"/>
    <s v="東京都中野区中野５"/>
    <n v="195000"/>
    <n v="15000"/>
    <m/>
    <m/>
    <n v="1"/>
    <x v="3"/>
    <n v="46.35"/>
    <n v="5"/>
    <x v="9"/>
    <s v="中野駅"/>
    <n v="10"/>
    <n v="13"/>
    <n v="133470.28"/>
    <n v="168453.81"/>
    <n v="286"/>
    <n v="788"/>
    <s v="40-50"/>
    <x v="0"/>
  </r>
  <r>
    <s v="https://suumo.jp/chintai/jnc_000103106011/?bc=100480017835"/>
    <s v="ＪＲ総武線 中野駅 4階建 築4年"/>
    <s v="東京都中野区新井２"/>
    <n v="189000"/>
    <n v="15000"/>
    <n v="189000"/>
    <m/>
    <n v="2"/>
    <x v="3"/>
    <n v="40.71"/>
    <n v="4"/>
    <x v="4"/>
    <s v="中野駅"/>
    <n v="10"/>
    <n v="12"/>
    <n v="133470.28"/>
    <n v="168453.81"/>
    <n v="286"/>
    <n v="788"/>
    <s v="40-50"/>
    <x v="0"/>
  </r>
  <r>
    <s v="https://suumo.jp/chintai/jnc_000102897567/?bc=100478450676"/>
    <s v="ＪＲ総武線 中野駅 5階建 築4年"/>
    <s v="東京都中野区新井１"/>
    <n v="146000"/>
    <n v="6000"/>
    <n v="146000"/>
    <n v="146000"/>
    <n v="5"/>
    <x v="3"/>
    <n v="34.82"/>
    <n v="4"/>
    <x v="7"/>
    <s v="中野駅"/>
    <n v="11"/>
    <n v="14"/>
    <n v="133470.28"/>
    <n v="168453.81"/>
    <n v="286"/>
    <n v="788"/>
    <s v="30-40"/>
    <x v="0"/>
  </r>
  <r>
    <s v="https://suumo.jp/chintai/jnc_000104276453/?bc=100484964593"/>
    <s v="ｂｌｕｅｂｅｒｒｙ"/>
    <s v="東京都中野区中野５"/>
    <n v="181000"/>
    <n v="9000"/>
    <n v="181000"/>
    <n v="362000"/>
    <n v="2"/>
    <x v="3"/>
    <n v="44.49"/>
    <n v="5"/>
    <x v="2"/>
    <s v="中野駅"/>
    <n v="10"/>
    <n v="11"/>
    <n v="133470.28"/>
    <n v="168453.81"/>
    <n v="286"/>
    <n v="788"/>
    <s v="40-50"/>
    <x v="0"/>
  </r>
  <r>
    <s v="https://suumo.jp/chintai/jnc_000104108071/?bc=100483728954"/>
    <s v="Grand Avenir"/>
    <s v="東京都中野区中野５"/>
    <n v="70000"/>
    <n v="4000"/>
    <m/>
    <n v="70000"/>
    <n v="1"/>
    <x v="0"/>
    <n v="10.07"/>
    <n v="10"/>
    <x v="0"/>
    <s v="中野駅"/>
    <n v="8"/>
    <n v="14.33"/>
    <n v="133470.28"/>
    <n v="77692.34"/>
    <n v="286"/>
    <n v="1071"/>
    <s v="10-20"/>
    <x v="0"/>
  </r>
  <r>
    <s v="https://suumo.jp/chintai/jnc_000103161993/?bc=100473194405"/>
    <s v="Grand Avenir"/>
    <s v="東京都中野区中野５"/>
    <n v="69000"/>
    <n v="4000"/>
    <m/>
    <n v="69000"/>
    <n v="1"/>
    <x v="0"/>
    <n v="10.08"/>
    <n v="10"/>
    <x v="0"/>
    <s v="中野駅"/>
    <n v="8"/>
    <n v="14.33"/>
    <n v="133470.28"/>
    <n v="77692.34"/>
    <n v="286"/>
    <n v="1071"/>
    <s v="10-20"/>
    <x v="0"/>
  </r>
  <r>
    <s v="https://suumo.jp/chintai/jnc_000103465729/?bc=100478002013"/>
    <s v="Partire Nakano"/>
    <s v="東京都中野区新井１"/>
    <n v="70000"/>
    <n v="4000"/>
    <m/>
    <n v="70000"/>
    <n v="1"/>
    <x v="0"/>
    <n v="12.36"/>
    <n v="10"/>
    <x v="0"/>
    <s v="中野駅"/>
    <n v="10"/>
    <n v="13"/>
    <n v="133470.28"/>
    <n v="77692.34"/>
    <n v="286"/>
    <n v="1071"/>
    <s v="10-20"/>
    <x v="0"/>
  </r>
  <r>
    <s v="https://suumo.jp/chintai/jnc_000103837765/?bc=100481021448"/>
    <s v="Partire Nakano"/>
    <s v="東京都中野区新井１"/>
    <n v="74000"/>
    <n v="4000"/>
    <m/>
    <n v="74000"/>
    <n v="2"/>
    <x v="0"/>
    <n v="10.1"/>
    <n v="10"/>
    <x v="0"/>
    <s v="中野駅"/>
    <n v="10"/>
    <n v="13"/>
    <n v="133470.28"/>
    <n v="77692.34"/>
    <n v="286"/>
    <n v="1071"/>
    <s v="10-20"/>
    <x v="0"/>
  </r>
  <r>
    <s v="https://suumo.jp/chintai/jnc_000103239377/?bc=100476041195"/>
    <s v="myplan中野 B"/>
    <s v="東京都中野区中野５"/>
    <n v="69000"/>
    <n v="3000"/>
    <m/>
    <m/>
    <n v="1"/>
    <x v="0"/>
    <n v="11.34"/>
    <n v="10"/>
    <x v="0"/>
    <s v="中野駅"/>
    <n v="7"/>
    <n v="13.67"/>
    <n v="133470.28"/>
    <n v="77692.34"/>
    <n v="286"/>
    <n v="1071"/>
    <s v="10-20"/>
    <x v="0"/>
  </r>
  <r>
    <s v="https://suumo.jp/chintai/jnc_000104348343/?bc=100486088066"/>
    <s v="quador中野"/>
    <s v="東京都中野区中野６"/>
    <n v="126000"/>
    <n v="10000"/>
    <m/>
    <n v="63000"/>
    <n v="3"/>
    <x v="0"/>
    <n v="25.57"/>
    <n v="5"/>
    <x v="4"/>
    <s v="中野駅"/>
    <n v="9"/>
    <n v="12.67"/>
    <n v="133470.28"/>
    <n v="77692.34"/>
    <n v="286"/>
    <n v="1071"/>
    <s v="20-30"/>
    <x v="0"/>
  </r>
  <r>
    <s v="https://suumo.jp/chintai/jnc_000104406910/?bc=100485054114"/>
    <s v="quador中野"/>
    <s v="東京都中野区中野６"/>
    <n v="130000"/>
    <n v="10000"/>
    <m/>
    <n v="65000"/>
    <n v="3"/>
    <x v="0"/>
    <n v="25.57"/>
    <n v="5"/>
    <x v="4"/>
    <s v="中野駅"/>
    <n v="9"/>
    <n v="12.67"/>
    <n v="133470.28"/>
    <n v="77692.34"/>
    <n v="286"/>
    <n v="1071"/>
    <s v="20-30"/>
    <x v="0"/>
  </r>
  <r>
    <s v="https://suumo.jp/chintai/jnc_000103735173/?bc=100484279793"/>
    <s v="quador中野"/>
    <s v="東京都中野区中野６"/>
    <n v="130000"/>
    <n v="10000"/>
    <m/>
    <n v="65000"/>
    <n v="4"/>
    <x v="0"/>
    <n v="25.57"/>
    <n v="5"/>
    <x v="4"/>
    <s v="中野駅"/>
    <n v="9"/>
    <n v="12.67"/>
    <n v="133470.28"/>
    <n v="77692.34"/>
    <n v="286"/>
    <n v="1071"/>
    <s v="20-30"/>
    <x v="0"/>
  </r>
  <r>
    <s v="https://suumo.jp/chintai/jnc_000104286398/?bc=100485216366"/>
    <s v="イクス中野"/>
    <s v="東京都中野区中野５"/>
    <n v="65000"/>
    <m/>
    <n v="65000"/>
    <n v="65000"/>
    <n v="4"/>
    <x v="0"/>
    <n v="17.899999999999999"/>
    <n v="35"/>
    <x v="4"/>
    <s v="中野駅"/>
    <n v="7"/>
    <n v="14.33"/>
    <n v="133470.28"/>
    <n v="77692.34"/>
    <n v="286"/>
    <n v="1071"/>
    <s v="10-20"/>
    <x v="4"/>
  </r>
  <r>
    <s v="https://suumo.jp/chintai/jnc_000086740767/?bc=100483600888"/>
    <s v="エグゼ中野　Ｖ"/>
    <s v="東京都中野区中野５"/>
    <n v="59000"/>
    <n v="2000"/>
    <m/>
    <m/>
    <n v="3"/>
    <x v="0"/>
    <n v="17.73"/>
    <n v="36"/>
    <x v="2"/>
    <s v="中野駅"/>
    <n v="9"/>
    <n v="12.67"/>
    <n v="133470.28"/>
    <n v="77692.34"/>
    <n v="286"/>
    <n v="1071"/>
    <s v="10-20"/>
    <x v="4"/>
  </r>
  <r>
    <s v="https://suumo.jp/chintai/jnc_000100407881/?bc=100451031846"/>
    <s v="カサベルデ中村"/>
    <s v="東京都中野区新井２"/>
    <n v="61000"/>
    <n v="2000"/>
    <n v="61000"/>
    <n v="61000"/>
    <n v="1"/>
    <x v="0"/>
    <n v="20"/>
    <n v="38"/>
    <x v="0"/>
    <s v="中野駅"/>
    <n v="8"/>
    <n v="12.33"/>
    <n v="133470.28"/>
    <n v="77692.34"/>
    <n v="286"/>
    <n v="1071"/>
    <s v="20-30"/>
    <x v="4"/>
  </r>
  <r>
    <s v="https://suumo.jp/chintai/jnc_000104335092/?bc=100484845426"/>
    <s v="カーサ巴新井Ｎ０．２"/>
    <s v="東京都中野区新井１"/>
    <n v="75000"/>
    <n v="5000"/>
    <n v="75000"/>
    <n v="75000"/>
    <n v="4"/>
    <x v="0"/>
    <n v="24.6"/>
    <n v="42"/>
    <x v="7"/>
    <s v="中野駅"/>
    <n v="7"/>
    <n v="12.67"/>
    <n v="133470.28"/>
    <n v="77692.34"/>
    <n v="286"/>
    <n v="1071"/>
    <s v="20-30"/>
    <x v="3"/>
  </r>
  <r>
    <s v="https://suumo.jp/chintai/jnc_000103851584/?bc=100481298967"/>
    <s v="ガーデンスクエア中野"/>
    <s v="東京都中野区新井２"/>
    <n v="95000"/>
    <n v="8000"/>
    <n v="95000"/>
    <m/>
    <n v="4"/>
    <x v="0"/>
    <n v="19.11"/>
    <n v="4"/>
    <x v="5"/>
    <s v="中野駅"/>
    <n v="6"/>
    <n v="11.67"/>
    <n v="133470.28"/>
    <n v="77692.34"/>
    <n v="286"/>
    <n v="1071"/>
    <s v="10-20"/>
    <x v="0"/>
  </r>
  <r>
    <s v="https://suumo.jp/chintai/jnc_000103903820/?bc=100479658940"/>
    <s v="クアードロ中野223"/>
    <s v="東京都中野区新井２"/>
    <n v="115000"/>
    <n v="15000"/>
    <n v="115000"/>
    <m/>
    <n v="1"/>
    <x v="0"/>
    <n v="23.07"/>
    <n v="0"/>
    <x v="4"/>
    <s v="中野駅"/>
    <n v="11"/>
    <n v="12"/>
    <n v="133470.28"/>
    <n v="77692.34"/>
    <n v="286"/>
    <n v="1071"/>
    <s v="20-30"/>
    <x v="6"/>
  </r>
  <r>
    <s v="https://suumo.jp/chintai/jnc_000103903826/?bc=100479665381"/>
    <s v="クアードロ中野223"/>
    <s v="東京都中野区新井２"/>
    <n v="140000"/>
    <n v="15000"/>
    <n v="140000"/>
    <m/>
    <n v="4"/>
    <x v="0"/>
    <n v="26.27"/>
    <n v="0"/>
    <x v="4"/>
    <s v="中野駅"/>
    <n v="11"/>
    <n v="12"/>
    <n v="133470.28"/>
    <n v="77692.34"/>
    <n v="286"/>
    <n v="1071"/>
    <s v="20-30"/>
    <x v="6"/>
  </r>
  <r>
    <s v="https://suumo.jp/chintai/jnc_000025535767/?bc=100476312772"/>
    <s v="ケーズポート"/>
    <s v="東京都中野区新井１"/>
    <n v="98000"/>
    <m/>
    <n v="98000"/>
    <n v="98000"/>
    <n v="3"/>
    <x v="0"/>
    <n v="29.06"/>
    <n v="24"/>
    <x v="9"/>
    <s v="中野駅"/>
    <n v="9"/>
    <n v="15.33"/>
    <n v="133470.28"/>
    <n v="77692.34"/>
    <n v="286"/>
    <n v="1071"/>
    <s v="20-30"/>
    <x v="1"/>
  </r>
  <r>
    <s v="https://suumo.jp/chintai/jnc_000104464962/?bc=100485948805"/>
    <s v="コーポ第一"/>
    <s v="東京都中野区中野５"/>
    <n v="54000"/>
    <m/>
    <n v="54000"/>
    <n v="54000"/>
    <n v="1"/>
    <x v="0"/>
    <n v="10"/>
    <n v="64"/>
    <x v="2"/>
    <s v="中野駅"/>
    <n v="8"/>
    <n v="11.67"/>
    <n v="133470.28"/>
    <n v="77692.34"/>
    <n v="286"/>
    <n v="1071"/>
    <s v="10-20"/>
    <x v="2"/>
  </r>
  <r>
    <s v="https://suumo.jp/chintai/jnc_000104076686/?bc=100483409244"/>
    <s v="ステージファースト中野駅前"/>
    <s v="東京都中野区中野２"/>
    <n v="143000"/>
    <n v="5000"/>
    <n v="143000"/>
    <n v="143000"/>
    <n v="8"/>
    <x v="0"/>
    <n v="29.56"/>
    <n v="20"/>
    <x v="9"/>
    <s v="中野駅"/>
    <n v="4"/>
    <n v="13"/>
    <n v="133470.28"/>
    <n v="77692.34"/>
    <n v="286"/>
    <n v="1071"/>
    <s v="20-30"/>
    <x v="7"/>
  </r>
  <r>
    <s v="https://suumo.jp/chintai/jnc_000103051102/?bc=100474662013"/>
    <s v="トップ中野第2"/>
    <s v="東京都中野区新井２"/>
    <n v="55000"/>
    <m/>
    <n v="55000"/>
    <n v="55000"/>
    <n v="1"/>
    <x v="0"/>
    <n v="12.7"/>
    <n v="42"/>
    <x v="7"/>
    <s v="中野駅"/>
    <n v="11"/>
    <n v="12.33"/>
    <n v="133470.28"/>
    <n v="77692.34"/>
    <n v="286"/>
    <n v="1071"/>
    <s v="10-20"/>
    <x v="3"/>
  </r>
  <r>
    <s v="https://suumo.jp/chintai/jnc_000103625922/?bc=100479728939"/>
    <s v="トップ中野第2"/>
    <s v="東京都中野区新井２"/>
    <n v="50000"/>
    <n v="4000"/>
    <m/>
    <m/>
    <n v="3"/>
    <x v="0"/>
    <n v="12.62"/>
    <n v="42"/>
    <x v="7"/>
    <s v="中野駅"/>
    <n v="11"/>
    <n v="12.33"/>
    <n v="133470.28"/>
    <n v="77692.34"/>
    <n v="286"/>
    <n v="1071"/>
    <s v="10-20"/>
    <x v="3"/>
  </r>
  <r>
    <s v="https://suumo.jp/chintai/jnc_000103084155/?bc=100475742714"/>
    <s v="トップ中野第2"/>
    <s v="東京都中野区新井２"/>
    <n v="54000"/>
    <n v="4000"/>
    <m/>
    <n v="54000"/>
    <n v="3"/>
    <x v="0"/>
    <n v="12.7"/>
    <n v="42"/>
    <x v="7"/>
    <s v="中野駅"/>
    <n v="11"/>
    <n v="12.33"/>
    <n v="133470.28"/>
    <n v="77692.34"/>
    <n v="286"/>
    <n v="1071"/>
    <s v="10-20"/>
    <x v="3"/>
  </r>
  <r>
    <s v="https://suumo.jp/chintai/jnc_000102869752/?bc=100473173564"/>
    <s v="トップ中野第2"/>
    <s v="東京都中野区新井２"/>
    <n v="58000"/>
    <n v="5800"/>
    <n v="58000"/>
    <n v="58000"/>
    <n v="3"/>
    <x v="0"/>
    <n v="12.7"/>
    <n v="42"/>
    <x v="7"/>
    <s v="中野駅"/>
    <n v="11"/>
    <n v="12.33"/>
    <n v="133470.28"/>
    <n v="77692.34"/>
    <n v="286"/>
    <n v="1071"/>
    <s v="10-20"/>
    <x v="3"/>
  </r>
  <r>
    <s v="https://suumo.jp/chintai/jnc_000082503926/?bc=100485608863"/>
    <s v="ドミール中野"/>
    <s v="東京都中野区中野５"/>
    <n v="61000"/>
    <m/>
    <n v="61000"/>
    <m/>
    <n v="2"/>
    <x v="0"/>
    <n v="14.25"/>
    <n v="41"/>
    <x v="4"/>
    <s v="中野駅"/>
    <n v="4"/>
    <n v="13.33"/>
    <n v="133470.28"/>
    <n v="77692.34"/>
    <n v="286"/>
    <n v="1071"/>
    <s v="10-20"/>
    <x v="3"/>
  </r>
  <r>
    <s v="https://suumo.jp/chintai/jnc_000103317147/?bc=100476571144"/>
    <s v="ハイツミハマ"/>
    <s v="東京都中野区新井２"/>
    <n v="28000"/>
    <n v="2000"/>
    <n v="28000"/>
    <n v="28000"/>
    <n v="2"/>
    <x v="0"/>
    <n v="10"/>
    <n v="58"/>
    <x v="0"/>
    <s v="中野駅"/>
    <n v="9"/>
    <n v="10.33"/>
    <n v="133470.28"/>
    <n v="77692.34"/>
    <n v="286"/>
    <n v="1071"/>
    <s v="10-20"/>
    <x v="5"/>
  </r>
  <r>
    <s v="https://suumo.jp/chintai/jnc_000103192178/?bc=100475656049"/>
    <s v="ハイツミハマ"/>
    <s v="東京都中野区新井２"/>
    <n v="33000"/>
    <n v="2000"/>
    <n v="33000"/>
    <n v="33000"/>
    <n v="2"/>
    <x v="0"/>
    <n v="12"/>
    <n v="58"/>
    <x v="0"/>
    <s v="中野駅"/>
    <n v="9"/>
    <n v="10.33"/>
    <n v="133470.28"/>
    <n v="77692.34"/>
    <n v="286"/>
    <n v="1071"/>
    <s v="10-20"/>
    <x v="5"/>
  </r>
  <r>
    <s v="https://suumo.jp/chintai/jnc_000033082117/?bc=100480555916"/>
    <s v="パールシティ中野"/>
    <s v="東京都中野区中野５"/>
    <n v="60000"/>
    <n v="3000"/>
    <n v="60000"/>
    <m/>
    <n v="2"/>
    <x v="0"/>
    <n v="12.51"/>
    <n v="42"/>
    <x v="4"/>
    <s v="中野駅"/>
    <n v="8"/>
    <n v="14"/>
    <n v="133470.28"/>
    <n v="77692.34"/>
    <n v="286"/>
    <n v="1071"/>
    <s v="10-20"/>
    <x v="3"/>
  </r>
  <r>
    <s v="https://suumo.jp/chintai/jnc_000092169989/?bc=100483016379"/>
    <s v="パールシティ中野"/>
    <s v="東京都中野区中野５"/>
    <n v="62000"/>
    <n v="5000"/>
    <m/>
    <m/>
    <n v="2"/>
    <x v="0"/>
    <n v="14.25"/>
    <n v="42"/>
    <x v="4"/>
    <s v="中野駅"/>
    <n v="8"/>
    <n v="14"/>
    <n v="133470.28"/>
    <n v="77692.34"/>
    <n v="286"/>
    <n v="1071"/>
    <s v="10-20"/>
    <x v="3"/>
  </r>
  <r>
    <s v="https://suumo.jp/chintai/jnc_000097437481/?bc=100478810860"/>
    <s v="パールシティ中野"/>
    <s v="東京都中野区中野５"/>
    <n v="68000"/>
    <n v="5000"/>
    <m/>
    <m/>
    <n v="2"/>
    <x v="0"/>
    <n v="14.25"/>
    <n v="42"/>
    <x v="4"/>
    <s v="中野駅"/>
    <n v="8"/>
    <n v="14"/>
    <n v="133470.28"/>
    <n v="77692.34"/>
    <n v="286"/>
    <n v="1071"/>
    <s v="10-20"/>
    <x v="3"/>
  </r>
  <r>
    <s v="https://suumo.jp/chintai/jnc_000057987757/?bc=100485939636"/>
    <s v="プレシャス中野"/>
    <s v="東京都中野区中野３"/>
    <n v="86000"/>
    <n v="3000"/>
    <m/>
    <m/>
    <n v="1"/>
    <x v="0"/>
    <n v="17.420000000000002"/>
    <n v="6"/>
    <x v="4"/>
    <s v="中野駅"/>
    <n v="5"/>
    <n v="13.67"/>
    <n v="133470.28"/>
    <n v="77692.34"/>
    <n v="286"/>
    <n v="1071"/>
    <s v="10-20"/>
    <x v="0"/>
  </r>
  <r>
    <s v="https://suumo.jp/chintai/jnc_000103702517/?bc=100483236083"/>
    <s v="プログレッソ中野"/>
    <s v="東京都中野区中野５"/>
    <n v="73000"/>
    <n v="4000"/>
    <m/>
    <m/>
    <n v="1"/>
    <x v="0"/>
    <n v="10.86"/>
    <n v="10"/>
    <x v="0"/>
    <s v="中野駅"/>
    <n v="8"/>
    <n v="14.67"/>
    <n v="133470.28"/>
    <n v="77692.34"/>
    <n v="286"/>
    <n v="1071"/>
    <s v="10-20"/>
    <x v="0"/>
  </r>
  <r>
    <s v="https://suumo.jp/chintai/jnc_000103680799/?bc=100479651602"/>
    <s v="メゾン・ド・ハートレー"/>
    <s v="東京都中野区中野６"/>
    <n v="84000"/>
    <n v="3000"/>
    <n v="84000"/>
    <n v="84000"/>
    <n v="3"/>
    <x v="0"/>
    <n v="18.23"/>
    <n v="40"/>
    <x v="2"/>
    <s v="中野駅"/>
    <n v="12"/>
    <n v="12.33"/>
    <n v="133470.28"/>
    <n v="77692.34"/>
    <n v="286"/>
    <n v="1071"/>
    <s v="10-20"/>
    <x v="4"/>
  </r>
  <r>
    <s v="https://suumo.jp/chintai/jnc_000102448610/?bc=100474689690"/>
    <s v="ライオンズフォーシア中野"/>
    <s v="東京都中野区新井１"/>
    <n v="134000"/>
    <n v="10000"/>
    <n v="134000"/>
    <m/>
    <n v="5"/>
    <x v="0"/>
    <n v="25.55"/>
    <n v="3"/>
    <x v="9"/>
    <s v="中野駅"/>
    <n v="9"/>
    <n v="12.67"/>
    <n v="133470.28"/>
    <n v="77692.34"/>
    <n v="286"/>
    <n v="1071"/>
    <s v="20-30"/>
    <x v="0"/>
  </r>
  <r>
    <s v="https://suumo.jp/chintai/jnc_000104474365/?bc=100485904670"/>
    <s v="ライオンズマンション中野第5"/>
    <s v="東京都中野区新井１"/>
    <n v="199500"/>
    <n v="33000"/>
    <n v="543900"/>
    <m/>
    <n v="-1"/>
    <x v="0"/>
    <n v="32.6"/>
    <n v="35"/>
    <x v="7"/>
    <s v="中野駅"/>
    <n v="8"/>
    <n v="11.33"/>
    <n v="133470.28"/>
    <n v="77692.34"/>
    <n v="286"/>
    <n v="1071"/>
    <s v="30-40"/>
    <x v="4"/>
  </r>
  <r>
    <s v="https://suumo.jp/chintai/jnc_000101996702/?bc=100401453088"/>
    <s v="ライオンズマンション中野第３"/>
    <s v="東京都中野区中野５"/>
    <n v="75000"/>
    <m/>
    <n v="75000"/>
    <n v="75000"/>
    <n v="11"/>
    <x v="0"/>
    <n v="18.36"/>
    <n v="42"/>
    <x v="8"/>
    <s v="中野駅"/>
    <n v="5"/>
    <n v="12.33"/>
    <n v="133470.28"/>
    <n v="77692.34"/>
    <n v="286"/>
    <n v="1071"/>
    <s v="10-20"/>
    <x v="3"/>
  </r>
  <r>
    <s v="https://suumo.jp/chintai/jnc_000104082021/?bc=100484133883"/>
    <s v="ルネサンスコート中野"/>
    <s v="東京都中野区新井１"/>
    <n v="131000"/>
    <n v="10000"/>
    <m/>
    <m/>
    <n v="2"/>
    <x v="0"/>
    <n v="25.35"/>
    <n v="6"/>
    <x v="9"/>
    <s v="中野駅"/>
    <n v="8"/>
    <n v="10"/>
    <n v="133470.28"/>
    <n v="77692.34"/>
    <n v="286"/>
    <n v="1071"/>
    <s v="20-30"/>
    <x v="0"/>
  </r>
  <r>
    <s v="https://suumo.jp/chintai/jnc_000070100361/?bc=100425764350"/>
    <s v="中野ハイランドII"/>
    <s v="東京都中野区中野６"/>
    <n v="44000"/>
    <n v="2000"/>
    <n v="44000"/>
    <m/>
    <n v="1"/>
    <x v="0"/>
    <n v="13"/>
    <n v="39"/>
    <x v="0"/>
    <s v="中野駅"/>
    <n v="10"/>
    <n v="13.67"/>
    <n v="133470.28"/>
    <n v="77692.34"/>
    <n v="286"/>
    <n v="1071"/>
    <s v="10-20"/>
    <x v="4"/>
  </r>
  <r>
    <s v="https://suumo.jp/chintai/jnc_000104003994/?bc=100482128697"/>
    <s v="中野パークス"/>
    <s v="東京都中野区中野６"/>
    <n v="92000"/>
    <n v="2000"/>
    <m/>
    <m/>
    <n v="2"/>
    <x v="0"/>
    <n v="25.68"/>
    <n v="60"/>
    <x v="2"/>
    <s v="中野駅"/>
    <n v="12"/>
    <n v="15"/>
    <n v="133470.28"/>
    <n v="77692.34"/>
    <n v="286"/>
    <n v="1071"/>
    <s v="20-30"/>
    <x v="5"/>
  </r>
  <r>
    <s v="https://suumo.jp/chintai/jnc_000103680775/?bc=100479702535"/>
    <s v="川瀬ビル"/>
    <s v="東京都中野区新井１"/>
    <n v="75000"/>
    <m/>
    <n v="75000"/>
    <n v="75000"/>
    <n v="3"/>
    <x v="0"/>
    <n v="25"/>
    <n v="37"/>
    <x v="2"/>
    <s v="中野駅"/>
    <n v="7"/>
    <n v="10.67"/>
    <n v="133470.28"/>
    <n v="77692.34"/>
    <n v="286"/>
    <n v="1071"/>
    <s v="20-30"/>
    <x v="4"/>
  </r>
  <r>
    <s v="https://suumo.jp/chintai/jnc_000101057125/?bc=100456396518"/>
    <s v="渡辺ビル"/>
    <s v="東京都中野区中野３"/>
    <n v="65000"/>
    <m/>
    <n v="65000"/>
    <n v="65000"/>
    <n v="3"/>
    <x v="0"/>
    <n v="15"/>
    <n v="38"/>
    <x v="4"/>
    <s v="中野駅"/>
    <n v="2"/>
    <n v="11.67"/>
    <n v="133470.28"/>
    <n v="77692.34"/>
    <n v="286"/>
    <n v="1071"/>
    <s v="10-20"/>
    <x v="4"/>
  </r>
  <r>
    <s v="https://suumo.jp/chintai/jnc_000103006492/?bc=100479922378"/>
    <s v="美山フラッツ"/>
    <s v="東京都中野区新井１"/>
    <n v="88000"/>
    <n v="7000"/>
    <m/>
    <n v="88000"/>
    <n v="5"/>
    <x v="0"/>
    <n v="28.19"/>
    <n v="57"/>
    <x v="7"/>
    <s v="中野駅"/>
    <n v="10"/>
    <n v="11.67"/>
    <n v="133470.28"/>
    <n v="77692.34"/>
    <n v="286"/>
    <n v="1071"/>
    <s v="20-30"/>
    <x v="5"/>
  </r>
  <r>
    <s v="https://suumo.jp/chintai/jnc_000103929252/?bc=100366885811"/>
    <s v="Ａｄｖａｎｃｅ"/>
    <s v="東京都中野区新井１"/>
    <n v="66000"/>
    <n v="2000"/>
    <m/>
    <m/>
    <n v="3"/>
    <x v="0"/>
    <n v="13.59"/>
    <n v="47"/>
    <x v="2"/>
    <s v="中野駅"/>
    <n v="8"/>
    <n v="8.67"/>
    <n v="133470.28"/>
    <n v="77692.34"/>
    <n v="286"/>
    <n v="1071"/>
    <s v="10-20"/>
    <x v="3"/>
  </r>
  <r>
    <s v="https://suumo.jp/chintai/jnc_000104117705/?bc=100483574444"/>
    <s v="ＪＲ中央線 中野駅 2階建 築10年"/>
    <s v="東京都中野区中野５"/>
    <n v="70000"/>
    <n v="4000"/>
    <m/>
    <n v="70000"/>
    <n v="1"/>
    <x v="0"/>
    <n v="10.07"/>
    <n v="10"/>
    <x v="0"/>
    <s v="中野駅"/>
    <n v="8"/>
    <n v="14.67"/>
    <n v="133470.28"/>
    <n v="77692.34"/>
    <n v="286"/>
    <n v="1071"/>
    <s v="10-20"/>
    <x v="0"/>
  </r>
  <r>
    <s v="https://suumo.jp/chintai/jnc_000101433948/?bc=100459666229"/>
    <s v="ＪＲ中央線 中野駅 2階建 築10年"/>
    <s v="東京都中野区新井１"/>
    <n v="67000"/>
    <n v="4000"/>
    <m/>
    <m/>
    <n v="1"/>
    <x v="0"/>
    <n v="10.1"/>
    <n v="10"/>
    <x v="0"/>
    <s v="中野駅"/>
    <n v="9"/>
    <n v="10.33"/>
    <n v="133470.28"/>
    <n v="77692.34"/>
    <n v="286"/>
    <n v="1071"/>
    <s v="10-20"/>
    <x v="0"/>
  </r>
  <r>
    <s v="https://suumo.jp/chintai/jnc_000103695169/?bc=100480245451"/>
    <s v="ＪＲ中央線 中野駅 2階建 築10年"/>
    <s v="東京都中野区中野５"/>
    <n v="73000"/>
    <n v="4000"/>
    <m/>
    <m/>
    <n v="1"/>
    <x v="0"/>
    <n v="10.86"/>
    <n v="10"/>
    <x v="0"/>
    <s v="中野駅"/>
    <n v="8"/>
    <n v="11"/>
    <n v="133470.28"/>
    <n v="77692.34"/>
    <n v="286"/>
    <n v="1071"/>
    <s v="10-20"/>
    <x v="0"/>
  </r>
  <r>
    <s v="https://suumo.jp/chintai/jnc_000103465730/?bc=100477814597"/>
    <s v="ＪＲ中央線 中野駅 2階建 築10年"/>
    <s v="東京都中野区新井１"/>
    <n v="70000"/>
    <n v="4000"/>
    <m/>
    <n v="70000"/>
    <n v="1"/>
    <x v="0"/>
    <n v="12.36"/>
    <n v="10"/>
    <x v="0"/>
    <s v="中野駅"/>
    <n v="9"/>
    <n v="10.33"/>
    <n v="133470.28"/>
    <n v="77692.34"/>
    <n v="286"/>
    <n v="1071"/>
    <s v="10-20"/>
    <x v="0"/>
  </r>
  <r>
    <s v="https://suumo.jp/chintai/jnc_000103162001/?bc=100475634660"/>
    <s v="ＪＲ中央線 中野駅 2階建 築10年"/>
    <s v="東京都中野区中野５"/>
    <n v="70000"/>
    <n v="4000"/>
    <m/>
    <n v="70000"/>
    <n v="2"/>
    <x v="0"/>
    <n v="10.07"/>
    <n v="10"/>
    <x v="0"/>
    <s v="中野駅"/>
    <n v="8"/>
    <n v="14.67"/>
    <n v="133470.28"/>
    <n v="77692.34"/>
    <n v="286"/>
    <n v="1071"/>
    <s v="10-20"/>
    <x v="0"/>
  </r>
  <r>
    <s v="https://suumo.jp/chintai/jnc_000103162002/?bc=100475584986"/>
    <s v="ＪＲ中央線 中野駅 2階建 築10年"/>
    <s v="東京都中野区中野５"/>
    <n v="71000"/>
    <n v="4000"/>
    <m/>
    <n v="71000"/>
    <n v="2"/>
    <x v="0"/>
    <n v="10.08"/>
    <n v="10"/>
    <x v="0"/>
    <s v="中野駅"/>
    <n v="8"/>
    <n v="14.67"/>
    <n v="133470.28"/>
    <n v="77692.34"/>
    <n v="286"/>
    <n v="1071"/>
    <s v="10-20"/>
    <x v="0"/>
  </r>
  <r>
    <s v="https://suumo.jp/chintai/jnc_000103856740/?bc=100481182852"/>
    <s v="ＪＲ中央線 中野駅 2階建 築10年"/>
    <s v="東京都中野区新井１"/>
    <n v="74000"/>
    <n v="4000"/>
    <m/>
    <n v="74000"/>
    <n v="2"/>
    <x v="0"/>
    <n v="12.36"/>
    <n v="10"/>
    <x v="0"/>
    <s v="中野駅"/>
    <n v="9"/>
    <n v="10.33"/>
    <n v="133470.28"/>
    <n v="77692.34"/>
    <n v="286"/>
    <n v="1071"/>
    <s v="10-20"/>
    <x v="0"/>
  </r>
  <r>
    <s v="https://suumo.jp/chintai/jnc_000102601369/?bc=100477413482"/>
    <s v="ＪＲ中央線 中野駅 2階建 築7年"/>
    <s v="東京都中野区中野５"/>
    <n v="70000"/>
    <n v="4000"/>
    <m/>
    <m/>
    <n v="2"/>
    <x v="0"/>
    <n v="10.210000000000001"/>
    <n v="7"/>
    <x v="0"/>
    <s v="中野駅"/>
    <n v="5"/>
    <n v="14"/>
    <n v="133470.28"/>
    <n v="77692.34"/>
    <n v="286"/>
    <n v="1071"/>
    <s v="10-20"/>
    <x v="0"/>
  </r>
  <r>
    <s v="https://suumo.jp/chintai/jnc_000104132653/?bc=100483342792"/>
    <s v="ＪＲ中央線 中野駅 2階建 築8年"/>
    <s v="東京都中野区中野２"/>
    <n v="95000"/>
    <n v="3000"/>
    <n v="95000"/>
    <n v="95000"/>
    <n v="1"/>
    <x v="0"/>
    <n v="22.61"/>
    <n v="8"/>
    <x v="0"/>
    <s v="中野駅"/>
    <n v="5"/>
    <n v="13.67"/>
    <n v="133470.28"/>
    <n v="77692.34"/>
    <n v="286"/>
    <n v="1071"/>
    <s v="20-30"/>
    <x v="0"/>
  </r>
  <r>
    <s v="https://suumo.jp/chintai/jnc_000104363651/?bc=100364431821"/>
    <s v="ＪＲ中央線 中野駅 3階建 築24年"/>
    <s v="東京都中野区中野６"/>
    <n v="73000"/>
    <n v="2000"/>
    <n v="73000"/>
    <n v="73000"/>
    <n v="2"/>
    <x v="0"/>
    <n v="16.2"/>
    <n v="24"/>
    <x v="2"/>
    <s v="中野駅"/>
    <n v="10"/>
    <n v="10.67"/>
    <n v="133470.28"/>
    <n v="77692.34"/>
    <n v="286"/>
    <n v="1071"/>
    <s v="10-20"/>
    <x v="1"/>
  </r>
  <r>
    <s v="https://suumo.jp/chintai/jnc_000100289841/?bc=100450095034"/>
    <s v="ＪＲ中央線 中野駅 3階建 築40年"/>
    <s v="東京都中野区中野５"/>
    <n v="63000"/>
    <m/>
    <n v="63000"/>
    <n v="63000"/>
    <n v="2"/>
    <x v="0"/>
    <n v="17"/>
    <n v="40"/>
    <x v="2"/>
    <s v="中野駅"/>
    <n v="10"/>
    <n v="14"/>
    <n v="133470.28"/>
    <n v="77692.34"/>
    <n v="286"/>
    <n v="1071"/>
    <s v="10-20"/>
    <x v="4"/>
  </r>
  <r>
    <s v="https://suumo.jp/chintai/jnc_000104378964/?bc=100485158177"/>
    <s v="ＪＲ中央線 中野駅 3階建 築40年"/>
    <s v="東京都中野区中野６"/>
    <n v="77000"/>
    <n v="3000"/>
    <n v="77000"/>
    <n v="77000"/>
    <n v="3"/>
    <x v="0"/>
    <n v="18.23"/>
    <n v="40"/>
    <x v="2"/>
    <s v="中野駅"/>
    <n v="12"/>
    <n v="13"/>
    <n v="133470.28"/>
    <n v="77692.34"/>
    <n v="286"/>
    <n v="1071"/>
    <s v="10-20"/>
    <x v="4"/>
  </r>
  <r>
    <s v="https://suumo.jp/chintai/jnc_000101771769/?bc=100463038050"/>
    <s v="ＪＲ中央線 中野駅 3階建 築7年"/>
    <s v="東京都中野区中野６"/>
    <n v="97000"/>
    <n v="3000"/>
    <n v="97000"/>
    <m/>
    <n v="1"/>
    <x v="0"/>
    <n v="19.399999999999999"/>
    <n v="7"/>
    <x v="2"/>
    <s v="中野駅"/>
    <n v="10"/>
    <n v="12.33"/>
    <n v="133470.28"/>
    <n v="77692.34"/>
    <n v="286"/>
    <n v="1071"/>
    <s v="10-20"/>
    <x v="0"/>
  </r>
  <r>
    <s v="https://suumo.jp/chintai/jnc_000103680797/?bc=100466722194"/>
    <s v="ＪＲ中央線 中野駅 4階建 築28年"/>
    <s v="東京都中野区中野５"/>
    <n v="70000"/>
    <n v="2000"/>
    <n v="70000"/>
    <n v="70000"/>
    <n v="1"/>
    <x v="0"/>
    <n v="19"/>
    <n v="28"/>
    <x v="4"/>
    <s v="中野駅"/>
    <n v="4"/>
    <n v="12"/>
    <n v="133470.28"/>
    <n v="77692.34"/>
    <n v="286"/>
    <n v="1071"/>
    <s v="10-20"/>
    <x v="1"/>
  </r>
  <r>
    <s v="https://suumo.jp/chintai/jnc_000103873779/?bc=100481263502"/>
    <s v="ＪＲ中央線 中野駅 4階建 築34年"/>
    <s v="東京都中野区新井１"/>
    <n v="120000"/>
    <n v="5000"/>
    <n v="120000"/>
    <n v="120000"/>
    <n v="4"/>
    <x v="0"/>
    <n v="38.15"/>
    <n v="34"/>
    <x v="4"/>
    <s v="中野駅"/>
    <n v="8"/>
    <n v="8"/>
    <n v="133470.28"/>
    <n v="77692.34"/>
    <n v="286"/>
    <n v="1071"/>
    <s v="30-40"/>
    <x v="4"/>
  </r>
  <r>
    <s v="https://suumo.jp/chintai/jnc_000104348344/?bc=100485358029"/>
    <s v="ＪＲ中央線 中野駅 4階建 築5年"/>
    <s v="東京都中野区中野６"/>
    <n v="126000"/>
    <n v="10000"/>
    <m/>
    <n v="63000"/>
    <n v="3"/>
    <x v="0"/>
    <n v="25.57"/>
    <n v="5"/>
    <x v="4"/>
    <s v="中野駅"/>
    <n v="10"/>
    <n v="13.67"/>
    <n v="133470.28"/>
    <n v="77692.34"/>
    <n v="286"/>
    <n v="1071"/>
    <s v="20-30"/>
    <x v="0"/>
  </r>
  <r>
    <s v="https://suumo.jp/chintai/jnc_000103403309/?bc=100478211409"/>
    <s v="ＪＲ中央線 中野駅 4階建 築5年"/>
    <s v="東京都中野区中野６"/>
    <n v="125000"/>
    <n v="10000"/>
    <m/>
    <n v="62500"/>
    <n v="4"/>
    <x v="0"/>
    <n v="25.51"/>
    <n v="5"/>
    <x v="4"/>
    <s v="中野駅"/>
    <n v="10"/>
    <n v="13.67"/>
    <n v="133470.28"/>
    <n v="77692.34"/>
    <n v="286"/>
    <n v="1071"/>
    <s v="20-30"/>
    <x v="0"/>
  </r>
  <r>
    <s v="https://suumo.jp/chintai/jnc_000103735176/?bc=100479084354"/>
    <s v="ＪＲ中央線 中野駅 4階建 築5年"/>
    <s v="東京都中野区中野６"/>
    <n v="130000"/>
    <n v="10000"/>
    <m/>
    <n v="65000"/>
    <n v="4"/>
    <x v="0"/>
    <n v="25.57"/>
    <n v="5"/>
    <x v="4"/>
    <s v="中野駅"/>
    <n v="10"/>
    <n v="13.67"/>
    <n v="133470.28"/>
    <n v="77692.34"/>
    <n v="286"/>
    <n v="1071"/>
    <s v="20-30"/>
    <x v="0"/>
  </r>
  <r>
    <s v="https://suumo.jp/chintai/jnc_000104117707/?bc=100483140386"/>
    <s v="ＪＲ中央線 中野駅 5階建 築44年"/>
    <s v="東京都中野区中野５"/>
    <n v="80000"/>
    <n v="5000"/>
    <n v="80000"/>
    <n v="80000"/>
    <n v="4"/>
    <x v="0"/>
    <n v="20"/>
    <n v="44"/>
    <x v="7"/>
    <s v="中野駅"/>
    <n v="2"/>
    <n v="11.67"/>
    <n v="133470.28"/>
    <n v="77692.34"/>
    <n v="286"/>
    <n v="1071"/>
    <s v="20-30"/>
    <x v="3"/>
  </r>
  <r>
    <s v="https://suumo.jp/chintai/jnc_000103792571/?bc=100480615423"/>
    <s v="ＪＲ中央線 中野駅 5階建 築4年"/>
    <s v="東京都中野区新井２"/>
    <n v="95000"/>
    <n v="8000"/>
    <n v="95000"/>
    <m/>
    <n v="3"/>
    <x v="0"/>
    <n v="19"/>
    <n v="4"/>
    <x v="7"/>
    <s v="中野駅"/>
    <n v="6"/>
    <n v="11"/>
    <n v="133470.28"/>
    <n v="77692.34"/>
    <n v="286"/>
    <n v="1071"/>
    <s v="10-20"/>
    <x v="0"/>
  </r>
  <r>
    <s v="https://suumo.jp/chintai/jnc_000102719223/?bc=100482143668"/>
    <s v="ＪＲ中央線 中野駅 5階建 築4年"/>
    <s v="東京都中野区新井２"/>
    <n v="95000"/>
    <n v="8000"/>
    <n v="95000"/>
    <m/>
    <n v="5"/>
    <x v="0"/>
    <n v="19"/>
    <n v="4"/>
    <x v="7"/>
    <s v="中野駅"/>
    <n v="6"/>
    <n v="11"/>
    <n v="133470.28"/>
    <n v="77692.34"/>
    <n v="286"/>
    <n v="1071"/>
    <s v="10-20"/>
    <x v="0"/>
  </r>
  <r>
    <s v="https://suumo.jp/chintai/jnc_000104363638/?bc=100485046629"/>
    <s v="ＪＲ中央線 中野駅 8階建 築25年"/>
    <s v="東京都中野区中央４"/>
    <n v="80000"/>
    <n v="8000"/>
    <n v="80000"/>
    <m/>
    <n v="6"/>
    <x v="0"/>
    <n v="20.37"/>
    <n v="25"/>
    <x v="9"/>
    <s v="中野駅"/>
    <n v="3"/>
    <n v="9.67"/>
    <n v="133470.28"/>
    <n v="77692.34"/>
    <n v="286"/>
    <n v="1071"/>
    <s v="20-30"/>
    <x v="1"/>
  </r>
  <r>
    <s v="https://suumo.jp/chintai/jnc_000104091962/?bc=100482942866"/>
    <s v="ＪＲ中央線 中野駅 8階建 築6年"/>
    <s v="東京都中野区新井１"/>
    <n v="131000"/>
    <n v="10000"/>
    <m/>
    <m/>
    <n v="2"/>
    <x v="0"/>
    <n v="25.35"/>
    <n v="6"/>
    <x v="9"/>
    <s v="中野駅"/>
    <n v="8"/>
    <n v="10.33"/>
    <n v="133470.28"/>
    <n v="77692.34"/>
    <n v="286"/>
    <n v="1071"/>
    <s v="20-30"/>
    <x v="0"/>
  </r>
  <r>
    <s v="https://suumo.jp/chintai/jnc_000103051103/?bc=100474672890"/>
    <s v="ＪＲ中央線 中野駅 地下1地上4階建 築42年"/>
    <s v="東京都中野区新井２"/>
    <n v="55000"/>
    <m/>
    <n v="55000"/>
    <n v="55000"/>
    <n v="1"/>
    <x v="0"/>
    <n v="12.7"/>
    <n v="42"/>
    <x v="7"/>
    <s v="中野駅"/>
    <n v="11"/>
    <n v="12.33"/>
    <n v="133470.28"/>
    <n v="77692.34"/>
    <n v="286"/>
    <n v="1071"/>
    <s v="10-20"/>
    <x v="3"/>
  </r>
  <r>
    <s v="https://suumo.jp/chintai/jnc_000103192179/?bc=100475642327"/>
    <s v="ＪＲ中央線 中野駅 地下1地上4階建 築42年"/>
    <s v="東京都中野区新井２"/>
    <n v="54000"/>
    <n v="4000"/>
    <m/>
    <n v="54000"/>
    <n v="3"/>
    <x v="0"/>
    <n v="12.7"/>
    <n v="42"/>
    <x v="7"/>
    <s v="中野駅"/>
    <n v="11"/>
    <n v="12.33"/>
    <n v="133470.28"/>
    <n v="77692.34"/>
    <n v="286"/>
    <n v="1071"/>
    <s v="10-20"/>
    <x v="3"/>
  </r>
  <r>
    <s v="https://suumo.jp/chintai/jnc_000102901025/?bc=100473971148"/>
    <s v="ＪＲ中央線 中野駅 地下1地上4階建 築42年"/>
    <s v="東京都中野区新井２"/>
    <n v="58000"/>
    <n v="5800"/>
    <n v="58000"/>
    <n v="58000"/>
    <n v="3"/>
    <x v="0"/>
    <n v="12.7"/>
    <n v="42"/>
    <x v="7"/>
    <s v="中野駅"/>
    <n v="11"/>
    <n v="12.33"/>
    <n v="133470.28"/>
    <n v="77692.34"/>
    <n v="286"/>
    <n v="1071"/>
    <s v="10-20"/>
    <x v="3"/>
  </r>
  <r>
    <s v="https://suumo.jp/chintai/jnc_000102822590/?bc=100473170013"/>
    <s v="ＪＲ中央線 中野駅 地下1地上5階建 築8年"/>
    <s v="東京都中野区中野５"/>
    <n v="119000"/>
    <n v="5000"/>
    <n v="119000"/>
    <n v="119000"/>
    <n v="1"/>
    <x v="0"/>
    <n v="25"/>
    <n v="8"/>
    <x v="5"/>
    <s v="中野駅"/>
    <n v="10"/>
    <n v="14.33"/>
    <n v="133470.28"/>
    <n v="77692.34"/>
    <n v="286"/>
    <n v="1071"/>
    <s v="20-30"/>
    <x v="0"/>
  </r>
  <r>
    <s v="https://suumo.jp/chintai/jnc_000102067696/?bc=100466187097"/>
    <s v="ＪＲ総武線 中野駅 4階建 築10年"/>
    <s v="東京都中野区中野５"/>
    <n v="127000"/>
    <n v="6000"/>
    <n v="127000"/>
    <n v="127000"/>
    <n v="3"/>
    <x v="0"/>
    <n v="25.92"/>
    <n v="10"/>
    <x v="4"/>
    <s v="中野駅"/>
    <n v="7"/>
    <n v="14"/>
    <n v="133470.28"/>
    <n v="77692.34"/>
    <n v="286"/>
    <n v="1071"/>
    <s v="20-30"/>
    <x v="0"/>
  </r>
  <r>
    <s v="https://suumo.jp/chintai/jnc_000104335116/?bc=100485196460"/>
    <s v="ＪＲ総武線 中野駅 4階建 築35年"/>
    <s v="東京都中野区中野５"/>
    <n v="65000"/>
    <m/>
    <n v="65000"/>
    <n v="65000"/>
    <n v="4"/>
    <x v="0"/>
    <n v="17.899999999999999"/>
    <n v="35"/>
    <x v="4"/>
    <s v="中野駅"/>
    <n v="7"/>
    <n v="10.67"/>
    <n v="133470.28"/>
    <n v="77692.34"/>
    <n v="286"/>
    <n v="1071"/>
    <s v="10-20"/>
    <x v="4"/>
  </r>
  <r>
    <s v="https://suumo.jp/chintai/jnc_000057987765/?bc=100484722969"/>
    <s v="ＪＲ総武線 中野駅 4階建 築6年"/>
    <s v="東京都中野区中野３"/>
    <n v="86000"/>
    <n v="3000"/>
    <m/>
    <m/>
    <n v="1"/>
    <x v="0"/>
    <n v="17.420000000000002"/>
    <n v="6"/>
    <x v="4"/>
    <s v="中野駅"/>
    <n v="5"/>
    <n v="13.67"/>
    <n v="133470.28"/>
    <n v="77692.34"/>
    <n v="286"/>
    <n v="1071"/>
    <s v="10-20"/>
    <x v="0"/>
  </r>
  <r>
    <s v="https://suumo.jp/chintai/jnc_000103013878/?bc=100479877535"/>
    <s v="ＪＲ総武線 中野駅 5階建 築57年"/>
    <s v="東京都中野区新井１"/>
    <n v="88000"/>
    <n v="7000"/>
    <m/>
    <n v="88000"/>
    <n v="5"/>
    <x v="0"/>
    <n v="28.19"/>
    <n v="57"/>
    <x v="7"/>
    <s v="中野駅"/>
    <n v="10"/>
    <n v="10"/>
    <n v="133470.28"/>
    <n v="77692.34"/>
    <n v="286"/>
    <n v="1071"/>
    <s v="20-30"/>
    <x v="5"/>
  </r>
  <r>
    <s v="https://suumo.jp/chintai/jnc_000102830038/?bc=100486000215"/>
    <s v="ＰＥＲＳＩＣＡ　ＮＡＫＡＮＯ(ペルシカ中野  )"/>
    <s v="東京都中野区中野５"/>
    <n v="119000"/>
    <n v="5000"/>
    <n v="119000"/>
    <n v="119000"/>
    <n v="1"/>
    <x v="0"/>
    <n v="25"/>
    <n v="8"/>
    <x v="7"/>
    <s v="中野駅"/>
    <n v="10"/>
    <n v="13.67"/>
    <n v="133470.28"/>
    <n v="77692.34"/>
    <n v="286"/>
    <n v="1071"/>
    <s v="20-30"/>
    <x v="0"/>
  </r>
  <r>
    <s v="https://suumo.jp/chintai/jnc_000102830039/?bc=100472693117"/>
    <s v="ＰＥＲＳＩＣＡ　ＮＡＫＡＮＯ(ペルシカ中野  )"/>
    <s v="東京都中野区中野５"/>
    <n v="123000"/>
    <n v="5000"/>
    <n v="123000"/>
    <n v="123000"/>
    <n v="2"/>
    <x v="0"/>
    <n v="25"/>
    <n v="8"/>
    <x v="7"/>
    <s v="中野駅"/>
    <n v="10"/>
    <n v="13.67"/>
    <n v="133470.28"/>
    <n v="77692.34"/>
    <n v="286"/>
    <n v="1071"/>
    <s v="20-30"/>
    <x v="0"/>
  </r>
  <r>
    <s v="https://suumo.jp/chintai/jnc_000103060652/?bc=100474619685"/>
    <s v="コンフォール中野"/>
    <s v="東京都中野区新井２"/>
    <n v="188000"/>
    <n v="8000"/>
    <m/>
    <m/>
    <n v="3"/>
    <x v="6"/>
    <n v="39.49"/>
    <n v="28"/>
    <x v="7"/>
    <s v="中野駅"/>
    <n v="10"/>
    <n v="11.67"/>
    <n v="133470.28"/>
    <n v="141491.45000000001"/>
    <n v="286"/>
    <n v="117"/>
    <s v="30-40"/>
    <x v="1"/>
  </r>
  <r>
    <s v="https://suumo.jp/chintai/jnc_000073850902/?bc=100486327780"/>
    <s v="サン新井第二ビル"/>
    <s v="東京都中野区新井２"/>
    <n v="120000"/>
    <n v="5000"/>
    <n v="120000"/>
    <n v="120000"/>
    <n v="2"/>
    <x v="6"/>
    <n v="40"/>
    <n v="38"/>
    <x v="2"/>
    <s v="中野駅"/>
    <n v="9"/>
    <n v="9.67"/>
    <n v="133470.28"/>
    <n v="141491.45000000001"/>
    <n v="286"/>
    <n v="117"/>
    <s v="40-50"/>
    <x v="4"/>
  </r>
  <r>
    <s v="https://suumo.jp/chintai/jnc_000104070146/?bc=100482730215"/>
    <s v="メゾンブランシュ"/>
    <s v="東京都中野区中野５"/>
    <n v="107000"/>
    <n v="3400"/>
    <n v="107000"/>
    <n v="107000"/>
    <n v="1"/>
    <x v="6"/>
    <n v="35.549999999999997"/>
    <n v="44"/>
    <x v="2"/>
    <s v="中野駅"/>
    <n v="6"/>
    <n v="13.67"/>
    <n v="133470.28"/>
    <n v="141491.45000000001"/>
    <n v="286"/>
    <n v="117"/>
    <s v="30-40"/>
    <x v="3"/>
  </r>
  <r>
    <s v="https://suumo.jp/chintai/jnc_000093446592/?bc=100482703706"/>
    <s v="メゾンブランシュ"/>
    <s v="東京都中野区中野５"/>
    <n v="110000"/>
    <n v="3400"/>
    <n v="110000"/>
    <n v="110000"/>
    <n v="2"/>
    <x v="6"/>
    <n v="35.53"/>
    <n v="44"/>
    <x v="2"/>
    <s v="中野駅"/>
    <n v="6"/>
    <n v="13.67"/>
    <n v="133470.28"/>
    <n v="141491.45000000001"/>
    <n v="286"/>
    <n v="117"/>
    <s v="30-40"/>
    <x v="3"/>
  </r>
  <r>
    <s v="https://suumo.jp/chintai/jnc_000104082033/?bc=100482838823"/>
    <s v="ＪＲ中央線 中野駅 3階建 築44年"/>
    <s v="東京都中野区中野５"/>
    <n v="107000"/>
    <n v="3400"/>
    <n v="107000"/>
    <n v="107000"/>
    <n v="1"/>
    <x v="6"/>
    <n v="35.549999999999997"/>
    <n v="44"/>
    <x v="2"/>
    <s v="中野駅"/>
    <n v="6"/>
    <n v="11.67"/>
    <n v="133470.28"/>
    <n v="141491.45000000001"/>
    <n v="286"/>
    <n v="117"/>
    <s v="30-40"/>
    <x v="3"/>
  </r>
  <r>
    <s v="https://suumo.jp/chintai/jnc_000093446593/?bc=100482838825"/>
    <s v="ＪＲ中央線 中野駅 3階建 築44年"/>
    <s v="東京都中野区中野５"/>
    <n v="110000"/>
    <n v="3400"/>
    <n v="110000"/>
    <n v="110000"/>
    <n v="3"/>
    <x v="6"/>
    <n v="35.549999999999997"/>
    <n v="44"/>
    <x v="2"/>
    <s v="中野駅"/>
    <n v="6"/>
    <n v="11.67"/>
    <n v="133470.28"/>
    <n v="141491.45000000001"/>
    <n v="286"/>
    <n v="117"/>
    <s v="30-40"/>
    <x v="3"/>
  </r>
  <r>
    <s v="https://suumo.jp/chintai/jnc_000104519167/?bc=100486325032"/>
    <s v="ＪＲ中央線 中野駅 地下1地上5階建 築8年"/>
    <s v="東京都中野区中野５"/>
    <n v="212000"/>
    <n v="7000"/>
    <n v="212000"/>
    <n v="212000"/>
    <n v="5"/>
    <x v="6"/>
    <n v="40.01"/>
    <n v="8"/>
    <x v="5"/>
    <s v="中野駅"/>
    <n v="10"/>
    <n v="14.33"/>
    <n v="133470.28"/>
    <n v="141491.45000000001"/>
    <n v="286"/>
    <n v="117"/>
    <s v="40-50"/>
    <x v="0"/>
  </r>
  <r>
    <s v="https://suumo.jp/chintai/jnc_000102843189/?bc=100483955076"/>
    <s v="パームグローヴ"/>
    <s v="東京都中野区新井１"/>
    <n v="127000"/>
    <n v="3000"/>
    <n v="127000"/>
    <n v="127000"/>
    <n v="2"/>
    <x v="7"/>
    <n v="32.92"/>
    <n v="18"/>
    <x v="0"/>
    <s v="中野駅"/>
    <n v="8"/>
    <n v="8"/>
    <n v="133470.28"/>
    <n v="117441.44"/>
    <n v="286"/>
    <n v="111"/>
    <s v="30-40"/>
    <x v="7"/>
  </r>
  <r>
    <s v="https://suumo.jp/chintai/jnc_000104510107/?bc=100486166028"/>
    <s v="レジディア中野II"/>
    <s v="東京都中野区中野２"/>
    <n v="147000"/>
    <n v="10000"/>
    <n v="147000"/>
    <n v="147000"/>
    <n v="4"/>
    <x v="7"/>
    <n v="25.1"/>
    <n v="7"/>
    <x v="9"/>
    <s v="中野駅"/>
    <n v="5"/>
    <n v="14"/>
    <n v="133470.28"/>
    <n v="117441.44"/>
    <n v="286"/>
    <n v="111"/>
    <s v="20-30"/>
    <x v="0"/>
  </r>
  <r>
    <s v="https://suumo.jp/chintai/jnc_000103144279/?bc=100484507663"/>
    <s v="美山フラッツ"/>
    <s v="東京都中野区新井１"/>
    <n v="101000"/>
    <n v="7000"/>
    <m/>
    <n v="101000"/>
    <n v="3"/>
    <x v="7"/>
    <n v="34.369999999999997"/>
    <n v="57"/>
    <x v="7"/>
    <s v="中野駅"/>
    <n v="10"/>
    <n v="11.67"/>
    <n v="133470.28"/>
    <n v="117441.44"/>
    <n v="286"/>
    <n v="111"/>
    <s v="30-40"/>
    <x v="5"/>
  </r>
  <r>
    <s v="https://suumo.jp/chintai/jnc_000102527674/?bc=100470983870"/>
    <s v="美山フラッツ"/>
    <s v="東京都中野区新井１"/>
    <n v="88000"/>
    <n v="7000"/>
    <m/>
    <n v="88000"/>
    <n v="5"/>
    <x v="7"/>
    <n v="28.19"/>
    <n v="57"/>
    <x v="7"/>
    <s v="中野駅"/>
    <n v="10"/>
    <n v="11.67"/>
    <n v="133470.28"/>
    <n v="117441.44"/>
    <n v="286"/>
    <n v="111"/>
    <s v="20-30"/>
    <x v="5"/>
  </r>
  <r>
    <s v="https://suumo.jp/chintai/jnc_000103231652/?bc=100475424476"/>
    <s v="ＪＲ中央線 中野駅 2階建 築18年"/>
    <s v="東京都中野区新井１"/>
    <n v="122000"/>
    <n v="3000"/>
    <n v="122000"/>
    <n v="122000"/>
    <n v="2"/>
    <x v="7"/>
    <n v="31.81"/>
    <n v="18"/>
    <x v="0"/>
    <s v="中野駅"/>
    <n v="8"/>
    <n v="12"/>
    <n v="133470.28"/>
    <n v="117441.44"/>
    <n v="286"/>
    <n v="111"/>
    <s v="30-40"/>
    <x v="7"/>
  </r>
  <r>
    <s v="https://suumo.jp/chintai/jnc_000049253242/?bc=100482299147"/>
    <s v="ＪＲ中央線 中野駅 2階建 築18年"/>
    <s v="東京都中野区新井１"/>
    <n v="127000"/>
    <n v="3000"/>
    <n v="127000"/>
    <n v="127000"/>
    <n v="2"/>
    <x v="7"/>
    <n v="40"/>
    <n v="18"/>
    <x v="0"/>
    <s v="中野駅"/>
    <n v="8"/>
    <n v="12"/>
    <n v="133470.28"/>
    <n v="117441.44"/>
    <n v="286"/>
    <n v="111"/>
    <s v="40-50"/>
    <x v="7"/>
  </r>
  <r>
    <s v="https://suumo.jp/chintai/jnc_000104510108/?bc=100486177935"/>
    <s v="ＪＲ中央線 中野駅 8階建 築6年"/>
    <s v="東京都中野区中野２"/>
    <n v="147000"/>
    <n v="10000"/>
    <n v="147000"/>
    <n v="147000"/>
    <n v="4"/>
    <x v="7"/>
    <n v="25.1"/>
    <n v="6"/>
    <x v="9"/>
    <s v="中野駅"/>
    <n v="5"/>
    <n v="12.33"/>
    <n v="133470.28"/>
    <n v="117441.44"/>
    <n v="286"/>
    <n v="111"/>
    <s v="20-30"/>
    <x v="0"/>
  </r>
  <r>
    <s v="https://suumo.jp/chintai/jnc_000103161969/?bc=100475406240"/>
    <s v="ＪＲ総武線 中野駅 5階建 築57年"/>
    <s v="東京都中野区新井１"/>
    <n v="101000"/>
    <n v="7000"/>
    <m/>
    <n v="101000"/>
    <n v="3"/>
    <x v="7"/>
    <n v="34.369999999999997"/>
    <n v="57"/>
    <x v="7"/>
    <s v="中野駅"/>
    <n v="10"/>
    <n v="10"/>
    <n v="133470.28"/>
    <n v="117441.44"/>
    <n v="286"/>
    <n v="111"/>
    <s v="30-40"/>
    <x v="5"/>
  </r>
  <r>
    <s v="https://suumo.jp/chintai/jnc_000103536617/?bc=100485511533"/>
    <s v="trias154"/>
    <s v="東京都中野区新井１"/>
    <n v="190000"/>
    <n v="18000"/>
    <m/>
    <n v="95000"/>
    <n v="2"/>
    <x v="8"/>
    <n v="40"/>
    <n v="0"/>
    <x v="7"/>
    <s v="中野駅"/>
    <n v="7"/>
    <n v="11.33"/>
    <n v="133470.28"/>
    <n v="232352.65"/>
    <n v="286"/>
    <n v="359"/>
    <s v="40-50"/>
    <x v="6"/>
  </r>
  <r>
    <s v="https://suumo.jp/chintai/jnc_000104070125/?bc=100482698446"/>
    <s v="trias154"/>
    <s v="東京都中野区新井１"/>
    <n v="212000"/>
    <n v="18000"/>
    <m/>
    <n v="212000"/>
    <n v="3"/>
    <x v="8"/>
    <n v="40.04"/>
    <n v="0"/>
    <x v="7"/>
    <s v="中野駅"/>
    <n v="7"/>
    <n v="11.33"/>
    <n v="133470.28"/>
    <n v="232352.65"/>
    <n v="286"/>
    <n v="359"/>
    <s v="40-50"/>
    <x v="6"/>
  </r>
  <r>
    <s v="https://suumo.jp/chintai/jnc_000104286375/?bc=100484472819"/>
    <s v="trias154"/>
    <s v="東京都中野区新井１"/>
    <n v="211000"/>
    <n v="18000"/>
    <m/>
    <n v="211000"/>
    <n v="3"/>
    <x v="8"/>
    <n v="40"/>
    <n v="0"/>
    <x v="7"/>
    <s v="中野駅"/>
    <n v="7"/>
    <n v="11.33"/>
    <n v="133470.28"/>
    <n v="232352.65"/>
    <n v="286"/>
    <n v="359"/>
    <s v="40-50"/>
    <x v="6"/>
  </r>
  <r>
    <s v="https://suumo.jp/chintai/jnc_000104286377/?bc=100484290723"/>
    <s v="trias154"/>
    <s v="東京都中野区新井１"/>
    <n v="212000"/>
    <n v="18000"/>
    <m/>
    <n v="212000"/>
    <n v="4"/>
    <x v="8"/>
    <n v="40"/>
    <n v="0"/>
    <x v="7"/>
    <s v="中野駅"/>
    <n v="7"/>
    <n v="11.33"/>
    <n v="133470.28"/>
    <n v="232352.65"/>
    <n v="286"/>
    <n v="359"/>
    <s v="40-50"/>
    <x v="6"/>
  </r>
  <r>
    <s v="https://suumo.jp/chintai/jnc_000104070126/?bc=100482697789"/>
    <s v="trias154"/>
    <s v="東京都中野区新井１"/>
    <n v="220000"/>
    <n v="18000"/>
    <m/>
    <n v="220000"/>
    <n v="5"/>
    <x v="8"/>
    <n v="40.04"/>
    <n v="0"/>
    <x v="7"/>
    <s v="中野駅"/>
    <n v="7"/>
    <n v="11.33"/>
    <n v="133470.28"/>
    <n v="232352.65"/>
    <n v="286"/>
    <n v="359"/>
    <s v="40-50"/>
    <x v="6"/>
  </r>
  <r>
    <s v="https://suumo.jp/chintai/jnc_000104055238/?bc=100483778475"/>
    <s v="なかのサンクォーレ"/>
    <s v="東京都中野区中野４"/>
    <n v="330000"/>
    <n v="10000"/>
    <n v="330000"/>
    <n v="330000"/>
    <n v="10"/>
    <x v="8"/>
    <n v="64.72"/>
    <n v="32"/>
    <x v="14"/>
    <s v="中野駅"/>
    <n v="5"/>
    <n v="12.33"/>
    <n v="133470.28"/>
    <n v="232352.65"/>
    <n v="286"/>
    <n v="359"/>
    <s v="60-70"/>
    <x v="4"/>
  </r>
  <r>
    <s v="https://suumo.jp/chintai/jnc_000104510072/?bc=100486187318"/>
    <s v="アーバンコート"/>
    <s v="東京都中野区新井２"/>
    <n v="175000"/>
    <n v="10000"/>
    <n v="175000"/>
    <n v="175000"/>
    <n v="1"/>
    <x v="8"/>
    <n v="50.8"/>
    <n v="25"/>
    <x v="7"/>
    <s v="中野駅"/>
    <n v="10"/>
    <n v="11.33"/>
    <n v="133470.28"/>
    <n v="232352.65"/>
    <n v="286"/>
    <n v="359"/>
    <s v="50-60"/>
    <x v="1"/>
  </r>
  <r>
    <s v="https://suumo.jp/chintai/jnc_000103771427/?bc=100469432860"/>
    <s v="クァドリフォリオ"/>
    <s v="東京都中野区中野２"/>
    <n v="265000"/>
    <m/>
    <n v="265000"/>
    <n v="265000"/>
    <n v="3"/>
    <x v="8"/>
    <n v="75.430000000000007"/>
    <n v="32"/>
    <x v="4"/>
    <s v="中野駅"/>
    <n v="5"/>
    <n v="14.67"/>
    <n v="133470.28"/>
    <n v="232352.65"/>
    <n v="286"/>
    <n v="359"/>
    <s v="70-80"/>
    <x v="4"/>
  </r>
  <r>
    <s v="https://suumo.jp/chintai/jnc_000104426244/?bc=100486133583"/>
    <s v="ビバグランデ楼蘭館"/>
    <s v="東京都中野区新井２"/>
    <n v="198000"/>
    <m/>
    <n v="198000"/>
    <n v="198000"/>
    <n v="3"/>
    <x v="8"/>
    <n v="61.31"/>
    <n v="19"/>
    <x v="2"/>
    <s v="中野駅"/>
    <n v="6"/>
    <n v="12.67"/>
    <n v="133470.28"/>
    <n v="232352.65"/>
    <n v="286"/>
    <n v="359"/>
    <s v="60-70"/>
    <x v="7"/>
  </r>
  <r>
    <s v="https://suumo.jp/chintai/jnc_000103123133/?bc=100475398161"/>
    <s v="プラウドフラット中野"/>
    <s v="東京都中野区中野５"/>
    <n v="281000"/>
    <n v="18000"/>
    <n v="281000"/>
    <n v="281000"/>
    <n v="2"/>
    <x v="8"/>
    <n v="50.43"/>
    <n v="6"/>
    <x v="7"/>
    <s v="中野駅"/>
    <n v="6"/>
    <n v="13.67"/>
    <n v="133470.28"/>
    <n v="232352.65"/>
    <n v="286"/>
    <n v="359"/>
    <s v="50-60"/>
    <x v="0"/>
  </r>
  <r>
    <s v="https://suumo.jp/chintai/jnc_000103398724/?bc=100477225821"/>
    <s v="ライオンズシティ中野"/>
    <s v="東京都中野区中野５"/>
    <n v="230000"/>
    <n v="10000"/>
    <n v="230000"/>
    <n v="230000"/>
    <n v="6"/>
    <x v="8"/>
    <n v="60.25"/>
    <n v="28"/>
    <x v="10"/>
    <s v="中野駅"/>
    <n v="6"/>
    <n v="12.67"/>
    <n v="133470.28"/>
    <n v="232352.65"/>
    <n v="286"/>
    <n v="359"/>
    <s v="60-70"/>
    <x v="1"/>
  </r>
  <r>
    <s v="https://suumo.jp/chintai/jnc_000104433301/?bc=100485988831"/>
    <s v="ＪＲ中央線 中野駅 3階建 築19年"/>
    <s v="東京都中野区新井２"/>
    <n v="198000"/>
    <m/>
    <n v="198000"/>
    <n v="198000"/>
    <n v="3"/>
    <x v="8"/>
    <n v="61.31"/>
    <n v="19"/>
    <x v="2"/>
    <s v="中野駅"/>
    <n v="6"/>
    <n v="11.67"/>
    <n v="133470.28"/>
    <n v="232352.65"/>
    <n v="286"/>
    <n v="359"/>
    <s v="60-70"/>
    <x v="7"/>
  </r>
  <r>
    <s v="https://suumo.jp/chintai/jnc_000103883950/?bc=100481334603"/>
    <s v="ＪＲ中央線 中野駅 4階建 築54年"/>
    <s v="東京都中野区中野５"/>
    <n v="190000"/>
    <n v="9000"/>
    <n v="190000"/>
    <n v="190000"/>
    <n v="2"/>
    <x v="8"/>
    <n v="52.73"/>
    <n v="54"/>
    <x v="4"/>
    <s v="中野駅"/>
    <n v="6"/>
    <n v="14"/>
    <n v="133470.28"/>
    <n v="232352.65"/>
    <n v="286"/>
    <n v="359"/>
    <s v="50-60"/>
    <x v="5"/>
  </r>
  <r>
    <s v="https://suumo.jp/chintai/jnc_000103851583/?bc=100485333992"/>
    <s v="ＪＲ中央線 中野駅 5階建 新築"/>
    <s v="東京都中野区新井１"/>
    <n v="190000"/>
    <n v="18000"/>
    <m/>
    <n v="95000"/>
    <n v="2"/>
    <x v="8"/>
    <n v="40"/>
    <n v="0"/>
    <x v="7"/>
    <s v="中野駅"/>
    <n v="7"/>
    <n v="11.33"/>
    <n v="133470.28"/>
    <n v="232352.65"/>
    <n v="286"/>
    <n v="359"/>
    <s v="40-50"/>
    <x v="6"/>
  </r>
  <r>
    <s v="https://suumo.jp/chintai/jnc_000104117672/?bc=100483142163"/>
    <s v="ＪＲ中央線 中野駅 5階建 新築"/>
    <s v="東京都中野区新井１"/>
    <n v="212000"/>
    <n v="18000"/>
    <m/>
    <n v="106000"/>
    <n v="3"/>
    <x v="8"/>
    <n v="40.04"/>
    <n v="0"/>
    <x v="7"/>
    <s v="中野駅"/>
    <n v="7"/>
    <n v="11.33"/>
    <n v="133470.28"/>
    <n v="232352.65"/>
    <n v="286"/>
    <n v="359"/>
    <s v="40-50"/>
    <x v="6"/>
  </r>
  <r>
    <s v="https://suumo.jp/chintai/jnc_000104317177/?bc=100484714748"/>
    <s v="ＪＲ中央線 中野駅 5階建 新築"/>
    <s v="東京都中野区新井１"/>
    <n v="211000"/>
    <n v="18000"/>
    <m/>
    <n v="211000"/>
    <n v="3"/>
    <x v="8"/>
    <n v="40"/>
    <n v="0"/>
    <x v="7"/>
    <s v="中野駅"/>
    <n v="7"/>
    <n v="11.33"/>
    <n v="133470.28"/>
    <n v="232352.65"/>
    <n v="286"/>
    <n v="359"/>
    <s v="40-50"/>
    <x v="6"/>
  </r>
  <r>
    <s v="https://suumo.jp/chintai/jnc_000103575536/?bc=100481243436"/>
    <s v="ＪＲ中央線 中野駅 5階建 新築"/>
    <s v="東京都中野区新井１"/>
    <n v="140000"/>
    <n v="18000"/>
    <m/>
    <n v="70000"/>
    <n v="5"/>
    <x v="8"/>
    <n v="27.28"/>
    <n v="0"/>
    <x v="7"/>
    <s v="中野駅"/>
    <n v="7"/>
    <n v="11.33"/>
    <n v="133470.28"/>
    <n v="232352.65"/>
    <n v="286"/>
    <n v="359"/>
    <s v="20-30"/>
    <x v="6"/>
  </r>
  <r>
    <s v="https://suumo.jp/chintai/jnc_000104202907/?bc=100483775759"/>
    <s v="ＪＲ中央線 中野駅 5階建 新築"/>
    <s v="東京都中野区新井１"/>
    <n v="212000"/>
    <n v="18000"/>
    <m/>
    <n v="212000"/>
    <n v="5"/>
    <x v="8"/>
    <n v="40.04"/>
    <n v="0"/>
    <x v="7"/>
    <s v="中野駅"/>
    <n v="7"/>
    <n v="11.33"/>
    <n v="133470.28"/>
    <n v="232352.65"/>
    <n v="286"/>
    <n v="359"/>
    <s v="40-50"/>
    <x v="6"/>
  </r>
  <r>
    <s v="https://suumo.jp/chintai/jnc_000104126128/?bc=100483118237"/>
    <s v="ＪＲ中央線 中野駅 5階建 新築"/>
    <s v="東京都中野区新井１"/>
    <n v="220000"/>
    <n v="18000"/>
    <m/>
    <n v="110000"/>
    <n v="5"/>
    <x v="8"/>
    <n v="40.04"/>
    <n v="0"/>
    <x v="7"/>
    <s v="中野駅"/>
    <n v="7"/>
    <n v="11.33"/>
    <n v="133470.28"/>
    <n v="232352.65"/>
    <n v="286"/>
    <n v="359"/>
    <s v="40-50"/>
    <x v="6"/>
  </r>
  <r>
    <s v="https://suumo.jp/chintai/jnc_000102822592/?bc=100480750796"/>
    <s v="ＪＲ中央線 中野駅 地下1地上5階建 築8年"/>
    <s v="東京都中野区中野５"/>
    <n v="205000"/>
    <n v="7000"/>
    <n v="205000"/>
    <n v="205000"/>
    <n v="5"/>
    <x v="8"/>
    <n v="40.01"/>
    <n v="8"/>
    <x v="5"/>
    <s v="中野駅"/>
    <n v="10"/>
    <n v="14.33"/>
    <n v="133470.28"/>
    <n v="232352.65"/>
    <n v="286"/>
    <n v="359"/>
    <s v="40-50"/>
    <x v="0"/>
  </r>
  <r>
    <s v="https://suumo.jp/chintai/jnc_000104070145/?bc=100482715463"/>
    <s v="ＪＲ中央線 中野駅 地下4地上26階建 築32年"/>
    <s v="東京都中野区中野４"/>
    <n v="330000"/>
    <n v="10000"/>
    <n v="330000"/>
    <n v="330000"/>
    <n v="10"/>
    <x v="8"/>
    <n v="64.72"/>
    <n v="32"/>
    <x v="14"/>
    <s v="中野駅"/>
    <n v="5"/>
    <n v="11.33"/>
    <n v="133470.28"/>
    <n v="232352.65"/>
    <n v="286"/>
    <n v="359"/>
    <s v="60-70"/>
    <x v="4"/>
  </r>
  <r>
    <s v="https://suumo.jp/chintai/jnc_000103410308/?bc=100477619449"/>
    <s v="ＪＲ総武線 中野駅 7階建 築28年"/>
    <s v="東京都中野区中野５"/>
    <n v="230000"/>
    <n v="10000"/>
    <n v="230000"/>
    <n v="230000"/>
    <n v="6"/>
    <x v="8"/>
    <n v="60.25"/>
    <n v="28"/>
    <x v="10"/>
    <s v="中野駅"/>
    <n v="6"/>
    <n v="10"/>
    <n v="133470.28"/>
    <n v="232352.65"/>
    <n v="286"/>
    <n v="359"/>
    <s v="60-70"/>
    <x v="1"/>
  </r>
  <r>
    <s v="https://suumo.jp/chintai/jnc_000102818735/?bc=100485873630"/>
    <s v="ＰＥＲＳＩＣＡ　ＮＡＫＡＮＯ(ペルシカ中野  )"/>
    <s v="東京都中野区中野５"/>
    <n v="205000"/>
    <n v="7000"/>
    <n v="205000"/>
    <n v="205000"/>
    <n v="5"/>
    <x v="8"/>
    <n v="40.01"/>
    <n v="8"/>
    <x v="7"/>
    <s v="中野駅"/>
    <n v="10"/>
    <n v="13.67"/>
    <n v="133470.28"/>
    <n v="232352.65"/>
    <n v="286"/>
    <n v="359"/>
    <s v="40-50"/>
    <x v="0"/>
  </r>
  <r>
    <s v="https://suumo.jp/chintai/jnc_000103447925/?bc=100477536772"/>
    <s v="中央マンション"/>
    <s v="東京都中野区新井１"/>
    <n v="240000"/>
    <n v="10000"/>
    <n v="240000"/>
    <n v="240000"/>
    <n v="10"/>
    <x v="10"/>
    <n v="83.29"/>
    <n v="61"/>
    <x v="8"/>
    <s v="中野駅"/>
    <n v="10"/>
    <n v="14"/>
    <n v="133470.28"/>
    <n v="282153.84999999998"/>
    <n v="286"/>
    <n v="26"/>
    <s v="80-90"/>
    <x v="2"/>
  </r>
  <r>
    <s v="https://suumo.jp/chintai/jnc_000103386556/?bc=100456705726"/>
    <s v="ALTERNA中野"/>
    <s v="東京都中野区中野５"/>
    <n v="310000"/>
    <n v="15000"/>
    <m/>
    <m/>
    <n v="10"/>
    <x v="13"/>
    <n v="64.37"/>
    <n v="3"/>
    <x v="8"/>
    <s v="中野駅"/>
    <n v="8"/>
    <n v="13"/>
    <n v="133470.28"/>
    <n v="288705.81"/>
    <n v="286"/>
    <n v="155"/>
    <s v="60-70"/>
    <x v="0"/>
  </r>
  <r>
    <s v="https://suumo.jp/chintai/jnc_000103386556/?bc=100456705726"/>
    <s v="ALTERNA中野"/>
    <s v="東京都中野区中野５"/>
    <n v="310000"/>
    <n v="15000"/>
    <m/>
    <m/>
    <n v="11"/>
    <x v="13"/>
    <n v="64.37"/>
    <n v="3"/>
    <x v="8"/>
    <s v="中野駅"/>
    <n v="8"/>
    <n v="13"/>
    <n v="133470.28"/>
    <n v="288705.81"/>
    <n v="286"/>
    <n v="155"/>
    <s v="60-70"/>
    <x v="0"/>
  </r>
  <r>
    <s v="https://suumo.jp/chintai/jnc_000104280471/?bc=100455872191"/>
    <s v="ALTERNA中野"/>
    <s v="東京都中野区中野５"/>
    <n v="322000"/>
    <n v="15000"/>
    <m/>
    <m/>
    <n v="10"/>
    <x v="13"/>
    <n v="64.37"/>
    <n v="3"/>
    <x v="8"/>
    <s v="中野駅"/>
    <n v="8"/>
    <n v="13"/>
    <n v="133470.28"/>
    <n v="288705.81"/>
    <n v="286"/>
    <n v="155"/>
    <s v="60-70"/>
    <x v="0"/>
  </r>
  <r>
    <s v="https://suumo.jp/chintai/jnc_000104280471/?bc=100455872191"/>
    <s v="ALTERNA中野"/>
    <s v="東京都中野区中野５"/>
    <n v="322000"/>
    <n v="15000"/>
    <m/>
    <m/>
    <n v="11"/>
    <x v="13"/>
    <n v="64.37"/>
    <n v="3"/>
    <x v="8"/>
    <s v="中野駅"/>
    <n v="8"/>
    <n v="13"/>
    <n v="133470.28"/>
    <n v="288705.81"/>
    <n v="286"/>
    <n v="155"/>
    <s v="60-70"/>
    <x v="0"/>
  </r>
  <r>
    <s v="https://suumo.jp/chintai/jnc_000100958960/?bc=100458992087"/>
    <s v="ALTERNA中野"/>
    <s v="東京都中野区中野５"/>
    <n v="355000"/>
    <n v="15000"/>
    <m/>
    <m/>
    <n v="10"/>
    <x v="13"/>
    <n v="69.73"/>
    <n v="3"/>
    <x v="8"/>
    <s v="中野駅"/>
    <n v="8"/>
    <n v="13"/>
    <n v="133470.28"/>
    <n v="288705.81"/>
    <n v="286"/>
    <n v="155"/>
    <s v="60-70"/>
    <x v="0"/>
  </r>
  <r>
    <s v="https://suumo.jp/chintai/jnc_000100958960/?bc=100458992087"/>
    <s v="ALTERNA中野"/>
    <s v="東京都中野区中野５"/>
    <n v="355000"/>
    <n v="15000"/>
    <m/>
    <m/>
    <n v="11"/>
    <x v="13"/>
    <n v="69.73"/>
    <n v="3"/>
    <x v="8"/>
    <s v="中野駅"/>
    <n v="8"/>
    <n v="13"/>
    <n v="133470.28"/>
    <n v="288705.81"/>
    <n v="286"/>
    <n v="155"/>
    <s v="60-70"/>
    <x v="0"/>
  </r>
  <r>
    <s v="https://suumo.jp/chintai/jnc_000103771430/?bc=100480429963"/>
    <s v="ライオンズシティ中野"/>
    <s v="東京都中野区中野５"/>
    <n v="235000"/>
    <n v="15000"/>
    <n v="235000"/>
    <n v="235000"/>
    <n v="7"/>
    <x v="13"/>
    <n v="66.34"/>
    <n v="28"/>
    <x v="10"/>
    <s v="中野駅"/>
    <n v="6"/>
    <n v="12.67"/>
    <n v="133470.28"/>
    <n v="288705.81"/>
    <n v="286"/>
    <n v="155"/>
    <s v="60-70"/>
    <x v="1"/>
  </r>
  <r>
    <s v="https://suumo.jp/chintai/jnc_000103410305/?bc=100468138155"/>
    <s v="ＪＲ中央線 中野駅 11階建 築3年"/>
    <s v="東京都中野区中野５"/>
    <n v="310000"/>
    <n v="15000"/>
    <m/>
    <m/>
    <n v="10"/>
    <x v="13"/>
    <n v="64.37"/>
    <n v="3"/>
    <x v="8"/>
    <s v="中野駅"/>
    <n v="8"/>
    <n v="14.33"/>
    <n v="133470.28"/>
    <n v="288705.81"/>
    <n v="286"/>
    <n v="155"/>
    <s v="60-70"/>
    <x v="0"/>
  </r>
  <r>
    <s v="https://suumo.jp/chintai/jnc_000100953447/?bc=100473972807"/>
    <s v="ＪＲ中央線 中野駅 11階建 築3年"/>
    <s v="東京都中野区中野５"/>
    <n v="355000"/>
    <n v="15000"/>
    <m/>
    <m/>
    <n v="10"/>
    <x v="13"/>
    <n v="64.37"/>
    <n v="3"/>
    <x v="8"/>
    <s v="中野駅"/>
    <n v="8"/>
    <n v="14.33"/>
    <n v="133470.28"/>
    <n v="288705.81"/>
    <n v="286"/>
    <n v="155"/>
    <s v="60-70"/>
    <x v="0"/>
  </r>
  <r>
    <s v="https://suumo.jp/chintai/jnc_000104378962/?bc=100486093467"/>
    <s v="中野5丁目戸建住宅"/>
    <s v="東京都中野区中野５"/>
    <n v="340000"/>
    <m/>
    <n v="340000"/>
    <n v="340000"/>
    <n v="3"/>
    <x v="17"/>
    <n v="102.46"/>
    <n v="7"/>
    <x v="2"/>
    <s v="中野駅"/>
    <n v="9"/>
    <n v="13.33"/>
    <n v="133470.28"/>
    <n v="384285.71"/>
    <n v="286"/>
    <n v="7"/>
    <s v="100+"/>
    <x v="0"/>
  </r>
  <r>
    <s v="https://suumo.jp/chintai/jnc_000104426269/?bc=100485531447"/>
    <s v="東京メトロ東西線 中野駅 地上3階建 築7年"/>
    <s v="東京都中野区中野５"/>
    <n v="340000"/>
    <m/>
    <n v="340000"/>
    <n v="340000"/>
    <n v="1"/>
    <x v="17"/>
    <n v="102.46"/>
    <n v="7"/>
    <x v="2"/>
    <s v="中野駅"/>
    <n v="9"/>
    <n v="13.33"/>
    <n v="133470.28"/>
    <n v="384285.71"/>
    <n v="286"/>
    <n v="7"/>
    <s v="100+"/>
    <x v="0"/>
  </r>
  <r>
    <s v="https://suumo.jp/chintai/jnc_000104426269/?bc=100485531447"/>
    <s v="東京メトロ東西線 中野駅 地上3階建 築7年"/>
    <s v="東京都中野区中野５"/>
    <n v="340000"/>
    <m/>
    <n v="340000"/>
    <n v="340000"/>
    <n v="2"/>
    <x v="17"/>
    <n v="102.46"/>
    <n v="7"/>
    <x v="2"/>
    <s v="中野駅"/>
    <n v="9"/>
    <n v="13.33"/>
    <n v="133470.28"/>
    <n v="384285.71"/>
    <n v="286"/>
    <n v="7"/>
    <s v="100+"/>
    <x v="0"/>
  </r>
  <r>
    <s v="https://suumo.jp/chintai/jnc_000104426269/?bc=100485531447"/>
    <s v="東京メトロ東西線 中野駅 地上3階建 築7年"/>
    <s v="東京都中野区中野５"/>
    <n v="340000"/>
    <m/>
    <n v="340000"/>
    <n v="340000"/>
    <n v="3"/>
    <x v="17"/>
    <n v="102.46"/>
    <n v="7"/>
    <x v="2"/>
    <s v="中野駅"/>
    <n v="9"/>
    <n v="13.33"/>
    <n v="133470.28"/>
    <n v="384285.71"/>
    <n v="286"/>
    <n v="7"/>
    <s v="100+"/>
    <x v="0"/>
  </r>
  <r>
    <s v="https://suumo.jp/chintai/jnc_000104378963/?bc=100485418264"/>
    <s v="東京メトロ東西線 中野駅 地上3階建 築7年"/>
    <s v="東京都中野区中野５"/>
    <n v="340000"/>
    <m/>
    <n v="340000"/>
    <n v="340000"/>
    <n v="3"/>
    <x v="17"/>
    <n v="102.46"/>
    <n v="7"/>
    <x v="2"/>
    <s v="中野駅"/>
    <n v="9"/>
    <n v="13.33"/>
    <n v="133470.28"/>
    <n v="384285.71"/>
    <n v="286"/>
    <n v="7"/>
    <s v="100+"/>
    <x v="0"/>
  </r>
  <r>
    <s v="https://suumo.jp/chintai/jnc_000103353005/?bc=100476925861"/>
    <s v="西武新宿線 新井薬師前駅 5階建 築3年"/>
    <s v="東京都中野区松が丘２"/>
    <n v="135000"/>
    <n v="11000"/>
    <m/>
    <n v="135000"/>
    <n v="2"/>
    <x v="3"/>
    <n v="41.18"/>
    <n v="3"/>
    <x v="7"/>
    <s v="中野駅 バス10分 (バス停)江古田一丁目"/>
    <n v="10"/>
    <n v="12.67"/>
    <n v="136000"/>
    <n v="168453.81"/>
    <n v="2"/>
    <n v="788"/>
    <s v="40-50"/>
    <x v="0"/>
  </r>
  <r>
    <s v="https://suumo.jp/chintai/jnc_000103024437/?bc=100485101448"/>
    <s v="西武新宿線 新井薬師前駅 5階建 築3年"/>
    <s v="東京都中野区松が丘２"/>
    <n v="137000"/>
    <n v="11000"/>
    <m/>
    <n v="137000"/>
    <n v="5"/>
    <x v="3"/>
    <n v="41.18"/>
    <n v="3"/>
    <x v="7"/>
    <s v="中野駅 バス10分 (バス停)江古田一丁目"/>
    <n v="10"/>
    <n v="12.67"/>
    <n v="136000"/>
    <n v="168453.81"/>
    <n v="2"/>
    <n v="788"/>
    <s v="40-50"/>
    <x v="0"/>
  </r>
  <r>
    <s v="https://suumo.jp/chintai/jnc_000104442922/?bc=100485747178"/>
    <s v="越後ハウス"/>
    <s v="東京都中野区松が丘２"/>
    <n v="55000"/>
    <n v="3000"/>
    <n v="55000"/>
    <n v="55000"/>
    <n v="1"/>
    <x v="2"/>
    <n v="19.170000000000002"/>
    <n v="42"/>
    <x v="0"/>
    <s v="中野駅 バス5分 (バス停)下田橋"/>
    <n v="5"/>
    <n v="7.67"/>
    <n v="55000"/>
    <n v="95329.65"/>
    <n v="1"/>
    <n v="1622"/>
    <s v="10-20"/>
    <x v="3"/>
  </r>
  <r>
    <s v="https://suumo.jp/chintai/jnc_000104437852/?bc=100485959867"/>
    <s v="パークアクシス新宿百人町"/>
    <s v="東京都新宿区百人町３"/>
    <n v="145000"/>
    <n v="15000"/>
    <n v="145000"/>
    <m/>
    <n v="2"/>
    <x v="1"/>
    <n v="27.67"/>
    <n v="3"/>
    <x v="10"/>
    <s v="大久保駅"/>
    <n v="6"/>
    <n v="11"/>
    <n v="193264.71"/>
    <n v="123325.96"/>
    <n v="68"/>
    <n v="339"/>
    <s v="20-30"/>
    <x v="0"/>
  </r>
  <r>
    <s v="https://suumo.jp/chintai/jnc_000104437851/?bc=100485996234"/>
    <s v="パークアクシス新宿百人町"/>
    <s v="東京都新宿区百人町３"/>
    <n v="144000"/>
    <n v="15000"/>
    <n v="144000"/>
    <m/>
    <n v="2"/>
    <x v="1"/>
    <n v="28.27"/>
    <n v="3"/>
    <x v="10"/>
    <s v="大久保駅"/>
    <n v="6"/>
    <n v="11"/>
    <n v="193264.71"/>
    <n v="123325.96"/>
    <n v="68"/>
    <n v="339"/>
    <s v="20-30"/>
    <x v="0"/>
  </r>
  <r>
    <s v="https://suumo.jp/chintai/jnc_000104437857/?bc=100438299148"/>
    <s v="パークアクシス新宿百人町"/>
    <s v="東京都新宿区百人町３"/>
    <n v="141000"/>
    <n v="15000"/>
    <n v="141000"/>
    <m/>
    <n v="3"/>
    <x v="1"/>
    <n v="26.1"/>
    <n v="3"/>
    <x v="10"/>
    <s v="大久保駅"/>
    <n v="6"/>
    <n v="11"/>
    <n v="193264.71"/>
    <n v="123325.96"/>
    <n v="68"/>
    <n v="339"/>
    <s v="20-30"/>
    <x v="0"/>
  </r>
  <r>
    <s v="https://suumo.jp/chintai/jnc_000104437858/?bc=100485971962"/>
    <s v="パークアクシス新宿百人町"/>
    <s v="東京都新宿区百人町３"/>
    <n v="147000"/>
    <n v="15000"/>
    <n v="147000"/>
    <m/>
    <n v="3"/>
    <x v="1"/>
    <n v="28.17"/>
    <n v="3"/>
    <x v="10"/>
    <s v="大久保駅"/>
    <n v="6"/>
    <n v="11"/>
    <n v="193264.71"/>
    <n v="123325.96"/>
    <n v="68"/>
    <n v="339"/>
    <s v="20-30"/>
    <x v="0"/>
  </r>
  <r>
    <s v="https://suumo.jp/chintai/jnc_000104437864/?bc=100485951413"/>
    <s v="パークアクシス新宿百人町"/>
    <s v="東京都新宿区百人町３"/>
    <n v="146000"/>
    <n v="15000"/>
    <n v="146000"/>
    <m/>
    <n v="5"/>
    <x v="1"/>
    <n v="26.97"/>
    <n v="3"/>
    <x v="10"/>
    <s v="大久保駅"/>
    <n v="6"/>
    <n v="11"/>
    <n v="193264.71"/>
    <n v="123325.96"/>
    <n v="68"/>
    <n v="339"/>
    <s v="20-30"/>
    <x v="0"/>
  </r>
  <r>
    <s v="https://suumo.jp/chintai/jnc_000104437863/?bc=100485985641"/>
    <s v="パークアクシス新宿百人町"/>
    <s v="東京都新宿区百人町３"/>
    <n v="147000"/>
    <n v="15000"/>
    <n v="147000"/>
    <m/>
    <n v="5"/>
    <x v="1"/>
    <n v="28.27"/>
    <n v="3"/>
    <x v="10"/>
    <s v="大久保駅"/>
    <n v="6"/>
    <n v="11"/>
    <n v="193264.71"/>
    <n v="123325.96"/>
    <n v="68"/>
    <n v="339"/>
    <s v="20-30"/>
    <x v="0"/>
  </r>
  <r>
    <s v="https://suumo.jp/chintai/jnc_000103575278/?bc=100478751406"/>
    <s v="パークアクシス新宿百人町"/>
    <s v="東京都新宿区百人町３"/>
    <n v="171000"/>
    <n v="15000"/>
    <n v="171000"/>
    <m/>
    <n v="5"/>
    <x v="1"/>
    <n v="30.21"/>
    <n v="3"/>
    <x v="10"/>
    <s v="大久保駅"/>
    <n v="6"/>
    <n v="11"/>
    <n v="193264.71"/>
    <n v="123325.96"/>
    <n v="68"/>
    <n v="339"/>
    <s v="30-40"/>
    <x v="0"/>
  </r>
  <r>
    <s v="https://suumo.jp/chintai/jnc_000104454692/?bc=100485785580"/>
    <s v="ＪＲ中央線 大久保駅 7階建 築3年"/>
    <s v="東京都新宿区百人町３"/>
    <n v="145000"/>
    <n v="15000"/>
    <n v="145000"/>
    <m/>
    <n v="2"/>
    <x v="1"/>
    <n v="27.67"/>
    <n v="3"/>
    <x v="10"/>
    <s v="大久保駅"/>
    <n v="6"/>
    <n v="11"/>
    <n v="193264.71"/>
    <n v="123325.96"/>
    <n v="68"/>
    <n v="339"/>
    <s v="20-30"/>
    <x v="0"/>
  </r>
  <r>
    <s v="https://suumo.jp/chintai/jnc_000104449332/?bc=100485756167"/>
    <s v="ＪＲ中央線 大久保駅 7階建 築3年"/>
    <s v="東京都新宿区百人町３"/>
    <n v="144000"/>
    <n v="15000"/>
    <n v="144000"/>
    <m/>
    <n v="2"/>
    <x v="1"/>
    <n v="28.27"/>
    <n v="3"/>
    <x v="10"/>
    <s v="大久保駅"/>
    <n v="6"/>
    <n v="11"/>
    <n v="193264.71"/>
    <n v="123325.96"/>
    <n v="68"/>
    <n v="339"/>
    <s v="20-30"/>
    <x v="0"/>
  </r>
  <r>
    <s v="https://suumo.jp/chintai/jnc_000104449333/?bc=100444418911"/>
    <s v="ＪＲ中央線 大久保駅 7階建 築3年"/>
    <s v="東京都新宿区百人町３"/>
    <n v="141000"/>
    <n v="15000"/>
    <n v="141000"/>
    <m/>
    <n v="3"/>
    <x v="1"/>
    <n v="26.1"/>
    <n v="3"/>
    <x v="10"/>
    <s v="大久保駅"/>
    <n v="6"/>
    <n v="11"/>
    <n v="193264.71"/>
    <n v="123325.96"/>
    <n v="68"/>
    <n v="339"/>
    <s v="20-30"/>
    <x v="0"/>
  </r>
  <r>
    <s v="https://suumo.jp/chintai/jnc_000104449334/?bc=100485756216"/>
    <s v="ＪＲ中央線 大久保駅 7階建 築3年"/>
    <s v="東京都新宿区百人町３"/>
    <n v="147000"/>
    <n v="15000"/>
    <n v="147000"/>
    <m/>
    <n v="3"/>
    <x v="1"/>
    <n v="28.17"/>
    <n v="3"/>
    <x v="10"/>
    <s v="大久保駅"/>
    <n v="6"/>
    <n v="11"/>
    <n v="193264.71"/>
    <n v="123325.96"/>
    <n v="68"/>
    <n v="339"/>
    <s v="20-30"/>
    <x v="0"/>
  </r>
  <r>
    <s v="https://suumo.jp/chintai/jnc_000104442230/?bc=100485715664"/>
    <s v="ＪＲ中央線 大久保駅 7階建 築3年"/>
    <s v="東京都新宿区百人町３"/>
    <n v="146000"/>
    <n v="15000"/>
    <n v="146000"/>
    <m/>
    <n v="5"/>
    <x v="1"/>
    <n v="26.97"/>
    <n v="3"/>
    <x v="10"/>
    <s v="大久保駅"/>
    <n v="6"/>
    <n v="11"/>
    <n v="193264.71"/>
    <n v="123325.96"/>
    <n v="68"/>
    <n v="339"/>
    <s v="20-30"/>
    <x v="0"/>
  </r>
  <r>
    <s v="https://suumo.jp/chintai/jnc_000104449337/?bc=100485756158"/>
    <s v="ＪＲ中央線 大久保駅 7階建 築3年"/>
    <s v="東京都新宿区百人町３"/>
    <n v="147000"/>
    <n v="15000"/>
    <n v="147000"/>
    <m/>
    <n v="5"/>
    <x v="1"/>
    <n v="28.27"/>
    <n v="3"/>
    <x v="10"/>
    <s v="大久保駅"/>
    <n v="6"/>
    <n v="11"/>
    <n v="193264.71"/>
    <n v="123325.96"/>
    <n v="68"/>
    <n v="339"/>
    <s v="20-30"/>
    <x v="0"/>
  </r>
  <r>
    <s v="https://suumo.jp/chintai/jnc_000104416510/?bc=100460320767"/>
    <s v="いずみニッテイハイツ北新宿"/>
    <s v="東京都新宿区北新宿４"/>
    <n v="95000"/>
    <m/>
    <n v="95000"/>
    <n v="95000"/>
    <n v="2"/>
    <x v="2"/>
    <n v="21.3"/>
    <n v="42"/>
    <x v="9"/>
    <s v="大久保駅"/>
    <n v="7"/>
    <n v="10.67"/>
    <n v="193264.71"/>
    <n v="95329.65"/>
    <n v="68"/>
    <n v="1622"/>
    <s v="20-30"/>
    <x v="3"/>
  </r>
  <r>
    <s v="https://suumo.jp/chintai/jnc_000104432890/?bc=100485002105"/>
    <s v="プレミアムキューブG北新宿"/>
    <s v="東京都新宿区北新宿４"/>
    <n v="145000"/>
    <n v="15000"/>
    <n v="145000"/>
    <n v="145000"/>
    <n v="2"/>
    <x v="2"/>
    <n v="25.41"/>
    <n v="8"/>
    <x v="9"/>
    <s v="大久保駅"/>
    <n v="8"/>
    <n v="10.67"/>
    <n v="193264.71"/>
    <n v="95329.65"/>
    <n v="68"/>
    <n v="1622"/>
    <s v="20-30"/>
    <x v="0"/>
  </r>
  <r>
    <s v="https://suumo.jp/chintai/jnc_000104085842/?bc=100428531677"/>
    <s v="ヘーベル柏木"/>
    <s v="東京都新宿区北新宿３"/>
    <n v="106000"/>
    <n v="8000"/>
    <n v="106000"/>
    <n v="212000"/>
    <n v="1"/>
    <x v="2"/>
    <n v="29.95"/>
    <n v="12"/>
    <x v="2"/>
    <s v="大久保駅"/>
    <n v="7"/>
    <n v="11"/>
    <n v="193264.71"/>
    <n v="95329.65"/>
    <n v="68"/>
    <n v="1622"/>
    <s v="20-30"/>
    <x v="7"/>
  </r>
  <r>
    <s v="https://suumo.jp/chintai/jnc_000104310265/?bc=100484738760"/>
    <s v="メゾンドジュン"/>
    <s v="東京都新宿区百人町３"/>
    <n v="75000"/>
    <n v="4000"/>
    <n v="75000"/>
    <n v="75000"/>
    <n v="1"/>
    <x v="2"/>
    <n v="14.79"/>
    <n v="35"/>
    <x v="7"/>
    <s v="大久保駅"/>
    <n v="9"/>
    <n v="12"/>
    <n v="193264.71"/>
    <n v="95329.65"/>
    <n v="68"/>
    <n v="1622"/>
    <s v="10-20"/>
    <x v="4"/>
  </r>
  <r>
    <s v="https://suumo.jp/chintai/jnc_000104525313/?bc=100461421972"/>
    <s v="ＪＲ中央線 大久保駅 8階建 築8年"/>
    <s v="東京都新宿区北新宿４"/>
    <n v="141000"/>
    <n v="15000"/>
    <n v="141000"/>
    <n v="141000"/>
    <n v="2"/>
    <x v="2"/>
    <n v="25.41"/>
    <n v="8"/>
    <x v="9"/>
    <s v="大久保駅"/>
    <n v="8"/>
    <n v="12"/>
    <n v="193264.71"/>
    <n v="95329.65"/>
    <n v="68"/>
    <n v="1622"/>
    <s v="20-30"/>
    <x v="0"/>
  </r>
  <r>
    <s v="https://suumo.jp/chintai/jnc_000104437826/?bc=100485009751"/>
    <s v="ＪＲ中央線 大久保駅 8階建 築8年"/>
    <s v="東京都新宿区北新宿４"/>
    <n v="145000"/>
    <n v="15000"/>
    <n v="145000"/>
    <n v="145000"/>
    <n v="2"/>
    <x v="2"/>
    <n v="25.41"/>
    <n v="8"/>
    <x v="9"/>
    <s v="大久保駅"/>
    <n v="8"/>
    <n v="12"/>
    <n v="193264.71"/>
    <n v="95329.65"/>
    <n v="68"/>
    <n v="1622"/>
    <s v="20-30"/>
    <x v="0"/>
  </r>
  <r>
    <s v="https://suumo.jp/chintai/jnc_000103654517/?bc=100480072375"/>
    <s v="ＪＲ総武線 大久保駅 2階建 築22年"/>
    <s v="東京都新宿区百人町３"/>
    <n v="85000"/>
    <n v="2000"/>
    <m/>
    <n v="85000"/>
    <n v="2"/>
    <x v="2"/>
    <n v="20.7"/>
    <n v="22"/>
    <x v="0"/>
    <s v="大久保駅"/>
    <n v="10"/>
    <n v="13.33"/>
    <n v="193264.71"/>
    <n v="95329.65"/>
    <n v="68"/>
    <n v="1622"/>
    <s v="20-30"/>
    <x v="1"/>
  </r>
  <r>
    <s v="https://suumo.jp/chintai/jnc_000103575275/?bc=100478985181"/>
    <s v="パークアクシス新宿百人町"/>
    <s v="東京都新宿区百人町３"/>
    <n v="159000"/>
    <n v="18000"/>
    <n v="159000"/>
    <m/>
    <n v="1"/>
    <x v="3"/>
    <n v="30.38"/>
    <n v="3"/>
    <x v="10"/>
    <s v="大久保駅"/>
    <n v="6"/>
    <n v="11"/>
    <n v="193264.71"/>
    <n v="168453.81"/>
    <n v="68"/>
    <n v="788"/>
    <s v="30-40"/>
    <x v="0"/>
  </r>
  <r>
    <s v="https://suumo.jp/chintai/jnc_000104437846/?bc=100485928375"/>
    <s v="パークアクシス新宿百人町"/>
    <s v="東京都新宿区百人町３"/>
    <n v="192000"/>
    <n v="18000"/>
    <n v="192000"/>
    <m/>
    <n v="1"/>
    <x v="3"/>
    <n v="36.03"/>
    <n v="3"/>
    <x v="10"/>
    <s v="大久保駅"/>
    <n v="6"/>
    <n v="11"/>
    <n v="193264.71"/>
    <n v="168453.81"/>
    <n v="68"/>
    <n v="788"/>
    <s v="30-40"/>
    <x v="0"/>
  </r>
  <r>
    <s v="https://suumo.jp/chintai/jnc_000104437843/?bc=100474865184"/>
    <s v="パークアクシス新宿百人町"/>
    <s v="東京都新宿区百人町３"/>
    <n v="226000"/>
    <n v="18000"/>
    <n v="226000"/>
    <m/>
    <n v="1"/>
    <x v="3"/>
    <n v="41.9"/>
    <n v="3"/>
    <x v="10"/>
    <s v="大久保駅"/>
    <n v="6"/>
    <n v="11"/>
    <n v="193264.71"/>
    <n v="168453.81"/>
    <n v="68"/>
    <n v="788"/>
    <s v="40-50"/>
    <x v="0"/>
  </r>
  <r>
    <s v="https://suumo.jp/chintai/jnc_000103459024/?bc=100475615702"/>
    <s v="パークアクシス新宿百人町"/>
    <s v="東京都新宿区百人町３"/>
    <n v="231000"/>
    <n v="18000"/>
    <n v="231000"/>
    <m/>
    <n v="1"/>
    <x v="3"/>
    <n v="41.9"/>
    <n v="3"/>
    <x v="10"/>
    <s v="大久保駅"/>
    <n v="6"/>
    <n v="11"/>
    <n v="193264.71"/>
    <n v="168453.81"/>
    <n v="68"/>
    <n v="788"/>
    <s v="40-50"/>
    <x v="0"/>
  </r>
  <r>
    <s v="https://suumo.jp/chintai/jnc_000104437845/?bc=100479320175"/>
    <s v="パークアクシス新宿百人町"/>
    <s v="東京都新宿区百人町３"/>
    <n v="229000"/>
    <n v="18000"/>
    <n v="229000"/>
    <m/>
    <n v="1"/>
    <x v="3"/>
    <n v="42.14"/>
    <n v="3"/>
    <x v="10"/>
    <s v="大久保駅"/>
    <n v="6"/>
    <n v="11"/>
    <n v="193264.71"/>
    <n v="168453.81"/>
    <n v="68"/>
    <n v="788"/>
    <s v="40-50"/>
    <x v="0"/>
  </r>
  <r>
    <s v="https://suumo.jp/chintai/jnc_000103459026/?bc=100448276143"/>
    <s v="パークアクシス新宿百人町"/>
    <s v="東京都新宿区百人町３"/>
    <n v="234000"/>
    <n v="18000"/>
    <n v="234000"/>
    <m/>
    <n v="1"/>
    <x v="3"/>
    <n v="42.14"/>
    <n v="3"/>
    <x v="10"/>
    <s v="大久保駅"/>
    <n v="6"/>
    <n v="11"/>
    <n v="193264.71"/>
    <n v="168453.81"/>
    <n v="68"/>
    <n v="788"/>
    <s v="40-50"/>
    <x v="0"/>
  </r>
  <r>
    <s v="https://suumo.jp/chintai/jnc_000104437844/?bc=100455657616"/>
    <s v="パークアクシス新宿百人町"/>
    <s v="東京都新宿区百人町３"/>
    <n v="228000"/>
    <n v="18000"/>
    <n v="228000"/>
    <m/>
    <n v="1"/>
    <x v="3"/>
    <n v="42.35"/>
    <n v="3"/>
    <x v="10"/>
    <s v="大久保駅"/>
    <n v="6"/>
    <n v="11"/>
    <n v="193264.71"/>
    <n v="168453.81"/>
    <n v="68"/>
    <n v="788"/>
    <s v="40-50"/>
    <x v="0"/>
  </r>
  <r>
    <s v="https://suumo.jp/chintai/jnc_000104437850/?bc=100485986232"/>
    <s v="パークアクシス新宿百人町"/>
    <s v="東京都新宿区百人町３"/>
    <n v="172000"/>
    <n v="18000"/>
    <n v="172000"/>
    <m/>
    <n v="2"/>
    <x v="3"/>
    <n v="32.19"/>
    <n v="3"/>
    <x v="10"/>
    <s v="大久保駅"/>
    <n v="6"/>
    <n v="11"/>
    <n v="193264.71"/>
    <n v="168453.81"/>
    <n v="68"/>
    <n v="788"/>
    <s v="30-40"/>
    <x v="0"/>
  </r>
  <r>
    <s v="https://suumo.jp/chintai/jnc_000104437853/?bc=100478850302"/>
    <s v="パークアクシス新宿百人町"/>
    <s v="東京都新宿区百人町３"/>
    <n v="193000"/>
    <n v="18000"/>
    <n v="193000"/>
    <m/>
    <n v="2"/>
    <x v="3"/>
    <n v="36.03"/>
    <n v="3"/>
    <x v="10"/>
    <s v="大久保駅"/>
    <n v="6"/>
    <n v="11"/>
    <n v="193264.71"/>
    <n v="168453.81"/>
    <n v="68"/>
    <n v="788"/>
    <s v="30-40"/>
    <x v="0"/>
  </r>
  <r>
    <s v="https://suumo.jp/chintai/jnc_000104437848/?bc=100438474873"/>
    <s v="パークアクシス新宿百人町"/>
    <s v="東京都新宿区百人町３"/>
    <n v="227000"/>
    <n v="18000"/>
    <n v="227000"/>
    <m/>
    <n v="2"/>
    <x v="3"/>
    <n v="41.9"/>
    <n v="3"/>
    <x v="10"/>
    <s v="大久保駅"/>
    <n v="6"/>
    <n v="11"/>
    <n v="193264.71"/>
    <n v="168453.81"/>
    <n v="68"/>
    <n v="788"/>
    <s v="40-50"/>
    <x v="0"/>
  </r>
  <r>
    <s v="https://suumo.jp/chintai/jnc_000104437855/?bc=100474865183"/>
    <s v="パークアクシス新宿百人町"/>
    <s v="東京都新宿区百人町３"/>
    <n v="193000"/>
    <n v="18000"/>
    <n v="193000"/>
    <m/>
    <n v="3"/>
    <x v="3"/>
    <n v="34.22"/>
    <n v="3"/>
    <x v="10"/>
    <s v="大久保駅"/>
    <n v="6"/>
    <n v="11"/>
    <n v="193264.71"/>
    <n v="168453.81"/>
    <n v="68"/>
    <n v="788"/>
    <s v="30-40"/>
    <x v="0"/>
  </r>
  <r>
    <s v="https://suumo.jp/chintai/jnc_000103459031/?bc=100475615701"/>
    <s v="パークアクシス新宿百人町"/>
    <s v="東京都新宿区百人町３"/>
    <n v="198000"/>
    <n v="18000"/>
    <n v="198000"/>
    <m/>
    <n v="3"/>
    <x v="3"/>
    <n v="34.22"/>
    <n v="3"/>
    <x v="10"/>
    <s v="大久保駅"/>
    <n v="6"/>
    <n v="11"/>
    <n v="193264.71"/>
    <n v="168453.81"/>
    <n v="68"/>
    <n v="788"/>
    <s v="30-40"/>
    <x v="0"/>
  </r>
  <r>
    <s v="https://suumo.jp/chintai/jnc_000104437854/?bc=100388028688"/>
    <s v="パークアクシス新宿百人町"/>
    <s v="東京都新宿区百人町３"/>
    <n v="194000"/>
    <n v="18000"/>
    <n v="194000"/>
    <m/>
    <n v="3"/>
    <x v="3"/>
    <n v="36.03"/>
    <n v="3"/>
    <x v="10"/>
    <s v="大久保駅"/>
    <n v="6"/>
    <n v="11"/>
    <n v="193264.71"/>
    <n v="168453.81"/>
    <n v="68"/>
    <n v="788"/>
    <s v="30-40"/>
    <x v="0"/>
  </r>
  <r>
    <s v="https://suumo.jp/chintai/jnc_000104437856/?bc=100485857568"/>
    <s v="パークアクシス新宿百人町"/>
    <s v="東京都新宿区百人町３"/>
    <n v="231000"/>
    <n v="18000"/>
    <n v="231000"/>
    <m/>
    <n v="3"/>
    <x v="3"/>
    <n v="42.14"/>
    <n v="3"/>
    <x v="10"/>
    <s v="大久保駅"/>
    <n v="6"/>
    <n v="11"/>
    <n v="193264.71"/>
    <n v="168453.81"/>
    <n v="68"/>
    <n v="788"/>
    <s v="40-50"/>
    <x v="0"/>
  </r>
  <r>
    <s v="https://suumo.jp/chintai/jnc_000104437861/?bc=100417183189"/>
    <s v="パークアクシス新宿百人町"/>
    <s v="東京都新宿区百人町３"/>
    <n v="195000"/>
    <n v="18000"/>
    <n v="195000"/>
    <m/>
    <n v="4"/>
    <x v="3"/>
    <n v="36.03"/>
    <n v="3"/>
    <x v="10"/>
    <s v="大久保駅"/>
    <n v="6"/>
    <n v="11"/>
    <n v="193264.71"/>
    <n v="168453.81"/>
    <n v="68"/>
    <n v="788"/>
    <s v="30-40"/>
    <x v="0"/>
  </r>
  <r>
    <s v="https://suumo.jp/chintai/jnc_000104437859/?bc=100485953177"/>
    <s v="パークアクシス新宿百人町"/>
    <s v="東京都新宿区百人町３"/>
    <n v="232000"/>
    <n v="18000"/>
    <n v="232000"/>
    <m/>
    <n v="4"/>
    <x v="3"/>
    <n v="42.14"/>
    <n v="3"/>
    <x v="10"/>
    <s v="大久保駅"/>
    <n v="6"/>
    <n v="11"/>
    <n v="193264.71"/>
    <n v="168453.81"/>
    <n v="68"/>
    <n v="788"/>
    <s v="40-50"/>
    <x v="0"/>
  </r>
  <r>
    <s v="https://suumo.jp/chintai/jnc_000103459035/?bc=100477893479"/>
    <s v="パークアクシス新宿百人町"/>
    <s v="東京都新宿区百人町３"/>
    <n v="237000"/>
    <n v="18000"/>
    <n v="237000"/>
    <m/>
    <n v="5"/>
    <x v="3"/>
    <n v="42.35"/>
    <n v="3"/>
    <x v="10"/>
    <s v="大久保駅"/>
    <n v="6"/>
    <n v="11"/>
    <n v="193264.71"/>
    <n v="168453.81"/>
    <n v="68"/>
    <n v="788"/>
    <s v="40-50"/>
    <x v="0"/>
  </r>
  <r>
    <s v="https://suumo.jp/chintai/jnc_000104437865/?bc=100485956562"/>
    <s v="パークアクシス新宿百人町"/>
    <s v="東京都新宿区百人町３"/>
    <n v="197000"/>
    <n v="18000"/>
    <n v="197000"/>
    <m/>
    <n v="7"/>
    <x v="3"/>
    <n v="34.22"/>
    <n v="3"/>
    <x v="10"/>
    <s v="大久保駅"/>
    <n v="6"/>
    <n v="11"/>
    <n v="193264.71"/>
    <n v="168453.81"/>
    <n v="68"/>
    <n v="788"/>
    <s v="30-40"/>
    <x v="0"/>
  </r>
  <r>
    <s v="https://suumo.jp/chintai/jnc_000104449330/?bc=100485756166"/>
    <s v="ＪＲ中央線 大久保駅 7階建 築3年"/>
    <s v="東京都新宿区百人町３"/>
    <n v="192000"/>
    <n v="18000"/>
    <n v="192000"/>
    <m/>
    <n v="1"/>
    <x v="3"/>
    <n v="36.03"/>
    <n v="3"/>
    <x v="10"/>
    <s v="大久保駅"/>
    <n v="6"/>
    <n v="11"/>
    <n v="193264.71"/>
    <n v="168453.81"/>
    <n v="68"/>
    <n v="788"/>
    <s v="30-40"/>
    <x v="0"/>
  </r>
  <r>
    <s v="https://suumo.jp/chintai/jnc_000104442220/?bc=100474322198"/>
    <s v="ＪＲ中央線 大久保駅 7階建 築3年"/>
    <s v="東京都新宿区百人町３"/>
    <n v="226000"/>
    <n v="18000"/>
    <n v="226000"/>
    <m/>
    <n v="1"/>
    <x v="3"/>
    <n v="41.9"/>
    <n v="3"/>
    <x v="10"/>
    <s v="大久保駅"/>
    <n v="6"/>
    <n v="11"/>
    <n v="193264.71"/>
    <n v="168453.81"/>
    <n v="68"/>
    <n v="788"/>
    <s v="40-50"/>
    <x v="0"/>
  </r>
  <r>
    <s v="https://suumo.jp/chintai/jnc_000104442222/?bc=100444418755"/>
    <s v="ＪＲ中央線 大久保駅 7階建 築3年"/>
    <s v="東京都新宿区百人町３"/>
    <n v="229000"/>
    <n v="18000"/>
    <n v="229000"/>
    <m/>
    <n v="1"/>
    <x v="3"/>
    <n v="42.14"/>
    <n v="3"/>
    <x v="10"/>
    <s v="大久保駅"/>
    <n v="6"/>
    <n v="11"/>
    <n v="193264.71"/>
    <n v="168453.81"/>
    <n v="68"/>
    <n v="788"/>
    <s v="40-50"/>
    <x v="0"/>
  </r>
  <r>
    <s v="https://suumo.jp/chintai/jnc_000104442221/?bc=100466505751"/>
    <s v="ＪＲ中央線 大久保駅 7階建 築3年"/>
    <s v="東京都新宿区百人町３"/>
    <n v="228000"/>
    <n v="18000"/>
    <n v="228000"/>
    <m/>
    <n v="1"/>
    <x v="3"/>
    <n v="42.35"/>
    <n v="3"/>
    <x v="10"/>
    <s v="大久保駅"/>
    <n v="6"/>
    <n v="11"/>
    <n v="193264.71"/>
    <n v="168453.81"/>
    <n v="68"/>
    <n v="788"/>
    <s v="40-50"/>
    <x v="0"/>
  </r>
  <r>
    <s v="https://suumo.jp/chintai/jnc_000104449331/?bc=100485785615"/>
    <s v="ＪＲ中央線 大久保駅 7階建 築3年"/>
    <s v="東京都新宿区百人町３"/>
    <n v="172000"/>
    <n v="18000"/>
    <n v="172000"/>
    <m/>
    <n v="2"/>
    <x v="3"/>
    <n v="32.19"/>
    <n v="3"/>
    <x v="10"/>
    <s v="大久保駅"/>
    <n v="6"/>
    <n v="11"/>
    <n v="193264.71"/>
    <n v="168453.81"/>
    <n v="68"/>
    <n v="788"/>
    <s v="30-40"/>
    <x v="0"/>
  </r>
  <r>
    <s v="https://suumo.jp/chintai/jnc_000104442224/?bc=100444420010"/>
    <s v="ＪＲ中央線 大久保駅 7階建 築3年"/>
    <s v="東京都新宿区百人町３"/>
    <n v="227000"/>
    <n v="18000"/>
    <n v="227000"/>
    <m/>
    <n v="2"/>
    <x v="3"/>
    <n v="41.9"/>
    <n v="3"/>
    <x v="10"/>
    <s v="大久保駅"/>
    <n v="6"/>
    <n v="11"/>
    <n v="193264.71"/>
    <n v="168453.81"/>
    <n v="68"/>
    <n v="788"/>
    <s v="40-50"/>
    <x v="0"/>
  </r>
  <r>
    <s v="https://suumo.jp/chintai/jnc_000104442227/?bc=100474322193"/>
    <s v="ＪＲ中央線 大久保駅 7階建 築3年"/>
    <s v="東京都新宿区百人町３"/>
    <n v="193000"/>
    <n v="18000"/>
    <n v="193000"/>
    <m/>
    <n v="3"/>
    <x v="3"/>
    <n v="34.22"/>
    <n v="3"/>
    <x v="10"/>
    <s v="大久保駅"/>
    <n v="6"/>
    <n v="11"/>
    <n v="193264.71"/>
    <n v="168453.81"/>
    <n v="68"/>
    <n v="788"/>
    <s v="30-40"/>
    <x v="0"/>
  </r>
  <r>
    <s v="https://suumo.jp/chintai/jnc_000104442228/?bc=100485715670"/>
    <s v="ＪＲ中央線 大久保駅 7階建 築3年"/>
    <s v="東京都新宿区百人町３"/>
    <n v="231000"/>
    <n v="18000"/>
    <n v="231000"/>
    <m/>
    <n v="3"/>
    <x v="3"/>
    <n v="42.14"/>
    <n v="3"/>
    <x v="10"/>
    <s v="大久保駅"/>
    <n v="6"/>
    <n v="11"/>
    <n v="193264.71"/>
    <n v="168453.81"/>
    <n v="68"/>
    <n v="788"/>
    <s v="40-50"/>
    <x v="0"/>
  </r>
  <r>
    <s v="https://suumo.jp/chintai/jnc_000104442229/?bc=100485715346"/>
    <s v="ＪＲ中央線 大久保駅 7階建 築3年"/>
    <s v="東京都新宿区百人町３"/>
    <n v="195000"/>
    <n v="18000"/>
    <n v="195000"/>
    <m/>
    <n v="4"/>
    <x v="3"/>
    <n v="36.03"/>
    <n v="3"/>
    <x v="10"/>
    <s v="大久保駅"/>
    <n v="6"/>
    <n v="11"/>
    <n v="193264.71"/>
    <n v="168453.81"/>
    <n v="68"/>
    <n v="788"/>
    <s v="30-40"/>
    <x v="0"/>
  </r>
  <r>
    <s v="https://suumo.jp/chintai/jnc_000104449335/?bc=100485756171"/>
    <s v="ＪＲ中央線 大久保駅 7階建 築3年"/>
    <s v="東京都新宿区百人町３"/>
    <n v="232000"/>
    <n v="18000"/>
    <n v="232000"/>
    <m/>
    <n v="4"/>
    <x v="3"/>
    <n v="42.14"/>
    <n v="3"/>
    <x v="10"/>
    <s v="大久保駅"/>
    <n v="6"/>
    <n v="11"/>
    <n v="193264.71"/>
    <n v="168453.81"/>
    <n v="68"/>
    <n v="788"/>
    <s v="40-50"/>
    <x v="0"/>
  </r>
  <r>
    <s v="https://suumo.jp/chintai/jnc_000103023835/?bc=100474322176"/>
    <s v="ＪＲ中央線 大久保駅 7階建 築3年"/>
    <s v="東京都新宿区百人町３"/>
    <n v="182000"/>
    <n v="18000"/>
    <n v="182000"/>
    <m/>
    <n v="6"/>
    <x v="3"/>
    <n v="30.38"/>
    <n v="3"/>
    <x v="10"/>
    <s v="大久保駅"/>
    <n v="6"/>
    <n v="11"/>
    <n v="193264.71"/>
    <n v="168453.81"/>
    <n v="68"/>
    <n v="788"/>
    <s v="30-40"/>
    <x v="0"/>
  </r>
  <r>
    <s v="https://suumo.jp/chintai/jnc_000104449338/?bc=100485785624"/>
    <s v="ＪＲ中央線 大久保駅 7階建 築3年"/>
    <s v="東京都新宿区百人町３"/>
    <n v="197000"/>
    <n v="18000"/>
    <n v="197000"/>
    <m/>
    <n v="7"/>
    <x v="3"/>
    <n v="34.22"/>
    <n v="3"/>
    <x v="10"/>
    <s v="大久保駅"/>
    <n v="6"/>
    <n v="11"/>
    <n v="193264.71"/>
    <n v="168453.81"/>
    <n v="68"/>
    <n v="788"/>
    <s v="30-40"/>
    <x v="0"/>
  </r>
  <r>
    <s v="https://suumo.jp/chintai/jnc_000103473396/?bc=100479613199"/>
    <s v="コモドスクウエア北新宿"/>
    <s v="東京都新宿区北新宿４"/>
    <n v="75000"/>
    <n v="10000"/>
    <n v="75000"/>
    <n v="75000"/>
    <n v="3"/>
    <x v="0"/>
    <n v="18.3"/>
    <n v="38"/>
    <x v="9"/>
    <s v="大久保駅"/>
    <n v="9"/>
    <n v="11"/>
    <n v="193264.71"/>
    <n v="77692.34"/>
    <n v="68"/>
    <n v="1071"/>
    <s v="10-20"/>
    <x v="4"/>
  </r>
  <r>
    <s v="https://suumo.jp/chintai/jnc_000100331586/?bc=100473139926"/>
    <s v="ストーク北新宿"/>
    <s v="東京都新宿区北新宿４"/>
    <n v="80000"/>
    <n v="3000"/>
    <n v="80000"/>
    <n v="80000"/>
    <n v="8"/>
    <x v="0"/>
    <n v="22.96"/>
    <n v="38"/>
    <x v="1"/>
    <s v="大久保駅"/>
    <n v="10"/>
    <n v="11.67"/>
    <n v="193264.71"/>
    <n v="77692.34"/>
    <n v="68"/>
    <n v="1071"/>
    <s v="20-30"/>
    <x v="4"/>
  </r>
  <r>
    <s v="https://suumo.jp/chintai/jnc_000104060180/?bc=100483091451"/>
    <s v="レグノ・セレーノ"/>
    <s v="東京都新宿区北新宿３"/>
    <n v="120000"/>
    <n v="15000"/>
    <n v="120000"/>
    <n v="120000"/>
    <n v="2"/>
    <x v="0"/>
    <n v="29.67"/>
    <n v="18"/>
    <x v="15"/>
    <s v="大久保駅"/>
    <n v="3"/>
    <n v="8.33"/>
    <n v="193264.71"/>
    <n v="77692.34"/>
    <n v="68"/>
    <n v="1071"/>
    <s v="20-30"/>
    <x v="7"/>
  </r>
  <r>
    <s v="https://suumo.jp/chintai/jnc_000104449284/?bc=100485729595"/>
    <s v="ＪＲ中央線 東中野駅 9階建 築25年"/>
    <s v="東京都新宿区北新宿４"/>
    <n v="90000"/>
    <n v="9000"/>
    <n v="90000"/>
    <n v="90000"/>
    <n v="9"/>
    <x v="0"/>
    <n v="19.600000000000001"/>
    <n v="25"/>
    <x v="6"/>
    <s v="大久保駅"/>
    <n v="8"/>
    <n v="10.67"/>
    <n v="193264.71"/>
    <n v="77692.34"/>
    <n v="68"/>
    <n v="1071"/>
    <s v="10-20"/>
    <x v="1"/>
  </r>
  <r>
    <s v="https://suumo.jp/chintai/jnc_000104437847/?bc=100478839532"/>
    <s v="パークアクシス新宿百人町"/>
    <s v="東京都新宿区百人町３"/>
    <n v="246000"/>
    <n v="18000"/>
    <n v="246000"/>
    <m/>
    <n v="2"/>
    <x v="8"/>
    <n v="44.54"/>
    <n v="3"/>
    <x v="10"/>
    <s v="大久保駅"/>
    <n v="6"/>
    <n v="11"/>
    <n v="193264.71"/>
    <n v="232352.65"/>
    <n v="68"/>
    <n v="359"/>
    <s v="40-50"/>
    <x v="0"/>
  </r>
  <r>
    <s v="https://suumo.jp/chintai/jnc_000104437849/?bc=100455657589"/>
    <s v="パークアクシス新宿百人町"/>
    <s v="東京都新宿区百人町３"/>
    <n v="262000"/>
    <n v="18000"/>
    <n v="262000"/>
    <m/>
    <n v="2"/>
    <x v="8"/>
    <n v="45.03"/>
    <n v="3"/>
    <x v="10"/>
    <s v="大久保駅"/>
    <n v="6"/>
    <n v="11"/>
    <n v="193264.71"/>
    <n v="232352.65"/>
    <n v="68"/>
    <n v="359"/>
    <s v="40-50"/>
    <x v="0"/>
  </r>
  <r>
    <s v="https://suumo.jp/chintai/jnc_000102658100/?bc=100483014071"/>
    <s v="パークアクシス新宿百人町"/>
    <s v="東京都新宿区百人町３"/>
    <n v="267000"/>
    <n v="18000"/>
    <n v="267000"/>
    <m/>
    <n v="2"/>
    <x v="8"/>
    <n v="45.03"/>
    <n v="3"/>
    <x v="10"/>
    <s v="大久保駅"/>
    <n v="6"/>
    <n v="11"/>
    <n v="193264.71"/>
    <n v="232352.65"/>
    <n v="68"/>
    <n v="359"/>
    <s v="40-50"/>
    <x v="0"/>
  </r>
  <r>
    <s v="https://suumo.jp/chintai/jnc_000102725497/?bc=100476112329"/>
    <s v="パークアクシス新宿百人町"/>
    <s v="東京都新宿区百人町３"/>
    <n v="275000"/>
    <n v="18000"/>
    <n v="275000"/>
    <m/>
    <n v="3"/>
    <x v="8"/>
    <n v="50.47"/>
    <n v="3"/>
    <x v="10"/>
    <s v="大久保駅"/>
    <n v="6"/>
    <n v="11"/>
    <n v="193264.71"/>
    <n v="232352.65"/>
    <n v="68"/>
    <n v="359"/>
    <s v="50-60"/>
    <x v="0"/>
  </r>
  <r>
    <s v="https://suumo.jp/chintai/jnc_000103575277/?bc=100478694012"/>
    <s v="パークアクシス新宿百人町"/>
    <s v="東京都新宿区百人町３"/>
    <n v="342000"/>
    <n v="18000"/>
    <n v="342000"/>
    <m/>
    <n v="3"/>
    <x v="8"/>
    <n v="60.76"/>
    <n v="3"/>
    <x v="10"/>
    <s v="大久保駅"/>
    <n v="6"/>
    <n v="11"/>
    <n v="193264.71"/>
    <n v="232352.65"/>
    <n v="68"/>
    <n v="359"/>
    <s v="60-70"/>
    <x v="0"/>
  </r>
  <r>
    <s v="https://suumo.jp/chintai/jnc_000102725498/?bc=100475152136"/>
    <s v="パークアクシス新宿百人町"/>
    <s v="東京都新宿区百人町３"/>
    <n v="269000"/>
    <n v="18000"/>
    <n v="269000"/>
    <m/>
    <n v="4"/>
    <x v="8"/>
    <n v="45.03"/>
    <n v="3"/>
    <x v="10"/>
    <s v="大久保駅"/>
    <n v="6"/>
    <n v="11"/>
    <n v="193264.71"/>
    <n v="232352.65"/>
    <n v="68"/>
    <n v="359"/>
    <s v="40-50"/>
    <x v="0"/>
  </r>
  <r>
    <s v="https://suumo.jp/chintai/jnc_000104437860/?bc=100485653127"/>
    <s v="パークアクシス新宿百人町"/>
    <s v="東京都新宿区百人町３"/>
    <n v="276000"/>
    <n v="18000"/>
    <n v="276000"/>
    <m/>
    <n v="4"/>
    <x v="8"/>
    <n v="50.47"/>
    <n v="3"/>
    <x v="10"/>
    <s v="大久保駅"/>
    <n v="6"/>
    <n v="11"/>
    <n v="193264.71"/>
    <n v="232352.65"/>
    <n v="68"/>
    <n v="359"/>
    <s v="50-60"/>
    <x v="0"/>
  </r>
  <r>
    <s v="https://suumo.jp/chintai/jnc_000104437862/?bc=100475762974"/>
    <s v="パークアクシス新宿百人町"/>
    <s v="東京都新宿区百人町３"/>
    <n v="293000"/>
    <n v="18000"/>
    <n v="293000"/>
    <m/>
    <n v="5"/>
    <x v="8"/>
    <n v="47.53"/>
    <n v="3"/>
    <x v="10"/>
    <s v="大久保駅"/>
    <n v="6"/>
    <n v="11"/>
    <n v="193264.71"/>
    <n v="232352.65"/>
    <n v="68"/>
    <n v="359"/>
    <s v="40-50"/>
    <x v="0"/>
  </r>
  <r>
    <s v="https://suumo.jp/chintai/jnc_000103105772/?bc=100475729067"/>
    <s v="パークアクシス新宿百人町"/>
    <s v="東京都新宿区百人町３"/>
    <n v="298000"/>
    <n v="18000"/>
    <n v="298000"/>
    <m/>
    <n v="5"/>
    <x v="8"/>
    <n v="47.53"/>
    <n v="3"/>
    <x v="10"/>
    <s v="大久保駅"/>
    <n v="6"/>
    <n v="11"/>
    <n v="193264.71"/>
    <n v="232352.65"/>
    <n v="68"/>
    <n v="359"/>
    <s v="40-50"/>
    <x v="0"/>
  </r>
  <r>
    <s v="https://suumo.jp/chintai/jnc_000104442223/?bc=100473012088"/>
    <s v="ＪＲ中央線 大久保駅 7階建 築3年"/>
    <s v="東京都新宿区百人町３"/>
    <n v="246000"/>
    <n v="18000"/>
    <n v="246000"/>
    <m/>
    <n v="2"/>
    <x v="8"/>
    <n v="44.54"/>
    <n v="3"/>
    <x v="10"/>
    <s v="大久保駅"/>
    <n v="6"/>
    <n v="11"/>
    <n v="193264.71"/>
    <n v="232352.65"/>
    <n v="68"/>
    <n v="359"/>
    <s v="40-50"/>
    <x v="0"/>
  </r>
  <r>
    <s v="https://suumo.jp/chintai/jnc_000104442225/?bc=100447448175"/>
    <s v="ＪＲ中央線 大久保駅 7階建 築3年"/>
    <s v="東京都新宿区百人町３"/>
    <n v="262000"/>
    <n v="18000"/>
    <n v="262000"/>
    <m/>
    <n v="2"/>
    <x v="8"/>
    <n v="45.03"/>
    <n v="3"/>
    <x v="10"/>
    <s v="大久保駅"/>
    <n v="6"/>
    <n v="11"/>
    <n v="193264.71"/>
    <n v="232352.65"/>
    <n v="68"/>
    <n v="359"/>
    <s v="40-50"/>
    <x v="0"/>
  </r>
  <r>
    <s v="https://suumo.jp/chintai/jnc_000104449336/?bc=100485756215"/>
    <s v="ＪＲ中央線 大久保駅 7階建 築3年"/>
    <s v="東京都新宿区百人町３"/>
    <n v="276000"/>
    <n v="18000"/>
    <n v="276000"/>
    <m/>
    <n v="4"/>
    <x v="8"/>
    <n v="50.47"/>
    <n v="3"/>
    <x v="10"/>
    <s v="大久保駅"/>
    <n v="6"/>
    <n v="11"/>
    <n v="193264.71"/>
    <n v="232352.65"/>
    <n v="68"/>
    <n v="359"/>
    <s v="50-60"/>
    <x v="0"/>
  </r>
  <r>
    <s v="https://suumo.jp/chintai/jnc_000103536062/?bc=100486451247"/>
    <s v="ＪＲ中央線 大久保駅 地上2階建 築66年"/>
    <s v="東京都新宿区北新宿３"/>
    <n v="190000"/>
    <m/>
    <n v="190000"/>
    <m/>
    <n v="1"/>
    <x v="8"/>
    <n v="59.62"/>
    <n v="66"/>
    <x v="0"/>
    <s v="大久保駅"/>
    <n v="8"/>
    <n v="12.67"/>
    <n v="193264.71"/>
    <n v="232352.65"/>
    <n v="68"/>
    <n v="359"/>
    <s v="50-60"/>
    <x v="2"/>
  </r>
  <r>
    <s v="https://suumo.jp/chintai/jnc_000103536062/?bc=100486451247"/>
    <s v="ＪＲ中央線 大久保駅 地上2階建 築66年"/>
    <s v="東京都新宿区北新宿３"/>
    <n v="190000"/>
    <m/>
    <n v="190000"/>
    <m/>
    <n v="2"/>
    <x v="8"/>
    <n v="59.62"/>
    <n v="66"/>
    <x v="0"/>
    <s v="大久保駅"/>
    <n v="8"/>
    <n v="12.67"/>
    <n v="193264.71"/>
    <n v="232352.65"/>
    <n v="68"/>
    <n v="359"/>
    <s v="50-60"/>
    <x v="2"/>
  </r>
  <r>
    <s v="https://suumo.jp/chintai/jnc_000104548540/?bc=100486425956"/>
    <s v="フォーマット北新宿"/>
    <s v="東京都新宿区北新宿４"/>
    <n v="300000"/>
    <m/>
    <n v="300000"/>
    <n v="300000"/>
    <n v="3"/>
    <x v="13"/>
    <n v="93.15"/>
    <n v="33"/>
    <x v="5"/>
    <s v="大久保駅"/>
    <n v="10"/>
    <n v="11.67"/>
    <n v="193264.71"/>
    <n v="288705.81"/>
    <n v="68"/>
    <n v="155"/>
    <s v="90-100"/>
    <x v="4"/>
  </r>
  <r>
    <s v="https://suumo.jp/chintai/jnc_000103492439/?bc=100482745761"/>
    <s v="ＪＲ中央線 中野駅 地下1地上13階建 築10年"/>
    <s v="東京都中野区中央５"/>
    <n v="205000"/>
    <m/>
    <n v="205000"/>
    <n v="205000"/>
    <n v="9"/>
    <x v="3"/>
    <n v="39.1"/>
    <n v="10"/>
    <x v="12"/>
    <s v="新中野駅"/>
    <n v="4"/>
    <n v="9.67"/>
    <n v="205000"/>
    <n v="168453.81"/>
    <n v="1"/>
    <n v="788"/>
    <s v="30-40"/>
    <x v="0"/>
  </r>
  <r>
    <s v="https://suumo.jp/chintai/jnc_000104295986/?bc=100484552354"/>
    <s v="AW中野松が丘"/>
    <s v="東京都中野区松が丘１"/>
    <n v="87000"/>
    <n v="3000"/>
    <m/>
    <m/>
    <n v="1"/>
    <x v="1"/>
    <n v="19.899999999999999"/>
    <n v="0"/>
    <x v="0"/>
    <s v="新井薬師前駅"/>
    <n v="7"/>
    <n v="10.33"/>
    <n v="123574.88"/>
    <n v="123325.96"/>
    <n v="637"/>
    <n v="339"/>
    <s v="10-20"/>
    <x v="6"/>
  </r>
  <r>
    <s v="https://suumo.jp/chintai/jnc_000104295985/?bc=100484552353"/>
    <s v="AW中野松が丘"/>
    <s v="東京都中野区松が丘１"/>
    <n v="91000"/>
    <n v="3000"/>
    <m/>
    <m/>
    <n v="1"/>
    <x v="1"/>
    <n v="21.8"/>
    <n v="0"/>
    <x v="0"/>
    <s v="新井薬師前駅"/>
    <n v="7"/>
    <n v="10.33"/>
    <n v="123574.88"/>
    <n v="123325.96"/>
    <n v="637"/>
    <n v="339"/>
    <s v="20-30"/>
    <x v="6"/>
  </r>
  <r>
    <s v="https://suumo.jp/chintai/jnc_000104295983/?bc=100484552358"/>
    <s v="AW中野松が丘"/>
    <s v="東京都中野区松が丘１"/>
    <n v="92000"/>
    <n v="3000"/>
    <m/>
    <m/>
    <n v="1"/>
    <x v="1"/>
    <n v="22.77"/>
    <n v="0"/>
    <x v="0"/>
    <s v="新井薬師前駅"/>
    <n v="7"/>
    <n v="10.33"/>
    <n v="123574.88"/>
    <n v="123325.96"/>
    <n v="637"/>
    <n v="339"/>
    <s v="20-30"/>
    <x v="6"/>
  </r>
  <r>
    <s v="https://suumo.jp/chintai/jnc_000104295982/?bc=100484552361"/>
    <s v="AW中野松が丘"/>
    <s v="東京都中野区松が丘１"/>
    <n v="94000"/>
    <n v="3000"/>
    <m/>
    <m/>
    <n v="1"/>
    <x v="1"/>
    <n v="23.39"/>
    <n v="0"/>
    <x v="0"/>
    <s v="新井薬師前駅"/>
    <n v="7"/>
    <n v="10.33"/>
    <n v="123574.88"/>
    <n v="123325.96"/>
    <n v="637"/>
    <n v="339"/>
    <s v="20-30"/>
    <x v="6"/>
  </r>
  <r>
    <s v="https://suumo.jp/chintai/jnc_000104304051/?bc=100485522301"/>
    <s v="AW中野松が丘"/>
    <s v="東京都中野区松が丘１"/>
    <n v="106000"/>
    <n v="3000"/>
    <m/>
    <m/>
    <n v="2"/>
    <x v="1"/>
    <n v="23.8"/>
    <n v="0"/>
    <x v="0"/>
    <s v="新井薬師前駅"/>
    <n v="7"/>
    <n v="10.33"/>
    <n v="123574.88"/>
    <n v="123325.96"/>
    <n v="637"/>
    <n v="339"/>
    <s v="20-30"/>
    <x v="6"/>
  </r>
  <r>
    <s v="https://suumo.jp/chintai/jnc_000104295987/?bc=100484552359"/>
    <s v="AW中野松が丘"/>
    <s v="東京都中野区松が丘１"/>
    <n v="106000"/>
    <n v="3000"/>
    <m/>
    <m/>
    <n v="2"/>
    <x v="1"/>
    <n v="25.87"/>
    <n v="0"/>
    <x v="0"/>
    <s v="新井薬師前駅"/>
    <n v="7"/>
    <n v="10.33"/>
    <n v="123574.88"/>
    <n v="123325.96"/>
    <n v="637"/>
    <n v="339"/>
    <s v="20-30"/>
    <x v="6"/>
  </r>
  <r>
    <s v="https://suumo.jp/chintai/jnc_000101699147/?bc=100485807288"/>
    <s v="Stellar上高田"/>
    <s v="東京都中野区上高田５"/>
    <n v="114000"/>
    <n v="5000"/>
    <m/>
    <m/>
    <n v="2"/>
    <x v="1"/>
    <n v="25.94"/>
    <n v="0"/>
    <x v="4"/>
    <s v="新井薬師前駅"/>
    <n v="3"/>
    <n v="3"/>
    <n v="123574.88"/>
    <n v="123325.96"/>
    <n v="637"/>
    <n v="339"/>
    <s v="20-30"/>
    <x v="6"/>
  </r>
  <r>
    <s v="https://suumo.jp/chintai/jnc_000101699152/?bc=100479799994"/>
    <s v="Stellar上高田"/>
    <s v="東京都中野区上高田５"/>
    <n v="168000"/>
    <n v="5000"/>
    <m/>
    <m/>
    <n v="3"/>
    <x v="1"/>
    <n v="35.56"/>
    <n v="0"/>
    <x v="4"/>
    <s v="新井薬師前駅"/>
    <n v="3"/>
    <n v="3"/>
    <n v="123574.88"/>
    <n v="123325.96"/>
    <n v="637"/>
    <n v="339"/>
    <s v="30-40"/>
    <x v="6"/>
  </r>
  <r>
    <s v="https://suumo.jp/chintai/jnc_000101699153/?bc=100486265130"/>
    <s v="Stellar上高田"/>
    <s v="東京都中野区上高田５"/>
    <n v="116000"/>
    <n v="5000"/>
    <m/>
    <m/>
    <n v="4"/>
    <x v="1"/>
    <n v="25.94"/>
    <n v="0"/>
    <x v="4"/>
    <s v="新井薬師前駅"/>
    <n v="3"/>
    <n v="3"/>
    <n v="123574.88"/>
    <n v="123325.96"/>
    <n v="637"/>
    <n v="339"/>
    <s v="20-30"/>
    <x v="6"/>
  </r>
  <r>
    <s v="https://suumo.jp/chintai/jnc_000102039943/?bc=100478902360"/>
    <s v="アトリオフラッツ中野新井薬師"/>
    <s v="東京都中野区松が丘１"/>
    <n v="130000"/>
    <n v="10000"/>
    <n v="130000"/>
    <m/>
    <n v="2"/>
    <x v="1"/>
    <n v="27.2"/>
    <n v="2"/>
    <x v="4"/>
    <s v="新井薬師前駅"/>
    <n v="3"/>
    <n v="13.67"/>
    <n v="123574.88"/>
    <n v="123325.96"/>
    <n v="637"/>
    <n v="339"/>
    <s v="20-30"/>
    <x v="0"/>
  </r>
  <r>
    <s v="https://suumo.jp/chintai/jnc_000103038501/?bc=100476144299"/>
    <s v="アリビス中野"/>
    <s v="東京都中野区上高田２"/>
    <n v="175000"/>
    <n v="15000"/>
    <m/>
    <m/>
    <n v="1"/>
    <x v="1"/>
    <n v="35.78"/>
    <n v="0"/>
    <x v="7"/>
    <s v="新井薬師前駅"/>
    <n v="10"/>
    <n v="12.67"/>
    <n v="123574.88"/>
    <n v="123325.96"/>
    <n v="637"/>
    <n v="339"/>
    <s v="30-40"/>
    <x v="6"/>
  </r>
  <r>
    <s v="https://suumo.jp/chintai/jnc_000102755804/?bc=100476144912"/>
    <s v="アリビス中野"/>
    <s v="東京都中野区上高田２"/>
    <n v="175500"/>
    <n v="15000"/>
    <m/>
    <m/>
    <n v="2"/>
    <x v="1"/>
    <n v="35.78"/>
    <n v="0"/>
    <x v="7"/>
    <s v="新井薬師前駅"/>
    <n v="10"/>
    <n v="12.67"/>
    <n v="123574.88"/>
    <n v="123325.96"/>
    <n v="637"/>
    <n v="339"/>
    <s v="30-40"/>
    <x v="6"/>
  </r>
  <r>
    <s v="https://suumo.jp/chintai/jnc_000102755813/?bc=100476182042"/>
    <s v="アリビス中野"/>
    <s v="東京都中野区上高田２"/>
    <n v="176000"/>
    <n v="15000"/>
    <m/>
    <m/>
    <n v="3"/>
    <x v="1"/>
    <n v="35.78"/>
    <n v="0"/>
    <x v="7"/>
    <s v="新井薬師前駅"/>
    <n v="10"/>
    <n v="12.67"/>
    <n v="123574.88"/>
    <n v="123325.96"/>
    <n v="637"/>
    <n v="339"/>
    <s v="30-40"/>
    <x v="6"/>
  </r>
  <r>
    <s v="https://suumo.jp/chintai/jnc_000103231664/?bc=100484527829"/>
    <s v="アリビス中野"/>
    <s v="東京都中野区上高田２"/>
    <n v="176500"/>
    <n v="15000"/>
    <m/>
    <m/>
    <n v="4"/>
    <x v="1"/>
    <n v="35.78"/>
    <n v="0"/>
    <x v="7"/>
    <s v="新井薬師前駅"/>
    <n v="10"/>
    <n v="12.67"/>
    <n v="123574.88"/>
    <n v="123325.96"/>
    <n v="637"/>
    <n v="339"/>
    <s v="30-40"/>
    <x v="6"/>
  </r>
  <r>
    <s v="https://suumo.jp/chintai/jnc_000104383909/?bc=100485210503"/>
    <s v="アリビス中野"/>
    <s v="東京都中野区上高田２"/>
    <n v="133500"/>
    <n v="15000"/>
    <m/>
    <m/>
    <n v="5"/>
    <x v="1"/>
    <n v="27.4"/>
    <n v="0"/>
    <x v="7"/>
    <s v="新井薬師前駅"/>
    <n v="10"/>
    <n v="12.67"/>
    <n v="123574.88"/>
    <n v="123325.96"/>
    <n v="637"/>
    <n v="339"/>
    <s v="20-30"/>
    <x v="6"/>
  </r>
  <r>
    <s v="https://suumo.jp/chintai/jnc_000103205285/?bc=100484819726"/>
    <s v="エスティメゾン哲学堂"/>
    <s v="東京都中野区松が丘２"/>
    <n v="147000"/>
    <n v="12000"/>
    <n v="147000"/>
    <n v="147000"/>
    <n v="6"/>
    <x v="1"/>
    <n v="36.53"/>
    <n v="17"/>
    <x v="9"/>
    <s v="新井薬師前駅"/>
    <n v="8"/>
    <n v="11.67"/>
    <n v="123574.88"/>
    <n v="123325.96"/>
    <n v="637"/>
    <n v="339"/>
    <s v="30-40"/>
    <x v="7"/>
  </r>
  <r>
    <s v="https://suumo.jp/chintai/jnc_000104179478/?bc=100483561380"/>
    <s v="カーサ・ディ・クオーレ"/>
    <s v="東京都中野区上高田２"/>
    <n v="132000"/>
    <n v="3000"/>
    <n v="132000"/>
    <n v="132000"/>
    <n v="2"/>
    <x v="1"/>
    <n v="33.83"/>
    <n v="7"/>
    <x v="2"/>
    <s v="新井薬師前駅"/>
    <n v="7"/>
    <n v="13"/>
    <n v="123574.88"/>
    <n v="123325.96"/>
    <n v="637"/>
    <n v="339"/>
    <s v="30-40"/>
    <x v="0"/>
  </r>
  <r>
    <s v="https://suumo.jp/chintai/jnc_000102888109/?bc=100474170976"/>
    <s v="ガーデンヴィラＭＩＹＡＢＩ"/>
    <s v="東京都中野区松が丘２"/>
    <n v="123000"/>
    <n v="7000"/>
    <m/>
    <n v="123000"/>
    <n v="2"/>
    <x v="1"/>
    <n v="38.97"/>
    <n v="15"/>
    <x v="0"/>
    <s v="新井薬師前駅"/>
    <n v="12"/>
    <n v="14"/>
    <n v="123574.88"/>
    <n v="123325.96"/>
    <n v="637"/>
    <n v="339"/>
    <s v="30-40"/>
    <x v="7"/>
  </r>
  <r>
    <s v="https://suumo.jp/chintai/jnc_000101344610/?bc=100465659545"/>
    <s v="ハーモニーレジデンス中野ＮＯＲＴＨ　ＡＲＡＩ"/>
    <s v="東京都中野区新井５"/>
    <n v="106000"/>
    <n v="15000"/>
    <n v="106000"/>
    <n v="106000"/>
    <n v="2"/>
    <x v="1"/>
    <n v="25.67"/>
    <n v="3"/>
    <x v="7"/>
    <s v="新井薬師前駅"/>
    <n v="4"/>
    <n v="10.33"/>
    <n v="123574.88"/>
    <n v="123325.96"/>
    <n v="637"/>
    <n v="339"/>
    <s v="20-30"/>
    <x v="0"/>
  </r>
  <r>
    <s v="https://suumo.jp/chintai/jnc_000103685958/?bc=100480026555"/>
    <s v="パティーナ中野"/>
    <s v="東京都中野区新井４"/>
    <n v="124500"/>
    <n v="9500"/>
    <m/>
    <n v="124500"/>
    <n v="2"/>
    <x v="1"/>
    <n v="28.54"/>
    <n v="3"/>
    <x v="4"/>
    <s v="新井薬師前駅"/>
    <n v="6"/>
    <n v="9.67"/>
    <n v="123574.88"/>
    <n v="123325.96"/>
    <n v="637"/>
    <n v="339"/>
    <s v="20-30"/>
    <x v="0"/>
  </r>
  <r>
    <s v="https://suumo.jp/chintai/jnc_000103969578/?bc=100483284869"/>
    <s v="パティーナ中野"/>
    <s v="東京都中野区新井４"/>
    <n v="125000"/>
    <n v="9500"/>
    <m/>
    <n v="125000"/>
    <n v="3"/>
    <x v="1"/>
    <n v="29"/>
    <n v="3"/>
    <x v="4"/>
    <s v="新井薬師前駅"/>
    <n v="6"/>
    <n v="9.67"/>
    <n v="123574.88"/>
    <n v="123325.96"/>
    <n v="637"/>
    <n v="339"/>
    <s v="20-30"/>
    <x v="0"/>
  </r>
  <r>
    <s v="https://suumo.jp/chintai/jnc_000098572257/?bc=100437928170"/>
    <s v="メゾン松ヶ丘"/>
    <s v="東京都中野区松が丘１"/>
    <n v="80000"/>
    <m/>
    <n v="80000"/>
    <n v="80000"/>
    <n v="1"/>
    <x v="1"/>
    <n v="29.16"/>
    <n v="46"/>
    <x v="2"/>
    <s v="新井薬師前駅"/>
    <n v="7"/>
    <n v="12.33"/>
    <n v="123574.88"/>
    <n v="123325.96"/>
    <n v="637"/>
    <n v="339"/>
    <s v="20-30"/>
    <x v="3"/>
  </r>
  <r>
    <s v="https://suumo.jp/chintai/jnc_000100545724/?bc=100454106044"/>
    <s v="ラティエラ中野新井"/>
    <s v="東京都中野区新井１"/>
    <n v="147000"/>
    <n v="10000"/>
    <n v="147000"/>
    <m/>
    <n v="2"/>
    <x v="1"/>
    <n v="25.36"/>
    <n v="0"/>
    <x v="9"/>
    <s v="新井薬師前駅"/>
    <n v="9"/>
    <n v="10.33"/>
    <n v="123574.88"/>
    <n v="123325.96"/>
    <n v="637"/>
    <n v="339"/>
    <s v="20-30"/>
    <x v="6"/>
  </r>
  <r>
    <s v="https://suumo.jp/chintai/jnc_000100545734/?bc=100455536320"/>
    <s v="ラティエラ中野新井"/>
    <s v="東京都中野区新井１"/>
    <n v="148000"/>
    <n v="10000"/>
    <n v="148000"/>
    <n v="148000"/>
    <n v="3"/>
    <x v="1"/>
    <n v="25.36"/>
    <n v="0"/>
    <x v="9"/>
    <s v="新井薬師前駅"/>
    <n v="9"/>
    <n v="10.33"/>
    <n v="123574.88"/>
    <n v="123325.96"/>
    <n v="637"/>
    <n v="339"/>
    <s v="20-30"/>
    <x v="6"/>
  </r>
  <r>
    <s v="https://suumo.jp/chintai/jnc_000100545732/?bc=100462922377"/>
    <s v="ラティエラ中野新井"/>
    <s v="東京都中野区新井１"/>
    <n v="148000"/>
    <n v="10000"/>
    <n v="148000"/>
    <n v="148000"/>
    <n v="3"/>
    <x v="1"/>
    <n v="25.37"/>
    <n v="0"/>
    <x v="9"/>
    <s v="新井薬師前駅"/>
    <n v="9"/>
    <n v="10.33"/>
    <n v="123574.88"/>
    <n v="123325.96"/>
    <n v="637"/>
    <n v="339"/>
    <s v="20-30"/>
    <x v="6"/>
  </r>
  <r>
    <s v="https://suumo.jp/chintai/jnc_000100545740/?bc=100455393734"/>
    <s v="ラティエラ中野新井"/>
    <s v="東京都中野区新井１"/>
    <n v="149000"/>
    <n v="10000"/>
    <n v="149000"/>
    <m/>
    <n v="4"/>
    <x v="1"/>
    <n v="25.36"/>
    <n v="0"/>
    <x v="9"/>
    <s v="新井薬師前駅"/>
    <n v="9"/>
    <n v="10.33"/>
    <n v="123574.88"/>
    <n v="123325.96"/>
    <n v="637"/>
    <n v="339"/>
    <s v="20-30"/>
    <x v="6"/>
  </r>
  <r>
    <s v="https://suumo.jp/chintai/jnc_000104491993/?bc=100486373820"/>
    <s v="ラティエラ中野新井"/>
    <s v="東京都中野区新井１"/>
    <n v="156000"/>
    <n v="10000"/>
    <n v="156000"/>
    <m/>
    <n v="5"/>
    <x v="1"/>
    <n v="25.36"/>
    <n v="0"/>
    <x v="9"/>
    <s v="新井薬師前駅"/>
    <n v="9"/>
    <n v="10.33"/>
    <n v="123574.88"/>
    <n v="123325.96"/>
    <n v="637"/>
    <n v="339"/>
    <s v="20-30"/>
    <x v="6"/>
  </r>
  <r>
    <s v="https://suumo.jp/chintai/jnc_000102274390/?bc=100468300605"/>
    <s v="ラティエラ中野新井"/>
    <s v="東京都中野区新井１"/>
    <n v="159000"/>
    <n v="10000"/>
    <n v="159000"/>
    <n v="159000"/>
    <n v="6"/>
    <x v="1"/>
    <n v="25.36"/>
    <n v="0"/>
    <x v="9"/>
    <s v="新井薬師前駅"/>
    <n v="9"/>
    <n v="10.33"/>
    <n v="123574.88"/>
    <n v="123325.96"/>
    <n v="637"/>
    <n v="339"/>
    <s v="20-30"/>
    <x v="6"/>
  </r>
  <r>
    <s v="https://suumo.jp/chintai/jnc_000102274393/?bc=100455217582"/>
    <s v="ラティエラ中野新井"/>
    <s v="東京都中野区新井１"/>
    <n v="160000"/>
    <n v="10000"/>
    <n v="160000"/>
    <n v="160000"/>
    <n v="7"/>
    <x v="1"/>
    <n v="25.36"/>
    <n v="0"/>
    <x v="9"/>
    <s v="新井薬師前駅"/>
    <n v="9"/>
    <n v="10.33"/>
    <n v="123574.88"/>
    <n v="123325.96"/>
    <n v="637"/>
    <n v="339"/>
    <s v="20-30"/>
    <x v="6"/>
  </r>
  <r>
    <s v="https://suumo.jp/chintai/jnc_000103239322/?bc=100476034691"/>
    <s v="ラミエーラ"/>
    <s v="東京都中野区上高田３"/>
    <n v="96000"/>
    <m/>
    <n v="96000"/>
    <n v="96000"/>
    <n v="1"/>
    <x v="1"/>
    <n v="27.4"/>
    <n v="7"/>
    <x v="0"/>
    <s v="新井薬師前駅"/>
    <n v="5"/>
    <n v="13.33"/>
    <n v="123574.88"/>
    <n v="123325.96"/>
    <n v="637"/>
    <n v="339"/>
    <s v="20-30"/>
    <x v="0"/>
  </r>
  <r>
    <s v="https://suumo.jp/chintai/jnc_000094378526/?bc=100483316455"/>
    <s v="ワコーレ東中野III"/>
    <s v="東京都中野区上高田１"/>
    <n v="90000"/>
    <n v="5000"/>
    <m/>
    <m/>
    <n v="2"/>
    <x v="1"/>
    <n v="24.22"/>
    <n v="35"/>
    <x v="7"/>
    <s v="新井薬師前駅"/>
    <n v="5"/>
    <n v="13.67"/>
    <n v="123574.88"/>
    <n v="123325.96"/>
    <n v="637"/>
    <n v="339"/>
    <s v="20-30"/>
    <x v="4"/>
  </r>
  <r>
    <s v="https://suumo.jp/chintai/jnc_000104442896/?bc=100486169451"/>
    <s v="中野新井薬師レジデンス"/>
    <s v="東京都中野区上高田１"/>
    <n v="128000"/>
    <n v="9000"/>
    <m/>
    <n v="128000"/>
    <n v="5"/>
    <x v="1"/>
    <n v="25.48"/>
    <n v="2"/>
    <x v="10"/>
    <s v="新井薬師前駅"/>
    <n v="7"/>
    <n v="11"/>
    <n v="123574.88"/>
    <n v="123325.96"/>
    <n v="637"/>
    <n v="339"/>
    <s v="20-30"/>
    <x v="0"/>
  </r>
  <r>
    <s v="https://suumo.jp/chintai/jnc_000102572866/?bc=100479197679"/>
    <s v="中野新井薬師レジデンス"/>
    <s v="東京都中野区上高田１"/>
    <n v="129000"/>
    <n v="9000"/>
    <m/>
    <n v="129000"/>
    <n v="5"/>
    <x v="1"/>
    <n v="26.01"/>
    <n v="2"/>
    <x v="10"/>
    <s v="新井薬師前駅"/>
    <n v="7"/>
    <n v="11"/>
    <n v="123574.88"/>
    <n v="123325.96"/>
    <n v="637"/>
    <n v="339"/>
    <s v="20-30"/>
    <x v="0"/>
  </r>
  <r>
    <s v="https://suumo.jp/chintai/jnc_000102595703/?bc=100470951182"/>
    <s v="大川ビル"/>
    <s v="東京都中野区上高田１"/>
    <n v="68000"/>
    <n v="2000"/>
    <n v="68000"/>
    <n v="68000"/>
    <n v="2"/>
    <x v="1"/>
    <n v="24.3"/>
    <n v="50"/>
    <x v="4"/>
    <s v="新井薬師前駅"/>
    <n v="5"/>
    <n v="12.67"/>
    <n v="123574.88"/>
    <n v="123325.96"/>
    <n v="637"/>
    <n v="339"/>
    <s v="20-30"/>
    <x v="3"/>
  </r>
  <r>
    <s v="https://suumo.jp/chintai/jnc_000028334075/?bc=100459002440"/>
    <s v="山口方"/>
    <s v="東京都中野区松が丘１"/>
    <n v="54000"/>
    <n v="1000"/>
    <n v="54000"/>
    <n v="54000"/>
    <n v="1"/>
    <x v="1"/>
    <n v="22"/>
    <n v="46"/>
    <x v="0"/>
    <s v="新井薬師前駅"/>
    <n v="4"/>
    <n v="12.67"/>
    <n v="123574.88"/>
    <n v="123325.96"/>
    <n v="637"/>
    <n v="339"/>
    <s v="20-30"/>
    <x v="3"/>
  </r>
  <r>
    <s v="https://suumo.jp/chintai/jnc_000028334076/?bc=100459001575"/>
    <s v="山口方"/>
    <s v="東京都中野区松が丘１"/>
    <n v="54000"/>
    <n v="1000"/>
    <n v="54000"/>
    <n v="54000"/>
    <n v="2"/>
    <x v="1"/>
    <n v="22"/>
    <n v="46"/>
    <x v="0"/>
    <s v="新井薬師前駅"/>
    <n v="4"/>
    <n v="12.67"/>
    <n v="123574.88"/>
    <n v="123325.96"/>
    <n v="637"/>
    <n v="339"/>
    <s v="20-30"/>
    <x v="3"/>
  </r>
  <r>
    <s v="https://suumo.jp/chintai/jnc_000104010568/?bc=100483126480"/>
    <s v="山科ハウス"/>
    <s v="東京都中野区上高田２"/>
    <n v="80000"/>
    <n v="3000"/>
    <m/>
    <m/>
    <n v="2"/>
    <x v="1"/>
    <n v="31"/>
    <n v="42"/>
    <x v="2"/>
    <s v="新井薬師前駅"/>
    <n v="10"/>
    <n v="12.67"/>
    <n v="123574.88"/>
    <n v="123325.96"/>
    <n v="637"/>
    <n v="339"/>
    <s v="30-40"/>
    <x v="3"/>
  </r>
  <r>
    <s v="https://suumo.jp/chintai/jnc_000043048515/?bc=100473972103"/>
    <s v="西武新宿線 新井薬師前駅 2階建 築46年"/>
    <s v="東京都中野区松が丘１"/>
    <n v="54000"/>
    <n v="1000"/>
    <n v="54000"/>
    <n v="54000"/>
    <n v="1"/>
    <x v="1"/>
    <n v="22"/>
    <n v="46"/>
    <x v="0"/>
    <s v="新井薬師前駅"/>
    <n v="4"/>
    <n v="12.67"/>
    <n v="123574.88"/>
    <n v="123325.96"/>
    <n v="637"/>
    <n v="339"/>
    <s v="20-30"/>
    <x v="3"/>
  </r>
  <r>
    <s v="https://suumo.jp/chintai/jnc_000043048516/?bc=100473970687"/>
    <s v="西武新宿線 新井薬師前駅 2階建 築46年"/>
    <s v="東京都中野区松が丘１"/>
    <n v="54000"/>
    <n v="1000"/>
    <n v="54000"/>
    <n v="54000"/>
    <n v="2"/>
    <x v="1"/>
    <n v="22"/>
    <n v="46"/>
    <x v="0"/>
    <s v="新井薬師前駅"/>
    <n v="4"/>
    <n v="12.67"/>
    <n v="123574.88"/>
    <n v="123325.96"/>
    <n v="637"/>
    <n v="339"/>
    <s v="20-30"/>
    <x v="3"/>
  </r>
  <r>
    <s v="https://suumo.jp/chintai/jnc_000101302171/?bc=100462834078"/>
    <s v="西武新宿線 新井薬師前駅 2階建 築4年"/>
    <s v="東京都中野区松が丘１"/>
    <n v="103000"/>
    <n v="5000"/>
    <n v="103000"/>
    <n v="103000"/>
    <n v="2"/>
    <x v="1"/>
    <n v="31.46"/>
    <n v="4"/>
    <x v="0"/>
    <s v="新井薬師前駅"/>
    <n v="8"/>
    <n v="12.33"/>
    <n v="123574.88"/>
    <n v="123325.96"/>
    <n v="637"/>
    <n v="339"/>
    <s v="30-40"/>
    <x v="0"/>
  </r>
  <r>
    <s v="https://suumo.jp/chintai/jnc_000103239323/?bc=100476034661"/>
    <s v="西武新宿線 新井薬師前駅 2階建 築7年"/>
    <s v="東京都中野区上高田３"/>
    <n v="96000"/>
    <m/>
    <n v="96000"/>
    <n v="96000"/>
    <n v="1"/>
    <x v="1"/>
    <n v="27.4"/>
    <n v="7"/>
    <x v="0"/>
    <s v="新井薬師前駅"/>
    <n v="5"/>
    <n v="13.33"/>
    <n v="123574.88"/>
    <n v="123325.96"/>
    <n v="637"/>
    <n v="339"/>
    <s v="20-30"/>
    <x v="0"/>
  </r>
  <r>
    <s v="https://suumo.jp/chintai/jnc_000103929265/?bc=100481651869"/>
    <s v="西武新宿線 新井薬師前駅 3階建 築7年"/>
    <s v="東京都中野区上高田２"/>
    <n v="132000"/>
    <n v="3000"/>
    <n v="132000"/>
    <n v="132000"/>
    <n v="2"/>
    <x v="1"/>
    <n v="33.83"/>
    <n v="7"/>
    <x v="2"/>
    <s v="新井薬師前駅"/>
    <n v="7"/>
    <n v="10.33"/>
    <n v="123574.88"/>
    <n v="123325.96"/>
    <n v="637"/>
    <n v="339"/>
    <s v="30-40"/>
    <x v="0"/>
  </r>
  <r>
    <s v="https://suumo.jp/chintai/jnc_000104117681/?bc=100480555896"/>
    <s v="西武新宿線 新井薬師前駅 4階建 築14年"/>
    <s v="東京都中野区上高田２"/>
    <n v="128000"/>
    <n v="6800"/>
    <n v="128000"/>
    <m/>
    <n v="3"/>
    <x v="1"/>
    <n v="35.020000000000003"/>
    <n v="14"/>
    <x v="4"/>
    <s v="新井薬師前駅"/>
    <n v="4"/>
    <n v="11.67"/>
    <n v="123574.88"/>
    <n v="123325.96"/>
    <n v="637"/>
    <n v="339"/>
    <s v="30-40"/>
    <x v="7"/>
  </r>
  <r>
    <s v="https://suumo.jp/chintai/jnc_000102063297/?bc=100473440594"/>
    <s v="西武新宿線 新井薬師前駅 4階建 築2年"/>
    <s v="東京都中野区松が丘１"/>
    <n v="130000"/>
    <n v="10000"/>
    <n v="130000"/>
    <m/>
    <n v="2"/>
    <x v="1"/>
    <n v="27.2"/>
    <n v="2"/>
    <x v="4"/>
    <s v="新井薬師前駅"/>
    <n v="3"/>
    <n v="12"/>
    <n v="123574.88"/>
    <n v="123325.96"/>
    <n v="637"/>
    <n v="339"/>
    <s v="20-30"/>
    <x v="0"/>
  </r>
  <r>
    <s v="https://suumo.jp/chintai/jnc_000101344611/?bc=100465708306"/>
    <s v="西武新宿線 新井薬師前駅 5階建 築3年"/>
    <s v="東京都中野区新井５"/>
    <n v="106000"/>
    <n v="15000"/>
    <n v="106000"/>
    <n v="106000"/>
    <n v="2"/>
    <x v="1"/>
    <n v="25.67"/>
    <n v="3"/>
    <x v="7"/>
    <s v="新井薬師前駅"/>
    <n v="4"/>
    <n v="10.33"/>
    <n v="123574.88"/>
    <n v="123325.96"/>
    <n v="637"/>
    <n v="339"/>
    <s v="20-30"/>
    <x v="0"/>
  </r>
  <r>
    <s v="https://suumo.jp/chintai/jnc_000102572867/?bc=100484207166"/>
    <s v="西武新宿線 新井薬師前駅 7階建 築2年"/>
    <s v="東京都中野区上高田１"/>
    <n v="129000"/>
    <n v="9000"/>
    <m/>
    <n v="129000"/>
    <n v="5"/>
    <x v="1"/>
    <n v="26.01"/>
    <n v="2"/>
    <x v="10"/>
    <s v="新井薬師前駅"/>
    <n v="7"/>
    <n v="12"/>
    <n v="123574.88"/>
    <n v="123325.96"/>
    <n v="637"/>
    <n v="339"/>
    <s v="20-30"/>
    <x v="0"/>
  </r>
  <r>
    <s v="https://suumo.jp/chintai/jnc_000104449825/?bc=100485753633"/>
    <s v="西武新宿線 新井薬師前駅 7階建 築2年"/>
    <s v="東京都中野区上高田１"/>
    <n v="128000"/>
    <n v="9000"/>
    <m/>
    <n v="128000"/>
    <n v="7"/>
    <x v="1"/>
    <n v="25.48"/>
    <n v="2"/>
    <x v="10"/>
    <s v="新井薬師前駅"/>
    <n v="7"/>
    <n v="12"/>
    <n v="123574.88"/>
    <n v="123325.96"/>
    <n v="637"/>
    <n v="339"/>
    <s v="20-30"/>
    <x v="0"/>
  </r>
  <r>
    <s v="https://suumo.jp/chintai/jnc_000103223546/?bc=100476309647"/>
    <s v="西武新宿線 新井薬師前駅 8階建 築17年"/>
    <s v="東京都中野区松が丘２"/>
    <n v="147000"/>
    <n v="12000"/>
    <n v="147000"/>
    <n v="147000"/>
    <n v="6"/>
    <x v="1"/>
    <n v="36.53"/>
    <n v="17"/>
    <x v="9"/>
    <s v="新井薬師前駅"/>
    <n v="10"/>
    <n v="17"/>
    <n v="123574.88"/>
    <n v="123325.96"/>
    <n v="637"/>
    <n v="339"/>
    <s v="30-40"/>
    <x v="7"/>
  </r>
  <r>
    <s v="https://suumo.jp/chintai/jnc_000095580711/?bc=100483389287"/>
    <s v="都営大江戸線 東中野駅 4階建 築35年"/>
    <s v="東京都中野区上高田１"/>
    <n v="90000"/>
    <n v="5000"/>
    <m/>
    <m/>
    <n v="2"/>
    <x v="1"/>
    <n v="24.22"/>
    <n v="35"/>
    <x v="4"/>
    <s v="新井薬師前駅"/>
    <n v="8"/>
    <n v="12.67"/>
    <n v="123574.88"/>
    <n v="123325.96"/>
    <n v="637"/>
    <n v="339"/>
    <s v="20-30"/>
    <x v="4"/>
  </r>
  <r>
    <s v="https://suumo.jp/chintai/jnc_000104525879/?bc=100486370980"/>
    <s v="ＪＲ中央線 中野駅 12階建 築5年"/>
    <s v="東京都中野区新井１"/>
    <n v="151000"/>
    <n v="12000"/>
    <n v="151000"/>
    <n v="151000"/>
    <n v="12"/>
    <x v="1"/>
    <n v="30.36"/>
    <n v="5"/>
    <x v="3"/>
    <s v="新井薬師前駅"/>
    <n v="9"/>
    <n v="10.33"/>
    <n v="123574.88"/>
    <n v="123325.96"/>
    <n v="637"/>
    <n v="339"/>
    <s v="30-40"/>
    <x v="0"/>
  </r>
  <r>
    <s v="https://suumo.jp/chintai/jnc_000058525304/?bc=100485127151"/>
    <s v="ＪＲ中央線 中野駅 3階建 築18年"/>
    <s v="東京都中野区新井４"/>
    <n v="97000"/>
    <n v="3000"/>
    <n v="97000"/>
    <n v="97000"/>
    <n v="2"/>
    <x v="1"/>
    <n v="31.34"/>
    <n v="18"/>
    <x v="2"/>
    <s v="新井薬師前駅"/>
    <n v="5"/>
    <n v="9"/>
    <n v="123574.88"/>
    <n v="123325.96"/>
    <n v="637"/>
    <n v="339"/>
    <s v="30-40"/>
    <x v="7"/>
  </r>
  <r>
    <s v="https://suumo.jp/chintai/jnc_000103674648/?bc=100479627949"/>
    <s v="ＪＲ中央線 中野駅 4階建 築3年"/>
    <s v="東京都中野区新井４"/>
    <n v="124500"/>
    <n v="9500"/>
    <m/>
    <n v="124500"/>
    <n v="2"/>
    <x v="1"/>
    <n v="28.54"/>
    <n v="3"/>
    <x v="4"/>
    <s v="新井薬師前駅"/>
    <n v="6"/>
    <n v="9.33"/>
    <n v="123574.88"/>
    <n v="123325.96"/>
    <n v="637"/>
    <n v="339"/>
    <s v="20-30"/>
    <x v="0"/>
  </r>
  <r>
    <s v="https://suumo.jp/chintai/jnc_000103977433/?bc=100482318593"/>
    <s v="ＪＲ中央線 中野駅 4階建 築3年"/>
    <s v="東京都中野区新井４"/>
    <n v="125000"/>
    <n v="9500"/>
    <m/>
    <n v="125000"/>
    <n v="3"/>
    <x v="1"/>
    <n v="29"/>
    <n v="3"/>
    <x v="4"/>
    <s v="新井薬師前駅"/>
    <n v="6"/>
    <n v="9.33"/>
    <n v="123574.88"/>
    <n v="123325.96"/>
    <n v="637"/>
    <n v="339"/>
    <s v="20-30"/>
    <x v="0"/>
  </r>
  <r>
    <s v="https://suumo.jp/chintai/jnc_000103285853/?bc=100476559065"/>
    <s v="ＪＲ中央線 中野駅 5階建 築14年"/>
    <s v="東京都中野区新井５"/>
    <n v="133000"/>
    <n v="8000"/>
    <n v="133000"/>
    <n v="159600"/>
    <n v="5"/>
    <x v="1"/>
    <n v="33.25"/>
    <n v="14"/>
    <x v="7"/>
    <s v="新井薬師前駅"/>
    <n v="6"/>
    <n v="9.67"/>
    <n v="123574.88"/>
    <n v="123325.96"/>
    <n v="637"/>
    <n v="339"/>
    <s v="30-40"/>
    <x v="7"/>
  </r>
  <r>
    <s v="https://suumo.jp/chintai/jnc_000102747043/?bc=100472100009"/>
    <s v="ＪＲ中央線 中野駅 5階建 築1年"/>
    <s v="東京都中野区上高田２"/>
    <n v="175000"/>
    <n v="15000"/>
    <m/>
    <m/>
    <n v="1"/>
    <x v="1"/>
    <n v="35.78"/>
    <n v="1"/>
    <x v="7"/>
    <s v="新井薬師前駅"/>
    <n v="10"/>
    <n v="12.33"/>
    <n v="123574.88"/>
    <n v="123325.96"/>
    <n v="637"/>
    <n v="339"/>
    <s v="30-40"/>
    <x v="0"/>
  </r>
  <r>
    <s v="https://suumo.jp/chintai/jnc_000102732898/?bc=100471991319"/>
    <s v="ＪＲ中央線 中野駅 5階建 築1年"/>
    <s v="東京都中野区上高田２"/>
    <n v="175500"/>
    <n v="15000"/>
    <m/>
    <m/>
    <n v="2"/>
    <x v="1"/>
    <n v="35.78"/>
    <n v="1"/>
    <x v="7"/>
    <s v="新井薬師前駅"/>
    <n v="10"/>
    <n v="12.33"/>
    <n v="123574.88"/>
    <n v="123325.96"/>
    <n v="637"/>
    <n v="339"/>
    <s v="30-40"/>
    <x v="0"/>
  </r>
  <r>
    <s v="https://suumo.jp/chintai/jnc_000102767907/?bc=100472273872"/>
    <s v="ＪＲ中央線 中野駅 5階建 築1年"/>
    <s v="東京都中野区上高田２"/>
    <n v="177500"/>
    <n v="15000"/>
    <m/>
    <m/>
    <n v="2"/>
    <x v="1"/>
    <n v="35.78"/>
    <n v="1"/>
    <x v="7"/>
    <s v="新井薬師前駅"/>
    <n v="10"/>
    <n v="12.33"/>
    <n v="123574.88"/>
    <n v="123325.96"/>
    <n v="637"/>
    <n v="339"/>
    <s v="30-40"/>
    <x v="0"/>
  </r>
  <r>
    <s v="https://suumo.jp/chintai/jnc_000102771889/?bc=100472509131"/>
    <s v="ＪＲ中央線 中野駅 5階建 築1年"/>
    <s v="東京都中野区上高田２"/>
    <n v="176000"/>
    <n v="15000"/>
    <m/>
    <m/>
    <n v="3"/>
    <x v="1"/>
    <n v="35.78"/>
    <n v="1"/>
    <x v="7"/>
    <s v="新井薬師前駅"/>
    <n v="10"/>
    <n v="12.33"/>
    <n v="123574.88"/>
    <n v="123325.96"/>
    <n v="637"/>
    <n v="339"/>
    <s v="30-40"/>
    <x v="0"/>
  </r>
  <r>
    <s v="https://suumo.jp/chintai/jnc_000103223482/?bc=100485812086"/>
    <s v="ＪＲ中央線 中野駅 5階建 築1年"/>
    <s v="東京都中野区上高田２"/>
    <n v="176500"/>
    <n v="15000"/>
    <m/>
    <m/>
    <n v="4"/>
    <x v="1"/>
    <n v="27.4"/>
    <n v="1"/>
    <x v="7"/>
    <s v="新井薬師前駅"/>
    <n v="10"/>
    <n v="12.33"/>
    <n v="123574.88"/>
    <n v="123325.96"/>
    <n v="637"/>
    <n v="339"/>
    <s v="20-30"/>
    <x v="0"/>
  </r>
  <r>
    <s v="https://suumo.jp/chintai/jnc_000104454974/?bc=100485774002"/>
    <s v="ＪＲ中央線 中野駅 5階建 築1年"/>
    <s v="東京都中野区上高田２"/>
    <n v="133500"/>
    <n v="15000"/>
    <m/>
    <m/>
    <n v="5"/>
    <x v="1"/>
    <n v="27.4"/>
    <n v="1"/>
    <x v="7"/>
    <s v="新井薬師前駅"/>
    <n v="10"/>
    <n v="12.33"/>
    <n v="123574.88"/>
    <n v="123325.96"/>
    <n v="637"/>
    <n v="339"/>
    <s v="20-30"/>
    <x v="0"/>
  </r>
  <r>
    <s v="https://suumo.jp/chintai/jnc_000100751262/?bc=100454128529"/>
    <s v="ＪＲ中央線 中野駅 8階建 新築"/>
    <s v="東京都中野区新井１"/>
    <n v="147000"/>
    <n v="10000"/>
    <n v="147000"/>
    <m/>
    <n v="2"/>
    <x v="1"/>
    <n v="25.36"/>
    <n v="0"/>
    <x v="9"/>
    <s v="新井薬師前駅"/>
    <n v="9"/>
    <n v="9.67"/>
    <n v="123574.88"/>
    <n v="123325.96"/>
    <n v="637"/>
    <n v="339"/>
    <s v="20-30"/>
    <x v="6"/>
  </r>
  <r>
    <s v="https://suumo.jp/chintai/jnc_000100802072/?bc=100466962262"/>
    <s v="ＪＲ中央線 中野駅 8階建 新築"/>
    <s v="東京都中野区新井１"/>
    <n v="148000"/>
    <n v="10000"/>
    <n v="148000"/>
    <m/>
    <n v="3"/>
    <x v="1"/>
    <n v="25.36"/>
    <n v="0"/>
    <x v="9"/>
    <s v="新井薬師前駅"/>
    <n v="9"/>
    <n v="9.67"/>
    <n v="123574.88"/>
    <n v="123325.96"/>
    <n v="637"/>
    <n v="339"/>
    <s v="20-30"/>
    <x v="6"/>
  </r>
  <r>
    <s v="https://suumo.jp/chintai/jnc_000100802079/?bc=100466962150"/>
    <s v="ＪＲ中央線 中野駅 8階建 新築"/>
    <s v="東京都中野区新井１"/>
    <n v="149000"/>
    <n v="10000"/>
    <n v="149000"/>
    <m/>
    <n v="4"/>
    <x v="1"/>
    <n v="25.36"/>
    <n v="0"/>
    <x v="9"/>
    <s v="新井薬師前駅"/>
    <n v="9"/>
    <n v="9.67"/>
    <n v="123574.88"/>
    <n v="123325.96"/>
    <n v="637"/>
    <n v="339"/>
    <s v="20-30"/>
    <x v="6"/>
  </r>
  <r>
    <s v="https://suumo.jp/chintai/jnc_000104499483/?bc=100486113020"/>
    <s v="ＪＲ中央線 中野駅 8階建 新築"/>
    <s v="東京都中野区新井１"/>
    <n v="156000"/>
    <n v="10000"/>
    <n v="156000"/>
    <n v="156000"/>
    <n v="5"/>
    <x v="1"/>
    <n v="25.36"/>
    <n v="0"/>
    <x v="9"/>
    <s v="新井薬師前駅"/>
    <n v="9"/>
    <n v="9.67"/>
    <n v="123574.88"/>
    <n v="123325.96"/>
    <n v="637"/>
    <n v="339"/>
    <s v="20-30"/>
    <x v="6"/>
  </r>
  <r>
    <s v="https://suumo.jp/chintai/jnc_000102303783/?bc=100473972373"/>
    <s v="ＪＲ中央線 中野駅 8階建 新築"/>
    <s v="東京都中野区新井１"/>
    <n v="159000"/>
    <n v="10000"/>
    <n v="159000"/>
    <n v="159000"/>
    <n v="6"/>
    <x v="1"/>
    <n v="25.36"/>
    <n v="0"/>
    <x v="9"/>
    <s v="新井薬師前駅"/>
    <n v="9"/>
    <n v="9.67"/>
    <n v="123574.88"/>
    <n v="123325.96"/>
    <n v="637"/>
    <n v="339"/>
    <s v="20-30"/>
    <x v="6"/>
  </r>
  <r>
    <s v="https://suumo.jp/chintai/jnc_000102280404/?bc=100466962480"/>
    <s v="ＪＲ中央線 中野駅 8階建 新築"/>
    <s v="東京都中野区新井１"/>
    <n v="160000"/>
    <n v="10000"/>
    <n v="160000"/>
    <n v="160000"/>
    <n v="7"/>
    <x v="1"/>
    <n v="25.36"/>
    <n v="0"/>
    <x v="9"/>
    <s v="新井薬師前駅"/>
    <n v="9"/>
    <n v="9.67"/>
    <n v="123574.88"/>
    <n v="123325.96"/>
    <n v="637"/>
    <n v="339"/>
    <s v="20-30"/>
    <x v="6"/>
  </r>
  <r>
    <s v="https://suumo.jp/chintai/jnc_000104525878/?bc=100486368414"/>
    <s v="ＯＲＳＵＳ中野"/>
    <s v="東京都中野区新井１"/>
    <n v="151000"/>
    <n v="12000"/>
    <n v="151000"/>
    <n v="151000"/>
    <n v="12"/>
    <x v="1"/>
    <n v="30.36"/>
    <n v="5"/>
    <x v="3"/>
    <s v="新井薬師前駅"/>
    <n v="9"/>
    <n v="10.33"/>
    <n v="123574.88"/>
    <n v="123325.96"/>
    <n v="637"/>
    <n v="339"/>
    <s v="30-40"/>
    <x v="0"/>
  </r>
  <r>
    <s v="https://suumo.jp/chintai/jnc_000104082025/?bc=100476976874"/>
    <s v="ＹＫＮ"/>
    <s v="東京都中野区上高田２"/>
    <n v="128000"/>
    <n v="6800"/>
    <n v="128000"/>
    <m/>
    <n v="3"/>
    <x v="1"/>
    <n v="35.020000000000003"/>
    <n v="14"/>
    <x v="4"/>
    <s v="新井薬師前駅"/>
    <n v="4"/>
    <n v="12.33"/>
    <n v="123574.88"/>
    <n v="123325.96"/>
    <n v="637"/>
    <n v="339"/>
    <s v="30-40"/>
    <x v="7"/>
  </r>
  <r>
    <s v="https://suumo.jp/chintai/jnc_000103386550/?bc=100485191898"/>
    <s v="K sヴィラ中野B"/>
    <s v="東京都中野区上高田３"/>
    <n v="77000"/>
    <n v="5000"/>
    <m/>
    <n v="77000"/>
    <n v="3"/>
    <x v="2"/>
    <n v="18"/>
    <n v="7"/>
    <x v="2"/>
    <s v="新井薬師前駅"/>
    <n v="8"/>
    <n v="13.33"/>
    <n v="123574.88"/>
    <n v="95329.65"/>
    <n v="637"/>
    <n v="1622"/>
    <s v="10-20"/>
    <x v="0"/>
  </r>
  <r>
    <s v="https://suumo.jp/chintai/jnc_000104357202/?bc=100485013639"/>
    <s v="KATOビル"/>
    <s v="東京都中野区上高田３"/>
    <n v="63000"/>
    <n v="2000"/>
    <n v="63000"/>
    <n v="63000"/>
    <n v="3"/>
    <x v="2"/>
    <n v="20"/>
    <n v="32"/>
    <x v="7"/>
    <s v="新井薬師前駅"/>
    <n v="3"/>
    <n v="11.67"/>
    <n v="123574.88"/>
    <n v="95329.65"/>
    <n v="637"/>
    <n v="1622"/>
    <s v="20-30"/>
    <x v="4"/>
  </r>
  <r>
    <s v="https://suumo.jp/chintai/jnc_000104149194/?bc=100483347758"/>
    <s v="K’ｓヴィラ中野Ａ"/>
    <s v="東京都中野区上高田５"/>
    <n v="77000"/>
    <n v="5000"/>
    <m/>
    <m/>
    <n v="3"/>
    <x v="2"/>
    <n v="18.21"/>
    <n v="7"/>
    <x v="2"/>
    <s v="新井薬師前駅"/>
    <n v="8"/>
    <n v="14.67"/>
    <n v="123574.88"/>
    <n v="95329.65"/>
    <n v="637"/>
    <n v="1622"/>
    <s v="10-20"/>
    <x v="0"/>
  </r>
  <r>
    <s v="https://suumo.jp/chintai/jnc_000103864712/?bc=100481211416"/>
    <s v="PINY HILL(パイニーヒル)"/>
    <s v="東京都中野区松が丘１"/>
    <n v="73000"/>
    <n v="2000"/>
    <n v="73000"/>
    <n v="73000"/>
    <n v="1"/>
    <x v="2"/>
    <n v="25"/>
    <n v="37"/>
    <x v="2"/>
    <s v="新井薬師前駅"/>
    <n v="4"/>
    <n v="12.33"/>
    <n v="123574.88"/>
    <n v="95329.65"/>
    <n v="637"/>
    <n v="1622"/>
    <s v="20-30"/>
    <x v="4"/>
  </r>
  <r>
    <s v="https://suumo.jp/chintai/jnc_000104464986/?bc=100485886968"/>
    <s v="RISE NAKANO-MATSUGAOKA"/>
    <s v="東京都中野区松が丘２"/>
    <n v="81000"/>
    <n v="8000"/>
    <m/>
    <n v="81000"/>
    <n v="1"/>
    <x v="2"/>
    <n v="21"/>
    <n v="15"/>
    <x v="9"/>
    <s v="新井薬師前駅"/>
    <n v="8"/>
    <n v="11.67"/>
    <n v="123574.88"/>
    <n v="95329.65"/>
    <n v="637"/>
    <n v="1622"/>
    <s v="20-30"/>
    <x v="7"/>
  </r>
  <r>
    <s v="https://suumo.jp/chintai/jnc_000101050283/?bc=100460427269"/>
    <s v="RISE NAKANO-MATSUGAOKA"/>
    <s v="東京都中野区松が丘２"/>
    <n v="80000"/>
    <n v="8000"/>
    <m/>
    <n v="80000"/>
    <n v="2"/>
    <x v="2"/>
    <n v="21.25"/>
    <n v="15"/>
    <x v="9"/>
    <s v="新井薬師前駅"/>
    <n v="8"/>
    <n v="11.67"/>
    <n v="123574.88"/>
    <n v="95329.65"/>
    <n v="637"/>
    <n v="1622"/>
    <s v="20-30"/>
    <x v="7"/>
  </r>
  <r>
    <s v="https://suumo.jp/chintai/jnc_000103717529/?bc=100480446496"/>
    <s v="RISE NAKANO-MATSUGAOKA"/>
    <s v="東京都中野区松が丘２"/>
    <n v="83000"/>
    <n v="8000"/>
    <m/>
    <n v="83000"/>
    <n v="5"/>
    <x v="2"/>
    <n v="22.47"/>
    <n v="15"/>
    <x v="9"/>
    <s v="新井薬師前駅"/>
    <n v="8"/>
    <n v="11.67"/>
    <n v="123574.88"/>
    <n v="95329.65"/>
    <n v="637"/>
    <n v="1622"/>
    <s v="20-30"/>
    <x v="7"/>
  </r>
  <r>
    <s v="https://suumo.jp/chintai/jnc_000103551270/?bc=100478844911"/>
    <s v="S-Farbe中野松が丘ANNEX"/>
    <s v="東京都中野区松が丘１"/>
    <n v="91000"/>
    <n v="9000"/>
    <n v="91000"/>
    <n v="91000"/>
    <n v="1"/>
    <x v="2"/>
    <n v="25.81"/>
    <n v="5"/>
    <x v="4"/>
    <s v="新井薬師前駅"/>
    <n v="4"/>
    <n v="11.33"/>
    <n v="123574.88"/>
    <n v="95329.65"/>
    <n v="637"/>
    <n v="1622"/>
    <s v="20-30"/>
    <x v="0"/>
  </r>
  <r>
    <s v="https://suumo.jp/chintai/jnc_000104050085/?bc=100483328135"/>
    <s v="Sky Rainbow KAMITAKADA"/>
    <s v="東京都中野区上高田３"/>
    <n v="109000"/>
    <n v="9000"/>
    <m/>
    <n v="109000"/>
    <n v="2"/>
    <x v="2"/>
    <n v="25.91"/>
    <n v="6"/>
    <x v="4"/>
    <s v="新井薬師前駅"/>
    <n v="6"/>
    <n v="9.33"/>
    <n v="123574.88"/>
    <n v="95329.65"/>
    <n v="637"/>
    <n v="1622"/>
    <s v="20-30"/>
    <x v="0"/>
  </r>
  <r>
    <s v="https://suumo.jp/chintai/jnc_000104357203/?bc=100485023854"/>
    <s v="Sky Rainbow KAMITAKADA"/>
    <s v="東京都中野区上高田３"/>
    <n v="109000"/>
    <n v="9000"/>
    <m/>
    <n v="109000"/>
    <n v="3"/>
    <x v="2"/>
    <n v="25.91"/>
    <n v="6"/>
    <x v="4"/>
    <s v="新井薬師前駅"/>
    <n v="6"/>
    <n v="9.33"/>
    <n v="123574.88"/>
    <n v="95329.65"/>
    <n v="637"/>
    <n v="1622"/>
    <s v="20-30"/>
    <x v="0"/>
  </r>
  <r>
    <s v="https://suumo.jp/chintai/jnc_000103813536/?bc=100482802156"/>
    <s v="felice新井薬師前I"/>
    <s v="東京都中野区上高田４"/>
    <n v="94000"/>
    <n v="11000"/>
    <m/>
    <n v="94000"/>
    <n v="2"/>
    <x v="2"/>
    <n v="17.39"/>
    <n v="12"/>
    <x v="2"/>
    <s v="新井薬師前駅"/>
    <n v="7"/>
    <n v="12.33"/>
    <n v="123574.88"/>
    <n v="95329.65"/>
    <n v="637"/>
    <n v="1622"/>
    <s v="10-20"/>
    <x v="7"/>
  </r>
  <r>
    <s v="https://suumo.jp/chintai/jnc_000104241700/?bc=100484261214"/>
    <s v="felice新井薬師前I"/>
    <s v="東京都中野区上高田４"/>
    <n v="96000"/>
    <n v="11000"/>
    <m/>
    <n v="96000"/>
    <n v="2"/>
    <x v="2"/>
    <n v="19.87"/>
    <n v="12"/>
    <x v="2"/>
    <s v="新井薬師前駅"/>
    <n v="7"/>
    <n v="12.33"/>
    <n v="123574.88"/>
    <n v="95329.65"/>
    <n v="637"/>
    <n v="1622"/>
    <s v="10-20"/>
    <x v="7"/>
  </r>
  <r>
    <s v="https://suumo.jp/chintai/jnc_000104363625/?bc=100415949667"/>
    <s v="アオイビル"/>
    <s v="東京都中野区上高田２"/>
    <n v="60000"/>
    <n v="2000"/>
    <m/>
    <m/>
    <n v="-1"/>
    <x v="2"/>
    <n v="21.78"/>
    <n v="32"/>
    <x v="7"/>
    <s v="新井薬師前駅"/>
    <n v="6"/>
    <n v="8.67"/>
    <n v="123574.88"/>
    <n v="95329.65"/>
    <n v="637"/>
    <n v="1622"/>
    <s v="20-30"/>
    <x v="4"/>
  </r>
  <r>
    <s v="https://suumo.jp/chintai/jnc_000013358002/?bc=100485638668"/>
    <s v="アッパルタメント　プラート"/>
    <s v="東京都新宿区中井２"/>
    <n v="68000"/>
    <n v="10000"/>
    <n v="68000"/>
    <m/>
    <n v="1"/>
    <x v="2"/>
    <n v="24.33"/>
    <n v="24"/>
    <x v="4"/>
    <s v="新井薬師前駅"/>
    <n v="12"/>
    <n v="12"/>
    <n v="123574.88"/>
    <n v="95329.65"/>
    <n v="637"/>
    <n v="1622"/>
    <s v="20-30"/>
    <x v="1"/>
  </r>
  <r>
    <s v="https://suumo.jp/chintai/jnc_000102039942/?bc=100482220821"/>
    <s v="アトリオフラッツ中野新井薬師"/>
    <s v="東京都中野区松が丘１"/>
    <n v="117000"/>
    <n v="10000"/>
    <n v="117000"/>
    <m/>
    <n v="2"/>
    <x v="2"/>
    <n v="25.6"/>
    <n v="2"/>
    <x v="4"/>
    <s v="新井薬師前駅"/>
    <n v="3"/>
    <n v="13.67"/>
    <n v="123574.88"/>
    <n v="95329.65"/>
    <n v="637"/>
    <n v="1622"/>
    <s v="20-30"/>
    <x v="0"/>
  </r>
  <r>
    <s v="https://suumo.jp/chintai/jnc_000104034686/?bc=100482360340"/>
    <s v="アプリコットハウス上高田"/>
    <s v="東京都中野区上高田４"/>
    <n v="84000"/>
    <n v="5000"/>
    <n v="84000"/>
    <m/>
    <n v="1"/>
    <x v="2"/>
    <n v="15.56"/>
    <n v="0"/>
    <x v="4"/>
    <s v="新井薬師前駅"/>
    <n v="6"/>
    <n v="11"/>
    <n v="123574.88"/>
    <n v="95329.65"/>
    <n v="637"/>
    <n v="1622"/>
    <s v="10-20"/>
    <x v="6"/>
  </r>
  <r>
    <s v="https://suumo.jp/chintai/jnc_000104060446/?bc=100482360337"/>
    <s v="アプリコットハウス上高田"/>
    <s v="東京都中野区上高田４"/>
    <n v="83000"/>
    <n v="5000"/>
    <n v="83000"/>
    <m/>
    <n v="1"/>
    <x v="2"/>
    <n v="16.22"/>
    <n v="0"/>
    <x v="4"/>
    <s v="新井薬師前駅"/>
    <n v="6"/>
    <n v="11"/>
    <n v="123574.88"/>
    <n v="95329.65"/>
    <n v="637"/>
    <n v="1622"/>
    <s v="10-20"/>
    <x v="6"/>
  </r>
  <r>
    <s v="https://suumo.jp/chintai/jnc_000104034687/?bc=100482360341"/>
    <s v="アプリコットハウス上高田"/>
    <s v="東京都中野区上高田４"/>
    <n v="87000"/>
    <n v="5000"/>
    <n v="87000"/>
    <m/>
    <n v="2"/>
    <x v="2"/>
    <n v="16.22"/>
    <n v="0"/>
    <x v="4"/>
    <s v="新井薬師前駅"/>
    <n v="6"/>
    <n v="11"/>
    <n v="123574.88"/>
    <n v="95329.65"/>
    <n v="637"/>
    <n v="1622"/>
    <s v="10-20"/>
    <x v="6"/>
  </r>
  <r>
    <s v="https://suumo.jp/chintai/jnc_000104034688/?bc=100482360342"/>
    <s v="アプリコットハウス上高田"/>
    <s v="東京都中野区上高田４"/>
    <n v="88000"/>
    <n v="5000"/>
    <n v="88000"/>
    <n v="88000"/>
    <n v="2"/>
    <x v="2"/>
    <n v="16.64"/>
    <n v="0"/>
    <x v="4"/>
    <s v="新井薬師前駅"/>
    <n v="6"/>
    <n v="11"/>
    <n v="123574.88"/>
    <n v="95329.65"/>
    <n v="637"/>
    <n v="1622"/>
    <s v="10-20"/>
    <x v="6"/>
  </r>
  <r>
    <s v="https://suumo.jp/chintai/jnc_000104029325/?bc=100482360338"/>
    <s v="アプリコットハウス上高田"/>
    <s v="東京都中野区上高田４"/>
    <n v="90000"/>
    <n v="5000"/>
    <n v="90000"/>
    <n v="90000"/>
    <n v="3"/>
    <x v="2"/>
    <n v="16.64"/>
    <n v="0"/>
    <x v="4"/>
    <s v="新井薬師前駅"/>
    <n v="6"/>
    <n v="11"/>
    <n v="123574.88"/>
    <n v="95329.65"/>
    <n v="637"/>
    <n v="1622"/>
    <s v="10-20"/>
    <x v="6"/>
  </r>
  <r>
    <s v="https://suumo.jp/chintai/jnc_000103454467/?bc=100477614003"/>
    <s v="アプリコットハウス上高田"/>
    <s v="東京都中野区上高田４"/>
    <n v="90000"/>
    <n v="5000"/>
    <n v="90000"/>
    <n v="90000"/>
    <n v="4"/>
    <x v="2"/>
    <n v="16.64"/>
    <n v="0"/>
    <x v="4"/>
    <s v="新井薬師前駅"/>
    <n v="6"/>
    <n v="11"/>
    <n v="123574.88"/>
    <n v="95329.65"/>
    <n v="637"/>
    <n v="1622"/>
    <s v="10-20"/>
    <x v="6"/>
  </r>
  <r>
    <s v="https://suumo.jp/chintai/jnc_000103454466/?bc=100477613979"/>
    <s v="アプリコットハウス上高田"/>
    <s v="東京都中野区上高田４"/>
    <n v="91000"/>
    <n v="5000"/>
    <n v="91000"/>
    <n v="91000"/>
    <n v="4"/>
    <x v="2"/>
    <n v="16.739999999999998"/>
    <n v="0"/>
    <x v="4"/>
    <s v="新井薬師前駅"/>
    <n v="6"/>
    <n v="11"/>
    <n v="123574.88"/>
    <n v="95329.65"/>
    <n v="637"/>
    <n v="1622"/>
    <s v="10-20"/>
    <x v="6"/>
  </r>
  <r>
    <s v="https://suumo.jp/chintai/jnc_000104326784/?bc=100484786468"/>
    <s v="アプリコットハウス中野"/>
    <s v="東京都中野区新井５"/>
    <n v="105000"/>
    <n v="5000"/>
    <n v="105000"/>
    <n v="105000"/>
    <n v="2"/>
    <x v="2"/>
    <n v="21.26"/>
    <n v="5"/>
    <x v="4"/>
    <s v="新井薬師前駅"/>
    <n v="4"/>
    <n v="9.33"/>
    <n v="123574.88"/>
    <n v="95329.65"/>
    <n v="637"/>
    <n v="1622"/>
    <s v="20-30"/>
    <x v="0"/>
  </r>
  <r>
    <s v="https://suumo.jp/chintai/jnc_000103038502/?bc=100476144321"/>
    <s v="アリビス中野"/>
    <s v="東京都中野区上高田２"/>
    <n v="125500"/>
    <n v="15000"/>
    <m/>
    <m/>
    <n v="1"/>
    <x v="2"/>
    <n v="25.26"/>
    <n v="0"/>
    <x v="7"/>
    <s v="新井薬師前駅"/>
    <n v="10"/>
    <n v="12.67"/>
    <n v="123574.88"/>
    <n v="95329.65"/>
    <n v="637"/>
    <n v="1622"/>
    <s v="20-30"/>
    <x v="6"/>
  </r>
  <r>
    <s v="https://suumo.jp/chintai/jnc_000103038499/?bc=100478049460"/>
    <s v="アリビス中野"/>
    <s v="東京都中野区上高田２"/>
    <n v="132500"/>
    <n v="15000"/>
    <m/>
    <m/>
    <n v="1"/>
    <x v="2"/>
    <n v="27.4"/>
    <n v="0"/>
    <x v="7"/>
    <s v="新井薬師前駅"/>
    <n v="10"/>
    <n v="12.67"/>
    <n v="123574.88"/>
    <n v="95329.65"/>
    <n v="637"/>
    <n v="1622"/>
    <s v="20-30"/>
    <x v="6"/>
  </r>
  <r>
    <s v="https://suumo.jp/chintai/jnc_000102971525/?bc=100476022561"/>
    <s v="アリビス中野"/>
    <s v="東京都中野区上高田２"/>
    <n v="125500"/>
    <n v="15000"/>
    <m/>
    <n v="125500"/>
    <n v="1"/>
    <x v="2"/>
    <n v="28.67"/>
    <n v="0"/>
    <x v="7"/>
    <s v="新井薬師前駅"/>
    <n v="10"/>
    <n v="12.67"/>
    <n v="123574.88"/>
    <n v="95329.65"/>
    <n v="637"/>
    <n v="1622"/>
    <s v="20-30"/>
    <x v="6"/>
  </r>
  <r>
    <s v="https://suumo.jp/chintai/jnc_000103084159/?bc=100476144458"/>
    <s v="アリビス中野"/>
    <s v="東京都中野区上高田２"/>
    <n v="135500"/>
    <n v="15000"/>
    <m/>
    <m/>
    <n v="1"/>
    <x v="2"/>
    <n v="28.67"/>
    <n v="0"/>
    <x v="7"/>
    <s v="新井薬師前駅"/>
    <n v="10"/>
    <n v="12.67"/>
    <n v="123574.88"/>
    <n v="95329.65"/>
    <n v="637"/>
    <n v="1622"/>
    <s v="20-30"/>
    <x v="6"/>
  </r>
  <r>
    <s v="https://suumo.jp/chintai/jnc_000102755805/?bc=100476145392"/>
    <s v="アリビス中野"/>
    <s v="東京都中野区上高田２"/>
    <n v="126000"/>
    <n v="15000"/>
    <m/>
    <m/>
    <n v="2"/>
    <x v="2"/>
    <n v="25.26"/>
    <n v="0"/>
    <x v="7"/>
    <s v="新井薬師前駅"/>
    <n v="10"/>
    <n v="12.67"/>
    <n v="123574.88"/>
    <n v="95329.65"/>
    <n v="637"/>
    <n v="1622"/>
    <s v="20-30"/>
    <x v="6"/>
  </r>
  <r>
    <s v="https://suumo.jp/chintai/jnc_000102755802/?bc=100476144679"/>
    <s v="アリビス中野"/>
    <s v="東京都中野区上高田２"/>
    <n v="133000"/>
    <n v="15000"/>
    <m/>
    <m/>
    <n v="2"/>
    <x v="2"/>
    <n v="27.4"/>
    <n v="0"/>
    <x v="7"/>
    <s v="新井薬師前駅"/>
    <n v="10"/>
    <n v="12.67"/>
    <n v="123574.88"/>
    <n v="95329.65"/>
    <n v="637"/>
    <n v="1622"/>
    <s v="20-30"/>
    <x v="6"/>
  </r>
  <r>
    <s v="https://suumo.jp/chintai/jnc_000102755807/?bc=100476144185"/>
    <s v="アリビス中野"/>
    <s v="東京都中野区上高田２"/>
    <n v="136000"/>
    <n v="15000"/>
    <m/>
    <m/>
    <n v="2"/>
    <x v="2"/>
    <n v="28.67"/>
    <n v="0"/>
    <x v="7"/>
    <s v="新井薬師前駅"/>
    <n v="10"/>
    <n v="12.67"/>
    <n v="123574.88"/>
    <n v="95329.65"/>
    <n v="637"/>
    <n v="1622"/>
    <s v="20-30"/>
    <x v="6"/>
  </r>
  <r>
    <s v="https://suumo.jp/chintai/jnc_000102755814/?bc=100476144818"/>
    <s v="アリビス中野"/>
    <s v="東京都中野区上高田２"/>
    <n v="126500"/>
    <n v="15000"/>
    <m/>
    <m/>
    <n v="3"/>
    <x v="2"/>
    <n v="25.26"/>
    <n v="0"/>
    <x v="7"/>
    <s v="新井薬師前駅"/>
    <n v="10"/>
    <n v="12.67"/>
    <n v="123574.88"/>
    <n v="95329.65"/>
    <n v="637"/>
    <n v="1622"/>
    <s v="20-30"/>
    <x v="6"/>
  </r>
  <r>
    <s v="https://suumo.jp/chintai/jnc_000102755811/?bc=100476145155"/>
    <s v="アリビス中野"/>
    <s v="東京都中野区上高田２"/>
    <n v="133500"/>
    <n v="15000"/>
    <m/>
    <m/>
    <n v="3"/>
    <x v="2"/>
    <n v="27.4"/>
    <n v="0"/>
    <x v="7"/>
    <s v="新井薬師前駅"/>
    <n v="10"/>
    <n v="12.67"/>
    <n v="123574.88"/>
    <n v="95329.65"/>
    <n v="637"/>
    <n v="1622"/>
    <s v="20-30"/>
    <x v="6"/>
  </r>
  <r>
    <s v="https://suumo.jp/chintai/jnc_000102755816/?bc=100476144282"/>
    <s v="アリビス中野"/>
    <s v="東京都中野区上高田２"/>
    <n v="136500"/>
    <n v="15000"/>
    <m/>
    <m/>
    <n v="3"/>
    <x v="2"/>
    <n v="28.67"/>
    <n v="0"/>
    <x v="7"/>
    <s v="新井薬師前駅"/>
    <n v="10"/>
    <n v="12.67"/>
    <n v="123574.88"/>
    <n v="95329.65"/>
    <n v="637"/>
    <n v="1622"/>
    <s v="20-30"/>
    <x v="6"/>
  </r>
  <r>
    <s v="https://suumo.jp/chintai/jnc_000103239320/?bc=100484527826"/>
    <s v="アリビス中野"/>
    <s v="東京都中野区上高田２"/>
    <n v="126000"/>
    <n v="15000"/>
    <m/>
    <m/>
    <n v="5"/>
    <x v="2"/>
    <n v="25.55"/>
    <n v="0"/>
    <x v="7"/>
    <s v="新井薬師前駅"/>
    <n v="10"/>
    <n v="12.67"/>
    <n v="123574.88"/>
    <n v="95329.65"/>
    <n v="637"/>
    <n v="1622"/>
    <s v="20-30"/>
    <x v="6"/>
  </r>
  <r>
    <s v="https://suumo.jp/chintai/jnc_000104383907/?bc=100485210511"/>
    <s v="アリビス中野"/>
    <s v="東京都中野区上高田２"/>
    <n v="133500"/>
    <n v="15000"/>
    <m/>
    <m/>
    <n v="5"/>
    <x v="2"/>
    <n v="27.4"/>
    <n v="0"/>
    <x v="7"/>
    <s v="新井薬師前駅"/>
    <n v="10"/>
    <n v="12.67"/>
    <n v="123574.88"/>
    <n v="95329.65"/>
    <n v="637"/>
    <n v="1622"/>
    <s v="20-30"/>
    <x v="6"/>
  </r>
  <r>
    <s v="https://suumo.jp/chintai/jnc_000104249789/?bc=100484341320"/>
    <s v="イーグル松が丘"/>
    <s v="東京都中野区松が丘１"/>
    <n v="83000"/>
    <n v="2000"/>
    <m/>
    <m/>
    <n v="1"/>
    <x v="2"/>
    <n v="25.6"/>
    <n v="12"/>
    <x v="0"/>
    <s v="新井薬師前駅"/>
    <n v="4"/>
    <n v="12"/>
    <n v="123574.88"/>
    <n v="95329.65"/>
    <n v="637"/>
    <n v="1622"/>
    <s v="20-30"/>
    <x v="7"/>
  </r>
  <r>
    <s v="https://suumo.jp/chintai/jnc_000099363898/?bc=100443606825"/>
    <s v="ウエダハイム"/>
    <s v="東京都中野区新井５"/>
    <n v="45000"/>
    <m/>
    <n v="45000"/>
    <n v="45000"/>
    <n v="1"/>
    <x v="2"/>
    <n v="16.5"/>
    <n v="54"/>
    <x v="0"/>
    <s v="新井薬師前駅"/>
    <n v="3"/>
    <n v="9.33"/>
    <n v="123574.88"/>
    <n v="95329.65"/>
    <n v="637"/>
    <n v="1622"/>
    <s v="10-20"/>
    <x v="5"/>
  </r>
  <r>
    <s v="https://suumo.jp/chintai/jnc_000099363899/?bc=100443606818"/>
    <s v="ウエダハイム"/>
    <s v="東京都中野区新井５"/>
    <n v="45000"/>
    <m/>
    <n v="45000"/>
    <n v="45000"/>
    <n v="2"/>
    <x v="2"/>
    <n v="14.6"/>
    <n v="54"/>
    <x v="0"/>
    <s v="新井薬師前駅"/>
    <n v="3"/>
    <n v="9.33"/>
    <n v="123574.88"/>
    <n v="95329.65"/>
    <n v="637"/>
    <n v="1622"/>
    <s v="10-20"/>
    <x v="5"/>
  </r>
  <r>
    <s v="https://suumo.jp/chintai/jnc_000103762854/?bc=100480456066"/>
    <s v="エスティメゾン哲学堂"/>
    <s v="東京都中野区松が丘２"/>
    <n v="97000"/>
    <n v="10000"/>
    <n v="97000"/>
    <n v="97000"/>
    <n v="1"/>
    <x v="2"/>
    <n v="27.26"/>
    <n v="17"/>
    <x v="9"/>
    <s v="新井薬師前駅"/>
    <n v="8"/>
    <n v="11.67"/>
    <n v="123574.88"/>
    <n v="95329.65"/>
    <n v="637"/>
    <n v="1622"/>
    <s v="20-30"/>
    <x v="7"/>
  </r>
  <r>
    <s v="https://suumo.jp/chintai/jnc_000103205286/?bc=100477987545"/>
    <s v="エスティメゾン哲学堂"/>
    <s v="東京都中野区松が丘２"/>
    <n v="97000"/>
    <n v="10000"/>
    <n v="97000"/>
    <n v="97000"/>
    <n v="8"/>
    <x v="2"/>
    <n v="22.87"/>
    <n v="17"/>
    <x v="9"/>
    <s v="新井薬師前駅"/>
    <n v="8"/>
    <n v="11.67"/>
    <n v="123574.88"/>
    <n v="95329.65"/>
    <n v="637"/>
    <n v="1622"/>
    <s v="20-30"/>
    <x v="7"/>
  </r>
  <r>
    <s v="https://suumo.jp/chintai/jnc_000102417578/?bc=100478811591"/>
    <s v="エルファーロ中野新井薬師"/>
    <s v="東京都中野区新井５"/>
    <n v="119000"/>
    <n v="8000"/>
    <m/>
    <m/>
    <n v="2"/>
    <x v="2"/>
    <n v="25.3"/>
    <n v="3"/>
    <x v="4"/>
    <s v="新井薬師前駅"/>
    <n v="5"/>
    <n v="11"/>
    <n v="123574.88"/>
    <n v="95329.65"/>
    <n v="637"/>
    <n v="1622"/>
    <s v="20-30"/>
    <x v="0"/>
  </r>
  <r>
    <s v="https://suumo.jp/chintai/jnc_000104357189/?bc=100478257258"/>
    <s v="カーサローサ"/>
    <s v="東京都中野区新井１"/>
    <n v="98000"/>
    <m/>
    <n v="98000"/>
    <n v="98000"/>
    <n v="1"/>
    <x v="2"/>
    <n v="30.9"/>
    <n v="1"/>
    <x v="0"/>
    <s v="新井薬師前駅"/>
    <n v="7"/>
    <n v="8.67"/>
    <n v="123574.88"/>
    <n v="95329.65"/>
    <n v="637"/>
    <n v="1622"/>
    <s v="30-40"/>
    <x v="0"/>
  </r>
  <r>
    <s v="https://suumo.jp/chintai/jnc_000100479123/?bc=100482711750"/>
    <s v="キャパシタス中野"/>
    <s v="東京都中野区新井１"/>
    <n v="92000"/>
    <n v="10000"/>
    <m/>
    <n v="92000"/>
    <n v="1"/>
    <x v="2"/>
    <n v="27.89"/>
    <n v="22"/>
    <x v="10"/>
    <s v="新井薬師前駅"/>
    <n v="8"/>
    <n v="10.33"/>
    <n v="123574.88"/>
    <n v="95329.65"/>
    <n v="637"/>
    <n v="1622"/>
    <s v="20-30"/>
    <x v="1"/>
  </r>
  <r>
    <s v="https://suumo.jp/chintai/jnc_000102206009/?bc=100467759858"/>
    <s v="キャパシタス中野"/>
    <s v="東京都中野区新井１"/>
    <n v="90000"/>
    <n v="5000"/>
    <m/>
    <n v="90000"/>
    <n v="5"/>
    <x v="2"/>
    <n v="20.95"/>
    <n v="22"/>
    <x v="10"/>
    <s v="新井薬師前駅"/>
    <n v="8"/>
    <n v="10.33"/>
    <n v="123574.88"/>
    <n v="95329.65"/>
    <n v="637"/>
    <n v="1622"/>
    <s v="20-30"/>
    <x v="1"/>
  </r>
  <r>
    <s v="https://suumo.jp/chintai/jnc_000104459188/?bc=100486090764"/>
    <s v="クラース哲学堂公園"/>
    <s v="東京都中野区松が丘２"/>
    <n v="78000"/>
    <n v="9000"/>
    <n v="78000"/>
    <n v="78000"/>
    <n v="2"/>
    <x v="2"/>
    <n v="24.9"/>
    <n v="29"/>
    <x v="10"/>
    <s v="新井薬師前駅"/>
    <n v="8"/>
    <n v="12.67"/>
    <n v="123574.88"/>
    <n v="95329.65"/>
    <n v="637"/>
    <n v="1622"/>
    <s v="20-30"/>
    <x v="1"/>
  </r>
  <r>
    <s v="https://suumo.jp/chintai/jnc_000104454996/?bc=100485793205"/>
    <s v="クリスタルコート哲学堂"/>
    <s v="東京都中野区松が丘２"/>
    <n v="88000"/>
    <n v="5000"/>
    <m/>
    <n v="88000"/>
    <n v="2"/>
    <x v="2"/>
    <n v="24.13"/>
    <n v="7"/>
    <x v="4"/>
    <s v="新井薬師前駅"/>
    <n v="13"/>
    <n v="14.67"/>
    <n v="123574.88"/>
    <n v="95329.65"/>
    <n v="637"/>
    <n v="1622"/>
    <s v="20-30"/>
    <x v="0"/>
  </r>
  <r>
    <s v="https://suumo.jp/chintai/jnc_000104499551/?bc=100486130302"/>
    <s v="クレマチス"/>
    <s v="東京都中野区松が丘１"/>
    <n v="56000"/>
    <n v="4000"/>
    <m/>
    <m/>
    <n v="1"/>
    <x v="2"/>
    <n v="13.38"/>
    <n v="39"/>
    <x v="0"/>
    <s v="新井薬師前駅"/>
    <n v="5"/>
    <n v="8.5"/>
    <n v="123574.88"/>
    <n v="95329.65"/>
    <n v="637"/>
    <n v="1622"/>
    <s v="10-20"/>
    <x v="4"/>
  </r>
  <r>
    <s v="https://suumo.jp/chintai/jnc_000102165574/?bc=100467116196"/>
    <s v="コートM&amp;A Part4"/>
    <s v="東京都中野区松が丘２"/>
    <n v="62000"/>
    <n v="5000"/>
    <m/>
    <m/>
    <n v="2"/>
    <x v="2"/>
    <n v="17.399999999999999"/>
    <n v="55"/>
    <x v="0"/>
    <s v="新井薬師前駅"/>
    <n v="9"/>
    <n v="13"/>
    <n v="123574.88"/>
    <n v="95329.65"/>
    <n v="637"/>
    <n v="1622"/>
    <s v="10-20"/>
    <x v="5"/>
  </r>
  <r>
    <s v="https://suumo.jp/chintai/jnc_000103987610/?bc=100485928829"/>
    <s v="サンエイアームス"/>
    <s v="東京都中野区上高田４"/>
    <n v="63000"/>
    <n v="3000"/>
    <m/>
    <m/>
    <n v="2"/>
    <x v="2"/>
    <n v="22.05"/>
    <n v="61"/>
    <x v="7"/>
    <s v="新井薬師前駅"/>
    <n v="4"/>
    <n v="12.33"/>
    <n v="123574.88"/>
    <n v="95329.65"/>
    <n v="637"/>
    <n v="1622"/>
    <s v="20-30"/>
    <x v="2"/>
  </r>
  <r>
    <s v="https://suumo.jp/chintai/jnc_000013455328/?bc=100483816751"/>
    <s v="サンハイツ"/>
    <s v="東京都中野区松が丘１"/>
    <n v="53000"/>
    <m/>
    <n v="53000"/>
    <n v="53000"/>
    <n v="1"/>
    <x v="2"/>
    <n v="18.600000000000001"/>
    <n v="42"/>
    <x v="0"/>
    <s v="新井薬師前駅"/>
    <n v="2"/>
    <n v="13.33"/>
    <n v="123574.88"/>
    <n v="95329.65"/>
    <n v="637"/>
    <n v="1622"/>
    <s v="10-20"/>
    <x v="3"/>
  </r>
  <r>
    <s v="https://suumo.jp/chintai/jnc_000103903831/?bc=100481720848"/>
    <s v="サン・ローレル"/>
    <s v="東京都中野区新井４"/>
    <n v="95000"/>
    <n v="4000"/>
    <n v="95000"/>
    <n v="95000"/>
    <n v="1"/>
    <x v="2"/>
    <n v="28.62"/>
    <n v="16"/>
    <x v="0"/>
    <s v="新井薬師前駅"/>
    <n v="5"/>
    <n v="9"/>
    <n v="123574.88"/>
    <n v="95329.65"/>
    <n v="637"/>
    <n v="1622"/>
    <s v="20-30"/>
    <x v="7"/>
  </r>
  <r>
    <s v="https://suumo.jp/chintai/jnc_000104179503/?bc=100470880983"/>
    <s v="シャルマン松が丘"/>
    <s v="東京都中野区松が丘１"/>
    <n v="53000"/>
    <m/>
    <n v="53000"/>
    <m/>
    <n v="1"/>
    <x v="2"/>
    <n v="17"/>
    <n v="33"/>
    <x v="0"/>
    <s v="新井薬師前駅"/>
    <n v="4"/>
    <n v="11.33"/>
    <n v="123574.88"/>
    <n v="95329.65"/>
    <n v="637"/>
    <n v="1622"/>
    <s v="10-20"/>
    <x v="4"/>
  </r>
  <r>
    <s v="https://suumo.jp/chintai/jnc_000103690567/?bc=100480033350"/>
    <s v="シンシア"/>
    <s v="東京都中野区新井５"/>
    <n v="85000"/>
    <m/>
    <m/>
    <m/>
    <n v="1"/>
    <x v="2"/>
    <n v="23.18"/>
    <n v="17"/>
    <x v="2"/>
    <s v="新井薬師前駅"/>
    <n v="4"/>
    <n v="11"/>
    <n v="123574.88"/>
    <n v="95329.65"/>
    <n v="637"/>
    <n v="1622"/>
    <s v="20-30"/>
    <x v="7"/>
  </r>
  <r>
    <s v="https://suumo.jp/chintai/jnc_000104132670/?bc=100483227043"/>
    <s v="スカイコートグレース中野哲学堂"/>
    <s v="東京都中野区松が丘２"/>
    <n v="93000"/>
    <n v="10000"/>
    <m/>
    <m/>
    <n v="2"/>
    <x v="2"/>
    <n v="25.51"/>
    <n v="5"/>
    <x v="7"/>
    <s v="新井薬師前駅"/>
    <n v="10"/>
    <n v="13"/>
    <n v="123574.88"/>
    <n v="95329.65"/>
    <n v="637"/>
    <n v="1622"/>
    <s v="20-30"/>
    <x v="0"/>
  </r>
  <r>
    <s v="https://suumo.jp/chintai/jnc_000103663189/?bc=100483954784"/>
    <s v="スカイコートグレース中野哲学堂"/>
    <s v="東京都中野区松が丘２"/>
    <n v="112300"/>
    <n v="10700"/>
    <n v="112300"/>
    <n v="112300"/>
    <n v="4"/>
    <x v="2"/>
    <n v="29.41"/>
    <n v="5"/>
    <x v="7"/>
    <s v="新井薬師前駅"/>
    <n v="10"/>
    <n v="13"/>
    <n v="123574.88"/>
    <n v="95329.65"/>
    <n v="637"/>
    <n v="1622"/>
    <s v="20-30"/>
    <x v="0"/>
  </r>
  <r>
    <s v="https://suumo.jp/chintai/jnc_000055425411/?bc=100485621946"/>
    <s v="スカイコート新宿落合第3"/>
    <s v="東京都新宿区西落合２"/>
    <n v="58400"/>
    <n v="5600"/>
    <n v="58400"/>
    <m/>
    <n v="3"/>
    <x v="2"/>
    <n v="16.239999999999998"/>
    <n v="34"/>
    <x v="4"/>
    <s v="新井薬師前駅"/>
    <n v="6"/>
    <n v="11.33"/>
    <n v="123574.88"/>
    <n v="95329.65"/>
    <n v="637"/>
    <n v="1622"/>
    <s v="10-20"/>
    <x v="4"/>
  </r>
  <r>
    <s v="https://suumo.jp/chintai/jnc_000104070163/?bc=100482754322"/>
    <s v="セトルミュー松ヶ丘"/>
    <s v="東京都中野区松が丘１"/>
    <n v="80000"/>
    <n v="3000"/>
    <n v="80000"/>
    <n v="80000"/>
    <n v="1"/>
    <x v="2"/>
    <n v="24.5"/>
    <n v="25"/>
    <x v="0"/>
    <s v="新井薬師前駅"/>
    <n v="5"/>
    <n v="17.670000000000002"/>
    <n v="123574.88"/>
    <n v="95329.65"/>
    <n v="637"/>
    <n v="1622"/>
    <s v="20-30"/>
    <x v="1"/>
  </r>
  <r>
    <s v="https://suumo.jp/chintai/jnc_000104229972/?bc=100484096359"/>
    <s v="センタービレッジ中野"/>
    <s v="東京都中野区上高田１"/>
    <n v="89000"/>
    <n v="3000"/>
    <n v="89000"/>
    <n v="89000"/>
    <n v="1"/>
    <x v="2"/>
    <n v="29.5"/>
    <n v="15"/>
    <x v="2"/>
    <s v="新井薬師前駅"/>
    <n v="10"/>
    <n v="11.33"/>
    <n v="123574.88"/>
    <n v="95329.65"/>
    <n v="637"/>
    <n v="1622"/>
    <s v="20-30"/>
    <x v="7"/>
  </r>
  <r>
    <s v="https://suumo.jp/chintai/jnc_000098555379/?bc=100447566717"/>
    <s v="センタービレッジ中野"/>
    <s v="東京都中野区上高田１"/>
    <n v="95000"/>
    <n v="3000"/>
    <n v="95000"/>
    <n v="95000"/>
    <n v="1"/>
    <x v="2"/>
    <n v="33.5"/>
    <n v="15"/>
    <x v="2"/>
    <s v="新井薬師前駅"/>
    <n v="10"/>
    <n v="11.33"/>
    <n v="123574.88"/>
    <n v="95329.65"/>
    <n v="637"/>
    <n v="1622"/>
    <s v="30-40"/>
    <x v="7"/>
  </r>
  <r>
    <s v="https://suumo.jp/chintai/jnc_000104459179/?bc=100485923422"/>
    <s v="ゼニーヴ上高田II"/>
    <s v="東京都中野区上高田１"/>
    <n v="83000"/>
    <n v="9000"/>
    <n v="83000"/>
    <n v="83000"/>
    <n v="1"/>
    <x v="2"/>
    <n v="21.72"/>
    <n v="10"/>
    <x v="2"/>
    <s v="新井薬師前駅"/>
    <n v="11"/>
    <n v="12"/>
    <n v="123574.88"/>
    <n v="95329.65"/>
    <n v="637"/>
    <n v="1622"/>
    <s v="20-30"/>
    <x v="0"/>
  </r>
  <r>
    <s v="https://suumo.jp/chintai/jnc_000102296276/?bc=100468407723"/>
    <s v="ソフィア薬師"/>
    <s v="東京都中野区新井１"/>
    <n v="84000"/>
    <n v="2000"/>
    <n v="84000"/>
    <n v="84000"/>
    <n v="2"/>
    <x v="2"/>
    <n v="25.19"/>
    <n v="25"/>
    <x v="4"/>
    <s v="新井薬師前駅"/>
    <n v="5"/>
    <n v="9.33"/>
    <n v="123574.88"/>
    <n v="95329.65"/>
    <n v="637"/>
    <n v="1622"/>
    <s v="20-30"/>
    <x v="1"/>
  </r>
  <r>
    <s v="https://suumo.jp/chintai/jnc_000104179479/?bc=100485894084"/>
    <s v="ダイナシティ中野新井薬師"/>
    <s v="東京都中野区上高田３"/>
    <n v="115000"/>
    <n v="10000"/>
    <n v="115000"/>
    <n v="115000"/>
    <n v="5"/>
    <x v="2"/>
    <n v="31.07"/>
    <n v="21"/>
    <x v="7"/>
    <s v="新井薬師前駅"/>
    <n v="4"/>
    <n v="11"/>
    <n v="123574.88"/>
    <n v="95329.65"/>
    <n v="637"/>
    <n v="1622"/>
    <s v="30-40"/>
    <x v="1"/>
  </r>
  <r>
    <s v="https://suumo.jp/chintai/jnc_000104335101/?bc=100481705540"/>
    <s v="ダルタニアンコート"/>
    <s v="東京都中野区上高田２"/>
    <n v="65000"/>
    <n v="2000"/>
    <n v="65000"/>
    <n v="65000"/>
    <n v="2"/>
    <x v="2"/>
    <n v="19.3"/>
    <n v="49"/>
    <x v="0"/>
    <s v="新井薬師前駅"/>
    <n v="6"/>
    <n v="11.67"/>
    <n v="123574.88"/>
    <n v="95329.65"/>
    <n v="637"/>
    <n v="1622"/>
    <s v="10-20"/>
    <x v="3"/>
  </r>
  <r>
    <s v="https://suumo.jp/chintai/jnc_000103631789/?bc=100482716572"/>
    <s v="ダンディライオンIII"/>
    <s v="東京都中野区上高田１"/>
    <n v="99000"/>
    <n v="3000"/>
    <n v="99000"/>
    <n v="99000"/>
    <n v="1"/>
    <x v="2"/>
    <n v="25.38"/>
    <n v="18"/>
    <x v="2"/>
    <s v="新井薬師前駅"/>
    <n v="7"/>
    <n v="10.33"/>
    <n v="123574.88"/>
    <n v="95329.65"/>
    <n v="637"/>
    <n v="1622"/>
    <s v="20-30"/>
    <x v="7"/>
  </r>
  <r>
    <s v="https://suumo.jp/chintai/jnc_000104207766/?bc=100483816067"/>
    <s v="ニューハイム村上"/>
    <s v="東京都中野区新井１"/>
    <n v="90000"/>
    <n v="3000"/>
    <n v="90000"/>
    <n v="90000"/>
    <n v="3"/>
    <x v="2"/>
    <n v="25.2"/>
    <n v="40"/>
    <x v="2"/>
    <s v="新井薬師前駅"/>
    <n v="8"/>
    <n v="10.67"/>
    <n v="123574.88"/>
    <n v="95329.65"/>
    <n v="637"/>
    <n v="1622"/>
    <s v="20-30"/>
    <x v="4"/>
  </r>
  <r>
    <s v="https://suumo.jp/chintai/jnc_000103032346/?bc=100474382249"/>
    <s v="ハイツ保坂"/>
    <s v="東京都中野区松が丘１"/>
    <n v="59000"/>
    <m/>
    <m/>
    <m/>
    <n v="1"/>
    <x v="2"/>
    <n v="20"/>
    <n v="42"/>
    <x v="0"/>
    <s v="新井薬師前駅"/>
    <n v="3"/>
    <n v="10.67"/>
    <n v="123574.88"/>
    <n v="95329.65"/>
    <n v="637"/>
    <n v="1622"/>
    <s v="20-30"/>
    <x v="3"/>
  </r>
  <r>
    <s v="https://suumo.jp/chintai/jnc_000102572863/?bc=100480836611"/>
    <s v="ハイムカトレア中野"/>
    <s v="東京都中野区新井１"/>
    <n v="53000"/>
    <n v="2000"/>
    <n v="53000"/>
    <n v="53000"/>
    <n v="2"/>
    <x v="2"/>
    <n v="18"/>
    <n v="35"/>
    <x v="0"/>
    <s v="新井薬師前駅"/>
    <n v="10"/>
    <n v="12.33"/>
    <n v="123574.88"/>
    <n v="95329.65"/>
    <n v="637"/>
    <n v="1622"/>
    <s v="10-20"/>
    <x v="4"/>
  </r>
  <r>
    <s v="https://suumo.jp/chintai/jnc_000070963942/?bc=100484466116"/>
    <s v="ハイム新山"/>
    <s v="東京都中野区上高田２"/>
    <n v="50000"/>
    <n v="2000"/>
    <n v="50000"/>
    <n v="50000"/>
    <n v="1"/>
    <x v="2"/>
    <n v="18"/>
    <n v="74"/>
    <x v="0"/>
    <s v="新井薬師前駅"/>
    <n v="8"/>
    <n v="13.67"/>
    <n v="123574.88"/>
    <n v="95329.65"/>
    <n v="637"/>
    <n v="1622"/>
    <s v="10-20"/>
    <x v="2"/>
  </r>
  <r>
    <s v="https://suumo.jp/chintai/jnc_000103969610/?bc=100481896254"/>
    <s v="パイニーヒル"/>
    <s v="東京都中野区松が丘１"/>
    <n v="73000"/>
    <n v="2000"/>
    <n v="73000"/>
    <n v="73000"/>
    <n v="1"/>
    <x v="2"/>
    <n v="22"/>
    <n v="38"/>
    <x v="2"/>
    <s v="新井薬師前駅"/>
    <n v="5"/>
    <n v="11.33"/>
    <n v="123574.88"/>
    <n v="95329.65"/>
    <n v="637"/>
    <n v="1622"/>
    <s v="20-30"/>
    <x v="4"/>
  </r>
  <r>
    <s v="https://suumo.jp/chintai/jnc_000104417239/?bc=100485557001"/>
    <s v="パティーナ中野"/>
    <s v="東京都中野区新井４"/>
    <n v="110500"/>
    <n v="9500"/>
    <m/>
    <n v="110500"/>
    <n v="1"/>
    <x v="2"/>
    <n v="25.52"/>
    <n v="3"/>
    <x v="4"/>
    <s v="新井薬師前駅"/>
    <n v="6"/>
    <n v="9.67"/>
    <n v="123574.88"/>
    <n v="95329.65"/>
    <n v="637"/>
    <n v="1622"/>
    <s v="20-30"/>
    <x v="0"/>
  </r>
  <r>
    <s v="https://suumo.jp/chintai/jnc_000104417240/?bc=100485949099"/>
    <s v="パティーナ中野"/>
    <s v="東京都中野区新井４"/>
    <n v="115000"/>
    <n v="9500"/>
    <m/>
    <n v="115000"/>
    <n v="1"/>
    <x v="2"/>
    <n v="25.52"/>
    <n v="3"/>
    <x v="4"/>
    <s v="新井薬師前駅"/>
    <n v="6"/>
    <n v="9.67"/>
    <n v="123574.88"/>
    <n v="95329.65"/>
    <n v="637"/>
    <n v="1622"/>
    <s v="20-30"/>
    <x v="0"/>
  </r>
  <r>
    <s v="https://suumo.jp/chintai/jnc_000104117670/?bc=100479393718"/>
    <s v="パピ中野ラウンジ"/>
    <s v="東京都中野区新井１"/>
    <n v="90000"/>
    <n v="5000"/>
    <n v="90000"/>
    <n v="90000"/>
    <n v="2"/>
    <x v="2"/>
    <n v="20.440000000000001"/>
    <n v="10"/>
    <x v="4"/>
    <s v="新井薬師前駅"/>
    <n v="9"/>
    <n v="9.5"/>
    <n v="123574.88"/>
    <n v="95329.65"/>
    <n v="637"/>
    <n v="1622"/>
    <s v="20-30"/>
    <x v="0"/>
  </r>
  <r>
    <s v="https://suumo.jp/chintai/jnc_000103909132/?bc=100481481953"/>
    <s v="フォレスト中野Ａ"/>
    <s v="東京都中野区上高田５"/>
    <n v="70000"/>
    <n v="2000"/>
    <n v="70000"/>
    <m/>
    <n v="2"/>
    <x v="2"/>
    <n v="17.55"/>
    <n v="24"/>
    <x v="0"/>
    <s v="新井薬師前駅"/>
    <n v="7"/>
    <n v="10"/>
    <n v="123574.88"/>
    <n v="95329.65"/>
    <n v="637"/>
    <n v="1622"/>
    <s v="10-20"/>
    <x v="1"/>
  </r>
  <r>
    <s v="https://suumo.jp/chintai/jnc_000069685864/?bc=100485396450"/>
    <s v="ベルテ哲学堂"/>
    <s v="東京都中野区松が丘２"/>
    <n v="62000"/>
    <n v="2000"/>
    <n v="62000"/>
    <n v="62000"/>
    <n v="1"/>
    <x v="2"/>
    <n v="22.35"/>
    <n v="27"/>
    <x v="2"/>
    <s v="新井薬師前駅"/>
    <n v="10"/>
    <n v="16.329999999999998"/>
    <n v="123574.88"/>
    <n v="95329.65"/>
    <n v="637"/>
    <n v="1622"/>
    <s v="20-30"/>
    <x v="1"/>
  </r>
  <r>
    <s v="https://suumo.jp/chintai/jnc_000104003973/?bc=100482283983"/>
    <s v="ベルフローラ"/>
    <s v="東京都中野区上高田５"/>
    <n v="83000"/>
    <n v="3000"/>
    <n v="83000"/>
    <n v="83000"/>
    <n v="2"/>
    <x v="2"/>
    <n v="22.97"/>
    <n v="18"/>
    <x v="0"/>
    <s v="新井薬師前駅"/>
    <n v="2"/>
    <n v="14.67"/>
    <n v="123574.88"/>
    <n v="95329.65"/>
    <n v="637"/>
    <n v="1622"/>
    <s v="20-30"/>
    <x v="7"/>
  </r>
  <r>
    <s v="https://suumo.jp/chintai/jnc_000104126170/?bc=100483173420"/>
    <s v="ベレ松が丘"/>
    <s v="東京都中野区松が丘１"/>
    <n v="80000"/>
    <m/>
    <n v="80000"/>
    <n v="80000"/>
    <n v="1"/>
    <x v="2"/>
    <n v="23.68"/>
    <n v="26"/>
    <x v="0"/>
    <s v="新井薬師前駅"/>
    <n v="2"/>
    <n v="11"/>
    <n v="123574.88"/>
    <n v="95329.65"/>
    <n v="637"/>
    <n v="1622"/>
    <s v="20-30"/>
    <x v="1"/>
  </r>
  <r>
    <s v="https://suumo.jp/chintai/jnc_000103231667/?bc=100475956722"/>
    <s v="ホワイトハイツ"/>
    <s v="東京都中野区上高田２"/>
    <n v="65000"/>
    <m/>
    <n v="65000"/>
    <m/>
    <n v="1"/>
    <x v="2"/>
    <n v="17.489999999999998"/>
    <n v="39"/>
    <x v="0"/>
    <s v="新井薬師前駅"/>
    <n v="4"/>
    <n v="10.67"/>
    <n v="123574.88"/>
    <n v="95329.65"/>
    <n v="637"/>
    <n v="1622"/>
    <s v="10-20"/>
    <x v="4"/>
  </r>
  <r>
    <s v="https://suumo.jp/chintai/jnc_000104519161/?bc=100486237124"/>
    <s v="マキシヴ中野"/>
    <s v="東京都中野区上高田５"/>
    <n v="102000"/>
    <n v="15000"/>
    <n v="102000"/>
    <n v="102000"/>
    <n v="2"/>
    <x v="2"/>
    <n v="25.71"/>
    <n v="10"/>
    <x v="2"/>
    <s v="新井薬師前駅"/>
    <n v="6"/>
    <n v="12.33"/>
    <n v="123574.88"/>
    <n v="95329.65"/>
    <n v="637"/>
    <n v="1622"/>
    <s v="20-30"/>
    <x v="0"/>
  </r>
  <r>
    <s v="https://suumo.jp/chintai/jnc_000104525887/?bc=100486278212"/>
    <s v="マキシヴ中野"/>
    <s v="東京都中野区上高田５"/>
    <n v="105000"/>
    <n v="15000"/>
    <n v="105000"/>
    <n v="105000"/>
    <n v="2"/>
    <x v="2"/>
    <n v="25.71"/>
    <n v="10"/>
    <x v="2"/>
    <s v="新井薬師前駅"/>
    <n v="6"/>
    <n v="12.33"/>
    <n v="123574.88"/>
    <n v="95329.65"/>
    <n v="637"/>
    <n v="1622"/>
    <s v="20-30"/>
    <x v="0"/>
  </r>
  <r>
    <s v="https://suumo.jp/chintai/jnc_000103929267/?bc=100481669373"/>
    <s v="マキシヴ中野"/>
    <s v="東京都中野区上高田５"/>
    <n v="101500"/>
    <n v="15000"/>
    <n v="101500"/>
    <n v="101500"/>
    <n v="2"/>
    <x v="2"/>
    <n v="25.7"/>
    <n v="10"/>
    <x v="2"/>
    <s v="新井薬師前駅"/>
    <n v="6"/>
    <n v="12.33"/>
    <n v="123574.88"/>
    <n v="95329.65"/>
    <n v="637"/>
    <n v="1622"/>
    <s v="20-30"/>
    <x v="0"/>
  </r>
  <r>
    <s v="https://suumo.jp/chintai/jnc_000103792575/?bc=100482349781"/>
    <s v="マキシヴ中野"/>
    <s v="東京都中野区上高田５"/>
    <n v="102000"/>
    <n v="15000"/>
    <n v="102000"/>
    <n v="102000"/>
    <n v="3"/>
    <x v="2"/>
    <n v="25.71"/>
    <n v="10"/>
    <x v="2"/>
    <s v="新井薬師前駅"/>
    <n v="6"/>
    <n v="12.33"/>
    <n v="123574.88"/>
    <n v="95329.65"/>
    <n v="637"/>
    <n v="1622"/>
    <s v="20-30"/>
    <x v="0"/>
  </r>
  <r>
    <s v="https://suumo.jp/chintai/jnc_000104348360/?bc=100484925615"/>
    <s v="ミモザ哲学堂"/>
    <s v="東京都中野区松が丘２"/>
    <n v="83000"/>
    <n v="3000"/>
    <m/>
    <m/>
    <n v="1"/>
    <x v="2"/>
    <n v="20.12"/>
    <n v="2"/>
    <x v="2"/>
    <s v="新井薬師前駅"/>
    <n v="10"/>
    <n v="12.33"/>
    <n v="123574.88"/>
    <n v="95329.65"/>
    <n v="637"/>
    <n v="1622"/>
    <s v="20-30"/>
    <x v="0"/>
  </r>
  <r>
    <s v="https://suumo.jp/chintai/jnc_000104304057/?bc=100484752226"/>
    <s v="ミモザ哲学堂"/>
    <s v="東京都中野区松が丘２"/>
    <n v="80000"/>
    <n v="3000"/>
    <m/>
    <m/>
    <n v="1"/>
    <x v="2"/>
    <n v="20.12"/>
    <n v="2"/>
    <x v="2"/>
    <s v="新井薬師前駅"/>
    <n v="10"/>
    <n v="12.33"/>
    <n v="123574.88"/>
    <n v="95329.65"/>
    <n v="637"/>
    <n v="1622"/>
    <s v="20-30"/>
    <x v="0"/>
  </r>
  <r>
    <s v="https://suumo.jp/chintai/jnc_000104357208/?bc=100484994050"/>
    <s v="メゾンアイエム"/>
    <s v="東京都中野区上高田４"/>
    <n v="74000"/>
    <n v="7000"/>
    <n v="74000"/>
    <n v="74000"/>
    <n v="2"/>
    <x v="2"/>
    <n v="24.44"/>
    <n v="27"/>
    <x v="2"/>
    <s v="新井薬師前駅"/>
    <n v="7"/>
    <n v="10.67"/>
    <n v="123574.88"/>
    <n v="95329.65"/>
    <n v="637"/>
    <n v="1622"/>
    <s v="20-30"/>
    <x v="1"/>
  </r>
  <r>
    <s v="https://suumo.jp/chintai/jnc_000104473678/?bc=100486091569"/>
    <s v="メゾンクレイン(メゾンクレイン)"/>
    <s v="東京都新宿区西落合２"/>
    <n v="98000"/>
    <n v="5000"/>
    <n v="98000"/>
    <n v="98000"/>
    <n v="3"/>
    <x v="2"/>
    <n v="31.49"/>
    <n v="24"/>
    <x v="2"/>
    <s v="新井薬師前駅"/>
    <n v="4"/>
    <n v="11"/>
    <n v="123574.88"/>
    <n v="95329.65"/>
    <n v="637"/>
    <n v="1622"/>
    <s v="30-40"/>
    <x v="1"/>
  </r>
  <r>
    <s v="https://suumo.jp/chintai/jnc_000101885858/?bc=100464239947"/>
    <s v="メゾンクレール"/>
    <s v="東京都中野区上高田５"/>
    <n v="66000"/>
    <m/>
    <m/>
    <m/>
    <n v="1"/>
    <x v="2"/>
    <n v="21"/>
    <n v="22"/>
    <x v="0"/>
    <s v="新井薬師前駅"/>
    <n v="5"/>
    <n v="11"/>
    <n v="123574.88"/>
    <n v="95329.65"/>
    <n v="637"/>
    <n v="1622"/>
    <s v="20-30"/>
    <x v="1"/>
  </r>
  <r>
    <s v="https://suumo.jp/chintai/jnc_000102307756/?bc=100483765688"/>
    <s v="メゾンソレイユ"/>
    <s v="東京都中野区上高田２"/>
    <n v="70000"/>
    <m/>
    <n v="70000"/>
    <m/>
    <n v="2"/>
    <x v="2"/>
    <n v="19"/>
    <n v="46"/>
    <x v="0"/>
    <s v="新井薬師前駅"/>
    <n v="10"/>
    <n v="11.5"/>
    <n v="123574.88"/>
    <n v="95329.65"/>
    <n v="637"/>
    <n v="1622"/>
    <s v="10-20"/>
    <x v="3"/>
  </r>
  <r>
    <s v="https://suumo.jp/chintai/jnc_000102755819/?bc=100472156888"/>
    <s v="メゾンパール"/>
    <s v="東京都中野区上高田２"/>
    <n v="53000"/>
    <n v="3000"/>
    <n v="53000"/>
    <n v="53000"/>
    <n v="1"/>
    <x v="2"/>
    <n v="16.239999999999998"/>
    <n v="42"/>
    <x v="0"/>
    <s v="新井薬師前駅"/>
    <n v="5"/>
    <n v="11.67"/>
    <n v="123574.88"/>
    <n v="95329.65"/>
    <n v="637"/>
    <n v="1622"/>
    <s v="10-20"/>
    <x v="3"/>
  </r>
  <r>
    <s v="https://suumo.jp/chintai/jnc_000102848047/?bc=100482657312"/>
    <s v="メゾンフラワー東中野"/>
    <s v="東京都中野区上高田４"/>
    <n v="73000"/>
    <n v="5000"/>
    <m/>
    <m/>
    <n v="1"/>
    <x v="2"/>
    <n v="21.46"/>
    <n v="23"/>
    <x v="4"/>
    <s v="新井薬師前駅"/>
    <n v="8"/>
    <n v="8.67"/>
    <n v="123574.88"/>
    <n v="95329.65"/>
    <n v="637"/>
    <n v="1622"/>
    <s v="20-30"/>
    <x v="1"/>
  </r>
  <r>
    <s v="https://suumo.jp/chintai/jnc_000104229968/?bc=100485821394"/>
    <s v="メゾンブランカ"/>
    <s v="東京都中野区新井５"/>
    <n v="86000"/>
    <n v="3000"/>
    <n v="86000"/>
    <n v="86000"/>
    <n v="3"/>
    <x v="2"/>
    <n v="24.09"/>
    <n v="20"/>
    <x v="4"/>
    <s v="新井薬師前駅"/>
    <n v="4"/>
    <n v="11"/>
    <n v="123574.88"/>
    <n v="95329.65"/>
    <n v="637"/>
    <n v="1622"/>
    <s v="20-30"/>
    <x v="7"/>
  </r>
  <r>
    <s v="https://suumo.jp/chintai/jnc_000104076679/?bc=100483049314"/>
    <s v="メゾン・フォレスト"/>
    <s v="東京都中野区上高田３"/>
    <n v="70000"/>
    <n v="2000"/>
    <n v="70000"/>
    <m/>
    <n v="1"/>
    <x v="2"/>
    <n v="17.940000000000001"/>
    <n v="23"/>
    <x v="0"/>
    <s v="新井薬師前駅"/>
    <n v="7"/>
    <n v="10.33"/>
    <n v="123574.88"/>
    <n v="95329.65"/>
    <n v="637"/>
    <n v="1622"/>
    <s v="10-20"/>
    <x v="1"/>
  </r>
  <r>
    <s v="https://suumo.jp/chintai/jnc_000103743334/?bc=100480250843"/>
    <s v="メゾン村上"/>
    <s v="東京都中野区新井１"/>
    <n v="75000"/>
    <n v="3000"/>
    <n v="75000"/>
    <n v="75000"/>
    <n v="2"/>
    <x v="2"/>
    <n v="17.7"/>
    <n v="45"/>
    <x v="2"/>
    <s v="新井薬師前駅"/>
    <n v="8"/>
    <n v="14.33"/>
    <n v="123574.88"/>
    <n v="95329.65"/>
    <n v="637"/>
    <n v="1622"/>
    <s v="10-20"/>
    <x v="3"/>
  </r>
  <r>
    <s v="https://suumo.jp/chintai/jnc_000099961748/?bc=100447675074"/>
    <s v="メゾン松ヶ丘"/>
    <s v="東京都中野区松が丘１"/>
    <n v="75000"/>
    <n v="3000"/>
    <n v="75000"/>
    <n v="75000"/>
    <n v="1"/>
    <x v="2"/>
    <n v="20"/>
    <n v="46"/>
    <x v="2"/>
    <s v="新井薬師前駅"/>
    <n v="7"/>
    <n v="12.33"/>
    <n v="123574.88"/>
    <n v="95329.65"/>
    <n v="637"/>
    <n v="1622"/>
    <s v="20-30"/>
    <x v="3"/>
  </r>
  <r>
    <s v="https://suumo.jp/chintai/jnc_000094984142/?bc=100412424262"/>
    <s v="メゾン松ヶ丘"/>
    <s v="東京都中野区松が丘１"/>
    <n v="73000"/>
    <m/>
    <n v="73000"/>
    <n v="73000"/>
    <n v="2"/>
    <x v="2"/>
    <n v="22"/>
    <n v="46"/>
    <x v="2"/>
    <s v="新井薬師前駅"/>
    <n v="7"/>
    <n v="12.33"/>
    <n v="123574.88"/>
    <n v="95329.65"/>
    <n v="637"/>
    <n v="1622"/>
    <s v="20-30"/>
    <x v="3"/>
  </r>
  <r>
    <s v="https://suumo.jp/chintai/jnc_000098572258/?bc=100437928169"/>
    <s v="メゾン松ヶ丘"/>
    <s v="東京都中野区松が丘１"/>
    <n v="73000"/>
    <m/>
    <n v="73000"/>
    <n v="73000"/>
    <n v="2"/>
    <x v="2"/>
    <n v="25.11"/>
    <n v="46"/>
    <x v="2"/>
    <s v="新井薬師前駅"/>
    <n v="7"/>
    <n v="12.33"/>
    <n v="123574.88"/>
    <n v="95329.65"/>
    <n v="637"/>
    <n v="1622"/>
    <s v="20-30"/>
    <x v="3"/>
  </r>
  <r>
    <s v="https://suumo.jp/chintai/jnc_000100566142/?bc=100452427598"/>
    <s v="メゾン松ヶ丘"/>
    <s v="東京都中野区松が丘１"/>
    <n v="73000"/>
    <m/>
    <n v="73000"/>
    <n v="73000"/>
    <n v="3"/>
    <x v="2"/>
    <n v="19"/>
    <n v="46"/>
    <x v="2"/>
    <s v="新井薬師前駅"/>
    <n v="7"/>
    <n v="12.33"/>
    <n v="123574.88"/>
    <n v="95329.65"/>
    <n v="637"/>
    <n v="1622"/>
    <s v="10-20"/>
    <x v="3"/>
  </r>
  <r>
    <s v="https://suumo.jp/chintai/jnc_000101487498/?bc=100475317855"/>
    <s v="メゾン飛鳥"/>
    <s v="東京都中野区松が丘１"/>
    <n v="70000"/>
    <n v="2000"/>
    <n v="70000"/>
    <n v="70000"/>
    <n v="2"/>
    <x v="2"/>
    <n v="20.05"/>
    <n v="23"/>
    <x v="0"/>
    <s v="新井薬師前駅"/>
    <n v="5"/>
    <n v="12"/>
    <n v="123574.88"/>
    <n v="95329.65"/>
    <n v="637"/>
    <n v="1622"/>
    <s v="20-30"/>
    <x v="1"/>
  </r>
  <r>
    <s v="https://suumo.jp/chintai/jnc_000103144294/?bc=100475513276"/>
    <s v="ラシクラス・カリビアンIII"/>
    <s v="東京都中野区上高田３"/>
    <n v="98000"/>
    <n v="7000"/>
    <n v="98000"/>
    <n v="98000"/>
    <n v="-1"/>
    <x v="2"/>
    <n v="21.07"/>
    <n v="11"/>
    <x v="4"/>
    <s v="新井薬師前駅"/>
    <n v="4"/>
    <n v="12.33"/>
    <n v="123574.88"/>
    <n v="95329.65"/>
    <n v="637"/>
    <n v="1622"/>
    <s v="20-30"/>
    <x v="7"/>
  </r>
  <r>
    <s v="https://suumo.jp/chintai/jnc_000100545723/?bc=100455413678"/>
    <s v="ラティエラ中野新井"/>
    <s v="東京都中野区新井１"/>
    <n v="147000"/>
    <n v="10000"/>
    <n v="147000"/>
    <m/>
    <n v="2"/>
    <x v="2"/>
    <n v="25.36"/>
    <n v="0"/>
    <x v="9"/>
    <s v="新井薬師前駅"/>
    <n v="9"/>
    <n v="10.33"/>
    <n v="123574.88"/>
    <n v="95329.65"/>
    <n v="637"/>
    <n v="1622"/>
    <s v="20-30"/>
    <x v="6"/>
  </r>
  <r>
    <s v="https://suumo.jp/chintai/jnc_000100545731/?bc=100454129233"/>
    <s v="ラティエラ中野新井"/>
    <s v="東京都中野区新井１"/>
    <n v="148000"/>
    <n v="10000"/>
    <n v="148000"/>
    <m/>
    <n v="3"/>
    <x v="2"/>
    <n v="25.36"/>
    <n v="0"/>
    <x v="9"/>
    <s v="新井薬師前駅"/>
    <n v="9"/>
    <n v="10.33"/>
    <n v="123574.88"/>
    <n v="95329.65"/>
    <n v="637"/>
    <n v="1622"/>
    <s v="20-30"/>
    <x v="6"/>
  </r>
  <r>
    <s v="https://suumo.jp/chintai/jnc_000100545728/?bc=100455402731"/>
    <s v="ラティエラ中野新井"/>
    <s v="東京都中野区新井１"/>
    <n v="145000"/>
    <n v="10000"/>
    <n v="145000"/>
    <m/>
    <n v="3"/>
    <x v="2"/>
    <n v="25.57"/>
    <n v="0"/>
    <x v="9"/>
    <s v="新井薬師前駅"/>
    <n v="9"/>
    <n v="10.33"/>
    <n v="123574.88"/>
    <n v="95329.65"/>
    <n v="637"/>
    <n v="1622"/>
    <s v="20-30"/>
    <x v="6"/>
  </r>
  <r>
    <s v="https://suumo.jp/chintai/jnc_000100545737/?bc=100454104895"/>
    <s v="ラティエラ中野新井"/>
    <s v="東京都中野区新井１"/>
    <n v="149000"/>
    <n v="10000"/>
    <n v="149000"/>
    <m/>
    <n v="4"/>
    <x v="2"/>
    <n v="25.36"/>
    <n v="0"/>
    <x v="9"/>
    <s v="新井薬師前駅"/>
    <n v="9"/>
    <n v="10.33"/>
    <n v="123574.88"/>
    <n v="95329.65"/>
    <n v="637"/>
    <n v="1622"/>
    <s v="20-30"/>
    <x v="6"/>
  </r>
  <r>
    <s v="https://suumo.jp/chintai/jnc_000104491992/?bc=100486373898"/>
    <s v="ラティエラ中野新井"/>
    <s v="東京都中野区新井１"/>
    <n v="156000"/>
    <n v="10000"/>
    <n v="156000"/>
    <m/>
    <n v="5"/>
    <x v="2"/>
    <n v="25.36"/>
    <n v="0"/>
    <x v="9"/>
    <s v="新井薬師前駅"/>
    <n v="9"/>
    <n v="10.33"/>
    <n v="123574.88"/>
    <n v="95329.65"/>
    <n v="637"/>
    <n v="1622"/>
    <s v="20-30"/>
    <x v="6"/>
  </r>
  <r>
    <s v="https://suumo.jp/chintai/jnc_000102274389/?bc=100468262989"/>
    <s v="ラティエラ中野新井"/>
    <s v="東京都中野区新井１"/>
    <n v="159000"/>
    <n v="10000"/>
    <n v="159000"/>
    <n v="159000"/>
    <n v="6"/>
    <x v="2"/>
    <n v="25.36"/>
    <n v="0"/>
    <x v="9"/>
    <s v="新井薬師前駅"/>
    <n v="9"/>
    <n v="10.33"/>
    <n v="123574.88"/>
    <n v="95329.65"/>
    <n v="637"/>
    <n v="1622"/>
    <s v="20-30"/>
    <x v="6"/>
  </r>
  <r>
    <s v="https://suumo.jp/chintai/jnc_000100264594/?bc=100482931528"/>
    <s v="ルミエール松が丘"/>
    <s v="東京都中野区松が丘２"/>
    <n v="61000"/>
    <n v="3000"/>
    <n v="61000"/>
    <m/>
    <n v="1"/>
    <x v="2"/>
    <n v="16"/>
    <n v="41"/>
    <x v="2"/>
    <s v="新井薬師前駅"/>
    <n v="13"/>
    <n v="13"/>
    <n v="123574.88"/>
    <n v="95329.65"/>
    <n v="637"/>
    <n v="1622"/>
    <s v="10-20"/>
    <x v="3"/>
  </r>
  <r>
    <s v="https://suumo.jp/chintai/jnc_000067161366/?bc=100475299863"/>
    <s v="ルミネ月村"/>
    <s v="東京都中野区新井１"/>
    <n v="63000"/>
    <n v="5000"/>
    <m/>
    <m/>
    <n v="3"/>
    <x v="2"/>
    <n v="16.739999999999998"/>
    <n v="42"/>
    <x v="2"/>
    <s v="新井薬師前駅"/>
    <n v="7"/>
    <n v="9.33"/>
    <n v="123574.88"/>
    <n v="95329.65"/>
    <n v="637"/>
    <n v="1622"/>
    <s v="10-20"/>
    <x v="3"/>
  </r>
  <r>
    <s v="https://suumo.jp/chintai/jnc_000103929314/?bc=100481688148"/>
    <s v="ル・シェール"/>
    <s v="東京都中野区松が丘２"/>
    <n v="55000"/>
    <n v="2000"/>
    <n v="55000"/>
    <n v="55000"/>
    <n v="2"/>
    <x v="2"/>
    <n v="20.5"/>
    <n v="36"/>
    <x v="0"/>
    <s v="新井薬師前駅"/>
    <n v="10"/>
    <n v="12.33"/>
    <n v="123574.88"/>
    <n v="95329.65"/>
    <n v="637"/>
    <n v="1622"/>
    <s v="20-30"/>
    <x v="4"/>
  </r>
  <r>
    <s v="https://suumo.jp/chintai/jnc_000104054969/?bc=100476268682"/>
    <s v="ルーブル新宿西落合伍番館"/>
    <s v="東京都新宿区西落合２"/>
    <n v="92000"/>
    <m/>
    <m/>
    <n v="92000"/>
    <n v="1"/>
    <x v="2"/>
    <n v="20.25"/>
    <n v="21"/>
    <x v="7"/>
    <s v="新井薬師前駅"/>
    <n v="6"/>
    <n v="9.5"/>
    <n v="123574.88"/>
    <n v="95329.65"/>
    <n v="637"/>
    <n v="1622"/>
    <s v="20-30"/>
    <x v="1"/>
  </r>
  <r>
    <s v="https://suumo.jp/chintai/jnc_000104491585/?bc=100486103040"/>
    <s v="ルーブル新宿西落合六番館"/>
    <s v="東京都新宿区西落合２"/>
    <n v="79000"/>
    <n v="19000"/>
    <m/>
    <m/>
    <n v="4"/>
    <x v="2"/>
    <n v="20.25"/>
    <n v="21"/>
    <x v="7"/>
    <s v="新井薬師前駅"/>
    <n v="6"/>
    <n v="15.33"/>
    <n v="123574.88"/>
    <n v="95329.65"/>
    <n v="637"/>
    <n v="1622"/>
    <s v="20-30"/>
    <x v="1"/>
  </r>
  <r>
    <s v="https://suumo.jp/chintai/jnc_000104076678/?bc=100483344567"/>
    <s v="レインボー上高田"/>
    <s v="東京都中野区上高田２"/>
    <n v="164000"/>
    <n v="4000"/>
    <n v="164000"/>
    <m/>
    <n v="3"/>
    <x v="2"/>
    <n v="45.6"/>
    <n v="20"/>
    <x v="4"/>
    <s v="新井薬師前駅"/>
    <n v="9"/>
    <n v="14.67"/>
    <n v="123574.88"/>
    <n v="95329.65"/>
    <n v="637"/>
    <n v="1622"/>
    <s v="40-50"/>
    <x v="7"/>
  </r>
  <r>
    <s v="https://suumo.jp/chintai/jnc_000104076678/?bc=100483344567"/>
    <s v="レインボー上高田"/>
    <s v="東京都中野区上高田２"/>
    <n v="164000"/>
    <n v="4000"/>
    <n v="164000"/>
    <m/>
    <n v="4"/>
    <x v="2"/>
    <n v="45.6"/>
    <n v="20"/>
    <x v="4"/>
    <s v="新井薬師前駅"/>
    <n v="9"/>
    <n v="14.67"/>
    <n v="123574.88"/>
    <n v="95329.65"/>
    <n v="637"/>
    <n v="1622"/>
    <s v="40-50"/>
    <x v="7"/>
  </r>
  <r>
    <s v="https://suumo.jp/chintai/jnc_000104357205/?bc=100485013577"/>
    <s v="レジデンスK3"/>
    <s v="東京都中野区上高田３"/>
    <n v="90000"/>
    <n v="3000"/>
    <n v="90000"/>
    <n v="90000"/>
    <n v="2"/>
    <x v="2"/>
    <n v="24"/>
    <n v="19"/>
    <x v="2"/>
    <s v="新井薬師前駅"/>
    <n v="9"/>
    <n v="10.33"/>
    <n v="123574.88"/>
    <n v="95329.65"/>
    <n v="637"/>
    <n v="1622"/>
    <s v="20-30"/>
    <x v="7"/>
  </r>
  <r>
    <s v="https://suumo.jp/chintai/jnc_000103658333/?bc=100480900141"/>
    <s v="ヴィラ三條"/>
    <s v="東京都中野区上高田２"/>
    <n v="80000"/>
    <m/>
    <n v="80000"/>
    <n v="80000"/>
    <n v="2"/>
    <x v="2"/>
    <n v="23"/>
    <n v="57"/>
    <x v="0"/>
    <s v="新井薬師前駅"/>
    <n v="8"/>
    <n v="13"/>
    <n v="123574.88"/>
    <n v="95329.65"/>
    <n v="637"/>
    <n v="1622"/>
    <s v="20-30"/>
    <x v="5"/>
  </r>
  <r>
    <s v="https://suumo.jp/chintai/jnc_000101898268/?bc=100475774488"/>
    <s v="ヴェルデリア中野"/>
    <s v="東京都中野区新井５"/>
    <n v="66000"/>
    <n v="5000"/>
    <n v="66000"/>
    <n v="66000"/>
    <n v="1"/>
    <x v="2"/>
    <n v="16.559999999999999"/>
    <n v="6"/>
    <x v="2"/>
    <s v="新井薬師前駅"/>
    <n v="4"/>
    <n v="9"/>
    <n v="123574.88"/>
    <n v="95329.65"/>
    <n v="637"/>
    <n v="1622"/>
    <s v="10-20"/>
    <x v="0"/>
  </r>
  <r>
    <s v="https://suumo.jp/chintai/jnc_000103118215/?bc=100484083046"/>
    <s v="新井ハイツ"/>
    <s v="東京都中野区新井２"/>
    <n v="55000"/>
    <n v="2000"/>
    <n v="55000"/>
    <n v="27500"/>
    <n v="1"/>
    <x v="2"/>
    <n v="18.239999999999998"/>
    <n v="38"/>
    <x v="0"/>
    <s v="新井薬師前駅"/>
    <n v="9"/>
    <n v="10.67"/>
    <n v="123574.88"/>
    <n v="95329.65"/>
    <n v="637"/>
    <n v="1622"/>
    <s v="10-20"/>
    <x v="4"/>
  </r>
  <r>
    <s v="https://suumo.jp/chintai/jnc_000103649654/?bc=100484147010"/>
    <s v="東京メトロ東西線 中野駅 2階建 築57年"/>
    <s v="東京都中野区上高田２"/>
    <n v="80000"/>
    <m/>
    <n v="80000"/>
    <n v="80000"/>
    <n v="2"/>
    <x v="2"/>
    <n v="24.75"/>
    <n v="57"/>
    <x v="0"/>
    <s v="新井薬師前駅"/>
    <n v="7"/>
    <n v="11.33"/>
    <n v="123574.88"/>
    <n v="95329.65"/>
    <n v="637"/>
    <n v="1622"/>
    <s v="20-30"/>
    <x v="5"/>
  </r>
  <r>
    <s v="https://suumo.jp/chintai/jnc_000104055248/?bc=100482673901"/>
    <s v="松島ビル"/>
    <s v="東京都中野区松が丘１"/>
    <n v="58000"/>
    <m/>
    <n v="58000"/>
    <n v="58000"/>
    <n v="3"/>
    <x v="2"/>
    <n v="18"/>
    <n v="39"/>
    <x v="4"/>
    <s v="新井薬師前駅"/>
    <n v="6"/>
    <n v="14.67"/>
    <n v="123574.88"/>
    <n v="95329.65"/>
    <n v="637"/>
    <n v="1622"/>
    <s v="10-20"/>
    <x v="4"/>
  </r>
  <r>
    <s v="https://suumo.jp/chintai/jnc_000104202919/?bc=100483742241"/>
    <s v="瀬谷ビル"/>
    <s v="東京都中野区上高田５"/>
    <n v="55000"/>
    <m/>
    <m/>
    <m/>
    <n v="2"/>
    <x v="2"/>
    <n v="18"/>
    <n v="32"/>
    <x v="4"/>
    <s v="新井薬師前駅"/>
    <n v="3"/>
    <n v="11.67"/>
    <n v="123574.88"/>
    <n v="95329.65"/>
    <n v="637"/>
    <n v="1622"/>
    <s v="10-20"/>
    <x v="4"/>
  </r>
  <r>
    <s v="https://suumo.jp/chintai/jnc_000103536685/?bc=100478462736"/>
    <s v="石井マンションＡ"/>
    <s v="東京都中野区松が丘１"/>
    <n v="63000"/>
    <m/>
    <m/>
    <m/>
    <n v="3"/>
    <x v="2"/>
    <n v="20"/>
    <n v="54"/>
    <x v="7"/>
    <s v="新井薬師前駅"/>
    <n v="4"/>
    <n v="15"/>
    <n v="123574.88"/>
    <n v="95329.65"/>
    <n v="637"/>
    <n v="1622"/>
    <s v="20-30"/>
    <x v="5"/>
  </r>
  <r>
    <s v="https://suumo.jp/chintai/jnc_000089451041/?bc=100448310126"/>
    <s v="竹内ハウス"/>
    <s v="東京都中野区上高田３"/>
    <n v="49000"/>
    <m/>
    <m/>
    <m/>
    <n v="1"/>
    <x v="2"/>
    <n v="18.2"/>
    <n v="46"/>
    <x v="0"/>
    <s v="新井薬師前駅"/>
    <n v="5"/>
    <n v="13.67"/>
    <n v="123574.88"/>
    <n v="95329.65"/>
    <n v="637"/>
    <n v="1622"/>
    <s v="10-20"/>
    <x v="3"/>
  </r>
  <r>
    <s v="https://suumo.jp/chintai/jnc_000104433307/?bc=100465229336"/>
    <s v="第二マンション樹"/>
    <s v="東京都中野区上高田５"/>
    <n v="56000"/>
    <m/>
    <n v="56000"/>
    <n v="56000"/>
    <n v="3"/>
    <x v="2"/>
    <n v="18"/>
    <n v="48"/>
    <x v="2"/>
    <s v="新井薬師前駅"/>
    <n v="6"/>
    <n v="13.67"/>
    <n v="123574.88"/>
    <n v="95329.65"/>
    <n v="637"/>
    <n v="1622"/>
    <s v="10-20"/>
    <x v="3"/>
  </r>
  <r>
    <s v="https://suumo.jp/chintai/jnc_000101977516/?bc=100485285072"/>
    <s v="第二マンション樹"/>
    <s v="東京都中野区上高田５"/>
    <n v="58000"/>
    <m/>
    <n v="58000"/>
    <n v="58000"/>
    <n v="3"/>
    <x v="2"/>
    <n v="18"/>
    <n v="48"/>
    <x v="2"/>
    <s v="新井薬師前駅"/>
    <n v="6"/>
    <n v="13.67"/>
    <n v="123574.88"/>
    <n v="95329.65"/>
    <n v="637"/>
    <n v="1622"/>
    <s v="10-20"/>
    <x v="3"/>
  </r>
  <r>
    <s v="https://suumo.jp/chintai/jnc_000104326785/?bc=100484786471"/>
    <s v="第八さかえビル"/>
    <s v="東京都中野区新井５"/>
    <n v="88000"/>
    <m/>
    <n v="88000"/>
    <n v="88000"/>
    <n v="3"/>
    <x v="2"/>
    <n v="25.8"/>
    <n v="23"/>
    <x v="4"/>
    <s v="新井薬師前駅"/>
    <n v="2"/>
    <n v="9.33"/>
    <n v="123574.88"/>
    <n v="95329.65"/>
    <n v="637"/>
    <n v="1622"/>
    <s v="20-30"/>
    <x v="1"/>
  </r>
  <r>
    <s v="https://suumo.jp/chintai/jnc_000104417247/?bc=100485551361"/>
    <s v="薬師パレスマンション"/>
    <s v="東京都中野区上高田３"/>
    <n v="62000"/>
    <n v="3000"/>
    <n v="62000"/>
    <m/>
    <n v="3"/>
    <x v="2"/>
    <n v="22.2"/>
    <n v="49"/>
    <x v="7"/>
    <s v="新井薬師前駅"/>
    <n v="3"/>
    <n v="14"/>
    <n v="123574.88"/>
    <n v="95329.65"/>
    <n v="637"/>
    <n v="1622"/>
    <s v="20-30"/>
    <x v="3"/>
  </r>
  <r>
    <s v="https://suumo.jp/chintai/jnc_000103947694/?bc=100481794055"/>
    <s v="西武新宿線 新井薬師前駅 2階建 築16年"/>
    <s v="東京都中野区新井４"/>
    <n v="95000"/>
    <n v="4000"/>
    <n v="95000"/>
    <n v="95000"/>
    <n v="1"/>
    <x v="2"/>
    <n v="28.62"/>
    <n v="16"/>
    <x v="0"/>
    <s v="新井薬師前駅"/>
    <n v="5"/>
    <n v="9"/>
    <n v="123574.88"/>
    <n v="95329.65"/>
    <n v="637"/>
    <n v="1622"/>
    <s v="20-30"/>
    <x v="7"/>
  </r>
  <r>
    <s v="https://suumo.jp/chintai/jnc_000104003974/?bc=100482173246"/>
    <s v="西武新宿線 新井薬師前駅 2階建 築18年"/>
    <s v="東京都中野区上高田５"/>
    <n v="83000"/>
    <n v="3000"/>
    <n v="83000"/>
    <n v="83000"/>
    <n v="2"/>
    <x v="2"/>
    <n v="22.97"/>
    <n v="18"/>
    <x v="0"/>
    <s v="新井薬師前駅"/>
    <n v="2"/>
    <n v="14.67"/>
    <n v="123574.88"/>
    <n v="95329.65"/>
    <n v="637"/>
    <n v="1622"/>
    <s v="20-30"/>
    <x v="7"/>
  </r>
  <r>
    <s v="https://suumo.jp/chintai/jnc_000073391983/?bc=100486443604"/>
    <s v="西武新宿線 新井薬師前駅 2階建 築23年"/>
    <s v="東京都中野区江古田１"/>
    <n v="60000"/>
    <m/>
    <n v="60000"/>
    <n v="60000"/>
    <n v="1"/>
    <x v="2"/>
    <n v="17"/>
    <n v="23"/>
    <x v="0"/>
    <s v="新井薬師前駅"/>
    <n v="13"/>
    <n v="14.67"/>
    <n v="123574.88"/>
    <n v="95329.65"/>
    <n v="637"/>
    <n v="1622"/>
    <s v="10-20"/>
    <x v="1"/>
  </r>
  <r>
    <s v="https://suumo.jp/chintai/jnc_000101104297/?bc=100478796739"/>
    <s v="西武新宿線 新井薬師前駅 2階建 築35年"/>
    <s v="東京都新宿区西落合２"/>
    <n v="65000"/>
    <n v="1000"/>
    <n v="65000"/>
    <n v="65000"/>
    <n v="2"/>
    <x v="2"/>
    <n v="21"/>
    <n v="35"/>
    <x v="0"/>
    <s v="新井薬師前駅"/>
    <n v="8"/>
    <n v="12.67"/>
    <n v="123574.88"/>
    <n v="95329.65"/>
    <n v="637"/>
    <n v="1622"/>
    <s v="20-30"/>
    <x v="4"/>
  </r>
  <r>
    <s v="https://suumo.jp/chintai/jnc_000101809562/?bc=100483965046"/>
    <s v="西武新宿線 新井薬師前駅 2階建 築46年"/>
    <s v="東京都中野区上高田２"/>
    <n v="65000"/>
    <n v="3000"/>
    <n v="65000"/>
    <n v="65000"/>
    <n v="1"/>
    <x v="2"/>
    <n v="19"/>
    <n v="46"/>
    <x v="0"/>
    <s v="新井薬師前駅"/>
    <n v="6"/>
    <n v="14"/>
    <n v="123574.88"/>
    <n v="95329.65"/>
    <n v="637"/>
    <n v="1622"/>
    <s v="10-20"/>
    <x v="3"/>
  </r>
  <r>
    <s v="https://suumo.jp/chintai/jnc_000103060656/?bc=100475731065"/>
    <s v="西武新宿線 新井薬師前駅 2階建 築46年"/>
    <s v="東京都中野区上高田２"/>
    <n v="70000"/>
    <m/>
    <n v="70000"/>
    <m/>
    <n v="2"/>
    <x v="2"/>
    <n v="19"/>
    <n v="46"/>
    <x v="0"/>
    <s v="新井薬師前駅"/>
    <n v="10"/>
    <n v="14.33"/>
    <n v="123574.88"/>
    <n v="95329.65"/>
    <n v="637"/>
    <n v="1622"/>
    <s v="10-20"/>
    <x v="3"/>
  </r>
  <r>
    <s v="https://suumo.jp/chintai/jnc_000102177504/?bc=100473970267"/>
    <s v="西武新宿線 新井薬師前駅 2階建 築55年"/>
    <s v="東京都中野区松が丘２"/>
    <n v="62000"/>
    <n v="5000"/>
    <m/>
    <m/>
    <n v="2"/>
    <x v="2"/>
    <n v="17.399999999999999"/>
    <n v="55"/>
    <x v="0"/>
    <s v="新井薬師前駅"/>
    <n v="9"/>
    <n v="13"/>
    <n v="123574.88"/>
    <n v="95329.65"/>
    <n v="637"/>
    <n v="1622"/>
    <s v="10-20"/>
    <x v="5"/>
  </r>
  <r>
    <s v="https://suumo.jp/chintai/jnc_000102998269/?bc=100473970264"/>
    <s v="西武新宿線 新井薬師前駅 2階建 築59年"/>
    <s v="東京都中野区上高田５"/>
    <n v="55000"/>
    <n v="2000"/>
    <n v="55000"/>
    <n v="55000"/>
    <n v="1"/>
    <x v="2"/>
    <n v="18"/>
    <n v="59"/>
    <x v="0"/>
    <s v="新井薬師前駅"/>
    <n v="2"/>
    <n v="12.67"/>
    <n v="123574.88"/>
    <n v="95329.65"/>
    <n v="637"/>
    <n v="1622"/>
    <s v="10-20"/>
    <x v="5"/>
  </r>
  <r>
    <s v="https://suumo.jp/chintai/jnc_000104459180/?bc=100486152679"/>
    <s v="西武新宿線 新井薬師前駅 3階建 築10年"/>
    <s v="東京都中野区上高田１"/>
    <n v="83000"/>
    <n v="9000"/>
    <n v="83000"/>
    <n v="83000"/>
    <n v="1"/>
    <x v="2"/>
    <n v="21.72"/>
    <n v="10"/>
    <x v="2"/>
    <s v="新井薬師前駅"/>
    <n v="11"/>
    <n v="12"/>
    <n v="123574.88"/>
    <n v="95329.65"/>
    <n v="637"/>
    <n v="1622"/>
    <s v="20-30"/>
    <x v="0"/>
  </r>
  <r>
    <s v="https://suumo.jp/chintai/jnc_000103685959/?bc=100480184035"/>
    <s v="西武新宿線 新井薬師前駅 3階建 築17年"/>
    <s v="東京都中野区新井５"/>
    <n v="85000"/>
    <m/>
    <m/>
    <m/>
    <n v="1"/>
    <x v="2"/>
    <n v="23.18"/>
    <n v="17"/>
    <x v="2"/>
    <s v="新井薬師前駅"/>
    <n v="4"/>
    <n v="4"/>
    <n v="123574.88"/>
    <n v="95329.65"/>
    <n v="637"/>
    <n v="1622"/>
    <s v="20-30"/>
    <x v="7"/>
  </r>
  <r>
    <s v="https://suumo.jp/chintai/jnc_000102701391/?bc=100477951075"/>
    <s v="西武新宿線 新井薬師前駅 3階建 築21年"/>
    <s v="東京都中野区上高田３"/>
    <n v="74000"/>
    <n v="4000"/>
    <n v="74000"/>
    <n v="74000"/>
    <n v="1"/>
    <x v="2"/>
    <n v="18.420000000000002"/>
    <n v="21"/>
    <x v="2"/>
    <s v="新井薬師前駅"/>
    <n v="5"/>
    <n v="11.67"/>
    <n v="123574.88"/>
    <n v="95329.65"/>
    <n v="637"/>
    <n v="1622"/>
    <s v="10-20"/>
    <x v="1"/>
  </r>
  <r>
    <s v="https://suumo.jp/chintai/jnc_000104473679/?bc=100485947200"/>
    <s v="西武新宿線 新井薬師前駅 3階建 築24年"/>
    <s v="東京都新宿区西落合２"/>
    <n v="98000"/>
    <n v="5000"/>
    <n v="98000"/>
    <n v="98000"/>
    <n v="3"/>
    <x v="2"/>
    <n v="31.49"/>
    <n v="24"/>
    <x v="2"/>
    <s v="新井薬師前駅"/>
    <n v="4"/>
    <n v="10.33"/>
    <n v="123574.88"/>
    <n v="95329.65"/>
    <n v="637"/>
    <n v="1622"/>
    <s v="30-40"/>
    <x v="1"/>
  </r>
  <r>
    <s v="https://suumo.jp/chintai/jnc_000104335137/?bc=100484806448"/>
    <s v="西武新宿線 新井薬師前駅 3階建 築2年"/>
    <s v="東京都中野区松が丘２"/>
    <n v="83000"/>
    <n v="3000"/>
    <m/>
    <m/>
    <n v="1"/>
    <x v="2"/>
    <n v="20.12"/>
    <n v="2"/>
    <x v="2"/>
    <s v="新井薬師前駅"/>
    <n v="10"/>
    <n v="13"/>
    <n v="123574.88"/>
    <n v="95329.65"/>
    <n v="637"/>
    <n v="1622"/>
    <s v="20-30"/>
    <x v="0"/>
  </r>
  <r>
    <s v="https://suumo.jp/chintai/jnc_000104304058/?bc=100484694829"/>
    <s v="西武新宿線 新井薬師前駅 3階建 築2年"/>
    <s v="東京都中野区松が丘２"/>
    <n v="80000"/>
    <n v="3000"/>
    <m/>
    <m/>
    <n v="1"/>
    <x v="2"/>
    <n v="20.12"/>
    <n v="2"/>
    <x v="2"/>
    <s v="新井薬師前駅"/>
    <n v="10"/>
    <n v="13"/>
    <n v="123574.88"/>
    <n v="95329.65"/>
    <n v="637"/>
    <n v="1622"/>
    <s v="20-30"/>
    <x v="0"/>
  </r>
  <r>
    <s v="https://suumo.jp/chintai/jnc_000103730509/?bc=100480184006"/>
    <s v="西武新宿線 新井薬師前駅 3階建 築2年"/>
    <s v="東京都中野区松が丘１"/>
    <n v="97500"/>
    <n v="4600"/>
    <m/>
    <n v="195000"/>
    <n v="2"/>
    <x v="2"/>
    <n v="23.34"/>
    <n v="2"/>
    <x v="2"/>
    <s v="新井薬師前駅"/>
    <n v="4"/>
    <n v="12"/>
    <n v="123574.88"/>
    <n v="95329.65"/>
    <n v="637"/>
    <n v="1622"/>
    <s v="20-30"/>
    <x v="0"/>
  </r>
  <r>
    <s v="https://suumo.jp/chintai/jnc_000104280476/?bc=100484588914"/>
    <s v="西武新宿線 新井薬師前駅 3階建 築2年"/>
    <s v="東京都中野区松が丘１"/>
    <n v="102000"/>
    <n v="4600"/>
    <m/>
    <n v="204000"/>
    <n v="2"/>
    <x v="2"/>
    <n v="26.69"/>
    <n v="2"/>
    <x v="2"/>
    <s v="新井薬師前駅"/>
    <n v="4"/>
    <n v="12"/>
    <n v="123574.88"/>
    <n v="95329.65"/>
    <n v="637"/>
    <n v="1622"/>
    <s v="20-30"/>
    <x v="0"/>
  </r>
  <r>
    <s v="https://suumo.jp/chintai/jnc_000102169507/?bc=100477308920"/>
    <s v="西武新宿線 新井薬師前駅 3階建 築3年"/>
    <s v="東京都中野区新井５"/>
    <n v="86000"/>
    <n v="3100"/>
    <n v="86000"/>
    <n v="86000"/>
    <n v="2"/>
    <x v="2"/>
    <n v="25.54"/>
    <n v="3"/>
    <x v="2"/>
    <s v="新井薬師前駅"/>
    <n v="5"/>
    <n v="10.33"/>
    <n v="123574.88"/>
    <n v="95329.65"/>
    <n v="637"/>
    <n v="1622"/>
    <s v="20-30"/>
    <x v="0"/>
  </r>
  <r>
    <s v="https://suumo.jp/chintai/jnc_000104510085/?bc=100486177929"/>
    <s v="西武新宿線 新井薬師前駅 3階建 築9年"/>
    <s v="東京都中野区上高田５"/>
    <n v="105000"/>
    <n v="15000"/>
    <n v="105000"/>
    <n v="105000"/>
    <n v="2"/>
    <x v="2"/>
    <n v="25.71"/>
    <n v="9"/>
    <x v="2"/>
    <s v="新井薬師前駅"/>
    <n v="6"/>
    <n v="15.33"/>
    <n v="123574.88"/>
    <n v="95329.65"/>
    <n v="637"/>
    <n v="1622"/>
    <s v="20-30"/>
    <x v="0"/>
  </r>
  <r>
    <s v="https://suumo.jp/chintai/jnc_000103809271/?bc=100480727427"/>
    <s v="西武新宿線 新井薬師前駅 3階建 築9年"/>
    <s v="東京都中野区上高田５"/>
    <n v="102000"/>
    <n v="15000"/>
    <n v="102000"/>
    <n v="102000"/>
    <n v="3"/>
    <x v="2"/>
    <n v="25.71"/>
    <n v="9"/>
    <x v="2"/>
    <s v="新井薬師前駅"/>
    <n v="6"/>
    <n v="15.33"/>
    <n v="123574.88"/>
    <n v="95329.65"/>
    <n v="637"/>
    <n v="1622"/>
    <s v="20-30"/>
    <x v="0"/>
  </r>
  <r>
    <s v="https://suumo.jp/chintai/jnc_000101063097/?bc=100483092794"/>
    <s v="西武新宿線 新井薬師前駅 4階建 築20年"/>
    <s v="東京都中野区上高田２"/>
    <n v="69000"/>
    <m/>
    <n v="69000"/>
    <m/>
    <n v="1"/>
    <x v="2"/>
    <n v="17.399999999999999"/>
    <n v="20"/>
    <x v="4"/>
    <s v="新井薬師前駅"/>
    <n v="8"/>
    <n v="14"/>
    <n v="123574.88"/>
    <n v="95329.65"/>
    <n v="637"/>
    <n v="1622"/>
    <s v="10-20"/>
    <x v="7"/>
  </r>
  <r>
    <s v="https://suumo.jp/chintai/jnc_000102063295/?bc=100473972157"/>
    <s v="西武新宿線 新井薬師前駅 4階建 築2年"/>
    <s v="東京都中野区松が丘１"/>
    <n v="117000"/>
    <n v="10000"/>
    <n v="117000"/>
    <m/>
    <n v="2"/>
    <x v="2"/>
    <n v="25.6"/>
    <n v="2"/>
    <x v="4"/>
    <s v="新井薬師前駅"/>
    <n v="3"/>
    <n v="12"/>
    <n v="123574.88"/>
    <n v="95329.65"/>
    <n v="637"/>
    <n v="1622"/>
    <s v="20-30"/>
    <x v="0"/>
  </r>
  <r>
    <s v="https://suumo.jp/chintai/jnc_000102417579/?bc=100478750355"/>
    <s v="西武新宿線 新井薬師前駅 4階建 築3年"/>
    <s v="東京都中野区新井５"/>
    <n v="119000"/>
    <n v="8000"/>
    <m/>
    <m/>
    <n v="2"/>
    <x v="2"/>
    <n v="25.3"/>
    <n v="3"/>
    <x v="4"/>
    <s v="新井薬師前駅"/>
    <n v="5"/>
    <n v="10.33"/>
    <n v="123574.88"/>
    <n v="95329.65"/>
    <n v="637"/>
    <n v="1622"/>
    <s v="20-30"/>
    <x v="0"/>
  </r>
  <r>
    <s v="https://suumo.jp/chintai/jnc_000102998266/?bc=100478489279"/>
    <s v="西武新宿線 新井薬師前駅 4階建 築4年"/>
    <s v="東京都中野区上高田４"/>
    <n v="105000"/>
    <n v="5000"/>
    <n v="52500"/>
    <n v="105000"/>
    <n v="2"/>
    <x v="2"/>
    <n v="29.06"/>
    <n v="4"/>
    <x v="4"/>
    <s v="新井薬師前駅"/>
    <n v="5"/>
    <n v="13.67"/>
    <n v="123574.88"/>
    <n v="95329.65"/>
    <n v="637"/>
    <n v="1622"/>
    <s v="20-30"/>
    <x v="0"/>
  </r>
  <r>
    <s v="https://suumo.jp/chintai/jnc_000103465741/?bc=100483269996"/>
    <s v="西武新宿線 新井薬師前駅 4階建 築4年"/>
    <s v="東京都中野区上高田４"/>
    <n v="105000"/>
    <n v="5000"/>
    <n v="52500"/>
    <n v="105000"/>
    <n v="3"/>
    <x v="2"/>
    <n v="29.39"/>
    <n v="4"/>
    <x v="4"/>
    <s v="新井薬師前駅"/>
    <n v="5"/>
    <n v="13.67"/>
    <n v="123574.88"/>
    <n v="95329.65"/>
    <n v="637"/>
    <n v="1622"/>
    <s v="20-30"/>
    <x v="0"/>
  </r>
  <r>
    <s v="https://suumo.jp/chintai/jnc_000104055231/?bc=100483271984"/>
    <s v="西武新宿線 新井薬師前駅 4階建 築6年"/>
    <s v="東京都中野区上高田３"/>
    <n v="109000"/>
    <n v="9000"/>
    <m/>
    <n v="109000"/>
    <n v="2"/>
    <x v="2"/>
    <n v="25.91"/>
    <n v="6"/>
    <x v="4"/>
    <s v="新井薬師前駅"/>
    <n v="6"/>
    <n v="9.33"/>
    <n v="123574.88"/>
    <n v="95329.65"/>
    <n v="637"/>
    <n v="1622"/>
    <s v="20-30"/>
    <x v="0"/>
  </r>
  <r>
    <s v="https://suumo.jp/chintai/jnc_000104357204/?bc=100485007682"/>
    <s v="西武新宿線 新井薬師前駅 4階建 築6年"/>
    <s v="東京都中野区上高田３"/>
    <n v="109000"/>
    <n v="9000"/>
    <m/>
    <n v="109000"/>
    <n v="3"/>
    <x v="2"/>
    <n v="25.91"/>
    <n v="6"/>
    <x v="4"/>
    <s v="新井薬師前駅"/>
    <n v="6"/>
    <n v="9.33"/>
    <n v="123574.88"/>
    <n v="95329.65"/>
    <n v="637"/>
    <n v="1622"/>
    <s v="20-30"/>
    <x v="0"/>
  </r>
  <r>
    <s v="https://suumo.jp/chintai/jnc_000104054970/?bc=100471111813"/>
    <s v="西武新宿線 新井薬師前駅 5階建 築21年"/>
    <s v="東京都新宿区西落合２"/>
    <n v="78000"/>
    <n v="12000"/>
    <m/>
    <n v="78000"/>
    <n v="1"/>
    <x v="2"/>
    <n v="20.25"/>
    <n v="21"/>
    <x v="7"/>
    <s v="新井薬師前駅"/>
    <n v="6"/>
    <n v="11"/>
    <n v="123574.88"/>
    <n v="95329.65"/>
    <n v="637"/>
    <n v="1622"/>
    <s v="20-30"/>
    <x v="1"/>
  </r>
  <r>
    <s v="https://suumo.jp/chintai/jnc_000104192472/?bc=100381196862"/>
    <s v="西武新宿線 新井薬師前駅 5階建 築5年"/>
    <s v="東京都中野区松が丘２"/>
    <n v="112300"/>
    <n v="10700"/>
    <n v="112300"/>
    <n v="112300"/>
    <n v="4"/>
    <x v="2"/>
    <n v="29.41"/>
    <n v="5"/>
    <x v="7"/>
    <s v="新井薬師前駅"/>
    <n v="10"/>
    <n v="16.329999999999998"/>
    <n v="123574.88"/>
    <n v="95329.65"/>
    <n v="637"/>
    <n v="1622"/>
    <s v="20-30"/>
    <x v="0"/>
  </r>
  <r>
    <s v="https://suumo.jp/chintai/jnc_000104010571/?bc=100482351564"/>
    <s v="西武新宿線 新井薬師前駅 5階建 築61年"/>
    <s v="東京都中野区上高田４"/>
    <n v="63000"/>
    <n v="3000"/>
    <m/>
    <m/>
    <n v="2"/>
    <x v="2"/>
    <n v="22.05"/>
    <n v="61"/>
    <x v="7"/>
    <s v="新井薬師前駅"/>
    <n v="4"/>
    <n v="11.67"/>
    <n v="123574.88"/>
    <n v="95329.65"/>
    <n v="637"/>
    <n v="1622"/>
    <s v="20-30"/>
    <x v="2"/>
  </r>
  <r>
    <s v="https://suumo.jp/chintai/jnc_000103248935/?bc=100474347642"/>
    <s v="西武新宿線 新井薬師前駅 6階建 築17年"/>
    <s v="東京都中野区新井４"/>
    <n v="87000"/>
    <m/>
    <m/>
    <n v="87000"/>
    <n v="2"/>
    <x v="2"/>
    <n v="20.329999999999998"/>
    <n v="17"/>
    <x v="5"/>
    <s v="新井薬師前駅"/>
    <n v="8"/>
    <n v="17"/>
    <n v="123574.88"/>
    <n v="95329.65"/>
    <n v="637"/>
    <n v="1622"/>
    <s v="20-30"/>
    <x v="7"/>
  </r>
  <r>
    <s v="https://suumo.jp/chintai/jnc_000103913709/?bc=100481950434"/>
    <s v="西武新宿線 新井薬師前駅 6階建 築20年"/>
    <s v="東京都中野区新井１"/>
    <n v="87000"/>
    <n v="7000"/>
    <n v="87000"/>
    <n v="87000"/>
    <n v="3"/>
    <x v="2"/>
    <n v="23.24"/>
    <n v="20"/>
    <x v="5"/>
    <s v="新井薬師前駅"/>
    <n v="9"/>
    <n v="10.33"/>
    <n v="123574.88"/>
    <n v="95329.65"/>
    <n v="637"/>
    <n v="1622"/>
    <s v="20-30"/>
    <x v="7"/>
  </r>
  <r>
    <s v="https://suumo.jp/chintai/jnc_000100483365/?bc=100474561814"/>
    <s v="西武新宿線 新井薬師前駅 7階建 築22年"/>
    <s v="東京都中野区新井１"/>
    <n v="92000"/>
    <n v="10000"/>
    <m/>
    <n v="92000"/>
    <n v="1"/>
    <x v="2"/>
    <n v="27.89"/>
    <n v="22"/>
    <x v="10"/>
    <s v="新井薬師前駅"/>
    <n v="8"/>
    <n v="10.33"/>
    <n v="123574.88"/>
    <n v="95329.65"/>
    <n v="637"/>
    <n v="1622"/>
    <s v="20-30"/>
    <x v="1"/>
  </r>
  <r>
    <s v="https://suumo.jp/chintai/jnc_000102213032/?bc=100480384292"/>
    <s v="西武新宿線 新井薬師前駅 7階建 築22年"/>
    <s v="東京都中野区新井１"/>
    <n v="90000"/>
    <n v="5000"/>
    <m/>
    <n v="90000"/>
    <n v="5"/>
    <x v="2"/>
    <n v="20.95"/>
    <n v="22"/>
    <x v="10"/>
    <s v="新井薬師前駅"/>
    <n v="8"/>
    <n v="10.33"/>
    <n v="123574.88"/>
    <n v="95329.65"/>
    <n v="637"/>
    <n v="1622"/>
    <s v="20-30"/>
    <x v="1"/>
  </r>
  <r>
    <s v="https://suumo.jp/chintai/jnc_000103420713/?bc=100480750902"/>
    <s v="西武新宿線 新井薬師前駅 7階建 築26年"/>
    <s v="東京都中野区松が丘１"/>
    <n v="87000"/>
    <n v="5000"/>
    <m/>
    <n v="87000"/>
    <n v="4"/>
    <x v="2"/>
    <n v="19.95"/>
    <n v="26"/>
    <x v="10"/>
    <s v="新井薬師前駅"/>
    <n v="8"/>
    <n v="14.67"/>
    <n v="123574.88"/>
    <n v="95329.65"/>
    <n v="637"/>
    <n v="1622"/>
    <s v="10-20"/>
    <x v="1"/>
  </r>
  <r>
    <s v="https://suumo.jp/chintai/jnc_000104464987/?bc=100485992444"/>
    <s v="西武新宿線 新井薬師前駅 8階建 築15年"/>
    <s v="東京都中野区松が丘２"/>
    <n v="81000"/>
    <n v="8000"/>
    <m/>
    <n v="81000"/>
    <n v="1"/>
    <x v="2"/>
    <n v="21"/>
    <n v="15"/>
    <x v="9"/>
    <s v="新井薬師前駅"/>
    <n v="8"/>
    <n v="13.33"/>
    <n v="123574.88"/>
    <n v="95329.65"/>
    <n v="637"/>
    <n v="1622"/>
    <s v="20-30"/>
    <x v="7"/>
  </r>
  <r>
    <s v="https://suumo.jp/chintai/jnc_000103771457/?bc=100480814837"/>
    <s v="西武新宿線 新井薬師前駅 8階建 築17年"/>
    <s v="東京都中野区松が丘２"/>
    <n v="97000"/>
    <n v="10000"/>
    <n v="97000"/>
    <n v="97000"/>
    <n v="1"/>
    <x v="2"/>
    <n v="27.26"/>
    <n v="17"/>
    <x v="9"/>
    <s v="新井薬師前駅"/>
    <n v="10"/>
    <n v="17"/>
    <n v="123574.88"/>
    <n v="95329.65"/>
    <n v="637"/>
    <n v="1622"/>
    <s v="20-30"/>
    <x v="7"/>
  </r>
  <r>
    <s v="https://suumo.jp/chintai/jnc_000103223547/?bc=100481490229"/>
    <s v="西武新宿線 新井薬師前駅 8階建 築17年"/>
    <s v="東京都中野区松が丘２"/>
    <n v="97000"/>
    <n v="10000"/>
    <n v="97000"/>
    <n v="97000"/>
    <n v="8"/>
    <x v="2"/>
    <n v="22.87"/>
    <n v="17"/>
    <x v="9"/>
    <s v="新井薬師前駅"/>
    <n v="10"/>
    <n v="17"/>
    <n v="123574.88"/>
    <n v="95329.65"/>
    <n v="637"/>
    <n v="1622"/>
    <s v="20-30"/>
    <x v="7"/>
  </r>
  <r>
    <s v="https://suumo.jp/chintai/jnc_000103150920/?bc=100483772915"/>
    <s v="西武新宿線 新井薬師前駅 地下1地上3階建 築11年"/>
    <s v="東京都中野区上高田３"/>
    <n v="98000"/>
    <n v="7000"/>
    <n v="98000"/>
    <n v="98000"/>
    <n v="-1"/>
    <x v="2"/>
    <n v="21.07"/>
    <n v="11"/>
    <x v="4"/>
    <s v="新井薬師前駅"/>
    <n v="4"/>
    <n v="12.33"/>
    <n v="123574.88"/>
    <n v="95329.65"/>
    <n v="637"/>
    <n v="1622"/>
    <s v="20-30"/>
    <x v="7"/>
  </r>
  <r>
    <s v="https://suumo.jp/chintai/jnc_000104229969/?bc=100484004454"/>
    <s v="西武新宿線 新井薬師前駅 地下1地上3階建 築19年"/>
    <s v="東京都中野区新井５"/>
    <n v="86000"/>
    <n v="3000"/>
    <n v="86000"/>
    <n v="86000"/>
    <n v="3"/>
    <x v="2"/>
    <n v="24.09"/>
    <n v="19"/>
    <x v="4"/>
    <s v="新井薬師前駅"/>
    <n v="4"/>
    <n v="10"/>
    <n v="123574.88"/>
    <n v="95329.65"/>
    <n v="637"/>
    <n v="1622"/>
    <s v="20-30"/>
    <x v="7"/>
  </r>
  <r>
    <s v="https://suumo.jp/chintai/jnc_000103558069/?bc=100478616544"/>
    <s v="西武新宿線 新井薬師前駅 地下1地上3階建 築5年"/>
    <s v="東京都中野区松が丘１"/>
    <n v="91000"/>
    <n v="9000"/>
    <n v="91000"/>
    <n v="91000"/>
    <n v="1"/>
    <x v="2"/>
    <n v="25.81"/>
    <n v="5"/>
    <x v="4"/>
    <s v="新井薬師前駅"/>
    <n v="3"/>
    <n v="10.33"/>
    <n v="123574.88"/>
    <n v="95329.65"/>
    <n v="637"/>
    <n v="1622"/>
    <s v="20-30"/>
    <x v="0"/>
  </r>
  <r>
    <s v="https://suumo.jp/chintai/jnc_000103084154/?bc=100480359393"/>
    <s v="西武新宿線 新井薬師前駅 地下1地上5階建 築19年"/>
    <s v="東京都中野区新井１"/>
    <n v="87000"/>
    <n v="12000"/>
    <n v="87000"/>
    <n v="87000"/>
    <n v="2"/>
    <x v="2"/>
    <n v="22.4"/>
    <n v="19"/>
    <x v="5"/>
    <s v="新井薬師前駅"/>
    <n v="8"/>
    <n v="10.67"/>
    <n v="123574.88"/>
    <n v="95329.65"/>
    <n v="637"/>
    <n v="1622"/>
    <s v="20-30"/>
    <x v="7"/>
  </r>
  <r>
    <s v="https://suumo.jp/chintai/jnc_000086846347/?bc=100459001940"/>
    <s v="鈴木ハイツ"/>
    <s v="東京都中野区上高田５"/>
    <n v="55000"/>
    <n v="2000"/>
    <n v="55000"/>
    <n v="55000"/>
    <n v="1"/>
    <x v="2"/>
    <n v="18"/>
    <n v="59"/>
    <x v="0"/>
    <s v="新井薬師前駅"/>
    <n v="2"/>
    <n v="12.67"/>
    <n v="123574.88"/>
    <n v="95329.65"/>
    <n v="637"/>
    <n v="1622"/>
    <s v="10-20"/>
    <x v="5"/>
  </r>
  <r>
    <s v="https://suumo.jp/chintai/jnc_000102396429/?bc=100478460703"/>
    <s v="Ｂｅｌｌｅ　ｌｕｍｉｅｒｅ　薬師　ベル　ルミエール薬師"/>
    <s v="東京都中野区新井１"/>
    <n v="85000"/>
    <n v="5000"/>
    <n v="85000"/>
    <n v="85000"/>
    <n v="3"/>
    <x v="2"/>
    <n v="19.8"/>
    <n v="8"/>
    <x v="2"/>
    <s v="新井薬師前駅"/>
    <n v="6"/>
    <n v="8.5"/>
    <n v="123574.88"/>
    <n v="95329.65"/>
    <n v="637"/>
    <n v="1622"/>
    <s v="10-20"/>
    <x v="0"/>
  </r>
  <r>
    <s v="https://suumo.jp/chintai/jnc_000104266145/?bc=100484584305"/>
    <s v="ＣＬＥＭＥＮＴ（クレメント）"/>
    <s v="東京都中野区松が丘１"/>
    <n v="102000"/>
    <n v="4600"/>
    <m/>
    <n v="204000"/>
    <n v="2"/>
    <x v="2"/>
    <n v="26.69"/>
    <n v="2"/>
    <x v="2"/>
    <s v="新井薬師前駅"/>
    <n v="4"/>
    <n v="12"/>
    <n v="123574.88"/>
    <n v="95329.65"/>
    <n v="637"/>
    <n v="1622"/>
    <s v="20-30"/>
    <x v="0"/>
  </r>
  <r>
    <s v="https://suumo.jp/chintai/jnc_000104454966/?bc=100485781017"/>
    <s v="ＪＲ中央線 中野駅 12階建 築5年"/>
    <s v="東京都中野区新井１"/>
    <n v="129000"/>
    <n v="10000"/>
    <n v="129000"/>
    <n v="129000"/>
    <n v="10"/>
    <x v="2"/>
    <n v="25.1"/>
    <n v="5"/>
    <x v="3"/>
    <s v="新井薬師前駅"/>
    <n v="9"/>
    <n v="10.33"/>
    <n v="123574.88"/>
    <n v="95329.65"/>
    <n v="637"/>
    <n v="1622"/>
    <s v="20-30"/>
    <x v="0"/>
  </r>
  <r>
    <s v="https://suumo.jp/chintai/jnc_000104454967/?bc=100486184929"/>
    <s v="ＪＲ中央線 中野駅 12階建 築5年"/>
    <s v="東京都中野区新井１"/>
    <n v="126000"/>
    <n v="10000"/>
    <n v="126000"/>
    <n v="126000"/>
    <n v="3"/>
    <x v="2"/>
    <n v="25.1"/>
    <n v="5"/>
    <x v="3"/>
    <s v="新井薬師前駅"/>
    <n v="9"/>
    <n v="10.33"/>
    <n v="123574.88"/>
    <n v="95329.65"/>
    <n v="637"/>
    <n v="1622"/>
    <s v="20-30"/>
    <x v="0"/>
  </r>
  <r>
    <s v="https://suumo.jp/chintai/jnc_000103558027/?bc=100467088519"/>
    <s v="ＪＲ中央線 中野駅 12階建 築5年"/>
    <s v="東京都中野区新井１"/>
    <n v="127000"/>
    <n v="10000"/>
    <n v="127000"/>
    <n v="127000"/>
    <n v="8"/>
    <x v="2"/>
    <n v="25.1"/>
    <n v="5"/>
    <x v="3"/>
    <s v="新井薬師前駅"/>
    <n v="9"/>
    <n v="10.33"/>
    <n v="123574.88"/>
    <n v="95329.65"/>
    <n v="637"/>
    <n v="1622"/>
    <s v="20-30"/>
    <x v="0"/>
  </r>
  <r>
    <s v="https://suumo.jp/chintai/jnc_000103685963/?bc=100480752736"/>
    <s v="ＪＲ中央線 中野駅 2階建 築33年"/>
    <s v="東京都中野区上高田２"/>
    <n v="62000"/>
    <n v="2000"/>
    <n v="62000"/>
    <n v="62000"/>
    <n v="2"/>
    <x v="2"/>
    <n v="19.87"/>
    <n v="33"/>
    <x v="0"/>
    <s v="新井薬師前駅"/>
    <n v="5"/>
    <n v="11"/>
    <n v="123574.88"/>
    <n v="95329.65"/>
    <n v="637"/>
    <n v="1622"/>
    <s v="10-20"/>
    <x v="4"/>
  </r>
  <r>
    <s v="https://suumo.jp/chintai/jnc_000103123109/?bc=100480750803"/>
    <s v="ＪＲ中央線 中野駅 2階建 築38年"/>
    <s v="東京都中野区新井２"/>
    <n v="55000"/>
    <n v="2000"/>
    <n v="55000"/>
    <n v="27500"/>
    <n v="1"/>
    <x v="2"/>
    <n v="18.239999999999998"/>
    <n v="38"/>
    <x v="0"/>
    <s v="新井薬師前駅"/>
    <n v="9"/>
    <n v="10.67"/>
    <n v="123574.88"/>
    <n v="95329.65"/>
    <n v="637"/>
    <n v="1622"/>
    <s v="10-20"/>
    <x v="4"/>
  </r>
  <r>
    <s v="https://suumo.jp/chintai/jnc_000102880968/?bc=100473120838"/>
    <s v="ＪＲ中央線 中野駅 2階建 築41年"/>
    <s v="東京都中野区新井１"/>
    <n v="70000"/>
    <n v="2000"/>
    <n v="70000"/>
    <n v="70000"/>
    <n v="2"/>
    <x v="2"/>
    <n v="23.13"/>
    <n v="41"/>
    <x v="0"/>
    <s v="新井薬師前駅"/>
    <n v="8"/>
    <n v="9.33"/>
    <n v="123574.88"/>
    <n v="95329.65"/>
    <n v="637"/>
    <n v="1622"/>
    <s v="20-30"/>
    <x v="3"/>
  </r>
  <r>
    <s v="https://suumo.jp/chintai/jnc_000102936801/?bc=100478347097"/>
    <s v="ＪＲ中央線 中野駅 2階建 築57年"/>
    <s v="東京都中野区上高田５"/>
    <n v="60000"/>
    <n v="2000"/>
    <n v="60000"/>
    <m/>
    <n v="1"/>
    <x v="2"/>
    <n v="19.28"/>
    <n v="57"/>
    <x v="0"/>
    <s v="新井薬師前駅"/>
    <n v="6"/>
    <n v="15.67"/>
    <n v="123574.88"/>
    <n v="95329.65"/>
    <n v="637"/>
    <n v="1622"/>
    <s v="10-20"/>
    <x v="5"/>
  </r>
  <r>
    <s v="https://suumo.jp/chintai/jnc_000103743343/?bc=100481182848"/>
    <s v="ＪＲ中央線 中野駅 3階建 築32年"/>
    <s v="東京都中野区上高田２"/>
    <n v="58000"/>
    <n v="4000"/>
    <n v="58000"/>
    <n v="58000"/>
    <n v="2"/>
    <x v="2"/>
    <n v="17.98"/>
    <n v="32"/>
    <x v="2"/>
    <s v="新井薬師前駅"/>
    <n v="5"/>
    <n v="12.33"/>
    <n v="123574.88"/>
    <n v="95329.65"/>
    <n v="637"/>
    <n v="1622"/>
    <s v="10-20"/>
    <x v="4"/>
  </r>
  <r>
    <s v="https://suumo.jp/chintai/jnc_000088577078/?bc=100485753637"/>
    <s v="ＪＲ中央線 中野駅 3階建 築34年"/>
    <s v="東京都中野区新井５"/>
    <n v="65000"/>
    <n v="10000"/>
    <m/>
    <m/>
    <n v="3"/>
    <x v="2"/>
    <n v="17.36"/>
    <n v="34"/>
    <x v="2"/>
    <s v="新井薬師前駅"/>
    <n v="2"/>
    <n v="9"/>
    <n v="123574.88"/>
    <n v="95329.65"/>
    <n v="637"/>
    <n v="1622"/>
    <s v="10-20"/>
    <x v="4"/>
  </r>
  <r>
    <s v="https://suumo.jp/chintai/jnc_000101079639/?bc=100480395782"/>
    <s v="ＪＲ中央線 中野駅 3階建 築6年"/>
    <s v="東京都中野区新井５"/>
    <n v="66000"/>
    <n v="5000"/>
    <n v="66000"/>
    <n v="66000"/>
    <n v="1"/>
    <x v="2"/>
    <n v="16.559999999999999"/>
    <n v="6"/>
    <x v="2"/>
    <s v="新井薬師前駅"/>
    <n v="4"/>
    <n v="9"/>
    <n v="123574.88"/>
    <n v="95329.65"/>
    <n v="637"/>
    <n v="1622"/>
    <s v="10-20"/>
    <x v="0"/>
  </r>
  <r>
    <s v="https://suumo.jp/chintai/jnc_000103424482/?bc=100485317372"/>
    <s v="ＪＲ中央線 中野駅 3階建 築7年"/>
    <s v="東京都中野区上高田２"/>
    <n v="72000"/>
    <n v="4000"/>
    <n v="36000"/>
    <n v="108000"/>
    <n v="1"/>
    <x v="2"/>
    <n v="16.239999999999998"/>
    <n v="7"/>
    <x v="2"/>
    <s v="新井薬師前駅"/>
    <n v="9"/>
    <n v="12"/>
    <n v="123574.88"/>
    <n v="95329.65"/>
    <n v="637"/>
    <n v="1622"/>
    <s v="10-20"/>
    <x v="0"/>
  </r>
  <r>
    <s v="https://suumo.jp/chintai/jnc_000103424483/?bc=100485502235"/>
    <s v="ＪＲ中央線 中野駅 3階建 築7年"/>
    <s v="東京都中野区上高田２"/>
    <n v="75000"/>
    <n v="4000"/>
    <n v="37500"/>
    <n v="112500"/>
    <n v="2"/>
    <x v="2"/>
    <n v="16.489999999999998"/>
    <n v="7"/>
    <x v="2"/>
    <s v="新井薬師前駅"/>
    <n v="9"/>
    <n v="12"/>
    <n v="123574.88"/>
    <n v="95329.65"/>
    <n v="637"/>
    <n v="1622"/>
    <s v="10-20"/>
    <x v="0"/>
  </r>
  <r>
    <s v="https://suumo.jp/chintai/jnc_000104149193/?bc=100483673975"/>
    <s v="ＪＲ中央線 中野駅 3階建 築7年"/>
    <s v="東京都中野区上高田３"/>
    <n v="77000"/>
    <n v="5000"/>
    <m/>
    <n v="77000"/>
    <n v="3"/>
    <x v="2"/>
    <n v="18.64"/>
    <n v="7"/>
    <x v="2"/>
    <s v="新井薬師前駅"/>
    <n v="6"/>
    <n v="12"/>
    <n v="123574.88"/>
    <n v="95329.65"/>
    <n v="637"/>
    <n v="1622"/>
    <s v="10-20"/>
    <x v="0"/>
  </r>
  <r>
    <s v="https://suumo.jp/chintai/jnc_000104126126/?bc=100481346309"/>
    <s v="ＪＲ中央線 中野駅 4階建 築10年"/>
    <s v="東京都中野区新井１"/>
    <n v="90000"/>
    <n v="5000"/>
    <n v="90000"/>
    <n v="90000"/>
    <n v="2"/>
    <x v="2"/>
    <n v="20.440000000000001"/>
    <n v="10"/>
    <x v="4"/>
    <s v="新井薬師前駅"/>
    <n v="9"/>
    <n v="9.5"/>
    <n v="123574.88"/>
    <n v="95329.65"/>
    <n v="637"/>
    <n v="1622"/>
    <s v="20-30"/>
    <x v="0"/>
  </r>
  <r>
    <s v="https://suumo.jp/chintai/jnc_000103717508/?bc=100485781016"/>
    <s v="ＪＲ中央線 中野駅 4階建 築13年"/>
    <s v="東京都中野区新井５"/>
    <n v="89000"/>
    <n v="5000"/>
    <n v="89000"/>
    <m/>
    <n v="1"/>
    <x v="2"/>
    <n v="25.05"/>
    <n v="13"/>
    <x v="4"/>
    <s v="新井薬師前駅"/>
    <n v="3"/>
    <n v="9.67"/>
    <n v="123574.88"/>
    <n v="95329.65"/>
    <n v="637"/>
    <n v="1622"/>
    <s v="20-30"/>
    <x v="7"/>
  </r>
  <r>
    <s v="https://suumo.jp/chintai/jnc_000104021457/?bc=100482294571"/>
    <s v="ＪＲ中央線 中野駅 4階建 築17年"/>
    <s v="東京都中野区新井５"/>
    <n v="82000"/>
    <n v="5000"/>
    <n v="82000"/>
    <n v="82000"/>
    <n v="1"/>
    <x v="2"/>
    <n v="21.2"/>
    <n v="17"/>
    <x v="4"/>
    <s v="新井薬師前駅"/>
    <n v="4"/>
    <n v="9.33"/>
    <n v="123574.88"/>
    <n v="95329.65"/>
    <n v="637"/>
    <n v="1622"/>
    <s v="20-30"/>
    <x v="7"/>
  </r>
  <r>
    <s v="https://suumo.jp/chintai/jnc_000104454975/?bc=100485781019"/>
    <s v="ＪＲ中央線 中野駅 4階建 築36年"/>
    <s v="東京都中野区上高田２"/>
    <n v="75000"/>
    <n v="7000"/>
    <n v="75000"/>
    <n v="75000"/>
    <n v="3"/>
    <x v="2"/>
    <n v="16.739999999999998"/>
    <n v="36"/>
    <x v="4"/>
    <s v="新井薬師前駅"/>
    <n v="8"/>
    <n v="11"/>
    <n v="123574.88"/>
    <n v="95329.65"/>
    <n v="637"/>
    <n v="1622"/>
    <s v="10-20"/>
    <x v="4"/>
  </r>
  <r>
    <s v="https://suumo.jp/chintai/jnc_000104454969/?bc=100485784428"/>
    <s v="ＪＲ中央線 中野駅 4階建 築3年"/>
    <s v="東京都中野区新井４"/>
    <n v="115000"/>
    <n v="9500"/>
    <m/>
    <n v="115000"/>
    <n v="1"/>
    <x v="2"/>
    <n v="25.52"/>
    <n v="3"/>
    <x v="4"/>
    <s v="新井薬師前駅"/>
    <n v="6"/>
    <n v="9.33"/>
    <n v="123574.88"/>
    <n v="95329.65"/>
    <n v="637"/>
    <n v="1622"/>
    <s v="20-30"/>
    <x v="0"/>
  </r>
  <r>
    <s v="https://suumo.jp/chintai/jnc_000102767903/?bc=100472273781"/>
    <s v="ＪＲ中央線 中野駅 5階建 築1年"/>
    <s v="東京都中野区上高田２"/>
    <n v="122500"/>
    <n v="15000"/>
    <m/>
    <m/>
    <n v="1"/>
    <x v="2"/>
    <n v="25.26"/>
    <n v="1"/>
    <x v="7"/>
    <s v="新井薬師前駅"/>
    <n v="10"/>
    <n v="12.33"/>
    <n v="123574.88"/>
    <n v="95329.65"/>
    <n v="637"/>
    <n v="1622"/>
    <s v="20-30"/>
    <x v="0"/>
  </r>
  <r>
    <s v="https://suumo.jp/chintai/jnc_000103217919/?bc=100485826899"/>
    <s v="ＪＲ中央線 中野駅 5階建 築1年"/>
    <s v="東京都中野区上高田２"/>
    <n v="125500"/>
    <n v="15000"/>
    <m/>
    <m/>
    <n v="1"/>
    <x v="2"/>
    <n v="25.26"/>
    <n v="1"/>
    <x v="7"/>
    <s v="新井薬師前駅"/>
    <n v="10"/>
    <n v="12.33"/>
    <n v="123574.88"/>
    <n v="95329.65"/>
    <n v="637"/>
    <n v="1622"/>
    <s v="20-30"/>
    <x v="0"/>
  </r>
  <r>
    <s v="https://suumo.jp/chintai/jnc_000102747041/?bc=100472099986"/>
    <s v="ＪＲ中央線 中野駅 5階建 築1年"/>
    <s v="東京都中野区上高田２"/>
    <n v="132500"/>
    <n v="15000"/>
    <m/>
    <m/>
    <n v="1"/>
    <x v="2"/>
    <n v="27.4"/>
    <n v="1"/>
    <x v="7"/>
    <s v="新井薬師前駅"/>
    <n v="10"/>
    <n v="12.33"/>
    <n v="123574.88"/>
    <n v="95329.65"/>
    <n v="637"/>
    <n v="1622"/>
    <s v="20-30"/>
    <x v="0"/>
  </r>
  <r>
    <s v="https://suumo.jp/chintai/jnc_000102767905/?bc=100472273863"/>
    <s v="ＪＲ中央線 中野駅 5階建 築1年"/>
    <s v="東京都中野区上高田２"/>
    <n v="125500"/>
    <n v="15000"/>
    <m/>
    <m/>
    <n v="1"/>
    <x v="2"/>
    <n v="28.67"/>
    <n v="1"/>
    <x v="7"/>
    <s v="新井薬師前駅"/>
    <n v="10"/>
    <n v="12.33"/>
    <n v="123574.88"/>
    <n v="95329.65"/>
    <n v="637"/>
    <n v="1622"/>
    <s v="20-30"/>
    <x v="0"/>
  </r>
  <r>
    <s v="https://suumo.jp/chintai/jnc_000103481448/?bc=100486113008"/>
    <s v="ＪＲ中央線 中野駅 5階建 築1年"/>
    <s v="東京都中野区上高田２"/>
    <n v="135500"/>
    <n v="15000"/>
    <m/>
    <m/>
    <n v="1"/>
    <x v="2"/>
    <n v="28.67"/>
    <n v="1"/>
    <x v="7"/>
    <s v="新井薬師前駅"/>
    <n v="10"/>
    <n v="12.33"/>
    <n v="123574.88"/>
    <n v="95329.65"/>
    <n v="637"/>
    <n v="1622"/>
    <s v="20-30"/>
    <x v="0"/>
  </r>
  <r>
    <s v="https://suumo.jp/chintai/jnc_000102741073/?bc=100472273875"/>
    <s v="ＪＲ中央線 中野駅 5階建 築1年"/>
    <s v="東京都中野区上高田２"/>
    <n v="126000"/>
    <n v="15000"/>
    <m/>
    <m/>
    <n v="2"/>
    <x v="2"/>
    <n v="25.26"/>
    <n v="1"/>
    <x v="7"/>
    <s v="新井薬師前駅"/>
    <n v="10"/>
    <n v="12.33"/>
    <n v="123574.88"/>
    <n v="95329.65"/>
    <n v="637"/>
    <n v="1622"/>
    <s v="20-30"/>
    <x v="0"/>
  </r>
  <r>
    <s v="https://suumo.jp/chintai/jnc_000102732896/?bc=100472273861"/>
    <s v="ＪＲ中央線 中野駅 5階建 築1年"/>
    <s v="東京都中野区上高田２"/>
    <n v="133000"/>
    <n v="15000"/>
    <m/>
    <m/>
    <n v="2"/>
    <x v="2"/>
    <n v="27.4"/>
    <n v="1"/>
    <x v="7"/>
    <s v="新井薬師前駅"/>
    <n v="10"/>
    <n v="12.33"/>
    <n v="123574.88"/>
    <n v="95329.65"/>
    <n v="637"/>
    <n v="1622"/>
    <s v="20-30"/>
    <x v="0"/>
  </r>
  <r>
    <s v="https://suumo.jp/chintai/jnc_000102732899/?bc=100472509183"/>
    <s v="ＪＲ中央線 中野駅 5階建 築1年"/>
    <s v="東京都中野区上高田２"/>
    <n v="136000"/>
    <n v="15000"/>
    <m/>
    <m/>
    <n v="2"/>
    <x v="2"/>
    <n v="28.67"/>
    <n v="1"/>
    <x v="7"/>
    <s v="新井薬師前駅"/>
    <n v="10"/>
    <n v="12.33"/>
    <n v="123574.88"/>
    <n v="95329.65"/>
    <n v="637"/>
    <n v="1622"/>
    <s v="20-30"/>
    <x v="0"/>
  </r>
  <r>
    <s v="https://suumo.jp/chintai/jnc_000102771890/?bc=100473336309"/>
    <s v="ＪＲ中央線 中野駅 5階建 築1年"/>
    <s v="東京都中野区上高田２"/>
    <n v="126500"/>
    <n v="15000"/>
    <m/>
    <m/>
    <n v="3"/>
    <x v="2"/>
    <n v="25.26"/>
    <n v="1"/>
    <x v="7"/>
    <s v="新井薬師前駅"/>
    <n v="10"/>
    <n v="12.33"/>
    <n v="123574.88"/>
    <n v="95329.65"/>
    <n v="637"/>
    <n v="1622"/>
    <s v="20-30"/>
    <x v="0"/>
  </r>
  <r>
    <s v="https://suumo.jp/chintai/jnc_000102771887/?bc=100473336313"/>
    <s v="ＪＲ中央線 中野駅 5階建 築1年"/>
    <s v="東京都中野区上高田２"/>
    <n v="133500"/>
    <n v="15000"/>
    <m/>
    <m/>
    <n v="3"/>
    <x v="2"/>
    <n v="27.4"/>
    <n v="1"/>
    <x v="7"/>
    <s v="新井薬師前駅"/>
    <n v="10"/>
    <n v="12.33"/>
    <n v="123574.88"/>
    <n v="95329.65"/>
    <n v="637"/>
    <n v="1622"/>
    <s v="20-30"/>
    <x v="0"/>
  </r>
  <r>
    <s v="https://suumo.jp/chintai/jnc_000102771892/?bc=100472509130"/>
    <s v="ＪＲ中央線 中野駅 5階建 築1年"/>
    <s v="東京都中野区上高田２"/>
    <n v="136500"/>
    <n v="15000"/>
    <m/>
    <m/>
    <n v="3"/>
    <x v="2"/>
    <n v="28.67"/>
    <n v="1"/>
    <x v="7"/>
    <s v="新井薬師前駅"/>
    <n v="10"/>
    <n v="12.33"/>
    <n v="123574.88"/>
    <n v="95329.65"/>
    <n v="637"/>
    <n v="1622"/>
    <s v="20-30"/>
    <x v="0"/>
  </r>
  <r>
    <s v="https://suumo.jp/chintai/jnc_000103217922/?bc=100486113024"/>
    <s v="ＪＲ中央線 中野駅 5階建 築1年"/>
    <s v="東京都中野区上高田２"/>
    <n v="126000"/>
    <n v="15000"/>
    <m/>
    <m/>
    <n v="5"/>
    <x v="2"/>
    <n v="25.55"/>
    <n v="1"/>
    <x v="7"/>
    <s v="新井薬師前駅"/>
    <n v="10"/>
    <n v="12.33"/>
    <n v="123574.88"/>
    <n v="95329.65"/>
    <n v="637"/>
    <n v="1622"/>
    <s v="20-30"/>
    <x v="0"/>
  </r>
  <r>
    <s v="https://suumo.jp/chintai/jnc_000104454973/?bc=100485774006"/>
    <s v="ＪＲ中央線 中野駅 5階建 築1年"/>
    <s v="東京都中野区上高田２"/>
    <n v="133500"/>
    <n v="15000"/>
    <m/>
    <m/>
    <n v="5"/>
    <x v="2"/>
    <n v="27.4"/>
    <n v="1"/>
    <x v="7"/>
    <s v="新井薬師前駅"/>
    <n v="10"/>
    <n v="12.33"/>
    <n v="123574.88"/>
    <n v="95329.65"/>
    <n v="637"/>
    <n v="1622"/>
    <s v="20-30"/>
    <x v="0"/>
  </r>
  <r>
    <s v="https://suumo.jp/chintai/jnc_000102508384/?bc=100481791692"/>
    <s v="ＪＲ中央線 中野駅 7階建 築27年"/>
    <s v="東京都中野区新井１"/>
    <n v="85000"/>
    <n v="5000"/>
    <n v="170000"/>
    <n v="85000"/>
    <n v="6"/>
    <x v="2"/>
    <n v="24.02"/>
    <n v="27"/>
    <x v="10"/>
    <s v="新井薬師前駅"/>
    <n v="8"/>
    <n v="9"/>
    <n v="123574.88"/>
    <n v="95329.65"/>
    <n v="637"/>
    <n v="1622"/>
    <s v="20-30"/>
    <x v="1"/>
  </r>
  <r>
    <s v="https://suumo.jp/chintai/jnc_000100802068/?bc=100473971048"/>
    <s v="ＪＲ中央線 中野駅 8階建 新築"/>
    <s v="東京都中野区新井１"/>
    <n v="147000"/>
    <n v="10000"/>
    <n v="147000"/>
    <m/>
    <n v="2"/>
    <x v="2"/>
    <n v="25.36"/>
    <n v="0"/>
    <x v="9"/>
    <s v="新井薬師前駅"/>
    <n v="9"/>
    <n v="9.67"/>
    <n v="123574.88"/>
    <n v="95329.65"/>
    <n v="637"/>
    <n v="1622"/>
    <s v="20-30"/>
    <x v="6"/>
  </r>
  <r>
    <s v="https://suumo.jp/chintai/jnc_000100802071/?bc=100473970708"/>
    <s v="ＪＲ中央線 中野駅 8階建 新築"/>
    <s v="東京都中野区新井１"/>
    <n v="148000"/>
    <n v="10000"/>
    <n v="148000"/>
    <m/>
    <n v="3"/>
    <x v="2"/>
    <n v="25.36"/>
    <n v="0"/>
    <x v="9"/>
    <s v="新井薬師前駅"/>
    <n v="9"/>
    <n v="9.67"/>
    <n v="123574.88"/>
    <n v="95329.65"/>
    <n v="637"/>
    <n v="1622"/>
    <s v="20-30"/>
    <x v="6"/>
  </r>
  <r>
    <s v="https://suumo.jp/chintai/jnc_000100786889/?bc=100466748306"/>
    <s v="ＪＲ中央線 中野駅 8階建 新築"/>
    <s v="東京都中野区新井１"/>
    <n v="145000"/>
    <n v="10000"/>
    <n v="145000"/>
    <m/>
    <n v="3"/>
    <x v="2"/>
    <n v="25.57"/>
    <n v="0"/>
    <x v="9"/>
    <s v="新井薬師前駅"/>
    <n v="9"/>
    <n v="9.67"/>
    <n v="123574.88"/>
    <n v="95329.65"/>
    <n v="637"/>
    <n v="1622"/>
    <s v="20-30"/>
    <x v="6"/>
  </r>
  <r>
    <s v="https://suumo.jp/chintai/jnc_000100802076/?bc=100473970875"/>
    <s v="ＪＲ中央線 中野駅 8階建 新築"/>
    <s v="東京都中野区新井１"/>
    <n v="149000"/>
    <n v="10000"/>
    <n v="149000"/>
    <m/>
    <n v="4"/>
    <x v="2"/>
    <n v="25.36"/>
    <n v="0"/>
    <x v="9"/>
    <s v="新井薬師前駅"/>
    <n v="9"/>
    <n v="9.67"/>
    <n v="123574.88"/>
    <n v="95329.65"/>
    <n v="637"/>
    <n v="1622"/>
    <s v="20-30"/>
    <x v="6"/>
  </r>
  <r>
    <s v="https://suumo.jp/chintai/jnc_000104499482/?bc=100486113021"/>
    <s v="ＪＲ中央線 中野駅 8階建 新築"/>
    <s v="東京都中野区新井１"/>
    <n v="156000"/>
    <n v="10000"/>
    <n v="156000"/>
    <m/>
    <n v="5"/>
    <x v="2"/>
    <n v="25.36"/>
    <n v="0"/>
    <x v="9"/>
    <s v="新井薬師前駅"/>
    <n v="9"/>
    <n v="9.67"/>
    <n v="123574.88"/>
    <n v="95329.65"/>
    <n v="637"/>
    <n v="1622"/>
    <s v="20-30"/>
    <x v="6"/>
  </r>
  <r>
    <s v="https://suumo.jp/chintai/jnc_000102303782/?bc=100473971110"/>
    <s v="ＪＲ中央線 中野駅 8階建 新築"/>
    <s v="東京都中野区新井１"/>
    <n v="159000"/>
    <n v="10000"/>
    <n v="159000"/>
    <n v="159000"/>
    <n v="6"/>
    <x v="2"/>
    <n v="25.36"/>
    <n v="0"/>
    <x v="9"/>
    <s v="新井薬師前駅"/>
    <n v="9"/>
    <n v="9.67"/>
    <n v="123574.88"/>
    <n v="95329.65"/>
    <n v="637"/>
    <n v="1622"/>
    <s v="20-30"/>
    <x v="6"/>
  </r>
  <r>
    <s v="https://suumo.jp/chintai/jnc_000101925205/?bc=100464818645"/>
    <s v="Ｍａｉｓｏｎ Ｏｋａｄａ"/>
    <s v="東京都中野区上高田２"/>
    <n v="65000"/>
    <n v="3000"/>
    <n v="65000"/>
    <n v="65000"/>
    <n v="2"/>
    <x v="2"/>
    <n v="18"/>
    <n v="46"/>
    <x v="0"/>
    <s v="新井薬師前駅"/>
    <n v="6"/>
    <n v="14"/>
    <n v="123574.88"/>
    <n v="95329.65"/>
    <n v="637"/>
    <n v="1622"/>
    <s v="10-20"/>
    <x v="3"/>
  </r>
  <r>
    <s v="https://suumo.jp/chintai/jnc_000101809561/?bc=100464603018"/>
    <s v="Ｍａｉｓｏｎ Ｏｋａｄａ"/>
    <s v="東京都中野区上高田２"/>
    <n v="65000"/>
    <n v="3000"/>
    <n v="65000"/>
    <n v="65000"/>
    <n v="2"/>
    <x v="2"/>
    <n v="19"/>
    <n v="46"/>
    <x v="0"/>
    <s v="新井薬師前駅"/>
    <n v="6"/>
    <n v="14"/>
    <n v="123574.88"/>
    <n v="95329.65"/>
    <n v="637"/>
    <n v="1622"/>
    <s v="10-20"/>
    <x v="3"/>
  </r>
  <r>
    <s v="https://suumo.jp/chintai/jnc_000104454964/?bc=100461985496"/>
    <s v="ＯＲＳＵＳ中野"/>
    <s v="東京都中野区新井１"/>
    <n v="129000"/>
    <n v="10000"/>
    <n v="129000"/>
    <n v="129000"/>
    <n v="10"/>
    <x v="2"/>
    <n v="25.1"/>
    <n v="5"/>
    <x v="3"/>
    <s v="新井薬師前駅"/>
    <n v="9"/>
    <n v="10.33"/>
    <n v="123574.88"/>
    <n v="95329.65"/>
    <n v="637"/>
    <n v="1622"/>
    <s v="20-30"/>
    <x v="0"/>
  </r>
  <r>
    <s v="https://suumo.jp/chintai/jnc_000104454965/?bc=100486150798"/>
    <s v="ＯＲＳＵＳ中野"/>
    <s v="東京都中野区新井１"/>
    <n v="126000"/>
    <n v="10000"/>
    <n v="126000"/>
    <n v="126000"/>
    <n v="3"/>
    <x v="2"/>
    <n v="25.1"/>
    <n v="5"/>
    <x v="3"/>
    <s v="新井薬師前駅"/>
    <n v="9"/>
    <n v="10.33"/>
    <n v="123574.88"/>
    <n v="95329.65"/>
    <n v="637"/>
    <n v="1622"/>
    <s v="20-30"/>
    <x v="0"/>
  </r>
  <r>
    <s v="https://suumo.jp/chintai/jnc_000103558026/?bc=100464408030"/>
    <s v="ＯＲＳＵＳ中野"/>
    <s v="東京都中野区新井１"/>
    <n v="127000"/>
    <n v="10000"/>
    <n v="127000"/>
    <n v="127000"/>
    <n v="8"/>
    <x v="2"/>
    <n v="25.1"/>
    <n v="5"/>
    <x v="3"/>
    <s v="新井薬師前駅"/>
    <n v="9"/>
    <n v="10.33"/>
    <n v="123574.88"/>
    <n v="95329.65"/>
    <n v="637"/>
    <n v="1622"/>
    <s v="20-30"/>
    <x v="0"/>
  </r>
  <r>
    <s v="https://suumo.jp/chintai/jnc_000101074811/?bc=100478481985"/>
    <s v="ＴＭハイツ"/>
    <s v="東京都新宿区西落合２"/>
    <n v="65000"/>
    <n v="1000"/>
    <n v="65000"/>
    <n v="65000"/>
    <n v="2"/>
    <x v="2"/>
    <n v="21"/>
    <n v="35"/>
    <x v="0"/>
    <s v="新井薬師前駅"/>
    <n v="8"/>
    <n v="15.67"/>
    <n v="123574.88"/>
    <n v="95329.65"/>
    <n v="637"/>
    <n v="1622"/>
    <s v="20-30"/>
    <x v="4"/>
  </r>
  <r>
    <s v="https://suumo.jp/chintai/jnc_000103481457/?bc=100483384771"/>
    <s v="Ｖｉｌｌａｇｅ・Ｐｌａｎｃｈｅ（ビラージュ・プランシュ）"/>
    <s v="東京都中野区上高田４"/>
    <n v="105000"/>
    <n v="5000"/>
    <n v="52500"/>
    <n v="105000"/>
    <n v="3"/>
    <x v="2"/>
    <n v="29.39"/>
    <n v="4"/>
    <x v="4"/>
    <s v="新井薬師前駅"/>
    <n v="4"/>
    <n v="11.33"/>
    <n v="123574.88"/>
    <n v="95329.65"/>
    <n v="637"/>
    <n v="1622"/>
    <s v="20-30"/>
    <x v="0"/>
  </r>
  <r>
    <s v="https://suumo.jp/chintai/jnc_000103424480/?bc=100477518504"/>
    <s v="ｄｏ Ｌａ Ｔｏｕｒ 中野"/>
    <s v="東京都中野区上高田２"/>
    <n v="72000"/>
    <n v="4000"/>
    <n v="36000"/>
    <n v="108000"/>
    <n v="1"/>
    <x v="2"/>
    <n v="16.239999999999998"/>
    <n v="7"/>
    <x v="2"/>
    <s v="新井薬師前駅"/>
    <n v="9"/>
    <n v="12.33"/>
    <n v="123574.88"/>
    <n v="95329.65"/>
    <n v="637"/>
    <n v="1622"/>
    <s v="10-20"/>
    <x v="0"/>
  </r>
  <r>
    <s v="https://suumo.jp/chintai/jnc_000104235927/?bc=100484035086"/>
    <s v="ｄｏ Ｌａ Ｔｏｕｒ 中野"/>
    <s v="東京都中野区上高田２"/>
    <n v="73000"/>
    <n v="4000"/>
    <n v="36500"/>
    <n v="109500"/>
    <n v="1"/>
    <x v="2"/>
    <n v="16.850000000000001"/>
    <n v="7"/>
    <x v="2"/>
    <s v="新井薬師前駅"/>
    <n v="9"/>
    <n v="12.33"/>
    <n v="123574.88"/>
    <n v="95329.65"/>
    <n v="637"/>
    <n v="1622"/>
    <s v="10-20"/>
    <x v="0"/>
  </r>
  <r>
    <s v="https://suumo.jp/chintai/jnc_000103424481/?bc=100477566824"/>
    <s v="ｄｏ Ｌａ Ｔｏｕｒ 中野"/>
    <s v="東京都中野区上高田２"/>
    <n v="75000"/>
    <n v="4000"/>
    <n v="37500"/>
    <n v="112500"/>
    <n v="2"/>
    <x v="2"/>
    <n v="16.489999999999998"/>
    <n v="7"/>
    <x v="2"/>
    <s v="新井薬師前駅"/>
    <n v="9"/>
    <n v="12.33"/>
    <n v="123574.88"/>
    <n v="95329.65"/>
    <n v="637"/>
    <n v="1622"/>
    <s v="10-20"/>
    <x v="0"/>
  </r>
  <r>
    <s v="https://suumo.jp/chintai/jnc_000101234864/?bc=100457826761"/>
    <s v="ｓｅ－ｋ－ｒｙｕ"/>
    <s v="東京都中野区上高田５"/>
    <n v="73000"/>
    <m/>
    <m/>
    <m/>
    <n v="2"/>
    <x v="2"/>
    <n v="17.34"/>
    <n v="23"/>
    <x v="0"/>
    <s v="新井薬師前駅"/>
    <n v="10"/>
    <n v="16.670000000000002"/>
    <n v="123574.88"/>
    <n v="95329.65"/>
    <n v="637"/>
    <n v="1622"/>
    <s v="10-20"/>
    <x v="1"/>
  </r>
  <r>
    <s v="https://suumo.jp/chintai/jnc_000104304054/?bc=100485522299"/>
    <s v="AW中野松が丘"/>
    <s v="東京都中野区松が丘１"/>
    <n v="108000"/>
    <n v="3000"/>
    <m/>
    <m/>
    <n v="2"/>
    <x v="3"/>
    <n v="21.55"/>
    <n v="0"/>
    <x v="0"/>
    <s v="新井薬師前駅"/>
    <n v="7"/>
    <n v="10.33"/>
    <n v="123574.88"/>
    <n v="168453.81"/>
    <n v="637"/>
    <n v="788"/>
    <s v="20-30"/>
    <x v="6"/>
  </r>
  <r>
    <s v="https://suumo.jp/chintai/jnc_000104304052/?bc=100485522302"/>
    <s v="AW中野松が丘"/>
    <s v="東京都中野区松が丘１"/>
    <n v="90000"/>
    <n v="3000"/>
    <m/>
    <m/>
    <n v="2"/>
    <x v="3"/>
    <n v="23.9"/>
    <n v="0"/>
    <x v="0"/>
    <s v="新井薬師前駅"/>
    <n v="7"/>
    <n v="10.33"/>
    <n v="123574.88"/>
    <n v="168453.81"/>
    <n v="637"/>
    <n v="788"/>
    <s v="20-30"/>
    <x v="6"/>
  </r>
  <r>
    <s v="https://suumo.jp/chintai/jnc_000104304053/?bc=100485522300"/>
    <s v="AW中野松が丘"/>
    <s v="東京都中野区松が丘１"/>
    <n v="109000"/>
    <n v="3000"/>
    <m/>
    <m/>
    <n v="2"/>
    <x v="3"/>
    <n v="24.27"/>
    <n v="0"/>
    <x v="0"/>
    <s v="新井薬師前駅"/>
    <n v="7"/>
    <n v="10.33"/>
    <n v="123574.88"/>
    <n v="168453.81"/>
    <n v="637"/>
    <n v="788"/>
    <s v="20-30"/>
    <x v="6"/>
  </r>
  <r>
    <s v="https://suumo.jp/chintai/jnc_000104373060/?bc=100485129137"/>
    <s v="Cruce Amicus"/>
    <s v="東京都中野区上高田３"/>
    <n v="135000"/>
    <n v="11000"/>
    <n v="135000"/>
    <n v="135000"/>
    <n v="1"/>
    <x v="3"/>
    <n v="40.380000000000003"/>
    <n v="7"/>
    <x v="0"/>
    <s v="新井薬師前駅"/>
    <n v="7"/>
    <n v="12.33"/>
    <n v="123574.88"/>
    <n v="168453.81"/>
    <n v="637"/>
    <n v="788"/>
    <s v="40-50"/>
    <x v="0"/>
  </r>
  <r>
    <s v="https://suumo.jp/chintai/jnc_000101699146/?bc=100479799950"/>
    <s v="Stellar上高田"/>
    <s v="東京都中野区上高田５"/>
    <n v="163000"/>
    <n v="5000"/>
    <m/>
    <m/>
    <n v="1"/>
    <x v="3"/>
    <n v="37.130000000000003"/>
    <n v="0"/>
    <x v="4"/>
    <s v="新井薬師前駅"/>
    <n v="3"/>
    <n v="3"/>
    <n v="123574.88"/>
    <n v="168453.81"/>
    <n v="637"/>
    <n v="788"/>
    <s v="30-40"/>
    <x v="6"/>
  </r>
  <r>
    <s v="https://suumo.jp/chintai/jnc_000101699149/?bc=100479855862"/>
    <s v="Stellar上高田"/>
    <s v="東京都中野区上高田５"/>
    <n v="164000"/>
    <n v="5000"/>
    <m/>
    <m/>
    <n v="2"/>
    <x v="3"/>
    <n v="37.130000000000003"/>
    <n v="0"/>
    <x v="4"/>
    <s v="新井薬師前駅"/>
    <n v="3"/>
    <n v="3"/>
    <n v="123574.88"/>
    <n v="168453.81"/>
    <n v="637"/>
    <n v="788"/>
    <s v="30-40"/>
    <x v="6"/>
  </r>
  <r>
    <s v="https://suumo.jp/chintai/jnc_000104139427/?bc=100483267508"/>
    <s v="posada-rinca中野"/>
    <s v="東京都中野区新井１"/>
    <n v="213000"/>
    <n v="6000"/>
    <n v="213000"/>
    <n v="213000"/>
    <n v="2"/>
    <x v="3"/>
    <n v="46"/>
    <n v="4"/>
    <x v="4"/>
    <s v="新井薬師前駅"/>
    <n v="5"/>
    <n v="7.5"/>
    <n v="123574.88"/>
    <n v="168453.81"/>
    <n v="637"/>
    <n v="788"/>
    <s v="40-50"/>
    <x v="0"/>
  </r>
  <r>
    <s v="https://suumo.jp/chintai/jnc_000089199948/?bc=100476272509"/>
    <s v="アトリオフラッツ中野新井薬師"/>
    <s v="東京都中野区松が丘１"/>
    <n v="180000"/>
    <n v="12000"/>
    <n v="180000"/>
    <m/>
    <n v="3"/>
    <x v="3"/>
    <n v="42.08"/>
    <n v="2"/>
    <x v="4"/>
    <s v="新井薬師前駅"/>
    <n v="3"/>
    <n v="13.67"/>
    <n v="123574.88"/>
    <n v="168453.81"/>
    <n v="637"/>
    <n v="788"/>
    <s v="40-50"/>
    <x v="0"/>
  </r>
  <r>
    <s v="https://suumo.jp/chintai/jnc_000102710486/?bc=100479159113"/>
    <s v="アニュ グレイス新井薬師"/>
    <s v="東京都中野区上高田５"/>
    <n v="116000"/>
    <n v="3500"/>
    <m/>
    <n v="232000"/>
    <n v="2"/>
    <x v="3"/>
    <n v="36.590000000000003"/>
    <n v="15"/>
    <x v="2"/>
    <s v="新井薬師前駅"/>
    <n v="3"/>
    <n v="13.67"/>
    <n v="123574.88"/>
    <n v="168453.81"/>
    <n v="637"/>
    <n v="788"/>
    <s v="30-40"/>
    <x v="7"/>
  </r>
  <r>
    <s v="https://suumo.jp/chintai/jnc_000103708144/?bc=100479023182"/>
    <s v="アニュ グレイス新井薬師"/>
    <s v="東京都中野区上高田５"/>
    <n v="110000"/>
    <n v="3500"/>
    <m/>
    <n v="220000"/>
    <n v="2"/>
    <x v="3"/>
    <n v="36.590000000000003"/>
    <n v="15"/>
    <x v="2"/>
    <s v="新井薬師前駅"/>
    <n v="3"/>
    <n v="13.67"/>
    <n v="123574.88"/>
    <n v="168453.81"/>
    <n v="637"/>
    <n v="788"/>
    <s v="30-40"/>
    <x v="7"/>
  </r>
  <r>
    <s v="https://suumo.jp/chintai/jnc_000103231663/?bc=100484527708"/>
    <s v="アリビス中野"/>
    <s v="東京都中野区上高田２"/>
    <n v="181000"/>
    <n v="15000"/>
    <m/>
    <m/>
    <n v="4"/>
    <x v="3"/>
    <n v="36.21"/>
    <n v="0"/>
    <x v="7"/>
    <s v="新井薬師前駅"/>
    <n v="10"/>
    <n v="12.67"/>
    <n v="123574.88"/>
    <n v="168453.81"/>
    <n v="637"/>
    <n v="788"/>
    <s v="30-40"/>
    <x v="6"/>
  </r>
  <r>
    <s v="https://suumo.jp/chintai/jnc_000103231665/?bc=100484527827"/>
    <s v="アリビス中野"/>
    <s v="東京都中野区上高田２"/>
    <n v="222000"/>
    <n v="15000"/>
    <m/>
    <m/>
    <n v="4"/>
    <x v="3"/>
    <n v="46.39"/>
    <n v="0"/>
    <x v="7"/>
    <s v="新井薬師前駅"/>
    <n v="10"/>
    <n v="12.67"/>
    <n v="123574.88"/>
    <n v="168453.81"/>
    <n v="637"/>
    <n v="788"/>
    <s v="40-50"/>
    <x v="6"/>
  </r>
  <r>
    <s v="https://suumo.jp/chintai/jnc_000102109213/?bc=100484772348"/>
    <s v="エコフォレスト"/>
    <s v="東京都中野区江古田１"/>
    <n v="124000"/>
    <n v="7000"/>
    <m/>
    <n v="124000"/>
    <n v="2"/>
    <x v="3"/>
    <n v="41.37"/>
    <n v="11"/>
    <x v="0"/>
    <s v="新井薬師前駅"/>
    <n v="14"/>
    <n v="15.67"/>
    <n v="123574.88"/>
    <n v="168453.81"/>
    <n v="637"/>
    <n v="788"/>
    <s v="40-50"/>
    <x v="7"/>
  </r>
  <r>
    <s v="https://suumo.jp/chintai/jnc_000104474372/?bc=100486020625"/>
    <s v="ガーデンヒルズ"/>
    <s v="東京都中野区上高田５"/>
    <n v="122000"/>
    <n v="3000"/>
    <n v="61000"/>
    <n v="183000"/>
    <n v="1"/>
    <x v="3"/>
    <n v="36.83"/>
    <n v="13"/>
    <x v="2"/>
    <s v="新井薬師前駅"/>
    <n v="5"/>
    <n v="11.33"/>
    <n v="123574.88"/>
    <n v="168453.81"/>
    <n v="637"/>
    <n v="788"/>
    <s v="30-40"/>
    <x v="7"/>
  </r>
  <r>
    <s v="https://suumo.jp/chintai/jnc_000104126129/?bc=100483173417"/>
    <s v="クレア新井"/>
    <s v="東京都中野区新井５"/>
    <n v="135000"/>
    <n v="3000"/>
    <n v="135000"/>
    <n v="135000"/>
    <n v="3"/>
    <x v="3"/>
    <n v="46.95"/>
    <n v="10"/>
    <x v="2"/>
    <s v="新井薬師前駅"/>
    <n v="5"/>
    <n v="9.33"/>
    <n v="123574.88"/>
    <n v="168453.81"/>
    <n v="637"/>
    <n v="788"/>
    <s v="40-50"/>
    <x v="0"/>
  </r>
  <r>
    <s v="https://suumo.jp/chintai/jnc_000101390453/?bc=100463404294"/>
    <s v="クレヴィアリグゼ中野新井薬師"/>
    <s v="東京都中野区松が丘１"/>
    <n v="143000"/>
    <n v="12000"/>
    <n v="143000"/>
    <m/>
    <n v="5"/>
    <x v="3"/>
    <n v="31.68"/>
    <n v="5"/>
    <x v="6"/>
    <s v="新井薬師前駅"/>
    <n v="2"/>
    <n v="13.67"/>
    <n v="123574.88"/>
    <n v="168453.81"/>
    <n v="637"/>
    <n v="788"/>
    <s v="30-40"/>
    <x v="0"/>
  </r>
  <r>
    <s v="https://suumo.jp/chintai/jnc_000103780343/?bc=100481116976"/>
    <s v="コンフォリア中野"/>
    <s v="東京都中野区上高田２"/>
    <n v="205000"/>
    <n v="10000"/>
    <n v="205000"/>
    <m/>
    <n v="1"/>
    <x v="3"/>
    <n v="67.3"/>
    <n v="19"/>
    <x v="5"/>
    <s v="新井薬師前駅"/>
    <n v="11"/>
    <n v="13.33"/>
    <n v="123574.88"/>
    <n v="168453.81"/>
    <n v="637"/>
    <n v="788"/>
    <s v="60-70"/>
    <x v="7"/>
  </r>
  <r>
    <s v="https://suumo.jp/chintai/jnc_000100938850/?bc=100467394725"/>
    <s v="コンフォリア中野"/>
    <s v="東京都中野区上高田２"/>
    <n v="174000"/>
    <n v="10000"/>
    <n v="174000"/>
    <m/>
    <n v="3"/>
    <x v="3"/>
    <n v="41.1"/>
    <n v="19"/>
    <x v="5"/>
    <s v="新井薬師前駅"/>
    <n v="11"/>
    <n v="13.33"/>
    <n v="123574.88"/>
    <n v="168453.81"/>
    <n v="637"/>
    <n v="788"/>
    <s v="40-50"/>
    <x v="7"/>
  </r>
  <r>
    <s v="https://suumo.jp/chintai/jnc_000103432775/?bc=100484526035"/>
    <s v="コンフォリア中野"/>
    <s v="東京都中野区上高田２"/>
    <n v="196000"/>
    <n v="10000"/>
    <n v="196000"/>
    <m/>
    <n v="4"/>
    <x v="3"/>
    <n v="54.31"/>
    <n v="19"/>
    <x v="5"/>
    <s v="新井薬師前駅"/>
    <n v="11"/>
    <n v="13.33"/>
    <n v="123574.88"/>
    <n v="168453.81"/>
    <n v="637"/>
    <n v="788"/>
    <s v="50-60"/>
    <x v="7"/>
  </r>
  <r>
    <s v="https://suumo.jp/chintai/jnc_000103960416/?bc=100481827457"/>
    <s v="サクラ中野上高田"/>
    <s v="東京都中野区上高田２"/>
    <n v="175000"/>
    <n v="12000"/>
    <m/>
    <n v="350000"/>
    <n v="3"/>
    <x v="3"/>
    <n v="40.15"/>
    <n v="2"/>
    <x v="2"/>
    <s v="新井薬師前駅"/>
    <n v="7"/>
    <n v="13.33"/>
    <n v="123574.88"/>
    <n v="168453.81"/>
    <n v="637"/>
    <n v="788"/>
    <s v="40-50"/>
    <x v="0"/>
  </r>
  <r>
    <s v="https://suumo.jp/chintai/jnc_000104392254/?bc=100485399866"/>
    <s v="サニーハイツ"/>
    <s v="東京都中野区上高田２"/>
    <n v="150000"/>
    <m/>
    <n v="150000"/>
    <n v="150000"/>
    <n v="2"/>
    <x v="3"/>
    <n v="46"/>
    <n v="45"/>
    <x v="0"/>
    <s v="新井薬師前駅"/>
    <n v="9"/>
    <n v="12.33"/>
    <n v="123574.88"/>
    <n v="168453.81"/>
    <n v="637"/>
    <n v="788"/>
    <s v="40-50"/>
    <x v="3"/>
  </r>
  <r>
    <s v="https://suumo.jp/chintai/jnc_000103977502/?bc=100481968603"/>
    <s v="シャンティコジマII"/>
    <s v="東京都中野区松が丘２"/>
    <n v="142000"/>
    <n v="3000"/>
    <n v="142000"/>
    <n v="142000"/>
    <n v="2"/>
    <x v="3"/>
    <n v="48"/>
    <n v="38"/>
    <x v="2"/>
    <s v="新井薬師前駅"/>
    <n v="8"/>
    <n v="17"/>
    <n v="123574.88"/>
    <n v="168453.81"/>
    <n v="637"/>
    <n v="788"/>
    <s v="40-50"/>
    <x v="4"/>
  </r>
  <r>
    <s v="https://suumo.jp/chintai/jnc_000104363628/?bc=100406033107"/>
    <s v="スプランデュール"/>
    <s v="東京都中野区上高田３"/>
    <n v="122000"/>
    <n v="3000"/>
    <n v="122000"/>
    <n v="122000"/>
    <n v="2"/>
    <x v="3"/>
    <n v="34.619999999999997"/>
    <n v="14"/>
    <x v="2"/>
    <s v="新井薬師前駅"/>
    <n v="2"/>
    <n v="10.67"/>
    <n v="123574.88"/>
    <n v="168453.81"/>
    <n v="637"/>
    <n v="788"/>
    <s v="30-40"/>
    <x v="7"/>
  </r>
  <r>
    <s v="https://suumo.jp/chintai/jnc_000104532474/?bc=100486393882"/>
    <s v="デュオステージ中野"/>
    <s v="東京都中野区新井１"/>
    <n v="143000"/>
    <n v="10000"/>
    <n v="143000"/>
    <n v="143000"/>
    <n v="2"/>
    <x v="3"/>
    <n v="30.53"/>
    <n v="3"/>
    <x v="10"/>
    <s v="新井薬師前駅"/>
    <n v="10"/>
    <n v="12.33"/>
    <n v="123574.88"/>
    <n v="168453.81"/>
    <n v="637"/>
    <n v="788"/>
    <s v="30-40"/>
    <x v="0"/>
  </r>
  <r>
    <s v="https://suumo.jp/chintai/jnc_000104399633/?bc=100486007737"/>
    <s v="デュオステージ中野"/>
    <s v="東京都中野区新井１"/>
    <n v="148000"/>
    <n v="10000"/>
    <n v="148000"/>
    <n v="148000"/>
    <n v="4"/>
    <x v="3"/>
    <n v="30.53"/>
    <n v="3"/>
    <x v="10"/>
    <s v="新井薬師前駅"/>
    <n v="10"/>
    <n v="12.33"/>
    <n v="123574.88"/>
    <n v="168453.81"/>
    <n v="637"/>
    <n v="788"/>
    <s v="30-40"/>
    <x v="0"/>
  </r>
  <r>
    <s v="https://suumo.jp/chintai/jnc_000104387650/?bc=100485940568"/>
    <s v="デュオステージ中野"/>
    <s v="東京都中野区新井１"/>
    <n v="135000"/>
    <n v="12000"/>
    <n v="135000"/>
    <n v="135000"/>
    <n v="4"/>
    <x v="3"/>
    <n v="32.74"/>
    <n v="3"/>
    <x v="10"/>
    <s v="新井薬師前駅"/>
    <n v="10"/>
    <n v="12.33"/>
    <n v="123574.88"/>
    <n v="168453.81"/>
    <n v="637"/>
    <n v="788"/>
    <s v="30-40"/>
    <x v="0"/>
  </r>
  <r>
    <s v="https://suumo.jp/chintai/jnc_000104139426/?bc=100483259879"/>
    <s v="デュオステージ中野"/>
    <s v="東京都中野区新井１"/>
    <n v="138000"/>
    <n v="10000"/>
    <n v="138000"/>
    <n v="138000"/>
    <n v="4"/>
    <x v="3"/>
    <n v="32.74"/>
    <n v="3"/>
    <x v="10"/>
    <s v="新井薬師前駅"/>
    <n v="10"/>
    <n v="12.33"/>
    <n v="123574.88"/>
    <n v="168453.81"/>
    <n v="637"/>
    <n v="788"/>
    <s v="30-40"/>
    <x v="0"/>
  </r>
  <r>
    <s v="https://suumo.jp/chintai/jnc_000103353004/?bc=100476804551"/>
    <s v="パインヒルズ"/>
    <s v="東京都中野区松が丘２"/>
    <n v="135000"/>
    <n v="11000"/>
    <m/>
    <n v="135000"/>
    <n v="2"/>
    <x v="3"/>
    <n v="41.18"/>
    <n v="3"/>
    <x v="7"/>
    <s v="新井薬師前駅"/>
    <n v="13"/>
    <n v="15.67"/>
    <n v="123574.88"/>
    <n v="168453.81"/>
    <n v="637"/>
    <n v="788"/>
    <s v="40-50"/>
    <x v="0"/>
  </r>
  <r>
    <s v="https://suumo.jp/chintai/jnc_000103024436/?bc=100474293877"/>
    <s v="パインヒルズ"/>
    <s v="東京都中野区松が丘２"/>
    <n v="137000"/>
    <n v="11000"/>
    <m/>
    <n v="137000"/>
    <n v="5"/>
    <x v="3"/>
    <n v="41.18"/>
    <n v="3"/>
    <x v="7"/>
    <s v="新井薬師前駅"/>
    <n v="13"/>
    <n v="15.67"/>
    <n v="123574.88"/>
    <n v="168453.81"/>
    <n v="637"/>
    <n v="788"/>
    <s v="40-50"/>
    <x v="0"/>
  </r>
  <r>
    <s v="https://suumo.jp/chintai/jnc_000103708143/?bc=100479915049"/>
    <s v="ビューラー上高田"/>
    <s v="東京都中野区上高田２"/>
    <n v="150000"/>
    <n v="6500"/>
    <m/>
    <n v="150000"/>
    <n v="1"/>
    <x v="3"/>
    <n v="42.5"/>
    <n v="26"/>
    <x v="0"/>
    <s v="新井薬師前駅"/>
    <n v="10"/>
    <n v="12.33"/>
    <n v="123574.88"/>
    <n v="168453.81"/>
    <n v="637"/>
    <n v="788"/>
    <s v="40-50"/>
    <x v="1"/>
  </r>
  <r>
    <s v="https://suumo.jp/chintai/jnc_000104433306/?bc=100485608105"/>
    <s v="フェリアード"/>
    <s v="東京都中野区上高田３"/>
    <n v="145000"/>
    <n v="5000"/>
    <n v="145000"/>
    <n v="145000"/>
    <n v="2"/>
    <x v="3"/>
    <n v="50.7"/>
    <n v="9"/>
    <x v="0"/>
    <s v="新井薬師前駅"/>
    <n v="3"/>
    <n v="13"/>
    <n v="123574.88"/>
    <n v="168453.81"/>
    <n v="637"/>
    <n v="788"/>
    <s v="50-60"/>
    <x v="0"/>
  </r>
  <r>
    <s v="https://suumo.jp/chintai/jnc_000104317178/?bc=100475277394"/>
    <s v="フォトナ新井薬師前（旧：小久保マンション）"/>
    <s v="東京都中野区新井５"/>
    <n v="145000"/>
    <n v="5000"/>
    <n v="145000"/>
    <n v="145000"/>
    <n v="2"/>
    <x v="3"/>
    <n v="40"/>
    <n v="56"/>
    <x v="7"/>
    <s v="新井薬師前駅"/>
    <n v="2"/>
    <n v="9"/>
    <n v="123574.88"/>
    <n v="168453.81"/>
    <n v="637"/>
    <n v="788"/>
    <s v="40-50"/>
    <x v="5"/>
  </r>
  <r>
    <s v="https://suumo.jp/chintai/jnc_000104202916/?bc=100479413325"/>
    <s v="プライムアーバン中野上高田"/>
    <s v="東京都中野区上高田４"/>
    <n v="169000"/>
    <n v="7000"/>
    <n v="169000"/>
    <n v="84500"/>
    <n v="3"/>
    <x v="3"/>
    <n v="40.74"/>
    <n v="18"/>
    <x v="2"/>
    <s v="新井薬師前駅"/>
    <n v="5"/>
    <n v="12.67"/>
    <n v="123574.88"/>
    <n v="168453.81"/>
    <n v="637"/>
    <n v="788"/>
    <s v="40-50"/>
    <x v="7"/>
  </r>
  <r>
    <s v="https://suumo.jp/chintai/jnc_000103492425/?bc=100475586484"/>
    <s v="プライムアーバン中野上高田"/>
    <s v="東京都中野区上高田４"/>
    <n v="173000"/>
    <n v="7000"/>
    <n v="173000"/>
    <n v="86500"/>
    <n v="3"/>
    <x v="3"/>
    <n v="40.74"/>
    <n v="18"/>
    <x v="2"/>
    <s v="新井薬師前駅"/>
    <n v="5"/>
    <n v="12.67"/>
    <n v="123574.88"/>
    <n v="168453.81"/>
    <n v="637"/>
    <n v="788"/>
    <s v="40-50"/>
    <x v="7"/>
  </r>
  <r>
    <s v="https://suumo.jp/chintai/jnc_000100545749/?bc=100471757411"/>
    <s v="ラティエラ中野新井"/>
    <s v="東京都中野区新井１"/>
    <n v="243000"/>
    <n v="15000"/>
    <n v="243000"/>
    <n v="243000"/>
    <n v="8"/>
    <x v="3"/>
    <n v="41.59"/>
    <n v="0"/>
    <x v="9"/>
    <s v="新井薬師前駅"/>
    <n v="9"/>
    <n v="10.33"/>
    <n v="123574.88"/>
    <n v="168453.81"/>
    <n v="637"/>
    <n v="788"/>
    <s v="40-50"/>
    <x v="6"/>
  </r>
  <r>
    <s v="https://suumo.jp/chintai/jnc_000100545748/?bc=100455361413"/>
    <s v="ラティエラ中野新井"/>
    <s v="東京都中野区新井１"/>
    <n v="243000"/>
    <n v="15000"/>
    <n v="243000"/>
    <n v="243000"/>
    <n v="8"/>
    <x v="3"/>
    <n v="41.88"/>
    <n v="0"/>
    <x v="9"/>
    <s v="新井薬師前駅"/>
    <n v="9"/>
    <n v="10.33"/>
    <n v="123574.88"/>
    <n v="168453.81"/>
    <n v="637"/>
    <n v="788"/>
    <s v="40-50"/>
    <x v="6"/>
  </r>
  <r>
    <s v="https://suumo.jp/chintai/jnc_000102971516/?bc=100481983069"/>
    <s v="リーラ中野"/>
    <s v="東京都中野区新井１"/>
    <n v="196000"/>
    <n v="10000"/>
    <n v="196000"/>
    <n v="196000"/>
    <n v="11"/>
    <x v="3"/>
    <n v="42.16"/>
    <n v="4"/>
    <x v="3"/>
    <s v="新井薬師前駅"/>
    <n v="8"/>
    <n v="8.67"/>
    <n v="123574.88"/>
    <n v="168453.81"/>
    <n v="637"/>
    <n v="788"/>
    <s v="40-50"/>
    <x v="0"/>
  </r>
  <r>
    <s v="https://suumo.jp/chintai/jnc_000103150917/?bc=100482066679"/>
    <s v="ルミネ月村"/>
    <s v="東京都中野区新井１"/>
    <n v="110000"/>
    <n v="5000"/>
    <n v="110000"/>
    <m/>
    <n v="3"/>
    <x v="3"/>
    <n v="30.7"/>
    <n v="42"/>
    <x v="2"/>
    <s v="新井薬師前駅"/>
    <n v="7"/>
    <n v="9.33"/>
    <n v="123574.88"/>
    <n v="168453.81"/>
    <n v="637"/>
    <n v="788"/>
    <s v="30-40"/>
    <x v="3"/>
  </r>
  <r>
    <s v="https://suumo.jp/chintai/jnc_000104417246/?bc=100485951718"/>
    <s v="レバランス畑口"/>
    <s v="東京都中野区上高田２"/>
    <n v="130000"/>
    <n v="5000"/>
    <n v="130000"/>
    <n v="130000"/>
    <n v="3"/>
    <x v="3"/>
    <n v="32"/>
    <n v="29"/>
    <x v="2"/>
    <s v="新井薬師前駅"/>
    <n v="6"/>
    <n v="10.33"/>
    <n v="123574.88"/>
    <n v="168453.81"/>
    <n v="637"/>
    <n v="788"/>
    <s v="30-40"/>
    <x v="1"/>
  </r>
  <r>
    <s v="https://suumo.jp/chintai/jnc_000103123115/?bc=100480297541"/>
    <s v="ワコーレ東中野III"/>
    <s v="東京都中野区上高田１"/>
    <n v="95000"/>
    <n v="10000"/>
    <m/>
    <m/>
    <n v="1"/>
    <x v="3"/>
    <n v="30.6"/>
    <n v="35"/>
    <x v="7"/>
    <s v="新井薬師前駅"/>
    <n v="5"/>
    <n v="13.67"/>
    <n v="123574.88"/>
    <n v="168453.81"/>
    <n v="637"/>
    <n v="788"/>
    <s v="30-40"/>
    <x v="4"/>
  </r>
  <r>
    <s v="https://suumo.jp/chintai/jnc_000103663173/?bc=100479467795"/>
    <s v="ワコーレ東中野III"/>
    <s v="東京都中野区上高田１"/>
    <n v="110000"/>
    <n v="10000"/>
    <m/>
    <m/>
    <n v="3"/>
    <x v="3"/>
    <n v="34.4"/>
    <n v="35"/>
    <x v="7"/>
    <s v="新井薬師前駅"/>
    <n v="5"/>
    <n v="13.67"/>
    <n v="123574.88"/>
    <n v="168453.81"/>
    <n v="637"/>
    <n v="788"/>
    <s v="30-40"/>
    <x v="4"/>
  </r>
  <r>
    <s v="https://suumo.jp/chintai/jnc_000102144685/?bc=100473392778"/>
    <s v="西武新宿線 新井薬師前駅 2階建 築11年"/>
    <s v="東京都中野区江古田１"/>
    <n v="124000"/>
    <n v="7000"/>
    <m/>
    <n v="124000"/>
    <n v="2"/>
    <x v="3"/>
    <n v="41.37"/>
    <n v="11"/>
    <x v="0"/>
    <s v="新井薬師前駅"/>
    <n v="13"/>
    <n v="13.67"/>
    <n v="123574.88"/>
    <n v="168453.81"/>
    <n v="637"/>
    <n v="788"/>
    <s v="40-50"/>
    <x v="7"/>
  </r>
  <r>
    <s v="https://suumo.jp/chintai/jnc_000102888110/?bc=100473167454"/>
    <s v="西武新宿線 新井薬師前駅 2階建 築15年"/>
    <s v="東京都中野区松が丘２"/>
    <n v="123000"/>
    <n v="7000"/>
    <m/>
    <n v="123000"/>
    <n v="2"/>
    <x v="3"/>
    <n v="38.97"/>
    <n v="15"/>
    <x v="0"/>
    <s v="新井薬師前駅"/>
    <n v="12"/>
    <n v="13.33"/>
    <n v="123574.88"/>
    <n v="168453.81"/>
    <n v="637"/>
    <n v="788"/>
    <s v="30-40"/>
    <x v="7"/>
  </r>
  <r>
    <s v="https://suumo.jp/chintai/jnc_000104392255/?bc=100485356796"/>
    <s v="西武新宿線 新井薬師前駅 2階建 築45年"/>
    <s v="東京都中野区上高田２"/>
    <n v="150000"/>
    <m/>
    <n v="150000"/>
    <n v="150000"/>
    <n v="2"/>
    <x v="3"/>
    <n v="46"/>
    <n v="45"/>
    <x v="0"/>
    <s v="新井薬師前駅"/>
    <n v="11"/>
    <n v="13.33"/>
    <n v="123574.88"/>
    <n v="168453.81"/>
    <n v="637"/>
    <n v="788"/>
    <s v="40-50"/>
    <x v="3"/>
  </r>
  <r>
    <s v="https://suumo.jp/chintai/jnc_000101804407/?bc=100478053471"/>
    <s v="西武新宿線 新井薬師前駅 2階建 築46年"/>
    <s v="東京都中野区上高田２"/>
    <n v="110000"/>
    <n v="2000"/>
    <n v="110000"/>
    <n v="110000"/>
    <n v="1"/>
    <x v="3"/>
    <n v="36.5"/>
    <n v="46"/>
    <x v="0"/>
    <s v="新井薬師前駅"/>
    <n v="6"/>
    <n v="14"/>
    <n v="123574.88"/>
    <n v="168453.81"/>
    <n v="637"/>
    <n v="788"/>
    <s v="30-40"/>
    <x v="3"/>
  </r>
  <r>
    <s v="https://suumo.jp/chintai/jnc_000104387669/?bc=100476048165"/>
    <s v="西武新宿線 新井薬師前駅 2階建 築7年"/>
    <s v="東京都中野区松が丘１"/>
    <n v="132000"/>
    <n v="3000"/>
    <n v="132000"/>
    <n v="132000"/>
    <n v="2"/>
    <x v="3"/>
    <n v="46.02"/>
    <n v="7"/>
    <x v="0"/>
    <s v="新井薬師前駅"/>
    <n v="5"/>
    <n v="14.67"/>
    <n v="123574.88"/>
    <n v="168453.81"/>
    <n v="637"/>
    <n v="788"/>
    <s v="40-50"/>
    <x v="0"/>
  </r>
  <r>
    <s v="https://suumo.jp/chintai/jnc_000103084161/?bc=100479367941"/>
    <s v="西武新宿線 新井薬師前駅 3階建 築15年"/>
    <s v="東京都中野区上高田５"/>
    <n v="116000"/>
    <n v="3500"/>
    <m/>
    <n v="232000"/>
    <n v="2"/>
    <x v="3"/>
    <n v="36.590000000000003"/>
    <n v="15"/>
    <x v="2"/>
    <s v="新井薬師前駅"/>
    <n v="3"/>
    <n v="13"/>
    <n v="123574.88"/>
    <n v="168453.81"/>
    <n v="637"/>
    <n v="788"/>
    <s v="30-40"/>
    <x v="7"/>
  </r>
  <r>
    <s v="https://suumo.jp/chintai/jnc_000103727554/?bc=100479661817"/>
    <s v="西武新宿線 新井薬師前駅 3階建 築15年"/>
    <s v="東京都中野区上高田５"/>
    <n v="110000"/>
    <n v="3500"/>
    <m/>
    <n v="220000"/>
    <n v="2"/>
    <x v="3"/>
    <n v="36.590000000000003"/>
    <n v="15"/>
    <x v="2"/>
    <s v="新井薬師前駅"/>
    <n v="3"/>
    <n v="13"/>
    <n v="123574.88"/>
    <n v="168453.81"/>
    <n v="637"/>
    <n v="788"/>
    <s v="30-40"/>
    <x v="7"/>
  </r>
  <r>
    <s v="https://suumo.jp/chintai/jnc_000103492427/?bc=100480028203"/>
    <s v="西武新宿線 新井薬師前駅 3階建 築20年"/>
    <s v="東京都中野区上高田４"/>
    <n v="173000"/>
    <n v="7000"/>
    <n v="173000"/>
    <n v="86500"/>
    <n v="3"/>
    <x v="3"/>
    <n v="40.74"/>
    <n v="20"/>
    <x v="2"/>
    <s v="新井薬師前駅"/>
    <n v="5"/>
    <n v="12.67"/>
    <n v="123574.88"/>
    <n v="168453.81"/>
    <n v="637"/>
    <n v="788"/>
    <s v="40-50"/>
    <x v="7"/>
  </r>
  <r>
    <s v="https://suumo.jp/chintai/jnc_000104044403/?bc=100483268272"/>
    <s v="西武新宿線 新井薬師前駅 4階建 新築"/>
    <s v="東京都中野区松が丘１"/>
    <n v="145000"/>
    <n v="10000"/>
    <m/>
    <m/>
    <n v="3"/>
    <x v="3"/>
    <n v="31.1"/>
    <n v="0"/>
    <x v="4"/>
    <s v="新井薬師前駅"/>
    <n v="7"/>
    <n v="17.670000000000002"/>
    <n v="123574.88"/>
    <n v="168453.81"/>
    <n v="637"/>
    <n v="788"/>
    <s v="30-40"/>
    <x v="6"/>
  </r>
  <r>
    <s v="https://suumo.jp/chintai/jnc_000103644385/?bc=100479368684"/>
    <s v="西武新宿線 新井薬師前駅 4階建 築11年"/>
    <s v="東京都中野区上高田２"/>
    <n v="120000"/>
    <n v="8000"/>
    <n v="120000"/>
    <n v="120000"/>
    <n v="1"/>
    <x v="3"/>
    <n v="40.25"/>
    <n v="11"/>
    <x v="4"/>
    <s v="新井薬師前駅"/>
    <n v="6"/>
    <n v="14"/>
    <n v="123574.88"/>
    <n v="168453.81"/>
    <n v="637"/>
    <n v="788"/>
    <s v="40-50"/>
    <x v="7"/>
  </r>
  <r>
    <s v="https://suumo.jp/chintai/jnc_000089087230/?bc=100480028208"/>
    <s v="西武新宿線 新井薬師前駅 4階建 築2年"/>
    <s v="東京都中野区松が丘１"/>
    <n v="180000"/>
    <n v="12000"/>
    <n v="180000"/>
    <m/>
    <n v="3"/>
    <x v="3"/>
    <n v="42.08"/>
    <n v="2"/>
    <x v="4"/>
    <s v="新井薬師前駅"/>
    <n v="3"/>
    <n v="12"/>
    <n v="123574.88"/>
    <n v="168453.81"/>
    <n v="637"/>
    <n v="788"/>
    <s v="40-50"/>
    <x v="0"/>
  </r>
  <r>
    <s v="https://suumo.jp/chintai/jnc_000103432777/?bc=100477390765"/>
    <s v="西武新宿線 新井薬師前駅 4階建 築2年"/>
    <s v="東京都中野区上高田３"/>
    <n v="175000"/>
    <n v="7000"/>
    <m/>
    <n v="175000"/>
    <n v="4"/>
    <x v="3"/>
    <n v="40.5"/>
    <n v="2"/>
    <x v="4"/>
    <s v="新井薬師前駅"/>
    <n v="7"/>
    <n v="10.67"/>
    <n v="123574.88"/>
    <n v="168453.81"/>
    <n v="637"/>
    <n v="788"/>
    <s v="40-50"/>
    <x v="0"/>
  </r>
  <r>
    <s v="https://suumo.jp/chintai/jnc_000101158537/?bc=100460970384"/>
    <s v="西武新宿線 新井薬師前駅 4階建 築3年"/>
    <s v="東京都中野区新井５"/>
    <n v="170000"/>
    <n v="15000"/>
    <m/>
    <m/>
    <n v="1"/>
    <x v="3"/>
    <n v="43.49"/>
    <n v="3"/>
    <x v="4"/>
    <s v="新井薬師前駅"/>
    <n v="5"/>
    <n v="10.33"/>
    <n v="123574.88"/>
    <n v="168453.81"/>
    <n v="637"/>
    <n v="788"/>
    <s v="40-50"/>
    <x v="0"/>
  </r>
  <r>
    <s v="https://suumo.jp/chintai/jnc_000104482939/?bc=100484887455"/>
    <s v="西武新宿線 新井薬師前駅 5階建 築56年"/>
    <s v="東京都中野区新井５"/>
    <n v="145000"/>
    <n v="5000"/>
    <n v="145000"/>
    <n v="145000"/>
    <n v="2"/>
    <x v="3"/>
    <n v="40"/>
    <n v="56"/>
    <x v="7"/>
    <s v="新井薬師前駅"/>
    <n v="2"/>
    <n v="10.33"/>
    <n v="123574.88"/>
    <n v="168453.81"/>
    <n v="637"/>
    <n v="788"/>
    <s v="40-50"/>
    <x v="5"/>
  </r>
  <r>
    <s v="https://suumo.jp/chintai/jnc_000103771406/?bc=100485866862"/>
    <s v="西武新宿線 新井薬師前駅 5階建 築56年"/>
    <s v="東京都中野区新井５"/>
    <n v="153000"/>
    <n v="4000"/>
    <n v="153000"/>
    <n v="153000"/>
    <n v="2"/>
    <x v="3"/>
    <n v="40"/>
    <n v="56"/>
    <x v="7"/>
    <s v="新井薬師前駅"/>
    <n v="2"/>
    <n v="10.33"/>
    <n v="123574.88"/>
    <n v="168453.81"/>
    <n v="637"/>
    <n v="788"/>
    <s v="40-50"/>
    <x v="5"/>
  </r>
  <r>
    <s v="https://suumo.jp/chintai/jnc_000104433305/?bc=100479830671"/>
    <s v="西武新宿線 新井薬師前駅 5階建 築5年"/>
    <s v="東京都中野区上高田２"/>
    <n v="165000"/>
    <n v="14000"/>
    <m/>
    <n v="330000"/>
    <n v="3"/>
    <x v="3"/>
    <n v="45.13"/>
    <n v="5"/>
    <x v="7"/>
    <s v="新井薬師前駅"/>
    <n v="4"/>
    <n v="13.33"/>
    <n v="123574.88"/>
    <n v="168453.81"/>
    <n v="637"/>
    <n v="788"/>
    <s v="40-50"/>
    <x v="0"/>
  </r>
  <r>
    <s v="https://suumo.jp/chintai/jnc_000101513115/?bc=100460817638"/>
    <s v="西武新宿線 新井薬師前駅 9階建 築16年"/>
    <s v="東京都中野区新井５"/>
    <n v="160000"/>
    <m/>
    <n v="160000"/>
    <n v="160000"/>
    <n v="5"/>
    <x v="3"/>
    <n v="46.13"/>
    <n v="16"/>
    <x v="6"/>
    <s v="新井薬師前駅"/>
    <n v="4"/>
    <n v="6.5"/>
    <n v="123574.88"/>
    <n v="168453.81"/>
    <n v="637"/>
    <n v="788"/>
    <s v="40-50"/>
    <x v="7"/>
  </r>
  <r>
    <s v="https://suumo.jp/chintai/jnc_000101396491/?bc=100461198429"/>
    <s v="西武新宿線 新井薬師前駅 地下1地上9階建 築5年"/>
    <s v="東京都中野区松が丘１"/>
    <n v="143000"/>
    <n v="12000"/>
    <n v="143000"/>
    <n v="143000"/>
    <n v="5"/>
    <x v="3"/>
    <n v="31.68"/>
    <n v="5"/>
    <x v="1"/>
    <s v="新井薬師前駅"/>
    <n v="2"/>
    <n v="10.67"/>
    <n v="123574.88"/>
    <n v="168453.81"/>
    <n v="637"/>
    <n v="788"/>
    <s v="30-40"/>
    <x v="0"/>
  </r>
  <r>
    <s v="https://suumo.jp/chintai/jnc_000103454464/?bc=100479461110"/>
    <s v="都営大江戸線 東中野駅 4階建 築35年"/>
    <s v="東京都中野区上高田１"/>
    <n v="95000"/>
    <n v="10000"/>
    <m/>
    <m/>
    <n v="1"/>
    <x v="3"/>
    <n v="30.6"/>
    <n v="35"/>
    <x v="4"/>
    <s v="新井薬師前駅"/>
    <n v="8"/>
    <n v="12.67"/>
    <n v="123574.88"/>
    <n v="168453.81"/>
    <n v="637"/>
    <n v="788"/>
    <s v="30-40"/>
    <x v="4"/>
  </r>
  <r>
    <s v="https://suumo.jp/chintai/jnc_000103815340/?bc=100483389289"/>
    <s v="都営大江戸線 東中野駅 4階建 築35年"/>
    <s v="東京都中野区上高田１"/>
    <n v="110000"/>
    <n v="10000"/>
    <m/>
    <m/>
    <n v="3"/>
    <x v="3"/>
    <n v="34.4"/>
    <n v="35"/>
    <x v="4"/>
    <s v="新井薬師前駅"/>
    <n v="8"/>
    <n v="12.67"/>
    <n v="123574.88"/>
    <n v="168453.81"/>
    <n v="637"/>
    <n v="788"/>
    <s v="30-40"/>
    <x v="4"/>
  </r>
  <r>
    <s v="https://suumo.jp/chintai/jnc_000104510084/?bc=100486128351"/>
    <s v="ＢＬＥＳＳ中野哲学堂　Ｅａｓｔ"/>
    <s v="東京都中野区上高田５"/>
    <n v="152000"/>
    <n v="6000"/>
    <n v="152000"/>
    <n v="152000"/>
    <n v="2"/>
    <x v="3"/>
    <n v="45.82"/>
    <n v="10"/>
    <x v="2"/>
    <s v="新井薬師前駅"/>
    <n v="7"/>
    <n v="12.33"/>
    <n v="123574.88"/>
    <n v="168453.81"/>
    <n v="637"/>
    <n v="788"/>
    <s v="40-50"/>
    <x v="0"/>
  </r>
  <r>
    <s v="https://suumo.jp/chintai/jnc_000103851586/?bc=100481123578"/>
    <s v="Ｂｅｌｌｅ　Ｌｅａｄ"/>
    <s v="東京都中野区上高田２"/>
    <n v="96000"/>
    <n v="3000"/>
    <m/>
    <n v="96000"/>
    <n v="1"/>
    <x v="3"/>
    <n v="30.01"/>
    <n v="10"/>
    <x v="0"/>
    <s v="新井薬師前駅"/>
    <n v="6"/>
    <n v="13.33"/>
    <n v="123574.88"/>
    <n v="168453.81"/>
    <n v="637"/>
    <n v="788"/>
    <s v="30-40"/>
    <x v="0"/>
  </r>
  <r>
    <s v="https://suumo.jp/chintai/jnc_000103873788/?bc=100481293745"/>
    <s v="ＪＲ中央線 中野駅 2階建 築26年"/>
    <s v="東京都中野区上高田２"/>
    <n v="150000"/>
    <n v="6500"/>
    <m/>
    <n v="150000"/>
    <n v="1"/>
    <x v="3"/>
    <n v="42.5"/>
    <n v="26"/>
    <x v="0"/>
    <s v="新井薬師前駅"/>
    <n v="10"/>
    <n v="13.67"/>
    <n v="123574.88"/>
    <n v="168453.81"/>
    <n v="637"/>
    <n v="788"/>
    <s v="40-50"/>
    <x v="1"/>
  </r>
  <r>
    <s v="https://suumo.jp/chintai/jnc_000104426252/?bc=100485549957"/>
    <s v="ＪＲ中央線 中野駅 3階建 築29年"/>
    <s v="東京都中野区上高田２"/>
    <n v="130000"/>
    <n v="5000"/>
    <n v="130000"/>
    <n v="130000"/>
    <n v="3"/>
    <x v="3"/>
    <n v="38.799999999999997"/>
    <n v="29"/>
    <x v="2"/>
    <s v="新井薬師前駅"/>
    <n v="7"/>
    <n v="11.33"/>
    <n v="123574.88"/>
    <n v="168453.81"/>
    <n v="637"/>
    <n v="788"/>
    <s v="30-40"/>
    <x v="1"/>
  </r>
  <r>
    <s v="https://suumo.jp/chintai/jnc_000104417241/?bc=100485512745"/>
    <s v="ＪＲ中央線 中野駅 4階建 築3年"/>
    <s v="東京都中野区新井４"/>
    <n v="110500"/>
    <n v="9500"/>
    <m/>
    <n v="110500"/>
    <n v="1"/>
    <x v="3"/>
    <n v="25.52"/>
    <n v="3"/>
    <x v="4"/>
    <s v="新井薬師前駅"/>
    <n v="6"/>
    <n v="9.33"/>
    <n v="123574.88"/>
    <n v="168453.81"/>
    <n v="637"/>
    <n v="788"/>
    <s v="20-30"/>
    <x v="0"/>
  </r>
  <r>
    <s v="https://suumo.jp/chintai/jnc_000103223483/?bc=100485774050"/>
    <s v="ＪＲ中央線 中野駅 5階建 築1年"/>
    <s v="東京都中野区上高田２"/>
    <n v="222000"/>
    <n v="15000"/>
    <m/>
    <m/>
    <n v="4"/>
    <x v="3"/>
    <n v="27.4"/>
    <n v="1"/>
    <x v="7"/>
    <s v="新井薬師前駅"/>
    <n v="10"/>
    <n v="12.33"/>
    <n v="123574.88"/>
    <n v="168453.81"/>
    <n v="637"/>
    <n v="788"/>
    <s v="20-30"/>
    <x v="0"/>
  </r>
  <r>
    <s v="https://suumo.jp/chintai/jnc_000103223481/?bc=100486113017"/>
    <s v="ＪＲ中央線 中野駅 5階建 築1年"/>
    <s v="東京都中野区上高田２"/>
    <n v="181000"/>
    <n v="15000"/>
    <m/>
    <m/>
    <n v="4"/>
    <x v="3"/>
    <n v="36.21"/>
    <n v="1"/>
    <x v="7"/>
    <s v="新井薬師前駅"/>
    <n v="10"/>
    <n v="12.33"/>
    <n v="123574.88"/>
    <n v="168453.81"/>
    <n v="637"/>
    <n v="788"/>
    <s v="30-40"/>
    <x v="0"/>
  </r>
  <r>
    <s v="https://suumo.jp/chintai/jnc_000104510071/?bc=100486177919"/>
    <s v="ＪＲ中央線 中野駅 7階建 築2年"/>
    <s v="東京都中野区新井１"/>
    <n v="143000"/>
    <n v="10000"/>
    <n v="143000"/>
    <n v="143000"/>
    <n v="2"/>
    <x v="3"/>
    <n v="30.53"/>
    <n v="2"/>
    <x v="10"/>
    <s v="新井薬師前駅"/>
    <n v="10"/>
    <n v="12.67"/>
    <n v="123574.88"/>
    <n v="168453.81"/>
    <n v="637"/>
    <n v="788"/>
    <s v="30-40"/>
    <x v="0"/>
  </r>
  <r>
    <s v="https://suumo.jp/chintai/jnc_000104399634/?bc=100485376532"/>
    <s v="ＪＲ中央線 中野駅 7階建 築2年"/>
    <s v="東京都中野区新井１"/>
    <n v="148000"/>
    <n v="10000"/>
    <n v="148000"/>
    <n v="148000"/>
    <n v="4"/>
    <x v="3"/>
    <n v="30.53"/>
    <n v="2"/>
    <x v="10"/>
    <s v="新井薬師前駅"/>
    <n v="10"/>
    <n v="12.67"/>
    <n v="123574.88"/>
    <n v="168453.81"/>
    <n v="637"/>
    <n v="788"/>
    <s v="30-40"/>
    <x v="0"/>
  </r>
  <r>
    <s v="https://suumo.jp/chintai/jnc_000104132640/?bc=100483296041"/>
    <s v="ＪＲ中央線 中野駅 7階建 築2年"/>
    <s v="東京都中野区新井１"/>
    <n v="138000"/>
    <n v="10000"/>
    <n v="138000"/>
    <n v="138000"/>
    <n v="4"/>
    <x v="3"/>
    <n v="32.74"/>
    <n v="2"/>
    <x v="10"/>
    <s v="新井薬師前駅"/>
    <n v="10"/>
    <n v="12.67"/>
    <n v="123574.88"/>
    <n v="168453.81"/>
    <n v="637"/>
    <n v="788"/>
    <s v="30-40"/>
    <x v="0"/>
  </r>
  <r>
    <s v="https://suumo.jp/chintai/jnc_000100802087/?bc=100473971103"/>
    <s v="ＪＲ中央線 中野駅 8階建 新築"/>
    <s v="東京都中野区新井１"/>
    <n v="243000"/>
    <n v="15000"/>
    <n v="243000"/>
    <n v="243000"/>
    <n v="8"/>
    <x v="3"/>
    <n v="41.88"/>
    <n v="0"/>
    <x v="9"/>
    <s v="新井薬師前駅"/>
    <n v="9"/>
    <n v="9.67"/>
    <n v="123574.88"/>
    <n v="168453.81"/>
    <n v="637"/>
    <n v="788"/>
    <s v="40-50"/>
    <x v="6"/>
  </r>
  <r>
    <s v="https://suumo.jp/chintai/jnc_000103440544/?bc=100480467904"/>
    <s v="ＪＲ中央線 中野駅 地下1地上6階建 築19年"/>
    <s v="東京都中野区上高田２"/>
    <n v="196000"/>
    <n v="10000"/>
    <n v="196000"/>
    <m/>
    <n v="4"/>
    <x v="3"/>
    <n v="54.31"/>
    <n v="19"/>
    <x v="10"/>
    <s v="新井薬師前駅"/>
    <n v="10"/>
    <n v="11.33"/>
    <n v="123574.88"/>
    <n v="168453.81"/>
    <n v="637"/>
    <n v="788"/>
    <s v="50-60"/>
    <x v="7"/>
  </r>
  <r>
    <s v="https://suumo.jp/chintai/jnc_000104029323/?bc=100482340248"/>
    <s v="ＪＲ総武線 中野駅 3階建 築42年"/>
    <s v="東京都中野区上高田２"/>
    <n v="80000"/>
    <n v="3000"/>
    <m/>
    <m/>
    <n v="2"/>
    <x v="3"/>
    <n v="31"/>
    <n v="42"/>
    <x v="2"/>
    <s v="新井薬師前駅"/>
    <n v="10"/>
    <n v="12.67"/>
    <n v="123574.88"/>
    <n v="168453.81"/>
    <n v="637"/>
    <n v="788"/>
    <s v="30-40"/>
    <x v="3"/>
  </r>
  <r>
    <s v="https://suumo.jp/chintai/jnc_000101925204/?bc=100464819251"/>
    <s v="Ｍａｉｓｏｎ Ｏｋａｄａ"/>
    <s v="東京都中野区上高田２"/>
    <n v="110000"/>
    <n v="2000"/>
    <n v="110000"/>
    <n v="110000"/>
    <n v="1"/>
    <x v="3"/>
    <n v="36.5"/>
    <n v="46"/>
    <x v="0"/>
    <s v="新井薬師前駅"/>
    <n v="6"/>
    <n v="14"/>
    <n v="123574.88"/>
    <n v="168453.81"/>
    <n v="637"/>
    <n v="788"/>
    <s v="30-40"/>
    <x v="3"/>
  </r>
  <r>
    <s v="https://suumo.jp/chintai/jnc_000090558265/?bc=100478473283"/>
    <s v="ＴＹ　ＨＯＵＳＥ"/>
    <s v="東京都中野区上高田２"/>
    <n v="180000"/>
    <n v="3000"/>
    <n v="180000"/>
    <m/>
    <n v="1"/>
    <x v="3"/>
    <n v="53.4"/>
    <n v="12"/>
    <x v="2"/>
    <s v="新井薬師前駅"/>
    <n v="7"/>
    <n v="11.67"/>
    <n v="123574.88"/>
    <n v="168453.81"/>
    <n v="637"/>
    <n v="788"/>
    <s v="50-60"/>
    <x v="7"/>
  </r>
  <r>
    <s v="https://suumo.jp/chintai/jnc_000103212159/?bc=100475899036"/>
    <s v="Ｖｉｌｌａ　ＳＵＢＡＲＵ"/>
    <s v="東京都中野区松が丘１"/>
    <n v="132000"/>
    <n v="3000"/>
    <n v="132000"/>
    <n v="132000"/>
    <n v="2"/>
    <x v="3"/>
    <n v="46.02"/>
    <n v="7"/>
    <x v="0"/>
    <s v="新井薬師前駅"/>
    <n v="5"/>
    <n v="10.67"/>
    <n v="123574.88"/>
    <n v="168453.81"/>
    <n v="637"/>
    <n v="788"/>
    <s v="40-50"/>
    <x v="0"/>
  </r>
  <r>
    <s v="https://suumo.jp/chintai/jnc_000103810875/?bc=100480712130"/>
    <s v="ｋａｉｌｕａ"/>
    <s v="東京都中野区上高田５"/>
    <n v="143000"/>
    <n v="6000"/>
    <n v="143000"/>
    <m/>
    <n v="1"/>
    <x v="3"/>
    <n v="41.71"/>
    <n v="2"/>
    <x v="0"/>
    <s v="新井薬師前駅"/>
    <n v="5"/>
    <n v="15.67"/>
    <n v="123574.88"/>
    <n v="168453.81"/>
    <n v="637"/>
    <n v="788"/>
    <s v="40-50"/>
    <x v="0"/>
  </r>
  <r>
    <s v="https://suumo.jp/chintai/jnc_000104295984/?bc=100484552365"/>
    <s v="AW中野松が丘"/>
    <s v="東京都中野区松が丘１"/>
    <n v="87000"/>
    <n v="3000"/>
    <m/>
    <m/>
    <n v="1"/>
    <x v="0"/>
    <n v="21.63"/>
    <n v="0"/>
    <x v="0"/>
    <s v="新井薬師前駅"/>
    <n v="7"/>
    <n v="10.33"/>
    <n v="123574.88"/>
    <n v="77692.34"/>
    <n v="637"/>
    <n v="1071"/>
    <s v="20-30"/>
    <x v="6"/>
  </r>
  <r>
    <s v="https://suumo.jp/chintai/jnc_000102993427/?bc=100400716279"/>
    <s v="B CITY APARTMENT NAKANO EAST"/>
    <s v="東京都中野区上高田３"/>
    <n v="115000"/>
    <n v="12000"/>
    <m/>
    <m/>
    <n v="3"/>
    <x v="0"/>
    <n v="25.59"/>
    <n v="10"/>
    <x v="6"/>
    <s v="新井薬師前駅"/>
    <n v="9"/>
    <n v="11.33"/>
    <n v="123574.88"/>
    <n v="77692.34"/>
    <n v="637"/>
    <n v="1071"/>
    <s v="20-30"/>
    <x v="0"/>
  </r>
  <r>
    <s v="https://suumo.jp/chintai/jnc_000102213040/?bc=100468930419"/>
    <s v="B CITY APARTMENT NAKANO EAST"/>
    <s v="東京都中野区上高田３"/>
    <n v="122000"/>
    <n v="12000"/>
    <m/>
    <m/>
    <n v="3"/>
    <x v="0"/>
    <n v="28.61"/>
    <n v="10"/>
    <x v="6"/>
    <s v="新井薬師前駅"/>
    <n v="9"/>
    <n v="11.33"/>
    <n v="123574.88"/>
    <n v="77692.34"/>
    <n v="637"/>
    <n v="1071"/>
    <s v="20-30"/>
    <x v="0"/>
  </r>
  <r>
    <s v="https://suumo.jp/chintai/jnc_000104280459/?bc=100484885281"/>
    <s v="CICADA　NAKANO"/>
    <s v="東京都中野区新井１"/>
    <n v="78000"/>
    <n v="12000"/>
    <m/>
    <n v="156000"/>
    <n v="3"/>
    <x v="0"/>
    <n v="17.03"/>
    <n v="5"/>
    <x v="7"/>
    <s v="新井薬師前駅"/>
    <n v="9"/>
    <n v="9.67"/>
    <n v="123574.88"/>
    <n v="77692.34"/>
    <n v="637"/>
    <n v="1071"/>
    <s v="10-20"/>
    <x v="0"/>
  </r>
  <r>
    <s v="https://suumo.jp/chintai/jnc_000104549002/?bc=100485369326"/>
    <s v="CICADA　NAKANO"/>
    <s v="東京都中野区新井１"/>
    <n v="75000"/>
    <n v="9500"/>
    <m/>
    <m/>
    <n v="4"/>
    <x v="0"/>
    <n v="16.02"/>
    <n v="5"/>
    <x v="7"/>
    <s v="新井薬師前駅"/>
    <n v="9"/>
    <n v="9.67"/>
    <n v="123574.88"/>
    <n v="77692.34"/>
    <n v="637"/>
    <n v="1071"/>
    <s v="10-20"/>
    <x v="0"/>
  </r>
  <r>
    <s v="https://suumo.jp/chintai/jnc_000100867701/?bc=100455593305"/>
    <s v="FARE中野III"/>
    <s v="東京都中野区新井１"/>
    <n v="90000"/>
    <n v="5000"/>
    <n v="90000"/>
    <n v="90000"/>
    <n v="4"/>
    <x v="0"/>
    <n v="18.3"/>
    <n v="10"/>
    <x v="4"/>
    <s v="新井薬師前駅"/>
    <n v="9"/>
    <n v="12"/>
    <n v="123574.88"/>
    <n v="77692.34"/>
    <n v="637"/>
    <n v="1071"/>
    <s v="10-20"/>
    <x v="0"/>
  </r>
  <r>
    <s v="https://suumo.jp/chintai/jnc_000104474371/?bc=100485962283"/>
    <s v="FUKUMOTO BLD"/>
    <s v="東京都中野区上高田２"/>
    <n v="85000"/>
    <m/>
    <n v="85000"/>
    <n v="85000"/>
    <n v="2"/>
    <x v="0"/>
    <n v="32"/>
    <n v="47"/>
    <x v="2"/>
    <s v="新井薬師前駅"/>
    <n v="6"/>
    <n v="13"/>
    <n v="123574.88"/>
    <n v="77692.34"/>
    <n v="637"/>
    <n v="1071"/>
    <s v="30-40"/>
    <x v="3"/>
  </r>
  <r>
    <s v="https://suumo.jp/chintai/jnc_000104261935/?bc=100484601319"/>
    <s v="MKC新井薬師ハイツ"/>
    <s v="東京都中野区上高田５"/>
    <n v="55000"/>
    <n v="5000"/>
    <n v="55000"/>
    <m/>
    <n v="2"/>
    <x v="0"/>
    <n v="14.85"/>
    <n v="41"/>
    <x v="2"/>
    <s v="新井薬師前駅"/>
    <n v="4"/>
    <n v="14"/>
    <n v="123574.88"/>
    <n v="77692.34"/>
    <n v="637"/>
    <n v="1071"/>
    <s v="10-20"/>
    <x v="3"/>
  </r>
  <r>
    <s v="https://suumo.jp/chintai/jnc_000103735165/?bc=100482171854"/>
    <s v="MKC新井薬師ハイツ"/>
    <s v="東京都中野区上高田５"/>
    <n v="55000"/>
    <n v="5000"/>
    <n v="55000"/>
    <m/>
    <n v="3"/>
    <x v="0"/>
    <n v="14.85"/>
    <n v="41"/>
    <x v="2"/>
    <s v="新井薬師前駅"/>
    <n v="4"/>
    <n v="14"/>
    <n v="123574.88"/>
    <n v="77692.34"/>
    <n v="637"/>
    <n v="1071"/>
    <s v="10-20"/>
    <x v="3"/>
  </r>
  <r>
    <s v="https://suumo.jp/chintai/jnc_000073777529/?bc=100483716330"/>
    <s v="Well-b薬師"/>
    <s v="東京都中野区上高田４"/>
    <n v="59000"/>
    <n v="3500"/>
    <m/>
    <n v="59000"/>
    <n v="1"/>
    <x v="0"/>
    <n v="26"/>
    <n v="50"/>
    <x v="0"/>
    <s v="新井薬師前駅"/>
    <n v="9"/>
    <n v="12.33"/>
    <n v="123574.88"/>
    <n v="77692.34"/>
    <n v="637"/>
    <n v="1071"/>
    <s v="20-30"/>
    <x v="3"/>
  </r>
  <r>
    <s v="https://suumo.jp/chintai/jnc_000066367535/?bc=100484978284"/>
    <s v="Well-b薬師"/>
    <s v="東京都中野区上高田４"/>
    <n v="45000"/>
    <m/>
    <m/>
    <n v="45000"/>
    <n v="2"/>
    <x v="0"/>
    <n v="16.5"/>
    <n v="50"/>
    <x v="0"/>
    <s v="新井薬師前駅"/>
    <n v="9"/>
    <n v="12.33"/>
    <n v="123574.88"/>
    <n v="77692.34"/>
    <n v="637"/>
    <n v="1071"/>
    <s v="10-20"/>
    <x v="3"/>
  </r>
  <r>
    <s v="https://suumo.jp/chintai/jnc_000103551233/?bc=100453691759"/>
    <s v="mer"/>
    <s v="東京都中野区新井５"/>
    <n v="146000"/>
    <n v="3000"/>
    <n v="146000"/>
    <n v="146000"/>
    <n v="1"/>
    <x v="0"/>
    <n v="36.18"/>
    <n v="4"/>
    <x v="2"/>
    <s v="新井薬師前駅"/>
    <n v="5"/>
    <n v="9.67"/>
    <n v="123574.88"/>
    <n v="77692.34"/>
    <n v="637"/>
    <n v="1071"/>
    <s v="30-40"/>
    <x v="0"/>
  </r>
  <r>
    <s v="https://suumo.jp/chintai/jnc_000103674649/?bc=100480870367"/>
    <s v="アルファ上高田"/>
    <s v="東京都中野区上高田２"/>
    <n v="62000"/>
    <n v="2000"/>
    <n v="62000"/>
    <n v="62000"/>
    <n v="2"/>
    <x v="0"/>
    <n v="19.87"/>
    <n v="33"/>
    <x v="0"/>
    <s v="新井薬師前駅"/>
    <n v="5"/>
    <n v="12.67"/>
    <n v="123574.88"/>
    <n v="77692.34"/>
    <n v="637"/>
    <n v="1071"/>
    <s v="10-20"/>
    <x v="4"/>
  </r>
  <r>
    <s v="https://suumo.jp/chintai/jnc_000104482944/?bc=100472207318"/>
    <s v="アーバンハイツ"/>
    <s v="東京都中野区上高田５"/>
    <n v="55000"/>
    <m/>
    <n v="55000"/>
    <m/>
    <n v="1"/>
    <x v="0"/>
    <n v="17"/>
    <n v="40"/>
    <x v="4"/>
    <s v="新井薬師前駅"/>
    <n v="4"/>
    <n v="12.33"/>
    <n v="123574.88"/>
    <n v="77692.34"/>
    <n v="637"/>
    <n v="1071"/>
    <s v="10-20"/>
    <x v="4"/>
  </r>
  <r>
    <s v="https://suumo.jp/chintai/jnc_000104399646/?bc=100478462663"/>
    <s v="アーバンハイツ"/>
    <s v="東京都中野区上高田５"/>
    <n v="58000"/>
    <m/>
    <n v="58000"/>
    <m/>
    <n v="2"/>
    <x v="0"/>
    <n v="15"/>
    <n v="40"/>
    <x v="4"/>
    <s v="新井薬師前駅"/>
    <n v="4"/>
    <n v="12.33"/>
    <n v="123574.88"/>
    <n v="77692.34"/>
    <n v="637"/>
    <n v="1071"/>
    <s v="10-20"/>
    <x v="4"/>
  </r>
  <r>
    <s v="https://suumo.jp/chintai/jnc_000104519160/?bc=100485535974"/>
    <s v="アーバンプレイス中野IVB"/>
    <s v="東京都中野区上高田３"/>
    <n v="46500"/>
    <m/>
    <n v="46500"/>
    <n v="46500"/>
    <n v="1"/>
    <x v="0"/>
    <n v="10.72"/>
    <n v="17"/>
    <x v="0"/>
    <s v="新井薬師前駅"/>
    <n v="3"/>
    <n v="10.33"/>
    <n v="123574.88"/>
    <n v="77692.34"/>
    <n v="637"/>
    <n v="1071"/>
    <s v="10-20"/>
    <x v="7"/>
  </r>
  <r>
    <s v="https://suumo.jp/chintai/jnc_000066764555/?bc=100476795509"/>
    <s v="アーバンプレイス新井薬師前"/>
    <s v="東京都中野区上高田５"/>
    <n v="52000"/>
    <n v="3000"/>
    <n v="52000"/>
    <m/>
    <n v="2"/>
    <x v="0"/>
    <n v="9.56"/>
    <n v="16"/>
    <x v="0"/>
    <s v="新井薬師前駅"/>
    <n v="8"/>
    <n v="8"/>
    <n v="123574.88"/>
    <n v="77692.34"/>
    <n v="637"/>
    <n v="1071"/>
    <s v="&lt;10"/>
    <x v="7"/>
  </r>
  <r>
    <s v="https://suumo.jp/chintai/jnc_000049200582/?bc=100417429349"/>
    <s v="アーバンプレイス松ヶ丘"/>
    <s v="東京都中野区松が丘１"/>
    <n v="52500"/>
    <n v="2500"/>
    <n v="52500"/>
    <n v="52500"/>
    <n v="2"/>
    <x v="0"/>
    <n v="10.3"/>
    <n v="19"/>
    <x v="0"/>
    <s v="新井薬師前駅"/>
    <n v="5"/>
    <n v="11.33"/>
    <n v="123574.88"/>
    <n v="77692.34"/>
    <n v="637"/>
    <n v="1071"/>
    <s v="10-20"/>
    <x v="7"/>
  </r>
  <r>
    <s v="https://suumo.jp/chintai/jnc_000104010569/?bc=100482170039"/>
    <s v="クラシア中野"/>
    <s v="東京都中野区上高田２"/>
    <n v="64000"/>
    <n v="4000"/>
    <m/>
    <n v="64000"/>
    <n v="1"/>
    <x v="0"/>
    <n v="11.09"/>
    <n v="2"/>
    <x v="0"/>
    <s v="新井薬師前駅"/>
    <n v="7"/>
    <n v="13.33"/>
    <n v="123574.88"/>
    <n v="77692.34"/>
    <n v="637"/>
    <n v="1071"/>
    <s v="10-20"/>
    <x v="0"/>
  </r>
  <r>
    <s v="https://suumo.jp/chintai/jnc_000103393224/?bc=100477133955"/>
    <s v="クレセント村松"/>
    <s v="東京都中野区上高田２"/>
    <n v="57000"/>
    <n v="5000"/>
    <n v="57000"/>
    <n v="57000"/>
    <n v="2"/>
    <x v="0"/>
    <n v="17"/>
    <n v="45"/>
    <x v="4"/>
    <s v="新井薬師前駅"/>
    <n v="5"/>
    <n v="8.5"/>
    <n v="123574.88"/>
    <n v="77692.34"/>
    <n v="637"/>
    <n v="1071"/>
    <s v="10-20"/>
    <x v="3"/>
  </r>
  <r>
    <s v="https://suumo.jp/chintai/jnc_000103551580/?bc=100480685108"/>
    <s v="グレースクイーン"/>
    <s v="東京都練馬区旭丘１"/>
    <n v="50000"/>
    <n v="3000"/>
    <m/>
    <m/>
    <n v="2"/>
    <x v="0"/>
    <n v="10.46"/>
    <n v="16"/>
    <x v="0"/>
    <s v="新井薬師前駅"/>
    <n v="7"/>
    <n v="8"/>
    <n v="123574.88"/>
    <n v="77692.34"/>
    <n v="637"/>
    <n v="1071"/>
    <s v="10-20"/>
    <x v="7"/>
  </r>
  <r>
    <s v="https://suumo.jp/chintai/jnc_000103500318/?bc=100477962034"/>
    <s v="コンフォ－ト上高田"/>
    <s v="東京都中野区上高田５"/>
    <n v="63000"/>
    <n v="2000"/>
    <n v="63000"/>
    <m/>
    <n v="2"/>
    <x v="0"/>
    <n v="16.93"/>
    <n v="22"/>
    <x v="0"/>
    <s v="新井薬師前駅"/>
    <n v="4"/>
    <n v="13"/>
    <n v="123574.88"/>
    <n v="77692.34"/>
    <n v="637"/>
    <n v="1071"/>
    <s v="10-20"/>
    <x v="1"/>
  </r>
  <r>
    <s v="https://suumo.jp/chintai/jnc_000103386540/?bc=100477128767"/>
    <s v="コーポ金子"/>
    <s v="東京都中野区新井５"/>
    <n v="84000"/>
    <n v="1000"/>
    <n v="84000"/>
    <n v="84000"/>
    <n v="1"/>
    <x v="0"/>
    <n v="29.3"/>
    <n v="46"/>
    <x v="0"/>
    <s v="新井薬師前駅"/>
    <n v="5"/>
    <n v="10"/>
    <n v="123574.88"/>
    <n v="77692.34"/>
    <n v="637"/>
    <n v="1071"/>
    <s v="20-30"/>
    <x v="3"/>
  </r>
  <r>
    <s v="https://suumo.jp/chintai/jnc_000104426250/?bc=100485684823"/>
    <s v="サニーフィールド中野"/>
    <s v="東京都中野区上高田１"/>
    <n v="54000"/>
    <m/>
    <n v="54000"/>
    <n v="54000"/>
    <n v="1"/>
    <x v="0"/>
    <n v="12"/>
    <n v="22"/>
    <x v="0"/>
    <s v="新井薬師前駅"/>
    <n v="9"/>
    <n v="11.67"/>
    <n v="123574.88"/>
    <n v="77692.34"/>
    <n v="637"/>
    <n v="1071"/>
    <s v="10-20"/>
    <x v="1"/>
  </r>
  <r>
    <s v="https://suumo.jp/chintai/jnc_000095814882/?bc=100417817969"/>
    <s v="シダーハイツ"/>
    <s v="東京都中野区新井１"/>
    <n v="53000"/>
    <n v="2000"/>
    <n v="53000"/>
    <n v="53000"/>
    <n v="1"/>
    <x v="0"/>
    <n v="15"/>
    <n v="36"/>
    <x v="2"/>
    <s v="新井薬師前駅"/>
    <n v="7"/>
    <n v="9.33"/>
    <n v="123574.88"/>
    <n v="77692.34"/>
    <n v="637"/>
    <n v="1071"/>
    <s v="10-20"/>
    <x v="4"/>
  </r>
  <r>
    <s v="https://suumo.jp/chintai/jnc_000104021459/?bc=100483929304"/>
    <s v="シャレー薬師前"/>
    <s v="東京都中野区上高田３"/>
    <n v="53000"/>
    <n v="1000"/>
    <n v="53000"/>
    <n v="53000"/>
    <n v="2"/>
    <x v="0"/>
    <n v="19"/>
    <n v="61"/>
    <x v="0"/>
    <s v="新井薬師前駅"/>
    <n v="3"/>
    <n v="12.67"/>
    <n v="123574.88"/>
    <n v="77692.34"/>
    <n v="637"/>
    <n v="1071"/>
    <s v="10-20"/>
    <x v="2"/>
  </r>
  <r>
    <s v="https://suumo.jp/chintai/jnc_000102837172/?bc=100472987365"/>
    <s v="シャンブル中野"/>
    <s v="東京都中野区上高田２"/>
    <n v="44000"/>
    <n v="4000"/>
    <m/>
    <m/>
    <n v="1"/>
    <x v="0"/>
    <n v="14"/>
    <n v="41"/>
    <x v="0"/>
    <s v="新井薬師前駅"/>
    <n v="7"/>
    <n v="12"/>
    <n v="123574.88"/>
    <n v="77692.34"/>
    <n v="637"/>
    <n v="1071"/>
    <s v="10-20"/>
    <x v="3"/>
  </r>
  <r>
    <s v="https://suumo.jp/chintai/jnc_000104156743/?bc=100483722890"/>
    <s v="シャンブル中野"/>
    <s v="東京都中野区上高田２"/>
    <n v="44000"/>
    <n v="4000"/>
    <m/>
    <m/>
    <n v="2"/>
    <x v="0"/>
    <n v="14"/>
    <n v="41"/>
    <x v="0"/>
    <s v="新井薬師前駅"/>
    <n v="7"/>
    <n v="12"/>
    <n v="123574.88"/>
    <n v="77692.34"/>
    <n v="637"/>
    <n v="1071"/>
    <s v="10-20"/>
    <x v="3"/>
  </r>
  <r>
    <s v="https://suumo.jp/chintai/jnc_000104399643/?bc=100485706455"/>
    <s v="ジョイフル上高田"/>
    <s v="東京都中野区上高田２"/>
    <n v="72000"/>
    <n v="3000"/>
    <n v="72000"/>
    <n v="72000"/>
    <n v="3"/>
    <x v="0"/>
    <n v="21.84"/>
    <n v="25"/>
    <x v="2"/>
    <s v="新井薬師前駅"/>
    <n v="8"/>
    <n v="14.33"/>
    <n v="123574.88"/>
    <n v="77692.34"/>
    <n v="637"/>
    <n v="1071"/>
    <s v="20-30"/>
    <x v="1"/>
  </r>
  <r>
    <s v="https://suumo.jp/chintai/jnc_000102875077/?bc=100484172431"/>
    <s v="スカイコートグレース中野哲学堂"/>
    <s v="東京都中野区松が丘２"/>
    <n v="117200"/>
    <n v="12800"/>
    <n v="117200"/>
    <n v="117200"/>
    <n v="1"/>
    <x v="0"/>
    <n v="35.130000000000003"/>
    <n v="5"/>
    <x v="7"/>
    <s v="新井薬師前駅"/>
    <n v="10"/>
    <n v="13"/>
    <n v="123574.88"/>
    <n v="77692.34"/>
    <n v="637"/>
    <n v="1071"/>
    <s v="30-40"/>
    <x v="0"/>
  </r>
  <r>
    <s v="https://suumo.jp/chintai/jnc_000088265412/?bc=100485819464"/>
    <s v="スクエア新井薬師前"/>
    <s v="東京都中野区新井５"/>
    <n v="65000"/>
    <n v="10000"/>
    <m/>
    <m/>
    <n v="3"/>
    <x v="0"/>
    <n v="17.36"/>
    <n v="5"/>
    <x v="2"/>
    <s v="新井薬師前駅"/>
    <n v="2"/>
    <n v="8.67"/>
    <n v="123574.88"/>
    <n v="77692.34"/>
    <n v="637"/>
    <n v="1071"/>
    <s v="10-20"/>
    <x v="0"/>
  </r>
  <r>
    <s v="https://suumo.jp/chintai/jnc_000104464938/?bc=100485933543"/>
    <s v="スクエア新井薬師前"/>
    <s v="東京都中野区新井５"/>
    <n v="70000"/>
    <n v="10000"/>
    <m/>
    <m/>
    <n v="3"/>
    <x v="0"/>
    <n v="17.36"/>
    <n v="5"/>
    <x v="2"/>
    <s v="新井薬師前駅"/>
    <n v="2"/>
    <n v="8.67"/>
    <n v="123574.88"/>
    <n v="77692.34"/>
    <n v="637"/>
    <n v="1071"/>
    <s v="10-20"/>
    <x v="0"/>
  </r>
  <r>
    <s v="https://suumo.jp/chintai/jnc_000085975830/?bc=100483816753"/>
    <s v="ツインフォーラムウエスト"/>
    <s v="東京都中野区上高田５"/>
    <n v="68000"/>
    <n v="2000"/>
    <m/>
    <m/>
    <n v="3"/>
    <x v="0"/>
    <n v="22"/>
    <n v="33"/>
    <x v="7"/>
    <s v="新井薬師前駅"/>
    <n v="2"/>
    <n v="12.67"/>
    <n v="123574.88"/>
    <n v="77692.34"/>
    <n v="637"/>
    <n v="1071"/>
    <s v="20-30"/>
    <x v="4"/>
  </r>
  <r>
    <s v="https://suumo.jp/chintai/jnc_000050153721/?bc=100486093430"/>
    <s v="デュオメゾン中野通り"/>
    <s v="東京都中野区松が丘２"/>
    <n v="77000"/>
    <n v="4000"/>
    <m/>
    <m/>
    <n v="2"/>
    <x v="0"/>
    <n v="15.94"/>
    <n v="7"/>
    <x v="2"/>
    <s v="新井薬師前駅"/>
    <n v="7"/>
    <n v="11.67"/>
    <n v="123574.88"/>
    <n v="77692.34"/>
    <n v="637"/>
    <n v="1071"/>
    <s v="10-20"/>
    <x v="0"/>
  </r>
  <r>
    <s v="https://suumo.jp/chintai/jnc_000102023895/?bc=100467664490"/>
    <s v="ドリーム中野"/>
    <s v="東京都中野区上高田１"/>
    <n v="53000"/>
    <n v="3000"/>
    <m/>
    <m/>
    <n v="2"/>
    <x v="0"/>
    <n v="11.88"/>
    <n v="22"/>
    <x v="0"/>
    <s v="新井薬師前駅"/>
    <n v="11"/>
    <n v="13.67"/>
    <n v="123574.88"/>
    <n v="77692.34"/>
    <n v="637"/>
    <n v="1071"/>
    <s v="10-20"/>
    <x v="1"/>
  </r>
  <r>
    <s v="https://suumo.jp/chintai/jnc_000104373062/?bc=100485145767"/>
    <s v="ハイシティ中野"/>
    <s v="東京都中野区上高田３"/>
    <n v="59000"/>
    <n v="9000"/>
    <m/>
    <m/>
    <n v="3"/>
    <x v="0"/>
    <n v="14.48"/>
    <n v="43"/>
    <x v="4"/>
    <s v="新井薬師前駅"/>
    <n v="6"/>
    <n v="13.33"/>
    <n v="123574.88"/>
    <n v="77692.34"/>
    <n v="637"/>
    <n v="1071"/>
    <s v="10-20"/>
    <x v="3"/>
  </r>
  <r>
    <s v="https://suumo.jp/chintai/jnc_000104326794/?bc=100484786469"/>
    <s v="ハイツシマザキ"/>
    <s v="東京都中野区上高田２"/>
    <n v="55000"/>
    <n v="1000"/>
    <n v="55000"/>
    <n v="55000"/>
    <n v="2"/>
    <x v="0"/>
    <n v="19.2"/>
    <n v="42"/>
    <x v="0"/>
    <s v="新井薬師前駅"/>
    <n v="4"/>
    <n v="10.67"/>
    <n v="123574.88"/>
    <n v="77692.34"/>
    <n v="637"/>
    <n v="1071"/>
    <s v="10-20"/>
    <x v="3"/>
  </r>
  <r>
    <s v="https://suumo.jp/chintai/jnc_000104368672/?bc=100485069252"/>
    <s v="ハイツベルキャビン"/>
    <s v="東京都中野区上高田２"/>
    <n v="63000"/>
    <n v="2000"/>
    <n v="63000"/>
    <n v="63000"/>
    <n v="2"/>
    <x v="0"/>
    <n v="22.36"/>
    <n v="36"/>
    <x v="0"/>
    <s v="新井薬師前駅"/>
    <n v="6"/>
    <n v="11"/>
    <n v="123574.88"/>
    <n v="77692.34"/>
    <n v="637"/>
    <n v="1071"/>
    <s v="20-30"/>
    <x v="4"/>
  </r>
  <r>
    <s v="https://suumo.jp/chintai/jnc_000102572862/?bc=100480008660"/>
    <s v="ハイムカトレア中野"/>
    <s v="東京都中野区新井１"/>
    <n v="53000"/>
    <n v="2000"/>
    <n v="53000"/>
    <n v="53000"/>
    <n v="1"/>
    <x v="0"/>
    <n v="17.5"/>
    <n v="35"/>
    <x v="0"/>
    <s v="新井薬師前駅"/>
    <n v="10"/>
    <n v="12.33"/>
    <n v="123574.88"/>
    <n v="77692.34"/>
    <n v="637"/>
    <n v="1071"/>
    <s v="10-20"/>
    <x v="4"/>
  </r>
  <r>
    <s v="https://suumo.jp/chintai/jnc_000097985620/?bc=100408353980"/>
    <s v="ハイムカトレア中野"/>
    <s v="東京都中野区新井１"/>
    <n v="55000"/>
    <m/>
    <n v="55000"/>
    <m/>
    <n v="1"/>
    <x v="0"/>
    <n v="17"/>
    <n v="35"/>
    <x v="0"/>
    <s v="新井薬師前駅"/>
    <n v="10"/>
    <n v="12.33"/>
    <n v="123574.88"/>
    <n v="77692.34"/>
    <n v="637"/>
    <n v="1071"/>
    <s v="10-20"/>
    <x v="4"/>
  </r>
  <r>
    <s v="https://suumo.jp/chintai/jnc_000097985621/?bc=100477806159"/>
    <s v="ハイムカトレア中野"/>
    <s v="東京都中野区新井１"/>
    <n v="55000"/>
    <n v="2000"/>
    <n v="55000"/>
    <n v="55000"/>
    <n v="1"/>
    <x v="0"/>
    <n v="20"/>
    <n v="35"/>
    <x v="0"/>
    <s v="新井薬師前駅"/>
    <n v="10"/>
    <n v="12.33"/>
    <n v="123574.88"/>
    <n v="77692.34"/>
    <n v="637"/>
    <n v="1071"/>
    <s v="20-30"/>
    <x v="4"/>
  </r>
  <r>
    <s v="https://suumo.jp/chintai/jnc_000102914888/?bc=100398365331"/>
    <s v="ハナサカス中野【女性専用】"/>
    <s v="東京都中野区上高田１"/>
    <n v="30000"/>
    <n v="15000"/>
    <m/>
    <m/>
    <n v="1"/>
    <x v="0"/>
    <n v="7"/>
    <n v="11"/>
    <x v="0"/>
    <s v="新井薬師前駅"/>
    <n v="7"/>
    <n v="13.67"/>
    <n v="123574.88"/>
    <n v="77692.34"/>
    <n v="637"/>
    <n v="1071"/>
    <s v="&lt;10"/>
    <x v="7"/>
  </r>
  <r>
    <s v="https://suumo.jp/chintai/jnc_000104357186/?bc=100485013444"/>
    <s v="ハラスパジオ中野"/>
    <s v="東京都中野区新井１"/>
    <n v="67000"/>
    <n v="3000"/>
    <m/>
    <n v="67000"/>
    <n v="2"/>
    <x v="0"/>
    <n v="16.37"/>
    <n v="37"/>
    <x v="10"/>
    <s v="新井薬師前駅"/>
    <n v="8"/>
    <n v="12"/>
    <n v="123574.88"/>
    <n v="77692.34"/>
    <n v="637"/>
    <n v="1071"/>
    <s v="10-20"/>
    <x v="4"/>
  </r>
  <r>
    <s v="https://suumo.jp/chintai/jnc_000104207773/?bc=100483968392"/>
    <s v="バードウィング上高田"/>
    <s v="東京都中野区上高田５"/>
    <n v="50000"/>
    <n v="3000"/>
    <m/>
    <m/>
    <n v="1"/>
    <x v="0"/>
    <n v="12"/>
    <n v="17"/>
    <x v="0"/>
    <s v="新井薬師前駅"/>
    <n v="4"/>
    <n v="15"/>
    <n v="123574.88"/>
    <n v="77692.34"/>
    <n v="637"/>
    <n v="1071"/>
    <s v="10-20"/>
    <x v="7"/>
  </r>
  <r>
    <s v="https://suumo.jp/chintai/jnc_000103798523/?bc=100481131061"/>
    <s v="パティーナ中野"/>
    <s v="東京都中野区新井４"/>
    <n v="118000"/>
    <n v="10000"/>
    <m/>
    <m/>
    <n v="1"/>
    <x v="0"/>
    <n v="28.44"/>
    <n v="3"/>
    <x v="4"/>
    <s v="新井薬師前駅"/>
    <n v="6"/>
    <n v="9.67"/>
    <n v="123574.88"/>
    <n v="77692.34"/>
    <n v="637"/>
    <n v="1071"/>
    <s v="20-30"/>
    <x v="0"/>
  </r>
  <r>
    <s v="https://suumo.jp/chintai/jnc_000104132642/?bc=100483809148"/>
    <s v="パレ・ドール中野"/>
    <s v="東京都中野区新井５"/>
    <n v="58000"/>
    <n v="7000"/>
    <n v="58000"/>
    <n v="58000"/>
    <n v="3"/>
    <x v="0"/>
    <n v="16.8"/>
    <n v="42"/>
    <x v="5"/>
    <s v="新井薬師前駅"/>
    <n v="4"/>
    <n v="9.67"/>
    <n v="123574.88"/>
    <n v="77692.34"/>
    <n v="637"/>
    <n v="1071"/>
    <s v="10-20"/>
    <x v="3"/>
  </r>
  <r>
    <s v="https://suumo.jp/chintai/jnc_000104295988/?bc=100484764664"/>
    <s v="パレ・ドール中野第２"/>
    <s v="東京都中野区松が丘１"/>
    <n v="65000"/>
    <n v="3000"/>
    <n v="65000"/>
    <m/>
    <n v="2"/>
    <x v="0"/>
    <n v="16.78"/>
    <n v="41"/>
    <x v="4"/>
    <s v="新井薬師前駅"/>
    <n v="4"/>
    <n v="11.67"/>
    <n v="123574.88"/>
    <n v="77692.34"/>
    <n v="637"/>
    <n v="1071"/>
    <s v="10-20"/>
    <x v="3"/>
  </r>
  <r>
    <s v="https://suumo.jp/chintai/jnc_000098609715/?bc=100481961374"/>
    <s v="ファサードクロス"/>
    <s v="東京都中野区松が丘２"/>
    <n v="40000"/>
    <n v="3000"/>
    <n v="40000"/>
    <m/>
    <n v="1"/>
    <x v="0"/>
    <n v="13"/>
    <n v="37"/>
    <x v="0"/>
    <s v="新井薬師前駅"/>
    <n v="7"/>
    <n v="13.67"/>
    <n v="123574.88"/>
    <n v="77692.34"/>
    <n v="637"/>
    <n v="1071"/>
    <s v="10-20"/>
    <x v="4"/>
  </r>
  <r>
    <s v="https://suumo.jp/chintai/jnc_000103551230/?bc=100478804430"/>
    <s v="ファーレ中野II"/>
    <s v="東京都中野区新井１"/>
    <n v="100000"/>
    <n v="12000"/>
    <m/>
    <m/>
    <n v="2"/>
    <x v="0"/>
    <n v="16.84"/>
    <n v="10"/>
    <x v="4"/>
    <s v="新井薬師前駅"/>
    <n v="7"/>
    <n v="9.5"/>
    <n v="123574.88"/>
    <n v="77692.34"/>
    <n v="637"/>
    <n v="1071"/>
    <s v="10-20"/>
    <x v="0"/>
  </r>
  <r>
    <s v="https://suumo.jp/chintai/jnc_000104196465/?bc=100484083055"/>
    <s v="フェリスステージ"/>
    <s v="東京都中野区上高田５"/>
    <n v="55000"/>
    <n v="3000"/>
    <m/>
    <m/>
    <n v="2"/>
    <x v="0"/>
    <n v="9.83"/>
    <n v="12"/>
    <x v="0"/>
    <s v="新井薬師前駅"/>
    <n v="5"/>
    <n v="13"/>
    <n v="123574.88"/>
    <n v="77692.34"/>
    <n v="637"/>
    <n v="1071"/>
    <s v="&lt;10"/>
    <x v="7"/>
  </r>
  <r>
    <s v="https://suumo.jp/chintai/jnc_000103717507/?bc=100480361909"/>
    <s v="ブランシェ哲学堂通り"/>
    <s v="東京都中野区新井５"/>
    <n v="89000"/>
    <n v="5000"/>
    <n v="89000"/>
    <m/>
    <n v="1"/>
    <x v="0"/>
    <n v="25.05"/>
    <n v="13"/>
    <x v="4"/>
    <s v="新井薬師前駅"/>
    <n v="3"/>
    <n v="9.67"/>
    <n v="123574.88"/>
    <n v="77692.34"/>
    <n v="637"/>
    <n v="1071"/>
    <s v="20-30"/>
    <x v="7"/>
  </r>
  <r>
    <s v="https://suumo.jp/chintai/jnc_000103605596/?bc=100479225936"/>
    <s v="プレール・ドゥーク中野上高田"/>
    <s v="東京都中野区上高田３"/>
    <n v="110000"/>
    <n v="10000"/>
    <m/>
    <n v="110000"/>
    <n v="1"/>
    <x v="0"/>
    <n v="25.65"/>
    <n v="2"/>
    <x v="4"/>
    <s v="新井薬師前駅"/>
    <n v="5"/>
    <n v="11.33"/>
    <n v="123574.88"/>
    <n v="77692.34"/>
    <n v="637"/>
    <n v="1071"/>
    <s v="20-30"/>
    <x v="0"/>
  </r>
  <r>
    <s v="https://suumo.jp/chintai/jnc_000096533350/?bc=100485991761"/>
    <s v="プレール・ドゥーク中野上高田"/>
    <s v="東京都中野区上高田３"/>
    <n v="140000"/>
    <n v="11000"/>
    <m/>
    <n v="140000"/>
    <n v="2"/>
    <x v="0"/>
    <n v="25.5"/>
    <n v="2"/>
    <x v="4"/>
    <s v="新井薬師前駅"/>
    <n v="5"/>
    <n v="11.33"/>
    <n v="123574.88"/>
    <n v="77692.34"/>
    <n v="637"/>
    <n v="1071"/>
    <s v="20-30"/>
    <x v="0"/>
  </r>
  <r>
    <s v="https://suumo.jp/chintai/jnc_000096533348/?bc=100405795919"/>
    <s v="プレール・ドゥーク中野上高田"/>
    <s v="東京都中野区上高田３"/>
    <n v="140000"/>
    <n v="11000"/>
    <m/>
    <n v="140000"/>
    <n v="2"/>
    <x v="0"/>
    <n v="25.65"/>
    <n v="2"/>
    <x v="4"/>
    <s v="新井薬師前駅"/>
    <n v="5"/>
    <n v="11.33"/>
    <n v="123574.88"/>
    <n v="77692.34"/>
    <n v="637"/>
    <n v="1071"/>
    <s v="20-30"/>
    <x v="0"/>
  </r>
  <r>
    <s v="https://suumo.jp/chintai/jnc_000096533352/?bc=100418797587"/>
    <s v="プレール・ドゥーク中野上高田"/>
    <s v="東京都中野区上高田３"/>
    <n v="140000"/>
    <n v="11000"/>
    <m/>
    <n v="140000"/>
    <n v="2"/>
    <x v="0"/>
    <n v="25.68"/>
    <n v="2"/>
    <x v="4"/>
    <s v="新井薬師前駅"/>
    <n v="5"/>
    <n v="11.33"/>
    <n v="123574.88"/>
    <n v="77692.34"/>
    <n v="637"/>
    <n v="1071"/>
    <s v="20-30"/>
    <x v="0"/>
  </r>
  <r>
    <s v="https://suumo.jp/chintai/jnc_000096533356/?bc=100450518637"/>
    <s v="プレール・ドゥーク中野上高田"/>
    <s v="東京都中野区上高田３"/>
    <n v="141000"/>
    <n v="11000"/>
    <m/>
    <n v="141000"/>
    <n v="3"/>
    <x v="0"/>
    <n v="25.5"/>
    <n v="2"/>
    <x v="4"/>
    <s v="新井薬師前駅"/>
    <n v="5"/>
    <n v="11.33"/>
    <n v="123574.88"/>
    <n v="77692.34"/>
    <n v="637"/>
    <n v="1071"/>
    <s v="20-30"/>
    <x v="0"/>
  </r>
  <r>
    <s v="https://suumo.jp/chintai/jnc_000096533354/?bc=100486220301"/>
    <s v="プレール・ドゥーク中野上高田"/>
    <s v="東京都中野区上高田３"/>
    <n v="141000"/>
    <n v="11000"/>
    <m/>
    <n v="141000"/>
    <n v="3"/>
    <x v="0"/>
    <n v="25.65"/>
    <n v="2"/>
    <x v="4"/>
    <s v="新井薬師前駅"/>
    <n v="5"/>
    <n v="11.33"/>
    <n v="123574.88"/>
    <n v="77692.34"/>
    <n v="637"/>
    <n v="1071"/>
    <s v="20-30"/>
    <x v="0"/>
  </r>
  <r>
    <s v="https://suumo.jp/chintai/jnc_000103837767/?bc=100480237260"/>
    <s v="モンテローザ中野"/>
    <s v="東京都中野区上高田２"/>
    <n v="58000"/>
    <n v="4000"/>
    <n v="58000"/>
    <n v="58000"/>
    <n v="2"/>
    <x v="0"/>
    <n v="17"/>
    <n v="32"/>
    <x v="2"/>
    <s v="新井薬師前駅"/>
    <n v="5"/>
    <n v="12.33"/>
    <n v="123574.88"/>
    <n v="77692.34"/>
    <n v="637"/>
    <n v="1071"/>
    <s v="10-20"/>
    <x v="4"/>
  </r>
  <r>
    <s v="https://suumo.jp/chintai/jnc_000104464950/?bc=100485861664"/>
    <s v="ライフピアフォルム"/>
    <s v="東京都中野区上高田２"/>
    <n v="40000"/>
    <n v="2000"/>
    <n v="40000"/>
    <m/>
    <n v="2"/>
    <x v="0"/>
    <n v="11"/>
    <n v="35"/>
    <x v="0"/>
    <s v="新井薬師前駅"/>
    <n v="5"/>
    <n v="10"/>
    <n v="123574.88"/>
    <n v="77692.34"/>
    <n v="637"/>
    <n v="1071"/>
    <s v="10-20"/>
    <x v="4"/>
  </r>
  <r>
    <s v="https://suumo.jp/chintai/jnc_000104525886/?bc=100486296420"/>
    <s v="ライフピア上高田"/>
    <s v="東京都中野区上高田１"/>
    <n v="47000"/>
    <n v="3000"/>
    <m/>
    <m/>
    <n v="1"/>
    <x v="0"/>
    <n v="11.81"/>
    <n v="21"/>
    <x v="0"/>
    <s v="新井薬師前駅"/>
    <n v="9"/>
    <n v="11.5"/>
    <n v="123574.88"/>
    <n v="77692.34"/>
    <n v="637"/>
    <n v="1071"/>
    <s v="10-20"/>
    <x v="1"/>
  </r>
  <r>
    <s v="https://suumo.jp/chintai/jnc_000073728757/?bc=100279784702"/>
    <s v="ルミエールII"/>
    <s v="東京都中野区上高田２"/>
    <n v="73000"/>
    <n v="3000"/>
    <n v="73000"/>
    <n v="73000"/>
    <n v="1"/>
    <x v="0"/>
    <n v="27.33"/>
    <n v="55"/>
    <x v="0"/>
    <s v="新井薬師前駅"/>
    <n v="6"/>
    <n v="10"/>
    <n v="123574.88"/>
    <n v="77692.34"/>
    <n v="637"/>
    <n v="1071"/>
    <s v="20-30"/>
    <x v="5"/>
  </r>
  <r>
    <s v="https://suumo.jp/chintai/jnc_000104003962/?bc=100482136839"/>
    <s v="レジデンス中野"/>
    <s v="東京都中野区新井５"/>
    <n v="65000"/>
    <n v="3000"/>
    <n v="65000"/>
    <n v="65000"/>
    <n v="1"/>
    <x v="0"/>
    <n v="17"/>
    <n v="31"/>
    <x v="2"/>
    <s v="新井薬師前駅"/>
    <n v="2"/>
    <n v="9.67"/>
    <n v="123574.88"/>
    <n v="77692.34"/>
    <n v="637"/>
    <n v="1071"/>
    <s v="10-20"/>
    <x v="4"/>
  </r>
  <r>
    <s v="https://suumo.jp/chintai/jnc_000104015951/?bc=100483419657"/>
    <s v="レバランス畑口"/>
    <s v="東京都中野区上高田２"/>
    <n v="110000"/>
    <m/>
    <n v="110000"/>
    <n v="110000"/>
    <n v="2"/>
    <x v="0"/>
    <n v="25.2"/>
    <n v="29"/>
    <x v="2"/>
    <s v="新井薬師前駅"/>
    <n v="6"/>
    <n v="10.33"/>
    <n v="123574.88"/>
    <n v="77692.34"/>
    <n v="637"/>
    <n v="1071"/>
    <s v="20-30"/>
    <x v="1"/>
  </r>
  <r>
    <s v="https://suumo.jp/chintai/jnc_000101241242/?bc=100345232451"/>
    <s v="上高田ハイツ"/>
    <s v="東京都中野区上高田２"/>
    <n v="63000"/>
    <n v="2000"/>
    <n v="63000"/>
    <n v="63000"/>
    <n v="2"/>
    <x v="0"/>
    <n v="18"/>
    <n v="51"/>
    <x v="0"/>
    <s v="新井薬師前駅"/>
    <n v="10"/>
    <n v="12.33"/>
    <n v="123574.88"/>
    <n v="77692.34"/>
    <n v="637"/>
    <n v="1071"/>
    <s v="10-20"/>
    <x v="5"/>
  </r>
  <r>
    <s v="https://suumo.jp/chintai/jnc_000104063966/?bc=100482722539"/>
    <s v="二葉荘"/>
    <s v="東京都中野区松が丘１"/>
    <n v="35000"/>
    <n v="3000"/>
    <n v="35000"/>
    <n v="35000"/>
    <n v="2"/>
    <x v="0"/>
    <n v="13"/>
    <n v="56"/>
    <x v="0"/>
    <s v="新井薬師前駅"/>
    <n v="3"/>
    <n v="15"/>
    <n v="123574.88"/>
    <n v="77692.34"/>
    <n v="637"/>
    <n v="1071"/>
    <s v="10-20"/>
    <x v="5"/>
  </r>
  <r>
    <s v="https://suumo.jp/chintai/jnc_000100875965/?bc=100457511382"/>
    <s v="本間荘"/>
    <s v="東京都中野区新井４"/>
    <n v="28000"/>
    <n v="2000"/>
    <n v="28000"/>
    <n v="28000"/>
    <n v="2"/>
    <x v="0"/>
    <n v="9.31"/>
    <n v="55"/>
    <x v="0"/>
    <s v="新井薬師前駅"/>
    <n v="6"/>
    <n v="10"/>
    <n v="123574.88"/>
    <n v="77692.34"/>
    <n v="637"/>
    <n v="1071"/>
    <s v="&lt;10"/>
    <x v="5"/>
  </r>
  <r>
    <s v="https://suumo.jp/chintai/jnc_000051967169/?bc=100485617410"/>
    <s v="松ヶ丘アーバンハイム"/>
    <s v="東京都中野区松が丘２"/>
    <n v="62000"/>
    <n v="3000"/>
    <m/>
    <m/>
    <n v="3"/>
    <x v="0"/>
    <n v="19.559999999999999"/>
    <n v="40"/>
    <x v="2"/>
    <s v="新井薬師前駅"/>
    <n v="5"/>
    <n v="10"/>
    <n v="123574.88"/>
    <n v="77692.34"/>
    <n v="637"/>
    <n v="1071"/>
    <s v="10-20"/>
    <x v="4"/>
  </r>
  <r>
    <s v="https://suumo.jp/chintai/jnc_000062563427/?bc=100457511183"/>
    <s v="森ハウス"/>
    <s v="東京都中野区松が丘１"/>
    <n v="44000"/>
    <n v="1000"/>
    <n v="44000"/>
    <m/>
    <n v="2"/>
    <x v="0"/>
    <n v="15"/>
    <n v="59"/>
    <x v="0"/>
    <s v="新井薬師前駅"/>
    <n v="7"/>
    <n v="11"/>
    <n v="123574.88"/>
    <n v="77692.34"/>
    <n v="637"/>
    <n v="1071"/>
    <s v="10-20"/>
    <x v="5"/>
  </r>
  <r>
    <s v="https://suumo.jp/chintai/jnc_000063736532/?bc=100456857666"/>
    <s v="森ハウス"/>
    <s v="東京都中野区松が丘１"/>
    <n v="54000"/>
    <n v="1000"/>
    <n v="54000"/>
    <m/>
    <n v="2"/>
    <x v="0"/>
    <n v="17"/>
    <n v="59"/>
    <x v="0"/>
    <s v="新井薬師前駅"/>
    <n v="7"/>
    <n v="11"/>
    <n v="123574.88"/>
    <n v="77692.34"/>
    <n v="637"/>
    <n v="1071"/>
    <s v="10-20"/>
    <x v="5"/>
  </r>
  <r>
    <s v="https://suumo.jp/chintai/jnc_000099954314/?bc=100447635257"/>
    <s v="森岡ビル"/>
    <s v="東京都中野区新井５"/>
    <n v="63000"/>
    <m/>
    <n v="63000"/>
    <m/>
    <n v="2"/>
    <x v="0"/>
    <n v="15"/>
    <n v="37"/>
    <x v="4"/>
    <s v="新井薬師前駅"/>
    <n v="3"/>
    <n v="11"/>
    <n v="123574.88"/>
    <n v="77692.34"/>
    <n v="637"/>
    <n v="1071"/>
    <s v="10-20"/>
    <x v="4"/>
  </r>
  <r>
    <s v="https://suumo.jp/chintai/jnc_000022759488/?bc=100467246299"/>
    <s v="森岡ビル"/>
    <s v="東京都中野区新井５"/>
    <n v="60000"/>
    <m/>
    <n v="60000"/>
    <n v="60000"/>
    <n v="2"/>
    <x v="0"/>
    <n v="17"/>
    <n v="37"/>
    <x v="4"/>
    <s v="新井薬師前駅"/>
    <n v="3"/>
    <n v="11"/>
    <n v="123574.88"/>
    <n v="77692.34"/>
    <n v="637"/>
    <n v="1071"/>
    <s v="10-20"/>
    <x v="4"/>
  </r>
  <r>
    <s v="https://suumo.jp/chintai/jnc_000104357191/?bc=100454763974"/>
    <s v="第２富士ビル"/>
    <s v="東京都中野区新井５"/>
    <n v="95000"/>
    <m/>
    <n v="95000"/>
    <n v="95000"/>
    <n v="4"/>
    <x v="0"/>
    <n v="18.670000000000002"/>
    <n v="39"/>
    <x v="4"/>
    <s v="新井薬師前駅"/>
    <n v="3"/>
    <n v="11"/>
    <n v="123574.88"/>
    <n v="77692.34"/>
    <n v="637"/>
    <n v="1071"/>
    <s v="10-20"/>
    <x v="4"/>
  </r>
  <r>
    <s v="https://suumo.jp/chintai/jnc_000101487465/?bc=100456228491"/>
    <s v="美樹ハウス"/>
    <s v="東京都中野区上高田２"/>
    <n v="50000"/>
    <m/>
    <n v="50000"/>
    <n v="50000"/>
    <n v="1"/>
    <x v="0"/>
    <n v="11"/>
    <n v="45"/>
    <x v="0"/>
    <s v="新井薬師前駅"/>
    <n v="5"/>
    <n v="11.67"/>
    <n v="123574.88"/>
    <n v="77692.34"/>
    <n v="637"/>
    <n v="1071"/>
    <s v="10-20"/>
    <x v="3"/>
  </r>
  <r>
    <s v="https://suumo.jp/chintai/jnc_000077404073/?bc=100482292305"/>
    <s v="西武新宿線 新井薬師前駅 2階建 築10年"/>
    <s v="東京都中野区新井４"/>
    <n v="49000"/>
    <n v="3000"/>
    <m/>
    <m/>
    <n v="1"/>
    <x v="0"/>
    <n v="9.31"/>
    <n v="10"/>
    <x v="0"/>
    <s v="新井薬師前駅"/>
    <n v="6"/>
    <n v="10.33"/>
    <n v="123574.88"/>
    <n v="77692.34"/>
    <n v="637"/>
    <n v="1071"/>
    <s v="&lt;10"/>
    <x v="0"/>
  </r>
  <r>
    <s v="https://suumo.jp/chintai/jnc_000102998268/?bc=100477079030"/>
    <s v="西武新宿線 新井薬師前駅 2階建 築11年"/>
    <s v="東京都中野区上高田５"/>
    <n v="68000"/>
    <m/>
    <n v="68000"/>
    <m/>
    <n v="1"/>
    <x v="0"/>
    <n v="16.309999999999999"/>
    <n v="11"/>
    <x v="0"/>
    <s v="新井薬師前駅"/>
    <n v="8"/>
    <n v="12.33"/>
    <n v="123574.88"/>
    <n v="77692.34"/>
    <n v="637"/>
    <n v="1071"/>
    <s v="10-20"/>
    <x v="7"/>
  </r>
  <r>
    <s v="https://suumo.jp/chintai/jnc_000104186918/?bc=100483901205"/>
    <s v="西武新宿線 新井薬師前駅 2階建 築12年"/>
    <s v="東京都中野区上高田５"/>
    <n v="55000"/>
    <n v="3000"/>
    <m/>
    <m/>
    <n v="2"/>
    <x v="0"/>
    <n v="9.83"/>
    <n v="12"/>
    <x v="0"/>
    <s v="新井薬師前駅"/>
    <n v="5"/>
    <n v="15.33"/>
    <n v="123574.88"/>
    <n v="77692.34"/>
    <n v="637"/>
    <n v="1071"/>
    <s v="&lt;10"/>
    <x v="7"/>
  </r>
  <r>
    <s v="https://suumo.jp/chintai/jnc_000067280405/?bc=100479500139"/>
    <s v="西武新宿線 新井薬師前駅 2階建 築16年"/>
    <s v="東京都中野区上高田５"/>
    <n v="52000"/>
    <n v="3000"/>
    <n v="52000"/>
    <m/>
    <n v="2"/>
    <x v="0"/>
    <n v="9.56"/>
    <n v="16"/>
    <x v="0"/>
    <s v="新井薬師前駅"/>
    <n v="9"/>
    <n v="13"/>
    <n v="123574.88"/>
    <n v="77692.34"/>
    <n v="637"/>
    <n v="1071"/>
    <s v="&lt;10"/>
    <x v="7"/>
  </r>
  <r>
    <s v="https://suumo.jp/chintai/jnc_000097985623/?bc=100481242193"/>
    <s v="西武新宿線 新井薬師前駅 2階建 築35年"/>
    <s v="東京都中野区新井１"/>
    <n v="55000"/>
    <n v="2000"/>
    <n v="55000"/>
    <n v="55000"/>
    <n v="1"/>
    <x v="0"/>
    <n v="20"/>
    <n v="35"/>
    <x v="0"/>
    <s v="新井薬師前駅"/>
    <n v="10"/>
    <n v="12.33"/>
    <n v="123574.88"/>
    <n v="77692.34"/>
    <n v="637"/>
    <n v="1071"/>
    <s v="20-30"/>
    <x v="4"/>
  </r>
  <r>
    <s v="https://suumo.jp/chintai/jnc_000091780962/?bc=100436120262"/>
    <s v="西武新宿線 新井薬師前駅 2階建 築39年"/>
    <s v="東京都中野区松が丘１"/>
    <n v="46000"/>
    <m/>
    <n v="46000"/>
    <m/>
    <n v="1"/>
    <x v="0"/>
    <n v="14.19"/>
    <n v="39"/>
    <x v="0"/>
    <s v="新井薬師前駅"/>
    <n v="3"/>
    <n v="11.67"/>
    <n v="123574.88"/>
    <n v="77692.34"/>
    <n v="637"/>
    <n v="1071"/>
    <s v="10-20"/>
    <x v="4"/>
  </r>
  <r>
    <s v="https://suumo.jp/chintai/jnc_000102869758/?bc=100473971392"/>
    <s v="西武新宿線 新井薬師前駅 2階建 築41年"/>
    <s v="東京都中野区上高田２"/>
    <n v="44000"/>
    <n v="4000"/>
    <m/>
    <m/>
    <n v="1"/>
    <x v="0"/>
    <n v="14"/>
    <n v="41"/>
    <x v="0"/>
    <s v="新井薬師前駅"/>
    <n v="7"/>
    <n v="12"/>
    <n v="123574.88"/>
    <n v="77692.34"/>
    <n v="637"/>
    <n v="1071"/>
    <s v="10-20"/>
    <x v="3"/>
  </r>
  <r>
    <s v="https://suumo.jp/chintai/jnc_000104126133/?bc=100483151010"/>
    <s v="西武新宿線 新井薬師前駅 2階建 築41年"/>
    <s v="東京都中野区上高田５"/>
    <n v="40000"/>
    <n v="5000"/>
    <n v="40000"/>
    <m/>
    <n v="2"/>
    <x v="0"/>
    <n v="13.69"/>
    <n v="41"/>
    <x v="0"/>
    <s v="新井薬師前駅"/>
    <n v="5"/>
    <n v="14"/>
    <n v="123574.88"/>
    <n v="77692.34"/>
    <n v="637"/>
    <n v="1071"/>
    <s v="10-20"/>
    <x v="3"/>
  </r>
  <r>
    <s v="https://suumo.jp/chintai/jnc_000104196464/?bc=100483728649"/>
    <s v="西武新宿線 新井薬師前駅 2階建 築41年"/>
    <s v="東京都中野区上高田２"/>
    <n v="44000"/>
    <n v="4000"/>
    <m/>
    <m/>
    <n v="2"/>
    <x v="0"/>
    <n v="14"/>
    <n v="41"/>
    <x v="0"/>
    <s v="新井薬師前駅"/>
    <n v="7"/>
    <n v="12"/>
    <n v="123574.88"/>
    <n v="77692.34"/>
    <n v="637"/>
    <n v="1071"/>
    <s v="10-20"/>
    <x v="3"/>
  </r>
  <r>
    <s v="https://suumo.jp/chintai/jnc_000104363629/?bc=100477029682"/>
    <s v="西武新宿線 新井薬師前駅 2階建 築47年"/>
    <s v="東京都中野区上高田５"/>
    <n v="53000"/>
    <n v="3000"/>
    <m/>
    <m/>
    <n v="1"/>
    <x v="0"/>
    <n v="16.2"/>
    <n v="47"/>
    <x v="0"/>
    <s v="新井薬師前駅"/>
    <n v="5"/>
    <n v="14"/>
    <n v="123574.88"/>
    <n v="77692.34"/>
    <n v="637"/>
    <n v="1071"/>
    <s v="10-20"/>
    <x v="3"/>
  </r>
  <r>
    <s v="https://suumo.jp/chintai/jnc_000102998252/?bc=100473970354"/>
    <s v="西武新宿線 新井薬師前駅 2階建 築55年"/>
    <s v="東京都中野区新井４"/>
    <n v="28000"/>
    <n v="2000"/>
    <n v="28000"/>
    <n v="28000"/>
    <n v="2"/>
    <x v="0"/>
    <n v="9.31"/>
    <n v="55"/>
    <x v="0"/>
    <s v="新井薬師前駅"/>
    <n v="6"/>
    <n v="10"/>
    <n v="123574.88"/>
    <n v="77692.34"/>
    <n v="637"/>
    <n v="1071"/>
    <s v="&lt;10"/>
    <x v="5"/>
  </r>
  <r>
    <s v="https://suumo.jp/chintai/jnc_000063680152/?bc=100473970345"/>
    <s v="西武新宿線 新井薬師前駅 2階建 築59年"/>
    <s v="東京都中野区松が丘１"/>
    <n v="44000"/>
    <n v="1000"/>
    <n v="44000"/>
    <m/>
    <n v="2"/>
    <x v="0"/>
    <n v="15"/>
    <n v="59"/>
    <x v="0"/>
    <s v="新井薬師前駅"/>
    <n v="6"/>
    <n v="12.33"/>
    <n v="123574.88"/>
    <n v="77692.34"/>
    <n v="637"/>
    <n v="1071"/>
    <s v="10-20"/>
    <x v="5"/>
  </r>
  <r>
    <s v="https://suumo.jp/chintai/jnc_000063680151/?bc=100473971864"/>
    <s v="西武新宿線 新井薬師前駅 2階建 築59年"/>
    <s v="東京都中野区松が丘１"/>
    <n v="54000"/>
    <n v="1000"/>
    <n v="54000"/>
    <m/>
    <n v="2"/>
    <x v="0"/>
    <n v="17"/>
    <n v="59"/>
    <x v="0"/>
    <s v="新井薬師前駅"/>
    <n v="6"/>
    <n v="12.33"/>
    <n v="123574.88"/>
    <n v="77692.34"/>
    <n v="637"/>
    <n v="1071"/>
    <s v="10-20"/>
    <x v="5"/>
  </r>
  <r>
    <s v="https://suumo.jp/chintai/jnc_000066043194/?bc=100473972470"/>
    <s v="西武新宿線 新井薬師前駅 2階建 築67年"/>
    <s v="東京都中野区上高田５"/>
    <n v="29000"/>
    <m/>
    <n v="29000"/>
    <n v="29000"/>
    <n v="2"/>
    <x v="0"/>
    <n v="9.7200000000000006"/>
    <n v="67"/>
    <x v="0"/>
    <s v="新井薬師前駅"/>
    <n v="7"/>
    <n v="14"/>
    <n v="123574.88"/>
    <n v="77692.34"/>
    <n v="637"/>
    <n v="1071"/>
    <s v="&lt;10"/>
    <x v="2"/>
  </r>
  <r>
    <s v="https://suumo.jp/chintai/jnc_000093087293/?bc=100392073980"/>
    <s v="西武新宿線 新井薬師前駅 2階建 築70年"/>
    <s v="東京都中野区上高田１"/>
    <n v="27000"/>
    <n v="3000"/>
    <n v="27000"/>
    <m/>
    <n v="2"/>
    <x v="0"/>
    <n v="10.35"/>
    <n v="70"/>
    <x v="0"/>
    <s v="新井薬師前駅"/>
    <n v="12"/>
    <n v="14"/>
    <n v="123574.88"/>
    <n v="77692.34"/>
    <n v="637"/>
    <n v="1071"/>
    <s v="10-20"/>
    <x v="2"/>
  </r>
  <r>
    <s v="https://suumo.jp/chintai/jnc_000104532507/?bc=100486336325"/>
    <s v="西武新宿線 新井薬師前駅 3階建 築23年"/>
    <s v="東京都中野区松が丘１"/>
    <n v="64000"/>
    <n v="3000"/>
    <m/>
    <n v="64000"/>
    <n v="1"/>
    <x v="0"/>
    <n v="18.899999999999999"/>
    <n v="23"/>
    <x v="2"/>
    <s v="新井薬師前駅"/>
    <n v="7"/>
    <n v="11.33"/>
    <n v="123574.88"/>
    <n v="77692.34"/>
    <n v="637"/>
    <n v="1071"/>
    <s v="10-20"/>
    <x v="1"/>
  </r>
  <r>
    <s v="https://suumo.jp/chintai/jnc_000104399644/?bc=100484946339"/>
    <s v="西武新宿線 新井薬師前駅 3階建 築25年"/>
    <s v="東京都中野区上高田２"/>
    <n v="72000"/>
    <n v="3000"/>
    <n v="72000"/>
    <n v="72000"/>
    <n v="3"/>
    <x v="0"/>
    <n v="21.84"/>
    <n v="25"/>
    <x v="2"/>
    <s v="新井薬師前駅"/>
    <n v="8"/>
    <n v="12.67"/>
    <n v="123574.88"/>
    <n v="77692.34"/>
    <n v="637"/>
    <n v="1071"/>
    <s v="20-30"/>
    <x v="1"/>
  </r>
  <r>
    <s v="https://suumo.jp/chintai/jnc_000104215451/?bc=100477552055"/>
    <s v="西武新宿線 新井薬師前駅 3階建 築35年"/>
    <s v="東京都中野区上高田３"/>
    <n v="90000"/>
    <n v="3000"/>
    <n v="90000"/>
    <n v="90000"/>
    <n v="3"/>
    <x v="0"/>
    <n v="23.14"/>
    <n v="35"/>
    <x v="2"/>
    <s v="新井薬師前駅"/>
    <n v="8"/>
    <n v="9.33"/>
    <n v="123574.88"/>
    <n v="77692.34"/>
    <n v="637"/>
    <n v="1071"/>
    <s v="20-30"/>
    <x v="4"/>
  </r>
  <r>
    <s v="https://suumo.jp/chintai/jnc_000068255805/?bc=100486003372"/>
    <s v="西武新宿線 新井薬師前駅 3階建 築40年"/>
    <s v="東京都中野区松が丘２"/>
    <n v="62000"/>
    <n v="3000"/>
    <m/>
    <m/>
    <n v="3"/>
    <x v="0"/>
    <n v="19.559999999999999"/>
    <n v="40"/>
    <x v="2"/>
    <s v="新井薬師前駅"/>
    <n v="5"/>
    <n v="10"/>
    <n v="123574.88"/>
    <n v="77692.34"/>
    <n v="637"/>
    <n v="1071"/>
    <s v="10-20"/>
    <x v="4"/>
  </r>
  <r>
    <s v="https://suumo.jp/chintai/jnc_000104286384/?bc=100484425312"/>
    <s v="西武新宿線 新井薬師前駅 3階建 築41年"/>
    <s v="東京都中野区上高田５"/>
    <n v="55000"/>
    <n v="5000"/>
    <n v="55000"/>
    <m/>
    <n v="2"/>
    <x v="0"/>
    <n v="14.85"/>
    <n v="41"/>
    <x v="2"/>
    <s v="新井薬師前駅"/>
    <n v="4"/>
    <n v="11.67"/>
    <n v="123574.88"/>
    <n v="77692.34"/>
    <n v="637"/>
    <n v="1071"/>
    <s v="10-20"/>
    <x v="3"/>
  </r>
  <r>
    <s v="https://suumo.jp/chintai/jnc_000103542478/?bc=100478518623"/>
    <s v="西武新宿線 新井薬師前駅 3階建 築6年"/>
    <s v="東京都中野区上高田３"/>
    <n v="82000"/>
    <n v="6000"/>
    <m/>
    <m/>
    <n v="1"/>
    <x v="0"/>
    <n v="17.079999999999998"/>
    <n v="6"/>
    <x v="2"/>
    <s v="新井薬師前駅"/>
    <n v="3"/>
    <n v="11.33"/>
    <n v="123574.88"/>
    <n v="77692.34"/>
    <n v="637"/>
    <n v="1071"/>
    <s v="10-20"/>
    <x v="0"/>
  </r>
  <r>
    <s v="https://suumo.jp/chintai/jnc_000050424351/?bc=100485418243"/>
    <s v="西武新宿線 新井薬師前駅 3階建 築7年"/>
    <s v="東京都中野区松が丘２"/>
    <n v="77000"/>
    <n v="4000"/>
    <m/>
    <m/>
    <n v="2"/>
    <x v="0"/>
    <n v="15.94"/>
    <n v="7"/>
    <x v="2"/>
    <s v="新井薬師前駅"/>
    <n v="7"/>
    <n v="11.67"/>
    <n v="123574.88"/>
    <n v="77692.34"/>
    <n v="637"/>
    <n v="1071"/>
    <s v="10-20"/>
    <x v="0"/>
  </r>
  <r>
    <s v="https://suumo.jp/chintai/jnc_000103558025/?bc=100478518660"/>
    <s v="西武新宿線 新井薬師前駅 4階建 築10年"/>
    <s v="東京都中野区新井１"/>
    <n v="100000"/>
    <n v="12000"/>
    <m/>
    <m/>
    <n v="2"/>
    <x v="0"/>
    <n v="16.84"/>
    <n v="10"/>
    <x v="4"/>
    <s v="新井薬師前駅"/>
    <n v="8"/>
    <n v="11"/>
    <n v="123574.88"/>
    <n v="77692.34"/>
    <n v="637"/>
    <n v="1071"/>
    <s v="10-20"/>
    <x v="0"/>
  </r>
  <r>
    <s v="https://suumo.jp/chintai/jnc_000101402703/?bc=100476601809"/>
    <s v="西武新宿線 新井薬師前駅 4階建 築20年"/>
    <s v="東京都中野区上高田２"/>
    <n v="68000"/>
    <n v="5000"/>
    <n v="68000"/>
    <m/>
    <n v="1"/>
    <x v="0"/>
    <n v="17.399999999999999"/>
    <n v="20"/>
    <x v="4"/>
    <s v="新井薬師前駅"/>
    <n v="8"/>
    <n v="14"/>
    <n v="123574.88"/>
    <n v="77692.34"/>
    <n v="637"/>
    <n v="1071"/>
    <s v="10-20"/>
    <x v="7"/>
  </r>
  <r>
    <s v="https://suumo.jp/chintai/jnc_000103619499/?bc=100479877708"/>
    <s v="西武新宿線 新井薬師前駅 4階建 築2年"/>
    <s v="東京都中野区上高田３"/>
    <n v="110000"/>
    <n v="10000"/>
    <m/>
    <n v="110000"/>
    <n v="1"/>
    <x v="0"/>
    <n v="25.65"/>
    <n v="2"/>
    <x v="4"/>
    <s v="新井薬師前駅"/>
    <n v="7"/>
    <n v="10.67"/>
    <n v="123574.88"/>
    <n v="77692.34"/>
    <n v="637"/>
    <n v="1071"/>
    <s v="20-30"/>
    <x v="0"/>
  </r>
  <r>
    <s v="https://suumo.jp/chintai/jnc_000103111338/?bc=100475043413"/>
    <s v="西武新宿線 新井薬師前駅 4階建 築2年"/>
    <s v="東京都中野区新井４"/>
    <n v="92000"/>
    <n v="18000"/>
    <n v="92000"/>
    <m/>
    <n v="2"/>
    <x v="0"/>
    <n v="19.8"/>
    <n v="2"/>
    <x v="4"/>
    <s v="新井薬師前駅"/>
    <n v="5"/>
    <n v="9.33"/>
    <n v="123574.88"/>
    <n v="77692.34"/>
    <n v="637"/>
    <n v="1071"/>
    <s v="10-20"/>
    <x v="0"/>
  </r>
  <r>
    <s v="https://suumo.jp/chintai/jnc_000104304020/?bc=100484588915"/>
    <s v="西武新宿線 新井薬師前駅 4階建 築2年"/>
    <s v="東京都中野区新井４"/>
    <n v="80000"/>
    <n v="15000"/>
    <n v="80000"/>
    <m/>
    <n v="3"/>
    <x v="0"/>
    <n v="15.86"/>
    <n v="2"/>
    <x v="4"/>
    <s v="新井薬師前駅"/>
    <n v="5"/>
    <n v="9.33"/>
    <n v="123574.88"/>
    <n v="77692.34"/>
    <n v="637"/>
    <n v="1071"/>
    <s v="10-20"/>
    <x v="0"/>
  </r>
  <r>
    <s v="https://suumo.jp/chintai/jnc_000096557151/?bc=100484466102"/>
    <s v="西武新宿線 新井薬師前駅 4階建 築2年"/>
    <s v="東京都中野区上高田３"/>
    <n v="141000"/>
    <n v="11000"/>
    <m/>
    <n v="141000"/>
    <n v="3"/>
    <x v="0"/>
    <n v="25.65"/>
    <n v="2"/>
    <x v="4"/>
    <s v="新井薬師前駅"/>
    <n v="7"/>
    <n v="10.67"/>
    <n v="123574.88"/>
    <n v="77692.34"/>
    <n v="637"/>
    <n v="1071"/>
    <s v="20-30"/>
    <x v="0"/>
  </r>
  <r>
    <s v="https://suumo.jp/chintai/jnc_000103111339/?bc=100475043415"/>
    <s v="西武新宿線 新井薬師前駅 4階建 築2年"/>
    <s v="東京都中野区新井４"/>
    <n v="80000"/>
    <n v="18000"/>
    <n v="80000"/>
    <m/>
    <n v="4"/>
    <x v="0"/>
    <n v="17.309999999999999"/>
    <n v="2"/>
    <x v="4"/>
    <s v="新井薬師前駅"/>
    <n v="5"/>
    <n v="9.33"/>
    <n v="123574.88"/>
    <n v="77692.34"/>
    <n v="637"/>
    <n v="1071"/>
    <s v="10-20"/>
    <x v="0"/>
  </r>
  <r>
    <s v="https://suumo.jp/chintai/jnc_000104482945/?bc=100473971261"/>
    <s v="西武新宿線 新井薬師前駅 4階建 築40年"/>
    <s v="東京都中野区上高田５"/>
    <n v="55000"/>
    <m/>
    <n v="55000"/>
    <m/>
    <n v="1"/>
    <x v="0"/>
    <n v="17"/>
    <n v="40"/>
    <x v="4"/>
    <s v="新井薬師前駅"/>
    <n v="4"/>
    <n v="12.33"/>
    <n v="123574.88"/>
    <n v="77692.34"/>
    <n v="637"/>
    <n v="1071"/>
    <s v="10-20"/>
    <x v="4"/>
  </r>
  <r>
    <s v="https://suumo.jp/chintai/jnc_000104541568/?bc=100477937910"/>
    <s v="西武新宿線 新井薬師前駅 4階建 築40年"/>
    <s v="東京都中野区上高田５"/>
    <n v="58000"/>
    <m/>
    <n v="58000"/>
    <m/>
    <n v="2"/>
    <x v="0"/>
    <n v="15"/>
    <n v="40"/>
    <x v="4"/>
    <s v="新井薬師前駅"/>
    <n v="4"/>
    <n v="12.33"/>
    <n v="123574.88"/>
    <n v="77692.34"/>
    <n v="637"/>
    <n v="1071"/>
    <s v="10-20"/>
    <x v="4"/>
  </r>
  <r>
    <s v="https://suumo.jp/chintai/jnc_000089064023/?bc=100477337430"/>
    <s v="西武新宿線 新井薬師前駅 4階建 築40年"/>
    <s v="東京都中野区上高田５"/>
    <n v="60000"/>
    <m/>
    <n v="60000"/>
    <m/>
    <n v="2"/>
    <x v="0"/>
    <n v="15"/>
    <n v="40"/>
    <x v="4"/>
    <s v="新井薬師前駅"/>
    <n v="4"/>
    <n v="12.33"/>
    <n v="123574.88"/>
    <n v="77692.34"/>
    <n v="637"/>
    <n v="1071"/>
    <s v="10-20"/>
    <x v="4"/>
  </r>
  <r>
    <s v="https://suumo.jp/chintai/jnc_000104417242/?bc=100485581101"/>
    <s v="西武新宿線 新井薬師前駅 4階建 築7年"/>
    <s v="東京都中野区新井５"/>
    <n v="84000"/>
    <n v="5000"/>
    <m/>
    <n v="84000"/>
    <n v="2"/>
    <x v="0"/>
    <n v="15.42"/>
    <n v="7"/>
    <x v="4"/>
    <s v="新井薬師前駅"/>
    <n v="6"/>
    <n v="8"/>
    <n v="123574.88"/>
    <n v="77692.34"/>
    <n v="637"/>
    <n v="1071"/>
    <s v="10-20"/>
    <x v="0"/>
  </r>
  <r>
    <s v="https://suumo.jp/chintai/jnc_000104474366/?bc=100485954952"/>
    <s v="西武新宿線 新井薬師前駅 4階建 築9年"/>
    <s v="東京都中野区新井１"/>
    <n v="90000"/>
    <n v="5000"/>
    <n v="90000"/>
    <n v="90000"/>
    <n v="4"/>
    <x v="0"/>
    <n v="18.3"/>
    <n v="9"/>
    <x v="4"/>
    <s v="新井薬師前駅"/>
    <n v="9"/>
    <n v="10.33"/>
    <n v="123574.88"/>
    <n v="77692.34"/>
    <n v="637"/>
    <n v="1071"/>
    <s v="10-20"/>
    <x v="0"/>
  </r>
  <r>
    <s v="https://suumo.jp/chintai/jnc_000078089239/?bc=100474186491"/>
    <s v="西武新宿線 新井薬師前駅 5階建 築35年"/>
    <s v="東京都中野区新井５"/>
    <n v="75000"/>
    <n v="5000"/>
    <n v="75000"/>
    <m/>
    <n v="2"/>
    <x v="0"/>
    <n v="23.5"/>
    <n v="35"/>
    <x v="7"/>
    <s v="新井薬師前駅"/>
    <n v="5"/>
    <n v="10"/>
    <n v="123574.88"/>
    <n v="77692.34"/>
    <n v="637"/>
    <n v="1071"/>
    <s v="20-30"/>
    <x v="4"/>
  </r>
  <r>
    <s v="https://suumo.jp/chintai/jnc_000104280465/?bc=100467084206"/>
    <s v="西武新宿線 新井薬師前駅 5階建 築8年"/>
    <s v="東京都中野区上高田３"/>
    <n v="97000"/>
    <n v="7000"/>
    <m/>
    <m/>
    <n v="2"/>
    <x v="0"/>
    <n v="23"/>
    <n v="8"/>
    <x v="7"/>
    <s v="新井薬師前駅"/>
    <n v="5"/>
    <n v="11.67"/>
    <n v="123574.88"/>
    <n v="77692.34"/>
    <n v="637"/>
    <n v="1071"/>
    <s v="20-30"/>
    <x v="0"/>
  </r>
  <r>
    <s v="https://suumo.jp/chintai/jnc_000104280466/?bc=100479430968"/>
    <s v="西武新宿線 新井薬師前駅 5階建 築8年"/>
    <s v="東京都中野区上高田３"/>
    <n v="97000"/>
    <n v="7000"/>
    <m/>
    <m/>
    <n v="3"/>
    <x v="0"/>
    <n v="23.8"/>
    <n v="8"/>
    <x v="7"/>
    <s v="新井薬師前駅"/>
    <n v="5"/>
    <n v="11.67"/>
    <n v="123574.88"/>
    <n v="77692.34"/>
    <n v="637"/>
    <n v="1071"/>
    <s v="20-30"/>
    <x v="0"/>
  </r>
  <r>
    <s v="https://suumo.jp/chintai/jnc_000104202908/?bc=100483775526"/>
    <s v="西武新宿線 新井薬師前駅 6階建 築42年"/>
    <s v="東京都中野区新井５"/>
    <n v="58000"/>
    <n v="7000"/>
    <n v="58000"/>
    <n v="58000"/>
    <n v="3"/>
    <x v="0"/>
    <n v="16.8"/>
    <n v="42"/>
    <x v="5"/>
    <s v="新井薬師前駅"/>
    <n v="4"/>
    <n v="9.67"/>
    <n v="123574.88"/>
    <n v="77692.34"/>
    <n v="637"/>
    <n v="1071"/>
    <s v="10-20"/>
    <x v="3"/>
  </r>
  <r>
    <s v="https://suumo.jp/chintai/jnc_000102998263/?bc=100481241765"/>
    <s v="西武新宿線 新井薬師前駅 9階建 築10年"/>
    <s v="東京都中野区上高田３"/>
    <n v="115000"/>
    <n v="12000"/>
    <m/>
    <m/>
    <n v="3"/>
    <x v="0"/>
    <n v="25.59"/>
    <n v="10"/>
    <x v="6"/>
    <s v="新井薬師前駅"/>
    <n v="8"/>
    <n v="12.67"/>
    <n v="123574.88"/>
    <n v="77692.34"/>
    <n v="637"/>
    <n v="1071"/>
    <s v="20-30"/>
    <x v="0"/>
  </r>
  <r>
    <s v="https://suumo.jp/chintai/jnc_000102213041/?bc=100470036246"/>
    <s v="西武新宿線 新井薬師前駅 9階建 築10年"/>
    <s v="東京都中野区上高田３"/>
    <n v="118000"/>
    <n v="12000"/>
    <m/>
    <m/>
    <n v="7"/>
    <x v="0"/>
    <n v="25.46"/>
    <n v="10"/>
    <x v="6"/>
    <s v="新井薬師前駅"/>
    <n v="8"/>
    <n v="12.67"/>
    <n v="123574.88"/>
    <n v="77692.34"/>
    <n v="637"/>
    <n v="1071"/>
    <s v="20-30"/>
    <x v="0"/>
  </r>
  <r>
    <s v="https://suumo.jp/chintai/jnc_000103833571/?bc=100485065480"/>
    <s v="西武新宿線 新井薬師前駅 9階建 築4年"/>
    <s v="東京都中野区新井４"/>
    <n v="110000"/>
    <n v="10000"/>
    <n v="110000"/>
    <n v="110000"/>
    <n v="6"/>
    <x v="0"/>
    <n v="25.12"/>
    <n v="4"/>
    <x v="6"/>
    <s v="新井薬師前駅"/>
    <n v="8"/>
    <n v="10"/>
    <n v="123574.88"/>
    <n v="77692.34"/>
    <n v="637"/>
    <n v="1071"/>
    <s v="20-30"/>
    <x v="0"/>
  </r>
  <r>
    <s v="https://suumo.jp/chintai/jnc_000104304016/?bc=100485268570"/>
    <s v="西武新宿線 新井薬師前駅 地下1地上4階建 築5年"/>
    <s v="東京都中野区新井１"/>
    <n v="78000"/>
    <n v="12000"/>
    <m/>
    <n v="156000"/>
    <n v="3"/>
    <x v="0"/>
    <n v="17.03"/>
    <n v="5"/>
    <x v="7"/>
    <s v="新井薬師前駅"/>
    <n v="9"/>
    <n v="9.67"/>
    <n v="123574.88"/>
    <n v="77692.34"/>
    <n v="637"/>
    <n v="1071"/>
    <s v="10-20"/>
    <x v="0"/>
  </r>
  <r>
    <s v="https://suumo.jp/chintai/jnc_000104474411/?bc=100485985075"/>
    <s v="西武新宿線 新井薬師前駅 地下1地上7階建 築29年"/>
    <s v="東京都中野区松が丘２"/>
    <n v="78000"/>
    <n v="9000"/>
    <n v="78000"/>
    <n v="78000"/>
    <n v="2"/>
    <x v="0"/>
    <n v="24.9"/>
    <n v="29"/>
    <x v="9"/>
    <s v="新井薬師前駅"/>
    <n v="7"/>
    <n v="13.67"/>
    <n v="123574.88"/>
    <n v="77692.34"/>
    <n v="637"/>
    <n v="1071"/>
    <s v="20-30"/>
    <x v="1"/>
  </r>
  <r>
    <s v="https://suumo.jp/chintai/jnc_000049274284/?bc=100459001101"/>
    <s v="赤羽根荘"/>
    <s v="東京都中野区上高田５"/>
    <n v="29000"/>
    <m/>
    <n v="29000"/>
    <n v="29000"/>
    <n v="2"/>
    <x v="0"/>
    <n v="9.7200000000000006"/>
    <n v="67"/>
    <x v="0"/>
    <s v="新井薬師前駅"/>
    <n v="7"/>
    <n v="14"/>
    <n v="123574.88"/>
    <n v="77692.34"/>
    <n v="637"/>
    <n v="1071"/>
    <s v="&lt;10"/>
    <x v="2"/>
  </r>
  <r>
    <s v="https://suumo.jp/chintai/jnc_000097397262/?bc=100417494675"/>
    <s v="青木アパートメント"/>
    <s v="東京都中野区上高田５"/>
    <n v="53000"/>
    <m/>
    <n v="53000"/>
    <m/>
    <n v="2"/>
    <x v="0"/>
    <n v="12.3"/>
    <n v="38"/>
    <x v="0"/>
    <s v="新井薬師前駅"/>
    <n v="5"/>
    <n v="15.67"/>
    <n v="123574.88"/>
    <n v="77692.34"/>
    <n v="637"/>
    <n v="1071"/>
    <s v="10-20"/>
    <x v="4"/>
  </r>
  <r>
    <s v="https://suumo.jp/chintai/jnc_000093087292/?bc=100405715016"/>
    <s v="鶴岡荘"/>
    <s v="東京都中野区上高田１"/>
    <n v="27000"/>
    <n v="3000"/>
    <n v="27000"/>
    <n v="27000"/>
    <n v="2"/>
    <x v="0"/>
    <n v="12.96"/>
    <n v="47"/>
    <x v="0"/>
    <s v="新井薬師前駅"/>
    <n v="13"/>
    <n v="14.67"/>
    <n v="123574.88"/>
    <n v="77692.34"/>
    <n v="637"/>
    <n v="1071"/>
    <s v="10-20"/>
    <x v="3"/>
  </r>
  <r>
    <s v="https://suumo.jp/chintai/jnc_000104541563/?bc=100486396930"/>
    <s v="Ｂｅｌｌｅ　Ｌｅａｄ　ＳＧ"/>
    <s v="東京都中野区新井５"/>
    <n v="80000"/>
    <n v="5000"/>
    <n v="80000"/>
    <m/>
    <n v="2"/>
    <x v="0"/>
    <n v="19.61"/>
    <n v="9"/>
    <x v="0"/>
    <s v="新井薬師前駅"/>
    <n v="4"/>
    <n v="10"/>
    <n v="123574.88"/>
    <n v="77692.34"/>
    <n v="637"/>
    <n v="1071"/>
    <s v="10-20"/>
    <x v="0"/>
  </r>
  <r>
    <s v="https://suumo.jp/chintai/jnc_000102232464/?bc=100468090427"/>
    <s v="ＣＲＥＡＴＩＦ中野"/>
    <s v="東京都中野区新井１"/>
    <n v="143000"/>
    <n v="10000"/>
    <m/>
    <m/>
    <n v="2"/>
    <x v="0"/>
    <n v="25.27"/>
    <n v="3"/>
    <x v="6"/>
    <s v="新井薬師前駅"/>
    <n v="9"/>
    <n v="10.67"/>
    <n v="123574.88"/>
    <n v="77692.34"/>
    <n v="637"/>
    <n v="1071"/>
    <s v="20-30"/>
    <x v="0"/>
  </r>
  <r>
    <s v="https://suumo.jp/chintai/jnc_000103436061/?bc=100477782275"/>
    <s v="ＣＲＥＡＴＩＦ中野"/>
    <s v="東京都中野区新井１"/>
    <n v="152000"/>
    <n v="10000"/>
    <m/>
    <m/>
    <n v="3"/>
    <x v="0"/>
    <n v="25.27"/>
    <n v="3"/>
    <x v="6"/>
    <s v="新井薬師前駅"/>
    <n v="9"/>
    <n v="10.67"/>
    <n v="123574.88"/>
    <n v="77692.34"/>
    <n v="637"/>
    <n v="1071"/>
    <s v="20-30"/>
    <x v="0"/>
  </r>
  <r>
    <s v="https://suumo.jp/chintai/jnc_000104126127/?bc=100483397481"/>
    <s v="ＣＲＥＡＴＩＦ中野"/>
    <s v="東京都中野区新井１"/>
    <n v="158000"/>
    <n v="12000"/>
    <m/>
    <m/>
    <n v="6"/>
    <x v="0"/>
    <n v="28.11"/>
    <n v="3"/>
    <x v="6"/>
    <s v="新井薬師前駅"/>
    <n v="9"/>
    <n v="10.67"/>
    <n v="123574.88"/>
    <n v="77692.34"/>
    <n v="637"/>
    <n v="1071"/>
    <s v="20-30"/>
    <x v="0"/>
  </r>
  <r>
    <s v="https://suumo.jp/chintai/jnc_000104406889/?bc=100485461851"/>
    <s v="ＦＡＲＥ中野VI"/>
    <s v="東京都中野区新井５"/>
    <n v="84000"/>
    <n v="5000"/>
    <m/>
    <n v="84000"/>
    <n v="2"/>
    <x v="0"/>
    <n v="15.42"/>
    <n v="7"/>
    <x v="4"/>
    <s v="新井薬師前駅"/>
    <n v="8"/>
    <n v="11.67"/>
    <n v="123574.88"/>
    <n v="77692.34"/>
    <n v="637"/>
    <n v="1071"/>
    <s v="10-20"/>
    <x v="0"/>
  </r>
  <r>
    <s v="https://suumo.jp/chintai/jnc_000104426245/?bc=100485535804"/>
    <s v="ＦＡＲＥ中野VI"/>
    <s v="東京都中野区新井５"/>
    <n v="75000"/>
    <n v="4000"/>
    <m/>
    <n v="75000"/>
    <n v="2"/>
    <x v="0"/>
    <n v="16.489999999999998"/>
    <n v="7"/>
    <x v="4"/>
    <s v="新井薬師前駅"/>
    <n v="8"/>
    <n v="11.67"/>
    <n v="123574.88"/>
    <n v="77692.34"/>
    <n v="637"/>
    <n v="1071"/>
    <s v="10-20"/>
    <x v="0"/>
  </r>
  <r>
    <s v="https://suumo.jp/chintai/jnc_000104392256/?bc=100426987957"/>
    <s v="ＪＲ中央線 中野駅 2階建 築41年"/>
    <s v="東京都中野区上高田２"/>
    <n v="48000"/>
    <n v="2000"/>
    <m/>
    <m/>
    <n v="1"/>
    <x v="0"/>
    <n v="14.2"/>
    <n v="41"/>
    <x v="0"/>
    <s v="新井薬師前駅"/>
    <n v="5"/>
    <n v="13.33"/>
    <n v="123574.88"/>
    <n v="77692.34"/>
    <n v="637"/>
    <n v="1071"/>
    <s v="10-20"/>
    <x v="3"/>
  </r>
  <r>
    <s v="https://suumo.jp/chintai/jnc_000037655656/?bc=100483071370"/>
    <s v="ＪＲ中央線 中野駅 2階建 築44年"/>
    <s v="東京都中野区上高田１"/>
    <n v="38000"/>
    <n v="2000"/>
    <n v="38000"/>
    <m/>
    <n v="1"/>
    <x v="0"/>
    <n v="9.09"/>
    <n v="44"/>
    <x v="0"/>
    <s v="新井薬師前駅"/>
    <n v="8"/>
    <n v="11.33"/>
    <n v="123574.88"/>
    <n v="77692.34"/>
    <n v="637"/>
    <n v="1071"/>
    <s v="&lt;10"/>
    <x v="3"/>
  </r>
  <r>
    <s v="https://suumo.jp/chintai/jnc_000104348329/?bc=100480719565"/>
    <s v="ＪＲ中央線 中野駅 2階建 築51年"/>
    <s v="東京都中野区上高田２"/>
    <n v="60000"/>
    <n v="2000"/>
    <n v="60000"/>
    <n v="60000"/>
    <n v="1"/>
    <x v="0"/>
    <n v="17"/>
    <n v="51"/>
    <x v="0"/>
    <s v="新井薬師前駅"/>
    <n v="10"/>
    <n v="12.33"/>
    <n v="123574.88"/>
    <n v="77692.34"/>
    <n v="637"/>
    <n v="1071"/>
    <s v="10-20"/>
    <x v="5"/>
  </r>
  <r>
    <s v="https://suumo.jp/chintai/jnc_000047634852/?bc=100477750776"/>
    <s v="ＪＲ中央線 中野駅 3階建 築7年"/>
    <s v="東京都中野区上高田２"/>
    <n v="72000"/>
    <n v="4000"/>
    <n v="36000"/>
    <n v="108000"/>
    <n v="1"/>
    <x v="0"/>
    <n v="16.239999999999998"/>
    <n v="7"/>
    <x v="2"/>
    <s v="新井薬師前駅"/>
    <n v="9"/>
    <n v="12"/>
    <n v="123574.88"/>
    <n v="77692.34"/>
    <n v="637"/>
    <n v="1071"/>
    <s v="10-20"/>
    <x v="0"/>
  </r>
  <r>
    <s v="https://suumo.jp/chintai/jnc_000102155054/?bc=100477121278"/>
    <s v="ＪＲ中央線 中野駅 4階建 築13年"/>
    <s v="東京都中野区新井５"/>
    <n v="94000"/>
    <n v="5000"/>
    <n v="94000"/>
    <n v="94000"/>
    <n v="3"/>
    <x v="0"/>
    <n v="25.05"/>
    <n v="13"/>
    <x v="4"/>
    <s v="新井薬師前駅"/>
    <n v="3"/>
    <n v="9.67"/>
    <n v="123574.88"/>
    <n v="77692.34"/>
    <n v="637"/>
    <n v="1071"/>
    <s v="20-30"/>
    <x v="7"/>
  </r>
  <r>
    <s v="https://suumo.jp/chintai/jnc_000103804707/?bc=100480934766"/>
    <s v="ＪＲ中央線 中野駅 4階建 築3年"/>
    <s v="東京都中野区新井４"/>
    <n v="118000"/>
    <n v="10000"/>
    <m/>
    <m/>
    <n v="1"/>
    <x v="0"/>
    <n v="28.44"/>
    <n v="3"/>
    <x v="4"/>
    <s v="新井薬師前駅"/>
    <n v="6"/>
    <n v="9.33"/>
    <n v="123574.88"/>
    <n v="77692.34"/>
    <n v="637"/>
    <n v="1071"/>
    <s v="20-30"/>
    <x v="0"/>
  </r>
  <r>
    <s v="https://suumo.jp/chintai/jnc_000102238883/?bc=100480750836"/>
    <s v="ＪＲ中央線 中野駅 9階建 築3年"/>
    <s v="東京都中野区新井１"/>
    <n v="143000"/>
    <n v="10000"/>
    <m/>
    <m/>
    <n v="2"/>
    <x v="0"/>
    <n v="25.27"/>
    <n v="3"/>
    <x v="6"/>
    <s v="新井薬師前駅"/>
    <n v="8"/>
    <n v="8.5"/>
    <n v="123574.88"/>
    <n v="77692.34"/>
    <n v="637"/>
    <n v="1071"/>
    <s v="20-30"/>
    <x v="0"/>
  </r>
  <r>
    <s v="https://suumo.jp/chintai/jnc_000103440539/?bc=100477725917"/>
    <s v="ＪＲ中央線 中野駅 9階建 築3年"/>
    <s v="東京都中野区新井１"/>
    <n v="152000"/>
    <n v="10000"/>
    <m/>
    <m/>
    <n v="3"/>
    <x v="0"/>
    <n v="25.27"/>
    <n v="3"/>
    <x v="6"/>
    <s v="新井薬師前駅"/>
    <n v="8"/>
    <n v="8.5"/>
    <n v="123574.88"/>
    <n v="77692.34"/>
    <n v="637"/>
    <n v="1071"/>
    <s v="20-30"/>
    <x v="0"/>
  </r>
  <r>
    <s v="https://suumo.jp/chintai/jnc_000104117671/?bc=100483353317"/>
    <s v="ＪＲ中央線 中野駅 9階建 築3年"/>
    <s v="東京都中野区新井１"/>
    <n v="158000"/>
    <n v="12000"/>
    <m/>
    <m/>
    <n v="6"/>
    <x v="0"/>
    <n v="28.11"/>
    <n v="3"/>
    <x v="6"/>
    <s v="新井薬師前駅"/>
    <n v="8"/>
    <n v="8.5"/>
    <n v="123574.88"/>
    <n v="77692.34"/>
    <n v="637"/>
    <n v="1071"/>
    <s v="20-30"/>
    <x v="0"/>
  </r>
  <r>
    <s v="https://suumo.jp/chintai/jnc_000103546918/?bc=100479385332"/>
    <s v="ＬＨ　ＮＡＫＡＮＯ"/>
    <s v="東京都中野区上高田３"/>
    <n v="82000"/>
    <n v="6000"/>
    <m/>
    <m/>
    <n v="1"/>
    <x v="0"/>
    <n v="17.079999999999998"/>
    <n v="6"/>
    <x v="2"/>
    <s v="新井薬師前駅"/>
    <n v="4"/>
    <n v="11.33"/>
    <n v="123574.88"/>
    <n v="77692.34"/>
    <n v="637"/>
    <n v="1071"/>
    <s v="10-20"/>
    <x v="0"/>
  </r>
  <r>
    <s v="https://suumo.jp/chintai/jnc_000028626930/?bc=100482159621"/>
    <s v="ＬＵＯＲＥ新井薬師"/>
    <s v="東京都中野区上高田５"/>
    <n v="82000"/>
    <n v="8000"/>
    <n v="82000"/>
    <n v="82000"/>
    <n v="3"/>
    <x v="0"/>
    <n v="25.19"/>
    <n v="9"/>
    <x v="4"/>
    <s v="新井薬師前駅"/>
    <n v="4"/>
    <n v="14.33"/>
    <n v="123574.88"/>
    <n v="77692.34"/>
    <n v="637"/>
    <n v="1071"/>
    <s v="20-30"/>
    <x v="0"/>
  </r>
  <r>
    <s v="https://suumo.jp/chintai/jnc_000104163302/?bc=100483411976"/>
    <s v="Ｒｙｏｃｏｈ　Ｒｅｓｉｄｅｎｃｅ　I"/>
    <s v="東京都中野区新井４"/>
    <n v="107000"/>
    <n v="10000"/>
    <n v="107000"/>
    <m/>
    <n v="2"/>
    <x v="0"/>
    <n v="25.12"/>
    <n v="4"/>
    <x v="6"/>
    <s v="新井薬師前駅"/>
    <n v="8"/>
    <n v="10"/>
    <n v="123574.88"/>
    <n v="77692.34"/>
    <n v="637"/>
    <n v="1071"/>
    <s v="20-30"/>
    <x v="0"/>
  </r>
  <r>
    <s v="https://suumo.jp/chintai/jnc_000102627512/?bc=100396725275"/>
    <s v="Ｒｙｏｃｏｈ　Ｒｅｓｉｄｅｎｃｅ　I"/>
    <s v="東京都中野区新井４"/>
    <n v="110000"/>
    <n v="10000"/>
    <n v="110000"/>
    <n v="110000"/>
    <n v="6"/>
    <x v="0"/>
    <n v="25.12"/>
    <n v="4"/>
    <x v="6"/>
    <s v="新井薬師前駅"/>
    <n v="8"/>
    <n v="10"/>
    <n v="123574.88"/>
    <n v="77692.34"/>
    <n v="637"/>
    <n v="1071"/>
    <s v="20-30"/>
    <x v="0"/>
  </r>
  <r>
    <s v="https://suumo.jp/chintai/jnc_000103103328/?bc=100425615625"/>
    <s v="Ｒｙｏｃｏｈ　Ｒｅｓｉｄｅｎｃｅ　I"/>
    <s v="東京都中野区新井４"/>
    <n v="111000"/>
    <n v="10000"/>
    <n v="111000"/>
    <m/>
    <n v="7"/>
    <x v="0"/>
    <n v="25.12"/>
    <n v="4"/>
    <x v="6"/>
    <s v="新井薬師前駅"/>
    <n v="8"/>
    <n v="10"/>
    <n v="123574.88"/>
    <n v="77692.34"/>
    <n v="637"/>
    <n v="1071"/>
    <s v="20-30"/>
    <x v="0"/>
  </r>
  <r>
    <s v="https://suumo.jp/chintai/jnc_000020672093/?bc=100476417788"/>
    <s v="ＴＯＭＡＴＯ　ＶＩＬＬＡＧＥ"/>
    <s v="東京都中野区新井１"/>
    <n v="47000"/>
    <m/>
    <m/>
    <m/>
    <n v="2"/>
    <x v="0"/>
    <n v="12"/>
    <n v="44"/>
    <x v="0"/>
    <s v="新井薬師前駅"/>
    <n v="8"/>
    <n v="10.67"/>
    <n v="123574.88"/>
    <n v="77692.34"/>
    <n v="637"/>
    <n v="1071"/>
    <s v="10-20"/>
    <x v="3"/>
  </r>
  <r>
    <s v="https://suumo.jp/chintai/jnc_000103883934/?bc=100481335325"/>
    <s v="ＴＹ　ＨＯＵＳＥ"/>
    <s v="東京都中野区上高田２"/>
    <n v="92000"/>
    <n v="3000"/>
    <n v="92000"/>
    <n v="92000"/>
    <n v="2"/>
    <x v="0"/>
    <n v="25.8"/>
    <n v="12"/>
    <x v="2"/>
    <s v="新井薬師前駅"/>
    <n v="7"/>
    <n v="11.67"/>
    <n v="123574.88"/>
    <n v="77692.34"/>
    <n v="637"/>
    <n v="1071"/>
    <s v="20-30"/>
    <x v="7"/>
  </r>
  <r>
    <s v="https://suumo.jp/chintai/jnc_000102971524/?bc=100478049465"/>
    <s v="アリビス中野"/>
    <s v="東京都中野区上高田２"/>
    <n v="212500"/>
    <n v="15000"/>
    <m/>
    <m/>
    <n v="1"/>
    <x v="5"/>
    <n v="44.73"/>
    <n v="0"/>
    <x v="7"/>
    <s v="新井薬師前駅"/>
    <n v="10"/>
    <n v="12.67"/>
    <n v="123574.88"/>
    <n v="207063.41"/>
    <n v="637"/>
    <n v="41"/>
    <s v="40-50"/>
    <x v="6"/>
  </r>
  <r>
    <s v="https://suumo.jp/chintai/jnc_000100545718/?bc=100455412245"/>
    <s v="ラティエラ中野新井"/>
    <s v="東京都中野区新井１"/>
    <n v="238000"/>
    <n v="15000"/>
    <n v="238000"/>
    <n v="238000"/>
    <n v="1"/>
    <x v="5"/>
    <n v="43.5"/>
    <n v="0"/>
    <x v="9"/>
    <s v="新井薬師前駅"/>
    <n v="9"/>
    <n v="10.33"/>
    <n v="123574.88"/>
    <n v="207063.41"/>
    <n v="637"/>
    <n v="41"/>
    <s v="40-50"/>
    <x v="6"/>
  </r>
  <r>
    <s v="https://suumo.jp/chintai/jnc_000102563657/?bc=100470728574"/>
    <s v="ラティエラ中野新井"/>
    <s v="東京都中野区新井１"/>
    <n v="290000"/>
    <n v="20000"/>
    <n v="290000"/>
    <n v="290000"/>
    <n v="1"/>
    <x v="5"/>
    <n v="50.8"/>
    <n v="0"/>
    <x v="9"/>
    <s v="新井薬師前駅"/>
    <n v="9"/>
    <n v="10.33"/>
    <n v="123574.88"/>
    <n v="207063.41"/>
    <n v="637"/>
    <n v="41"/>
    <s v="50-60"/>
    <x v="6"/>
  </r>
  <r>
    <s v="https://suumo.jp/chintai/jnc_000100545721/?bc=100455402735"/>
    <s v="ラティエラ中野新井"/>
    <s v="東京都中野区新井１"/>
    <n v="235000"/>
    <n v="15000"/>
    <n v="235000"/>
    <m/>
    <n v="2"/>
    <x v="5"/>
    <n v="43.28"/>
    <n v="0"/>
    <x v="9"/>
    <s v="新井薬師前駅"/>
    <n v="9"/>
    <n v="10.33"/>
    <n v="123574.88"/>
    <n v="207063.41"/>
    <n v="637"/>
    <n v="41"/>
    <s v="40-50"/>
    <x v="6"/>
  </r>
  <r>
    <s v="https://suumo.jp/chintai/jnc_000100545722/?bc=100455412206"/>
    <s v="ラティエラ中野新井"/>
    <s v="東京都中野区新井１"/>
    <n v="236000"/>
    <n v="15000"/>
    <n v="236000"/>
    <m/>
    <n v="2"/>
    <x v="5"/>
    <n v="43.5"/>
    <n v="0"/>
    <x v="9"/>
    <s v="新井薬師前駅"/>
    <n v="9"/>
    <n v="10.33"/>
    <n v="123574.88"/>
    <n v="207063.41"/>
    <n v="637"/>
    <n v="41"/>
    <s v="40-50"/>
    <x v="6"/>
  </r>
  <r>
    <s v="https://suumo.jp/chintai/jnc_000100545730/?bc=100455395872"/>
    <s v="ラティエラ中野新井"/>
    <s v="東京都中野区新井１"/>
    <n v="237000"/>
    <n v="15000"/>
    <n v="237000"/>
    <m/>
    <n v="3"/>
    <x v="5"/>
    <n v="43.5"/>
    <n v="0"/>
    <x v="9"/>
    <s v="新井薬師前駅"/>
    <n v="9"/>
    <n v="10.33"/>
    <n v="123574.88"/>
    <n v="207063.41"/>
    <n v="637"/>
    <n v="41"/>
    <s v="40-50"/>
    <x v="6"/>
  </r>
  <r>
    <s v="https://suumo.jp/chintai/jnc_000103960417/?bc=100348534678"/>
    <s v="ＪＲ中央線 中野駅 3階建 築29年"/>
    <s v="東京都中野区上高田２"/>
    <n v="170000"/>
    <n v="7000"/>
    <n v="170000"/>
    <n v="170000"/>
    <n v="3"/>
    <x v="5"/>
    <n v="58.75"/>
    <n v="29"/>
    <x v="2"/>
    <s v="新井薬師前駅"/>
    <n v="7"/>
    <n v="11.33"/>
    <n v="123574.88"/>
    <n v="207063.41"/>
    <n v="637"/>
    <n v="41"/>
    <s v="50-60"/>
    <x v="1"/>
  </r>
  <r>
    <s v="https://suumo.jp/chintai/jnc_000102747040/?bc=100472099991"/>
    <s v="ＪＲ中央線 中野駅 5階建 築1年"/>
    <s v="東京都中野区上高田２"/>
    <n v="212500"/>
    <n v="15000"/>
    <m/>
    <m/>
    <n v="1"/>
    <x v="5"/>
    <n v="44.73"/>
    <n v="1"/>
    <x v="7"/>
    <s v="新井薬師前駅"/>
    <n v="10"/>
    <n v="12.33"/>
    <n v="123574.88"/>
    <n v="207063.41"/>
    <n v="637"/>
    <n v="41"/>
    <s v="40-50"/>
    <x v="0"/>
  </r>
  <r>
    <s v="https://suumo.jp/chintai/jnc_000100802067/?bc=100480752713"/>
    <s v="ＪＲ中央線 中野駅 8階建 新築"/>
    <s v="東京都中野区新井１"/>
    <n v="238000"/>
    <n v="15000"/>
    <n v="238000"/>
    <m/>
    <n v="1"/>
    <x v="5"/>
    <n v="43.5"/>
    <n v="0"/>
    <x v="9"/>
    <s v="新井薬師前駅"/>
    <n v="9"/>
    <n v="9.67"/>
    <n v="123574.88"/>
    <n v="207063.41"/>
    <n v="637"/>
    <n v="41"/>
    <s v="40-50"/>
    <x v="6"/>
  </r>
  <r>
    <s v="https://suumo.jp/chintai/jnc_000102580888/?bc=100480752712"/>
    <s v="ＪＲ中央線 中野駅 8階建 新築"/>
    <s v="東京都中野区新井１"/>
    <n v="290000"/>
    <n v="20000"/>
    <n v="290000"/>
    <m/>
    <n v="1"/>
    <x v="5"/>
    <n v="50.8"/>
    <n v="0"/>
    <x v="9"/>
    <s v="新井薬師前駅"/>
    <n v="9"/>
    <n v="9.67"/>
    <n v="123574.88"/>
    <n v="207063.41"/>
    <n v="637"/>
    <n v="41"/>
    <s v="50-60"/>
    <x v="6"/>
  </r>
  <r>
    <s v="https://suumo.jp/chintai/jnc_000100757874/?bc=100473970964"/>
    <s v="ＪＲ中央線 中野駅 8階建 新築"/>
    <s v="東京都中野区新井１"/>
    <n v="235000"/>
    <n v="15000"/>
    <n v="235000"/>
    <m/>
    <n v="2"/>
    <x v="5"/>
    <n v="43.28"/>
    <n v="0"/>
    <x v="9"/>
    <s v="新井薬師前駅"/>
    <n v="9"/>
    <n v="9.67"/>
    <n v="123574.88"/>
    <n v="207063.41"/>
    <n v="637"/>
    <n v="41"/>
    <s v="40-50"/>
    <x v="6"/>
  </r>
  <r>
    <s v="https://suumo.jp/chintai/jnc_000100757875/?bc=100466963107"/>
    <s v="ＪＲ中央線 中野駅 8階建 新築"/>
    <s v="東京都中野区新井１"/>
    <n v="236000"/>
    <n v="15000"/>
    <n v="236000"/>
    <m/>
    <n v="2"/>
    <x v="5"/>
    <n v="43.5"/>
    <n v="0"/>
    <x v="9"/>
    <s v="新井薬師前駅"/>
    <n v="9"/>
    <n v="9.67"/>
    <n v="123574.88"/>
    <n v="207063.41"/>
    <n v="637"/>
    <n v="41"/>
    <s v="40-50"/>
    <x v="6"/>
  </r>
  <r>
    <s v="https://suumo.jp/chintai/jnc_000100802070/?bc=100466963073"/>
    <s v="ＪＲ中央線 中野駅 8階建 新築"/>
    <s v="東京都中野区新井１"/>
    <n v="237000"/>
    <n v="15000"/>
    <n v="237000"/>
    <m/>
    <n v="3"/>
    <x v="5"/>
    <n v="43.5"/>
    <n v="0"/>
    <x v="9"/>
    <s v="新井薬師前駅"/>
    <n v="9"/>
    <n v="9.67"/>
    <n v="123574.88"/>
    <n v="207063.41"/>
    <n v="637"/>
    <n v="41"/>
    <s v="40-50"/>
    <x v="6"/>
  </r>
  <r>
    <s v="https://suumo.jp/chintai/jnc_000103536653/?bc=100478445786"/>
    <s v="Lilac Roller 新井薬師"/>
    <s v="東京都中野区上高田３"/>
    <n v="143000"/>
    <n v="6000"/>
    <n v="143000"/>
    <n v="143000"/>
    <n v="2"/>
    <x v="6"/>
    <n v="46.22"/>
    <n v="4"/>
    <x v="2"/>
    <s v="新井薬師前駅"/>
    <n v="4"/>
    <n v="13.67"/>
    <n v="123574.88"/>
    <n v="141491.45000000001"/>
    <n v="637"/>
    <n v="117"/>
    <s v="40-50"/>
    <x v="0"/>
  </r>
  <r>
    <s v="https://suumo.jp/chintai/jnc_000102755810/?bc=100479478842"/>
    <s v="アリビス中野"/>
    <s v="東京都中野区上高田２"/>
    <n v="203000"/>
    <n v="15000"/>
    <m/>
    <m/>
    <n v="3"/>
    <x v="6"/>
    <n v="42.75"/>
    <n v="0"/>
    <x v="7"/>
    <s v="新井薬師前駅"/>
    <n v="10"/>
    <n v="12.67"/>
    <n v="123574.88"/>
    <n v="141491.45000000001"/>
    <n v="637"/>
    <n v="117"/>
    <s v="40-50"/>
    <x v="6"/>
  </r>
  <r>
    <s v="https://suumo.jp/chintai/jnc_000102755809/?bc=100476144578"/>
    <s v="アリビス中野"/>
    <s v="東京都中野区上高田２"/>
    <n v="213500"/>
    <n v="15000"/>
    <m/>
    <m/>
    <n v="3"/>
    <x v="6"/>
    <n v="44.73"/>
    <n v="0"/>
    <x v="7"/>
    <s v="新井薬師前駅"/>
    <n v="10"/>
    <n v="12.67"/>
    <n v="123574.88"/>
    <n v="141491.45000000001"/>
    <n v="637"/>
    <n v="117"/>
    <s v="40-50"/>
    <x v="6"/>
  </r>
  <r>
    <s v="https://suumo.jp/chintai/jnc_000103231662/?bc=100484527717"/>
    <s v="アリビス中野"/>
    <s v="東京都中野区上高田２"/>
    <n v="203500"/>
    <n v="15000"/>
    <m/>
    <m/>
    <n v="4"/>
    <x v="6"/>
    <n v="42.75"/>
    <n v="0"/>
    <x v="7"/>
    <s v="新井薬師前駅"/>
    <n v="10"/>
    <n v="12.67"/>
    <n v="123574.88"/>
    <n v="141491.45000000001"/>
    <n v="637"/>
    <n v="117"/>
    <s v="40-50"/>
    <x v="6"/>
  </r>
  <r>
    <s v="https://suumo.jp/chintai/jnc_000104286382/?bc=100484469390"/>
    <s v="ウェンゲン上高田"/>
    <s v="東京都中野区上高田５"/>
    <n v="116000"/>
    <n v="4000"/>
    <n v="116000"/>
    <n v="116000"/>
    <n v="2"/>
    <x v="6"/>
    <n v="37.51"/>
    <n v="26"/>
    <x v="2"/>
    <s v="新井薬師前駅"/>
    <n v="7"/>
    <n v="10.33"/>
    <n v="123574.88"/>
    <n v="141491.45000000001"/>
    <n v="637"/>
    <n v="117"/>
    <s v="30-40"/>
    <x v="1"/>
  </r>
  <r>
    <s v="https://suumo.jp/chintai/jnc_000104015696/?bc=100482197466"/>
    <s v="コ-ト355"/>
    <s v="東京都新宿区西落合２"/>
    <n v="140000"/>
    <m/>
    <n v="140000"/>
    <n v="140000"/>
    <n v="2"/>
    <x v="6"/>
    <n v="47.73"/>
    <n v="36"/>
    <x v="2"/>
    <s v="新井薬師前駅"/>
    <n v="10"/>
    <n v="12.33"/>
    <n v="123574.88"/>
    <n v="141491.45000000001"/>
    <n v="637"/>
    <n v="117"/>
    <s v="40-50"/>
    <x v="4"/>
  </r>
  <r>
    <s v="https://suumo.jp/chintai/jnc_000101864565/?bc=100484279798"/>
    <s v="シュロス中野"/>
    <s v="東京都中野区上高田１"/>
    <n v="142500"/>
    <n v="7500"/>
    <n v="142500"/>
    <n v="142500"/>
    <n v="2"/>
    <x v="6"/>
    <n v="45.05"/>
    <n v="31"/>
    <x v="2"/>
    <s v="新井薬師前駅"/>
    <n v="8"/>
    <n v="12.67"/>
    <n v="123574.88"/>
    <n v="141491.45000000001"/>
    <n v="637"/>
    <n v="117"/>
    <s v="40-50"/>
    <x v="4"/>
  </r>
  <r>
    <s v="https://suumo.jp/chintai/jnc_000104406902/?bc=100485406842"/>
    <s v="シュロス中野"/>
    <s v="東京都中野区上高田１"/>
    <n v="144000"/>
    <n v="7500"/>
    <n v="144000"/>
    <n v="144000"/>
    <n v="2"/>
    <x v="6"/>
    <n v="45.05"/>
    <n v="31"/>
    <x v="2"/>
    <s v="新井薬師前駅"/>
    <n v="8"/>
    <n v="12.67"/>
    <n v="123574.88"/>
    <n v="141491.45000000001"/>
    <n v="637"/>
    <n v="117"/>
    <s v="40-50"/>
    <x v="4"/>
  </r>
  <r>
    <s v="https://suumo.jp/chintai/jnc_000104499487/?bc=100486088134"/>
    <s v="スペースN"/>
    <s v="東京都中野区新井５"/>
    <n v="128000"/>
    <n v="7000"/>
    <n v="128000"/>
    <n v="128000"/>
    <n v="4"/>
    <x v="6"/>
    <n v="34.479999999999997"/>
    <n v="25"/>
    <x v="4"/>
    <s v="新井薬師前駅"/>
    <n v="4"/>
    <n v="10.33"/>
    <n v="123574.88"/>
    <n v="141491.45000000001"/>
    <n v="637"/>
    <n v="117"/>
    <s v="30-40"/>
    <x v="1"/>
  </r>
  <r>
    <s v="https://suumo.jp/chintai/jnc_000104126171/?bc=100483173418"/>
    <s v="パシフィック哲学堂マンション"/>
    <s v="東京都中野区松が丘２"/>
    <n v="120000"/>
    <m/>
    <n v="120000"/>
    <n v="120000"/>
    <n v="3"/>
    <x v="6"/>
    <n v="41.07"/>
    <n v="53"/>
    <x v="10"/>
    <s v="新井薬師前駅"/>
    <n v="11"/>
    <n v="12.33"/>
    <n v="123574.88"/>
    <n v="141491.45000000001"/>
    <n v="637"/>
    <n v="117"/>
    <s v="40-50"/>
    <x v="5"/>
  </r>
  <r>
    <s v="https://suumo.jp/chintai/jnc_000104357201/?bc=100485358693"/>
    <s v="パークヒルズ中野"/>
    <s v="東京都中野区上高田２"/>
    <n v="125000"/>
    <n v="3000"/>
    <n v="125000"/>
    <m/>
    <n v="2"/>
    <x v="6"/>
    <n v="41.58"/>
    <n v="35"/>
    <x v="2"/>
    <s v="新井薬師前駅"/>
    <n v="9"/>
    <n v="12.67"/>
    <n v="123574.88"/>
    <n v="141491.45000000001"/>
    <n v="637"/>
    <n v="117"/>
    <s v="40-50"/>
    <x v="4"/>
  </r>
  <r>
    <s v="https://suumo.jp/chintai/jnc_000104532478/?bc=100486297182"/>
    <s v="マンション宍戸"/>
    <s v="東京都中野区上高田３"/>
    <n v="105000"/>
    <n v="5000"/>
    <n v="105000"/>
    <n v="105000"/>
    <n v="2"/>
    <x v="6"/>
    <n v="35"/>
    <n v="53"/>
    <x v="4"/>
    <s v="新井薬師前駅"/>
    <n v="1"/>
    <n v="11.33"/>
    <n v="123574.88"/>
    <n v="141491.45000000001"/>
    <n v="637"/>
    <n v="117"/>
    <s v="30-40"/>
    <x v="5"/>
  </r>
  <r>
    <s v="https://suumo.jp/chintai/jnc_000103611130/?bc=100481210940"/>
    <s v="マンション宍戸"/>
    <s v="東京都中野区上高田３"/>
    <n v="105000"/>
    <n v="5000"/>
    <n v="105000"/>
    <n v="105000"/>
    <n v="3"/>
    <x v="6"/>
    <n v="35"/>
    <n v="53"/>
    <x v="4"/>
    <s v="新井薬師前駅"/>
    <n v="1"/>
    <n v="11.33"/>
    <n v="123574.88"/>
    <n v="141491.45000000001"/>
    <n v="637"/>
    <n v="117"/>
    <s v="30-40"/>
    <x v="5"/>
  </r>
  <r>
    <s v="https://suumo.jp/chintai/jnc_000104510082/?bc=100486129351"/>
    <s v="ミニヨン"/>
    <s v="東京都中野区上高田３"/>
    <n v="130000"/>
    <m/>
    <n v="130000"/>
    <n v="130000"/>
    <n v="1"/>
    <x v="6"/>
    <n v="47.33"/>
    <n v="19"/>
    <x v="2"/>
    <s v="新井薬師前駅"/>
    <n v="2"/>
    <n v="2"/>
    <n v="123574.88"/>
    <n v="141491.45000000001"/>
    <n v="637"/>
    <n v="117"/>
    <s v="40-50"/>
    <x v="7"/>
  </r>
  <r>
    <s v="https://suumo.jp/chintai/jnc_000100746009/?bc=100432037296"/>
    <s v="ルネマツトシ"/>
    <s v="東京都中野区松が丘２"/>
    <n v="95000"/>
    <n v="2000"/>
    <n v="95000"/>
    <n v="95000"/>
    <n v="1"/>
    <x v="6"/>
    <n v="43.5"/>
    <n v="33"/>
    <x v="0"/>
    <s v="新井薬師前駅"/>
    <n v="10"/>
    <n v="16"/>
    <n v="123574.88"/>
    <n v="141491.45000000001"/>
    <n v="637"/>
    <n v="117"/>
    <s v="40-50"/>
    <x v="4"/>
  </r>
  <r>
    <s v="https://suumo.jp/chintai/jnc_000081616545/?bc=100435357529"/>
    <s v="ルネマツトシ"/>
    <s v="東京都中野区松が丘２"/>
    <n v="95000"/>
    <n v="2000"/>
    <n v="95000"/>
    <n v="95000"/>
    <n v="2"/>
    <x v="6"/>
    <n v="40"/>
    <n v="33"/>
    <x v="0"/>
    <s v="新井薬師前駅"/>
    <n v="10"/>
    <n v="16"/>
    <n v="123574.88"/>
    <n v="141491.45000000001"/>
    <n v="637"/>
    <n v="117"/>
    <s v="40-50"/>
    <x v="4"/>
  </r>
  <r>
    <s v="https://suumo.jp/chintai/jnc_000100746010/?bc=100432037297"/>
    <s v="ルネマツトシ"/>
    <s v="東京都中野区松が丘２"/>
    <n v="95000"/>
    <n v="2000"/>
    <n v="95000"/>
    <n v="95000"/>
    <n v="2"/>
    <x v="6"/>
    <n v="43.5"/>
    <n v="33"/>
    <x v="0"/>
    <s v="新井薬師前駅"/>
    <n v="10"/>
    <n v="16"/>
    <n v="123574.88"/>
    <n v="141491.45000000001"/>
    <n v="637"/>
    <n v="117"/>
    <s v="40-50"/>
    <x v="4"/>
  </r>
  <r>
    <s v="https://suumo.jp/chintai/jnc_000104050080/?bc=100482522083"/>
    <s v="ワイズボックス"/>
    <s v="東京都中野区江古田１"/>
    <n v="99000"/>
    <n v="3000"/>
    <n v="99000"/>
    <n v="148500"/>
    <n v="2"/>
    <x v="6"/>
    <n v="47.2"/>
    <n v="27"/>
    <x v="2"/>
    <s v="新井薬師前駅"/>
    <n v="12"/>
    <n v="16.670000000000002"/>
    <n v="123574.88"/>
    <n v="141491.45000000001"/>
    <n v="637"/>
    <n v="117"/>
    <s v="40-50"/>
    <x v="1"/>
  </r>
  <r>
    <s v="https://suumo.jp/chintai/jnc_000099144898/?bc=100442003229"/>
    <s v="上高田４丁目団地2号棟"/>
    <s v="東京都中野区上高田４"/>
    <n v="120000"/>
    <m/>
    <n v="120000"/>
    <n v="120000"/>
    <n v="11"/>
    <x v="6"/>
    <n v="50"/>
    <n v="55"/>
    <x v="8"/>
    <s v="新井薬師前駅"/>
    <n v="8"/>
    <n v="10"/>
    <n v="123574.88"/>
    <n v="141491.45000000001"/>
    <n v="637"/>
    <n v="117"/>
    <s v="50-60"/>
    <x v="5"/>
  </r>
  <r>
    <s v="https://suumo.jp/chintai/jnc_000081616546/?bc=100452057416"/>
    <s v="西武新宿線 新井薬師前駅 2階建 築34年"/>
    <s v="東京都中野区松が丘２"/>
    <n v="95000"/>
    <n v="2000"/>
    <n v="95000"/>
    <n v="95000"/>
    <n v="2"/>
    <x v="6"/>
    <n v="40"/>
    <n v="34"/>
    <x v="0"/>
    <s v="新井薬師前駅"/>
    <n v="10"/>
    <n v="12"/>
    <n v="123574.88"/>
    <n v="141491.45000000001"/>
    <n v="637"/>
    <n v="117"/>
    <s v="40-50"/>
    <x v="4"/>
  </r>
  <r>
    <s v="https://suumo.jp/chintai/jnc_000103969588/?bc=100473392772"/>
    <s v="西武新宿線 新井薬師前駅 3階建 築26年"/>
    <s v="東京都中野区上高田５"/>
    <n v="116000"/>
    <n v="4000"/>
    <n v="116000"/>
    <n v="116000"/>
    <n v="2"/>
    <x v="6"/>
    <n v="38.28"/>
    <n v="26"/>
    <x v="2"/>
    <s v="新井薬師前駅"/>
    <n v="8"/>
    <n v="14.33"/>
    <n v="123574.88"/>
    <n v="141491.45000000001"/>
    <n v="637"/>
    <n v="117"/>
    <s v="30-40"/>
    <x v="1"/>
  </r>
  <r>
    <s v="https://suumo.jp/chintai/jnc_000102296279/?bc=100484246094"/>
    <s v="西武新宿線 新井薬師前駅 3階建 築31年"/>
    <s v="東京都中野区上高田１"/>
    <n v="142500"/>
    <n v="7500"/>
    <n v="142500"/>
    <n v="142500"/>
    <n v="2"/>
    <x v="6"/>
    <n v="45.05"/>
    <n v="31"/>
    <x v="2"/>
    <s v="新井薬師前駅"/>
    <n v="8"/>
    <n v="12"/>
    <n v="123574.88"/>
    <n v="141491.45000000001"/>
    <n v="637"/>
    <n v="117"/>
    <s v="40-50"/>
    <x v="4"/>
  </r>
  <r>
    <s v="https://suumo.jp/chintai/jnc_000103551241/?bc=100484745712"/>
    <s v="西武新宿線 新井薬師前駅 3階建 築3年"/>
    <s v="東京都中野区上高田３"/>
    <n v="143000"/>
    <n v="6000"/>
    <n v="143000"/>
    <n v="143000"/>
    <n v="1"/>
    <x v="6"/>
    <n v="46.22"/>
    <n v="3"/>
    <x v="2"/>
    <s v="新井薬師前駅"/>
    <n v="4"/>
    <n v="13.67"/>
    <n v="123574.88"/>
    <n v="141491.45000000001"/>
    <n v="637"/>
    <n v="117"/>
    <s v="40-50"/>
    <x v="0"/>
  </r>
  <r>
    <s v="https://suumo.jp/chintai/jnc_000103551241/?bc=100484745712"/>
    <s v="西武新宿線 新井薬師前駅 3階建 築3年"/>
    <s v="東京都中野区上高田３"/>
    <n v="143000"/>
    <n v="6000"/>
    <n v="143000"/>
    <n v="143000"/>
    <n v="2"/>
    <x v="6"/>
    <n v="46.22"/>
    <n v="3"/>
    <x v="2"/>
    <s v="新井薬師前駅"/>
    <n v="4"/>
    <n v="13.67"/>
    <n v="123574.88"/>
    <n v="141491.45000000001"/>
    <n v="637"/>
    <n v="117"/>
    <s v="40-50"/>
    <x v="0"/>
  </r>
  <r>
    <s v="https://suumo.jp/chintai/jnc_000103551241/?bc=100484745712"/>
    <s v="西武新宿線 新井薬師前駅 3階建 築3年"/>
    <s v="東京都中野区上高田３"/>
    <n v="143000"/>
    <n v="6000"/>
    <n v="143000"/>
    <n v="143000"/>
    <n v="3"/>
    <x v="6"/>
    <n v="46.22"/>
    <n v="3"/>
    <x v="2"/>
    <s v="新井薬師前駅"/>
    <n v="4"/>
    <n v="13.67"/>
    <n v="123574.88"/>
    <n v="141491.45000000001"/>
    <n v="637"/>
    <n v="117"/>
    <s v="40-50"/>
    <x v="0"/>
  </r>
  <r>
    <s v="https://suumo.jp/chintai/jnc_000104357207/?bc=100484972666"/>
    <s v="西武新宿線 新井薬師前駅 3階建 築43年"/>
    <s v="東京都中野区上高田３"/>
    <n v="140000"/>
    <m/>
    <n v="140000"/>
    <n v="140000"/>
    <n v="2"/>
    <x v="6"/>
    <n v="45.9"/>
    <n v="43"/>
    <x v="2"/>
    <s v="新井薬師前駅"/>
    <n v="2"/>
    <n v="10.67"/>
    <n v="123574.88"/>
    <n v="141491.45000000001"/>
    <n v="637"/>
    <n v="117"/>
    <s v="40-50"/>
    <x v="3"/>
  </r>
  <r>
    <s v="https://suumo.jp/chintai/jnc_000102854372/?bc=100472954414"/>
    <s v="都営大江戸線 新江古田駅 4階建 築38年"/>
    <s v="東京都中野区江古田２"/>
    <n v="110000"/>
    <m/>
    <n v="110000"/>
    <n v="110000"/>
    <n v="4"/>
    <x v="6"/>
    <n v="40"/>
    <n v="38"/>
    <x v="4"/>
    <s v="新井薬師前駅"/>
    <n v="10"/>
    <n v="11"/>
    <n v="123574.88"/>
    <n v="141491.45000000001"/>
    <n v="637"/>
    <n v="117"/>
    <s v="40-50"/>
    <x v="4"/>
  </r>
  <r>
    <s v="https://suumo.jp/chintai/jnc_000102417602/?bc=100469304253"/>
    <s v="Ｂｒａｎｃｈｅ中野哲学堂"/>
    <s v="東京都中野区松が丘１"/>
    <n v="192000"/>
    <n v="7000"/>
    <m/>
    <m/>
    <n v="3"/>
    <x v="6"/>
    <n v="50.45"/>
    <n v="13"/>
    <x v="7"/>
    <s v="新井薬師前駅"/>
    <n v="9"/>
    <n v="11.67"/>
    <n v="123574.88"/>
    <n v="141491.45000000001"/>
    <n v="637"/>
    <n v="117"/>
    <s v="50-60"/>
    <x v="7"/>
  </r>
  <r>
    <s v="https://suumo.jp/chintai/jnc_000103969585/?bc=100484887463"/>
    <s v="ＪＲ中央線 中野駅 3階建 築35年"/>
    <s v="東京都中野区上高田２"/>
    <n v="125000"/>
    <n v="3000"/>
    <n v="125000"/>
    <m/>
    <n v="2"/>
    <x v="6"/>
    <n v="41.58"/>
    <n v="35"/>
    <x v="2"/>
    <s v="新井薬師前駅"/>
    <n v="9"/>
    <n v="12.67"/>
    <n v="123574.88"/>
    <n v="141491.45000000001"/>
    <n v="637"/>
    <n v="117"/>
    <s v="40-50"/>
    <x v="4"/>
  </r>
  <r>
    <s v="https://suumo.jp/chintai/jnc_000102732894/?bc=100472273815"/>
    <s v="ＪＲ中央線 中野駅 5階建 築1年"/>
    <s v="東京都中野区上高田２"/>
    <n v="213000"/>
    <n v="15000"/>
    <m/>
    <m/>
    <n v="2"/>
    <x v="6"/>
    <n v="44.73"/>
    <n v="1"/>
    <x v="7"/>
    <s v="新井薬師前駅"/>
    <n v="10"/>
    <n v="12.33"/>
    <n v="123574.88"/>
    <n v="141491.45000000001"/>
    <n v="637"/>
    <n v="117"/>
    <s v="40-50"/>
    <x v="0"/>
  </r>
  <r>
    <s v="https://suumo.jp/chintai/jnc_000102771886/?bc=100472509126"/>
    <s v="ＪＲ中央線 中野駅 5階建 築1年"/>
    <s v="東京都中野区上高田２"/>
    <n v="203000"/>
    <n v="15000"/>
    <m/>
    <m/>
    <n v="3"/>
    <x v="6"/>
    <n v="42.75"/>
    <n v="1"/>
    <x v="7"/>
    <s v="新井薬師前駅"/>
    <n v="10"/>
    <n v="12.33"/>
    <n v="123574.88"/>
    <n v="141491.45000000001"/>
    <n v="637"/>
    <n v="117"/>
    <s v="40-50"/>
    <x v="0"/>
  </r>
  <r>
    <s v="https://suumo.jp/chintai/jnc_000102771885/?bc=100472509127"/>
    <s v="ＪＲ中央線 中野駅 5階建 築1年"/>
    <s v="東京都中野区上高田２"/>
    <n v="213500"/>
    <n v="15000"/>
    <m/>
    <m/>
    <n v="3"/>
    <x v="6"/>
    <n v="44.73"/>
    <n v="1"/>
    <x v="7"/>
    <s v="新井薬師前駅"/>
    <n v="10"/>
    <n v="12.33"/>
    <n v="123574.88"/>
    <n v="141491.45000000001"/>
    <n v="637"/>
    <n v="117"/>
    <s v="40-50"/>
    <x v="0"/>
  </r>
  <r>
    <s v="https://suumo.jp/chintai/jnc_000103161974/?bc=100478328934"/>
    <s v="ＪＲ総武線 中野駅 6階建 築40年"/>
    <s v="東京都中野区新井１"/>
    <n v="149000"/>
    <n v="6000"/>
    <m/>
    <m/>
    <n v="5"/>
    <x v="6"/>
    <n v="40.799999999999997"/>
    <n v="40"/>
    <x v="5"/>
    <s v="新井薬師前駅"/>
    <n v="8"/>
    <n v="10"/>
    <n v="123574.88"/>
    <n v="141491.45000000001"/>
    <n v="637"/>
    <n v="117"/>
    <s v="40-50"/>
    <x v="4"/>
  </r>
  <r>
    <s v="https://suumo.jp/chintai/jnc_000104335103/?bc=100484239087"/>
    <s v="ウェンゲン上高田"/>
    <s v="東京都中野区上高田５"/>
    <n v="116000"/>
    <n v="3000"/>
    <n v="116000"/>
    <n v="116000"/>
    <n v="2"/>
    <x v="7"/>
    <n v="38.28"/>
    <n v="26"/>
    <x v="2"/>
    <s v="新井薬師前駅"/>
    <n v="7"/>
    <n v="10.33"/>
    <n v="123574.88"/>
    <n v="117441.44"/>
    <n v="637"/>
    <n v="111"/>
    <s v="30-40"/>
    <x v="1"/>
  </r>
  <r>
    <s v="https://suumo.jp/chintai/jnc_000104335103/?bc=100484239087"/>
    <s v="ウェンゲン上高田"/>
    <s v="東京都中野区上高田５"/>
    <n v="116000"/>
    <n v="3000"/>
    <n v="116000"/>
    <n v="116000"/>
    <n v="3"/>
    <x v="7"/>
    <n v="38.28"/>
    <n v="26"/>
    <x v="2"/>
    <s v="新井薬師前駅"/>
    <n v="7"/>
    <n v="10.33"/>
    <n v="123574.88"/>
    <n v="117441.44"/>
    <n v="637"/>
    <n v="111"/>
    <s v="30-40"/>
    <x v="1"/>
  </r>
  <r>
    <s v="https://suumo.jp/chintai/jnc_000103558029/?bc=100484787566"/>
    <s v="フォトナ新井薬師前（旧：小久保マンション）"/>
    <s v="東京都中野区新井５"/>
    <n v="93000"/>
    <n v="7000"/>
    <n v="93000"/>
    <m/>
    <n v="3"/>
    <x v="7"/>
    <n v="36.5"/>
    <n v="56"/>
    <x v="7"/>
    <s v="新井薬師前駅"/>
    <n v="2"/>
    <n v="9"/>
    <n v="123574.88"/>
    <n v="117441.44"/>
    <n v="637"/>
    <n v="111"/>
    <s v="30-40"/>
    <x v="5"/>
  </r>
  <r>
    <s v="https://suumo.jp/chintai/jnc_000103994748/?bc=100482137006"/>
    <s v="片岡ビル"/>
    <s v="東京都中野区新井５"/>
    <n v="125000"/>
    <m/>
    <n v="125000"/>
    <n v="125000"/>
    <n v="3"/>
    <x v="7"/>
    <n v="37"/>
    <n v="52"/>
    <x v="4"/>
    <s v="新井薬師前駅"/>
    <n v="3"/>
    <n v="9.67"/>
    <n v="123574.88"/>
    <n v="117441.44"/>
    <n v="637"/>
    <n v="111"/>
    <s v="30-40"/>
    <x v="5"/>
  </r>
  <r>
    <s v="https://suumo.jp/chintai/jnc_000101784002/?bc=100467108895"/>
    <s v="西武新宿線 新井薬師前駅 2階建 築34年"/>
    <s v="東京都中野区松が丘２"/>
    <n v="79000"/>
    <n v="3000"/>
    <n v="79000"/>
    <n v="79000"/>
    <n v="2"/>
    <x v="7"/>
    <n v="29.81"/>
    <n v="34"/>
    <x v="0"/>
    <s v="新井薬師前駅"/>
    <n v="10"/>
    <n v="13.33"/>
    <n v="123574.88"/>
    <n v="117441.44"/>
    <n v="637"/>
    <n v="111"/>
    <s v="20-30"/>
    <x v="4"/>
  </r>
  <r>
    <s v="https://suumo.jp/chintai/jnc_000104482303/?bc=100485994199"/>
    <s v="西武新宿線 新井薬師前駅 2階建 築52年"/>
    <s v="東京都新宿区西落合２"/>
    <n v="75000"/>
    <n v="5000"/>
    <n v="75000"/>
    <n v="75000"/>
    <n v="1"/>
    <x v="7"/>
    <n v="29.04"/>
    <n v="52"/>
    <x v="0"/>
    <s v="新井薬師前駅"/>
    <n v="11"/>
    <n v="13.67"/>
    <n v="123574.88"/>
    <n v="117441.44"/>
    <n v="637"/>
    <n v="111"/>
    <s v="20-30"/>
    <x v="5"/>
  </r>
  <r>
    <s v="https://suumo.jp/chintai/jnc_000104286383/?bc=100484377161"/>
    <s v="西武新宿線 新井薬師前駅 3階建 築26年"/>
    <s v="東京都中野区上高田５"/>
    <n v="116000"/>
    <n v="3000"/>
    <n v="116000"/>
    <n v="116000"/>
    <n v="2"/>
    <x v="7"/>
    <n v="38.28"/>
    <n v="26"/>
    <x v="2"/>
    <s v="新井薬師前駅"/>
    <n v="7"/>
    <n v="10.33"/>
    <n v="123574.88"/>
    <n v="117441.44"/>
    <n v="637"/>
    <n v="111"/>
    <s v="30-40"/>
    <x v="1"/>
  </r>
  <r>
    <s v="https://suumo.jp/chintai/jnc_000104286383/?bc=100484377161"/>
    <s v="西武新宿線 新井薬師前駅 3階建 築26年"/>
    <s v="東京都中野区上高田５"/>
    <n v="116000"/>
    <n v="3000"/>
    <n v="116000"/>
    <n v="116000"/>
    <n v="3"/>
    <x v="7"/>
    <n v="38.28"/>
    <n v="26"/>
    <x v="2"/>
    <s v="新井薬師前駅"/>
    <n v="7"/>
    <n v="10.33"/>
    <n v="123574.88"/>
    <n v="117441.44"/>
    <n v="637"/>
    <n v="111"/>
    <s v="30-40"/>
    <x v="1"/>
  </r>
  <r>
    <s v="https://suumo.jp/chintai/jnc_000103447934/?bc=100483269995"/>
    <s v="西武新宿線 新井薬師前駅 4階建 築39年"/>
    <s v="東京都中野区上高田４"/>
    <n v="105000"/>
    <n v="8000"/>
    <n v="105000"/>
    <n v="105000"/>
    <n v="2"/>
    <x v="7"/>
    <n v="38"/>
    <n v="39"/>
    <x v="4"/>
    <s v="新井薬師前駅"/>
    <n v="5"/>
    <n v="11.33"/>
    <n v="123574.88"/>
    <n v="117441.44"/>
    <n v="637"/>
    <n v="111"/>
    <s v="30-40"/>
    <x v="4"/>
  </r>
  <r>
    <s v="https://suumo.jp/chintai/jnc_000097528956/?bc=100483151015"/>
    <s v="ＮＨレジデンス中野"/>
    <s v="東京都中野区上高田２"/>
    <n v="77000"/>
    <n v="5000"/>
    <n v="77000"/>
    <m/>
    <n v="1"/>
    <x v="7"/>
    <n v="29.16"/>
    <n v="42"/>
    <x v="4"/>
    <s v="新井薬師前駅"/>
    <n v="6"/>
    <n v="13"/>
    <n v="123574.88"/>
    <n v="117441.44"/>
    <n v="637"/>
    <n v="111"/>
    <s v="20-30"/>
    <x v="3"/>
  </r>
  <r>
    <s v="https://suumo.jp/chintai/jnc_000101513112/?bc=100460063749"/>
    <s v="Latierra（ラティエラ）中野新井"/>
    <s v="東京都中野区新井１"/>
    <n v="238000"/>
    <n v="20000"/>
    <n v="238000"/>
    <m/>
    <n v="3"/>
    <x v="8"/>
    <n v="45.56"/>
    <n v="1"/>
    <x v="9"/>
    <s v="新井薬師前駅"/>
    <n v="9"/>
    <n v="14.67"/>
    <n v="123574.88"/>
    <n v="232352.65"/>
    <n v="637"/>
    <n v="359"/>
    <s v="40-50"/>
    <x v="0"/>
  </r>
  <r>
    <s v="https://suumo.jp/chintai/jnc_000101329947/?bc=100458640521"/>
    <s v="Latierra（ラティエラ）中野新井"/>
    <s v="東京都中野区新井１"/>
    <n v="238000"/>
    <n v="20000"/>
    <n v="238000"/>
    <n v="238000"/>
    <n v="7"/>
    <x v="8"/>
    <n v="42.97"/>
    <n v="1"/>
    <x v="9"/>
    <s v="新井薬師前駅"/>
    <n v="9"/>
    <n v="14.67"/>
    <n v="123574.88"/>
    <n v="232352.65"/>
    <n v="637"/>
    <n v="359"/>
    <s v="40-50"/>
    <x v="0"/>
  </r>
  <r>
    <s v="https://suumo.jp/chintai/jnc_000102971523/?bc=100476144939"/>
    <s v="アリビス中野"/>
    <s v="東京都中野区上高田２"/>
    <n v="226500"/>
    <n v="15000"/>
    <m/>
    <m/>
    <n v="1"/>
    <x v="8"/>
    <n v="47.73"/>
    <n v="0"/>
    <x v="7"/>
    <s v="新井薬師前駅"/>
    <n v="10"/>
    <n v="12.67"/>
    <n v="123574.88"/>
    <n v="232352.65"/>
    <n v="637"/>
    <n v="359"/>
    <s v="40-50"/>
    <x v="6"/>
  </r>
  <r>
    <s v="https://suumo.jp/chintai/jnc_000102966888/?bc=100478049466"/>
    <s v="アリビス中野"/>
    <s v="東京都中野区上高田２"/>
    <n v="213000"/>
    <n v="15000"/>
    <m/>
    <m/>
    <n v="2"/>
    <x v="8"/>
    <n v="44.73"/>
    <n v="0"/>
    <x v="7"/>
    <s v="新井薬師前駅"/>
    <n v="10"/>
    <n v="12.67"/>
    <n v="123574.88"/>
    <n v="232352.65"/>
    <n v="637"/>
    <n v="359"/>
    <s v="40-50"/>
    <x v="6"/>
  </r>
  <r>
    <s v="https://suumo.jp/chintai/jnc_000102979647/?bc=100476144834"/>
    <s v="アリビス中野"/>
    <s v="東京都中野区上高田２"/>
    <n v="227000"/>
    <n v="15000"/>
    <m/>
    <m/>
    <n v="2"/>
    <x v="8"/>
    <n v="47.73"/>
    <n v="0"/>
    <x v="7"/>
    <s v="新井薬師前駅"/>
    <n v="10"/>
    <n v="12.67"/>
    <n v="123574.88"/>
    <n v="232352.65"/>
    <n v="637"/>
    <n v="359"/>
    <s v="40-50"/>
    <x v="6"/>
  </r>
  <r>
    <s v="https://suumo.jp/chintai/jnc_000102755808/?bc=100476145217"/>
    <s v="アリビス中野"/>
    <s v="東京都中野区上高田２"/>
    <n v="227500"/>
    <n v="15000"/>
    <m/>
    <m/>
    <n v="3"/>
    <x v="8"/>
    <n v="47.73"/>
    <n v="0"/>
    <x v="7"/>
    <s v="新井薬師前駅"/>
    <n v="10"/>
    <n v="12.67"/>
    <n v="123574.88"/>
    <n v="232352.65"/>
    <n v="637"/>
    <n v="359"/>
    <s v="40-50"/>
    <x v="6"/>
  </r>
  <r>
    <s v="https://suumo.jp/chintai/jnc_000103205284/?bc=100485394570"/>
    <s v="エスティメゾン哲学堂"/>
    <s v="東京都中野区松が丘２"/>
    <n v="203000"/>
    <n v="12000"/>
    <n v="203000"/>
    <n v="203000"/>
    <n v="2"/>
    <x v="8"/>
    <n v="56.3"/>
    <n v="17"/>
    <x v="9"/>
    <s v="新井薬師前駅"/>
    <n v="8"/>
    <n v="11.67"/>
    <n v="123574.88"/>
    <n v="232352.65"/>
    <n v="637"/>
    <n v="359"/>
    <s v="50-60"/>
    <x v="7"/>
  </r>
  <r>
    <s v="https://suumo.jp/chintai/jnc_000104531835/?bc=100486356401"/>
    <s v="エスポワール"/>
    <s v="東京都新宿区西落合２"/>
    <n v="170000"/>
    <n v="4000"/>
    <n v="170000"/>
    <n v="340000"/>
    <n v="1"/>
    <x v="8"/>
    <n v="62.7"/>
    <n v="11"/>
    <x v="2"/>
    <s v="新井薬師前駅"/>
    <n v="7"/>
    <n v="12.33"/>
    <n v="123574.88"/>
    <n v="232352.65"/>
    <n v="637"/>
    <n v="359"/>
    <s v="60-70"/>
    <x v="7"/>
  </r>
  <r>
    <s v="https://suumo.jp/chintai/jnc_000104531835/?bc=100486356401"/>
    <s v="エスポワール"/>
    <s v="東京都新宿区西落合２"/>
    <n v="170000"/>
    <n v="4000"/>
    <n v="170000"/>
    <n v="340000"/>
    <n v="2"/>
    <x v="8"/>
    <n v="62.7"/>
    <n v="11"/>
    <x v="2"/>
    <s v="新井薬師前駅"/>
    <n v="7"/>
    <n v="12.33"/>
    <n v="123574.88"/>
    <n v="232352.65"/>
    <n v="637"/>
    <n v="359"/>
    <s v="60-70"/>
    <x v="7"/>
  </r>
  <r>
    <s v="https://suumo.jp/chintai/jnc_000103929305/?bc=100481560732"/>
    <s v="カーサピアッツァ中野松が丘"/>
    <s v="東京都中野区松が丘１"/>
    <n v="187000"/>
    <n v="10000"/>
    <m/>
    <m/>
    <n v="2"/>
    <x v="8"/>
    <n v="41.02"/>
    <n v="0"/>
    <x v="4"/>
    <s v="新井薬師前駅"/>
    <n v="7"/>
    <n v="10.33"/>
    <n v="123574.88"/>
    <n v="232352.65"/>
    <n v="637"/>
    <n v="359"/>
    <s v="40-50"/>
    <x v="6"/>
  </r>
  <r>
    <s v="https://suumo.jp/chintai/jnc_000103929307/?bc=100483113849"/>
    <s v="カーサピアッツァ中野松が丘"/>
    <s v="東京都中野区松が丘１"/>
    <n v="190000"/>
    <n v="10000"/>
    <m/>
    <m/>
    <n v="2"/>
    <x v="8"/>
    <n v="41.02"/>
    <n v="0"/>
    <x v="4"/>
    <s v="新井薬師前駅"/>
    <n v="7"/>
    <n v="10.33"/>
    <n v="123574.88"/>
    <n v="232352.65"/>
    <n v="637"/>
    <n v="359"/>
    <s v="40-50"/>
    <x v="6"/>
  </r>
  <r>
    <s v="https://suumo.jp/chintai/jnc_000103929308/?bc=100483133863"/>
    <s v="カーサピアッツァ中野松が丘"/>
    <s v="東京都中野区松が丘１"/>
    <n v="188000"/>
    <n v="10000"/>
    <m/>
    <m/>
    <n v="3"/>
    <x v="8"/>
    <n v="41.02"/>
    <n v="0"/>
    <x v="4"/>
    <s v="新井薬師前駅"/>
    <n v="7"/>
    <n v="10.33"/>
    <n v="123574.88"/>
    <n v="232352.65"/>
    <n v="637"/>
    <n v="359"/>
    <s v="40-50"/>
    <x v="6"/>
  </r>
  <r>
    <s v="https://suumo.jp/chintai/jnc_000103929310/?bc=100483133814"/>
    <s v="カーサピアッツァ中野松が丘"/>
    <s v="東京都中野区松が丘１"/>
    <n v="191000"/>
    <n v="10000"/>
    <m/>
    <m/>
    <n v="3"/>
    <x v="8"/>
    <n v="41.02"/>
    <n v="0"/>
    <x v="4"/>
    <s v="新井薬師前駅"/>
    <n v="7"/>
    <n v="10.33"/>
    <n v="123574.88"/>
    <n v="232352.65"/>
    <n v="637"/>
    <n v="359"/>
    <s v="40-50"/>
    <x v="6"/>
  </r>
  <r>
    <s v="https://suumo.jp/chintai/jnc_000103929311/?bc=100484349714"/>
    <s v="カーサピアッツァ中野松が丘"/>
    <s v="東京都中野区松が丘１"/>
    <n v="188000"/>
    <n v="10000"/>
    <m/>
    <m/>
    <n v="4"/>
    <x v="8"/>
    <n v="41.02"/>
    <n v="0"/>
    <x v="4"/>
    <s v="新井薬師前駅"/>
    <n v="7"/>
    <n v="10.33"/>
    <n v="123574.88"/>
    <n v="232352.65"/>
    <n v="637"/>
    <n v="359"/>
    <s v="40-50"/>
    <x v="6"/>
  </r>
  <r>
    <s v="https://suumo.jp/chintai/jnc_000103929313/?bc=100482918647"/>
    <s v="カーサピアッツァ中野松が丘"/>
    <s v="東京都中野区松が丘１"/>
    <n v="191000"/>
    <n v="10000"/>
    <m/>
    <m/>
    <n v="4"/>
    <x v="8"/>
    <n v="41.02"/>
    <n v="0"/>
    <x v="4"/>
    <s v="新井薬師前駅"/>
    <n v="7"/>
    <n v="10.33"/>
    <n v="123574.88"/>
    <n v="232352.65"/>
    <n v="637"/>
    <n v="359"/>
    <s v="40-50"/>
    <x v="6"/>
  </r>
  <r>
    <s v="https://suumo.jp/chintai/jnc_000104223015/?bc=100483929782"/>
    <s v="グリーンパーク　松が丘"/>
    <s v="東京都中野区松が丘２"/>
    <n v="143000"/>
    <n v="3000"/>
    <n v="143000"/>
    <n v="286000"/>
    <n v="1"/>
    <x v="8"/>
    <n v="46.75"/>
    <n v="13"/>
    <x v="2"/>
    <s v="新井薬師前駅"/>
    <n v="11"/>
    <n v="13"/>
    <n v="123574.88"/>
    <n v="232352.65"/>
    <n v="637"/>
    <n v="359"/>
    <s v="40-50"/>
    <x v="7"/>
  </r>
  <r>
    <s v="https://suumo.jp/chintai/jnc_000103811853/?bc=100485890811"/>
    <s v="ミハス中野新井薬師II"/>
    <s v="東京都中野区上高田２"/>
    <n v="157000"/>
    <n v="8000"/>
    <m/>
    <n v="157000"/>
    <n v="2"/>
    <x v="8"/>
    <n v="50.92"/>
    <n v="4"/>
    <x v="2"/>
    <s v="新井薬師前駅"/>
    <n v="5"/>
    <n v="13.33"/>
    <n v="123574.88"/>
    <n v="232352.65"/>
    <n v="637"/>
    <n v="359"/>
    <s v="50-60"/>
    <x v="0"/>
  </r>
  <r>
    <s v="https://suumo.jp/chintai/jnc_000103811853/?bc=100485890811"/>
    <s v="ミハス中野新井薬師II"/>
    <s v="東京都中野区上高田２"/>
    <n v="157000"/>
    <n v="8000"/>
    <m/>
    <n v="157000"/>
    <n v="3"/>
    <x v="8"/>
    <n v="50.92"/>
    <n v="4"/>
    <x v="2"/>
    <s v="新井薬師前駅"/>
    <n v="5"/>
    <n v="13.33"/>
    <n v="123574.88"/>
    <n v="232352.65"/>
    <n v="637"/>
    <n v="359"/>
    <s v="50-60"/>
    <x v="0"/>
  </r>
  <r>
    <s v="https://suumo.jp/chintai/jnc_000102663960/?bc=100486003867"/>
    <s v="ミハス中野新井薬師II"/>
    <s v="東京都中野区上高田２"/>
    <n v="157000"/>
    <n v="8000"/>
    <m/>
    <n v="157000"/>
    <n v="2"/>
    <x v="8"/>
    <n v="50.92"/>
    <n v="4"/>
    <x v="2"/>
    <s v="新井薬師前駅"/>
    <n v="5"/>
    <n v="13.33"/>
    <n v="123574.88"/>
    <n v="232352.65"/>
    <n v="637"/>
    <n v="359"/>
    <s v="50-60"/>
    <x v="0"/>
  </r>
  <r>
    <s v="https://suumo.jp/chintai/jnc_000104549004/?bc=100422127526"/>
    <s v="ミハス中野新井薬師III"/>
    <s v="東京都中野区上高田２"/>
    <n v="157000"/>
    <n v="8000"/>
    <m/>
    <n v="157000"/>
    <n v="2"/>
    <x v="8"/>
    <n v="50.92"/>
    <n v="2"/>
    <x v="2"/>
    <s v="新井薬師前駅"/>
    <n v="4"/>
    <n v="11.33"/>
    <n v="123574.88"/>
    <n v="232352.65"/>
    <n v="637"/>
    <n v="359"/>
    <s v="50-60"/>
    <x v="0"/>
  </r>
  <r>
    <s v="https://suumo.jp/chintai/jnc_000102637984/?bc=100471341124"/>
    <s v="メゾンアイ"/>
    <s v="東京都中野区松が丘１"/>
    <n v="160000"/>
    <m/>
    <n v="160000"/>
    <n v="160000"/>
    <n v="2"/>
    <x v="8"/>
    <n v="56"/>
    <n v="50"/>
    <x v="0"/>
    <s v="新井薬師前駅"/>
    <n v="5"/>
    <n v="13"/>
    <n v="123574.88"/>
    <n v="232352.65"/>
    <n v="637"/>
    <n v="359"/>
    <s v="50-60"/>
    <x v="3"/>
  </r>
  <r>
    <s v="https://suumo.jp/chintai/jnc_000100545727/?bc=100456045126"/>
    <s v="ラティエラ中野新井"/>
    <s v="東京都中野区新井１"/>
    <n v="236000"/>
    <n v="20000"/>
    <n v="236000"/>
    <m/>
    <n v="2"/>
    <x v="8"/>
    <n v="45.56"/>
    <n v="0"/>
    <x v="9"/>
    <s v="新井薬師前駅"/>
    <n v="9"/>
    <n v="10.33"/>
    <n v="123574.88"/>
    <n v="232352.65"/>
    <n v="637"/>
    <n v="359"/>
    <s v="40-50"/>
    <x v="6"/>
  </r>
  <r>
    <s v="https://suumo.jp/chintai/jnc_000104491991/?bc=100486373920"/>
    <s v="ラティエラ中野新井"/>
    <s v="東京都中野区新井１"/>
    <n v="234000"/>
    <n v="20000"/>
    <n v="234000"/>
    <m/>
    <n v="5"/>
    <x v="8"/>
    <n v="42.97"/>
    <n v="0"/>
    <x v="9"/>
    <s v="新井薬師前駅"/>
    <n v="9"/>
    <n v="10.33"/>
    <n v="123574.88"/>
    <n v="232352.65"/>
    <n v="637"/>
    <n v="359"/>
    <s v="40-50"/>
    <x v="6"/>
  </r>
  <r>
    <s v="https://suumo.jp/chintai/jnc_000104491996/?bc=100486392100"/>
    <s v="ラティエラ中野新井"/>
    <s v="東京都中野区新井１"/>
    <n v="246000"/>
    <n v="20000"/>
    <n v="246000"/>
    <m/>
    <n v="5"/>
    <x v="8"/>
    <n v="45.56"/>
    <n v="0"/>
    <x v="9"/>
    <s v="新井薬師前駅"/>
    <n v="9"/>
    <n v="10.33"/>
    <n v="123574.88"/>
    <n v="232352.65"/>
    <n v="637"/>
    <n v="359"/>
    <s v="40-50"/>
    <x v="6"/>
  </r>
  <r>
    <s v="https://suumo.jp/chintai/jnc_000103730490/?bc=100480371762"/>
    <s v="ラティエラ中野新井"/>
    <s v="東京都中野区新井１"/>
    <n v="237000"/>
    <n v="20000"/>
    <n v="237000"/>
    <n v="237000"/>
    <n v="6"/>
    <x v="8"/>
    <n v="42.97"/>
    <n v="0"/>
    <x v="9"/>
    <s v="新井薬師前駅"/>
    <n v="9"/>
    <n v="10.33"/>
    <n v="123574.88"/>
    <n v="232352.65"/>
    <n v="637"/>
    <n v="359"/>
    <s v="40-50"/>
    <x v="6"/>
  </r>
  <r>
    <s v="https://suumo.jp/chintai/jnc_000103730491/?bc=100482931986"/>
    <s v="ラティエラ中野新井"/>
    <s v="東京都中野区新井１"/>
    <n v="249000"/>
    <n v="20000"/>
    <n v="249000"/>
    <n v="249000"/>
    <n v="6"/>
    <x v="8"/>
    <n v="45.56"/>
    <n v="0"/>
    <x v="9"/>
    <s v="新井薬師前駅"/>
    <n v="9"/>
    <n v="10.33"/>
    <n v="123574.88"/>
    <n v="232352.65"/>
    <n v="637"/>
    <n v="359"/>
    <s v="40-50"/>
    <x v="6"/>
  </r>
  <r>
    <s v="https://suumo.jp/chintai/jnc_000103814795/?bc=100480743635"/>
    <s v="仮称）上高田２丁目メゾン"/>
    <s v="東京都中野区上高田２"/>
    <n v="221000"/>
    <n v="5000"/>
    <n v="221000"/>
    <n v="331500"/>
    <n v="2"/>
    <x v="8"/>
    <n v="60.78"/>
    <n v="0"/>
    <x v="0"/>
    <s v="新井薬師前駅"/>
    <n v="5"/>
    <n v="14.33"/>
    <n v="123574.88"/>
    <n v="232352.65"/>
    <n v="637"/>
    <n v="359"/>
    <s v="60-70"/>
    <x v="6"/>
  </r>
  <r>
    <s v="https://suumo.jp/chintai/jnc_000104215479/?bc=100485826891"/>
    <s v="西武新宿線 新井薬師前駅 3階建 築13年"/>
    <s v="東京都中野区松が丘２"/>
    <n v="143000"/>
    <n v="3000"/>
    <n v="143000"/>
    <n v="286000"/>
    <n v="1"/>
    <x v="8"/>
    <n v="46.75"/>
    <n v="13"/>
    <x v="2"/>
    <s v="新井薬師前駅"/>
    <n v="12"/>
    <n v="17.329999999999998"/>
    <n v="123574.88"/>
    <n v="232352.65"/>
    <n v="637"/>
    <n v="359"/>
    <s v="40-50"/>
    <x v="7"/>
  </r>
  <r>
    <s v="https://suumo.jp/chintai/jnc_000102672599/?bc=100485891625"/>
    <s v="西武新宿線 新井薬師前駅 3階建 築4年"/>
    <s v="東京都中野区上高田２"/>
    <n v="157000"/>
    <n v="8000"/>
    <m/>
    <n v="157000"/>
    <n v="2"/>
    <x v="8"/>
    <n v="50.92"/>
    <n v="4"/>
    <x v="2"/>
    <s v="新井薬師前駅"/>
    <n v="5"/>
    <n v="11.67"/>
    <n v="123574.88"/>
    <n v="232352.65"/>
    <n v="637"/>
    <n v="359"/>
    <s v="50-60"/>
    <x v="0"/>
  </r>
  <r>
    <s v="https://suumo.jp/chintai/jnc_000104055252/?bc=100483268309"/>
    <s v="西武新宿線 新井薬師前駅 4階建 新築"/>
    <s v="東京都中野区松が丘１"/>
    <n v="190000"/>
    <n v="10000"/>
    <m/>
    <m/>
    <n v="2"/>
    <x v="8"/>
    <n v="41.02"/>
    <n v="0"/>
    <x v="4"/>
    <s v="新井薬師前駅"/>
    <n v="7"/>
    <n v="17.670000000000002"/>
    <n v="123574.88"/>
    <n v="232352.65"/>
    <n v="637"/>
    <n v="359"/>
    <s v="40-50"/>
    <x v="6"/>
  </r>
  <r>
    <s v="https://suumo.jp/chintai/jnc_000104044402/?bc=100485045735"/>
    <s v="西武新宿線 新井薬師前駅 4階建 新築"/>
    <s v="東京都中野区松が丘１"/>
    <n v="188000"/>
    <n v="10000"/>
    <m/>
    <m/>
    <n v="3"/>
    <x v="8"/>
    <n v="41.02"/>
    <n v="0"/>
    <x v="4"/>
    <s v="新井薬師前駅"/>
    <n v="7"/>
    <n v="17.670000000000002"/>
    <n v="123574.88"/>
    <n v="232352.65"/>
    <n v="637"/>
    <n v="359"/>
    <s v="40-50"/>
    <x v="6"/>
  </r>
  <r>
    <s v="https://suumo.jp/chintai/jnc_000104055253/?bc=100483268268"/>
    <s v="西武新宿線 新井薬師前駅 4階建 新築"/>
    <s v="東京都中野区松が丘１"/>
    <n v="191000"/>
    <n v="10000"/>
    <m/>
    <m/>
    <n v="3"/>
    <x v="8"/>
    <n v="41.02"/>
    <n v="0"/>
    <x v="4"/>
    <s v="新井薬師前駅"/>
    <n v="7"/>
    <n v="17.670000000000002"/>
    <n v="123574.88"/>
    <n v="232352.65"/>
    <n v="637"/>
    <n v="359"/>
    <s v="40-50"/>
    <x v="6"/>
  </r>
  <r>
    <s v="https://suumo.jp/chintai/jnc_000104055254/?bc=100483268306"/>
    <s v="西武新宿線 新井薬師前駅 4階建 新築"/>
    <s v="東京都中野区松が丘１"/>
    <n v="188000"/>
    <n v="10000"/>
    <m/>
    <m/>
    <n v="4"/>
    <x v="8"/>
    <n v="41.02"/>
    <n v="0"/>
    <x v="4"/>
    <s v="新井薬師前駅"/>
    <n v="7"/>
    <n v="17.670000000000002"/>
    <n v="123574.88"/>
    <n v="232352.65"/>
    <n v="637"/>
    <n v="359"/>
    <s v="40-50"/>
    <x v="6"/>
  </r>
  <r>
    <s v="https://suumo.jp/chintai/jnc_000104055256/?bc=100483489904"/>
    <s v="西武新宿線 新井薬師前駅 4階建 新築"/>
    <s v="東京都中野区松が丘１"/>
    <n v="191000"/>
    <n v="10000"/>
    <m/>
    <m/>
    <n v="4"/>
    <x v="8"/>
    <n v="41.02"/>
    <n v="0"/>
    <x v="4"/>
    <s v="新井薬師前駅"/>
    <n v="7"/>
    <n v="17.670000000000002"/>
    <n v="123574.88"/>
    <n v="232352.65"/>
    <n v="637"/>
    <n v="359"/>
    <s v="40-50"/>
    <x v="6"/>
  </r>
  <r>
    <s v="https://suumo.jp/chintai/jnc_000104117682/?bc=100483115741"/>
    <s v="西武新宿線 新井薬師前駅 4階建 築20年"/>
    <s v="東京都中野区上高田２"/>
    <n v="164000"/>
    <n v="4000"/>
    <n v="164000"/>
    <m/>
    <n v="3"/>
    <x v="8"/>
    <n v="45.6"/>
    <n v="20"/>
    <x v="4"/>
    <s v="新井薬師前駅"/>
    <n v="8"/>
    <n v="14"/>
    <n v="123574.88"/>
    <n v="232352.65"/>
    <n v="637"/>
    <n v="359"/>
    <s v="40-50"/>
    <x v="7"/>
  </r>
  <r>
    <s v="https://suumo.jp/chintai/jnc_000101147194/?bc=100465659665"/>
    <s v="西武新宿線 新井薬師前駅 4階建 築4年"/>
    <s v="東京都中野区上高田４"/>
    <n v="199000"/>
    <n v="10000"/>
    <n v="99500"/>
    <n v="199000"/>
    <n v="1"/>
    <x v="8"/>
    <n v="55.73"/>
    <n v="4"/>
    <x v="4"/>
    <s v="新井薬師前駅"/>
    <n v="5"/>
    <n v="13.67"/>
    <n v="123574.88"/>
    <n v="232352.65"/>
    <n v="637"/>
    <n v="359"/>
    <s v="50-60"/>
    <x v="0"/>
  </r>
  <r>
    <s v="https://suumo.jp/chintai/jnc_000103231729/?bc=100476309650"/>
    <s v="西武新宿線 新井薬師前駅 8階建 築17年"/>
    <s v="東京都中野区松が丘２"/>
    <n v="203000"/>
    <n v="12000"/>
    <n v="203000"/>
    <n v="203000"/>
    <n v="2"/>
    <x v="8"/>
    <n v="56.3"/>
    <n v="17"/>
    <x v="9"/>
    <s v="新井薬師前駅"/>
    <n v="10"/>
    <n v="17"/>
    <n v="123574.88"/>
    <n v="232352.65"/>
    <n v="637"/>
    <n v="359"/>
    <s v="50-60"/>
    <x v="7"/>
  </r>
  <r>
    <s v="https://suumo.jp/chintai/jnc_000102663959/?bc=100471568467"/>
    <s v="ＪＲ中央線 中野駅 3階建 築4年"/>
    <s v="東京都中野区上高田２"/>
    <n v="157000"/>
    <n v="8000"/>
    <m/>
    <n v="157000"/>
    <n v="2"/>
    <x v="8"/>
    <n v="50.92"/>
    <n v="4"/>
    <x v="2"/>
    <s v="新井薬師前駅"/>
    <n v="5"/>
    <n v="13.33"/>
    <n v="123574.88"/>
    <n v="232352.65"/>
    <n v="637"/>
    <n v="359"/>
    <s v="50-60"/>
    <x v="0"/>
  </r>
  <r>
    <s v="https://suumo.jp/chintai/jnc_000102747039/?bc=100486113028"/>
    <s v="ＪＲ中央線 中野駅 5階建 築1年"/>
    <s v="東京都中野区上高田２"/>
    <n v="226500"/>
    <n v="15000"/>
    <m/>
    <m/>
    <n v="1"/>
    <x v="8"/>
    <n v="47.73"/>
    <n v="1"/>
    <x v="7"/>
    <s v="新井薬師前駅"/>
    <n v="10"/>
    <n v="12.33"/>
    <n v="123574.88"/>
    <n v="232352.65"/>
    <n v="637"/>
    <n v="359"/>
    <s v="40-50"/>
    <x v="0"/>
  </r>
  <r>
    <s v="https://suumo.jp/chintai/jnc_000102732893/?bc=100472273792"/>
    <s v="ＪＲ中央線 中野駅 5階建 築1年"/>
    <s v="東京都中野区上高田２"/>
    <n v="227000"/>
    <n v="15000"/>
    <m/>
    <m/>
    <n v="2"/>
    <x v="8"/>
    <n v="47.73"/>
    <n v="1"/>
    <x v="7"/>
    <s v="新井薬師前駅"/>
    <n v="10"/>
    <n v="12.33"/>
    <n v="123574.88"/>
    <n v="232352.65"/>
    <n v="637"/>
    <n v="359"/>
    <s v="40-50"/>
    <x v="0"/>
  </r>
  <r>
    <s v="https://suumo.jp/chintai/jnc_000102771884/?bc=100472509128"/>
    <s v="ＪＲ中央線 中野駅 5階建 築1年"/>
    <s v="東京都中野区上高田２"/>
    <n v="227500"/>
    <n v="15000"/>
    <m/>
    <m/>
    <n v="3"/>
    <x v="8"/>
    <n v="47.73"/>
    <n v="1"/>
    <x v="7"/>
    <s v="新井薬師前駅"/>
    <n v="10"/>
    <n v="12.33"/>
    <n v="123574.88"/>
    <n v="232352.65"/>
    <n v="637"/>
    <n v="359"/>
    <s v="40-50"/>
    <x v="0"/>
  </r>
  <r>
    <s v="https://suumo.jp/chintai/jnc_000103223480/?bc=100486113032"/>
    <s v="ＪＲ中央線 中野駅 5階建 築1年"/>
    <s v="東京都中野区上高田２"/>
    <n v="203500"/>
    <n v="15000"/>
    <m/>
    <m/>
    <n v="4"/>
    <x v="8"/>
    <n v="42.75"/>
    <n v="1"/>
    <x v="7"/>
    <s v="新井薬師前駅"/>
    <n v="10"/>
    <n v="12.33"/>
    <n v="123574.88"/>
    <n v="232352.65"/>
    <n v="637"/>
    <n v="359"/>
    <s v="40-50"/>
    <x v="0"/>
  </r>
  <r>
    <s v="https://suumo.jp/chintai/jnc_000100757877/?bc=100473971692"/>
    <s v="ＪＲ中央線 中野駅 8階建 新築"/>
    <s v="東京都中野区新井１"/>
    <n v="236000"/>
    <n v="20000"/>
    <n v="236000"/>
    <m/>
    <n v="2"/>
    <x v="8"/>
    <n v="45.56"/>
    <n v="0"/>
    <x v="9"/>
    <s v="新井薬師前駅"/>
    <n v="9"/>
    <n v="9.67"/>
    <n v="123574.88"/>
    <n v="232352.65"/>
    <n v="637"/>
    <n v="359"/>
    <s v="40-50"/>
    <x v="6"/>
  </r>
  <r>
    <s v="https://suumo.jp/chintai/jnc_000100757879/?bc=100473970437"/>
    <s v="ＪＲ中央線 中野駅 8階建 新築"/>
    <s v="東京都中野区新井１"/>
    <n v="232000"/>
    <n v="20000"/>
    <n v="232000"/>
    <m/>
    <n v="4"/>
    <x v="8"/>
    <n v="42.97"/>
    <n v="0"/>
    <x v="9"/>
    <s v="新井薬師前駅"/>
    <n v="9"/>
    <n v="9.67"/>
    <n v="123574.88"/>
    <n v="232352.65"/>
    <n v="637"/>
    <n v="359"/>
    <s v="40-50"/>
    <x v="6"/>
  </r>
  <r>
    <s v="https://suumo.jp/chintai/jnc_000104499481/?bc=100486113025"/>
    <s v="ＪＲ中央線 中野駅 8階建 新築"/>
    <s v="東京都中野区新井１"/>
    <n v="234000"/>
    <n v="20000"/>
    <n v="234000"/>
    <m/>
    <n v="5"/>
    <x v="8"/>
    <n v="42.97"/>
    <n v="0"/>
    <x v="9"/>
    <s v="新井薬師前駅"/>
    <n v="9"/>
    <n v="9.67"/>
    <n v="123574.88"/>
    <n v="232352.65"/>
    <n v="637"/>
    <n v="359"/>
    <s v="40-50"/>
    <x v="6"/>
  </r>
  <r>
    <s v="https://suumo.jp/chintai/jnc_000104499486/?bc=100486113022"/>
    <s v="ＪＲ中央線 中野駅 8階建 新築"/>
    <s v="東京都中野区新井１"/>
    <n v="246000"/>
    <n v="20000"/>
    <n v="246000"/>
    <m/>
    <n v="5"/>
    <x v="8"/>
    <n v="45.56"/>
    <n v="0"/>
    <x v="9"/>
    <s v="新井薬師前駅"/>
    <n v="9"/>
    <n v="9.67"/>
    <n v="123574.88"/>
    <n v="232352.65"/>
    <n v="637"/>
    <n v="359"/>
    <s v="40-50"/>
    <x v="6"/>
  </r>
  <r>
    <s v="https://suumo.jp/chintai/jnc_000103735157/?bc=100480785633"/>
    <s v="ＪＲ中央線 中野駅 8階建 新築"/>
    <s v="東京都中野区新井１"/>
    <n v="237000"/>
    <n v="20000"/>
    <n v="237000"/>
    <n v="237000"/>
    <n v="6"/>
    <x v="8"/>
    <n v="42.97"/>
    <n v="0"/>
    <x v="9"/>
    <s v="新井薬師前駅"/>
    <n v="9"/>
    <n v="9.67"/>
    <n v="123574.88"/>
    <n v="232352.65"/>
    <n v="637"/>
    <n v="359"/>
    <s v="40-50"/>
    <x v="6"/>
  </r>
  <r>
    <s v="https://suumo.jp/chintai/jnc_000103735158/?bc=100482387170"/>
    <s v="ＪＲ中央線 中野駅 8階建 新築"/>
    <s v="東京都中野区新井１"/>
    <n v="249000"/>
    <n v="20000"/>
    <n v="249000"/>
    <n v="249000"/>
    <n v="6"/>
    <x v="8"/>
    <n v="45.56"/>
    <n v="0"/>
    <x v="9"/>
    <s v="新井薬師前駅"/>
    <n v="9"/>
    <n v="9.67"/>
    <n v="123574.88"/>
    <n v="232352.65"/>
    <n v="637"/>
    <n v="359"/>
    <s v="40-50"/>
    <x v="6"/>
  </r>
  <r>
    <s v="https://suumo.jp/chintai/jnc_000100802081/?bc=100473970931"/>
    <s v="ＪＲ中央線 中野駅 8階建 新築"/>
    <s v="東京都中野区新井１"/>
    <n v="238000"/>
    <n v="20000"/>
    <n v="238000"/>
    <n v="238000"/>
    <n v="7"/>
    <x v="8"/>
    <n v="42.97"/>
    <n v="0"/>
    <x v="9"/>
    <s v="新井薬師前駅"/>
    <n v="9"/>
    <n v="9.67"/>
    <n v="123574.88"/>
    <n v="232352.65"/>
    <n v="637"/>
    <n v="359"/>
    <s v="40-50"/>
    <x v="6"/>
  </r>
  <r>
    <s v="https://suumo.jp/chintai/jnc_000104082037/?bc=100471338411"/>
    <s v="Ｎａｎａｌａ（ナナラ）"/>
    <s v="東京都中野区松が丘２"/>
    <n v="217000"/>
    <n v="8000"/>
    <n v="108500"/>
    <m/>
    <n v="1"/>
    <x v="8"/>
    <n v="57.6"/>
    <n v="0"/>
    <x v="2"/>
    <s v="新井薬師前駅"/>
    <n v="9"/>
    <n v="14.33"/>
    <n v="123574.88"/>
    <n v="232352.65"/>
    <n v="637"/>
    <n v="359"/>
    <s v="50-60"/>
    <x v="6"/>
  </r>
  <r>
    <s v="https://suumo.jp/chintai/jnc_000104082038/?bc=100468252764"/>
    <s v="Ｎａｎａｌａ（ナナラ）"/>
    <s v="東京都中野区松が丘２"/>
    <n v="231000"/>
    <n v="10000"/>
    <n v="115500"/>
    <m/>
    <n v="3"/>
    <x v="8"/>
    <n v="57.6"/>
    <n v="0"/>
    <x v="2"/>
    <s v="新井薬師前駅"/>
    <n v="9"/>
    <n v="14.33"/>
    <n v="123574.88"/>
    <n v="232352.65"/>
    <n v="637"/>
    <n v="359"/>
    <s v="50-60"/>
    <x v="6"/>
  </r>
  <r>
    <s v="https://suumo.jp/chintai/jnc_000102971520/?bc=100474006794"/>
    <s v="パステル中野"/>
    <s v="東京都中野区新井５"/>
    <n v="165000"/>
    <n v="10000"/>
    <n v="165000"/>
    <n v="198000"/>
    <n v="4"/>
    <x v="10"/>
    <n v="58.12"/>
    <n v="39"/>
    <x v="5"/>
    <s v="新井薬師前駅"/>
    <n v="6"/>
    <n v="10.67"/>
    <n v="123574.88"/>
    <n v="282153.84999999998"/>
    <n v="637"/>
    <n v="26"/>
    <s v="50-60"/>
    <x v="4"/>
  </r>
  <r>
    <s v="https://suumo.jp/chintai/jnc_000100545735/?bc=100455361349"/>
    <s v="ラティエラ中野新井"/>
    <s v="東京都中野区新井１"/>
    <n v="238000"/>
    <n v="20000"/>
    <n v="238000"/>
    <m/>
    <n v="3"/>
    <x v="10"/>
    <n v="45.56"/>
    <n v="0"/>
    <x v="9"/>
    <s v="新井薬師前駅"/>
    <n v="9"/>
    <n v="10.33"/>
    <n v="123574.88"/>
    <n v="282153.84999999998"/>
    <n v="637"/>
    <n v="26"/>
    <s v="40-50"/>
    <x v="6"/>
  </r>
  <r>
    <s v="https://suumo.jp/chintai/jnc_000100545736/?bc=100455361360"/>
    <s v="ラティエラ中野新井"/>
    <s v="東京都中野区新井１"/>
    <n v="232000"/>
    <n v="20000"/>
    <n v="232000"/>
    <m/>
    <n v="4"/>
    <x v="10"/>
    <n v="42.97"/>
    <n v="0"/>
    <x v="9"/>
    <s v="新井薬師前駅"/>
    <n v="9"/>
    <n v="10.33"/>
    <n v="123574.88"/>
    <n v="282153.84999999998"/>
    <n v="637"/>
    <n v="26"/>
    <s v="40-50"/>
    <x v="6"/>
  </r>
  <r>
    <s v="https://suumo.jp/chintai/jnc_000100545742/?bc=100455402780"/>
    <s v="ラティエラ中野新井"/>
    <s v="東京都中野区新井１"/>
    <n v="238000"/>
    <n v="20000"/>
    <n v="238000"/>
    <n v="238000"/>
    <n v="7"/>
    <x v="10"/>
    <n v="42.97"/>
    <n v="0"/>
    <x v="9"/>
    <s v="新井薬師前駅"/>
    <n v="9"/>
    <n v="10.33"/>
    <n v="123574.88"/>
    <n v="282153.84999999998"/>
    <n v="637"/>
    <n v="26"/>
    <s v="40-50"/>
    <x v="6"/>
  </r>
  <r>
    <s v="https://suumo.jp/chintai/jnc_000102547832/?bc=100470560762"/>
    <s v="中野区上高田二丁目"/>
    <s v="東京都中野区上高田２"/>
    <n v="215000"/>
    <m/>
    <n v="215000"/>
    <n v="215000"/>
    <n v="1"/>
    <x v="10"/>
    <n v="53.8"/>
    <n v="13"/>
    <x v="2"/>
    <s v="新井薬師前駅"/>
    <n v="8"/>
    <n v="13.33"/>
    <n v="123574.88"/>
    <n v="282153.84999999998"/>
    <n v="637"/>
    <n v="26"/>
    <s v="50-60"/>
    <x v="7"/>
  </r>
  <r>
    <s v="https://suumo.jp/chintai/jnc_000104541562/?bc=100485013574"/>
    <s v="野村Ｖビル"/>
    <s v="東京都中野区新井４"/>
    <n v="200000"/>
    <m/>
    <n v="200000"/>
    <n v="200000"/>
    <n v="5"/>
    <x v="10"/>
    <n v="63.85"/>
    <n v="28"/>
    <x v="7"/>
    <s v="新井薬師前駅"/>
    <n v="5"/>
    <n v="10"/>
    <n v="123574.88"/>
    <n v="282153.84999999998"/>
    <n v="637"/>
    <n v="26"/>
    <s v="60-70"/>
    <x v="1"/>
  </r>
  <r>
    <s v="https://suumo.jp/chintai/jnc_000092881825/?bc=100476780053"/>
    <s v="ナカムラビル"/>
    <s v="東京都中野区新井４"/>
    <n v="180000"/>
    <n v="5000"/>
    <n v="180000"/>
    <n v="180000"/>
    <n v="2"/>
    <x v="11"/>
    <n v="58.2"/>
    <n v="34"/>
    <x v="5"/>
    <s v="新井薬師前駅"/>
    <n v="4"/>
    <n v="9.67"/>
    <n v="123574.88"/>
    <n v="184333.33"/>
    <n v="637"/>
    <n v="18"/>
    <s v="50-60"/>
    <x v="4"/>
  </r>
  <r>
    <s v="https://suumo.jp/chintai/jnc_000099041047/?bc=100441048571"/>
    <s v="Celestia（セレスティア）松が丘"/>
    <s v="東京都中野区松が丘２"/>
    <n v="260000"/>
    <n v="6000"/>
    <m/>
    <m/>
    <n v="2"/>
    <x v="13"/>
    <n v="74.45"/>
    <n v="0"/>
    <x v="0"/>
    <s v="新井薬師前駅"/>
    <n v="6"/>
    <n v="7"/>
    <n v="123574.88"/>
    <n v="288705.81"/>
    <n v="637"/>
    <n v="155"/>
    <s v="70-80"/>
    <x v="6"/>
  </r>
  <r>
    <s v="https://suumo.jp/chintai/jnc_000099363909/?bc=100419488910"/>
    <s v="Destiny"/>
    <s v="東京都中野区上高田２"/>
    <n v="390000"/>
    <n v="12000"/>
    <n v="390000"/>
    <m/>
    <n v="1"/>
    <x v="13"/>
    <n v="103.61"/>
    <n v="0"/>
    <x v="2"/>
    <s v="新井薬師前駅"/>
    <n v="10"/>
    <n v="14"/>
    <n v="123574.88"/>
    <n v="288705.81"/>
    <n v="637"/>
    <n v="155"/>
    <s v="100+"/>
    <x v="6"/>
  </r>
  <r>
    <s v="https://suumo.jp/chintai/jnc_000100284034/?bc=100450053258"/>
    <s v="Destiny"/>
    <s v="東京都中野区上高田２"/>
    <n v="400000"/>
    <n v="12000"/>
    <n v="400000"/>
    <m/>
    <n v="1"/>
    <x v="13"/>
    <n v="107.44"/>
    <n v="0"/>
    <x v="2"/>
    <s v="新井薬師前駅"/>
    <n v="10"/>
    <n v="14"/>
    <n v="123574.88"/>
    <n v="288705.81"/>
    <n v="637"/>
    <n v="155"/>
    <s v="100+"/>
    <x v="6"/>
  </r>
  <r>
    <s v="https://suumo.jp/chintai/jnc_000104317185/?bc=100482680261"/>
    <s v="K氏邸"/>
    <s v="東京都中野区上高田２"/>
    <n v="250000"/>
    <m/>
    <n v="500000"/>
    <n v="250000"/>
    <n v="1"/>
    <x v="13"/>
    <n v="71.2"/>
    <n v="0"/>
    <x v="0"/>
    <s v="新井薬師前駅"/>
    <n v="9"/>
    <n v="13"/>
    <n v="123574.88"/>
    <n v="288705.81"/>
    <n v="637"/>
    <n v="155"/>
    <s v="70-80"/>
    <x v="6"/>
  </r>
  <r>
    <s v="https://suumo.jp/chintai/jnc_000104317185/?bc=100482680261"/>
    <s v="K氏邸"/>
    <s v="東京都中野区上高田２"/>
    <n v="250000"/>
    <m/>
    <n v="500000"/>
    <n v="250000"/>
    <n v="2"/>
    <x v="13"/>
    <n v="71.2"/>
    <n v="0"/>
    <x v="0"/>
    <s v="新井薬師前駅"/>
    <n v="9"/>
    <n v="13"/>
    <n v="123574.88"/>
    <n v="288705.81"/>
    <n v="637"/>
    <n v="155"/>
    <s v="70-80"/>
    <x v="6"/>
  </r>
  <r>
    <s v="https://suumo.jp/chintai/jnc_000103929303/?bc=100485933686"/>
    <s v="カーサピアッツァ中野松が丘"/>
    <s v="東京都中野区松が丘１"/>
    <n v="268000"/>
    <n v="10000"/>
    <m/>
    <m/>
    <n v="1"/>
    <x v="13"/>
    <n v="60.05"/>
    <n v="0"/>
    <x v="4"/>
    <s v="新井薬師前駅"/>
    <n v="7"/>
    <n v="10.33"/>
    <n v="123574.88"/>
    <n v="288705.81"/>
    <n v="637"/>
    <n v="155"/>
    <s v="60-70"/>
    <x v="6"/>
  </r>
  <r>
    <s v="https://suumo.jp/chintai/jnc_000101329949/?bc=100477396460"/>
    <s v="スカイプラザ中野"/>
    <s v="東京都中野区新井５"/>
    <n v="250000"/>
    <n v="10000"/>
    <n v="250000"/>
    <n v="250000"/>
    <n v="5"/>
    <x v="13"/>
    <n v="79.5"/>
    <n v="35"/>
    <x v="7"/>
    <s v="新井薬師前駅"/>
    <n v="5"/>
    <n v="10"/>
    <n v="123574.88"/>
    <n v="288705.81"/>
    <n v="637"/>
    <n v="155"/>
    <s v="70-80"/>
    <x v="4"/>
  </r>
  <r>
    <s v="https://suumo.jp/chintai/jnc_000098502258/?bc=100412212411"/>
    <s v="セレスティア松が丘"/>
    <s v="東京都中野区松が丘２"/>
    <n v="239000"/>
    <n v="6000"/>
    <m/>
    <m/>
    <n v="1"/>
    <x v="13"/>
    <n v="58.64"/>
    <n v="0"/>
    <x v="0"/>
    <s v="新井薬師前駅"/>
    <n v="8"/>
    <n v="17.670000000000002"/>
    <n v="123574.88"/>
    <n v="288705.81"/>
    <n v="637"/>
    <n v="155"/>
    <s v="50-60"/>
    <x v="6"/>
  </r>
  <r>
    <s v="https://suumo.jp/chintai/jnc_000098502257/?bc=100430070496"/>
    <s v="セレスティア松が丘"/>
    <s v="東京都中野区松が丘２"/>
    <n v="247000"/>
    <n v="6000"/>
    <m/>
    <m/>
    <n v="1"/>
    <x v="13"/>
    <n v="59.02"/>
    <n v="0"/>
    <x v="0"/>
    <s v="新井薬師前駅"/>
    <n v="8"/>
    <n v="17.670000000000002"/>
    <n v="123574.88"/>
    <n v="288705.81"/>
    <n v="637"/>
    <n v="155"/>
    <s v="50-60"/>
    <x v="6"/>
  </r>
  <r>
    <s v="https://suumo.jp/chintai/jnc_000098502260/?bc=100443645716"/>
    <s v="セレスティア松が丘"/>
    <s v="東京都中野区松が丘２"/>
    <n v="260000"/>
    <n v="6000"/>
    <m/>
    <m/>
    <n v="2"/>
    <x v="13"/>
    <n v="74.45"/>
    <n v="0"/>
    <x v="0"/>
    <s v="新井薬師前駅"/>
    <n v="8"/>
    <n v="17.670000000000002"/>
    <n v="123574.88"/>
    <n v="288705.81"/>
    <n v="637"/>
    <n v="155"/>
    <s v="70-80"/>
    <x v="6"/>
  </r>
  <r>
    <s v="https://suumo.jp/chintai/jnc_000100311617/?bc=100450283229"/>
    <s v="デスティニー"/>
    <s v="東京都中野区上高田２"/>
    <n v="390000"/>
    <n v="12000"/>
    <n v="390000"/>
    <n v="390000"/>
    <n v="1"/>
    <x v="13"/>
    <n v="103.61"/>
    <n v="0"/>
    <x v="0"/>
    <s v="新井薬師前駅"/>
    <n v="10"/>
    <n v="14"/>
    <n v="123574.88"/>
    <n v="288705.81"/>
    <n v="637"/>
    <n v="155"/>
    <s v="100+"/>
    <x v="6"/>
  </r>
  <r>
    <s v="https://suumo.jp/chintai/jnc_000100311618/?bc=100450291668"/>
    <s v="デスティニー"/>
    <s v="東京都中野区上高田２"/>
    <n v="400000"/>
    <n v="12000"/>
    <n v="400000"/>
    <n v="400000"/>
    <n v="1"/>
    <x v="13"/>
    <n v="107.44"/>
    <n v="0"/>
    <x v="0"/>
    <s v="新井薬師前駅"/>
    <n v="10"/>
    <n v="14"/>
    <n v="123574.88"/>
    <n v="288705.81"/>
    <n v="637"/>
    <n v="155"/>
    <s v="100+"/>
    <x v="6"/>
  </r>
  <r>
    <s v="https://suumo.jp/chintai/jnc_000100104369/?bc=100433082007"/>
    <s v="上高田戸建"/>
    <s v="東京都中野区上高田２"/>
    <n v="350000"/>
    <m/>
    <n v="700000"/>
    <n v="350000"/>
    <n v="1"/>
    <x v="13"/>
    <n v="114.1"/>
    <n v="5"/>
    <x v="0"/>
    <s v="新井薬師前駅"/>
    <n v="7"/>
    <n v="11.67"/>
    <n v="123574.88"/>
    <n v="288705.81"/>
    <n v="637"/>
    <n v="155"/>
    <s v="100+"/>
    <x v="0"/>
  </r>
  <r>
    <s v="https://suumo.jp/chintai/jnc_000100104369/?bc=100433082007"/>
    <s v="上高田戸建"/>
    <s v="東京都中野区上高田２"/>
    <n v="350000"/>
    <m/>
    <n v="700000"/>
    <n v="350000"/>
    <n v="2"/>
    <x v="13"/>
    <n v="114.1"/>
    <n v="5"/>
    <x v="0"/>
    <s v="新井薬師前駅"/>
    <n v="7"/>
    <n v="11.67"/>
    <n v="123574.88"/>
    <n v="288705.81"/>
    <n v="637"/>
    <n v="155"/>
    <s v="100+"/>
    <x v="0"/>
  </r>
  <r>
    <s v="https://suumo.jp/chintai/jnc_000100111327/?bc=100442773663"/>
    <s v="上高田戸建"/>
    <s v="東京都中野区上高田２"/>
    <n v="350000"/>
    <m/>
    <n v="700000"/>
    <n v="350000"/>
    <n v="1"/>
    <x v="13"/>
    <n v="114.1"/>
    <n v="5"/>
    <x v="0"/>
    <s v="新井薬師前駅"/>
    <n v="7"/>
    <n v="11"/>
    <n v="123574.88"/>
    <n v="288705.81"/>
    <n v="637"/>
    <n v="155"/>
    <s v="100+"/>
    <x v="0"/>
  </r>
  <r>
    <s v="https://suumo.jp/chintai/jnc_000103814794/?bc=100480743636"/>
    <s v="仮称）上高田２丁目メゾン"/>
    <s v="東京都中野区上高田２"/>
    <n v="256000"/>
    <n v="5000"/>
    <n v="256000"/>
    <n v="384000"/>
    <n v="1"/>
    <x v="13"/>
    <n v="77.290000000000006"/>
    <n v="0"/>
    <x v="0"/>
    <s v="新井薬師前駅"/>
    <n v="5"/>
    <n v="14.33"/>
    <n v="123574.88"/>
    <n v="288705.81"/>
    <n v="637"/>
    <n v="155"/>
    <s v="70-80"/>
    <x v="6"/>
  </r>
  <r>
    <s v="https://suumo.jp/chintai/jnc_000103814794/?bc=100480743636"/>
    <s v="仮称）上高田２丁目メゾン"/>
    <s v="東京都中野区上高田２"/>
    <n v="256000"/>
    <n v="5000"/>
    <n v="256000"/>
    <n v="384000"/>
    <n v="2"/>
    <x v="13"/>
    <n v="77.290000000000006"/>
    <n v="0"/>
    <x v="0"/>
    <s v="新井薬師前駅"/>
    <n v="5"/>
    <n v="14.33"/>
    <n v="123574.88"/>
    <n v="288705.81"/>
    <n v="637"/>
    <n v="155"/>
    <s v="70-80"/>
    <x v="6"/>
  </r>
  <r>
    <s v="https://suumo.jp/chintai/jnc_000103254749/?bc=100467303282"/>
    <s v="藤和シティホームズ新井薬師前"/>
    <s v="東京都中野区松が丘１"/>
    <n v="230000"/>
    <n v="20000"/>
    <n v="460000"/>
    <n v="230000"/>
    <n v="5"/>
    <x v="13"/>
    <n v="71.36"/>
    <n v="26"/>
    <x v="10"/>
    <s v="新井薬師前駅"/>
    <n v="2"/>
    <n v="2"/>
    <n v="123574.88"/>
    <n v="288705.81"/>
    <n v="637"/>
    <n v="155"/>
    <s v="70-80"/>
    <x v="1"/>
  </r>
  <r>
    <s v="https://suumo.jp/chintai/jnc_000104044401/?bc=100483435135"/>
    <s v="西武新宿線 新井薬師前駅 4階建 新築"/>
    <s v="東京都中野区松が丘１"/>
    <n v="268000"/>
    <n v="10000"/>
    <m/>
    <m/>
    <n v="1"/>
    <x v="13"/>
    <n v="60.05"/>
    <n v="0"/>
    <x v="4"/>
    <s v="新井薬師前駅"/>
    <n v="7"/>
    <n v="17.670000000000002"/>
    <n v="123574.88"/>
    <n v="288705.81"/>
    <n v="637"/>
    <n v="155"/>
    <s v="60-70"/>
    <x v="6"/>
  </r>
  <r>
    <s v="https://suumo.jp/chintai/jnc_000101338142/?bc=100481243406"/>
    <s v="西武新宿線 新井薬師前駅 5階建 築35年"/>
    <s v="東京都中野区新井５"/>
    <n v="250000"/>
    <n v="10000"/>
    <n v="250000"/>
    <n v="250000"/>
    <n v="5"/>
    <x v="13"/>
    <n v="79.5"/>
    <n v="35"/>
    <x v="7"/>
    <s v="新井薬師前駅"/>
    <n v="5"/>
    <n v="10"/>
    <n v="123574.88"/>
    <n v="288705.81"/>
    <n v="637"/>
    <n v="155"/>
    <s v="70-80"/>
    <x v="4"/>
  </r>
  <r>
    <s v="https://suumo.jp/chintai/jnc_000103346705/?bc=100485658280"/>
    <s v="ＪＲ中央線 中野駅 地上2階建 新築"/>
    <s v="東京都中野区上高田２"/>
    <n v="250000"/>
    <m/>
    <n v="500000"/>
    <n v="250000"/>
    <n v="1"/>
    <x v="13"/>
    <n v="71.2"/>
    <n v="0"/>
    <x v="0"/>
    <s v="新井薬師前駅"/>
    <n v="9"/>
    <n v="13"/>
    <n v="123574.88"/>
    <n v="288705.81"/>
    <n v="637"/>
    <n v="155"/>
    <s v="70-80"/>
    <x v="6"/>
  </r>
  <r>
    <s v="https://suumo.jp/chintai/jnc_000103346705/?bc=100485658280"/>
    <s v="ＪＲ中央線 中野駅 地上2階建 新築"/>
    <s v="東京都中野区上高田２"/>
    <n v="250000"/>
    <m/>
    <n v="500000"/>
    <n v="250000"/>
    <n v="2"/>
    <x v="13"/>
    <n v="71.2"/>
    <n v="0"/>
    <x v="0"/>
    <s v="新井薬師前駅"/>
    <n v="9"/>
    <n v="13"/>
    <n v="123574.88"/>
    <n v="288705.81"/>
    <n v="637"/>
    <n v="155"/>
    <s v="70-80"/>
    <x v="6"/>
  </r>
  <r>
    <s v="https://suumo.jp/chintai/jnc_000100692009/?bc=100481316430"/>
    <s v="TKビル"/>
    <s v="東京都中野区新井１"/>
    <n v="560000"/>
    <n v="20000"/>
    <n v="560000"/>
    <n v="560000"/>
    <n v="3"/>
    <x v="17"/>
    <n v="158.44"/>
    <n v="34"/>
    <x v="4"/>
    <s v="新井薬師前駅"/>
    <n v="8"/>
    <n v="11"/>
    <n v="123574.88"/>
    <n v="384285.71"/>
    <n v="637"/>
    <n v="7"/>
    <s v="100+"/>
    <x v="4"/>
  </r>
  <r>
    <s v="https://suumo.jp/chintai/jnc_000102993422/?bc=100478951151"/>
    <s v="ＪＲ総武線 中野駅 4階建 築34年"/>
    <s v="東京都中野区新井１"/>
    <n v="560000"/>
    <n v="20000"/>
    <n v="560000"/>
    <m/>
    <n v="3"/>
    <x v="17"/>
    <n v="158.44"/>
    <n v="34"/>
    <x v="4"/>
    <s v="新井薬師前駅"/>
    <n v="7"/>
    <n v="11.67"/>
    <n v="123574.88"/>
    <n v="384285.71"/>
    <n v="637"/>
    <n v="7"/>
    <s v="100+"/>
    <x v="4"/>
  </r>
  <r>
    <s v="https://suumo.jp/chintai/jnc_000103571148/?bc=100478688353"/>
    <s v="T’s garden中野新井薬師前"/>
    <s v="東京都中野区上高田４"/>
    <n v="330000"/>
    <n v="10000"/>
    <n v="330000"/>
    <m/>
    <n v="2"/>
    <x v="15"/>
    <n v="112.14"/>
    <n v="32"/>
    <x v="2"/>
    <s v="新井薬師前駅"/>
    <n v="6"/>
    <n v="13"/>
    <n v="123574.88"/>
    <n v="388200"/>
    <n v="637"/>
    <n v="20"/>
    <s v="100+"/>
    <x v="4"/>
  </r>
  <r>
    <s v="https://suumo.jp/chintai/jnc_000103581791/?bc=100478844141"/>
    <s v="西武新宿線 新井薬師前駅 3階建 築32年"/>
    <s v="東京都中野区上高田４"/>
    <n v="330000"/>
    <n v="10000"/>
    <n v="330000"/>
    <m/>
    <n v="2"/>
    <x v="15"/>
    <n v="112.14"/>
    <n v="32"/>
    <x v="2"/>
    <s v="新井薬師前駅"/>
    <n v="6"/>
    <n v="13"/>
    <n v="123574.88"/>
    <n v="388200"/>
    <n v="637"/>
    <n v="20"/>
    <s v="100+"/>
    <x v="4"/>
  </r>
  <r>
    <s v="https://suumo.jp/chintai/jnc_000100821985/?bc=100458952242"/>
    <s v="Alivis新江古田"/>
    <s v="東京都中野区江原町１"/>
    <n v="114000"/>
    <n v="15000"/>
    <m/>
    <m/>
    <n v="1"/>
    <x v="2"/>
    <n v="25.41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20/?bc=100454551191"/>
    <s v="Alivis新江古田"/>
    <s v="東京都中野区江原町１"/>
    <n v="115500"/>
    <n v="15000"/>
    <m/>
    <m/>
    <n v="1"/>
    <x v="2"/>
    <n v="25.41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13714/?bc=100458952250"/>
    <s v="Alivis新江古田"/>
    <s v="東京都中野区江原町１"/>
    <n v="114000"/>
    <n v="15000"/>
    <m/>
    <m/>
    <n v="1"/>
    <x v="2"/>
    <n v="25.56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18/?bc=100454551178"/>
    <s v="Alivis新江古田"/>
    <s v="東京都中野区江原町１"/>
    <n v="115500"/>
    <n v="15000"/>
    <m/>
    <m/>
    <n v="1"/>
    <x v="2"/>
    <n v="25.56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13721/?bc=100470617102"/>
    <s v="Alivis新江古田"/>
    <s v="東京都中野区江原町１"/>
    <n v="114000"/>
    <n v="15000"/>
    <m/>
    <m/>
    <n v="1"/>
    <x v="2"/>
    <n v="25.66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27/?bc=100474512779"/>
    <s v="Alivis新江古田"/>
    <s v="東京都中野区江原町１"/>
    <n v="115500"/>
    <n v="15000"/>
    <m/>
    <m/>
    <n v="1"/>
    <x v="2"/>
    <n v="25.66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13723/?bc=100458952260"/>
    <s v="Alivis新江古田"/>
    <s v="東京都中野区江原町１"/>
    <n v="114000"/>
    <n v="15000"/>
    <m/>
    <m/>
    <n v="1"/>
    <x v="2"/>
    <n v="25.68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29/?bc=100458682615"/>
    <s v="Alivis新江古田"/>
    <s v="東京都中野区江原町１"/>
    <n v="115500"/>
    <n v="15000"/>
    <m/>
    <m/>
    <n v="1"/>
    <x v="2"/>
    <n v="25.68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25/?bc=100458534503"/>
    <s v="Alivis新江古田"/>
    <s v="東京都中野区江原町１"/>
    <n v="115500"/>
    <n v="15000"/>
    <m/>
    <m/>
    <n v="1"/>
    <x v="2"/>
    <n v="25.71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13722/?bc=100470617104"/>
    <s v="Alivis新江古田"/>
    <s v="東京都中野区江原町１"/>
    <n v="114000"/>
    <n v="15000"/>
    <m/>
    <m/>
    <n v="1"/>
    <x v="2"/>
    <n v="25.83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28/?bc=100457511603"/>
    <s v="Alivis新江古田"/>
    <s v="東京都中野区江原町１"/>
    <n v="115500"/>
    <n v="15000"/>
    <m/>
    <m/>
    <n v="1"/>
    <x v="2"/>
    <n v="25.83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217918/?bc=100475180579"/>
    <s v="Alivis新江古田"/>
    <s v="東京都中野区江原町１"/>
    <n v="115000"/>
    <n v="15000"/>
    <m/>
    <m/>
    <n v="1"/>
    <x v="2"/>
    <n v="25.83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13720/?bc=100475181339"/>
    <s v="Alivis新江古田"/>
    <s v="東京都中野区江原町１"/>
    <n v="114000"/>
    <n v="15000"/>
    <m/>
    <m/>
    <n v="1"/>
    <x v="2"/>
    <n v="26.02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26/?bc=100468224242"/>
    <s v="Alivis新江古田"/>
    <s v="東京都中野区江原町１"/>
    <n v="115500"/>
    <n v="15000"/>
    <m/>
    <m/>
    <n v="1"/>
    <x v="2"/>
    <n v="26.02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542477/?bc=100458952237"/>
    <s v="Alivis新江古田"/>
    <s v="東京都中野区江原町１"/>
    <n v="115000"/>
    <n v="15000"/>
    <m/>
    <m/>
    <n v="1"/>
    <x v="2"/>
    <n v="26.02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67704/?bc=100470617076"/>
    <s v="Alivis新江古田"/>
    <s v="東京都中野区江原町１"/>
    <n v="115000"/>
    <n v="15000"/>
    <m/>
    <m/>
    <n v="2"/>
    <x v="2"/>
    <n v="25.66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39/?bc=100458948944"/>
    <s v="Alivis新江古田"/>
    <s v="東京都中野区江原町１"/>
    <n v="116500"/>
    <n v="15000"/>
    <m/>
    <m/>
    <n v="2"/>
    <x v="2"/>
    <n v="25.66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13732/?bc=100475181038"/>
    <s v="Alivis新江古田"/>
    <s v="東京都中野区江原町１"/>
    <n v="115000"/>
    <n v="15000"/>
    <m/>
    <m/>
    <n v="2"/>
    <x v="2"/>
    <n v="25.71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37/?bc=100485937116"/>
    <s v="Alivis新江古田"/>
    <s v="東京都中野区江原町１"/>
    <n v="116500"/>
    <n v="15000"/>
    <m/>
    <m/>
    <n v="2"/>
    <x v="2"/>
    <n v="25.71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481438/?bc=100458534508"/>
    <s v="Alivis新江古田"/>
    <s v="東京都中野区江原町１"/>
    <n v="116500"/>
    <n v="15000"/>
    <m/>
    <m/>
    <n v="2"/>
    <x v="2"/>
    <n v="26.02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4202911/?bc=100483779472"/>
    <s v="Alivis新江古田"/>
    <s v="東京都中野区江原町１"/>
    <n v="115500"/>
    <n v="15000"/>
    <m/>
    <m/>
    <n v="2"/>
    <x v="2"/>
    <n v="26.41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0813724/?bc=100470617120"/>
    <s v="Alivis新江古田"/>
    <s v="東京都中野区江原町１"/>
    <n v="189000"/>
    <n v="15000"/>
    <m/>
    <m/>
    <n v="2"/>
    <x v="2"/>
    <n v="40.369999999999997"/>
    <n v="1"/>
    <x v="2"/>
    <s v="新江古田駅"/>
    <n v="12"/>
    <n v="16.329999999999998"/>
    <n v="133636.04999999999"/>
    <n v="95329.65"/>
    <n v="147"/>
    <n v="1622"/>
    <s v="40-50"/>
    <x v="0"/>
  </r>
  <r>
    <s v="https://suumo.jp/chintai/jnc_000103084157/?bc=100475181243"/>
    <s v="Alivis新江古田"/>
    <s v="東京都中野区江原町１"/>
    <n v="115000"/>
    <n v="15000"/>
    <m/>
    <m/>
    <n v="3"/>
    <x v="2"/>
    <n v="25.56"/>
    <n v="1"/>
    <x v="2"/>
    <s v="新江古田駅"/>
    <n v="12"/>
    <n v="16.329999999999998"/>
    <n v="133636.04999999999"/>
    <n v="95329.65"/>
    <n v="147"/>
    <n v="1622"/>
    <s v="20-30"/>
    <x v="0"/>
  </r>
  <r>
    <s v="https://suumo.jp/chintai/jnc_000103730492/?bc=100480101618"/>
    <s v="LUONTO　HILLS"/>
    <s v="東京都中野区江古田２"/>
    <n v="90000"/>
    <n v="5000"/>
    <n v="90000"/>
    <n v="90000"/>
    <n v="1"/>
    <x v="2"/>
    <n v="22.25"/>
    <n v="0"/>
    <x v="4"/>
    <s v="新江古田駅"/>
    <n v="10"/>
    <n v="12.33"/>
    <n v="133636.04999999999"/>
    <n v="95329.65"/>
    <n v="147"/>
    <n v="1622"/>
    <s v="20-30"/>
    <x v="6"/>
  </r>
  <r>
    <s v="https://suumo.jp/chintai/jnc_000103487522/?bc=100477874770"/>
    <s v="LUONTO　HILLS"/>
    <s v="東京都中野区江古田２"/>
    <n v="90000"/>
    <n v="5000"/>
    <n v="90000"/>
    <n v="90000"/>
    <n v="2"/>
    <x v="2"/>
    <n v="20.149999999999999"/>
    <n v="0"/>
    <x v="4"/>
    <s v="新江古田駅"/>
    <n v="10"/>
    <n v="12.33"/>
    <n v="133636.04999999999"/>
    <n v="95329.65"/>
    <n v="147"/>
    <n v="1622"/>
    <s v="20-30"/>
    <x v="6"/>
  </r>
  <r>
    <s v="https://suumo.jp/chintai/jnc_000103730494/?bc=100480101621"/>
    <s v="LUONTO　HILLS"/>
    <s v="東京都中野区江古田２"/>
    <n v="91000"/>
    <n v="5000"/>
    <n v="91000"/>
    <n v="91000"/>
    <n v="3"/>
    <x v="2"/>
    <n v="20.149999999999999"/>
    <n v="0"/>
    <x v="4"/>
    <s v="新江古田駅"/>
    <n v="10"/>
    <n v="12.33"/>
    <n v="133636.04999999999"/>
    <n v="95329.65"/>
    <n v="147"/>
    <n v="1622"/>
    <s v="20-30"/>
    <x v="6"/>
  </r>
  <r>
    <s v="https://suumo.jp/chintai/jnc_000103730495/?bc=100480101620"/>
    <s v="LUONTO　HILLS"/>
    <s v="東京都中野区江古田２"/>
    <n v="94000"/>
    <n v="5000"/>
    <n v="94000"/>
    <n v="94000"/>
    <n v="3"/>
    <x v="2"/>
    <n v="22.64"/>
    <n v="0"/>
    <x v="4"/>
    <s v="新江古田駅"/>
    <n v="10"/>
    <n v="12.33"/>
    <n v="133636.04999999999"/>
    <n v="95329.65"/>
    <n v="147"/>
    <n v="1622"/>
    <s v="20-30"/>
    <x v="6"/>
  </r>
  <r>
    <s v="https://suumo.jp/chintai/jnc_000103730496/?bc=100480101623"/>
    <s v="LUONTO　HILLS"/>
    <s v="東京都中野区江古田２"/>
    <n v="92000"/>
    <n v="5000"/>
    <n v="92000"/>
    <n v="92000"/>
    <n v="4"/>
    <x v="2"/>
    <n v="20.149999999999999"/>
    <n v="0"/>
    <x v="4"/>
    <s v="新江古田駅"/>
    <n v="10"/>
    <n v="12.33"/>
    <n v="133636.04999999999"/>
    <n v="95329.65"/>
    <n v="147"/>
    <n v="1622"/>
    <s v="20-30"/>
    <x v="6"/>
  </r>
  <r>
    <s v="https://suumo.jp/chintai/jnc_000103730497/?bc=100480101629"/>
    <s v="LUONTO　HILLS"/>
    <s v="東京都中野区江古田２"/>
    <n v="95000"/>
    <n v="5000"/>
    <n v="95000"/>
    <n v="95000"/>
    <n v="4"/>
    <x v="2"/>
    <n v="22.64"/>
    <n v="0"/>
    <x v="4"/>
    <s v="新江古田駅"/>
    <n v="10"/>
    <n v="12.33"/>
    <n v="133636.04999999999"/>
    <n v="95329.65"/>
    <n v="147"/>
    <n v="1622"/>
    <s v="20-30"/>
    <x v="6"/>
  </r>
  <r>
    <s v="https://suumo.jp/chintai/jnc_000103487525/?bc=100477874775"/>
    <s v="LUONTO　HILLS"/>
    <s v="東京都中野区江古田２"/>
    <n v="95000"/>
    <n v="5000"/>
    <n v="95000"/>
    <n v="95000"/>
    <n v="4"/>
    <x v="2"/>
    <n v="24.12"/>
    <n v="0"/>
    <x v="4"/>
    <s v="新江古田駅"/>
    <n v="10"/>
    <n v="12.33"/>
    <n v="133636.04999999999"/>
    <n v="95329.65"/>
    <n v="147"/>
    <n v="1622"/>
    <s v="20-30"/>
    <x v="6"/>
  </r>
  <r>
    <s v="https://suumo.jp/chintai/jnc_000103663171/?bc=100364876586"/>
    <s v="e-net哲学堂"/>
    <s v="東京都中野区江古田１"/>
    <n v="47000"/>
    <n v="3000"/>
    <m/>
    <m/>
    <n v="2"/>
    <x v="2"/>
    <n v="17"/>
    <n v="39"/>
    <x v="0"/>
    <s v="新江古田駅"/>
    <n v="10"/>
    <n v="13"/>
    <n v="133636.04999999999"/>
    <n v="95329.65"/>
    <n v="147"/>
    <n v="1622"/>
    <s v="10-20"/>
    <x v="4"/>
  </r>
  <r>
    <s v="https://suumo.jp/chintai/jnc_000103403292/?bc=100477227996"/>
    <s v="アクサス中野新江古田"/>
    <s v="東京都中野区江古田２"/>
    <n v="78000"/>
    <n v="15000"/>
    <m/>
    <m/>
    <n v="1"/>
    <x v="2"/>
    <n v="23.69"/>
    <n v="18"/>
    <x v="5"/>
    <s v="新江古田駅"/>
    <n v="10"/>
    <n v="13.33"/>
    <n v="133636.04999999999"/>
    <n v="95329.65"/>
    <n v="147"/>
    <n v="1622"/>
    <s v="20-30"/>
    <x v="7"/>
  </r>
  <r>
    <s v="https://suumo.jp/chintai/jnc_000058740942/?bc=100477951755"/>
    <s v="クリスタルコート新江古田"/>
    <s v="東京都中野区江古田２"/>
    <n v="73000"/>
    <n v="5000"/>
    <n v="73000"/>
    <n v="36500"/>
    <n v="2"/>
    <x v="2"/>
    <n v="17.21"/>
    <n v="6"/>
    <x v="4"/>
    <s v="新江古田駅"/>
    <n v="9"/>
    <n v="13.67"/>
    <n v="133636.04999999999"/>
    <n v="95329.65"/>
    <n v="147"/>
    <n v="1622"/>
    <s v="10-20"/>
    <x v="0"/>
  </r>
  <r>
    <s v="https://suumo.jp/chintai/jnc_000055670382/?bc=100474816987"/>
    <s v="グラントウルース中野江原町"/>
    <s v="東京都中野区江原町１"/>
    <n v="79500"/>
    <n v="9500"/>
    <m/>
    <n v="79500"/>
    <n v="2"/>
    <x v="2"/>
    <n v="23.04"/>
    <n v="20"/>
    <x v="2"/>
    <s v="新江古田駅"/>
    <n v="12"/>
    <n v="15"/>
    <n v="133636.04999999999"/>
    <n v="95329.65"/>
    <n v="147"/>
    <n v="1622"/>
    <s v="20-30"/>
    <x v="7"/>
  </r>
  <r>
    <s v="https://suumo.jp/chintai/jnc_000104348319/?bc=100485362510"/>
    <s v="シャトレ新江古田"/>
    <s v="東京都中野区江古田２"/>
    <n v="75000"/>
    <n v="5000"/>
    <m/>
    <m/>
    <n v="1"/>
    <x v="2"/>
    <n v="18.559999999999999"/>
    <n v="15"/>
    <x v="2"/>
    <s v="新江古田駅"/>
    <n v="11"/>
    <n v="14.33"/>
    <n v="133636.04999999999"/>
    <n v="95329.65"/>
    <n v="147"/>
    <n v="1622"/>
    <s v="10-20"/>
    <x v="7"/>
  </r>
  <r>
    <s v="https://suumo.jp/chintai/jnc_000103465734/?bc=100479384899"/>
    <s v="リブタス中野江原町"/>
    <s v="東京都中野区江原町１"/>
    <n v="74000"/>
    <n v="8000"/>
    <m/>
    <m/>
    <n v="2"/>
    <x v="2"/>
    <n v="19.77"/>
    <n v="5"/>
    <x v="0"/>
    <s v="新江古田駅"/>
    <n v="13"/>
    <n v="15"/>
    <n v="133636.04999999999"/>
    <n v="95329.65"/>
    <n v="147"/>
    <n v="1622"/>
    <s v="10-20"/>
    <x v="0"/>
  </r>
  <r>
    <s v="https://suumo.jp/chintai/jnc_000103465735/?bc=100478518888"/>
    <s v="リブタス中野江原町"/>
    <s v="東京都中野区江原町１"/>
    <n v="79000"/>
    <n v="8000"/>
    <m/>
    <m/>
    <n v="2"/>
    <x v="2"/>
    <n v="19.77"/>
    <n v="5"/>
    <x v="0"/>
    <s v="新江古田駅"/>
    <n v="13"/>
    <n v="15"/>
    <n v="133636.04999999999"/>
    <n v="95329.65"/>
    <n v="147"/>
    <n v="1622"/>
    <s v="10-20"/>
    <x v="0"/>
  </r>
  <r>
    <s v="https://suumo.jp/chintai/jnc_000103856741/?bc=100481613626"/>
    <s v="レオパレスネオライフ江古田"/>
    <s v="東京都中野区江古田１"/>
    <n v="82000"/>
    <n v="5500"/>
    <m/>
    <n v="82000"/>
    <n v="2"/>
    <x v="2"/>
    <n v="26.08"/>
    <n v="21"/>
    <x v="0"/>
    <s v="新江古田駅"/>
    <n v="15"/>
    <n v="17.670000000000002"/>
    <n v="133636.04999999999"/>
    <n v="95329.65"/>
    <n v="147"/>
    <n v="1622"/>
    <s v="20-30"/>
    <x v="1"/>
  </r>
  <r>
    <s v="https://suumo.jp/chintai/jnc_000104211529/?bc=100484314882"/>
    <s v="レオパレスネオライフ江古田"/>
    <s v="東京都中野区江古田１"/>
    <n v="83000"/>
    <n v="5500"/>
    <m/>
    <n v="83000"/>
    <n v="2"/>
    <x v="2"/>
    <n v="26.08"/>
    <n v="21"/>
    <x v="0"/>
    <s v="新江古田駅"/>
    <n v="15"/>
    <n v="17.670000000000002"/>
    <n v="133636.04999999999"/>
    <n v="95329.65"/>
    <n v="147"/>
    <n v="1622"/>
    <s v="20-30"/>
    <x v="1"/>
  </r>
  <r>
    <s v="https://suumo.jp/chintai/jnc_000104280460/?bc=100484381250"/>
    <s v="レオパレスネオライフ江古田II"/>
    <s v="東京都中野区江古田１"/>
    <n v="86000"/>
    <n v="5500"/>
    <m/>
    <n v="86000"/>
    <n v="1"/>
    <x v="2"/>
    <n v="19.87"/>
    <n v="14"/>
    <x v="0"/>
    <s v="新江古田駅"/>
    <n v="13"/>
    <n v="15.67"/>
    <n v="133636.04999999999"/>
    <n v="95329.65"/>
    <n v="147"/>
    <n v="1622"/>
    <s v="10-20"/>
    <x v="7"/>
  </r>
  <r>
    <s v="https://suumo.jp/chintai/jnc_000102206011/?bc=100475923033"/>
    <s v="レオパレスＳＨＩＮＷＡ"/>
    <s v="東京都中野区江原町１"/>
    <n v="88000"/>
    <n v="5500"/>
    <m/>
    <n v="88000"/>
    <n v="2"/>
    <x v="2"/>
    <n v="19.87"/>
    <n v="17"/>
    <x v="0"/>
    <s v="新江古田駅"/>
    <n v="15"/>
    <n v="16.670000000000002"/>
    <n v="133636.04999999999"/>
    <n v="95329.65"/>
    <n v="147"/>
    <n v="1622"/>
    <s v="10-20"/>
    <x v="7"/>
  </r>
  <r>
    <s v="https://suumo.jp/chintai/jnc_000103487526/?bc=100478492393"/>
    <s v="レオパレスＳＨＩＮＷＡ"/>
    <s v="東京都中野区江原町１"/>
    <n v="89000"/>
    <n v="5500"/>
    <m/>
    <n v="89000"/>
    <n v="2"/>
    <x v="2"/>
    <n v="19.87"/>
    <n v="17"/>
    <x v="0"/>
    <s v="新江古田駅"/>
    <n v="15"/>
    <n v="16.670000000000002"/>
    <n v="133636.04999999999"/>
    <n v="95329.65"/>
    <n v="147"/>
    <n v="1622"/>
    <s v="10-20"/>
    <x v="7"/>
  </r>
  <r>
    <s v="https://suumo.jp/chintai/jnc_000104280461/?bc=100484382747"/>
    <s v="都営大江戸線 新江古田駅 2階建 築14年"/>
    <s v="東京都中野区江古田１"/>
    <n v="86000"/>
    <n v="5500"/>
    <m/>
    <n v="86000"/>
    <n v="1"/>
    <x v="2"/>
    <n v="19.87"/>
    <n v="14"/>
    <x v="0"/>
    <s v="新江古田駅"/>
    <n v="13"/>
    <n v="15.67"/>
    <n v="133636.04999999999"/>
    <n v="95329.65"/>
    <n v="147"/>
    <n v="1622"/>
    <s v="10-20"/>
    <x v="7"/>
  </r>
  <r>
    <s v="https://suumo.jp/chintai/jnc_000102280405/?bc=100483119343"/>
    <s v="都営大江戸線 新江古田駅 2階建 築17年"/>
    <s v="東京都中野区江原町１"/>
    <n v="88000"/>
    <n v="5500"/>
    <m/>
    <n v="88000"/>
    <n v="2"/>
    <x v="2"/>
    <n v="19.87"/>
    <n v="17"/>
    <x v="0"/>
    <s v="新江古田駅"/>
    <n v="15"/>
    <n v="16.329999999999998"/>
    <n v="133636.04999999999"/>
    <n v="95329.65"/>
    <n v="147"/>
    <n v="1622"/>
    <s v="10-20"/>
    <x v="7"/>
  </r>
  <r>
    <s v="https://suumo.jp/chintai/jnc_000103500316/?bc=100477974103"/>
    <s v="都営大江戸線 新江古田駅 2階建 築17年"/>
    <s v="東京都中野区江原町１"/>
    <n v="89000"/>
    <n v="5500"/>
    <m/>
    <n v="89000"/>
    <n v="2"/>
    <x v="2"/>
    <n v="19.87"/>
    <n v="17"/>
    <x v="0"/>
    <s v="新江古田駅"/>
    <n v="15"/>
    <n v="16.329999999999998"/>
    <n v="133636.04999999999"/>
    <n v="95329.65"/>
    <n v="147"/>
    <n v="1622"/>
    <s v="10-20"/>
    <x v="7"/>
  </r>
  <r>
    <s v="https://suumo.jp/chintai/jnc_000103454461/?bc=100478357684"/>
    <s v="都営大江戸線 新江古田駅 2階建 築5年"/>
    <s v="東京都中野区江原町１"/>
    <n v="74000"/>
    <n v="8000"/>
    <m/>
    <m/>
    <n v="2"/>
    <x v="2"/>
    <n v="19.77"/>
    <n v="5"/>
    <x v="0"/>
    <s v="新江古田駅"/>
    <n v="10"/>
    <n v="12.67"/>
    <n v="133636.04999999999"/>
    <n v="95329.65"/>
    <n v="147"/>
    <n v="1622"/>
    <s v="10-20"/>
    <x v="0"/>
  </r>
  <r>
    <s v="https://suumo.jp/chintai/jnc_000103465736/?bc=100478518681"/>
    <s v="都営大江戸線 新江古田駅 2階建 築5年"/>
    <s v="東京都中野区江原町１"/>
    <n v="79000"/>
    <n v="8000"/>
    <m/>
    <m/>
    <n v="2"/>
    <x v="2"/>
    <n v="19.77"/>
    <n v="5"/>
    <x v="0"/>
    <s v="新江古田駅"/>
    <n v="10"/>
    <n v="12.67"/>
    <n v="133636.04999999999"/>
    <n v="95329.65"/>
    <n v="147"/>
    <n v="1622"/>
    <s v="10-20"/>
    <x v="0"/>
  </r>
  <r>
    <s v="https://suumo.jp/chintai/jnc_000100975531/?bc=100476020431"/>
    <s v="都営大江戸線 新江古田駅 3階建 新築"/>
    <s v="東京都中野区江原町１"/>
    <n v="114000"/>
    <n v="15000"/>
    <m/>
    <m/>
    <n v="1"/>
    <x v="2"/>
    <n v="25.56"/>
    <n v="0"/>
    <x v="2"/>
    <s v="新江古田駅"/>
    <n v="11"/>
    <n v="13.67"/>
    <n v="133636.04999999999"/>
    <n v="95329.65"/>
    <n v="147"/>
    <n v="1622"/>
    <s v="20-30"/>
    <x v="6"/>
  </r>
  <r>
    <s v="https://suumo.jp/chintai/jnc_000103536628/?bc=100462049482"/>
    <s v="都営大江戸線 新江古田駅 3階建 新築"/>
    <s v="東京都中野区江原町１"/>
    <n v="115500"/>
    <n v="15000"/>
    <m/>
    <m/>
    <n v="1"/>
    <x v="2"/>
    <n v="25.56"/>
    <n v="0"/>
    <x v="2"/>
    <s v="新江古田駅"/>
    <n v="11"/>
    <n v="13.67"/>
    <n v="133636.04999999999"/>
    <n v="95329.65"/>
    <n v="147"/>
    <n v="1622"/>
    <s v="20-30"/>
    <x v="6"/>
  </r>
  <r>
    <s v="https://suumo.jp/chintai/jnc_000103536636/?bc=100462049223"/>
    <s v="都営大江戸線 新江古田駅 3階建 新築"/>
    <s v="東京都中野区江原町１"/>
    <n v="115500"/>
    <n v="15000"/>
    <m/>
    <m/>
    <n v="1"/>
    <x v="2"/>
    <n v="25.66"/>
    <n v="0"/>
    <x v="2"/>
    <s v="新江古田駅"/>
    <n v="11"/>
    <n v="13.67"/>
    <n v="133636.04999999999"/>
    <n v="95329.65"/>
    <n v="147"/>
    <n v="1622"/>
    <s v="20-30"/>
    <x v="6"/>
  </r>
  <r>
    <s v="https://suumo.jp/chintai/jnc_000103536638/?bc=100462049141"/>
    <s v="都営大江戸線 新江古田駅 3階建 新築"/>
    <s v="東京都中野区江原町１"/>
    <n v="115500"/>
    <n v="15000"/>
    <m/>
    <m/>
    <n v="1"/>
    <x v="2"/>
    <n v="25.68"/>
    <n v="0"/>
    <x v="2"/>
    <s v="新江古田駅"/>
    <n v="11"/>
    <n v="13.67"/>
    <n v="133636.04999999999"/>
    <n v="95329.65"/>
    <n v="147"/>
    <n v="1622"/>
    <s v="20-30"/>
    <x v="6"/>
  </r>
  <r>
    <s v="https://suumo.jp/chintai/jnc_000103536634/?bc=100462323762"/>
    <s v="都営大江戸線 新江古田駅 3階建 新築"/>
    <s v="東京都中野区江原町１"/>
    <n v="115500"/>
    <n v="15000"/>
    <m/>
    <m/>
    <n v="1"/>
    <x v="2"/>
    <n v="25.71"/>
    <n v="0"/>
    <x v="2"/>
    <s v="新江古田駅"/>
    <n v="11"/>
    <n v="13.67"/>
    <n v="133636.04999999999"/>
    <n v="95329.65"/>
    <n v="147"/>
    <n v="1622"/>
    <s v="20-30"/>
    <x v="6"/>
  </r>
  <r>
    <s v="https://suumo.jp/chintai/jnc_000100975534/?bc=100476020422"/>
    <s v="都営大江戸線 新江古田駅 3階建 新築"/>
    <s v="東京都中野区江原町１"/>
    <n v="115000"/>
    <n v="15000"/>
    <m/>
    <m/>
    <n v="2"/>
    <x v="2"/>
    <n v="25.56"/>
    <n v="0"/>
    <x v="2"/>
    <s v="新江古田駅"/>
    <n v="11"/>
    <n v="13.67"/>
    <n v="133636.04999999999"/>
    <n v="95329.65"/>
    <n v="147"/>
    <n v="1622"/>
    <s v="20-30"/>
    <x v="6"/>
  </r>
  <r>
    <s v="https://suumo.jp/chintai/jnc_000103536644/?bc=100461404374"/>
    <s v="都営大江戸線 新江古田駅 3階建 新築"/>
    <s v="東京都中野区江原町１"/>
    <n v="116500"/>
    <n v="15000"/>
    <m/>
    <m/>
    <n v="2"/>
    <x v="2"/>
    <n v="25.71"/>
    <n v="0"/>
    <x v="2"/>
    <s v="新江古田駅"/>
    <n v="11"/>
    <n v="13.67"/>
    <n v="133636.04999999999"/>
    <n v="95329.65"/>
    <n v="147"/>
    <n v="1622"/>
    <s v="20-30"/>
    <x v="6"/>
  </r>
  <r>
    <s v="https://suumo.jp/chintai/jnc_000103536639/?bc=100462049142"/>
    <s v="都営大江戸線 新江古田駅 3階建 新築"/>
    <s v="東京都中野区江原町１"/>
    <n v="191000"/>
    <n v="15000"/>
    <m/>
    <m/>
    <n v="2"/>
    <x v="2"/>
    <n v="40.369999999999997"/>
    <n v="0"/>
    <x v="2"/>
    <s v="新江古田駅"/>
    <n v="11"/>
    <n v="13.67"/>
    <n v="133636.04999999999"/>
    <n v="95329.65"/>
    <n v="147"/>
    <n v="1622"/>
    <s v="40-50"/>
    <x v="6"/>
  </r>
  <r>
    <s v="https://suumo.jp/chintai/jnc_000059186361/?bc=100477948653"/>
    <s v="都営大江戸線 新江古田駅 4階建 築6年"/>
    <s v="東京都中野区江古田２"/>
    <n v="73000"/>
    <n v="5000"/>
    <n v="73000"/>
    <n v="36500"/>
    <n v="2"/>
    <x v="2"/>
    <n v="17.21"/>
    <n v="6"/>
    <x v="4"/>
    <s v="新江古田駅"/>
    <n v="9"/>
    <n v="13.67"/>
    <n v="133636.04999999999"/>
    <n v="95329.65"/>
    <n v="147"/>
    <n v="1622"/>
    <s v="10-20"/>
    <x v="0"/>
  </r>
  <r>
    <s v="https://suumo.jp/chintai/jnc_000100813716/?bc=100470617099"/>
    <s v="Alivis新江古田"/>
    <s v="東京都中野区江原町１"/>
    <n v="187000"/>
    <n v="15000"/>
    <m/>
    <m/>
    <n v="1"/>
    <x v="3"/>
    <n v="40.51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22/?bc=100486118493"/>
    <s v="Alivis新江古田"/>
    <s v="東京都中野区江原町１"/>
    <n v="189000"/>
    <n v="15000"/>
    <m/>
    <m/>
    <n v="1"/>
    <x v="3"/>
    <n v="40.51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0813715/?bc=100470617100"/>
    <s v="Alivis新江古田"/>
    <s v="東京都中野区江原町１"/>
    <n v="187000"/>
    <n v="15000"/>
    <m/>
    <m/>
    <n v="1"/>
    <x v="3"/>
    <n v="40.630000000000003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21/?bc=100458682636"/>
    <s v="Alivis新江古田"/>
    <s v="東京都中野区江原町１"/>
    <n v="189000"/>
    <n v="15000"/>
    <m/>
    <m/>
    <n v="1"/>
    <x v="3"/>
    <n v="40.630000000000003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23/?bc=100471669197"/>
    <s v="Alivis新江古田"/>
    <s v="東京都中野区江原町１"/>
    <n v="189000"/>
    <n v="15000"/>
    <m/>
    <m/>
    <n v="1"/>
    <x v="3"/>
    <n v="40.659999999999997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0813718/?bc=100470617098"/>
    <s v="Alivis新江古田"/>
    <s v="東京都中野区江原町１"/>
    <n v="187000"/>
    <n v="15000"/>
    <m/>
    <m/>
    <n v="1"/>
    <x v="3"/>
    <n v="40.79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24/?bc=100472932529"/>
    <s v="Alivis新江古田"/>
    <s v="東京都中野区江原町１"/>
    <n v="189000"/>
    <n v="15000"/>
    <m/>
    <m/>
    <n v="1"/>
    <x v="3"/>
    <n v="40.79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30/?bc=100473680022"/>
    <s v="Alivis新江古田"/>
    <s v="東京都中野区江原町１"/>
    <n v="191000"/>
    <n v="15000"/>
    <m/>
    <m/>
    <n v="2"/>
    <x v="3"/>
    <n v="40.369999999999997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0813729/?bc=100475098395"/>
    <s v="Alivis新江古田"/>
    <s v="東京都中野区江原町１"/>
    <n v="189000"/>
    <n v="15000"/>
    <m/>
    <m/>
    <n v="2"/>
    <x v="3"/>
    <n v="40.51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34/?bc=100476540220"/>
    <s v="Alivis新江古田"/>
    <s v="東京都中野区江原町１"/>
    <n v="191000"/>
    <n v="15000"/>
    <m/>
    <m/>
    <n v="2"/>
    <x v="3"/>
    <n v="40.51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0813728/?bc=100470617097"/>
    <s v="Alivis新江古田"/>
    <s v="東京都中野区江原町１"/>
    <n v="189000"/>
    <n v="15000"/>
    <m/>
    <m/>
    <n v="2"/>
    <x v="3"/>
    <n v="40.630000000000003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33/?bc=100458682619"/>
    <s v="Alivis新江古田"/>
    <s v="東京都中野区江原町１"/>
    <n v="191000"/>
    <n v="15000"/>
    <m/>
    <m/>
    <n v="2"/>
    <x v="3"/>
    <n v="40.630000000000003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0813730/?bc=100470617094"/>
    <s v="Alivis新江古田"/>
    <s v="東京都中野区江原町１"/>
    <n v="189000"/>
    <n v="15000"/>
    <m/>
    <m/>
    <n v="2"/>
    <x v="3"/>
    <n v="40.659999999999997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35/?bc=100458948933"/>
    <s v="Alivis新江古田"/>
    <s v="東京都中野区江原町１"/>
    <n v="191000"/>
    <n v="15000"/>
    <m/>
    <m/>
    <n v="2"/>
    <x v="3"/>
    <n v="40.659999999999997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36/?bc=100468304893"/>
    <s v="Alivis新江古田"/>
    <s v="東京都中野区江原町１"/>
    <n v="191000"/>
    <n v="15000"/>
    <m/>
    <m/>
    <n v="2"/>
    <x v="3"/>
    <n v="40.79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43/?bc=100468304977"/>
    <s v="Alivis新江古田"/>
    <s v="東京都中野区江原町１"/>
    <n v="192000"/>
    <n v="15000"/>
    <m/>
    <m/>
    <n v="3"/>
    <x v="3"/>
    <n v="40.51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0821989/?bc=100470617079"/>
    <s v="Alivis新江古田"/>
    <s v="東京都中野区江原町１"/>
    <n v="190000"/>
    <n v="15000"/>
    <m/>
    <m/>
    <n v="3"/>
    <x v="3"/>
    <n v="40.51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481442/?bc=100477790386"/>
    <s v="Alivis新江古田"/>
    <s v="東京都中野区江原町１"/>
    <n v="192000"/>
    <n v="15000"/>
    <m/>
    <m/>
    <n v="3"/>
    <x v="3"/>
    <n v="40.630000000000003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0821993/?bc=100470617078"/>
    <s v="Alivis新江古田"/>
    <s v="東京都中野区江原町１"/>
    <n v="210000"/>
    <n v="15000"/>
    <m/>
    <m/>
    <n v="3"/>
    <x v="3"/>
    <n v="44.69"/>
    <n v="1"/>
    <x v="2"/>
    <s v="新江古田駅"/>
    <n v="12"/>
    <n v="16.329999999999998"/>
    <n v="133636.04999999999"/>
    <n v="168453.81"/>
    <n v="147"/>
    <n v="788"/>
    <s v="40-50"/>
    <x v="0"/>
  </r>
  <r>
    <s v="https://suumo.jp/chintai/jnc_000103717511/?bc=100480376898"/>
    <s v="Ramiuj"/>
    <s v="東京都中野区江原町１"/>
    <n v="116000"/>
    <n v="3000"/>
    <n v="116000"/>
    <n v="116000"/>
    <n v="1"/>
    <x v="3"/>
    <n v="34.76"/>
    <n v="7"/>
    <x v="2"/>
    <s v="新江古田駅"/>
    <n v="10"/>
    <n v="11.33"/>
    <n v="133636.04999999999"/>
    <n v="168453.81"/>
    <n v="147"/>
    <n v="788"/>
    <s v="30-40"/>
    <x v="0"/>
  </r>
  <r>
    <s v="https://suumo.jp/chintai/jnc_000096563599/?bc=100424547951"/>
    <s v="Ramiuj"/>
    <s v="東京都中野区江原町１"/>
    <n v="112000"/>
    <n v="3000"/>
    <n v="112000"/>
    <n v="112000"/>
    <n v="3"/>
    <x v="3"/>
    <n v="35.700000000000003"/>
    <n v="7"/>
    <x v="2"/>
    <s v="新江古田駅"/>
    <n v="10"/>
    <n v="11.33"/>
    <n v="133636.04999999999"/>
    <n v="168453.81"/>
    <n v="147"/>
    <n v="788"/>
    <s v="30-40"/>
    <x v="0"/>
  </r>
  <r>
    <s v="https://suumo.jp/chintai/jnc_000103929256/?bc=100482679308"/>
    <s v="ピュアメゾン"/>
    <s v="東京都中野区江原町１"/>
    <n v="140000"/>
    <n v="3000"/>
    <n v="140000"/>
    <n v="280000"/>
    <n v="1"/>
    <x v="3"/>
    <n v="50.69"/>
    <n v="7"/>
    <x v="0"/>
    <s v="新江古田駅"/>
    <n v="10"/>
    <n v="12.67"/>
    <n v="133636.04999999999"/>
    <n v="168453.81"/>
    <n v="147"/>
    <n v="788"/>
    <s v="50-60"/>
    <x v="0"/>
  </r>
  <r>
    <s v="https://suumo.jp/chintai/jnc_000103929256/?bc=100482679308"/>
    <s v="ピュアメゾン"/>
    <s v="東京都中野区江原町１"/>
    <n v="140000"/>
    <n v="3000"/>
    <n v="140000"/>
    <n v="280000"/>
    <n v="2"/>
    <x v="3"/>
    <n v="50.69"/>
    <n v="7"/>
    <x v="0"/>
    <s v="新江古田駅"/>
    <n v="10"/>
    <n v="12.67"/>
    <n v="133636.04999999999"/>
    <n v="168453.81"/>
    <n v="147"/>
    <n v="788"/>
    <s v="50-60"/>
    <x v="0"/>
  </r>
  <r>
    <s v="https://suumo.jp/chintai/jnc_000103903833/?bc=100481718056"/>
    <s v="ピュアメゾン"/>
    <s v="東京都中野区江原町１"/>
    <n v="140000"/>
    <n v="3000"/>
    <n v="140000"/>
    <n v="280000"/>
    <n v="2"/>
    <x v="3"/>
    <n v="50.69"/>
    <n v="7"/>
    <x v="0"/>
    <s v="新江古田駅"/>
    <n v="10"/>
    <n v="12.67"/>
    <n v="133636.04999999999"/>
    <n v="168453.81"/>
    <n v="147"/>
    <n v="788"/>
    <s v="50-60"/>
    <x v="0"/>
  </r>
  <r>
    <s v="https://suumo.jp/chintai/jnc_000104261930/?bc=100485574639"/>
    <s v="ミッテルドルフ新江古田"/>
    <s v="東京都中野区江古田３"/>
    <n v="142000"/>
    <n v="3000"/>
    <n v="142000"/>
    <n v="284000"/>
    <n v="1"/>
    <x v="3"/>
    <n v="55.89"/>
    <n v="10"/>
    <x v="0"/>
    <s v="新江古田駅"/>
    <n v="10"/>
    <n v="14"/>
    <n v="133636.04999999999"/>
    <n v="168453.81"/>
    <n v="147"/>
    <n v="788"/>
    <s v="50-60"/>
    <x v="0"/>
  </r>
  <r>
    <s v="https://suumo.jp/chintai/jnc_000104261930/?bc=100485574639"/>
    <s v="ミッテルドルフ新江古田"/>
    <s v="東京都中野区江古田３"/>
    <n v="142000"/>
    <n v="3000"/>
    <n v="142000"/>
    <n v="284000"/>
    <n v="2"/>
    <x v="3"/>
    <n v="55.89"/>
    <n v="10"/>
    <x v="0"/>
    <s v="新江古田駅"/>
    <n v="10"/>
    <n v="14"/>
    <n v="133636.04999999999"/>
    <n v="168453.81"/>
    <n v="147"/>
    <n v="788"/>
    <s v="50-60"/>
    <x v="0"/>
  </r>
  <r>
    <s v="https://suumo.jp/chintai/jnc_000103919945/?bc=100481846532"/>
    <s v="都営大江戸線 新江古田駅 2階建 築7年"/>
    <s v="東京都中野区江原町１"/>
    <n v="140000"/>
    <n v="3000"/>
    <n v="140000"/>
    <n v="280000"/>
    <n v="1"/>
    <x v="3"/>
    <n v="50.69"/>
    <n v="7"/>
    <x v="0"/>
    <s v="新江古田駅"/>
    <n v="10"/>
    <n v="12"/>
    <n v="133636.04999999999"/>
    <n v="168453.81"/>
    <n v="147"/>
    <n v="788"/>
    <s v="50-60"/>
    <x v="0"/>
  </r>
  <r>
    <s v="https://suumo.jp/chintai/jnc_000103919945/?bc=100481846532"/>
    <s v="都営大江戸線 新江古田駅 2階建 築7年"/>
    <s v="東京都中野区江原町１"/>
    <n v="140000"/>
    <n v="3000"/>
    <n v="140000"/>
    <n v="280000"/>
    <n v="2"/>
    <x v="3"/>
    <n v="50.69"/>
    <n v="7"/>
    <x v="0"/>
    <s v="新江古田駅"/>
    <n v="10"/>
    <n v="12"/>
    <n v="133636.04999999999"/>
    <n v="168453.81"/>
    <n v="147"/>
    <n v="788"/>
    <s v="50-60"/>
    <x v="0"/>
  </r>
  <r>
    <s v="https://suumo.jp/chintai/jnc_000103536632/?bc=100462049177"/>
    <s v="都営大江戸線 新江古田駅 3階建 新築"/>
    <s v="東京都中野区江原町１"/>
    <n v="189000"/>
    <n v="15000"/>
    <m/>
    <m/>
    <n v="1"/>
    <x v="3"/>
    <n v="40.51"/>
    <n v="0"/>
    <x v="2"/>
    <s v="新江古田駅"/>
    <n v="11"/>
    <n v="13.67"/>
    <n v="133636.04999999999"/>
    <n v="168453.81"/>
    <n v="147"/>
    <n v="788"/>
    <s v="40-50"/>
    <x v="6"/>
  </r>
  <r>
    <s v="https://suumo.jp/chintai/jnc_000103536631/?bc=100462049296"/>
    <s v="都営大江戸線 新江古田駅 3階建 新築"/>
    <s v="東京都中野区江原町１"/>
    <n v="189000"/>
    <n v="15000"/>
    <m/>
    <m/>
    <n v="1"/>
    <x v="3"/>
    <n v="40.630000000000003"/>
    <n v="0"/>
    <x v="2"/>
    <s v="新江古田駅"/>
    <n v="11"/>
    <n v="13.67"/>
    <n v="133636.04999999999"/>
    <n v="168453.81"/>
    <n v="147"/>
    <n v="788"/>
    <s v="40-50"/>
    <x v="6"/>
  </r>
  <r>
    <s v="https://suumo.jp/chintai/jnc_000103563632/?bc=100471667443"/>
    <s v="都営大江戸線 新江古田駅 3階建 新築"/>
    <s v="東京都中野区江原町１"/>
    <n v="189000"/>
    <n v="15000"/>
    <m/>
    <m/>
    <n v="1"/>
    <x v="3"/>
    <n v="40.659999999999997"/>
    <n v="0"/>
    <x v="2"/>
    <s v="新江古田駅"/>
    <n v="11"/>
    <n v="13.67"/>
    <n v="133636.04999999999"/>
    <n v="168453.81"/>
    <n v="147"/>
    <n v="788"/>
    <s v="40-50"/>
    <x v="6"/>
  </r>
  <r>
    <s v="https://suumo.jp/chintai/jnc_000103536633/?bc=100461404548"/>
    <s v="都営大江戸線 新江古田駅 3階建 新築"/>
    <s v="東京都中野区江原町１"/>
    <n v="189000"/>
    <n v="15000"/>
    <m/>
    <m/>
    <n v="1"/>
    <x v="3"/>
    <n v="40.79"/>
    <n v="0"/>
    <x v="2"/>
    <s v="新江古田駅"/>
    <n v="11"/>
    <n v="13.67"/>
    <n v="133636.04999999999"/>
    <n v="168453.81"/>
    <n v="147"/>
    <n v="788"/>
    <s v="40-50"/>
    <x v="6"/>
  </r>
  <r>
    <s v="https://suumo.jp/chintai/jnc_000104387652/?bc=100485273368"/>
    <s v="都営大江戸線 新江古田駅 3階建 新築"/>
    <s v="東京都中野区江原町１"/>
    <n v="183000"/>
    <n v="9000"/>
    <n v="91500"/>
    <n v="183000"/>
    <n v="1"/>
    <x v="3"/>
    <n v="49.41"/>
    <n v="0"/>
    <x v="2"/>
    <s v="新江古田駅"/>
    <n v="9"/>
    <n v="11"/>
    <n v="133636.04999999999"/>
    <n v="168453.81"/>
    <n v="147"/>
    <n v="788"/>
    <s v="40-50"/>
    <x v="6"/>
  </r>
  <r>
    <s v="https://suumo.jp/chintai/jnc_000103536641/?bc=100471667440"/>
    <s v="都営大江戸線 新江古田駅 3階建 新築"/>
    <s v="東京都中野区江原町１"/>
    <n v="191000"/>
    <n v="15000"/>
    <m/>
    <m/>
    <n v="2"/>
    <x v="3"/>
    <n v="40.51"/>
    <n v="0"/>
    <x v="2"/>
    <s v="新江古田駅"/>
    <n v="11"/>
    <n v="13.67"/>
    <n v="133636.04999999999"/>
    <n v="168453.81"/>
    <n v="147"/>
    <n v="788"/>
    <s v="40-50"/>
    <x v="6"/>
  </r>
  <r>
    <s v="https://suumo.jp/chintai/jnc_000103536640/?bc=100461404467"/>
    <s v="都営大江戸線 新江古田駅 3階建 新築"/>
    <s v="東京都中野区江原町１"/>
    <n v="191000"/>
    <n v="15000"/>
    <m/>
    <m/>
    <n v="2"/>
    <x v="3"/>
    <n v="40.630000000000003"/>
    <n v="0"/>
    <x v="2"/>
    <s v="新江古田駅"/>
    <n v="11"/>
    <n v="13.67"/>
    <n v="133636.04999999999"/>
    <n v="168453.81"/>
    <n v="147"/>
    <n v="788"/>
    <s v="40-50"/>
    <x v="6"/>
  </r>
  <r>
    <s v="https://suumo.jp/chintai/jnc_000103536642/?bc=100461404495"/>
    <s v="都営大江戸線 新江古田駅 3階建 新築"/>
    <s v="東京都中野区江原町１"/>
    <n v="191000"/>
    <n v="15000"/>
    <m/>
    <m/>
    <n v="2"/>
    <x v="3"/>
    <n v="40.659999999999997"/>
    <n v="0"/>
    <x v="2"/>
    <s v="新江古田駅"/>
    <n v="11"/>
    <n v="13.67"/>
    <n v="133636.04999999999"/>
    <n v="168453.81"/>
    <n v="147"/>
    <n v="788"/>
    <s v="40-50"/>
    <x v="6"/>
  </r>
  <r>
    <s v="https://suumo.jp/chintai/jnc_000101625260/?bc=100483116481"/>
    <s v="都営大江戸線 新江古田駅 3階建 新築"/>
    <s v="東京都中野区江古田１"/>
    <n v="150500"/>
    <n v="4400"/>
    <m/>
    <n v="225799.99999999901"/>
    <n v="2"/>
    <x v="3"/>
    <n v="44.46"/>
    <n v="0"/>
    <x v="2"/>
    <s v="新江古田駅"/>
    <n v="11"/>
    <n v="13.67"/>
    <n v="133636.04999999999"/>
    <n v="168453.81"/>
    <n v="147"/>
    <n v="788"/>
    <s v="40-50"/>
    <x v="6"/>
  </r>
  <r>
    <s v="https://suumo.jp/chintai/jnc_000101625261/?bc=100484759359"/>
    <s v="都営大江戸線 新江古田駅 3階建 新築"/>
    <s v="東京都中野区江古田１"/>
    <n v="149000"/>
    <n v="4400"/>
    <m/>
    <n v="223500"/>
    <n v="2"/>
    <x v="3"/>
    <n v="45.57"/>
    <n v="0"/>
    <x v="2"/>
    <s v="新江古田駅"/>
    <n v="11"/>
    <n v="13.67"/>
    <n v="133636.04999999999"/>
    <n v="168453.81"/>
    <n v="147"/>
    <n v="788"/>
    <s v="40-50"/>
    <x v="6"/>
  </r>
  <r>
    <s v="https://suumo.jp/chintai/jnc_000103536647/?bc=100461404364"/>
    <s v="都営大江戸線 新江古田駅 3階建 新築"/>
    <s v="東京都中野区江原町１"/>
    <n v="192000"/>
    <n v="15000"/>
    <m/>
    <m/>
    <n v="3"/>
    <x v="3"/>
    <n v="40.51"/>
    <n v="0"/>
    <x v="2"/>
    <s v="新江古田駅"/>
    <n v="11"/>
    <n v="13.67"/>
    <n v="133636.04999999999"/>
    <n v="168453.81"/>
    <n v="147"/>
    <n v="788"/>
    <s v="40-50"/>
    <x v="6"/>
  </r>
  <r>
    <s v="https://suumo.jp/chintai/jnc_000103594124/?bc=100483192725"/>
    <s v="都営大江戸線 新江古田駅 3階建 新築"/>
    <s v="東京都中野区江原町１"/>
    <n v="192000"/>
    <n v="15000"/>
    <m/>
    <m/>
    <n v="3"/>
    <x v="3"/>
    <n v="40.630000000000003"/>
    <n v="0"/>
    <x v="2"/>
    <s v="新江古田駅"/>
    <n v="11"/>
    <n v="13.67"/>
    <n v="133636.04999999999"/>
    <n v="168453.81"/>
    <n v="147"/>
    <n v="788"/>
    <s v="40-50"/>
    <x v="6"/>
  </r>
  <r>
    <s v="https://suumo.jp/chintai/jnc_000100997231/?bc=100461404407"/>
    <s v="都営大江戸線 新江古田駅 3階建 新築"/>
    <s v="東京都中野区江原町１"/>
    <n v="210000"/>
    <n v="15000"/>
    <m/>
    <m/>
    <n v="3"/>
    <x v="3"/>
    <n v="44.69"/>
    <n v="0"/>
    <x v="2"/>
    <s v="新江古田駅"/>
    <n v="11"/>
    <n v="13.67"/>
    <n v="133636.04999999999"/>
    <n v="168453.81"/>
    <n v="147"/>
    <n v="788"/>
    <s v="40-50"/>
    <x v="6"/>
  </r>
  <r>
    <s v="https://suumo.jp/chintai/jnc_000103792573/?bc=100483387559"/>
    <s v="都営大江戸線 新江古田駅 3階建 築10年"/>
    <s v="東京都中野区江古田１"/>
    <n v="120000"/>
    <n v="5000"/>
    <m/>
    <m/>
    <n v="2"/>
    <x v="3"/>
    <n v="37.6"/>
    <n v="10"/>
    <x v="2"/>
    <s v="新江古田駅"/>
    <n v="13"/>
    <n v="14"/>
    <n v="133636.04999999999"/>
    <n v="168453.81"/>
    <n v="147"/>
    <n v="788"/>
    <s v="30-40"/>
    <x v="0"/>
  </r>
  <r>
    <s v="https://suumo.jp/chintai/jnc_000103723323/?bc=100484070243"/>
    <s v="都営大江戸線 新江古田駅 3階建 築7年"/>
    <s v="東京都中野区江原町１"/>
    <n v="116000"/>
    <n v="3000"/>
    <n v="116000"/>
    <n v="116000"/>
    <n v="1"/>
    <x v="3"/>
    <n v="34.76"/>
    <n v="7"/>
    <x v="2"/>
    <s v="新江古田駅"/>
    <n v="10"/>
    <n v="11.33"/>
    <n v="133636.04999999999"/>
    <n v="168453.81"/>
    <n v="147"/>
    <n v="788"/>
    <s v="30-40"/>
    <x v="0"/>
  </r>
  <r>
    <s v="https://suumo.jp/chintai/jnc_000102993424/?bc=100474598528"/>
    <s v="都営大江戸線 新江古田駅 地上2階建 築10年"/>
    <s v="東京都中野区江古田３"/>
    <n v="152000"/>
    <n v="3000"/>
    <n v="152000"/>
    <n v="304000"/>
    <n v="1"/>
    <x v="3"/>
    <n v="55.89"/>
    <n v="10"/>
    <x v="0"/>
    <s v="新江古田駅"/>
    <n v="10"/>
    <n v="14.33"/>
    <n v="133636.04999999999"/>
    <n v="168453.81"/>
    <n v="147"/>
    <n v="788"/>
    <s v="50-60"/>
    <x v="0"/>
  </r>
  <r>
    <s v="https://suumo.jp/chintai/jnc_000102993424/?bc=100474598528"/>
    <s v="都営大江戸線 新江古田駅 地上2階建 築10年"/>
    <s v="東京都中野区江古田３"/>
    <n v="152000"/>
    <n v="3000"/>
    <n v="152000"/>
    <n v="304000"/>
    <n v="2"/>
    <x v="3"/>
    <n v="55.89"/>
    <n v="10"/>
    <x v="0"/>
    <s v="新江古田駅"/>
    <n v="10"/>
    <n v="14.33"/>
    <n v="133636.04999999999"/>
    <n v="168453.81"/>
    <n v="147"/>
    <n v="788"/>
    <s v="50-60"/>
    <x v="0"/>
  </r>
  <r>
    <s v="https://suumo.jp/chintai/jnc_000103792572/?bc=100483153711"/>
    <s v="ＢＨテラス江古田"/>
    <s v="東京都中野区江古田１"/>
    <n v="120000"/>
    <n v="5000"/>
    <m/>
    <m/>
    <n v="2"/>
    <x v="3"/>
    <n v="37.6"/>
    <n v="11"/>
    <x v="2"/>
    <s v="新江古田駅"/>
    <n v="13"/>
    <n v="14"/>
    <n v="133636.04999999999"/>
    <n v="168453.81"/>
    <n v="147"/>
    <n v="788"/>
    <s v="30-40"/>
    <x v="7"/>
  </r>
  <r>
    <s v="https://suumo.jp/chintai/jnc_000104387651/?bc=100485273625"/>
    <s v="Ｅｌｙｓｅｅｅｋｏｄａ"/>
    <s v="東京都中野区江原町１"/>
    <n v="183000"/>
    <n v="9000"/>
    <n v="91500"/>
    <n v="183000"/>
    <n v="1"/>
    <x v="3"/>
    <n v="49.41"/>
    <n v="1"/>
    <x v="2"/>
    <s v="新江古田駅"/>
    <n v="9"/>
    <n v="11"/>
    <n v="133636.04999999999"/>
    <n v="168453.81"/>
    <n v="147"/>
    <n v="788"/>
    <s v="40-50"/>
    <x v="0"/>
  </r>
  <r>
    <s v="https://suumo.jp/chintai/jnc_000101487454/?bc=100471202714"/>
    <s v="Ｐｒｅｔｔｙ　Ｆｏｒｅｓｔ"/>
    <s v="東京都中野区江古田１"/>
    <n v="150500"/>
    <n v="4400"/>
    <m/>
    <n v="225799.99999999901"/>
    <n v="2"/>
    <x v="3"/>
    <n v="44.46"/>
    <n v="0"/>
    <x v="2"/>
    <s v="新江古田駅"/>
    <n v="11"/>
    <n v="13.67"/>
    <n v="133636.04999999999"/>
    <n v="168453.81"/>
    <n v="147"/>
    <n v="788"/>
    <s v="40-50"/>
    <x v="6"/>
  </r>
  <r>
    <s v="https://suumo.jp/chintai/jnc_000101487455/?bc=100472990906"/>
    <s v="Ｐｒｅｔｔｙ　Ｆｏｒｅｓｔ"/>
    <s v="東京都中野区江古田１"/>
    <n v="149000"/>
    <n v="4400"/>
    <m/>
    <n v="223500"/>
    <n v="2"/>
    <x v="3"/>
    <n v="45.57"/>
    <n v="0"/>
    <x v="2"/>
    <s v="新江古田駅"/>
    <n v="11"/>
    <n v="13.67"/>
    <n v="133636.04999999999"/>
    <n v="168453.81"/>
    <n v="147"/>
    <n v="788"/>
    <s v="40-50"/>
    <x v="6"/>
  </r>
  <r>
    <s v="https://suumo.jp/chintai/jnc_000095682994/?bc=100483468867"/>
    <s v="アリビオ江古田"/>
    <s v="東京都中野区江古田１"/>
    <n v="71000"/>
    <n v="3000"/>
    <n v="71000"/>
    <n v="71000"/>
    <n v="1"/>
    <x v="0"/>
    <n v="20.56"/>
    <n v="7"/>
    <x v="0"/>
    <s v="新江古田駅"/>
    <n v="12"/>
    <n v="15"/>
    <n v="133636.04999999999"/>
    <n v="77692.34"/>
    <n v="147"/>
    <n v="1071"/>
    <s v="20-30"/>
    <x v="0"/>
  </r>
  <r>
    <s v="https://suumo.jp/chintai/jnc_000073669472/?bc=100472041095"/>
    <s v="アーバンプレイス哲学堂III（サン）"/>
    <s v="東京都中野区江古田１"/>
    <n v="44000"/>
    <n v="3000"/>
    <m/>
    <m/>
    <n v="1"/>
    <x v="0"/>
    <n v="12"/>
    <n v="15"/>
    <x v="0"/>
    <s v="新江古田駅"/>
    <n v="9"/>
    <n v="12.33"/>
    <n v="133636.04999999999"/>
    <n v="77692.34"/>
    <n v="147"/>
    <n v="1071"/>
    <s v="10-20"/>
    <x v="7"/>
  </r>
  <r>
    <s v="https://suumo.jp/chintai/jnc_000089283802/?bc=100484538803"/>
    <s v="アーバンプレイス哲学堂III（サン）"/>
    <s v="東京都中野区江古田１"/>
    <n v="52000"/>
    <n v="3000"/>
    <m/>
    <m/>
    <n v="2"/>
    <x v="0"/>
    <n v="12"/>
    <n v="15"/>
    <x v="0"/>
    <s v="新江古田駅"/>
    <n v="9"/>
    <n v="12.33"/>
    <n v="133636.04999999999"/>
    <n v="77692.34"/>
    <n v="147"/>
    <n v="1071"/>
    <s v="10-20"/>
    <x v="7"/>
  </r>
  <r>
    <s v="https://suumo.jp/chintai/jnc_000089214188/?bc=100413913113"/>
    <s v="エステートハイツ"/>
    <s v="東京都中野区江古田１"/>
    <n v="48000"/>
    <n v="2000"/>
    <n v="48000"/>
    <m/>
    <n v="1"/>
    <x v="0"/>
    <n v="14"/>
    <n v="36"/>
    <x v="0"/>
    <s v="新江古田駅"/>
    <n v="13"/>
    <n v="14"/>
    <n v="133636.04999999999"/>
    <n v="77692.34"/>
    <n v="147"/>
    <n v="1071"/>
    <s v="10-20"/>
    <x v="4"/>
  </r>
  <r>
    <s v="https://suumo.jp/chintai/jnc_000097455834/?bc=100444207972"/>
    <s v="エミグラント南長崎"/>
    <s v="東京都豊島区南長崎６"/>
    <n v="47000"/>
    <n v="10000"/>
    <n v="47000"/>
    <n v="47000"/>
    <n v="4"/>
    <x v="0"/>
    <n v="14.24"/>
    <n v="37"/>
    <x v="5"/>
    <s v="新江古田駅"/>
    <n v="11"/>
    <n v="12"/>
    <n v="133636.04999999999"/>
    <n v="77692.34"/>
    <n v="147"/>
    <n v="1071"/>
    <s v="10-20"/>
    <x v="4"/>
  </r>
  <r>
    <s v="https://suumo.jp/chintai/jnc_000102616865/?bc=100482406609"/>
    <s v="コーポ寿"/>
    <s v="東京都中野区江古田１"/>
    <n v="61000"/>
    <n v="2000"/>
    <n v="61000"/>
    <m/>
    <n v="2"/>
    <x v="0"/>
    <n v="17"/>
    <n v="22"/>
    <x v="0"/>
    <s v="新江古田駅"/>
    <n v="15"/>
    <n v="16.329999999999998"/>
    <n v="133636.04999999999"/>
    <n v="77692.34"/>
    <n v="147"/>
    <n v="1071"/>
    <s v="10-20"/>
    <x v="1"/>
  </r>
  <r>
    <s v="https://suumo.jp/chintai/jnc_000104310657/?bc=100484750305"/>
    <s v="スタイルレジデンス新江古田"/>
    <s v="東京都中野区江古田１"/>
    <n v="75000"/>
    <n v="8000"/>
    <m/>
    <m/>
    <n v="1"/>
    <x v="0"/>
    <n v="19.28"/>
    <n v="6"/>
    <x v="0"/>
    <s v="新江古田駅"/>
    <n v="11"/>
    <n v="13.33"/>
    <n v="133636.04999999999"/>
    <n v="77692.34"/>
    <n v="147"/>
    <n v="1071"/>
    <s v="10-20"/>
    <x v="0"/>
  </r>
  <r>
    <s v="https://suumo.jp/chintai/jnc_000104357196/?bc=100485362407"/>
    <s v="ハーモニーテラス江原町"/>
    <s v="東京都中野区江原町１"/>
    <n v="66000"/>
    <n v="4000"/>
    <m/>
    <n v="66000"/>
    <n v="2"/>
    <x v="0"/>
    <n v="11.63"/>
    <n v="9"/>
    <x v="0"/>
    <s v="新江古田駅"/>
    <n v="8"/>
    <n v="14"/>
    <n v="133636.04999999999"/>
    <n v="77692.34"/>
    <n v="147"/>
    <n v="1071"/>
    <s v="10-20"/>
    <x v="0"/>
  </r>
  <r>
    <s v="https://suumo.jp/chintai/jnc_000103338526/?bc=100485511427"/>
    <s v="ハーモニーテラス江原町II"/>
    <s v="東京都中野区江原町１"/>
    <n v="70000"/>
    <n v="3500"/>
    <n v="70000"/>
    <n v="70000"/>
    <n v="1"/>
    <x v="0"/>
    <n v="11.86"/>
    <n v="6"/>
    <x v="0"/>
    <s v="新江古田駅"/>
    <n v="8"/>
    <n v="11.33"/>
    <n v="133636.04999999999"/>
    <n v="77692.34"/>
    <n v="147"/>
    <n v="1071"/>
    <s v="10-20"/>
    <x v="0"/>
  </r>
  <r>
    <s v="https://suumo.jp/chintai/jnc_000104163304/?bc=100484312090"/>
    <s v="ハーモニーテラス江原町II"/>
    <s v="東京都中野区江原町１"/>
    <n v="74000"/>
    <n v="3500"/>
    <n v="74000"/>
    <n v="74000"/>
    <n v="2"/>
    <x v="0"/>
    <n v="11"/>
    <n v="6"/>
    <x v="0"/>
    <s v="新江古田駅"/>
    <n v="8"/>
    <n v="11.33"/>
    <n v="133636.04999999999"/>
    <n v="77692.34"/>
    <n v="147"/>
    <n v="1071"/>
    <s v="10-20"/>
    <x v="0"/>
  </r>
  <r>
    <s v="https://suumo.jp/chintai/jnc_000048920787/?bc=100485186875"/>
    <s v="ライフピアバイオレット"/>
    <s v="東京都中野区江古田２"/>
    <n v="48000"/>
    <n v="3000"/>
    <m/>
    <m/>
    <n v="2"/>
    <x v="0"/>
    <n v="9.07"/>
    <n v="19"/>
    <x v="0"/>
    <s v="新江古田駅"/>
    <n v="13"/>
    <n v="15.33"/>
    <n v="133636.04999999999"/>
    <n v="77692.34"/>
    <n v="147"/>
    <n v="1071"/>
    <s v="&lt;10"/>
    <x v="7"/>
  </r>
  <r>
    <s v="https://suumo.jp/chintai/jnc_000103717510/?bc=100466359331"/>
    <s v="リバティヒルズ中野江原"/>
    <s v="東京都中野区江原町１"/>
    <n v="58000"/>
    <n v="9000"/>
    <n v="58000"/>
    <m/>
    <n v="4"/>
    <x v="0"/>
    <n v="17.809999999999999"/>
    <n v="35"/>
    <x v="10"/>
    <s v="新江古田駅"/>
    <n v="7"/>
    <n v="9.67"/>
    <n v="133636.04999999999"/>
    <n v="77692.34"/>
    <n v="147"/>
    <n v="1071"/>
    <s v="10-20"/>
    <x v="4"/>
  </r>
  <r>
    <s v="https://suumo.jp/chintai/jnc_000104335098/?bc=100484814821"/>
    <s v="リバティヒルズ中野江原"/>
    <s v="東京都中野区江原町１"/>
    <n v="58000"/>
    <n v="10000"/>
    <m/>
    <m/>
    <n v="7"/>
    <x v="0"/>
    <n v="17.809999999999999"/>
    <n v="35"/>
    <x v="10"/>
    <s v="新江古田駅"/>
    <n v="7"/>
    <n v="9.67"/>
    <n v="133636.04999999999"/>
    <n v="77692.34"/>
    <n v="147"/>
    <n v="1071"/>
    <s v="10-20"/>
    <x v="4"/>
  </r>
  <r>
    <s v="https://suumo.jp/chintai/jnc_000104412206/?bc=100485670522"/>
    <s v="レオネクスト江原"/>
    <s v="東京都中野区江原町３"/>
    <n v="106000"/>
    <n v="5500"/>
    <m/>
    <n v="106000"/>
    <n v="2"/>
    <x v="0"/>
    <n v="26.84"/>
    <n v="13"/>
    <x v="2"/>
    <s v="新江古田駅"/>
    <n v="10"/>
    <n v="11.67"/>
    <n v="133636.04999999999"/>
    <n v="77692.34"/>
    <n v="147"/>
    <n v="1071"/>
    <s v="20-30"/>
    <x v="7"/>
  </r>
  <r>
    <s v="https://suumo.jp/chintai/jnc_000103735160/?bc=100481680777"/>
    <s v="西武池袋線 東長崎駅 7階建 築35年"/>
    <s v="東京都中野区江原町１"/>
    <n v="58000"/>
    <n v="9000"/>
    <n v="58000"/>
    <n v="58000"/>
    <n v="4"/>
    <x v="0"/>
    <n v="17.809999999999999"/>
    <n v="35"/>
    <x v="10"/>
    <s v="新江古田駅"/>
    <n v="7"/>
    <n v="9.67"/>
    <n v="133636.04999999999"/>
    <n v="77692.34"/>
    <n v="147"/>
    <n v="1071"/>
    <s v="10-20"/>
    <x v="4"/>
  </r>
  <r>
    <s v="https://suumo.jp/chintai/jnc_000103038495/?bc=100474417853"/>
    <s v="都営大江戸線 新江古田駅 2階建 築19年"/>
    <s v="東京都中野区江古田２"/>
    <n v="48000"/>
    <n v="3000"/>
    <m/>
    <m/>
    <n v="2"/>
    <x v="0"/>
    <n v="9.07"/>
    <n v="19"/>
    <x v="0"/>
    <s v="新江古田駅"/>
    <n v="13"/>
    <n v="15.33"/>
    <n v="133636.04999999999"/>
    <n v="77692.34"/>
    <n v="147"/>
    <n v="1071"/>
    <s v="&lt;10"/>
    <x v="7"/>
  </r>
  <r>
    <s v="https://suumo.jp/chintai/jnc_000102296278/?bc=100468111975"/>
    <s v="都営大江戸線 新江古田駅 2階建 築33年"/>
    <s v="東京都中野区江古田１"/>
    <n v="61000"/>
    <n v="2000"/>
    <n v="61000"/>
    <m/>
    <n v="2"/>
    <x v="0"/>
    <n v="17"/>
    <n v="33"/>
    <x v="0"/>
    <s v="新江古田駅"/>
    <n v="12"/>
    <n v="14"/>
    <n v="133636.04999999999"/>
    <n v="77692.34"/>
    <n v="147"/>
    <n v="1071"/>
    <s v="10-20"/>
    <x v="4"/>
  </r>
  <r>
    <s v="https://suumo.jp/chintai/jnc_000090187656/?bc=100472231266"/>
    <s v="都営大江戸線 新江古田駅 2階建 築36年"/>
    <s v="東京都中野区江古田１"/>
    <n v="48000"/>
    <n v="2000"/>
    <n v="48000"/>
    <m/>
    <n v="1"/>
    <x v="0"/>
    <n v="14"/>
    <n v="36"/>
    <x v="0"/>
    <s v="新江古田駅"/>
    <n v="13"/>
    <n v="14"/>
    <n v="133636.04999999999"/>
    <n v="77692.34"/>
    <n v="147"/>
    <n v="1071"/>
    <s v="10-20"/>
    <x v="4"/>
  </r>
  <r>
    <s v="https://suumo.jp/chintai/jnc_000103352974/?bc=100477400948"/>
    <s v="都営大江戸線 新江古田駅 2階建 築5年"/>
    <s v="東京都中野区江原町１"/>
    <n v="70000"/>
    <n v="3500"/>
    <n v="70000"/>
    <n v="70000"/>
    <n v="1"/>
    <x v="0"/>
    <n v="11.86"/>
    <n v="5"/>
    <x v="0"/>
    <s v="新江古田駅"/>
    <n v="8"/>
    <n v="11"/>
    <n v="133636.04999999999"/>
    <n v="77692.34"/>
    <n v="147"/>
    <n v="1071"/>
    <s v="10-20"/>
    <x v="0"/>
  </r>
  <r>
    <s v="https://suumo.jp/chintai/jnc_000104222968/?bc=100483961130"/>
    <s v="都営大江戸線 新江古田駅 2階建 築5年"/>
    <s v="東京都中野区江原町１"/>
    <n v="74000"/>
    <n v="3500"/>
    <m/>
    <n v="74000"/>
    <n v="2"/>
    <x v="0"/>
    <n v="11"/>
    <n v="5"/>
    <x v="0"/>
    <s v="新江古田駅"/>
    <n v="8"/>
    <n v="11"/>
    <n v="133636.04999999999"/>
    <n v="77692.34"/>
    <n v="147"/>
    <n v="1071"/>
    <s v="10-20"/>
    <x v="0"/>
  </r>
  <r>
    <s v="https://suumo.jp/chintai/jnc_000103285854/?bc=100476375444"/>
    <s v="アクレール江古田"/>
    <s v="東京都中野区江古田１"/>
    <n v="98000"/>
    <n v="6000"/>
    <m/>
    <n v="98000"/>
    <n v="2"/>
    <x v="6"/>
    <n v="38.200000000000003"/>
    <n v="34"/>
    <x v="0"/>
    <s v="新江古田駅"/>
    <n v="12"/>
    <n v="13.33"/>
    <n v="133636.04999999999"/>
    <n v="141491.45000000001"/>
    <n v="147"/>
    <n v="117"/>
    <s v="30-40"/>
    <x v="4"/>
  </r>
  <r>
    <s v="https://suumo.jp/chintai/jnc_000104459177/?bc=100486401487"/>
    <s v="エフィール中野"/>
    <s v="東京都中野区江古田２"/>
    <n v="90000"/>
    <n v="10000"/>
    <m/>
    <n v="90000"/>
    <n v="3"/>
    <x v="6"/>
    <n v="31.2"/>
    <n v="37"/>
    <x v="4"/>
    <s v="新江古田駅"/>
    <n v="10"/>
    <n v="14.33"/>
    <n v="133636.04999999999"/>
    <n v="141491.45000000001"/>
    <n v="147"/>
    <n v="117"/>
    <s v="30-40"/>
    <x v="4"/>
  </r>
  <r>
    <s v="https://suumo.jp/chintai/jnc_000103594125/?bc=100478766049"/>
    <s v="クレール中野（江原町）"/>
    <s v="東京都中野区江原町１"/>
    <n v="110000"/>
    <n v="3000"/>
    <n v="110000"/>
    <n v="110000"/>
    <n v="1"/>
    <x v="6"/>
    <n v="45"/>
    <n v="33"/>
    <x v="2"/>
    <s v="新江古田駅"/>
    <n v="10"/>
    <n v="14.33"/>
    <n v="133636.04999999999"/>
    <n v="141491.45000000001"/>
    <n v="147"/>
    <n v="117"/>
    <s v="40-50"/>
    <x v="4"/>
  </r>
  <r>
    <s v="https://suumo.jp/chintai/jnc_000102192302/?bc=100479895744"/>
    <s v="シャトーカネヨ江原"/>
    <s v="東京都中野区江原町１"/>
    <n v="85000"/>
    <n v="5000"/>
    <n v="85000"/>
    <n v="85000"/>
    <n v="2"/>
    <x v="6"/>
    <n v="32.81"/>
    <n v="52"/>
    <x v="2"/>
    <s v="新江古田駅"/>
    <n v="8"/>
    <n v="10.33"/>
    <n v="133636.04999999999"/>
    <n v="141491.45000000001"/>
    <n v="147"/>
    <n v="117"/>
    <s v="30-40"/>
    <x v="5"/>
  </r>
  <r>
    <s v="https://suumo.jp/chintai/jnc_000100337273/?bc=100454978562"/>
    <s v="都営大江戸線 新江古田駅 3階建 築39年"/>
    <s v="東京都中野区江原町３"/>
    <n v="90000"/>
    <m/>
    <n v="90000"/>
    <n v="90000"/>
    <n v="1"/>
    <x v="6"/>
    <n v="40"/>
    <n v="39"/>
    <x v="2"/>
    <s v="新江古田駅"/>
    <n v="3"/>
    <n v="9.67"/>
    <n v="133636.04999999999"/>
    <n v="141491.45000000001"/>
    <n v="147"/>
    <n v="117"/>
    <s v="40-50"/>
    <x v="4"/>
  </r>
  <r>
    <s v="https://suumo.jp/chintai/jnc_000100665017/?bc=100459902696"/>
    <s v="シャトーカネヨ江原"/>
    <s v="東京都中野区江原町１"/>
    <n v="82000"/>
    <n v="5000"/>
    <n v="82000"/>
    <n v="82000"/>
    <n v="2"/>
    <x v="7"/>
    <n v="32.03"/>
    <n v="52"/>
    <x v="2"/>
    <s v="新江古田駅"/>
    <n v="8"/>
    <n v="10.33"/>
    <n v="133636.04999999999"/>
    <n v="117441.44"/>
    <n v="147"/>
    <n v="111"/>
    <s v="30-40"/>
    <x v="5"/>
  </r>
  <r>
    <s v="https://suumo.jp/chintai/jnc_000104091964/?bc=100484851787"/>
    <s v="シャトーカネヨ江原"/>
    <s v="東京都中野区江原町１"/>
    <n v="88000"/>
    <n v="5000"/>
    <n v="88000"/>
    <n v="88000"/>
    <n v="2"/>
    <x v="7"/>
    <n v="32.03"/>
    <n v="52"/>
    <x v="2"/>
    <s v="新江古田駅"/>
    <n v="8"/>
    <n v="10.33"/>
    <n v="133636.04999999999"/>
    <n v="117441.44"/>
    <n v="147"/>
    <n v="111"/>
    <s v="30-40"/>
    <x v="5"/>
  </r>
  <r>
    <s v="https://suumo.jp/chintai/jnc_000103032315/?bc=100474346154"/>
    <s v="都営大江戸線 落合南長崎駅 3階建 築56年"/>
    <s v="東京都中野区江古田１"/>
    <n v="73000"/>
    <n v="2000"/>
    <n v="73000"/>
    <n v="73000"/>
    <n v="2"/>
    <x v="7"/>
    <n v="29.7"/>
    <n v="56"/>
    <x v="2"/>
    <s v="新江古田駅"/>
    <n v="13"/>
    <n v="14"/>
    <n v="133636.04999999999"/>
    <n v="117441.44"/>
    <n v="147"/>
    <n v="111"/>
    <s v="20-30"/>
    <x v="5"/>
  </r>
  <r>
    <s v="https://suumo.jp/chintai/jnc_000103144282/?bc=100475245827"/>
    <s v="鈴木マンション"/>
    <s v="東京都中野区江古田１"/>
    <n v="73000"/>
    <n v="2000"/>
    <n v="73000"/>
    <n v="73000"/>
    <n v="2"/>
    <x v="7"/>
    <n v="29.7"/>
    <n v="57"/>
    <x v="2"/>
    <s v="新江古田駅"/>
    <n v="12"/>
    <n v="13"/>
    <n v="133636.04999999999"/>
    <n v="117441.44"/>
    <n v="147"/>
    <n v="111"/>
    <s v="20-30"/>
    <x v="5"/>
  </r>
  <r>
    <s v="https://suumo.jp/chintai/jnc_000101369447/?bc=100458901384"/>
    <s v="サンライズ中野江原町"/>
    <s v="東京都中野区江原町１"/>
    <n v="188000"/>
    <n v="5000"/>
    <n v="188000"/>
    <n v="188000"/>
    <n v="2"/>
    <x v="8"/>
    <n v="48.74"/>
    <n v="0"/>
    <x v="2"/>
    <s v="新江古田駅"/>
    <n v="11"/>
    <n v="12.33"/>
    <n v="133636.04999999999"/>
    <n v="232352.65"/>
    <n v="147"/>
    <n v="359"/>
    <s v="40-50"/>
    <x v="6"/>
  </r>
  <r>
    <s v="https://suumo.jp/chintai/jnc_000098284483/?bc=100472404575"/>
    <s v="吉田テラスハウス"/>
    <s v="東京都中野区江古田１"/>
    <n v="230000"/>
    <m/>
    <n v="230000"/>
    <n v="230000"/>
    <n v="1"/>
    <x v="8"/>
    <n v="82.8"/>
    <n v="39"/>
    <x v="0"/>
    <s v="新江古田駅"/>
    <n v="12"/>
    <n v="15.33"/>
    <n v="133636.04999999999"/>
    <n v="232352.65"/>
    <n v="147"/>
    <n v="359"/>
    <s v="80-90"/>
    <x v="4"/>
  </r>
  <r>
    <s v="https://suumo.jp/chintai/jnc_000098284483/?bc=100472404575"/>
    <s v="吉田テラスハウス"/>
    <s v="東京都中野区江古田１"/>
    <n v="230000"/>
    <m/>
    <n v="230000"/>
    <n v="230000"/>
    <n v="2"/>
    <x v="8"/>
    <n v="82.8"/>
    <n v="39"/>
    <x v="0"/>
    <s v="新江古田駅"/>
    <n v="12"/>
    <n v="15.33"/>
    <n v="133636.04999999999"/>
    <n v="232352.65"/>
    <n v="147"/>
    <n v="359"/>
    <s v="80-90"/>
    <x v="4"/>
  </r>
  <r>
    <s v="https://suumo.jp/chintai/jnc_000103057581/?bc=100474579759"/>
    <s v="吉田テラスハウス"/>
    <s v="東京都中野区江古田１"/>
    <n v="230000"/>
    <m/>
    <n v="230000"/>
    <n v="230000"/>
    <n v="1"/>
    <x v="8"/>
    <n v="82.8"/>
    <n v="39"/>
    <x v="0"/>
    <s v="新江古田駅"/>
    <n v="12"/>
    <n v="14.33"/>
    <n v="133636.04999999999"/>
    <n v="232352.65"/>
    <n v="147"/>
    <n v="359"/>
    <s v="80-90"/>
    <x v="4"/>
  </r>
  <r>
    <s v="https://suumo.jp/chintai/jnc_000101625259/?bc=100470566616"/>
    <s v="都営大江戸線 新江古田駅 3階建 新築"/>
    <s v="東京都中野区江古田１"/>
    <n v="180000"/>
    <n v="4400"/>
    <m/>
    <n v="360000"/>
    <n v="1"/>
    <x v="8"/>
    <n v="52.82"/>
    <n v="0"/>
    <x v="2"/>
    <s v="新江古田駅"/>
    <n v="11"/>
    <n v="13.67"/>
    <n v="133636.04999999999"/>
    <n v="232352.65"/>
    <n v="147"/>
    <n v="359"/>
    <s v="50-60"/>
    <x v="6"/>
  </r>
  <r>
    <s v="https://suumo.jp/chintai/jnc_000104357199/?bc=100484944463"/>
    <s v="都営大江戸線 新江古田駅 3階建 新築"/>
    <s v="東京都中野区江原町１"/>
    <n v="223000"/>
    <n v="9000"/>
    <n v="111500"/>
    <m/>
    <n v="1"/>
    <x v="8"/>
    <n v="61.19"/>
    <n v="0"/>
    <x v="2"/>
    <s v="新江古田駅"/>
    <n v="9"/>
    <n v="11"/>
    <n v="133636.04999999999"/>
    <n v="232352.65"/>
    <n v="147"/>
    <n v="359"/>
    <s v="60-70"/>
    <x v="6"/>
  </r>
  <r>
    <s v="https://suumo.jp/chintai/jnc_000101396447/?bc=100469773378"/>
    <s v="都営大江戸線 新江古田駅 3階建 新築"/>
    <s v="東京都中野区江原町１"/>
    <n v="188000"/>
    <n v="5000"/>
    <n v="188000"/>
    <n v="188000"/>
    <n v="2"/>
    <x v="8"/>
    <n v="48.74"/>
    <n v="0"/>
    <x v="2"/>
    <s v="新江古田駅"/>
    <n v="11"/>
    <n v="12.33"/>
    <n v="133636.04999999999"/>
    <n v="232352.65"/>
    <n v="147"/>
    <n v="359"/>
    <s v="40-50"/>
    <x v="6"/>
  </r>
  <r>
    <s v="https://suumo.jp/chintai/jnc_000101625262/?bc=100470570577"/>
    <s v="都営大江戸線 新江古田駅 3階建 新築"/>
    <s v="東京都中野区江古田１"/>
    <n v="183000"/>
    <n v="4400"/>
    <m/>
    <n v="366000"/>
    <n v="2"/>
    <x v="8"/>
    <n v="52.82"/>
    <n v="0"/>
    <x v="2"/>
    <s v="新江古田駅"/>
    <n v="11"/>
    <n v="13.67"/>
    <n v="133636.04999999999"/>
    <n v="232352.65"/>
    <n v="147"/>
    <n v="359"/>
    <s v="50-60"/>
    <x v="6"/>
  </r>
  <r>
    <s v="https://suumo.jp/chintai/jnc_000101625265/?bc=100470570585"/>
    <s v="都営大江戸線 新江古田駅 3階建 新築"/>
    <s v="東京都中野区江古田１"/>
    <n v="184000"/>
    <n v="4400"/>
    <m/>
    <n v="368000"/>
    <n v="3"/>
    <x v="8"/>
    <n v="52.82"/>
    <n v="0"/>
    <x v="2"/>
    <s v="新江古田駅"/>
    <n v="11"/>
    <n v="13.67"/>
    <n v="133636.04999999999"/>
    <n v="232352.65"/>
    <n v="147"/>
    <n v="359"/>
    <s v="50-60"/>
    <x v="6"/>
  </r>
  <r>
    <s v="https://suumo.jp/chintai/jnc_000104286379/?bc=100484951829"/>
    <s v="Ｅｌｙｓｅｅｅｋｏｄａ"/>
    <s v="東京都中野区江原町１"/>
    <n v="223000"/>
    <n v="9000"/>
    <n v="111500"/>
    <m/>
    <n v="1"/>
    <x v="8"/>
    <n v="61.19"/>
    <n v="1"/>
    <x v="2"/>
    <s v="新江古田駅"/>
    <n v="9"/>
    <n v="11"/>
    <n v="133636.04999999999"/>
    <n v="232352.65"/>
    <n v="147"/>
    <n v="359"/>
    <s v="60-70"/>
    <x v="0"/>
  </r>
  <r>
    <s v="https://suumo.jp/chintai/jnc_000101487456/?bc=100471202712"/>
    <s v="Ｐｒｅｔｔｙ　Ｆｏｒｅｓｔ"/>
    <s v="東京都中野区江古田１"/>
    <n v="183000"/>
    <n v="4400"/>
    <m/>
    <n v="366000"/>
    <n v="2"/>
    <x v="8"/>
    <n v="52.82"/>
    <n v="0"/>
    <x v="2"/>
    <s v="新江古田駅"/>
    <n v="11"/>
    <n v="13.67"/>
    <n v="133636.04999999999"/>
    <n v="232352.65"/>
    <n v="147"/>
    <n v="359"/>
    <s v="50-60"/>
    <x v="6"/>
  </r>
  <r>
    <s v="https://suumo.jp/chintai/jnc_000101487459/?bc=100460096478"/>
    <s v="Ｐｒｅｔｔｙ　Ｆｏｒｅｓｔ"/>
    <s v="東京都中野区江古田１"/>
    <n v="184000"/>
    <n v="4400"/>
    <m/>
    <n v="368000"/>
    <n v="3"/>
    <x v="8"/>
    <n v="52.82"/>
    <n v="0"/>
    <x v="2"/>
    <s v="新江古田駅"/>
    <n v="11"/>
    <n v="13.67"/>
    <n v="133636.04999999999"/>
    <n v="232352.65"/>
    <n v="147"/>
    <n v="359"/>
    <s v="50-60"/>
    <x v="6"/>
  </r>
  <r>
    <s v="https://suumo.jp/chintai/jnc_000063352315/?bc=100480651366"/>
    <s v="シャトーカネヨ江原"/>
    <s v="東京都中野区江原町１"/>
    <n v="145000"/>
    <n v="5000"/>
    <n v="145000"/>
    <n v="145000"/>
    <n v="1"/>
    <x v="13"/>
    <n v="64.8"/>
    <n v="52"/>
    <x v="2"/>
    <s v="新江古田駅"/>
    <n v="8"/>
    <n v="10.33"/>
    <n v="133636.04999999999"/>
    <n v="288705.81"/>
    <n v="147"/>
    <n v="155"/>
    <s v="60-70"/>
    <x v="5"/>
  </r>
  <r>
    <s v="https://suumo.jp/chintai/jnc_000103099954/?bc=100483859962"/>
    <s v="Brillia東中野StationFront"/>
    <s v="東京都中野区東中野２"/>
    <n v="158000"/>
    <m/>
    <n v="158000"/>
    <n v="158000"/>
    <n v="6"/>
    <x v="1"/>
    <n v="30.73"/>
    <n v="8"/>
    <x v="12"/>
    <s v="東中野駅"/>
    <n v="2"/>
    <n v="8"/>
    <n v="144436.73000000001"/>
    <n v="123325.96"/>
    <n v="648"/>
    <n v="339"/>
    <s v="30-40"/>
    <x v="0"/>
  </r>
  <r>
    <s v="https://suumo.jp/chintai/jnc_000103006527/?bc=100484083309"/>
    <s v="THE PREMIUM CUBE G 東中野"/>
    <s v="東京都中野区東中野５"/>
    <n v="140000"/>
    <n v="15000"/>
    <n v="140000"/>
    <n v="140000"/>
    <n v="2"/>
    <x v="1"/>
    <n v="25.98"/>
    <n v="3"/>
    <x v="7"/>
    <s v="東中野駅"/>
    <n v="7"/>
    <n v="9"/>
    <n v="144436.73000000001"/>
    <n v="123325.96"/>
    <n v="648"/>
    <n v="339"/>
    <s v="20-30"/>
    <x v="0"/>
  </r>
  <r>
    <s v="https://suumo.jp/chintai/jnc_000103987643/?bc=100480867533"/>
    <s v="THE PREMIUM CUBE G 東中野"/>
    <s v="東京都中野区東中野５"/>
    <n v="139500"/>
    <n v="15000"/>
    <m/>
    <n v="139500"/>
    <n v="2"/>
    <x v="1"/>
    <n v="26.32"/>
    <n v="3"/>
    <x v="7"/>
    <s v="東中野駅"/>
    <n v="7"/>
    <n v="9"/>
    <n v="144436.73000000001"/>
    <n v="123325.96"/>
    <n v="648"/>
    <n v="339"/>
    <s v="20-30"/>
    <x v="0"/>
  </r>
  <r>
    <s v="https://suumo.jp/chintai/jnc_000100822020/?bc=100484246876"/>
    <s v="THE PREMIUM CUBE G 東中野"/>
    <s v="東京都中野区東中野５"/>
    <n v="140000"/>
    <n v="15000"/>
    <n v="140000"/>
    <n v="140000"/>
    <n v="2"/>
    <x v="1"/>
    <n v="27.91"/>
    <n v="3"/>
    <x v="7"/>
    <s v="東中野駅"/>
    <n v="7"/>
    <n v="9"/>
    <n v="144436.73000000001"/>
    <n v="123325.96"/>
    <n v="648"/>
    <n v="339"/>
    <s v="20-30"/>
    <x v="0"/>
  </r>
  <r>
    <s v="https://suumo.jp/chintai/jnc_000103611163/?bc=100479092749"/>
    <s v="THE PREMIUM CUBE G 東中野"/>
    <s v="東京都中野区東中野５"/>
    <n v="140500"/>
    <n v="15000"/>
    <n v="140500"/>
    <n v="140500"/>
    <n v="3"/>
    <x v="1"/>
    <n v="26.32"/>
    <n v="3"/>
    <x v="7"/>
    <s v="東中野駅"/>
    <n v="7"/>
    <n v="9"/>
    <n v="144436.73000000001"/>
    <n v="123325.96"/>
    <n v="648"/>
    <n v="339"/>
    <s v="20-30"/>
    <x v="0"/>
  </r>
  <r>
    <s v="https://suumo.jp/chintai/jnc_000103144317/?bc=100481520516"/>
    <s v="THE PREMIUM CUBE G 東中野"/>
    <s v="東京都中野区東中野５"/>
    <n v="141500"/>
    <n v="15000"/>
    <n v="141500"/>
    <n v="141500"/>
    <n v="5"/>
    <x v="1"/>
    <n v="26.32"/>
    <n v="3"/>
    <x v="7"/>
    <s v="東中野駅"/>
    <n v="7"/>
    <n v="9"/>
    <n v="144436.73000000001"/>
    <n v="123325.96"/>
    <n v="648"/>
    <n v="339"/>
    <s v="20-30"/>
    <x v="0"/>
  </r>
  <r>
    <s v="https://suumo.jp/chintai/jnc_000103938123/?bc=100482833200"/>
    <s v="グランカーサ東中野"/>
    <s v="東京都中野区東中野１"/>
    <n v="140000"/>
    <n v="10000"/>
    <m/>
    <m/>
    <n v="2"/>
    <x v="1"/>
    <n v="25.64"/>
    <n v="3"/>
    <x v="3"/>
    <s v="東中野駅"/>
    <n v="3"/>
    <n v="9.67"/>
    <n v="144436.73000000001"/>
    <n v="123325.96"/>
    <n v="648"/>
    <n v="339"/>
    <s v="20-30"/>
    <x v="0"/>
  </r>
  <r>
    <s v="https://suumo.jp/chintai/jnc_000103938124/?bc=100481984239"/>
    <s v="グランカーサ東中野"/>
    <s v="東京都中野区東中野１"/>
    <n v="143000"/>
    <n v="10000"/>
    <m/>
    <m/>
    <n v="6"/>
    <x v="1"/>
    <n v="25.64"/>
    <n v="3"/>
    <x v="3"/>
    <s v="東中野駅"/>
    <n v="3"/>
    <n v="9.67"/>
    <n v="144436.73000000001"/>
    <n v="123325.96"/>
    <n v="648"/>
    <n v="339"/>
    <s v="20-30"/>
    <x v="0"/>
  </r>
  <r>
    <s v="https://suumo.jp/chintai/jnc_000104387404/?bc=100486285115"/>
    <s v="グランヴァン東中野II"/>
    <s v="東京都新宿区北新宿４"/>
    <n v="144000"/>
    <n v="20000"/>
    <m/>
    <n v="144000"/>
    <n v="5"/>
    <x v="1"/>
    <n v="47.13"/>
    <n v="24"/>
    <x v="9"/>
    <s v="東中野駅"/>
    <n v="7"/>
    <n v="8"/>
    <n v="144436.73000000001"/>
    <n v="123325.96"/>
    <n v="648"/>
    <n v="339"/>
    <s v="40-50"/>
    <x v="1"/>
  </r>
  <r>
    <s v="https://suumo.jp/chintai/jnc_000104416509/?bc=100485510105"/>
    <s v="グランヴァン東中野III"/>
    <s v="東京都新宿区北新宿４"/>
    <n v="144000"/>
    <n v="20000"/>
    <m/>
    <n v="144000"/>
    <n v="5"/>
    <x v="1"/>
    <n v="47.13"/>
    <n v="22"/>
    <x v="6"/>
    <s v="東中野駅"/>
    <n v="7"/>
    <n v="10"/>
    <n v="144436.73000000001"/>
    <n v="123325.96"/>
    <n v="648"/>
    <n v="339"/>
    <s v="40-50"/>
    <x v="1"/>
  </r>
  <r>
    <s v="https://suumo.jp/chintai/jnc_000101605821/?bc=100481785482"/>
    <s v="グリーングラス北新宿"/>
    <s v="東京都新宿区北新宿３"/>
    <n v="107000"/>
    <n v="3000"/>
    <n v="107000"/>
    <m/>
    <n v="1"/>
    <x v="1"/>
    <n v="32.409999999999997"/>
    <n v="18"/>
    <x v="0"/>
    <s v="東中野駅"/>
    <n v="7"/>
    <n v="10.33"/>
    <n v="144436.73000000001"/>
    <n v="123325.96"/>
    <n v="648"/>
    <n v="339"/>
    <s v="30-40"/>
    <x v="7"/>
  </r>
  <r>
    <s v="https://suumo.jp/chintai/jnc_000101319455/?bc=100465514673"/>
    <s v="コンフォリア・リヴ北新宿"/>
    <s v="東京都新宿区北新宿４"/>
    <n v="158000"/>
    <n v="10000"/>
    <n v="158000"/>
    <m/>
    <n v="10"/>
    <x v="1"/>
    <n v="25.1"/>
    <n v="2"/>
    <x v="13"/>
    <s v="東中野駅"/>
    <n v="9"/>
    <n v="12.33"/>
    <n v="144436.73000000001"/>
    <n v="123325.96"/>
    <n v="648"/>
    <n v="339"/>
    <s v="20-30"/>
    <x v="0"/>
  </r>
  <r>
    <s v="https://suumo.jp/chintai/jnc_000102361074/?bc=100465712404"/>
    <s v="コンフォリア・リヴ北新宿"/>
    <s v="東京都新宿区北新宿４"/>
    <n v="146000"/>
    <n v="10000"/>
    <n v="146000"/>
    <m/>
    <n v="2"/>
    <x v="1"/>
    <n v="25.1"/>
    <n v="2"/>
    <x v="13"/>
    <s v="東中野駅"/>
    <n v="9"/>
    <n v="12.33"/>
    <n v="144436.73000000001"/>
    <n v="123325.96"/>
    <n v="648"/>
    <n v="339"/>
    <s v="20-30"/>
    <x v="0"/>
  </r>
  <r>
    <s v="https://suumo.jp/chintai/jnc_000102361080/?bc=100462436855"/>
    <s v="コンフォリア・リヴ北新宿"/>
    <s v="東京都新宿区北新宿４"/>
    <n v="151000"/>
    <n v="10000"/>
    <n v="151000"/>
    <m/>
    <n v="6"/>
    <x v="1"/>
    <n v="25.1"/>
    <n v="2"/>
    <x v="13"/>
    <s v="東中野駅"/>
    <n v="9"/>
    <n v="12.33"/>
    <n v="144436.73000000001"/>
    <n v="123325.96"/>
    <n v="648"/>
    <n v="339"/>
    <s v="20-30"/>
    <x v="0"/>
  </r>
  <r>
    <s v="https://suumo.jp/chintai/jnc_000102361082/?bc=100485228477"/>
    <s v="コンフォリア・リヴ北新宿"/>
    <s v="東京都新宿区北新宿４"/>
    <n v="152000"/>
    <n v="10000"/>
    <n v="152000"/>
    <m/>
    <n v="7"/>
    <x v="1"/>
    <n v="25.1"/>
    <n v="2"/>
    <x v="13"/>
    <s v="東中野駅"/>
    <n v="9"/>
    <n v="12.33"/>
    <n v="144436.73000000001"/>
    <n v="123325.96"/>
    <n v="648"/>
    <n v="339"/>
    <s v="20-30"/>
    <x v="0"/>
  </r>
  <r>
    <s v="https://suumo.jp/chintai/jnc_000103947311/?bc=100481766446"/>
    <s v="サンライズビル（住居）"/>
    <s v="東京都新宿区北新宿４"/>
    <n v="85000"/>
    <n v="5000"/>
    <m/>
    <m/>
    <n v="7"/>
    <x v="1"/>
    <n v="23.4"/>
    <n v="34"/>
    <x v="9"/>
    <s v="東中野駅"/>
    <n v="9"/>
    <n v="10.67"/>
    <n v="144436.73000000001"/>
    <n v="123325.96"/>
    <n v="648"/>
    <n v="339"/>
    <s v="20-30"/>
    <x v="4"/>
  </r>
  <r>
    <s v="https://suumo.jp/chintai/jnc_000104222993/?bc=100485252893"/>
    <s v="ザ・プレミアムキューブG東中野"/>
    <s v="東京都中野区東中野５"/>
    <n v="140000"/>
    <n v="15000"/>
    <n v="140000"/>
    <n v="140000"/>
    <n v="1"/>
    <x v="1"/>
    <n v="25.98"/>
    <n v="3"/>
    <x v="7"/>
    <s v="東中野駅"/>
    <n v="7"/>
    <n v="9.33"/>
    <n v="144436.73000000001"/>
    <n v="123325.96"/>
    <n v="648"/>
    <n v="339"/>
    <s v="20-30"/>
    <x v="0"/>
  </r>
  <r>
    <s v="https://suumo.jp/chintai/jnc_000104222997/?bc=100474351598"/>
    <s v="ザ・プレミアムキューブG東中野"/>
    <s v="東京都中野区東中野５"/>
    <n v="140000"/>
    <n v="15000"/>
    <n v="140000"/>
    <n v="140000"/>
    <n v="2"/>
    <x v="1"/>
    <n v="25.98"/>
    <n v="3"/>
    <x v="7"/>
    <s v="東中野駅"/>
    <n v="7"/>
    <n v="9.33"/>
    <n v="144436.73000000001"/>
    <n v="123325.96"/>
    <n v="648"/>
    <n v="339"/>
    <s v="20-30"/>
    <x v="0"/>
  </r>
  <r>
    <s v="https://suumo.jp/chintai/jnc_000104222998/?bc=100479747293"/>
    <s v="ザ・プレミアムキューブG東中野"/>
    <s v="東京都中野区東中野５"/>
    <n v="139500"/>
    <n v="15000"/>
    <m/>
    <n v="139500"/>
    <n v="2"/>
    <x v="1"/>
    <n v="26.32"/>
    <n v="3"/>
    <x v="7"/>
    <s v="東中野駅"/>
    <n v="7"/>
    <n v="9.33"/>
    <n v="144436.73000000001"/>
    <n v="123325.96"/>
    <n v="648"/>
    <n v="339"/>
    <s v="20-30"/>
    <x v="0"/>
  </r>
  <r>
    <s v="https://suumo.jp/chintai/jnc_000104223005/?bc=100480867136"/>
    <s v="ザ・プレミアムキューブG東中野"/>
    <s v="東京都中野区東中野５"/>
    <n v="141500"/>
    <n v="15000"/>
    <n v="141500"/>
    <n v="141500"/>
    <n v="5"/>
    <x v="1"/>
    <n v="26.32"/>
    <n v="3"/>
    <x v="7"/>
    <s v="東中野駅"/>
    <n v="7"/>
    <n v="9.33"/>
    <n v="144436.73000000001"/>
    <n v="123325.96"/>
    <n v="648"/>
    <n v="339"/>
    <s v="20-30"/>
    <x v="0"/>
  </r>
  <r>
    <s v="https://suumo.jp/chintai/jnc_000104050100/?bc=100482505888"/>
    <s v="スタ－ハイツ"/>
    <s v="東京都中野区東中野２"/>
    <n v="67000"/>
    <m/>
    <n v="67000"/>
    <m/>
    <n v="1"/>
    <x v="1"/>
    <n v="22"/>
    <n v="37"/>
    <x v="0"/>
    <s v="東中野駅"/>
    <n v="8"/>
    <n v="11"/>
    <n v="144436.73000000001"/>
    <n v="123325.96"/>
    <n v="648"/>
    <n v="339"/>
    <s v="20-30"/>
    <x v="4"/>
  </r>
  <r>
    <s v="https://suumo.jp/chintai/jnc_000104348327/?bc=100484978207"/>
    <s v="トレス・ヴィダ"/>
    <s v="東京都中野区上高田１"/>
    <n v="102000"/>
    <n v="1000"/>
    <n v="102000"/>
    <n v="204000"/>
    <n v="1"/>
    <x v="1"/>
    <n v="37.07"/>
    <n v="26"/>
    <x v="0"/>
    <s v="東中野駅"/>
    <n v="10"/>
    <n v="11.33"/>
    <n v="144436.73000000001"/>
    <n v="123325.96"/>
    <n v="648"/>
    <n v="339"/>
    <s v="30-40"/>
    <x v="1"/>
  </r>
  <r>
    <s v="https://suumo.jp/chintai/jnc_000104373059/?bc=100485126577"/>
    <s v="ハウス上高田"/>
    <s v="東京都中野区上高田１"/>
    <n v="87000"/>
    <m/>
    <n v="87000"/>
    <n v="87000"/>
    <n v="1"/>
    <x v="1"/>
    <n v="27"/>
    <n v="25"/>
    <x v="16"/>
    <s v="東中野駅"/>
    <n v="12"/>
    <n v="13.67"/>
    <n v="144436.73000000001"/>
    <n v="123325.96"/>
    <n v="648"/>
    <n v="339"/>
    <s v="20-30"/>
    <x v="1"/>
  </r>
  <r>
    <s v="https://suumo.jp/chintai/jnc_000104097124/?bc=100483170974"/>
    <s v="パークアクシス落合東中野"/>
    <s v="東京都中野区東中野３"/>
    <n v="140000"/>
    <n v="10000"/>
    <n v="140000"/>
    <n v="168000"/>
    <n v="6"/>
    <x v="1"/>
    <n v="25.12"/>
    <n v="5"/>
    <x v="5"/>
    <s v="東中野駅"/>
    <n v="5"/>
    <n v="5.33"/>
    <n v="144436.73000000001"/>
    <n v="123325.96"/>
    <n v="648"/>
    <n v="339"/>
    <s v="20-30"/>
    <x v="0"/>
  </r>
  <r>
    <s v="https://suumo.jp/chintai/jnc_000103994790/?bc=100482117877"/>
    <s v="フジビル"/>
    <s v="東京都中野区東中野１"/>
    <n v="78000"/>
    <n v="2000"/>
    <n v="78000"/>
    <n v="78000"/>
    <n v="4"/>
    <x v="1"/>
    <n v="31.5"/>
    <n v="59"/>
    <x v="5"/>
    <s v="東中野駅"/>
    <n v="6"/>
    <n v="10.67"/>
    <n v="144436.73000000001"/>
    <n v="123325.96"/>
    <n v="648"/>
    <n v="339"/>
    <s v="30-40"/>
    <x v="5"/>
  </r>
  <r>
    <s v="https://suumo.jp/chintai/jnc_000103756804/?bc=100484721440"/>
    <s v="プライムブリス東中野駅前"/>
    <s v="東京都中野区東中野１"/>
    <n v="148000"/>
    <n v="10000"/>
    <n v="148000"/>
    <m/>
    <n v="7"/>
    <x v="1"/>
    <n v="25.47"/>
    <n v="3"/>
    <x v="3"/>
    <s v="東中野駅"/>
    <n v="1"/>
    <n v="8.67"/>
    <n v="144436.73000000001"/>
    <n v="123325.96"/>
    <n v="648"/>
    <n v="339"/>
    <s v="20-30"/>
    <x v="0"/>
  </r>
  <r>
    <s v="https://suumo.jp/chintai/jnc_000103563257/?bc=100445387187"/>
    <s v="メゾンエンゼル"/>
    <s v="東京都新宿区北新宿４"/>
    <n v="93000"/>
    <n v="3000"/>
    <n v="93000"/>
    <n v="93000"/>
    <n v="4"/>
    <x v="1"/>
    <n v="30"/>
    <n v="46"/>
    <x v="7"/>
    <s v="東中野駅"/>
    <n v="8"/>
    <n v="11.33"/>
    <n v="144436.73000000001"/>
    <n v="123325.96"/>
    <n v="648"/>
    <n v="339"/>
    <s v="30-40"/>
    <x v="3"/>
  </r>
  <r>
    <s v="https://suumo.jp/chintai/jnc_000104341764/?bc=100484747334"/>
    <s v="メディカルコート"/>
    <s v="東京都中野区東中野２"/>
    <n v="95000"/>
    <n v="5000"/>
    <n v="95000"/>
    <n v="95000"/>
    <n v="3"/>
    <x v="1"/>
    <n v="28"/>
    <n v="35"/>
    <x v="2"/>
    <s v="東中野駅"/>
    <n v="3"/>
    <n v="8.67"/>
    <n v="144436.73000000001"/>
    <n v="123325.96"/>
    <n v="648"/>
    <n v="339"/>
    <s v="20-30"/>
    <x v="4"/>
  </r>
  <r>
    <s v="https://suumo.jp/chintai/jnc_000104156796/?bc=100483855545"/>
    <s v="リバーストーン"/>
    <s v="東京都中野区東中野１"/>
    <n v="105000"/>
    <n v="5000"/>
    <n v="105000"/>
    <n v="105000"/>
    <n v="2"/>
    <x v="1"/>
    <n v="24.2"/>
    <n v="34"/>
    <x v="4"/>
    <s v="東中野駅"/>
    <n v="3"/>
    <n v="8.67"/>
    <n v="144436.73000000001"/>
    <n v="123325.96"/>
    <n v="648"/>
    <n v="339"/>
    <s v="20-30"/>
    <x v="4"/>
  </r>
  <r>
    <s v="https://suumo.jp/chintai/jnc_000104215472/?bc=100484083303"/>
    <s v="リバー・ストーン"/>
    <s v="東京都中野区東中野１"/>
    <n v="105000"/>
    <n v="5000"/>
    <n v="105000"/>
    <n v="105000"/>
    <n v="2"/>
    <x v="1"/>
    <n v="24.2"/>
    <n v="33"/>
    <x v="4"/>
    <s v="東中野駅"/>
    <n v="4"/>
    <n v="9"/>
    <n v="144436.73000000001"/>
    <n v="123325.96"/>
    <n v="648"/>
    <n v="339"/>
    <s v="20-30"/>
    <x v="4"/>
  </r>
  <r>
    <s v="https://suumo.jp/chintai/jnc_000104295025/?bc=100484822623"/>
    <s v="レジデンスアンドウ"/>
    <s v="東京都新宿区北新宿４"/>
    <n v="145000"/>
    <n v="8000"/>
    <n v="145000"/>
    <n v="145000"/>
    <n v="2"/>
    <x v="1"/>
    <n v="39"/>
    <n v="20"/>
    <x v="9"/>
    <s v="東中野駅"/>
    <n v="8"/>
    <n v="8"/>
    <n v="144436.73000000001"/>
    <n v="123325.96"/>
    <n v="648"/>
    <n v="339"/>
    <s v="30-40"/>
    <x v="7"/>
  </r>
  <r>
    <s v="https://suumo.jp/chintai/jnc_000104156765/?bc=100484912658"/>
    <s v="ワンルーフレジデンス中野"/>
    <s v="東京都中野区中野６"/>
    <n v="155000"/>
    <n v="12000"/>
    <n v="155000"/>
    <m/>
    <n v="3"/>
    <x v="1"/>
    <n v="27.09"/>
    <n v="0"/>
    <x v="1"/>
    <s v="東中野駅"/>
    <n v="11"/>
    <n v="11"/>
    <n v="144436.73000000001"/>
    <n v="123325.96"/>
    <n v="648"/>
    <n v="339"/>
    <s v="20-30"/>
    <x v="6"/>
  </r>
  <r>
    <s v="https://suumo.jp/chintai/jnc_000104156764/?bc=100483389155"/>
    <s v="ワンルーフレジデンス中野"/>
    <s v="東京都中野区中野６"/>
    <n v="159000"/>
    <n v="12000"/>
    <n v="159000"/>
    <m/>
    <n v="3"/>
    <x v="1"/>
    <n v="28.02"/>
    <n v="0"/>
    <x v="1"/>
    <s v="東中野駅"/>
    <n v="11"/>
    <n v="11"/>
    <n v="144436.73000000001"/>
    <n v="123325.96"/>
    <n v="648"/>
    <n v="339"/>
    <s v="20-30"/>
    <x v="6"/>
  </r>
  <r>
    <s v="https://suumo.jp/chintai/jnc_000104156766/?bc=100483389170"/>
    <s v="ワンルーフレジデンス中野"/>
    <s v="東京都中野区中野６"/>
    <n v="163000"/>
    <n v="12000"/>
    <n v="163000"/>
    <m/>
    <n v="3"/>
    <x v="1"/>
    <n v="28.92"/>
    <n v="0"/>
    <x v="1"/>
    <s v="東中野駅"/>
    <n v="11"/>
    <n v="11"/>
    <n v="144436.73000000001"/>
    <n v="123325.96"/>
    <n v="648"/>
    <n v="339"/>
    <s v="20-30"/>
    <x v="6"/>
  </r>
  <r>
    <s v="https://suumo.jp/chintai/jnc_000104156770/?bc=100483389110"/>
    <s v="ワンルーフレジデンス中野"/>
    <s v="東京都中野区中野６"/>
    <n v="157000"/>
    <n v="12000"/>
    <n v="157000"/>
    <m/>
    <n v="5"/>
    <x v="1"/>
    <n v="27.09"/>
    <n v="0"/>
    <x v="1"/>
    <s v="東中野駅"/>
    <n v="11"/>
    <n v="11"/>
    <n v="144436.73000000001"/>
    <n v="123325.96"/>
    <n v="648"/>
    <n v="339"/>
    <s v="20-30"/>
    <x v="6"/>
  </r>
  <r>
    <s v="https://suumo.jp/chintai/jnc_000104156772/?bc=100483389165"/>
    <s v="ワンルーフレジデンス中野"/>
    <s v="東京都中野区中野６"/>
    <n v="165000"/>
    <n v="12000"/>
    <n v="165000"/>
    <m/>
    <n v="5"/>
    <x v="1"/>
    <n v="28.92"/>
    <n v="0"/>
    <x v="1"/>
    <s v="東中野駅"/>
    <n v="11"/>
    <n v="11"/>
    <n v="144436.73000000001"/>
    <n v="123325.96"/>
    <n v="648"/>
    <n v="339"/>
    <s v="20-30"/>
    <x v="6"/>
  </r>
  <r>
    <s v="https://suumo.jp/chintai/jnc_000104156776/?bc=100483389095"/>
    <s v="ワンルーフレジデンス中野"/>
    <s v="東京都中野区中野６"/>
    <n v="159000"/>
    <n v="12000"/>
    <n v="159000"/>
    <m/>
    <n v="7"/>
    <x v="1"/>
    <n v="27.09"/>
    <n v="0"/>
    <x v="1"/>
    <s v="東中野駅"/>
    <n v="11"/>
    <n v="11"/>
    <n v="144436.73000000001"/>
    <n v="123325.96"/>
    <n v="648"/>
    <n v="339"/>
    <s v="20-30"/>
    <x v="6"/>
  </r>
  <r>
    <s v="https://suumo.jp/chintai/jnc_000104156777/?bc=100483389183"/>
    <s v="ワンルーフレジデンス中野"/>
    <s v="東京都中野区中野６"/>
    <n v="167000"/>
    <n v="12000"/>
    <n v="167000"/>
    <m/>
    <n v="7"/>
    <x v="1"/>
    <n v="28.92"/>
    <n v="0"/>
    <x v="1"/>
    <s v="東中野駅"/>
    <n v="11"/>
    <n v="11"/>
    <n v="144436.73000000001"/>
    <n v="123325.96"/>
    <n v="648"/>
    <n v="339"/>
    <s v="20-30"/>
    <x v="6"/>
  </r>
  <r>
    <s v="https://suumo.jp/chintai/jnc_000104464967/?bc=100485854891"/>
    <s v="ワンルーフレジデンス中野"/>
    <s v="東京都中野区中野６"/>
    <n v="179000"/>
    <n v="12000"/>
    <n v="179000"/>
    <m/>
    <n v="7"/>
    <x v="1"/>
    <n v="28.92"/>
    <n v="0"/>
    <x v="1"/>
    <s v="東中野駅"/>
    <n v="11"/>
    <n v="11"/>
    <n v="144436.73000000001"/>
    <n v="123325.96"/>
    <n v="648"/>
    <n v="339"/>
    <s v="20-30"/>
    <x v="6"/>
  </r>
  <r>
    <s v="https://suumo.jp/chintai/jnc_000103006522/?bc=100485470525"/>
    <s v="三田東中野コーポ"/>
    <s v="東京都中野区東中野１"/>
    <n v="110000"/>
    <m/>
    <n v="110000"/>
    <n v="110000"/>
    <n v="3"/>
    <x v="1"/>
    <n v="22.35"/>
    <n v="56"/>
    <x v="5"/>
    <s v="東中野駅"/>
    <n v="3"/>
    <n v="9"/>
    <n v="144436.73000000001"/>
    <n v="123325.96"/>
    <n v="648"/>
    <n v="339"/>
    <s v="20-30"/>
    <x v="5"/>
  </r>
  <r>
    <s v="https://suumo.jp/chintai/jnc_000102637981/?bc=100483765689"/>
    <s v="秋庭マンション"/>
    <s v="東京都中野区東中野１"/>
    <n v="77000"/>
    <n v="3000"/>
    <n v="77000"/>
    <n v="77000"/>
    <n v="1"/>
    <x v="1"/>
    <n v="27.5"/>
    <n v="41"/>
    <x v="4"/>
    <s v="東中野駅"/>
    <n v="4"/>
    <n v="7"/>
    <n v="144436.73000000001"/>
    <n v="123325.96"/>
    <n v="648"/>
    <n v="339"/>
    <s v="20-30"/>
    <x v="3"/>
  </r>
  <r>
    <s v="https://suumo.jp/chintai/jnc_000103324583/?bc=100482299274"/>
    <s v="都営大江戸線 東中野駅 7階建 築28年"/>
    <s v="東京都中野区東中野１"/>
    <n v="125000"/>
    <n v="5000"/>
    <n v="125000"/>
    <n v="125000"/>
    <n v="6"/>
    <x v="1"/>
    <n v="35"/>
    <n v="28"/>
    <x v="10"/>
    <s v="東中野駅"/>
    <n v="6"/>
    <n v="9.33"/>
    <n v="144436.73000000001"/>
    <n v="123325.96"/>
    <n v="648"/>
    <n v="339"/>
    <s v="30-40"/>
    <x v="1"/>
  </r>
  <r>
    <s v="https://suumo.jp/chintai/jnc_000046416001/?bc=100482093936"/>
    <s v="高橋マンション"/>
    <s v="東京都中野区東中野３"/>
    <n v="100000"/>
    <n v="5000"/>
    <n v="100000"/>
    <m/>
    <n v="1"/>
    <x v="1"/>
    <n v="35"/>
    <n v="54"/>
    <x v="7"/>
    <s v="東中野駅"/>
    <n v="3"/>
    <n v="6"/>
    <n v="144436.73000000001"/>
    <n v="123325.96"/>
    <n v="648"/>
    <n v="339"/>
    <s v="30-40"/>
    <x v="5"/>
  </r>
  <r>
    <s v="https://suumo.jp/chintai/jnc_000103324582/?bc=100475999920"/>
    <s v="ＡＮＮＥＸ　Ｅ"/>
    <s v="東京都中野区東中野１"/>
    <n v="125000"/>
    <n v="5000"/>
    <n v="125000"/>
    <n v="125000"/>
    <n v="6"/>
    <x v="1"/>
    <n v="35"/>
    <n v="28"/>
    <x v="10"/>
    <s v="東中野駅"/>
    <n v="6"/>
    <n v="8.5"/>
    <n v="144436.73000000001"/>
    <n v="123325.96"/>
    <n v="648"/>
    <n v="339"/>
    <s v="30-40"/>
    <x v="1"/>
  </r>
  <r>
    <s v="https://suumo.jp/chintai/jnc_000104179495/?bc=100483626039"/>
    <s v="ＩＳＭ東中野"/>
    <s v="東京都中野区東中野２"/>
    <n v="142000"/>
    <n v="20000"/>
    <m/>
    <m/>
    <n v="2"/>
    <x v="1"/>
    <n v="28.79"/>
    <n v="25"/>
    <x v="9"/>
    <s v="東中野駅"/>
    <n v="2"/>
    <n v="5.33"/>
    <n v="144436.73000000001"/>
    <n v="123325.96"/>
    <n v="648"/>
    <n v="339"/>
    <s v="20-30"/>
    <x v="1"/>
  </r>
  <r>
    <s v="https://suumo.jp/chintai/jnc_000102875073/?bc=100473397829"/>
    <s v="ＩＳＭ東中野"/>
    <s v="東京都中野区東中野２"/>
    <n v="148000"/>
    <n v="9000"/>
    <n v="148000"/>
    <m/>
    <n v="2"/>
    <x v="1"/>
    <n v="28.79"/>
    <n v="25"/>
    <x v="9"/>
    <s v="東中野駅"/>
    <n v="2"/>
    <n v="5.33"/>
    <n v="144436.73000000001"/>
    <n v="123325.96"/>
    <n v="648"/>
    <n v="339"/>
    <s v="20-30"/>
    <x v="1"/>
  </r>
  <r>
    <s v="https://suumo.jp/chintai/jnc_000102169523/?bc=100468970675"/>
    <s v="ＪＲ中央線 東中野駅 10階建 築17年"/>
    <s v="東京都中野区東中野１"/>
    <n v="177000"/>
    <n v="13000"/>
    <n v="177000"/>
    <n v="265500"/>
    <n v="3"/>
    <x v="1"/>
    <n v="38.92"/>
    <n v="17"/>
    <x v="1"/>
    <s v="東中野駅"/>
    <n v="5"/>
    <n v="9.67"/>
    <n v="144436.73000000001"/>
    <n v="123325.96"/>
    <n v="648"/>
    <n v="339"/>
    <s v="30-40"/>
    <x v="7"/>
  </r>
  <r>
    <s v="https://suumo.jp/chintai/jnc_000104097117/?bc=100484947010"/>
    <s v="ＪＲ中央線 東中野駅 10階建 築5年"/>
    <s v="東京都中野区中野６"/>
    <n v="136000"/>
    <n v="15000"/>
    <m/>
    <m/>
    <n v="3"/>
    <x v="1"/>
    <n v="30.27"/>
    <n v="5"/>
    <x v="1"/>
    <s v="東中野駅"/>
    <n v="10"/>
    <n v="11.67"/>
    <n v="144436.73000000001"/>
    <n v="123325.96"/>
    <n v="648"/>
    <n v="339"/>
    <s v="30-40"/>
    <x v="0"/>
  </r>
  <r>
    <s v="https://suumo.jp/chintai/jnc_000103947716/?bc=100481884671"/>
    <s v="ＪＲ中央線 東中野駅 12階建 築3年"/>
    <s v="東京都中野区東中野１"/>
    <n v="143000"/>
    <n v="10000"/>
    <m/>
    <m/>
    <n v="6"/>
    <x v="1"/>
    <n v="25.64"/>
    <n v="3"/>
    <x v="3"/>
    <s v="東中野駅"/>
    <n v="3"/>
    <n v="7"/>
    <n v="144436.73000000001"/>
    <n v="123325.96"/>
    <n v="648"/>
    <n v="339"/>
    <s v="20-30"/>
    <x v="0"/>
  </r>
  <r>
    <s v="https://suumo.jp/chintai/jnc_000102371875/?bc=100477581694"/>
    <s v="ＪＲ中央線 東中野駅 13階建 築2年"/>
    <s v="東京都新宿区北新宿４"/>
    <n v="146000"/>
    <n v="10000"/>
    <n v="146000"/>
    <m/>
    <n v="2"/>
    <x v="1"/>
    <n v="25.1"/>
    <n v="2"/>
    <x v="13"/>
    <s v="東中野駅"/>
    <n v="9"/>
    <n v="11.33"/>
    <n v="144436.73000000001"/>
    <n v="123325.96"/>
    <n v="648"/>
    <n v="339"/>
    <s v="20-30"/>
    <x v="0"/>
  </r>
  <r>
    <s v="https://suumo.jp/chintai/jnc_000104425521/?bc=100136908550"/>
    <s v="ＪＲ中央線 東中野駅 3階建 築42年"/>
    <s v="東京都新宿区北新宿３"/>
    <n v="79000"/>
    <n v="2000"/>
    <n v="158000"/>
    <m/>
    <n v="3"/>
    <x v="1"/>
    <n v="24"/>
    <n v="42"/>
    <x v="2"/>
    <s v="東中野駅"/>
    <n v="7"/>
    <n v="11.67"/>
    <n v="144436.73000000001"/>
    <n v="123325.96"/>
    <n v="648"/>
    <n v="339"/>
    <s v="20-30"/>
    <x v="3"/>
  </r>
  <r>
    <s v="https://suumo.jp/chintai/jnc_000104356685/?bc=100481127780"/>
    <s v="ＪＲ中央線 東中野駅 4階建 新築"/>
    <s v="東京都新宿区北新宿３"/>
    <n v="130000"/>
    <n v="12000"/>
    <m/>
    <m/>
    <n v="1"/>
    <x v="1"/>
    <n v="25.3"/>
    <n v="0"/>
    <x v="4"/>
    <s v="東中野駅"/>
    <n v="9"/>
    <n v="12.67"/>
    <n v="144436.73000000001"/>
    <n v="123325.96"/>
    <n v="648"/>
    <n v="339"/>
    <s v="20-30"/>
    <x v="6"/>
  </r>
  <r>
    <s v="https://suumo.jp/chintai/jnc_000103851219/?bc=100481127798"/>
    <s v="ＪＲ中央線 東中野駅 4階建 新築"/>
    <s v="東京都新宿区北新宿３"/>
    <n v="155000"/>
    <n v="12000"/>
    <m/>
    <m/>
    <n v="4"/>
    <x v="1"/>
    <n v="31.04"/>
    <n v="0"/>
    <x v="4"/>
    <s v="東中野駅"/>
    <n v="9"/>
    <n v="12.67"/>
    <n v="144436.73000000001"/>
    <n v="123325.96"/>
    <n v="648"/>
    <n v="339"/>
    <s v="30-40"/>
    <x v="6"/>
  </r>
  <r>
    <s v="https://suumo.jp/chintai/jnc_000104498671/?bc=100486182322"/>
    <s v="ＪＲ中央線 東中野駅 4階建 築1年"/>
    <s v="東京都新宿区北新宿３"/>
    <n v="164000"/>
    <n v="15000"/>
    <m/>
    <m/>
    <n v="2"/>
    <x v="1"/>
    <n v="27.85"/>
    <n v="1"/>
    <x v="4"/>
    <s v="東中野駅"/>
    <n v="8"/>
    <n v="12.67"/>
    <n v="144436.73000000001"/>
    <n v="123325.96"/>
    <n v="648"/>
    <n v="339"/>
    <s v="20-30"/>
    <x v="0"/>
  </r>
  <r>
    <s v="https://suumo.jp/chintai/jnc_000104223007/?bc=100474523135"/>
    <s v="ＪＲ中央線 東中野駅 5階建 築3年"/>
    <s v="東京都中野区東中野５"/>
    <n v="140000"/>
    <n v="15000"/>
    <n v="140000"/>
    <n v="140000"/>
    <n v="2"/>
    <x v="1"/>
    <n v="25.98"/>
    <n v="3"/>
    <x v="7"/>
    <s v="東中野駅"/>
    <n v="7"/>
    <n v="9.33"/>
    <n v="144436.73000000001"/>
    <n v="123325.96"/>
    <n v="648"/>
    <n v="339"/>
    <s v="20-30"/>
    <x v="0"/>
  </r>
  <r>
    <s v="https://suumo.jp/chintai/jnc_000104426276/?bc=100485580144"/>
    <s v="ＪＲ中央線 東中野駅 6階建 築56年"/>
    <s v="東京都中野区東中野１"/>
    <n v="110000"/>
    <m/>
    <n v="110000"/>
    <n v="110000"/>
    <n v="3"/>
    <x v="1"/>
    <n v="22.34"/>
    <n v="56"/>
    <x v="5"/>
    <s v="東中野駅"/>
    <n v="5"/>
    <n v="8"/>
    <n v="144436.73000000001"/>
    <n v="123325.96"/>
    <n v="648"/>
    <n v="339"/>
    <s v="20-30"/>
    <x v="5"/>
  </r>
  <r>
    <s v="https://suumo.jp/chintai/jnc_000104391713/?bc=100485904141"/>
    <s v="ＪＲ中央線 東中野駅 8階建 築24年"/>
    <s v="東京都新宿区北新宿４"/>
    <n v="144000"/>
    <n v="20000"/>
    <m/>
    <n v="144000"/>
    <n v="5"/>
    <x v="1"/>
    <n v="47.13"/>
    <n v="24"/>
    <x v="9"/>
    <s v="東中野駅"/>
    <n v="7"/>
    <n v="10"/>
    <n v="144436.73000000001"/>
    <n v="123325.96"/>
    <n v="648"/>
    <n v="339"/>
    <s v="40-50"/>
    <x v="1"/>
  </r>
  <r>
    <s v="https://suumo.jp/chintai/jnc_000104437827/?bc=100485658919"/>
    <s v="ＪＲ中央線 東中野駅 9階建 築10年"/>
    <s v="東京都新宿区北新宿４"/>
    <n v="170000"/>
    <n v="15000"/>
    <n v="170000"/>
    <n v="170000"/>
    <n v="2"/>
    <x v="1"/>
    <n v="37.01"/>
    <n v="10"/>
    <x v="6"/>
    <s v="東中野駅"/>
    <n v="5"/>
    <n v="11.33"/>
    <n v="144436.73000000001"/>
    <n v="123325.96"/>
    <n v="648"/>
    <n v="339"/>
    <s v="30-40"/>
    <x v="0"/>
  </r>
  <r>
    <s v="https://suumo.jp/chintai/jnc_000104003998/?bc=100483179904"/>
    <s v="ＪＲ中央線 東中野駅 地下1地上5階建 築58年"/>
    <s v="東京都中野区東中野１"/>
    <n v="78000"/>
    <n v="2000"/>
    <n v="78000"/>
    <n v="78000"/>
    <n v="4"/>
    <x v="1"/>
    <n v="31.5"/>
    <n v="58"/>
    <x v="5"/>
    <s v="東中野駅"/>
    <n v="6"/>
    <n v="10.67"/>
    <n v="144436.73000000001"/>
    <n v="123325.96"/>
    <n v="648"/>
    <n v="339"/>
    <s v="30-40"/>
    <x v="5"/>
  </r>
  <r>
    <s v="https://suumo.jp/chintai/jnc_000101173853/?bc=100473584886"/>
    <s v="ＪＲ総武線 東中野駅 12階建 築3年"/>
    <s v="東京都中野区東中野１"/>
    <n v="151000"/>
    <n v="10000"/>
    <n v="151000"/>
    <m/>
    <n v="10"/>
    <x v="1"/>
    <n v="25.47"/>
    <n v="3"/>
    <x v="3"/>
    <s v="東中野駅"/>
    <n v="1"/>
    <n v="5.67"/>
    <n v="144436.73000000001"/>
    <n v="123325.96"/>
    <n v="648"/>
    <n v="339"/>
    <s v="20-30"/>
    <x v="0"/>
  </r>
  <r>
    <s v="https://suumo.jp/chintai/jnc_000104156798/?bc=100483715435"/>
    <s v="ＪＲ総武線 東中野駅 4階建 築34年"/>
    <s v="東京都中野区東中野１"/>
    <n v="105000"/>
    <n v="5000"/>
    <n v="105000"/>
    <n v="105000"/>
    <n v="2"/>
    <x v="1"/>
    <n v="24.2"/>
    <n v="34"/>
    <x v="4"/>
    <s v="東中野駅"/>
    <n v="2"/>
    <n v="7.33"/>
    <n v="144436.73000000001"/>
    <n v="123325.96"/>
    <n v="648"/>
    <n v="339"/>
    <s v="20-30"/>
    <x v="4"/>
  </r>
  <r>
    <s v="https://suumo.jp/chintai/jnc_000103695180/?bc=100452877633"/>
    <s v="ＪＲ総武線 東中野駅 5階建 築3年"/>
    <s v="東京都中野区東中野５"/>
    <n v="179000"/>
    <n v="9000"/>
    <n v="179000"/>
    <m/>
    <n v="1"/>
    <x v="1"/>
    <n v="38.630000000000003"/>
    <n v="3"/>
    <x v="7"/>
    <s v="東中野駅"/>
    <n v="7"/>
    <n v="10.67"/>
    <n v="144436.73000000001"/>
    <n v="123325.96"/>
    <n v="648"/>
    <n v="339"/>
    <s v="30-40"/>
    <x v="0"/>
  </r>
  <r>
    <s v="https://suumo.jp/chintai/jnc_000100946707/?bc=100469685987"/>
    <s v="ＪＲ総武線 東中野駅 5階建 築3年"/>
    <s v="東京都中野区東中野５"/>
    <n v="198000"/>
    <n v="9000"/>
    <n v="198000"/>
    <m/>
    <n v="2"/>
    <x v="1"/>
    <n v="38.630000000000003"/>
    <n v="3"/>
    <x v="7"/>
    <s v="東中野駅"/>
    <n v="7"/>
    <n v="10.67"/>
    <n v="144436.73000000001"/>
    <n v="123325.96"/>
    <n v="648"/>
    <n v="339"/>
    <s v="30-40"/>
    <x v="0"/>
  </r>
  <r>
    <s v="https://suumo.jp/chintai/jnc_000103649356/?bc=100483711806"/>
    <s v="ＪＲ総武線 東中野駅 5階建 築46年"/>
    <s v="東京都新宿区北新宿４"/>
    <n v="93000"/>
    <n v="3000"/>
    <n v="93000"/>
    <n v="93000"/>
    <n v="4"/>
    <x v="1"/>
    <n v="30"/>
    <n v="46"/>
    <x v="7"/>
    <s v="東中野駅"/>
    <n v="10"/>
    <n v="11"/>
    <n v="144436.73000000001"/>
    <n v="123325.96"/>
    <n v="648"/>
    <n v="339"/>
    <s v="30-40"/>
    <x v="3"/>
  </r>
  <r>
    <s v="https://suumo.jp/chintai/jnc_000104163315/?bc=100483446776"/>
    <s v="ＪＲ総武線 東中野駅 8階建 築25年"/>
    <s v="東京都中野区東中野２"/>
    <n v="142000"/>
    <n v="20000"/>
    <m/>
    <m/>
    <n v="2"/>
    <x v="1"/>
    <n v="28.79"/>
    <n v="25"/>
    <x v="9"/>
    <s v="東中野駅"/>
    <n v="2"/>
    <n v="5"/>
    <n v="144436.73000000001"/>
    <n v="123325.96"/>
    <n v="648"/>
    <n v="339"/>
    <s v="20-30"/>
    <x v="1"/>
  </r>
  <r>
    <s v="https://suumo.jp/chintai/jnc_000104454670/?bc=100485948996"/>
    <s v="ＶＩＰ柏木"/>
    <s v="東京都新宿区北新宿４"/>
    <n v="78000"/>
    <m/>
    <n v="78000"/>
    <n v="78000"/>
    <n v="6"/>
    <x v="1"/>
    <n v="26.22"/>
    <n v="56"/>
    <x v="9"/>
    <s v="東中野駅"/>
    <n v="6"/>
    <n v="10.33"/>
    <n v="144436.73000000001"/>
    <n v="123325.96"/>
    <n v="648"/>
    <n v="339"/>
    <s v="20-30"/>
    <x v="5"/>
  </r>
  <r>
    <s v="https://suumo.jp/chintai/jnc_000103770557/?bc=100485617543"/>
    <s v="AGRACES北新宿II"/>
    <s v="東京都新宿区北新宿３"/>
    <n v="104000"/>
    <n v="8000"/>
    <m/>
    <m/>
    <n v="4"/>
    <x v="2"/>
    <n v="18.53"/>
    <n v="0"/>
    <x v="4"/>
    <s v="東中野駅"/>
    <n v="9"/>
    <n v="13"/>
    <n v="144436.73000000001"/>
    <n v="95329.65"/>
    <n v="648"/>
    <n v="1622"/>
    <s v="10-20"/>
    <x v="6"/>
  </r>
  <r>
    <s v="https://suumo.jp/chintai/jnc_000103432783/?bc=100483997820"/>
    <s v="Fortuna Higashinakano"/>
    <s v="東京都中野区東中野１"/>
    <n v="130000"/>
    <n v="9500"/>
    <m/>
    <n v="130000"/>
    <n v="7"/>
    <x v="2"/>
    <n v="26.43"/>
    <n v="3"/>
    <x v="1"/>
    <s v="東中野駅"/>
    <n v="4"/>
    <n v="9.33"/>
    <n v="144436.73000000001"/>
    <n v="95329.65"/>
    <n v="648"/>
    <n v="1622"/>
    <s v="20-30"/>
    <x v="0"/>
  </r>
  <r>
    <s v="https://suumo.jp/chintai/jnc_000104117714/?bc=100485777534"/>
    <s v="Fortuna Higashinakano"/>
    <s v="東京都中野区東中野１"/>
    <n v="135000"/>
    <n v="9500"/>
    <m/>
    <n v="135000"/>
    <n v="8"/>
    <x v="2"/>
    <n v="26.87"/>
    <n v="3"/>
    <x v="1"/>
    <s v="東中野駅"/>
    <n v="4"/>
    <n v="9.33"/>
    <n v="144436.73000000001"/>
    <n v="95329.65"/>
    <n v="648"/>
    <n v="1622"/>
    <s v="20-30"/>
    <x v="0"/>
  </r>
  <r>
    <s v="https://suumo.jp/chintai/jnc_000103558059/?bc=100481479607"/>
    <s v="Graces東中野"/>
    <s v="東京都中野区東中野２"/>
    <n v="113000"/>
    <n v="10000"/>
    <n v="113000"/>
    <n v="113000"/>
    <n v="1"/>
    <x v="2"/>
    <n v="24.47"/>
    <n v="0"/>
    <x v="0"/>
    <s v="東中野駅"/>
    <n v="7"/>
    <n v="11"/>
    <n v="144436.73000000001"/>
    <n v="95329.65"/>
    <n v="648"/>
    <n v="1622"/>
    <s v="20-30"/>
    <x v="6"/>
  </r>
  <r>
    <s v="https://suumo.jp/chintai/jnc_000103558060/?bc=100481479526"/>
    <s v="Graces東中野"/>
    <s v="東京都中野区東中野２"/>
    <n v="120000"/>
    <n v="10000"/>
    <n v="120000"/>
    <n v="120000"/>
    <n v="2"/>
    <x v="2"/>
    <n v="24.47"/>
    <n v="0"/>
    <x v="0"/>
    <s v="東中野駅"/>
    <n v="7"/>
    <n v="11"/>
    <n v="144436.73000000001"/>
    <n v="95329.65"/>
    <n v="648"/>
    <n v="1622"/>
    <s v="20-30"/>
    <x v="6"/>
  </r>
  <r>
    <s v="https://suumo.jp/chintai/jnc_000104464973/?bc=100485897343"/>
    <s v="ISLES（アイルズ）東中野"/>
    <s v="東京都中野区東中野２"/>
    <n v="120000"/>
    <n v="5000"/>
    <n v="120000"/>
    <n v="120000"/>
    <n v="8"/>
    <x v="2"/>
    <n v="26.02"/>
    <n v="17"/>
    <x v="13"/>
    <s v="東中野駅"/>
    <n v="2"/>
    <n v="4.33"/>
    <n v="144436.73000000001"/>
    <n v="95329.65"/>
    <n v="648"/>
    <n v="1622"/>
    <s v="20-30"/>
    <x v="7"/>
  </r>
  <r>
    <s v="https://suumo.jp/chintai/jnc_000076983386/?bc=100475522307"/>
    <s v="RCセンチュリー"/>
    <s v="東京都中野区東中野１"/>
    <n v="73000"/>
    <m/>
    <n v="73000"/>
    <m/>
    <n v="2"/>
    <x v="2"/>
    <n v="22.68"/>
    <n v="39"/>
    <x v="2"/>
    <s v="東中野駅"/>
    <n v="3"/>
    <n v="8.67"/>
    <n v="144436.73000000001"/>
    <n v="95329.65"/>
    <n v="648"/>
    <n v="1622"/>
    <s v="20-30"/>
    <x v="4"/>
  </r>
  <r>
    <s v="https://suumo.jp/chintai/jnc_000103447282/?bc=100477631039"/>
    <s v="RELUXIA北新宿"/>
    <s v="東京都新宿区北新宿３"/>
    <n v="116000"/>
    <n v="20000"/>
    <m/>
    <n v="116000"/>
    <n v="3"/>
    <x v="2"/>
    <n v="25.51"/>
    <n v="6"/>
    <x v="7"/>
    <s v="東中野駅"/>
    <n v="3"/>
    <n v="10"/>
    <n v="144436.73000000001"/>
    <n v="95329.65"/>
    <n v="648"/>
    <n v="1622"/>
    <s v="20-30"/>
    <x v="0"/>
  </r>
  <r>
    <s v="https://suumo.jp/chintai/jnc_000101953369/?bc=100481984157"/>
    <s v="ReveResidence中野坂上"/>
    <s v="東京都中野区東中野１"/>
    <n v="140000"/>
    <n v="10000"/>
    <m/>
    <m/>
    <n v="4"/>
    <x v="2"/>
    <n v="25.35"/>
    <n v="5"/>
    <x v="4"/>
    <s v="東中野駅"/>
    <n v="9"/>
    <n v="11.33"/>
    <n v="144436.73000000001"/>
    <n v="95329.65"/>
    <n v="648"/>
    <n v="1622"/>
    <s v="20-30"/>
    <x v="0"/>
  </r>
  <r>
    <s v="https://suumo.jp/chintai/jnc_000103960465/?bc=100485999305"/>
    <s v="THE PREMIUM CUBE G 東中野"/>
    <s v="東京都中野区東中野５"/>
    <n v="130000"/>
    <n v="15000"/>
    <n v="130000"/>
    <n v="130000"/>
    <n v="1"/>
    <x v="2"/>
    <n v="25.5"/>
    <n v="3"/>
    <x v="7"/>
    <s v="東中野駅"/>
    <n v="7"/>
    <n v="9"/>
    <n v="144436.73000000001"/>
    <n v="95329.65"/>
    <n v="648"/>
    <n v="1622"/>
    <s v="20-30"/>
    <x v="0"/>
  </r>
  <r>
    <s v="https://suumo.jp/chintai/jnc_000104335121/?bc=100485172018"/>
    <s v="THE PREMIUM CUBE G 東中野"/>
    <s v="東京都中野区東中野５"/>
    <n v="142000"/>
    <n v="15000"/>
    <n v="142000"/>
    <n v="142000"/>
    <n v="1"/>
    <x v="2"/>
    <n v="28.87"/>
    <n v="3"/>
    <x v="7"/>
    <s v="東中野駅"/>
    <n v="7"/>
    <n v="9"/>
    <n v="144436.73000000001"/>
    <n v="95329.65"/>
    <n v="648"/>
    <n v="1622"/>
    <s v="20-30"/>
    <x v="0"/>
  </r>
  <r>
    <s v="https://suumo.jp/chintai/jnc_000103611161/?bc=100479331332"/>
    <s v="THE PREMIUM CUBE G 東中野"/>
    <s v="東京都中野区東中野５"/>
    <n v="144000"/>
    <n v="15000"/>
    <n v="144000"/>
    <n v="144000"/>
    <n v="1"/>
    <x v="2"/>
    <n v="31.35"/>
    <n v="3"/>
    <x v="7"/>
    <s v="東中野駅"/>
    <n v="7"/>
    <n v="9"/>
    <n v="144436.73000000001"/>
    <n v="95329.65"/>
    <n v="648"/>
    <n v="1622"/>
    <s v="30-40"/>
    <x v="0"/>
  </r>
  <r>
    <s v="https://suumo.jp/chintai/jnc_000103762847/?bc=100481588804"/>
    <s v="THE PREMIUM CUBE G 東中野"/>
    <s v="東京都中野区東中野５"/>
    <n v="140000"/>
    <n v="15000"/>
    <n v="140000"/>
    <n v="140000"/>
    <n v="2"/>
    <x v="2"/>
    <n v="28.87"/>
    <n v="3"/>
    <x v="7"/>
    <s v="東中野駅"/>
    <n v="7"/>
    <n v="9"/>
    <n v="144436.73000000001"/>
    <n v="95329.65"/>
    <n v="648"/>
    <n v="1622"/>
    <s v="20-30"/>
    <x v="0"/>
  </r>
  <r>
    <s v="https://suumo.jp/chintai/jnc_000104156807/?bc=100484340409"/>
    <s v="THE PREMIUM CUBE G 東中野"/>
    <s v="東京都中野区東中野５"/>
    <n v="135000"/>
    <n v="15000"/>
    <n v="135000"/>
    <n v="135000"/>
    <n v="3"/>
    <x v="2"/>
    <n v="25.5"/>
    <n v="3"/>
    <x v="7"/>
    <s v="東中野駅"/>
    <n v="7"/>
    <n v="9"/>
    <n v="144436.73000000001"/>
    <n v="95329.65"/>
    <n v="648"/>
    <n v="1622"/>
    <s v="20-30"/>
    <x v="0"/>
  </r>
  <r>
    <s v="https://suumo.jp/chintai/jnc_000103762848/?bc=100480611727"/>
    <s v="THE PREMIUM CUBE G 東中野"/>
    <s v="東京都中野区東中野５"/>
    <n v="145000"/>
    <n v="15000"/>
    <n v="145000"/>
    <n v="145000"/>
    <n v="3"/>
    <x v="2"/>
    <n v="28.87"/>
    <n v="3"/>
    <x v="7"/>
    <s v="東中野駅"/>
    <n v="7"/>
    <n v="9"/>
    <n v="144436.73000000001"/>
    <n v="95329.65"/>
    <n v="648"/>
    <n v="1622"/>
    <s v="20-30"/>
    <x v="0"/>
  </r>
  <r>
    <s v="https://suumo.jp/chintai/jnc_000104482962/?bc=100485999476"/>
    <s v="THE PREMIUM CUBE G 東中野"/>
    <s v="東京都中野区東中野５"/>
    <n v="150000"/>
    <n v="15000"/>
    <m/>
    <m/>
    <n v="3"/>
    <x v="2"/>
    <n v="28.87"/>
    <n v="3"/>
    <x v="7"/>
    <s v="東中野駅"/>
    <n v="7"/>
    <n v="9"/>
    <n v="144436.73000000001"/>
    <n v="95329.65"/>
    <n v="648"/>
    <n v="1622"/>
    <s v="20-30"/>
    <x v="0"/>
  </r>
  <r>
    <s v="https://suumo.jp/chintai/jnc_000103346704/?bc=100476780177"/>
    <s v="TOP FIELD"/>
    <s v="東京都中野区上高田１"/>
    <n v="65000"/>
    <n v="3000"/>
    <m/>
    <m/>
    <n v="2"/>
    <x v="2"/>
    <n v="15"/>
    <n v="55"/>
    <x v="0"/>
    <s v="東中野駅"/>
    <n v="9"/>
    <n v="11"/>
    <n v="144436.73000000001"/>
    <n v="95329.65"/>
    <n v="648"/>
    <n v="1622"/>
    <s v="10-20"/>
    <x v="5"/>
  </r>
  <r>
    <s v="https://suumo.jp/chintai/jnc_000103248945/?bc=100476272564"/>
    <s v="i-Suite HigashiNakano"/>
    <s v="東京都中野区東中野１"/>
    <n v="141000"/>
    <n v="8000"/>
    <n v="141000"/>
    <n v="211500"/>
    <n v="10"/>
    <x v="2"/>
    <n v="30.3"/>
    <n v="16"/>
    <x v="1"/>
    <s v="東中野駅"/>
    <n v="4"/>
    <n v="10"/>
    <n v="144436.73000000001"/>
    <n v="95329.65"/>
    <n v="648"/>
    <n v="1622"/>
    <s v="30-40"/>
    <x v="7"/>
  </r>
  <r>
    <s v="https://suumo.jp/chintai/jnc_000104399674/?bc=100485481427"/>
    <s v="i-Suite HigashiNakano"/>
    <s v="東京都中野区東中野１"/>
    <n v="133000"/>
    <n v="8000"/>
    <n v="133000"/>
    <n v="199500"/>
    <n v="2"/>
    <x v="2"/>
    <n v="30.3"/>
    <n v="16"/>
    <x v="1"/>
    <s v="東中野駅"/>
    <n v="4"/>
    <n v="10"/>
    <n v="144436.73000000001"/>
    <n v="95329.65"/>
    <n v="648"/>
    <n v="1622"/>
    <s v="30-40"/>
    <x v="7"/>
  </r>
  <r>
    <s v="https://suumo.jp/chintai/jnc_000103248946/?bc=100481124704"/>
    <s v="i-Suite HigashiNakano"/>
    <s v="東京都中野区東中野１"/>
    <n v="120000"/>
    <n v="8000"/>
    <n v="120000"/>
    <n v="180000"/>
    <n v="7"/>
    <x v="2"/>
    <n v="24.49"/>
    <n v="16"/>
    <x v="1"/>
    <s v="東中野駅"/>
    <n v="4"/>
    <n v="10"/>
    <n v="144436.73000000001"/>
    <n v="95329.65"/>
    <n v="648"/>
    <n v="1622"/>
    <s v="20-30"/>
    <x v="7"/>
  </r>
  <r>
    <s v="https://suumo.jp/chintai/jnc_000103285870/?bc=100476890437"/>
    <s v="ふるーる東中野"/>
    <s v="東京都中野区東中野３"/>
    <n v="92000"/>
    <n v="2000"/>
    <n v="92000"/>
    <n v="92000"/>
    <n v="1"/>
    <x v="2"/>
    <n v="18.8"/>
    <n v="19"/>
    <x v="2"/>
    <s v="東中野駅"/>
    <n v="9"/>
    <n v="13.33"/>
    <n v="144436.73000000001"/>
    <n v="95329.65"/>
    <n v="648"/>
    <n v="1622"/>
    <s v="10-20"/>
    <x v="7"/>
  </r>
  <r>
    <s v="https://suumo.jp/chintai/jnc_000103217934/?bc=100478364310"/>
    <s v="ふるーる東中野"/>
    <s v="東京都中野区東中野３"/>
    <n v="98000"/>
    <n v="2000"/>
    <n v="98000"/>
    <n v="98000"/>
    <n v="1"/>
    <x v="2"/>
    <n v="18.8"/>
    <n v="19"/>
    <x v="2"/>
    <s v="東中野駅"/>
    <n v="9"/>
    <n v="13.33"/>
    <n v="144436.73000000001"/>
    <n v="95329.65"/>
    <n v="648"/>
    <n v="1622"/>
    <s v="10-20"/>
    <x v="7"/>
  </r>
  <r>
    <s v="https://suumo.jp/chintai/jnc_000096867497/?bc=100475800568"/>
    <s v="ふるーる東中野"/>
    <s v="東京都中野区東中野３"/>
    <n v="90000"/>
    <n v="2000"/>
    <n v="90000"/>
    <n v="90000"/>
    <n v="1"/>
    <x v="2"/>
    <n v="18.8"/>
    <n v="19"/>
    <x v="2"/>
    <s v="東中野駅"/>
    <n v="9"/>
    <n v="13.33"/>
    <n v="144436.73000000001"/>
    <n v="95329.65"/>
    <n v="648"/>
    <n v="1622"/>
    <s v="10-20"/>
    <x v="7"/>
  </r>
  <r>
    <s v="https://suumo.jp/chintai/jnc_000096518249/?bc=100422017062"/>
    <s v="アイランドコーポ"/>
    <s v="東京都中野区東中野２"/>
    <n v="60000"/>
    <m/>
    <n v="60000"/>
    <n v="60000"/>
    <n v="1"/>
    <x v="2"/>
    <n v="18"/>
    <n v="41"/>
    <x v="0"/>
    <s v="東中野駅"/>
    <n v="8"/>
    <n v="12.67"/>
    <n v="144436.73000000001"/>
    <n v="95329.65"/>
    <n v="648"/>
    <n v="1622"/>
    <s v="10-20"/>
    <x v="3"/>
  </r>
  <r>
    <s v="https://suumo.jp/chintai/jnc_000104417264/?bc=100486338930"/>
    <s v="アイルズ東中野"/>
    <s v="東京都中野区東中野２"/>
    <n v="120000"/>
    <n v="5000"/>
    <n v="120000"/>
    <n v="120000"/>
    <n v="5"/>
    <x v="2"/>
    <n v="26.02"/>
    <n v="17"/>
    <x v="13"/>
    <s v="東中野駅"/>
    <n v="3"/>
    <n v="8.33"/>
    <n v="144436.73000000001"/>
    <n v="95329.65"/>
    <n v="648"/>
    <n v="1622"/>
    <s v="20-30"/>
    <x v="7"/>
  </r>
  <r>
    <s v="https://suumo.jp/chintai/jnc_000103903355/?bc=100483404611"/>
    <s v="アルテシモベラ"/>
    <s v="東京都新宿区北新宿４"/>
    <n v="120000"/>
    <n v="10000"/>
    <m/>
    <n v="120000"/>
    <n v="7"/>
    <x v="2"/>
    <n v="26.66"/>
    <n v="9"/>
    <x v="10"/>
    <s v="東中野駅"/>
    <n v="6"/>
    <n v="9"/>
    <n v="144436.73000000001"/>
    <n v="95329.65"/>
    <n v="648"/>
    <n v="1622"/>
    <s v="20-30"/>
    <x v="0"/>
  </r>
  <r>
    <s v="https://suumo.jp/chintai/jnc_000098351070/?bc=100436527992"/>
    <s v="アヴィニティー東中野"/>
    <s v="東京都新宿区北新宿４"/>
    <n v="117000"/>
    <n v="11000"/>
    <m/>
    <n v="117000"/>
    <n v="7"/>
    <x v="2"/>
    <n v="20.73"/>
    <n v="22"/>
    <x v="10"/>
    <s v="東中野駅"/>
    <n v="7"/>
    <n v="9.67"/>
    <n v="144436.73000000001"/>
    <n v="95329.65"/>
    <n v="648"/>
    <n v="1622"/>
    <s v="20-30"/>
    <x v="1"/>
  </r>
  <r>
    <s v="https://suumo.jp/chintai/jnc_000103536063/?bc=100482398751"/>
    <s v="アークマーク東中野"/>
    <s v="東京都新宿区北新宿３"/>
    <n v="126000"/>
    <n v="15000"/>
    <m/>
    <m/>
    <n v="5"/>
    <x v="2"/>
    <n v="25.96"/>
    <n v="3"/>
    <x v="7"/>
    <s v="東中野駅"/>
    <n v="5"/>
    <n v="12"/>
    <n v="144436.73000000001"/>
    <n v="95329.65"/>
    <n v="648"/>
    <n v="1622"/>
    <s v="20-30"/>
    <x v="0"/>
  </r>
  <r>
    <s v="https://suumo.jp/chintai/jnc_000098617399/?bc=100443889190"/>
    <s v="エイティハウス"/>
    <s v="東京都新宿区北新宿３"/>
    <n v="99000"/>
    <m/>
    <n v="198000"/>
    <n v="99000"/>
    <n v="3"/>
    <x v="2"/>
    <n v="31.41"/>
    <n v="35"/>
    <x v="4"/>
    <s v="東中野駅"/>
    <n v="5"/>
    <n v="9"/>
    <n v="144436.73000000001"/>
    <n v="95329.65"/>
    <n v="648"/>
    <n v="1622"/>
    <s v="30-40"/>
    <x v="4"/>
  </r>
  <r>
    <s v="https://suumo.jp/chintai/jnc_000104021485/?bc=100483348083"/>
    <s v="エヌエス　フィールド"/>
    <s v="東京都中野区東中野２"/>
    <n v="115000"/>
    <n v="8100"/>
    <m/>
    <n v="230000"/>
    <n v="2"/>
    <x v="2"/>
    <n v="24.15"/>
    <n v="2"/>
    <x v="7"/>
    <s v="東中野駅"/>
    <n v="4"/>
    <n v="9.33"/>
    <n v="144436.73000000001"/>
    <n v="95329.65"/>
    <n v="648"/>
    <n v="1622"/>
    <s v="20-30"/>
    <x v="0"/>
  </r>
  <r>
    <s v="https://suumo.jp/chintai/jnc_000103182963/?bc=100473139922"/>
    <s v="エミリーズイン"/>
    <s v="東京都中野区東中野２"/>
    <n v="70000"/>
    <n v="2000"/>
    <m/>
    <m/>
    <n v="1"/>
    <x v="2"/>
    <n v="18"/>
    <n v="34"/>
    <x v="0"/>
    <s v="東中野駅"/>
    <n v="6"/>
    <n v="10.33"/>
    <n v="144436.73000000001"/>
    <n v="95329.65"/>
    <n v="648"/>
    <n v="1622"/>
    <s v="10-20"/>
    <x v="4"/>
  </r>
  <r>
    <s v="https://suumo.jp/chintai/jnc_000103570825/?bc=100485545588"/>
    <s v="オークハイツ"/>
    <s v="東京都新宿区北新宿３"/>
    <n v="74000"/>
    <n v="3000"/>
    <m/>
    <n v="74000"/>
    <n v="1"/>
    <x v="2"/>
    <n v="20.14"/>
    <n v="38"/>
    <x v="4"/>
    <s v="東中野駅"/>
    <n v="5"/>
    <n v="10.67"/>
    <n v="144436.73000000001"/>
    <n v="95329.65"/>
    <n v="648"/>
    <n v="1622"/>
    <s v="20-30"/>
    <x v="4"/>
  </r>
  <r>
    <s v="https://suumo.jp/chintai/jnc_000104432888/?bc=100485745006"/>
    <s v="オークハイツ"/>
    <s v="東京都新宿区北新宿３"/>
    <n v="74000"/>
    <n v="3000"/>
    <m/>
    <n v="74000"/>
    <n v="1"/>
    <x v="2"/>
    <n v="21.28"/>
    <n v="38"/>
    <x v="4"/>
    <s v="東中野駅"/>
    <n v="5"/>
    <n v="10.67"/>
    <n v="144436.73000000001"/>
    <n v="95329.65"/>
    <n v="648"/>
    <n v="1622"/>
    <s v="20-30"/>
    <x v="4"/>
  </r>
  <r>
    <s v="https://suumo.jp/chintai/jnc_000094929118/?bc=100486257220"/>
    <s v="オークハイツ"/>
    <s v="東京都新宿区北新宿３"/>
    <n v="77000"/>
    <n v="3000"/>
    <m/>
    <n v="77000"/>
    <n v="2"/>
    <x v="2"/>
    <n v="21.28"/>
    <n v="38"/>
    <x v="4"/>
    <s v="東中野駅"/>
    <n v="5"/>
    <n v="10.67"/>
    <n v="144436.73000000001"/>
    <n v="95329.65"/>
    <n v="648"/>
    <n v="1622"/>
    <s v="20-30"/>
    <x v="4"/>
  </r>
  <r>
    <s v="https://suumo.jp/chintai/jnc_000104162756/?bc=100394459140"/>
    <s v="オークパーク"/>
    <s v="東京都新宿区北新宿４"/>
    <n v="94000"/>
    <n v="4500"/>
    <m/>
    <n v="94000"/>
    <n v="3"/>
    <x v="2"/>
    <n v="25.05"/>
    <n v="15"/>
    <x v="2"/>
    <s v="東中野駅"/>
    <n v="10"/>
    <n v="12.67"/>
    <n v="144436.73000000001"/>
    <n v="95329.65"/>
    <n v="648"/>
    <n v="1622"/>
    <s v="20-30"/>
    <x v="7"/>
  </r>
  <r>
    <s v="https://suumo.jp/chintai/jnc_000103814191/?bc=100481229207"/>
    <s v="カルチャーコーポII"/>
    <s v="東京都中野区東中野２"/>
    <n v="75000"/>
    <n v="2000"/>
    <n v="75000"/>
    <n v="75000"/>
    <n v="1"/>
    <x v="2"/>
    <n v="23.83"/>
    <n v="35"/>
    <x v="2"/>
    <s v="東中野駅"/>
    <n v="5"/>
    <n v="9.33"/>
    <n v="144436.73000000001"/>
    <n v="95329.65"/>
    <n v="648"/>
    <n v="1622"/>
    <s v="20-30"/>
    <x v="4"/>
  </r>
  <r>
    <s v="https://suumo.jp/chintai/jnc_000103761979/?bc=100481130444"/>
    <s v="カーサケルクス"/>
    <s v="東京都新宿区北新宿４"/>
    <n v="66000"/>
    <n v="7000"/>
    <n v="66000"/>
    <n v="33000"/>
    <n v="2"/>
    <x v="2"/>
    <n v="18.97"/>
    <n v="38"/>
    <x v="2"/>
    <s v="東中野駅"/>
    <n v="6"/>
    <n v="7.33"/>
    <n v="144436.73000000001"/>
    <n v="95329.65"/>
    <n v="648"/>
    <n v="1622"/>
    <s v="10-20"/>
    <x v="4"/>
  </r>
  <r>
    <s v="https://suumo.jp/chintai/jnc_000100315545/?bc=100471035541"/>
    <s v="クレールＯＳＹ"/>
    <s v="東京都中野区東中野４"/>
    <n v="105000"/>
    <n v="10000"/>
    <m/>
    <n v="60000"/>
    <n v="4"/>
    <x v="2"/>
    <n v="23.22"/>
    <n v="24"/>
    <x v="5"/>
    <s v="東中野駅"/>
    <n v="3"/>
    <n v="7"/>
    <n v="144436.73000000001"/>
    <n v="95329.65"/>
    <n v="648"/>
    <n v="1622"/>
    <s v="20-30"/>
    <x v="1"/>
  </r>
  <r>
    <s v="https://suumo.jp/chintai/jnc_000102213051/?bc=100458425923"/>
    <s v="グランカーサ東中野"/>
    <s v="東京都中野区東中野１"/>
    <n v="143000"/>
    <n v="10000"/>
    <m/>
    <m/>
    <n v="5"/>
    <x v="2"/>
    <n v="26.19"/>
    <n v="3"/>
    <x v="3"/>
    <s v="東中野駅"/>
    <n v="3"/>
    <n v="9.67"/>
    <n v="144436.73000000001"/>
    <n v="95329.65"/>
    <n v="648"/>
    <n v="1622"/>
    <s v="20-30"/>
    <x v="0"/>
  </r>
  <r>
    <s v="https://suumo.jp/chintai/jnc_000085459492/?bc=100445482215"/>
    <s v="グランハイツ東中野"/>
    <s v="東京都中野区東中野１"/>
    <n v="109000"/>
    <n v="6000"/>
    <n v="109000"/>
    <n v="109000"/>
    <n v="1"/>
    <x v="2"/>
    <n v="27.56"/>
    <n v="20"/>
    <x v="7"/>
    <s v="東中野駅"/>
    <n v="2"/>
    <n v="5.67"/>
    <n v="144436.73000000001"/>
    <n v="95329.65"/>
    <n v="648"/>
    <n v="1622"/>
    <s v="20-30"/>
    <x v="7"/>
  </r>
  <r>
    <s v="https://suumo.jp/chintai/jnc_000104222990/?bc=100484438800"/>
    <s v="グランハイツ東中野"/>
    <s v="東京都中野区東中野１"/>
    <n v="119000"/>
    <n v="6000"/>
    <n v="119000"/>
    <n v="119000"/>
    <n v="1"/>
    <x v="2"/>
    <n v="27.56"/>
    <n v="20"/>
    <x v="7"/>
    <s v="東中野駅"/>
    <n v="2"/>
    <n v="5.67"/>
    <n v="144436.73000000001"/>
    <n v="95329.65"/>
    <n v="648"/>
    <n v="1622"/>
    <s v="20-30"/>
    <x v="7"/>
  </r>
  <r>
    <s v="https://suumo.jp/chintai/jnc_000102837196/?bc=100477773540"/>
    <s v="グランハイツ東中野"/>
    <s v="東京都中野区東中野１"/>
    <n v="121000"/>
    <n v="6000"/>
    <n v="121000"/>
    <n v="121000"/>
    <n v="2"/>
    <x v="2"/>
    <n v="26.82"/>
    <n v="20"/>
    <x v="7"/>
    <s v="東中野駅"/>
    <n v="2"/>
    <n v="5.67"/>
    <n v="144436.73000000001"/>
    <n v="95329.65"/>
    <n v="648"/>
    <n v="1622"/>
    <s v="20-30"/>
    <x v="7"/>
  </r>
  <r>
    <s v="https://suumo.jp/chintai/jnc_000104170657/?bc=100483716386"/>
    <s v="グランピア東中野駅前"/>
    <s v="東京都中野区東中野４"/>
    <n v="140000"/>
    <n v="10000"/>
    <n v="140000"/>
    <m/>
    <n v="2"/>
    <x v="2"/>
    <n v="25.3"/>
    <n v="2"/>
    <x v="4"/>
    <s v="東中野駅"/>
    <n v="1"/>
    <n v="12.33"/>
    <n v="144436.73000000001"/>
    <n v="95329.65"/>
    <n v="648"/>
    <n v="1622"/>
    <s v="20-30"/>
    <x v="0"/>
  </r>
  <r>
    <s v="https://suumo.jp/chintai/jnc_000103491791/?bc=100482475590"/>
    <s v="グランヴァン東中野III"/>
    <s v="東京都新宿区北新宿４"/>
    <n v="130000"/>
    <n v="10000"/>
    <n v="130000"/>
    <n v="130000"/>
    <n v="6"/>
    <x v="2"/>
    <n v="28.3"/>
    <n v="22"/>
    <x v="6"/>
    <s v="東中野駅"/>
    <n v="7"/>
    <n v="10"/>
    <n v="144436.73000000001"/>
    <n v="95329.65"/>
    <n v="648"/>
    <n v="1622"/>
    <s v="20-30"/>
    <x v="1"/>
  </r>
  <r>
    <s v="https://suumo.jp/chintai/jnc_000103379765/?bc=100477951415"/>
    <s v="グランヴァン東中野III"/>
    <s v="東京都新宿区北新宿４"/>
    <n v="79000"/>
    <n v="15000"/>
    <m/>
    <n v="79000"/>
    <n v="7"/>
    <x v="2"/>
    <n v="22.95"/>
    <n v="22"/>
    <x v="6"/>
    <s v="東中野駅"/>
    <n v="7"/>
    <n v="10"/>
    <n v="144436.73000000001"/>
    <n v="95329.65"/>
    <n v="648"/>
    <n v="1622"/>
    <s v="20-30"/>
    <x v="1"/>
  </r>
  <r>
    <s v="https://suumo.jp/chintai/jnc_000102361075/?bc=100482514901"/>
    <s v="コンフォリア・リヴ北新宿"/>
    <s v="東京都新宿区北新宿４"/>
    <n v="140000"/>
    <n v="10000"/>
    <n v="140000"/>
    <m/>
    <n v="2"/>
    <x v="2"/>
    <n v="25.05"/>
    <n v="2"/>
    <x v="13"/>
    <s v="東中野駅"/>
    <n v="9"/>
    <n v="12.33"/>
    <n v="144436.73000000001"/>
    <n v="95329.65"/>
    <n v="648"/>
    <n v="1622"/>
    <s v="20-30"/>
    <x v="0"/>
  </r>
  <r>
    <s v="https://suumo.jp/chintai/jnc_000102361079/?bc=100461442552"/>
    <s v="コンフォリア・リヴ北新宿"/>
    <s v="東京都新宿区北新宿４"/>
    <n v="144000"/>
    <n v="10000"/>
    <n v="144000"/>
    <m/>
    <n v="4"/>
    <x v="2"/>
    <n v="25.05"/>
    <n v="2"/>
    <x v="13"/>
    <s v="東中野駅"/>
    <n v="9"/>
    <n v="12.33"/>
    <n v="144436.73000000001"/>
    <n v="95329.65"/>
    <n v="648"/>
    <n v="1622"/>
    <s v="20-30"/>
    <x v="0"/>
  </r>
  <r>
    <s v="https://suumo.jp/chintai/jnc_000102361084/?bc=100479320942"/>
    <s v="コンフォリア・リヴ北新宿"/>
    <s v="東京都新宿区北新宿４"/>
    <n v="148000"/>
    <n v="10000"/>
    <n v="148000"/>
    <m/>
    <n v="7"/>
    <x v="2"/>
    <n v="25.05"/>
    <n v="2"/>
    <x v="13"/>
    <s v="東中野駅"/>
    <n v="9"/>
    <n v="12.33"/>
    <n v="144436.73000000001"/>
    <n v="95329.65"/>
    <n v="648"/>
    <n v="1622"/>
    <s v="20-30"/>
    <x v="0"/>
  </r>
  <r>
    <s v="https://suumo.jp/chintai/jnc_000102361085/?bc=100469036453"/>
    <s v="コンフォリア・リヴ北新宿"/>
    <s v="東京都新宿区北新宿４"/>
    <n v="149000"/>
    <n v="10000"/>
    <n v="149000"/>
    <m/>
    <n v="8"/>
    <x v="2"/>
    <n v="25.05"/>
    <n v="2"/>
    <x v="13"/>
    <s v="東中野駅"/>
    <n v="9"/>
    <n v="12.33"/>
    <n v="144436.73000000001"/>
    <n v="95329.65"/>
    <n v="648"/>
    <n v="1622"/>
    <s v="20-30"/>
    <x v="0"/>
  </r>
  <r>
    <s v="https://suumo.jp/chintai/jnc_000103130117/?bc=100478218426"/>
    <s v="コンフォリア東中野ＤＥＵＸ"/>
    <s v="東京都中野区東中野４"/>
    <n v="126000"/>
    <n v="7000"/>
    <n v="126000"/>
    <m/>
    <n v="5"/>
    <x v="2"/>
    <n v="23.82"/>
    <n v="17"/>
    <x v="1"/>
    <s v="東中野駅"/>
    <n v="2"/>
    <n v="5.33"/>
    <n v="144436.73000000001"/>
    <n v="95329.65"/>
    <n v="648"/>
    <n v="1622"/>
    <s v="20-30"/>
    <x v="7"/>
  </r>
  <r>
    <s v="https://suumo.jp/chintai/jnc_000104438130/?bc=100485948656"/>
    <s v="サクラハイツ"/>
    <s v="東京都中野区東中野３"/>
    <n v="75000"/>
    <n v="2000"/>
    <n v="75000"/>
    <n v="75000"/>
    <n v="2"/>
    <x v="2"/>
    <n v="19.87"/>
    <n v="16"/>
    <x v="2"/>
    <s v="東中野駅"/>
    <n v="3"/>
    <n v="8.33"/>
    <n v="144436.73000000001"/>
    <n v="95329.65"/>
    <n v="648"/>
    <n v="1622"/>
    <s v="10-20"/>
    <x v="7"/>
  </r>
  <r>
    <s v="https://suumo.jp/chintai/jnc_000104454986/?bc=100485793182"/>
    <s v="サンライズアサヒビル"/>
    <s v="東京都中野区東中野１"/>
    <n v="73000"/>
    <n v="7000"/>
    <n v="73000"/>
    <n v="73000"/>
    <n v="2"/>
    <x v="2"/>
    <n v="19"/>
    <n v="23"/>
    <x v="10"/>
    <s v="東中野駅"/>
    <n v="1"/>
    <n v="5"/>
    <n v="144436.73000000001"/>
    <n v="95329.65"/>
    <n v="648"/>
    <n v="1622"/>
    <s v="10-20"/>
    <x v="1"/>
  </r>
  <r>
    <s v="https://suumo.jp/chintai/jnc_000104196482/?bc=100483727417"/>
    <s v="サンライズ東中野"/>
    <s v="東京都中野区東中野４"/>
    <n v="65000"/>
    <n v="4500"/>
    <n v="65000"/>
    <n v="65000"/>
    <n v="1"/>
    <x v="2"/>
    <n v="23.77"/>
    <n v="38"/>
    <x v="4"/>
    <s v="東中野駅"/>
    <n v="3"/>
    <n v="5.33"/>
    <n v="144436.73000000001"/>
    <n v="95329.65"/>
    <n v="648"/>
    <n v="1622"/>
    <s v="20-30"/>
    <x v="4"/>
  </r>
  <r>
    <s v="https://suumo.jp/chintai/jnc_000104222995/?bc=100485252936"/>
    <s v="ザ・プレミアムキューブG東中野"/>
    <s v="東京都中野区東中野５"/>
    <n v="130000"/>
    <n v="15000"/>
    <n v="130000"/>
    <n v="130000"/>
    <n v="1"/>
    <x v="2"/>
    <n v="25.5"/>
    <n v="3"/>
    <x v="7"/>
    <s v="東中野駅"/>
    <n v="7"/>
    <n v="9.33"/>
    <n v="144436.73000000001"/>
    <n v="95329.65"/>
    <n v="648"/>
    <n v="1622"/>
    <s v="20-30"/>
    <x v="0"/>
  </r>
  <r>
    <s v="https://suumo.jp/chintai/jnc_000104222994/?bc=100485252923"/>
    <s v="ザ・プレミアムキューブG東中野"/>
    <s v="東京都中野区東中野５"/>
    <n v="144000"/>
    <n v="15000"/>
    <n v="144000"/>
    <n v="144000"/>
    <n v="1"/>
    <x v="2"/>
    <n v="31.35"/>
    <n v="3"/>
    <x v="7"/>
    <s v="東中野駅"/>
    <n v="7"/>
    <n v="9.33"/>
    <n v="144436.73000000001"/>
    <n v="95329.65"/>
    <n v="648"/>
    <n v="1622"/>
    <s v="30-40"/>
    <x v="0"/>
  </r>
  <r>
    <s v="https://suumo.jp/chintai/jnc_000104222996/?bc=100483943097"/>
    <s v="ザ・プレミアムキューブG東中野"/>
    <s v="東京都中野区東中野５"/>
    <n v="140000"/>
    <n v="15000"/>
    <n v="140000"/>
    <n v="140000"/>
    <n v="2"/>
    <x v="2"/>
    <n v="28.87"/>
    <n v="3"/>
    <x v="7"/>
    <s v="東中野駅"/>
    <n v="7"/>
    <n v="9.33"/>
    <n v="144436.73000000001"/>
    <n v="95329.65"/>
    <n v="648"/>
    <n v="1622"/>
    <s v="20-30"/>
    <x v="0"/>
  </r>
  <r>
    <s v="https://suumo.jp/chintai/jnc_000104223001/?bc=100485252931"/>
    <s v="ザ・プレミアムキューブG東中野"/>
    <s v="東京都中野区東中野５"/>
    <n v="135000"/>
    <n v="15000"/>
    <n v="135000"/>
    <n v="135000"/>
    <n v="3"/>
    <x v="2"/>
    <n v="25.5"/>
    <n v="3"/>
    <x v="7"/>
    <s v="東中野駅"/>
    <n v="7"/>
    <n v="9.33"/>
    <n v="144436.73000000001"/>
    <n v="95329.65"/>
    <n v="648"/>
    <n v="1622"/>
    <s v="20-30"/>
    <x v="0"/>
  </r>
  <r>
    <s v="https://suumo.jp/chintai/jnc_000104442918/?bc=100483942807"/>
    <s v="ザ・プレミアムキューブG東中野"/>
    <s v="東京都中野区東中野５"/>
    <n v="139000"/>
    <n v="15000"/>
    <n v="139000"/>
    <n v="139000"/>
    <n v="3"/>
    <x v="2"/>
    <n v="25.5"/>
    <n v="3"/>
    <x v="7"/>
    <s v="東中野駅"/>
    <n v="7"/>
    <n v="9.33"/>
    <n v="144436.73000000001"/>
    <n v="95329.65"/>
    <n v="648"/>
    <n v="1622"/>
    <s v="20-30"/>
    <x v="0"/>
  </r>
  <r>
    <s v="https://suumo.jp/chintai/jnc_000104222999/?bc=100483124456"/>
    <s v="ザ・プレミアムキューブG東中野"/>
    <s v="東京都中野区東中野５"/>
    <n v="145000"/>
    <n v="15000"/>
    <n v="145000"/>
    <n v="145000"/>
    <n v="3"/>
    <x v="2"/>
    <n v="28.87"/>
    <n v="3"/>
    <x v="7"/>
    <s v="東中野駅"/>
    <n v="7"/>
    <n v="9.33"/>
    <n v="144436.73000000001"/>
    <n v="95329.65"/>
    <n v="648"/>
    <n v="1622"/>
    <s v="20-30"/>
    <x v="0"/>
  </r>
  <r>
    <s v="https://suumo.jp/chintai/jnc_000103960462/?bc=100482018236"/>
    <s v="シティハイム　ゾンネ"/>
    <s v="東京都中野区東中野３"/>
    <n v="79000"/>
    <n v="4000"/>
    <n v="79000"/>
    <n v="118500"/>
    <n v="1"/>
    <x v="2"/>
    <n v="18.63"/>
    <n v="38"/>
    <x v="0"/>
    <s v="東中野駅"/>
    <n v="4"/>
    <n v="5"/>
    <n v="144436.73000000001"/>
    <n v="95329.65"/>
    <n v="648"/>
    <n v="1622"/>
    <s v="10-20"/>
    <x v="4"/>
  </r>
  <r>
    <s v="https://suumo.jp/chintai/jnc_000091825426/?bc=100478804714"/>
    <s v="シンシア東中野"/>
    <s v="東京都新宿区北新宿４"/>
    <n v="86000"/>
    <n v="10000"/>
    <n v="43000"/>
    <n v="86000"/>
    <n v="3"/>
    <x v="2"/>
    <n v="21.49"/>
    <n v="23"/>
    <x v="5"/>
    <s v="東中野駅"/>
    <n v="11"/>
    <n v="13.67"/>
    <n v="144436.73000000001"/>
    <n v="95329.65"/>
    <n v="648"/>
    <n v="1622"/>
    <s v="20-30"/>
    <x v="1"/>
  </r>
  <r>
    <s v="https://suumo.jp/chintai/jnc_000103575231/?bc=100479005400"/>
    <s v="シンシア東中野"/>
    <s v="東京都新宿区北新宿４"/>
    <n v="92000"/>
    <n v="10000"/>
    <n v="46000"/>
    <n v="92000"/>
    <n v="3"/>
    <x v="2"/>
    <n v="22.47"/>
    <n v="23"/>
    <x v="5"/>
    <s v="東中野駅"/>
    <n v="11"/>
    <n v="13.67"/>
    <n v="144436.73000000001"/>
    <n v="95329.65"/>
    <n v="648"/>
    <n v="1622"/>
    <s v="20-30"/>
    <x v="1"/>
  </r>
  <r>
    <s v="https://suumo.jp/chintai/jnc_000103454058/?bc=100479263205"/>
    <s v="シンシア東中野"/>
    <s v="東京都新宿区北新宿４"/>
    <n v="97000"/>
    <n v="5000"/>
    <m/>
    <n v="97000"/>
    <n v="4"/>
    <x v="2"/>
    <n v="21.97"/>
    <n v="23"/>
    <x v="5"/>
    <s v="東中野駅"/>
    <n v="11"/>
    <n v="13.67"/>
    <n v="144436.73000000001"/>
    <n v="95329.65"/>
    <n v="648"/>
    <n v="1622"/>
    <s v="20-30"/>
    <x v="1"/>
  </r>
  <r>
    <s v="https://suumo.jp/chintai/jnc_000103362608/?bc=100486400209"/>
    <s v="ジーズ・キャビン北新宿"/>
    <s v="東京都新宿区北新宿３"/>
    <n v="75000"/>
    <n v="3000"/>
    <n v="75000"/>
    <n v="75000"/>
    <n v="1"/>
    <x v="2"/>
    <n v="23.14"/>
    <n v="29"/>
    <x v="2"/>
    <s v="東中野駅"/>
    <n v="4"/>
    <n v="9"/>
    <n v="144436.73000000001"/>
    <n v="95329.65"/>
    <n v="648"/>
    <n v="1622"/>
    <s v="20-30"/>
    <x v="1"/>
  </r>
  <r>
    <s v="https://suumo.jp/chintai/jnc_000104491575/?bc=100486239007"/>
    <s v="スカイコート新宿第7"/>
    <s v="東京都新宿区北新宿４"/>
    <n v="68000"/>
    <n v="6000"/>
    <n v="68000"/>
    <n v="68000"/>
    <n v="4"/>
    <x v="2"/>
    <n v="19.04"/>
    <n v="30"/>
    <x v="7"/>
    <s v="東中野駅"/>
    <n v="5"/>
    <n v="9.33"/>
    <n v="144436.73000000001"/>
    <n v="95329.65"/>
    <n v="648"/>
    <n v="1622"/>
    <s v="10-20"/>
    <x v="1"/>
  </r>
  <r>
    <s v="https://suumo.jp/chintai/jnc_000103750104/?bc=100480282309"/>
    <s v="スカイコート新宿第8"/>
    <s v="東京都新宿区北新宿４"/>
    <n v="96000"/>
    <n v="11000"/>
    <m/>
    <n v="96000"/>
    <n v="5"/>
    <x v="2"/>
    <n v="19.25"/>
    <n v="29"/>
    <x v="9"/>
    <s v="東中野駅"/>
    <n v="8"/>
    <n v="10"/>
    <n v="144436.73000000001"/>
    <n v="95329.65"/>
    <n v="648"/>
    <n v="1622"/>
    <s v="10-20"/>
    <x v="1"/>
  </r>
  <r>
    <s v="https://suumo.jp/chintai/jnc_000104473648/?bc=100485945398"/>
    <s v="スペース"/>
    <s v="東京都新宿区北新宿３"/>
    <n v="75000"/>
    <n v="10000"/>
    <m/>
    <m/>
    <n v="1"/>
    <x v="2"/>
    <n v="22.86"/>
    <n v="34"/>
    <x v="0"/>
    <s v="東中野駅"/>
    <n v="5"/>
    <n v="10.67"/>
    <n v="144436.73000000001"/>
    <n v="95329.65"/>
    <n v="648"/>
    <n v="1622"/>
    <s v="20-30"/>
    <x v="4"/>
  </r>
  <r>
    <s v="https://suumo.jp/chintai/jnc_000104156742/?bc=100483366774"/>
    <s v="センチュリーハイツ"/>
    <s v="東京都中野区上高田１"/>
    <n v="72000"/>
    <n v="6000"/>
    <n v="72000"/>
    <n v="72000"/>
    <n v="1"/>
    <x v="2"/>
    <n v="24.41"/>
    <n v="49"/>
    <x v="0"/>
    <s v="東中野駅"/>
    <n v="10"/>
    <n v="13"/>
    <n v="144436.73000000001"/>
    <n v="95329.65"/>
    <n v="648"/>
    <n v="1622"/>
    <s v="20-30"/>
    <x v="3"/>
  </r>
  <r>
    <s v="https://suumo.jp/chintai/jnc_000104003966/?bc=100483165279"/>
    <s v="タウンハウス東中野"/>
    <s v="東京都中野区上高田１"/>
    <n v="70000"/>
    <n v="4000"/>
    <n v="70000"/>
    <n v="70000"/>
    <n v="1"/>
    <x v="2"/>
    <n v="18.5"/>
    <n v="19"/>
    <x v="0"/>
    <s v="東中野駅"/>
    <n v="10"/>
    <n v="10.33"/>
    <n v="144436.73000000001"/>
    <n v="95329.65"/>
    <n v="648"/>
    <n v="1622"/>
    <s v="10-20"/>
    <x v="7"/>
  </r>
  <r>
    <s v="https://suumo.jp/chintai/jnc_000103987638/?bc=100482032705"/>
    <s v="トゥールビヨン"/>
    <s v="東京都中野区東中野２"/>
    <n v="95000"/>
    <n v="5000"/>
    <n v="95000"/>
    <n v="95000"/>
    <n v="2"/>
    <x v="2"/>
    <n v="24.01"/>
    <n v="22"/>
    <x v="9"/>
    <s v="東中野駅"/>
    <n v="4"/>
    <n v="9"/>
    <n v="144436.73000000001"/>
    <n v="95329.65"/>
    <n v="648"/>
    <n v="1622"/>
    <s v="20-30"/>
    <x v="1"/>
  </r>
  <r>
    <s v="https://suumo.jp/chintai/jnc_000104464980/?bc=100485876139"/>
    <s v="トレス・プラタ東中野"/>
    <s v="東京都中野区東中野５"/>
    <n v="72000"/>
    <n v="6000"/>
    <m/>
    <m/>
    <n v="2"/>
    <x v="2"/>
    <n v="20.02"/>
    <n v="34"/>
    <x v="7"/>
    <s v="東中野駅"/>
    <n v="4"/>
    <n v="10.33"/>
    <n v="144436.73000000001"/>
    <n v="95329.65"/>
    <n v="648"/>
    <n v="1622"/>
    <s v="20-30"/>
    <x v="4"/>
  </r>
  <r>
    <s v="https://suumo.jp/chintai/jnc_000104003323/?bc=100474951859"/>
    <s v="ドルチェ ドミール"/>
    <s v="東京都新宿区北新宿４"/>
    <n v="115000"/>
    <n v="14000"/>
    <m/>
    <n v="115000"/>
    <n v="5"/>
    <x v="2"/>
    <n v="26.83"/>
    <n v="10"/>
    <x v="6"/>
    <s v="東中野駅"/>
    <n v="5"/>
    <n v="10"/>
    <n v="144436.73000000001"/>
    <n v="95329.65"/>
    <n v="648"/>
    <n v="1622"/>
    <s v="20-30"/>
    <x v="0"/>
  </r>
  <r>
    <s v="https://suumo.jp/chintai/jnc_000102880356/?bc=100477343177"/>
    <s v="ドルチェ ドミール"/>
    <s v="東京都新宿区北新宿４"/>
    <n v="125000"/>
    <n v="14000"/>
    <m/>
    <n v="125000"/>
    <n v="5"/>
    <x v="2"/>
    <n v="26.83"/>
    <n v="10"/>
    <x v="6"/>
    <s v="東中野駅"/>
    <n v="5"/>
    <n v="10"/>
    <n v="144436.73000000001"/>
    <n v="95329.65"/>
    <n v="648"/>
    <n v="1622"/>
    <s v="20-30"/>
    <x v="0"/>
  </r>
  <r>
    <s v="https://suumo.jp/chintai/jnc_000104464198/?bc=100485866986"/>
    <s v="ドルチェ ドミール"/>
    <s v="東京都新宿区北新宿４"/>
    <n v="125000"/>
    <n v="14000"/>
    <m/>
    <n v="125000"/>
    <n v="7"/>
    <x v="2"/>
    <n v="26.83"/>
    <n v="10"/>
    <x v="6"/>
    <s v="東中野駅"/>
    <n v="5"/>
    <n v="10"/>
    <n v="144436.73000000001"/>
    <n v="95329.65"/>
    <n v="648"/>
    <n v="1622"/>
    <s v="20-30"/>
    <x v="0"/>
  </r>
  <r>
    <s v="https://suumo.jp/chintai/jnc_000104499531/?bc=100486214607"/>
    <s v="ハウスシュウ"/>
    <s v="東京都中野区東中野１"/>
    <n v="57000"/>
    <n v="1000"/>
    <m/>
    <m/>
    <n v="1"/>
    <x v="2"/>
    <n v="19"/>
    <n v="56"/>
    <x v="0"/>
    <s v="東中野駅"/>
    <n v="3"/>
    <n v="8.67"/>
    <n v="144436.73000000001"/>
    <n v="95329.65"/>
    <n v="648"/>
    <n v="1622"/>
    <s v="10-20"/>
    <x v="5"/>
  </r>
  <r>
    <s v="https://suumo.jp/chintai/jnc_000104492007/?bc=100486109249"/>
    <s v="パティーナエーレ東中野"/>
    <s v="東京都中野区東中野１"/>
    <n v="119000"/>
    <n v="10000"/>
    <m/>
    <n v="119000"/>
    <n v="2"/>
    <x v="2"/>
    <n v="25.52"/>
    <n v="8"/>
    <x v="1"/>
    <s v="東中野駅"/>
    <n v="2"/>
    <n v="10"/>
    <n v="144436.73000000001"/>
    <n v="95329.65"/>
    <n v="648"/>
    <n v="1622"/>
    <s v="20-30"/>
    <x v="0"/>
  </r>
  <r>
    <s v="https://suumo.jp/chintai/jnc_000104086236/?bc=100482868077"/>
    <s v="パティーナエーレ東中野"/>
    <s v="東京都中野区東中野１"/>
    <n v="110000"/>
    <n v="15000"/>
    <m/>
    <n v="110000"/>
    <n v="3"/>
    <x v="2"/>
    <n v="25.77"/>
    <n v="8"/>
    <x v="1"/>
    <s v="東中野駅"/>
    <n v="2"/>
    <n v="10"/>
    <n v="144436.73000000001"/>
    <n v="95329.65"/>
    <n v="648"/>
    <n v="1622"/>
    <s v="20-30"/>
    <x v="0"/>
  </r>
  <r>
    <s v="https://suumo.jp/chintai/jnc_000098984448/?bc=100480866738"/>
    <s v="パティーナエーレ東中野"/>
    <s v="東京都中野区東中野１"/>
    <n v="145000"/>
    <n v="11000"/>
    <m/>
    <n v="145000"/>
    <n v="8"/>
    <x v="2"/>
    <n v="26.06"/>
    <n v="8"/>
    <x v="1"/>
    <s v="東中野駅"/>
    <n v="2"/>
    <n v="10"/>
    <n v="144436.73000000001"/>
    <n v="95329.65"/>
    <n v="648"/>
    <n v="1622"/>
    <s v="20-30"/>
    <x v="0"/>
  </r>
  <r>
    <s v="https://suumo.jp/chintai/jnc_000104222333/?bc=100474380612"/>
    <s v="パークサイドスクウェア北新宿"/>
    <s v="東京都新宿区北新宿４"/>
    <n v="112000"/>
    <n v="6000"/>
    <n v="112000"/>
    <n v="112000"/>
    <n v="3"/>
    <x v="2"/>
    <n v="30.72"/>
    <n v="23"/>
    <x v="4"/>
    <s v="東中野駅"/>
    <n v="8"/>
    <n v="8"/>
    <n v="144436.73000000001"/>
    <n v="95329.65"/>
    <n v="648"/>
    <n v="1622"/>
    <s v="30-40"/>
    <x v="1"/>
  </r>
  <r>
    <s v="https://suumo.jp/chintai/jnc_000103750511/?bc=100480299989"/>
    <s v="フェリス中野"/>
    <s v="東京都中野区上高田１"/>
    <n v="73000"/>
    <n v="2000"/>
    <n v="73000"/>
    <n v="73000"/>
    <n v="1"/>
    <x v="2"/>
    <n v="15.4"/>
    <n v="33"/>
    <x v="2"/>
    <s v="東中野駅"/>
    <n v="10"/>
    <n v="11"/>
    <n v="144436.73000000001"/>
    <n v="95329.65"/>
    <n v="648"/>
    <n v="1622"/>
    <s v="10-20"/>
    <x v="4"/>
  </r>
  <r>
    <s v="https://suumo.jp/chintai/jnc_000103750512/?bc=100473440488"/>
    <s v="フェリス中野"/>
    <s v="東京都中野区上高田１"/>
    <n v="74000"/>
    <n v="2000"/>
    <n v="74000"/>
    <n v="74000"/>
    <n v="1"/>
    <x v="2"/>
    <n v="15.4"/>
    <n v="33"/>
    <x v="2"/>
    <s v="東中野駅"/>
    <n v="10"/>
    <n v="11"/>
    <n v="144436.73000000001"/>
    <n v="95329.65"/>
    <n v="648"/>
    <n v="1622"/>
    <s v="10-20"/>
    <x v="4"/>
  </r>
  <r>
    <s v="https://suumo.jp/chintai/jnc_000103929263/?bc=100482928011"/>
    <s v="フェリス中野"/>
    <s v="東京都中野区上高田１"/>
    <n v="77000"/>
    <n v="2000"/>
    <n v="77000"/>
    <n v="77000"/>
    <n v="2"/>
    <x v="2"/>
    <n v="15.4"/>
    <n v="33"/>
    <x v="2"/>
    <s v="東中野駅"/>
    <n v="10"/>
    <n v="11"/>
    <n v="144436.73000000001"/>
    <n v="95329.65"/>
    <n v="648"/>
    <n v="1622"/>
    <s v="10-20"/>
    <x v="4"/>
  </r>
  <r>
    <s v="https://suumo.jp/chintai/jnc_000049476705/?bc=100482936475"/>
    <s v="フラットグランマ北新宿"/>
    <s v="東京都新宿区北新宿４"/>
    <n v="110000"/>
    <m/>
    <n v="110000"/>
    <n v="110000"/>
    <n v="2"/>
    <x v="2"/>
    <n v="33.97"/>
    <n v="19"/>
    <x v="2"/>
    <s v="東中野駅"/>
    <n v="7"/>
    <n v="9.33"/>
    <n v="144436.73000000001"/>
    <n v="95329.65"/>
    <n v="648"/>
    <n v="1622"/>
    <s v="30-40"/>
    <x v="7"/>
  </r>
  <r>
    <s v="https://suumo.jp/chintai/jnc_000049493800/?bc=100483166296"/>
    <s v="フラットグランマ北新宿"/>
    <s v="東京都新宿区北新宿４"/>
    <n v="110000"/>
    <m/>
    <n v="110000"/>
    <n v="110000"/>
    <n v="3"/>
    <x v="2"/>
    <n v="33.97"/>
    <n v="19"/>
    <x v="2"/>
    <s v="東中野駅"/>
    <n v="7"/>
    <n v="9.33"/>
    <n v="144436.73000000001"/>
    <n v="95329.65"/>
    <n v="648"/>
    <n v="1622"/>
    <s v="30-40"/>
    <x v="7"/>
  </r>
  <r>
    <s v="https://suumo.jp/chintai/jnc_000104532502/?bc=100486297351"/>
    <s v="フローラ東中野"/>
    <s v="東京都中野区東中野３"/>
    <n v="72000"/>
    <m/>
    <n v="72000"/>
    <n v="72000"/>
    <n v="2"/>
    <x v="2"/>
    <n v="18"/>
    <n v="24"/>
    <x v="0"/>
    <s v="東中野駅"/>
    <n v="7"/>
    <n v="10.67"/>
    <n v="144436.73000000001"/>
    <n v="95329.65"/>
    <n v="648"/>
    <n v="1622"/>
    <s v="10-20"/>
    <x v="1"/>
  </r>
  <r>
    <s v="https://suumo.jp/chintai/jnc_000104357247/?bc=100483920398"/>
    <s v="プチハウス"/>
    <s v="東京都中野区東中野４"/>
    <n v="68000"/>
    <m/>
    <n v="68000"/>
    <m/>
    <n v="2"/>
    <x v="2"/>
    <n v="25"/>
    <n v="32"/>
    <x v="4"/>
    <s v="東中野駅"/>
    <n v="1"/>
    <n v="6.67"/>
    <n v="144436.73000000001"/>
    <n v="95329.65"/>
    <n v="648"/>
    <n v="1622"/>
    <s v="20-30"/>
    <x v="4"/>
  </r>
  <r>
    <s v="https://suumo.jp/chintai/jnc_000104241025/?bc=100484190409"/>
    <s v="プライムアーバン新宿落合"/>
    <s v="東京都新宿区北新宿４"/>
    <n v="106000"/>
    <n v="6000"/>
    <n v="106000"/>
    <n v="106000"/>
    <n v="2"/>
    <x v="2"/>
    <n v="25.94"/>
    <n v="31"/>
    <x v="7"/>
    <s v="東中野駅"/>
    <n v="9"/>
    <n v="11.67"/>
    <n v="144436.73000000001"/>
    <n v="95329.65"/>
    <n v="648"/>
    <n v="1622"/>
    <s v="20-30"/>
    <x v="4"/>
  </r>
  <r>
    <s v="https://suumo.jp/chintai/jnc_000102671844/?bc=100472017257"/>
    <s v="プラトリエ北新宿"/>
    <s v="東京都新宿区北新宿４"/>
    <n v="117000"/>
    <n v="8000"/>
    <m/>
    <m/>
    <n v="5"/>
    <x v="2"/>
    <n v="25.36"/>
    <n v="5"/>
    <x v="6"/>
    <s v="東中野駅"/>
    <n v="8"/>
    <n v="14"/>
    <n v="144436.73000000001"/>
    <n v="95329.65"/>
    <n v="648"/>
    <n v="1622"/>
    <s v="20-30"/>
    <x v="0"/>
  </r>
  <r>
    <s v="https://suumo.jp/chintai/jnc_000104473649/?bc=100419619031"/>
    <s v="プレール・ドゥーク北新宿"/>
    <s v="東京都新宿区北新宿４"/>
    <n v="126000"/>
    <n v="11000"/>
    <m/>
    <n v="126000"/>
    <n v="8"/>
    <x v="2"/>
    <n v="24.4"/>
    <n v="22"/>
    <x v="9"/>
    <s v="東中野駅"/>
    <n v="7"/>
    <n v="10.33"/>
    <n v="144436.73000000001"/>
    <n v="95329.65"/>
    <n v="648"/>
    <n v="1622"/>
    <s v="20-30"/>
    <x v="1"/>
  </r>
  <r>
    <s v="https://suumo.jp/chintai/jnc_000101124032/?bc=100480993003"/>
    <s v="ベジフル北新宿弐番館"/>
    <s v="東京都新宿区北新宿４"/>
    <n v="106000"/>
    <n v="5000"/>
    <n v="106000"/>
    <n v="106000"/>
    <n v="6"/>
    <x v="2"/>
    <n v="22.73"/>
    <n v="26"/>
    <x v="8"/>
    <s v="東中野駅"/>
    <n v="9"/>
    <n v="10.67"/>
    <n v="144436.73000000001"/>
    <n v="95329.65"/>
    <n v="648"/>
    <n v="1622"/>
    <s v="20-30"/>
    <x v="1"/>
  </r>
  <r>
    <s v="https://suumo.jp/chintai/jnc_000103174912/?bc=100480993006"/>
    <s v="ベジフル北新宿弐番館"/>
    <s v="東京都新宿区北新宿４"/>
    <n v="100000"/>
    <n v="5000"/>
    <n v="100000"/>
    <n v="100000"/>
    <n v="6"/>
    <x v="2"/>
    <n v="22.73"/>
    <n v="26"/>
    <x v="8"/>
    <s v="東中野駅"/>
    <n v="9"/>
    <n v="10.67"/>
    <n v="144436.73000000001"/>
    <n v="95329.65"/>
    <n v="648"/>
    <n v="1622"/>
    <s v="20-30"/>
    <x v="1"/>
  </r>
  <r>
    <s v="https://suumo.jp/chintai/jnc_000047368838/?bc=100382374864"/>
    <s v="マグノリア東中野"/>
    <s v="東京都中野区東中野５"/>
    <n v="69500"/>
    <m/>
    <n v="139000"/>
    <m/>
    <n v="1"/>
    <x v="2"/>
    <n v="17.2"/>
    <n v="29"/>
    <x v="0"/>
    <s v="東中野駅"/>
    <n v="3"/>
    <n v="6.67"/>
    <n v="144436.73000000001"/>
    <n v="95329.65"/>
    <n v="648"/>
    <n v="1622"/>
    <s v="10-20"/>
    <x v="1"/>
  </r>
  <r>
    <s v="https://suumo.jp/chintai/jnc_000104139474/?bc=100481037474"/>
    <s v="マンション秀苑"/>
    <s v="東京都中野区東中野４"/>
    <n v="113000"/>
    <m/>
    <n v="113000"/>
    <n v="113000"/>
    <n v="2"/>
    <x v="2"/>
    <n v="34.26"/>
    <n v="54"/>
    <x v="4"/>
    <s v="東中野駅"/>
    <n v="3"/>
    <n v="5"/>
    <n v="144436.73000000001"/>
    <n v="95329.65"/>
    <n v="648"/>
    <n v="1622"/>
    <s v="30-40"/>
    <x v="5"/>
  </r>
  <r>
    <s v="https://suumo.jp/chintai/jnc_000104004002/?bc=100330933858"/>
    <s v="マンション秀苑"/>
    <s v="東京都中野区東中野４"/>
    <n v="85000"/>
    <m/>
    <n v="85000"/>
    <n v="85000"/>
    <n v="3"/>
    <x v="2"/>
    <n v="33.06"/>
    <n v="54"/>
    <x v="4"/>
    <s v="東中野駅"/>
    <n v="3"/>
    <n v="5"/>
    <n v="144436.73000000001"/>
    <n v="95329.65"/>
    <n v="648"/>
    <n v="1622"/>
    <s v="30-40"/>
    <x v="5"/>
  </r>
  <r>
    <s v="https://suumo.jp/chintai/jnc_000104222332/?bc=100077871811"/>
    <s v="マートルプレイス北新宿"/>
    <s v="東京都新宿区北新宿４"/>
    <n v="63000"/>
    <n v="3000"/>
    <n v="63000"/>
    <n v="63000"/>
    <n v="2"/>
    <x v="2"/>
    <n v="19.91"/>
    <n v="33"/>
    <x v="2"/>
    <s v="東中野駅"/>
    <n v="7"/>
    <n v="8.67"/>
    <n v="144436.73000000001"/>
    <n v="95329.65"/>
    <n v="648"/>
    <n v="1622"/>
    <s v="10-20"/>
    <x v="4"/>
  </r>
  <r>
    <s v="https://suumo.jp/chintai/jnc_000103791975/?bc=100313494573"/>
    <s v="マートルプレイス北新宿"/>
    <s v="東京都新宿区北新宿４"/>
    <n v="60000"/>
    <n v="3000"/>
    <n v="60000"/>
    <n v="60000"/>
    <n v="3"/>
    <x v="2"/>
    <n v="19.63"/>
    <n v="33"/>
    <x v="2"/>
    <s v="東中野駅"/>
    <n v="7"/>
    <n v="8.67"/>
    <n v="144436.73000000001"/>
    <n v="95329.65"/>
    <n v="648"/>
    <n v="1622"/>
    <s v="10-20"/>
    <x v="4"/>
  </r>
  <r>
    <s v="https://suumo.jp/chintai/jnc_000101553038/?bc=100482375343"/>
    <s v="ミュウ"/>
    <s v="東京都中野区東中野２"/>
    <n v="80000"/>
    <n v="2000"/>
    <n v="80000"/>
    <n v="80000"/>
    <n v="1"/>
    <x v="2"/>
    <n v="21.84"/>
    <n v="20"/>
    <x v="0"/>
    <s v="東中野駅"/>
    <n v="3"/>
    <n v="9"/>
    <n v="144436.73000000001"/>
    <n v="95329.65"/>
    <n v="648"/>
    <n v="1622"/>
    <s v="20-30"/>
    <x v="7"/>
  </r>
  <r>
    <s v="https://suumo.jp/chintai/jnc_000101553038/?bc=100482375343"/>
    <s v="ミュウ"/>
    <s v="東京都中野区東中野２"/>
    <n v="80000"/>
    <n v="2000"/>
    <n v="80000"/>
    <n v="80000"/>
    <n v="2"/>
    <x v="2"/>
    <n v="21.84"/>
    <n v="20"/>
    <x v="0"/>
    <s v="東中野駅"/>
    <n v="3"/>
    <n v="9"/>
    <n v="144436.73000000001"/>
    <n v="95329.65"/>
    <n v="648"/>
    <n v="1622"/>
    <s v="20-30"/>
    <x v="7"/>
  </r>
  <r>
    <s v="https://suumo.jp/chintai/jnc_000102805045/?bc=100484598211"/>
    <s v="ミリアレジデンス北新宿"/>
    <s v="東京都新宿区北新宿４"/>
    <n v="149000"/>
    <n v="10000"/>
    <n v="149000"/>
    <m/>
    <n v="4"/>
    <x v="2"/>
    <n v="31.98"/>
    <n v="15"/>
    <x v="10"/>
    <s v="東中野駅"/>
    <n v="9"/>
    <n v="10.33"/>
    <n v="144436.73000000001"/>
    <n v="95329.65"/>
    <n v="648"/>
    <n v="1622"/>
    <s v="30-40"/>
    <x v="7"/>
  </r>
  <r>
    <s v="https://suumo.jp/chintai/jnc_000104138612/?bc=100484597973"/>
    <s v="ミリアレジデンス北新宿"/>
    <s v="東京都新宿区北新宿４"/>
    <n v="146000"/>
    <n v="10000"/>
    <n v="146000"/>
    <m/>
    <n v="5"/>
    <x v="2"/>
    <n v="32.119999999999997"/>
    <n v="15"/>
    <x v="10"/>
    <s v="東中野駅"/>
    <n v="9"/>
    <n v="10.33"/>
    <n v="144436.73000000001"/>
    <n v="95329.65"/>
    <n v="648"/>
    <n v="1622"/>
    <s v="30-40"/>
    <x v="7"/>
  </r>
  <r>
    <s v="https://suumo.jp/chintai/jnc_000104326817/?bc=100484727949"/>
    <s v="メゾンアオイ"/>
    <s v="東京都中野区東中野１"/>
    <n v="73000"/>
    <n v="2000"/>
    <n v="73000"/>
    <m/>
    <n v="4"/>
    <x v="2"/>
    <n v="21.06"/>
    <n v="39"/>
    <x v="4"/>
    <s v="東中野駅"/>
    <n v="2"/>
    <n v="7.67"/>
    <n v="144436.73000000001"/>
    <n v="95329.65"/>
    <n v="648"/>
    <n v="1622"/>
    <s v="20-30"/>
    <x v="4"/>
  </r>
  <r>
    <s v="https://suumo.jp/chintai/jnc_000104196481/?bc=100483724328"/>
    <s v="メゾン沖田"/>
    <s v="東京都中野区東中野２"/>
    <n v="81000"/>
    <n v="4000"/>
    <n v="81000"/>
    <n v="81000"/>
    <n v="3"/>
    <x v="2"/>
    <n v="22.42"/>
    <n v="25"/>
    <x v="2"/>
    <s v="東中野駅"/>
    <n v="4"/>
    <n v="9.33"/>
    <n v="144436.73000000001"/>
    <n v="95329.65"/>
    <n v="648"/>
    <n v="1622"/>
    <s v="20-30"/>
    <x v="1"/>
  </r>
  <r>
    <s v="https://suumo.jp/chintai/jnc_000103162008/?bc=100475548397"/>
    <s v="ラ・ヴィオレ東中野"/>
    <s v="東京都中野区東中野１"/>
    <n v="120000"/>
    <n v="8000"/>
    <n v="120000"/>
    <n v="120000"/>
    <n v="5"/>
    <x v="2"/>
    <n v="27.08"/>
    <n v="9"/>
    <x v="7"/>
    <s v="東中野駅"/>
    <n v="2"/>
    <n v="11"/>
    <n v="144436.73000000001"/>
    <n v="95329.65"/>
    <n v="648"/>
    <n v="1622"/>
    <s v="20-30"/>
    <x v="0"/>
  </r>
  <r>
    <s v="https://suumo.jp/chintai/jnc_000104525314/?bc=100486251535"/>
    <s v="リバーパーク"/>
    <s v="東京都新宿区北新宿４"/>
    <n v="81000"/>
    <n v="5000"/>
    <m/>
    <n v="81000"/>
    <n v="2"/>
    <x v="2"/>
    <n v="21.3"/>
    <n v="22"/>
    <x v="2"/>
    <s v="東中野駅"/>
    <n v="10"/>
    <n v="12.67"/>
    <n v="144436.73000000001"/>
    <n v="95329.65"/>
    <n v="648"/>
    <n v="1622"/>
    <s v="20-30"/>
    <x v="1"/>
  </r>
  <r>
    <s v="https://suumo.jp/chintai/jnc_000103269717/?bc=100476263297"/>
    <s v="リード東中野"/>
    <s v="東京都中野区東中野３"/>
    <n v="85000"/>
    <n v="5000"/>
    <n v="42500"/>
    <n v="127500"/>
    <n v="5"/>
    <x v="2"/>
    <n v="19"/>
    <n v="19"/>
    <x v="7"/>
    <s v="東中野駅"/>
    <n v="3"/>
    <n v="5.67"/>
    <n v="144436.73000000001"/>
    <n v="95329.65"/>
    <n v="648"/>
    <n v="1622"/>
    <s v="10-20"/>
    <x v="7"/>
  </r>
  <r>
    <s v="https://suumo.jp/chintai/jnc_000053328509/?bc=100482505277"/>
    <s v="ルミエール"/>
    <s v="東京都新宿区北新宿４"/>
    <n v="75000"/>
    <m/>
    <n v="75000"/>
    <m/>
    <n v="4"/>
    <x v="2"/>
    <n v="19.260000000000002"/>
    <n v="32"/>
    <x v="7"/>
    <s v="東中野駅"/>
    <n v="9"/>
    <n v="10.67"/>
    <n v="144436.73000000001"/>
    <n v="95329.65"/>
    <n v="648"/>
    <n v="1622"/>
    <s v="10-20"/>
    <x v="4"/>
  </r>
  <r>
    <s v="https://suumo.jp/chintai/jnc_000104509196/?bc=100486166052"/>
    <s v="ルーブル北新宿"/>
    <s v="東京都新宿区北新宿４"/>
    <n v="89000"/>
    <n v="8000"/>
    <m/>
    <n v="89000"/>
    <n v="2"/>
    <x v="2"/>
    <n v="20.440000000000001"/>
    <n v="20"/>
    <x v="1"/>
    <s v="東中野駅"/>
    <n v="10"/>
    <n v="12.33"/>
    <n v="144436.73000000001"/>
    <n v="95329.65"/>
    <n v="648"/>
    <n v="1622"/>
    <s v="20-30"/>
    <x v="7"/>
  </r>
  <r>
    <s v="https://suumo.jp/chintai/jnc_000104509197/?bc=100486411747"/>
    <s v="ルーブル北新宿"/>
    <s v="東京都新宿区北新宿４"/>
    <n v="90000"/>
    <n v="8000"/>
    <m/>
    <n v="90000"/>
    <n v="7"/>
    <x v="2"/>
    <n v="20.440000000000001"/>
    <n v="20"/>
    <x v="1"/>
    <s v="東中野駅"/>
    <n v="10"/>
    <n v="12.33"/>
    <n v="144436.73000000001"/>
    <n v="95329.65"/>
    <n v="648"/>
    <n v="1622"/>
    <s v="20-30"/>
    <x v="7"/>
  </r>
  <r>
    <s v="https://suumo.jp/chintai/jnc_000104163305/?bc=100486396014"/>
    <s v="レオパレスメゾン　紗々"/>
    <s v="東京都中野区上高田１"/>
    <n v="92000"/>
    <n v="5500"/>
    <m/>
    <n v="92000"/>
    <n v="1"/>
    <x v="2"/>
    <n v="19.87"/>
    <n v="20"/>
    <x v="2"/>
    <s v="東中野駅"/>
    <n v="14"/>
    <n v="14.33"/>
    <n v="144436.73000000001"/>
    <n v="95329.65"/>
    <n v="648"/>
    <n v="1622"/>
    <s v="10-20"/>
    <x v="7"/>
  </r>
  <r>
    <s v="https://suumo.jp/chintai/jnc_000099504080/?bc=100440668536"/>
    <s v="レオパレスＷＡＯ　ＷＡＯ"/>
    <s v="東京都新宿区北新宿４"/>
    <n v="101000"/>
    <n v="7500"/>
    <m/>
    <n v="101000"/>
    <n v="1"/>
    <x v="2"/>
    <n v="18.5"/>
    <n v="18"/>
    <x v="4"/>
    <s v="東中野駅"/>
    <n v="11"/>
    <n v="13"/>
    <n v="144436.73000000001"/>
    <n v="95329.65"/>
    <n v="648"/>
    <n v="1622"/>
    <s v="10-20"/>
    <x v="7"/>
  </r>
  <r>
    <s v="https://suumo.jp/chintai/jnc_000104411699/?bc=100485566644"/>
    <s v="レオパレスＷＡＯ　ＷＡＯ"/>
    <s v="東京都新宿区北新宿４"/>
    <n v="109000"/>
    <n v="7500"/>
    <m/>
    <n v="109000"/>
    <n v="4"/>
    <x v="2"/>
    <n v="18.5"/>
    <n v="18"/>
    <x v="4"/>
    <s v="東中野駅"/>
    <n v="11"/>
    <n v="13"/>
    <n v="144436.73000000001"/>
    <n v="95329.65"/>
    <n v="648"/>
    <n v="1622"/>
    <s v="10-20"/>
    <x v="7"/>
  </r>
  <r>
    <s v="https://suumo.jp/chintai/jnc_000101629241/?bc=100486396207"/>
    <s v="レオパレスＷＡＯ　ＷＡＯ"/>
    <s v="東京都新宿区北新宿４"/>
    <n v="110000"/>
    <n v="7500"/>
    <m/>
    <n v="110000"/>
    <n v="4"/>
    <x v="2"/>
    <n v="18.5"/>
    <n v="18"/>
    <x v="4"/>
    <s v="東中野駅"/>
    <n v="11"/>
    <n v="13"/>
    <n v="144436.73000000001"/>
    <n v="95329.65"/>
    <n v="648"/>
    <n v="1622"/>
    <s v="10-20"/>
    <x v="7"/>
  </r>
  <r>
    <s v="https://suumo.jp/chintai/jnc_000103798538/?bc=100485753032"/>
    <s v="レジデンス東中野"/>
    <s v="東京都中野区東中野４"/>
    <n v="119000"/>
    <n v="5000"/>
    <n v="119000"/>
    <n v="119000"/>
    <n v="2"/>
    <x v="2"/>
    <n v="27.32"/>
    <n v="21"/>
    <x v="2"/>
    <s v="東中野駅"/>
    <n v="3"/>
    <n v="7.67"/>
    <n v="144436.73000000001"/>
    <n v="95329.65"/>
    <n v="648"/>
    <n v="1622"/>
    <s v="20-30"/>
    <x v="1"/>
  </r>
  <r>
    <s v="https://suumo.jp/chintai/jnc_000104449861/?bc=100486401902"/>
    <s v="レジデンス東中野"/>
    <s v="東京都中野区東中野４"/>
    <n v="108000"/>
    <n v="5000"/>
    <n v="108000"/>
    <n v="108000"/>
    <n v="3"/>
    <x v="2"/>
    <n v="27.32"/>
    <n v="21"/>
    <x v="2"/>
    <s v="東中野駅"/>
    <n v="3"/>
    <n v="7.67"/>
    <n v="144436.73000000001"/>
    <n v="95329.65"/>
    <n v="648"/>
    <n v="1622"/>
    <s v="20-30"/>
    <x v="1"/>
  </r>
  <r>
    <s v="https://suumo.jp/chintai/jnc_000104229987/?bc=100484201914"/>
    <s v="ヴォーガコルテ東中野"/>
    <s v="東京都中野区東中野３"/>
    <n v="119000"/>
    <n v="10000"/>
    <m/>
    <m/>
    <n v="1"/>
    <x v="2"/>
    <n v="29.6"/>
    <n v="6"/>
    <x v="4"/>
    <s v="東中野駅"/>
    <n v="3"/>
    <n v="5.67"/>
    <n v="144436.73000000001"/>
    <n v="95329.65"/>
    <n v="648"/>
    <n v="1622"/>
    <s v="20-30"/>
    <x v="0"/>
  </r>
  <r>
    <s v="https://suumo.jp/chintai/jnc_000104317211/?bc=100484821615"/>
    <s v="ヴォーガコルテ東中野"/>
    <s v="東京都中野区東中野３"/>
    <n v="116000"/>
    <n v="10000"/>
    <m/>
    <m/>
    <n v="3"/>
    <x v="2"/>
    <n v="25.52"/>
    <n v="6"/>
    <x v="4"/>
    <s v="東中野駅"/>
    <n v="3"/>
    <n v="5.67"/>
    <n v="144436.73000000001"/>
    <n v="95329.65"/>
    <n v="648"/>
    <n v="1622"/>
    <s v="20-30"/>
    <x v="0"/>
  </r>
  <r>
    <s v="https://suumo.jp/chintai/jnc_000103977444/?bc=100482602354"/>
    <s v="中野区上高田1丁目新築PJ"/>
    <s v="東京都中野区上高田１"/>
    <n v="112000"/>
    <n v="3000"/>
    <n v="112000"/>
    <n v="112000"/>
    <n v="1"/>
    <x v="2"/>
    <n v="28.56"/>
    <n v="0"/>
    <x v="0"/>
    <s v="東中野駅"/>
    <n v="12"/>
    <n v="13.67"/>
    <n v="144436.73000000001"/>
    <n v="95329.65"/>
    <n v="648"/>
    <n v="1622"/>
    <s v="20-30"/>
    <x v="6"/>
  </r>
  <r>
    <s v="https://suumo.jp/chintai/jnc_000097236211/?bc=100427265695"/>
    <s v="八重垣荘"/>
    <s v="東京都中野区東中野４"/>
    <n v="45000"/>
    <m/>
    <m/>
    <m/>
    <n v="2"/>
    <x v="2"/>
    <n v="18"/>
    <n v="38"/>
    <x v="0"/>
    <s v="東中野駅"/>
    <n v="4"/>
    <n v="4"/>
    <n v="144436.73000000001"/>
    <n v="95329.65"/>
    <n v="648"/>
    <n v="1622"/>
    <s v="10-20"/>
    <x v="4"/>
  </r>
  <r>
    <s v="https://suumo.jp/chintai/jnc_000104326006/?bc=100421651778"/>
    <s v="大倉ビルディング"/>
    <s v="東京都新宿区北新宿４"/>
    <n v="90000"/>
    <n v="5000"/>
    <n v="90000"/>
    <n v="90000"/>
    <n v="3"/>
    <x v="2"/>
    <n v="33.409999999999997"/>
    <n v="41"/>
    <x v="4"/>
    <s v="東中野駅"/>
    <n v="5"/>
    <n v="11"/>
    <n v="144436.73000000001"/>
    <n v="95329.65"/>
    <n v="648"/>
    <n v="1622"/>
    <s v="30-40"/>
    <x v="3"/>
  </r>
  <r>
    <s v="https://suumo.jp/chintai/jnc_000100953453/?bc=100455772213"/>
    <s v="小林コーポ"/>
    <s v="東京都中野区中野６"/>
    <n v="65000"/>
    <n v="3000"/>
    <n v="65000"/>
    <n v="65000"/>
    <n v="3"/>
    <x v="2"/>
    <n v="21.5"/>
    <n v="45"/>
    <x v="2"/>
    <s v="東中野駅"/>
    <n v="11"/>
    <n v="12"/>
    <n v="144436.73000000001"/>
    <n v="95329.65"/>
    <n v="648"/>
    <n v="1622"/>
    <s v="20-30"/>
    <x v="3"/>
  </r>
  <r>
    <s v="https://suumo.jp/chintai/jnc_000083442985/?bc=100482767276"/>
    <s v="新日桜２号マンション"/>
    <s v="東京都中野区中野６"/>
    <n v="85000"/>
    <n v="5000"/>
    <n v="85000"/>
    <m/>
    <n v="1"/>
    <x v="2"/>
    <n v="22.26"/>
    <n v="10"/>
    <x v="2"/>
    <s v="東中野駅"/>
    <n v="6"/>
    <n v="9.67"/>
    <n v="144436.73000000001"/>
    <n v="95329.65"/>
    <n v="648"/>
    <n v="1622"/>
    <s v="20-30"/>
    <x v="0"/>
  </r>
  <r>
    <s v="https://suumo.jp/chintai/jnc_000103465752/?bc=100477742310"/>
    <s v="東中野ハイデンス"/>
    <s v="東京都中野区東中野４"/>
    <n v="75000"/>
    <m/>
    <n v="75000"/>
    <n v="75000"/>
    <n v="3"/>
    <x v="2"/>
    <n v="20.51"/>
    <n v="42"/>
    <x v="2"/>
    <s v="東中野駅"/>
    <n v="4"/>
    <n v="9.33"/>
    <n v="144436.73000000001"/>
    <n v="95329.65"/>
    <n v="648"/>
    <n v="1622"/>
    <s v="20-30"/>
    <x v="3"/>
  </r>
  <r>
    <s v="https://suumo.jp/chintai/jnc_000104241723/?bc=100484079988"/>
    <s v="板倉ビル"/>
    <s v="東京都中野区東中野３"/>
    <n v="70000"/>
    <n v="1000"/>
    <n v="70000"/>
    <n v="70000"/>
    <n v="2"/>
    <x v="2"/>
    <n v="21.5"/>
    <n v="47"/>
    <x v="2"/>
    <s v="東中野駅"/>
    <n v="2"/>
    <n v="9.33"/>
    <n v="144436.73000000001"/>
    <n v="95329.65"/>
    <n v="648"/>
    <n v="1622"/>
    <s v="20-30"/>
    <x v="3"/>
  </r>
  <r>
    <s v="https://suumo.jp/chintai/jnc_000103844272/?bc=100285923945"/>
    <s v="秀栄荘"/>
    <s v="東京都中野区東中野３"/>
    <n v="55000"/>
    <m/>
    <n v="55000"/>
    <m/>
    <n v="2"/>
    <x v="2"/>
    <n v="20"/>
    <n v="50"/>
    <x v="0"/>
    <s v="東中野駅"/>
    <n v="3"/>
    <n v="3"/>
    <n v="144436.73000000001"/>
    <n v="95329.65"/>
    <n v="648"/>
    <n v="1622"/>
    <s v="20-30"/>
    <x v="3"/>
  </r>
  <r>
    <s v="https://suumo.jp/chintai/jnc_000103969582/?bc=100482268797"/>
    <s v="都営大江戸線 東中野駅 2階建 新築"/>
    <s v="東京都中野区上高田１"/>
    <n v="112000"/>
    <n v="3000"/>
    <n v="112000"/>
    <n v="112000"/>
    <n v="1"/>
    <x v="2"/>
    <n v="28.56"/>
    <n v="0"/>
    <x v="0"/>
    <s v="東中野駅"/>
    <n v="12"/>
    <n v="13.67"/>
    <n v="144436.73000000001"/>
    <n v="95329.65"/>
    <n v="648"/>
    <n v="1622"/>
    <s v="20-30"/>
    <x v="6"/>
  </r>
  <r>
    <s v="https://suumo.jp/chintai/jnc_000103060685/?bc=100479827107"/>
    <s v="都営大江戸線 東中野駅 2階建 築1年"/>
    <s v="東京都中野区東中野２"/>
    <n v="108000"/>
    <n v="10000"/>
    <n v="108000"/>
    <n v="108000"/>
    <n v="1"/>
    <x v="2"/>
    <n v="24.47"/>
    <n v="1"/>
    <x v="0"/>
    <s v="東中野駅"/>
    <n v="7"/>
    <n v="11.33"/>
    <n v="144436.73000000001"/>
    <n v="95329.65"/>
    <n v="648"/>
    <n v="1622"/>
    <s v="20-30"/>
    <x v="0"/>
  </r>
  <r>
    <s v="https://suumo.jp/chintai/jnc_000103575553/?bc=100478631838"/>
    <s v="都営大江戸線 東中野駅 2階建 築1年"/>
    <s v="東京都中野区東中野２"/>
    <n v="120000"/>
    <n v="10000"/>
    <n v="120000"/>
    <n v="120000"/>
    <n v="2"/>
    <x v="2"/>
    <n v="24.47"/>
    <n v="1"/>
    <x v="0"/>
    <s v="東中野駅"/>
    <n v="7"/>
    <n v="11.33"/>
    <n v="144436.73000000001"/>
    <n v="95329.65"/>
    <n v="648"/>
    <n v="1622"/>
    <s v="20-30"/>
    <x v="0"/>
  </r>
  <r>
    <s v="https://suumo.jp/chintai/jnc_000103649641/?bc=100479147465"/>
    <s v="都営大江戸線 東中野駅 2階建 築20年"/>
    <s v="東京都中野区上高田１"/>
    <n v="67000"/>
    <m/>
    <m/>
    <m/>
    <n v="2"/>
    <x v="2"/>
    <n v="13.4"/>
    <n v="20"/>
    <x v="0"/>
    <s v="東中野駅"/>
    <n v="12"/>
    <n v="12"/>
    <n v="144436.73000000001"/>
    <n v="95329.65"/>
    <n v="648"/>
    <n v="1622"/>
    <s v="10-20"/>
    <x v="7"/>
  </r>
  <r>
    <s v="https://suumo.jp/chintai/jnc_000100730540/?bc=100478328937"/>
    <s v="都営大江戸線 東中野駅 2階建 築21年"/>
    <s v="東京都中野区東中野２"/>
    <n v="80000"/>
    <n v="2000"/>
    <n v="80000"/>
    <n v="80000"/>
    <n v="1"/>
    <x v="2"/>
    <n v="21.84"/>
    <n v="21"/>
    <x v="0"/>
    <s v="東中野駅"/>
    <n v="3"/>
    <n v="9.33"/>
    <n v="144436.73000000001"/>
    <n v="95329.65"/>
    <n v="648"/>
    <n v="1622"/>
    <s v="20-30"/>
    <x v="1"/>
  </r>
  <r>
    <s v="https://suumo.jp/chintai/jnc_000102318464/?bc=100468409899"/>
    <s v="都営大江戸線 東中野駅 3階建 築34年"/>
    <s v="東京都中野区中野１"/>
    <n v="100000"/>
    <n v="8000"/>
    <m/>
    <m/>
    <n v="1"/>
    <x v="2"/>
    <n v="24.3"/>
    <n v="34"/>
    <x v="2"/>
    <s v="東中野駅"/>
    <n v="9"/>
    <n v="12.67"/>
    <n v="144436.73000000001"/>
    <n v="95329.65"/>
    <n v="648"/>
    <n v="1622"/>
    <s v="20-30"/>
    <x v="4"/>
  </r>
  <r>
    <s v="https://suumo.jp/chintai/jnc_000104055242/?bc=100482561172"/>
    <s v="都営大江戸線 東中野駅 3階建 築40年"/>
    <s v="東京都中野区東中野１"/>
    <n v="85000"/>
    <n v="3000"/>
    <n v="85000"/>
    <m/>
    <n v="2"/>
    <x v="2"/>
    <n v="23.13"/>
    <n v="40"/>
    <x v="2"/>
    <s v="東中野駅"/>
    <n v="7"/>
    <n v="11"/>
    <n v="144436.73000000001"/>
    <n v="95329.65"/>
    <n v="648"/>
    <n v="1622"/>
    <s v="20-30"/>
    <x v="4"/>
  </r>
  <r>
    <s v="https://suumo.jp/chintai/jnc_000104222334/?bc=100474937820"/>
    <s v="都営大江戸線 東中野駅 4階建 築23年"/>
    <s v="東京都新宿区北新宿４"/>
    <n v="112000"/>
    <n v="6000"/>
    <n v="112000"/>
    <n v="112000"/>
    <n v="3"/>
    <x v="2"/>
    <n v="30.72"/>
    <n v="23"/>
    <x v="4"/>
    <s v="東中野駅"/>
    <n v="8"/>
    <n v="8"/>
    <n v="144436.73000000001"/>
    <n v="95329.65"/>
    <n v="648"/>
    <n v="1622"/>
    <s v="30-40"/>
    <x v="1"/>
  </r>
  <r>
    <s v="https://suumo.jp/chintai/jnc_000103903356/?bc=100483358983"/>
    <s v="都営大江戸線 東中野駅 7階建 築9年"/>
    <s v="東京都新宿区北新宿４"/>
    <n v="120000"/>
    <n v="10000"/>
    <m/>
    <n v="120000"/>
    <n v="7"/>
    <x v="2"/>
    <n v="26.66"/>
    <n v="9"/>
    <x v="10"/>
    <s v="東中野駅"/>
    <n v="6"/>
    <n v="8"/>
    <n v="144436.73000000001"/>
    <n v="95329.65"/>
    <n v="648"/>
    <n v="1622"/>
    <s v="20-30"/>
    <x v="0"/>
  </r>
  <r>
    <s v="https://suumo.jp/chintai/jnc_000061565634/?bc=100483673666"/>
    <s v="ＣＡＳＡ　ＥＳＰＩＮＡＣＡ"/>
    <s v="東京都中野区東中野１"/>
    <n v="87000"/>
    <n v="3000"/>
    <n v="87000"/>
    <n v="87000"/>
    <n v="1"/>
    <x v="2"/>
    <n v="27"/>
    <n v="18"/>
    <x v="0"/>
    <s v="東中野駅"/>
    <n v="5"/>
    <n v="10.67"/>
    <n v="144436.73000000001"/>
    <n v="95329.65"/>
    <n v="648"/>
    <n v="1622"/>
    <s v="20-30"/>
    <x v="7"/>
  </r>
  <r>
    <s v="https://suumo.jp/chintai/jnc_000104399675/?bc=100485344686"/>
    <s v="ＪＲ中央線 東中野駅 10階建 築17年"/>
    <s v="東京都中野区東中野１"/>
    <n v="133000"/>
    <n v="8000"/>
    <n v="133000"/>
    <n v="199500"/>
    <n v="2"/>
    <x v="2"/>
    <n v="30.3"/>
    <n v="17"/>
    <x v="1"/>
    <s v="東中野駅"/>
    <n v="5"/>
    <n v="9.67"/>
    <n v="144436.73000000001"/>
    <n v="95329.65"/>
    <n v="648"/>
    <n v="1622"/>
    <s v="30-40"/>
    <x v="7"/>
  </r>
  <r>
    <s v="https://suumo.jp/chintai/jnc_000104510145/?bc=100486161098"/>
    <s v="ＪＲ中央線 東中野駅 10階建 築8年"/>
    <s v="東京都中野区東中野１"/>
    <n v="119000"/>
    <n v="10000"/>
    <m/>
    <n v="119000"/>
    <n v="2"/>
    <x v="2"/>
    <n v="25.52"/>
    <n v="8"/>
    <x v="1"/>
    <s v="東中野駅"/>
    <n v="2"/>
    <n v="9.33"/>
    <n v="144436.73000000001"/>
    <n v="95329.65"/>
    <n v="648"/>
    <n v="1622"/>
    <s v="20-30"/>
    <x v="0"/>
  </r>
  <r>
    <s v="https://suumo.jp/chintai/jnc_000104086237/?bc=100482873866"/>
    <s v="ＪＲ中央線 東中野駅 10階建 築8年"/>
    <s v="東京都中野区東中野１"/>
    <n v="110000"/>
    <n v="15000"/>
    <m/>
    <n v="110000"/>
    <n v="3"/>
    <x v="2"/>
    <n v="25.77"/>
    <n v="8"/>
    <x v="1"/>
    <s v="東中野駅"/>
    <n v="2"/>
    <n v="9.33"/>
    <n v="144436.73000000001"/>
    <n v="95329.65"/>
    <n v="648"/>
    <n v="1622"/>
    <s v="20-30"/>
    <x v="0"/>
  </r>
  <r>
    <s v="https://suumo.jp/chintai/jnc_000098993170/?bc=100460336438"/>
    <s v="ＪＲ中央線 東中野駅 10階建 築8年"/>
    <s v="東京都中野区東中野１"/>
    <n v="145000"/>
    <n v="11000"/>
    <m/>
    <n v="145000"/>
    <n v="8"/>
    <x v="2"/>
    <n v="26.06"/>
    <n v="8"/>
    <x v="1"/>
    <s v="東中野駅"/>
    <n v="2"/>
    <n v="9.33"/>
    <n v="144436.73000000001"/>
    <n v="95329.65"/>
    <n v="648"/>
    <n v="1622"/>
    <s v="20-30"/>
    <x v="0"/>
  </r>
  <r>
    <s v="https://suumo.jp/chintai/jnc_000102208889/?bc=100482336863"/>
    <s v="ＪＲ中央線 東中野駅 12階建 築3年"/>
    <s v="東京都中野区東中野１"/>
    <n v="143000"/>
    <n v="10000"/>
    <m/>
    <m/>
    <n v="5"/>
    <x v="2"/>
    <n v="26.19"/>
    <n v="3"/>
    <x v="3"/>
    <s v="東中野駅"/>
    <n v="3"/>
    <n v="7"/>
    <n v="144436.73000000001"/>
    <n v="95329.65"/>
    <n v="648"/>
    <n v="1622"/>
    <s v="20-30"/>
    <x v="0"/>
  </r>
  <r>
    <s v="https://suumo.jp/chintai/jnc_000102371876/?bc=100479992172"/>
    <s v="ＪＲ中央線 東中野駅 13階建 築2年"/>
    <s v="東京都新宿区北新宿４"/>
    <n v="140000"/>
    <n v="10000"/>
    <n v="140000"/>
    <m/>
    <n v="2"/>
    <x v="2"/>
    <n v="25.05"/>
    <n v="2"/>
    <x v="13"/>
    <s v="東中野駅"/>
    <n v="9"/>
    <n v="11.33"/>
    <n v="144436.73000000001"/>
    <n v="95329.65"/>
    <n v="648"/>
    <n v="1622"/>
    <s v="20-30"/>
    <x v="0"/>
  </r>
  <r>
    <s v="https://suumo.jp/chintai/jnc_000102371878/?bc=100483190267"/>
    <s v="ＪＲ中央線 東中野駅 13階建 築2年"/>
    <s v="東京都新宿区北新宿４"/>
    <n v="144000"/>
    <n v="10000"/>
    <n v="144000"/>
    <m/>
    <n v="4"/>
    <x v="2"/>
    <n v="25.05"/>
    <n v="2"/>
    <x v="13"/>
    <s v="東中野駅"/>
    <n v="9"/>
    <n v="11.33"/>
    <n v="144436.73000000001"/>
    <n v="95329.65"/>
    <n v="648"/>
    <n v="1622"/>
    <s v="20-30"/>
    <x v="0"/>
  </r>
  <r>
    <s v="https://suumo.jp/chintai/jnc_000102395807/?bc=100472828411"/>
    <s v="ＪＲ中央線 東中野駅 13階建 築2年"/>
    <s v="東京都新宿区北新宿４"/>
    <n v="148000"/>
    <n v="10000"/>
    <n v="148000"/>
    <m/>
    <n v="7"/>
    <x v="2"/>
    <n v="25.05"/>
    <n v="2"/>
    <x v="13"/>
    <s v="東中野駅"/>
    <n v="9"/>
    <n v="11.33"/>
    <n v="144436.73000000001"/>
    <n v="95329.65"/>
    <n v="648"/>
    <n v="1622"/>
    <s v="20-30"/>
    <x v="0"/>
  </r>
  <r>
    <s v="https://suumo.jp/chintai/jnc_000104295028/?bc=100484880568"/>
    <s v="ＪＲ中央線 東中野駅 14階建 築6年"/>
    <s v="東京都新宿区北新宿４"/>
    <n v="123000"/>
    <n v="15000"/>
    <n v="123000"/>
    <m/>
    <n v="2"/>
    <x v="2"/>
    <n v="25.13"/>
    <n v="6"/>
    <x v="12"/>
    <s v="東中野駅"/>
    <n v="5"/>
    <n v="10"/>
    <n v="144436.73000000001"/>
    <n v="95329.65"/>
    <n v="648"/>
    <n v="1622"/>
    <s v="20-30"/>
    <x v="0"/>
  </r>
  <r>
    <s v="https://suumo.jp/chintai/jnc_000061538712/?bc=100481344238"/>
    <s v="ＪＲ中央線 東中野駅 2階建 築18年"/>
    <s v="東京都中野区東中野１"/>
    <n v="87000"/>
    <n v="3000"/>
    <n v="87000"/>
    <n v="87000"/>
    <n v="1"/>
    <x v="2"/>
    <n v="27"/>
    <n v="18"/>
    <x v="0"/>
    <s v="東中野駅"/>
    <n v="5"/>
    <n v="10.67"/>
    <n v="144436.73000000001"/>
    <n v="95329.65"/>
    <n v="648"/>
    <n v="1622"/>
    <s v="20-30"/>
    <x v="7"/>
  </r>
  <r>
    <s v="https://suumo.jp/chintai/jnc_000104003967/?bc=100481934975"/>
    <s v="ＪＲ中央線 東中野駅 2階建 築19年"/>
    <s v="東京都中野区上高田１"/>
    <n v="70000"/>
    <n v="4000"/>
    <n v="70000"/>
    <n v="70000"/>
    <n v="1"/>
    <x v="2"/>
    <n v="18.5"/>
    <n v="19"/>
    <x v="0"/>
    <s v="東中野駅"/>
    <n v="10"/>
    <n v="10.33"/>
    <n v="144436.73000000001"/>
    <n v="95329.65"/>
    <n v="648"/>
    <n v="1622"/>
    <s v="10-20"/>
    <x v="7"/>
  </r>
  <r>
    <s v="https://suumo.jp/chintai/jnc_000103987640/?bc=100482660143"/>
    <s v="ＪＲ中央線 東中野駅 2階建 築38年"/>
    <s v="東京都中野区東中野３"/>
    <n v="79000"/>
    <n v="4000"/>
    <n v="79000"/>
    <n v="118500"/>
    <n v="1"/>
    <x v="2"/>
    <n v="18.63"/>
    <n v="38"/>
    <x v="0"/>
    <s v="東中野駅"/>
    <n v="4"/>
    <n v="5"/>
    <n v="144436.73000000001"/>
    <n v="95329.65"/>
    <n v="648"/>
    <n v="1622"/>
    <s v="10-20"/>
    <x v="4"/>
  </r>
  <r>
    <s v="https://suumo.jp/chintai/jnc_000104406515/?bc=100485391519"/>
    <s v="ＪＲ中央線 東中野駅 2階建 築52年"/>
    <s v="東京都新宿区北新宿４"/>
    <n v="30000"/>
    <n v="2000"/>
    <n v="30000"/>
    <m/>
    <n v="2"/>
    <x v="2"/>
    <n v="18"/>
    <n v="52"/>
    <x v="0"/>
    <s v="東中野駅"/>
    <n v="8"/>
    <n v="10"/>
    <n v="144436.73000000001"/>
    <n v="95329.65"/>
    <n v="648"/>
    <n v="1622"/>
    <s v="10-20"/>
    <x v="5"/>
  </r>
  <r>
    <s v="https://suumo.jp/chintai/jnc_000101486728/?bc=100459831345"/>
    <s v="ＪＲ中央線 東中野駅 2階建 築56年"/>
    <s v="東京都新宿区北新宿３"/>
    <n v="52000"/>
    <n v="2000"/>
    <n v="52000"/>
    <n v="52000"/>
    <n v="1"/>
    <x v="2"/>
    <n v="17"/>
    <n v="56"/>
    <x v="0"/>
    <s v="東中野駅"/>
    <n v="6"/>
    <n v="10"/>
    <n v="144436.73000000001"/>
    <n v="95329.65"/>
    <n v="648"/>
    <n v="1622"/>
    <s v="10-20"/>
    <x v="5"/>
  </r>
  <r>
    <s v="https://suumo.jp/chintai/jnc_000104499532/?bc=100485886181"/>
    <s v="ＪＲ中央線 東中野駅 2階建 築56年"/>
    <s v="東京都中野区東中野１"/>
    <n v="57000"/>
    <n v="1000"/>
    <m/>
    <m/>
    <n v="1"/>
    <x v="2"/>
    <n v="19"/>
    <n v="56"/>
    <x v="0"/>
    <s v="東中野駅"/>
    <n v="2"/>
    <n v="9.67"/>
    <n v="144436.73000000001"/>
    <n v="95329.65"/>
    <n v="648"/>
    <n v="1622"/>
    <s v="10-20"/>
    <x v="5"/>
  </r>
  <r>
    <s v="https://suumo.jp/chintai/jnc_000061723644/?bc=100451521425"/>
    <s v="ＪＲ中央線 東中野駅 2階建 築56年"/>
    <s v="東京都中野区東中野１"/>
    <n v="58000"/>
    <n v="1000"/>
    <m/>
    <m/>
    <n v="2"/>
    <x v="2"/>
    <n v="19"/>
    <n v="56"/>
    <x v="0"/>
    <s v="東中野駅"/>
    <n v="2"/>
    <n v="9.67"/>
    <n v="144436.73000000001"/>
    <n v="95329.65"/>
    <n v="648"/>
    <n v="1622"/>
    <s v="10-20"/>
    <x v="5"/>
  </r>
  <r>
    <s v="https://suumo.jp/chintai/jnc_000083592167/?bc=100476436398"/>
    <s v="ＪＲ中央線 東中野駅 3階建 築10年"/>
    <s v="東京都中野区中野６"/>
    <n v="85000"/>
    <n v="5000"/>
    <n v="85000"/>
    <m/>
    <n v="1"/>
    <x v="2"/>
    <n v="19.8"/>
    <n v="10"/>
    <x v="2"/>
    <s v="東中野駅"/>
    <n v="6"/>
    <n v="9.67"/>
    <n v="144436.73000000001"/>
    <n v="95329.65"/>
    <n v="648"/>
    <n v="1622"/>
    <s v="10-20"/>
    <x v="0"/>
  </r>
  <r>
    <s v="https://suumo.jp/chintai/jnc_000083592166/?bc=100476436395"/>
    <s v="ＪＲ中央線 東中野駅 3階建 築10年"/>
    <s v="東京都中野区中野６"/>
    <n v="85000"/>
    <n v="5000"/>
    <n v="85000"/>
    <m/>
    <n v="1"/>
    <x v="2"/>
    <n v="22.26"/>
    <n v="10"/>
    <x v="2"/>
    <s v="東中野駅"/>
    <n v="6"/>
    <n v="9.67"/>
    <n v="144436.73000000001"/>
    <n v="95329.65"/>
    <n v="648"/>
    <n v="1622"/>
    <s v="20-30"/>
    <x v="0"/>
  </r>
  <r>
    <s v="https://suumo.jp/chintai/jnc_000104438131/?bc=100485658304"/>
    <s v="ＪＲ中央線 東中野駅 3階建 築16年"/>
    <s v="東京都中野区東中野３"/>
    <n v="75000"/>
    <n v="2000"/>
    <n v="75000"/>
    <n v="75000"/>
    <n v="2"/>
    <x v="2"/>
    <n v="19.87"/>
    <n v="16"/>
    <x v="2"/>
    <s v="東中野駅"/>
    <n v="8"/>
    <n v="12.33"/>
    <n v="144436.73000000001"/>
    <n v="95329.65"/>
    <n v="648"/>
    <n v="1622"/>
    <s v="10-20"/>
    <x v="7"/>
  </r>
  <r>
    <s v="https://suumo.jp/chintai/jnc_000103368401/?bc=100482389955"/>
    <s v="ＪＲ中央線 東中野駅 3階建 築19年"/>
    <s v="東京都中野区東中野３"/>
    <n v="98000"/>
    <n v="2000"/>
    <n v="98000"/>
    <n v="98000"/>
    <n v="1"/>
    <x v="2"/>
    <n v="18.8"/>
    <n v="19"/>
    <x v="2"/>
    <s v="東中野駅"/>
    <n v="6"/>
    <n v="11.33"/>
    <n v="144436.73000000001"/>
    <n v="95329.65"/>
    <n v="648"/>
    <n v="1622"/>
    <s v="10-20"/>
    <x v="7"/>
  </r>
  <r>
    <s v="https://suumo.jp/chintai/jnc_000102396487/?bc=100485939254"/>
    <s v="ＪＲ中央線 東中野駅 3階建 築30年"/>
    <s v="東京都中野区東中野４"/>
    <n v="60000"/>
    <n v="3000"/>
    <n v="60000"/>
    <n v="60000"/>
    <n v="1"/>
    <x v="2"/>
    <n v="18"/>
    <n v="30"/>
    <x v="2"/>
    <s v="東中野駅"/>
    <n v="3"/>
    <n v="6"/>
    <n v="144436.73000000001"/>
    <n v="95329.65"/>
    <n v="648"/>
    <n v="1622"/>
    <s v="10-20"/>
    <x v="1"/>
  </r>
  <r>
    <s v="https://suumo.jp/chintai/jnc_000103825327/?bc=100482076237"/>
    <s v="ＪＲ中央線 東中野駅 3階建 築35年"/>
    <s v="東京都中野区東中野２"/>
    <n v="75000"/>
    <n v="2000"/>
    <n v="75000"/>
    <n v="75000"/>
    <n v="1"/>
    <x v="2"/>
    <n v="23.83"/>
    <n v="35"/>
    <x v="2"/>
    <s v="東中野駅"/>
    <n v="6"/>
    <n v="8.67"/>
    <n v="144436.73000000001"/>
    <n v="95329.65"/>
    <n v="648"/>
    <n v="1622"/>
    <s v="20-30"/>
    <x v="4"/>
  </r>
  <r>
    <s v="https://suumo.jp/chintai/jnc_000104003322/?bc=100482133945"/>
    <s v="ＪＲ中央線 東中野駅 3階建 築38年"/>
    <s v="東京都新宿区北新宿４"/>
    <n v="66000"/>
    <n v="7000"/>
    <n v="66000"/>
    <n v="33000"/>
    <n v="2"/>
    <x v="2"/>
    <n v="18.97"/>
    <n v="38"/>
    <x v="2"/>
    <s v="東中野駅"/>
    <n v="6"/>
    <n v="7.33"/>
    <n v="144436.73000000001"/>
    <n v="95329.65"/>
    <n v="648"/>
    <n v="1622"/>
    <s v="10-20"/>
    <x v="4"/>
  </r>
  <r>
    <s v="https://suumo.jp/chintai/jnc_000104249782/?bc=100484156044"/>
    <s v="ＪＲ中央線 東中野駅 3階建 築5年"/>
    <s v="東京都中野区東中野１"/>
    <n v="74000"/>
    <n v="5000"/>
    <n v="50000"/>
    <m/>
    <n v="2"/>
    <x v="2"/>
    <n v="15.41"/>
    <n v="5"/>
    <x v="2"/>
    <s v="東中野駅"/>
    <n v="7"/>
    <n v="10.33"/>
    <n v="144436.73000000001"/>
    <n v="95329.65"/>
    <n v="648"/>
    <n v="1622"/>
    <s v="10-20"/>
    <x v="0"/>
  </r>
  <r>
    <s v="https://suumo.jp/chintai/jnc_000103851217/?bc=100481127821"/>
    <s v="ＪＲ中央線 東中野駅 4階建 新築"/>
    <s v="東京都新宿区北新宿３"/>
    <n v="124000"/>
    <n v="8000"/>
    <m/>
    <m/>
    <n v="1"/>
    <x v="2"/>
    <n v="22.99"/>
    <n v="0"/>
    <x v="4"/>
    <s v="東中野駅"/>
    <n v="9"/>
    <n v="12.67"/>
    <n v="144436.73000000001"/>
    <n v="95329.65"/>
    <n v="648"/>
    <n v="1622"/>
    <s v="20-30"/>
    <x v="6"/>
  </r>
  <r>
    <s v="https://suumo.jp/chintai/jnc_000103851216/?bc=100481127825"/>
    <s v="ＪＲ中央線 東中野駅 4階建 新築"/>
    <s v="東京都新宿区北新宿３"/>
    <n v="120000"/>
    <n v="8000"/>
    <m/>
    <m/>
    <n v="1"/>
    <x v="2"/>
    <n v="22.99"/>
    <n v="0"/>
    <x v="4"/>
    <s v="東中野駅"/>
    <n v="9"/>
    <n v="12.67"/>
    <n v="144436.73000000001"/>
    <n v="95329.65"/>
    <n v="648"/>
    <n v="1622"/>
    <s v="20-30"/>
    <x v="6"/>
  </r>
  <r>
    <s v="https://suumo.jp/chintai/jnc_000103717520/?bc=100479992155"/>
    <s v="ＪＲ中央線 東中野駅 4階建 築10年"/>
    <s v="東京都中野区東中野１"/>
    <n v="130000"/>
    <n v="11000"/>
    <m/>
    <n v="130000"/>
    <n v="2"/>
    <x v="2"/>
    <n v="25.36"/>
    <n v="10"/>
    <x v="4"/>
    <s v="東中野駅"/>
    <n v="5"/>
    <n v="10.33"/>
    <n v="144436.73000000001"/>
    <n v="95329.65"/>
    <n v="648"/>
    <n v="1622"/>
    <s v="20-30"/>
    <x v="0"/>
  </r>
  <r>
    <s v="https://suumo.jp/chintai/jnc_000104416507/?bc=100485508843"/>
    <s v="ＪＲ中央線 東中野駅 4階建 築38年"/>
    <s v="東京都新宿区北新宿３"/>
    <n v="74000"/>
    <n v="3000"/>
    <m/>
    <n v="74000"/>
    <n v="1"/>
    <x v="2"/>
    <n v="21.28"/>
    <n v="38"/>
    <x v="4"/>
    <s v="東中野駅"/>
    <n v="6"/>
    <n v="9"/>
    <n v="144436.73000000001"/>
    <n v="95329.65"/>
    <n v="648"/>
    <n v="1622"/>
    <s v="20-30"/>
    <x v="4"/>
  </r>
  <r>
    <s v="https://suumo.jp/chintai/jnc_000104139473/?bc=100483297154"/>
    <s v="ＪＲ中央線 東中野駅 4階建 築58年"/>
    <s v="東京都中野区東中野１"/>
    <n v="65000"/>
    <m/>
    <n v="65000"/>
    <m/>
    <n v="3"/>
    <x v="2"/>
    <n v="24.84"/>
    <n v="58"/>
    <x v="4"/>
    <s v="東中野駅"/>
    <n v="1"/>
    <n v="7.33"/>
    <n v="144436.73000000001"/>
    <n v="95329.65"/>
    <n v="648"/>
    <n v="1622"/>
    <s v="20-30"/>
    <x v="5"/>
  </r>
  <r>
    <s v="https://suumo.jp/chintai/jnc_000103269718/?bc=100476718342"/>
    <s v="ＪＲ中央線 東中野駅 5階建 築19年"/>
    <s v="東京都中野区東中野３"/>
    <n v="85000"/>
    <n v="5000"/>
    <n v="42500"/>
    <n v="127500"/>
    <n v="5"/>
    <x v="2"/>
    <n v="19"/>
    <n v="19"/>
    <x v="7"/>
    <s v="東中野駅"/>
    <n v="3"/>
    <n v="5.67"/>
    <n v="144436.73000000001"/>
    <n v="95329.65"/>
    <n v="648"/>
    <n v="1622"/>
    <s v="10-20"/>
    <x v="7"/>
  </r>
  <r>
    <s v="https://suumo.jp/chintai/jnc_000104261943/?bc=100484242084"/>
    <s v="ＪＲ中央線 東中野駅 5階建 築21年"/>
    <s v="東京都中野区東中野１"/>
    <n v="119000"/>
    <n v="6000"/>
    <n v="119000"/>
    <n v="119000"/>
    <n v="1"/>
    <x v="2"/>
    <n v="27.56"/>
    <n v="21"/>
    <x v="7"/>
    <s v="東中野駅"/>
    <n v="2"/>
    <n v="5.67"/>
    <n v="144436.73000000001"/>
    <n v="95329.65"/>
    <n v="648"/>
    <n v="1622"/>
    <s v="20-30"/>
    <x v="1"/>
  </r>
  <r>
    <s v="https://suumo.jp/chintai/jnc_000102843209/?bc=100476987921"/>
    <s v="ＪＲ中央線 東中野駅 5階建 築21年"/>
    <s v="東京都中野区東中野１"/>
    <n v="121000"/>
    <n v="6000"/>
    <n v="121000"/>
    <n v="121000"/>
    <n v="2"/>
    <x v="2"/>
    <n v="26.28"/>
    <n v="21"/>
    <x v="7"/>
    <s v="東中野駅"/>
    <n v="2"/>
    <n v="5.67"/>
    <n v="144436.73000000001"/>
    <n v="95329.65"/>
    <n v="648"/>
    <n v="1622"/>
    <s v="20-30"/>
    <x v="1"/>
  </r>
  <r>
    <s v="https://suumo.jp/chintai/jnc_000103473397/?bc=100478007946"/>
    <s v="ＪＲ中央線 東中野駅 5階建 築30年"/>
    <s v="東京都新宿区北新宿４"/>
    <n v="70000"/>
    <n v="5000"/>
    <n v="70000"/>
    <n v="70000"/>
    <n v="2"/>
    <x v="2"/>
    <n v="16.41"/>
    <n v="30"/>
    <x v="7"/>
    <s v="東中野駅"/>
    <n v="5"/>
    <n v="9.33"/>
    <n v="144436.73000000001"/>
    <n v="95329.65"/>
    <n v="648"/>
    <n v="1622"/>
    <s v="10-20"/>
    <x v="1"/>
  </r>
  <r>
    <s v="https://suumo.jp/chintai/jnc_000104509198/?bc=100486183060"/>
    <s v="ＪＲ中央線 東中野駅 5階建 築30年"/>
    <s v="東京都新宿区北新宿４"/>
    <n v="68000"/>
    <n v="6000"/>
    <n v="68000"/>
    <n v="68000"/>
    <n v="4"/>
    <x v="2"/>
    <n v="19.04"/>
    <n v="30"/>
    <x v="7"/>
    <s v="東中野駅"/>
    <n v="5"/>
    <n v="9.33"/>
    <n v="144436.73000000001"/>
    <n v="95329.65"/>
    <n v="648"/>
    <n v="1622"/>
    <s v="10-20"/>
    <x v="1"/>
  </r>
  <r>
    <s v="https://suumo.jp/chintai/jnc_000102455156/?bc=100478631837"/>
    <s v="ＪＲ中央線 東中野駅 5階建 築3年"/>
    <s v="東京都新宿区北新宿３"/>
    <n v="123000"/>
    <n v="15000"/>
    <m/>
    <m/>
    <n v="2"/>
    <x v="2"/>
    <n v="25.96"/>
    <n v="3"/>
    <x v="7"/>
    <s v="東中野駅"/>
    <n v="9"/>
    <n v="13"/>
    <n v="144436.73000000001"/>
    <n v="95329.65"/>
    <n v="648"/>
    <n v="1622"/>
    <s v="20-30"/>
    <x v="0"/>
  </r>
  <r>
    <s v="https://suumo.jp/chintai/jnc_000076407426/?bc=100478356597"/>
    <s v="ＪＲ中央線 東中野駅 5階建 築6年"/>
    <s v="東京都新宿区北新宿３"/>
    <n v="106500"/>
    <n v="15000"/>
    <m/>
    <m/>
    <n v="1"/>
    <x v="2"/>
    <n v="25.21"/>
    <n v="6"/>
    <x v="7"/>
    <s v="東中野駅"/>
    <n v="3"/>
    <n v="10"/>
    <n v="144436.73000000001"/>
    <n v="95329.65"/>
    <n v="648"/>
    <n v="1622"/>
    <s v="20-30"/>
    <x v="0"/>
  </r>
  <r>
    <s v="https://suumo.jp/chintai/jnc_000103473387/?bc=100477786039"/>
    <s v="ＪＲ中央線 東中野駅 5階建 築6年"/>
    <s v="東京都新宿区北新宿３"/>
    <n v="116000"/>
    <n v="20000"/>
    <m/>
    <n v="116000"/>
    <n v="3"/>
    <x v="2"/>
    <n v="25.51"/>
    <n v="6"/>
    <x v="7"/>
    <s v="東中野駅"/>
    <n v="3"/>
    <n v="10"/>
    <n v="144436.73000000001"/>
    <n v="95329.65"/>
    <n v="648"/>
    <n v="1622"/>
    <s v="20-30"/>
    <x v="0"/>
  </r>
  <r>
    <s v="https://suumo.jp/chintai/jnc_000103162009/?bc=100481067437"/>
    <s v="ＪＲ中央線 東中野駅 5階建 築9年"/>
    <s v="東京都中野区東中野１"/>
    <n v="120000"/>
    <n v="8000"/>
    <n v="120000"/>
    <n v="120000"/>
    <n v="5"/>
    <x v="2"/>
    <n v="27.08"/>
    <n v="9"/>
    <x v="7"/>
    <s v="東中野駅"/>
    <n v="2"/>
    <n v="9.33"/>
    <n v="144436.73000000001"/>
    <n v="95329.65"/>
    <n v="648"/>
    <n v="1622"/>
    <s v="20-30"/>
    <x v="0"/>
  </r>
  <r>
    <s v="https://suumo.jp/chintai/jnc_000091825427/?bc=100478518452"/>
    <s v="ＪＲ中央線 東中野駅 6階建 築24年"/>
    <s v="東京都新宿区北新宿４"/>
    <n v="86000"/>
    <n v="10000"/>
    <n v="43000"/>
    <n v="86000"/>
    <n v="3"/>
    <x v="2"/>
    <n v="21.49"/>
    <n v="24"/>
    <x v="5"/>
    <s v="東中野駅"/>
    <n v="8"/>
    <n v="11.33"/>
    <n v="144436.73000000001"/>
    <n v="95329.65"/>
    <n v="648"/>
    <n v="1622"/>
    <s v="20-30"/>
    <x v="1"/>
  </r>
  <r>
    <s v="https://suumo.jp/chintai/jnc_000103581550/?bc=100478511073"/>
    <s v="ＪＲ中央線 東中野駅 6階建 築24年"/>
    <s v="東京都新宿区北新宿４"/>
    <n v="92000"/>
    <n v="10000"/>
    <n v="46000"/>
    <n v="92000"/>
    <n v="3"/>
    <x v="2"/>
    <n v="21.49"/>
    <n v="24"/>
    <x v="5"/>
    <s v="東中野駅"/>
    <n v="8"/>
    <n v="11.33"/>
    <n v="144436.73000000001"/>
    <n v="95329.65"/>
    <n v="648"/>
    <n v="1622"/>
    <s v="20-30"/>
    <x v="1"/>
  </r>
  <r>
    <s v="https://suumo.jp/chintai/jnc_000103473394/?bc=100477786101"/>
    <s v="ＪＲ中央線 東中野駅 6階建 築24年"/>
    <s v="東京都新宿区北新宿４"/>
    <n v="97000"/>
    <n v="5000"/>
    <m/>
    <n v="97000"/>
    <n v="3"/>
    <x v="2"/>
    <n v="21.97"/>
    <n v="24"/>
    <x v="5"/>
    <s v="東中野駅"/>
    <n v="8"/>
    <n v="11.33"/>
    <n v="144436.73000000001"/>
    <n v="95329.65"/>
    <n v="648"/>
    <n v="1622"/>
    <s v="20-30"/>
    <x v="1"/>
  </r>
  <r>
    <s v="https://suumo.jp/chintai/jnc_000102805046/?bc=100473970375"/>
    <s v="ＪＲ中央線 東中野駅 7階建 築15年"/>
    <s v="東京都新宿区北新宿４"/>
    <n v="149000"/>
    <n v="10000"/>
    <n v="149000"/>
    <m/>
    <n v="4"/>
    <x v="2"/>
    <n v="31.98"/>
    <n v="15"/>
    <x v="10"/>
    <s v="東中野駅"/>
    <n v="8"/>
    <n v="10.33"/>
    <n v="144436.73000000001"/>
    <n v="95329.65"/>
    <n v="648"/>
    <n v="1622"/>
    <s v="30-40"/>
    <x v="7"/>
  </r>
  <r>
    <s v="https://suumo.jp/chintai/jnc_000104222331/?bc=100473971838"/>
    <s v="ＪＲ中央線 東中野駅 7階建 築15年"/>
    <s v="東京都新宿区北新宿４"/>
    <n v="146000"/>
    <n v="10000"/>
    <n v="146000"/>
    <m/>
    <n v="5"/>
    <x v="2"/>
    <n v="32.119999999999997"/>
    <n v="15"/>
    <x v="10"/>
    <s v="東中野駅"/>
    <n v="8"/>
    <n v="10.33"/>
    <n v="144436.73000000001"/>
    <n v="95329.65"/>
    <n v="648"/>
    <n v="1622"/>
    <s v="30-40"/>
    <x v="7"/>
  </r>
  <r>
    <s v="https://suumo.jp/chintai/jnc_000101634164/?bc=100472828415"/>
    <s v="ＪＲ中央線 東中野駅 7階建 築15年"/>
    <s v="東京都新宿区北新宿４"/>
    <n v="150000"/>
    <n v="10000"/>
    <n v="150000"/>
    <m/>
    <n v="5"/>
    <x v="2"/>
    <n v="32.119999999999997"/>
    <n v="15"/>
    <x v="10"/>
    <s v="東中野駅"/>
    <n v="8"/>
    <n v="10.33"/>
    <n v="144436.73000000001"/>
    <n v="95329.65"/>
    <n v="648"/>
    <n v="1622"/>
    <s v="30-40"/>
    <x v="7"/>
  </r>
  <r>
    <s v="https://suumo.jp/chintai/jnc_000104186380/?bc=100483611997"/>
    <s v="ＪＲ中央線 東中野駅 7階建 築22年"/>
    <s v="東京都新宿区北新宿４"/>
    <n v="85000"/>
    <n v="10000"/>
    <n v="85000"/>
    <n v="85000"/>
    <n v="3"/>
    <x v="2"/>
    <n v="20.73"/>
    <n v="22"/>
    <x v="10"/>
    <s v="東中野駅"/>
    <n v="6"/>
    <n v="11.33"/>
    <n v="144436.73000000001"/>
    <n v="95329.65"/>
    <n v="648"/>
    <n v="1622"/>
    <s v="20-30"/>
    <x v="1"/>
  </r>
  <r>
    <s v="https://suumo.jp/chintai/jnc_000098351072/?bc=100483549184"/>
    <s v="ＪＲ中央線 東中野駅 7階建 築22年"/>
    <s v="東京都新宿区北新宿４"/>
    <n v="117000"/>
    <n v="11000"/>
    <m/>
    <n v="117000"/>
    <n v="7"/>
    <x v="2"/>
    <n v="20.73"/>
    <n v="22"/>
    <x v="10"/>
    <s v="東中野駅"/>
    <n v="6"/>
    <n v="11.33"/>
    <n v="144436.73000000001"/>
    <n v="95329.65"/>
    <n v="648"/>
    <n v="1622"/>
    <s v="20-30"/>
    <x v="1"/>
  </r>
  <r>
    <s v="https://suumo.jp/chintai/jnc_000104509194/?bc=100486401498"/>
    <s v="ＪＲ中央線 東中野駅 8階建 築22年"/>
    <s v="東京都新宿区北新宿４"/>
    <n v="126000"/>
    <n v="11000"/>
    <m/>
    <n v="126000"/>
    <n v="8"/>
    <x v="2"/>
    <n v="24.4"/>
    <n v="22"/>
    <x v="9"/>
    <s v="東中野駅"/>
    <n v="7"/>
    <n v="11"/>
    <n v="144436.73000000001"/>
    <n v="95329.65"/>
    <n v="648"/>
    <n v="1622"/>
    <s v="20-30"/>
    <x v="1"/>
  </r>
  <r>
    <s v="https://suumo.jp/chintai/jnc_000091007595/?bc=100118337149"/>
    <s v="ＪＲ中央線 東中野駅 8階建 築53年"/>
    <s v="東京都中野区東中野１"/>
    <n v="65000"/>
    <n v="4000"/>
    <n v="65000"/>
    <n v="65000"/>
    <n v="2"/>
    <x v="2"/>
    <n v="20"/>
    <n v="53"/>
    <x v="9"/>
    <s v="東中野駅"/>
    <n v="3"/>
    <n v="8"/>
    <n v="144436.73000000001"/>
    <n v="95329.65"/>
    <n v="648"/>
    <n v="1622"/>
    <s v="20-30"/>
    <x v="5"/>
  </r>
  <r>
    <s v="https://suumo.jp/chintai/jnc_000103122453/?bc=100475102822"/>
    <s v="ＪＲ中央線 東中野駅 9階建 築10年"/>
    <s v="東京都新宿区北新宿４"/>
    <n v="125000"/>
    <n v="14000"/>
    <m/>
    <n v="125000"/>
    <n v="5"/>
    <x v="2"/>
    <n v="26.83"/>
    <n v="10"/>
    <x v="6"/>
    <s v="東中野駅"/>
    <n v="5"/>
    <n v="11.33"/>
    <n v="144436.73000000001"/>
    <n v="95329.65"/>
    <n v="648"/>
    <n v="1622"/>
    <s v="20-30"/>
    <x v="0"/>
  </r>
  <r>
    <s v="https://suumo.jp/chintai/jnc_000100563049/?bc=100456259246"/>
    <s v="ＪＲ中央線 東中野駅 9階建 築5年"/>
    <s v="東京都中野区中央１"/>
    <n v="129000"/>
    <n v="15000"/>
    <m/>
    <m/>
    <n v="1"/>
    <x v="2"/>
    <n v="26.31"/>
    <n v="5"/>
    <x v="6"/>
    <s v="東中野駅"/>
    <n v="9"/>
    <n v="12"/>
    <n v="144436.73000000001"/>
    <n v="95329.65"/>
    <n v="648"/>
    <n v="1622"/>
    <s v="20-30"/>
    <x v="0"/>
  </r>
  <r>
    <s v="https://suumo.jp/chintai/jnc_000102671846/?bc=100483324866"/>
    <s v="ＪＲ中央線 東中野駅 9階建 築5年"/>
    <s v="東京都新宿区北新宿４"/>
    <n v="117000"/>
    <n v="8000"/>
    <m/>
    <m/>
    <n v="5"/>
    <x v="2"/>
    <n v="25"/>
    <n v="5"/>
    <x v="6"/>
    <s v="東中野駅"/>
    <n v="8"/>
    <n v="12.67"/>
    <n v="144436.73000000001"/>
    <n v="95329.65"/>
    <n v="648"/>
    <n v="1622"/>
    <s v="20-30"/>
    <x v="0"/>
  </r>
  <r>
    <s v="https://suumo.jp/chintai/jnc_000102671847/?bc=100472094389"/>
    <s v="ＪＲ中央線 東中野駅 9階建 築5年"/>
    <s v="東京都新宿区北新宿４"/>
    <n v="126000"/>
    <n v="8000"/>
    <m/>
    <m/>
    <n v="9"/>
    <x v="2"/>
    <n v="25"/>
    <n v="5"/>
    <x v="6"/>
    <s v="東中野駅"/>
    <n v="8"/>
    <n v="12.67"/>
    <n v="144436.73000000001"/>
    <n v="95329.65"/>
    <n v="648"/>
    <n v="1622"/>
    <s v="20-30"/>
    <x v="0"/>
  </r>
  <r>
    <s v="https://suumo.jp/chintai/jnc_000103135303/?bc=100478811505"/>
    <s v="ＪＲ中央線 東中野駅 地下1地上9階建 築19年"/>
    <s v="東京都中野区東中野４"/>
    <n v="126000"/>
    <n v="7000"/>
    <n v="126000"/>
    <m/>
    <n v="5"/>
    <x v="2"/>
    <n v="23.82"/>
    <n v="19"/>
    <x v="1"/>
    <s v="東中野駅"/>
    <n v="2"/>
    <n v="7"/>
    <n v="144436.73000000001"/>
    <n v="95329.65"/>
    <n v="648"/>
    <n v="1622"/>
    <s v="20-30"/>
    <x v="7"/>
  </r>
  <r>
    <s v="https://suumo.jp/chintai/jnc_000103492453/?bc=100477989148"/>
    <s v="ＪＲ中央線 東中野駅 地下1地上9階建 築19年"/>
    <s v="東京都中野区東中野４"/>
    <n v="137000"/>
    <n v="7000"/>
    <n v="137000"/>
    <m/>
    <n v="5"/>
    <x v="2"/>
    <n v="29.06"/>
    <n v="19"/>
    <x v="1"/>
    <s v="東中野駅"/>
    <n v="2"/>
    <n v="7"/>
    <n v="144436.73000000001"/>
    <n v="95329.65"/>
    <n v="648"/>
    <n v="1622"/>
    <s v="20-30"/>
    <x v="7"/>
  </r>
  <r>
    <s v="https://suumo.jp/chintai/jnc_000103161333/?bc=100481344254"/>
    <s v="ＪＲ総武線 東中野駅 11階建 築26年"/>
    <s v="東京都新宿区北新宿４"/>
    <n v="100000"/>
    <n v="5000"/>
    <n v="100000"/>
    <n v="100000"/>
    <n v="3"/>
    <x v="2"/>
    <n v="22.73"/>
    <n v="26"/>
    <x v="8"/>
    <s v="東中野駅"/>
    <n v="9"/>
    <n v="10.33"/>
    <n v="144436.73000000001"/>
    <n v="95329.65"/>
    <n v="648"/>
    <n v="1622"/>
    <s v="20-30"/>
    <x v="1"/>
  </r>
  <r>
    <s v="https://suumo.jp/chintai/jnc_000101128463/?bc=100470559335"/>
    <s v="ＪＲ総武線 東中野駅 11階建 築26年"/>
    <s v="東京都新宿区北新宿４"/>
    <n v="106000"/>
    <n v="5000"/>
    <n v="106000"/>
    <n v="106000"/>
    <n v="6"/>
    <x v="2"/>
    <n v="22.73"/>
    <n v="26"/>
    <x v="8"/>
    <s v="東中野駅"/>
    <n v="9"/>
    <n v="10.33"/>
    <n v="144436.73000000001"/>
    <n v="95329.65"/>
    <n v="648"/>
    <n v="1622"/>
    <s v="20-30"/>
    <x v="1"/>
  </r>
  <r>
    <s v="https://suumo.jp/chintai/jnc_000104426281/?bc=100485544915"/>
    <s v="ＪＲ総武線 東中野駅 13階建 築17年"/>
    <s v="東京都中野区東中野２"/>
    <n v="120000"/>
    <n v="5000"/>
    <n v="120000"/>
    <n v="120000"/>
    <n v="5"/>
    <x v="2"/>
    <n v="26.02"/>
    <n v="17"/>
    <x v="13"/>
    <s v="東中野駅"/>
    <n v="2"/>
    <n v="6.67"/>
    <n v="144436.73000000001"/>
    <n v="95329.65"/>
    <n v="648"/>
    <n v="1622"/>
    <s v="20-30"/>
    <x v="7"/>
  </r>
  <r>
    <s v="https://suumo.jp/chintai/jnc_000049464540/?bc=100482715465"/>
    <s v="ＪＲ総武線 東中野駅 3階建 築19年"/>
    <s v="東京都新宿区北新宿４"/>
    <n v="110000"/>
    <m/>
    <n v="110000"/>
    <n v="110000"/>
    <n v="2"/>
    <x v="2"/>
    <n v="33.97"/>
    <n v="19"/>
    <x v="2"/>
    <s v="東中野駅"/>
    <n v="7"/>
    <n v="10.67"/>
    <n v="144436.73000000001"/>
    <n v="95329.65"/>
    <n v="648"/>
    <n v="1622"/>
    <s v="30-40"/>
    <x v="7"/>
  </r>
  <r>
    <s v="https://suumo.jp/chintai/jnc_000049471139/?bc=100482582870"/>
    <s v="ＪＲ総武線 東中野駅 3階建 築19年"/>
    <s v="東京都新宿区北新宿４"/>
    <n v="110000"/>
    <m/>
    <n v="110000"/>
    <n v="110000"/>
    <n v="3"/>
    <x v="2"/>
    <n v="33.97"/>
    <n v="19"/>
    <x v="2"/>
    <s v="東中野駅"/>
    <n v="7"/>
    <n v="10.67"/>
    <n v="144436.73000000001"/>
    <n v="95329.65"/>
    <n v="648"/>
    <n v="1622"/>
    <s v="30-40"/>
    <x v="7"/>
  </r>
  <r>
    <s v="https://suumo.jp/chintai/jnc_000102208891/?bc=100477668004"/>
    <s v="ＪＲ総武線 東中野駅 3階建 築20年"/>
    <s v="東京都中野区東中野４"/>
    <n v="105000"/>
    <n v="5000"/>
    <n v="105000"/>
    <n v="105000"/>
    <n v="3"/>
    <x v="2"/>
    <n v="22.99"/>
    <n v="20"/>
    <x v="2"/>
    <s v="東中野駅"/>
    <n v="3"/>
    <n v="6"/>
    <n v="144436.73000000001"/>
    <n v="95329.65"/>
    <n v="648"/>
    <n v="1622"/>
    <s v="20-30"/>
    <x v="7"/>
  </r>
  <r>
    <s v="https://suumo.jp/chintai/jnc_000103527142/?bc=100478324768"/>
    <s v="ＪＲ総武線 東中野駅 3階建 築5年"/>
    <s v="東京都中野区中野６"/>
    <n v="90000"/>
    <n v="3000"/>
    <n v="90000"/>
    <n v="90000"/>
    <n v="1"/>
    <x v="2"/>
    <n v="20.010000000000002"/>
    <n v="5"/>
    <x v="2"/>
    <s v="東中野駅"/>
    <n v="6"/>
    <n v="11"/>
    <n v="144436.73000000001"/>
    <n v="95329.65"/>
    <n v="648"/>
    <n v="1622"/>
    <s v="20-30"/>
    <x v="0"/>
  </r>
  <r>
    <s v="https://suumo.jp/chintai/jnc_000104222335/?bc=100484082066"/>
    <s v="ＪＲ総武線 東中野駅 4階建 築11年"/>
    <s v="東京都新宿区北新宿４"/>
    <n v="80000"/>
    <n v="4000"/>
    <n v="80000"/>
    <n v="80000"/>
    <n v="3"/>
    <x v="2"/>
    <n v="18.07"/>
    <n v="11"/>
    <x v="4"/>
    <s v="東中野駅"/>
    <n v="7"/>
    <n v="11"/>
    <n v="144436.73000000001"/>
    <n v="95329.65"/>
    <n v="648"/>
    <n v="1622"/>
    <s v="10-20"/>
    <x v="7"/>
  </r>
  <r>
    <s v="https://suumo.jp/chintai/jnc_000104406915/?bc=100485411225"/>
    <s v="ＪＲ総武線 東中野駅 4階建 築2年"/>
    <s v="東京都中野区東中野４"/>
    <n v="140000"/>
    <n v="10000"/>
    <n v="140000"/>
    <m/>
    <n v="2"/>
    <x v="2"/>
    <n v="25.3"/>
    <n v="2"/>
    <x v="4"/>
    <s v="東中野駅"/>
    <n v="1"/>
    <n v="7.67"/>
    <n v="144436.73000000001"/>
    <n v="95329.65"/>
    <n v="648"/>
    <n v="1622"/>
    <s v="20-30"/>
    <x v="0"/>
  </r>
  <r>
    <s v="https://suumo.jp/chintai/jnc_000104229465/?bc=100483994009"/>
    <s v="ＪＲ総武線 東中野駅 5階建 築31年"/>
    <s v="東京都新宿区北新宿４"/>
    <n v="106000"/>
    <n v="6000"/>
    <n v="106000"/>
    <n v="106000"/>
    <n v="2"/>
    <x v="2"/>
    <n v="25.94"/>
    <n v="31"/>
    <x v="7"/>
    <s v="東中野駅"/>
    <n v="9"/>
    <n v="11.67"/>
    <n v="144436.73000000001"/>
    <n v="95329.65"/>
    <n v="648"/>
    <n v="1622"/>
    <s v="20-30"/>
    <x v="4"/>
  </r>
  <r>
    <s v="https://suumo.jp/chintai/jnc_000103530298/?bc=100478274286"/>
    <s v="ＪＲ総武線 東中野駅 9階建 築23年"/>
    <s v="東京都新宿区北新宿４"/>
    <n v="130000"/>
    <n v="10000"/>
    <n v="130000"/>
    <n v="130000"/>
    <n v="6"/>
    <x v="2"/>
    <n v="28.3"/>
    <n v="23"/>
    <x v="6"/>
    <s v="東中野駅"/>
    <n v="7"/>
    <n v="10.33"/>
    <n v="144436.73000000001"/>
    <n v="95329.65"/>
    <n v="648"/>
    <n v="1622"/>
    <s v="20-30"/>
    <x v="1"/>
  </r>
  <r>
    <s v="https://suumo.jp/chintai/jnc_000103379766/?bc=100477119794"/>
    <s v="ＪＲ総武線 東中野駅 9階建 築23年"/>
    <s v="東京都新宿区北新宿４"/>
    <n v="79000"/>
    <n v="15000"/>
    <m/>
    <n v="79000"/>
    <n v="7"/>
    <x v="2"/>
    <n v="22.95"/>
    <n v="23"/>
    <x v="6"/>
    <s v="東中野駅"/>
    <n v="7"/>
    <n v="10.33"/>
    <n v="144436.73000000001"/>
    <n v="95329.65"/>
    <n v="648"/>
    <n v="1622"/>
    <s v="20-30"/>
    <x v="1"/>
  </r>
  <r>
    <s v="https://suumo.jp/chintai/jnc_000104295027/?bc=100484997299"/>
    <s v="Ｌａ Ｄｏｕｃｅｕｒ東中野"/>
    <s v="東京都新宿区北新宿４"/>
    <n v="123000"/>
    <n v="15000"/>
    <n v="123000"/>
    <m/>
    <n v="2"/>
    <x v="2"/>
    <n v="25.13"/>
    <n v="6"/>
    <x v="12"/>
    <s v="東中野駅"/>
    <n v="6"/>
    <n v="10"/>
    <n v="144436.73000000001"/>
    <n v="95329.65"/>
    <n v="648"/>
    <n v="1622"/>
    <s v="20-30"/>
    <x v="0"/>
  </r>
  <r>
    <s v="https://suumo.jp/chintai/jnc_000104003999/?bc=100482034165"/>
    <s v="Ｐａｓｔｅｌ　ｔｒｅｅ"/>
    <s v="東京都中野区東中野２"/>
    <n v="103000"/>
    <n v="5000"/>
    <m/>
    <n v="154500"/>
    <n v="2"/>
    <x v="2"/>
    <n v="36.200000000000003"/>
    <n v="18"/>
    <x v="0"/>
    <s v="東中野駅"/>
    <n v="4"/>
    <n v="10.33"/>
    <n v="144436.73000000001"/>
    <n v="95329.65"/>
    <n v="648"/>
    <n v="1622"/>
    <s v="30-40"/>
    <x v="7"/>
  </r>
  <r>
    <s v="https://suumo.jp/chintai/jnc_000103770556/?bc=100480424802"/>
    <s v="AGRACES北新宿II"/>
    <s v="東京都新宿区北新宿３"/>
    <n v="154000"/>
    <n v="12000"/>
    <m/>
    <m/>
    <n v="3"/>
    <x v="3"/>
    <n v="31.04"/>
    <n v="0"/>
    <x v="4"/>
    <s v="東中野駅"/>
    <n v="9"/>
    <n v="13"/>
    <n v="144436.73000000001"/>
    <n v="168453.81"/>
    <n v="648"/>
    <n v="788"/>
    <s v="30-40"/>
    <x v="6"/>
  </r>
  <r>
    <s v="https://suumo.jp/chintai/jnc_000103770558/?bc=100482395747"/>
    <s v="AGRACES北新宿II"/>
    <s v="東京都新宿区北新宿３"/>
    <n v="155000"/>
    <n v="12000"/>
    <m/>
    <m/>
    <n v="4"/>
    <x v="3"/>
    <n v="31.04"/>
    <n v="0"/>
    <x v="4"/>
    <s v="東中野駅"/>
    <n v="9"/>
    <n v="13"/>
    <n v="144436.73000000001"/>
    <n v="168453.81"/>
    <n v="648"/>
    <n v="788"/>
    <s v="30-40"/>
    <x v="6"/>
  </r>
  <r>
    <s v="https://suumo.jp/chintai/jnc_000096990774/?bc=100484667115"/>
    <s v="FABRIC東中野Residence"/>
    <s v="東京都中野区東中野１"/>
    <n v="239800"/>
    <n v="10000"/>
    <n v="239800"/>
    <m/>
    <n v="4"/>
    <x v="3"/>
    <n v="40.79"/>
    <n v="1"/>
    <x v="4"/>
    <s v="東中野駅"/>
    <n v="6"/>
    <n v="9.33"/>
    <n v="144436.73000000001"/>
    <n v="168453.81"/>
    <n v="648"/>
    <n v="788"/>
    <s v="40-50"/>
    <x v="0"/>
  </r>
  <r>
    <s v="https://suumo.jp/chintai/jnc_000103873809/?bc=100481301263"/>
    <s v="GranDuo東中野II"/>
    <s v="東京都中野区東中野５"/>
    <n v="192000"/>
    <n v="8000"/>
    <n v="192000"/>
    <m/>
    <n v="3"/>
    <x v="3"/>
    <n v="47.2"/>
    <n v="7"/>
    <x v="4"/>
    <s v="東中野駅"/>
    <n v="3"/>
    <n v="5"/>
    <n v="144436.73000000001"/>
    <n v="168453.81"/>
    <n v="648"/>
    <n v="788"/>
    <s v="40-50"/>
    <x v="0"/>
  </r>
  <r>
    <s v="https://suumo.jp/chintai/jnc_000103743377/?bc=100483778703"/>
    <s v="HF東中野レジデンス"/>
    <s v="東京都中野区東中野２"/>
    <n v="200000"/>
    <n v="10000"/>
    <n v="200000"/>
    <m/>
    <n v="2"/>
    <x v="3"/>
    <n v="40.31"/>
    <n v="19"/>
    <x v="8"/>
    <s v="東中野駅"/>
    <n v="5"/>
    <n v="8.33"/>
    <n v="144436.73000000001"/>
    <n v="168453.81"/>
    <n v="648"/>
    <n v="788"/>
    <s v="40-50"/>
    <x v="7"/>
  </r>
  <r>
    <s v="https://suumo.jp/chintai/jnc_000103771449/?bc=100484035205"/>
    <s v="HF東中野レジデンス"/>
    <s v="東京都中野区東中野２"/>
    <n v="215000"/>
    <n v="10000"/>
    <n v="215000"/>
    <n v="215000"/>
    <n v="6"/>
    <x v="3"/>
    <n v="40.049999999999997"/>
    <n v="19"/>
    <x v="8"/>
    <s v="東中野駅"/>
    <n v="5"/>
    <n v="8.33"/>
    <n v="144436.73000000001"/>
    <n v="168453.81"/>
    <n v="648"/>
    <n v="788"/>
    <s v="40-50"/>
    <x v="7"/>
  </r>
  <r>
    <s v="https://suumo.jp/chintai/jnc_000104406914/?bc=100486004261"/>
    <s v="i-Suite HigashiNakano"/>
    <s v="東京都中野区東中野１"/>
    <n v="221000"/>
    <n v="13000"/>
    <n v="221000"/>
    <n v="331500"/>
    <n v="10"/>
    <x v="3"/>
    <n v="47.74"/>
    <n v="16"/>
    <x v="1"/>
    <s v="東中野駅"/>
    <n v="4"/>
    <n v="10"/>
    <n v="144436.73000000001"/>
    <n v="168453.81"/>
    <n v="648"/>
    <n v="788"/>
    <s v="40-50"/>
    <x v="7"/>
  </r>
  <r>
    <s v="https://suumo.jp/chintai/jnc_000103259876/?bc=100477784692"/>
    <s v="i-Suite HigashiNakano"/>
    <s v="東京都中野区東中野１"/>
    <n v="225000"/>
    <n v="13000"/>
    <n v="225000"/>
    <m/>
    <n v="1"/>
    <x v="3"/>
    <n v="51.14"/>
    <n v="16"/>
    <x v="1"/>
    <s v="東中野駅"/>
    <n v="4"/>
    <n v="10"/>
    <n v="144436.73000000001"/>
    <n v="168453.81"/>
    <n v="648"/>
    <n v="788"/>
    <s v="50-60"/>
    <x v="7"/>
  </r>
  <r>
    <s v="https://suumo.jp/chintai/jnc_000104464942/?bc=100479191408"/>
    <s v="アンソレイユもみじ山"/>
    <s v="東京都中野区上高田１"/>
    <n v="164000"/>
    <n v="4400"/>
    <m/>
    <n v="328000"/>
    <n v="1"/>
    <x v="3"/>
    <n v="42.8"/>
    <n v="0"/>
    <x v="0"/>
    <s v="東中野駅"/>
    <n v="13"/>
    <n v="13.67"/>
    <n v="144436.73000000001"/>
    <n v="168453.81"/>
    <n v="648"/>
    <n v="788"/>
    <s v="40-50"/>
    <x v="6"/>
  </r>
  <r>
    <s v="https://suumo.jp/chintai/jnc_000053132600/?bc=100485358898"/>
    <s v="アートクレール東中野1号館"/>
    <s v="東京都中野区東中野５"/>
    <n v="95000"/>
    <n v="3000"/>
    <n v="95000"/>
    <n v="95000"/>
    <n v="1"/>
    <x v="3"/>
    <n v="35.380000000000003"/>
    <n v="52"/>
    <x v="7"/>
    <s v="東中野駅"/>
    <n v="8"/>
    <n v="10.33"/>
    <n v="144436.73000000001"/>
    <n v="168453.81"/>
    <n v="648"/>
    <n v="788"/>
    <s v="30-40"/>
    <x v="5"/>
  </r>
  <r>
    <s v="https://suumo.jp/chintai/jnc_000101771776/?bc=100472863624"/>
    <s v="クレストコート東中野"/>
    <s v="東京都中野区東中野１"/>
    <n v="184000"/>
    <n v="15000"/>
    <n v="184000"/>
    <m/>
    <n v="10"/>
    <x v="3"/>
    <n v="29.25"/>
    <n v="0"/>
    <x v="3"/>
    <s v="東中野駅"/>
    <n v="4"/>
    <n v="9.33"/>
    <n v="144436.73000000001"/>
    <n v="168453.81"/>
    <n v="648"/>
    <n v="788"/>
    <s v="20-30"/>
    <x v="6"/>
  </r>
  <r>
    <s v="https://suumo.jp/chintai/jnc_000103994794/?bc=100482254427"/>
    <s v="クレストコート東中野"/>
    <s v="東京都中野区東中野１"/>
    <n v="180000"/>
    <n v="15000"/>
    <m/>
    <m/>
    <n v="11"/>
    <x v="3"/>
    <n v="28.87"/>
    <n v="0"/>
    <x v="3"/>
    <s v="東中野駅"/>
    <n v="4"/>
    <n v="9.33"/>
    <n v="144436.73000000001"/>
    <n v="168453.81"/>
    <n v="648"/>
    <n v="788"/>
    <s v="20-30"/>
    <x v="6"/>
  </r>
  <r>
    <s v="https://suumo.jp/chintai/jnc_000103994795/?bc=100485545460"/>
    <s v="クレストコート東中野"/>
    <s v="東京都中野区東中野１"/>
    <n v="185000"/>
    <n v="15000"/>
    <n v="185000"/>
    <m/>
    <n v="11"/>
    <x v="3"/>
    <n v="29.25"/>
    <n v="0"/>
    <x v="3"/>
    <s v="東中野駅"/>
    <n v="4"/>
    <n v="9.33"/>
    <n v="144436.73000000001"/>
    <n v="168453.81"/>
    <n v="648"/>
    <n v="788"/>
    <s v="20-30"/>
    <x v="6"/>
  </r>
  <r>
    <s v="https://suumo.jp/chintai/jnc_000103994798/?bc=100482120564"/>
    <s v="クレストコート東中野"/>
    <s v="東京都中野区東中野１"/>
    <n v="168000"/>
    <n v="15000"/>
    <m/>
    <m/>
    <n v="3"/>
    <x v="3"/>
    <n v="28.87"/>
    <n v="0"/>
    <x v="3"/>
    <s v="東中野駅"/>
    <n v="4"/>
    <n v="9.33"/>
    <n v="144436.73000000001"/>
    <n v="168453.81"/>
    <n v="648"/>
    <n v="788"/>
    <s v="20-30"/>
    <x v="6"/>
  </r>
  <r>
    <s v="https://suumo.jp/chintai/jnc_000102998316/?bc=100476687447"/>
    <s v="クレストコート東中野"/>
    <s v="東京都中野区東中野１"/>
    <n v="168000"/>
    <n v="15000"/>
    <n v="168000"/>
    <m/>
    <n v="3"/>
    <x v="3"/>
    <n v="29.25"/>
    <n v="0"/>
    <x v="3"/>
    <s v="東中野駅"/>
    <n v="4"/>
    <n v="9.33"/>
    <n v="144436.73000000001"/>
    <n v="168453.81"/>
    <n v="648"/>
    <n v="788"/>
    <s v="20-30"/>
    <x v="6"/>
  </r>
  <r>
    <s v="https://suumo.jp/chintai/jnc_000100257760/?bc=100482186341"/>
    <s v="クレストコート東中野"/>
    <s v="東京都中野区東中野１"/>
    <n v="170000"/>
    <n v="15000"/>
    <m/>
    <m/>
    <n v="4"/>
    <x v="3"/>
    <n v="28.87"/>
    <n v="0"/>
    <x v="3"/>
    <s v="東中野駅"/>
    <n v="4"/>
    <n v="9.33"/>
    <n v="144436.73000000001"/>
    <n v="168453.81"/>
    <n v="648"/>
    <n v="788"/>
    <s v="20-30"/>
    <x v="6"/>
  </r>
  <r>
    <s v="https://suumo.jp/chintai/jnc_000099437318/?bc=100485785192"/>
    <s v="クレストコート東中野"/>
    <s v="東京都中野区東中野１"/>
    <n v="175000"/>
    <n v="15000"/>
    <n v="175000"/>
    <m/>
    <n v="8"/>
    <x v="3"/>
    <n v="28.87"/>
    <n v="0"/>
    <x v="3"/>
    <s v="東中野駅"/>
    <n v="4"/>
    <n v="9.33"/>
    <n v="144436.73000000001"/>
    <n v="168453.81"/>
    <n v="648"/>
    <n v="788"/>
    <s v="20-30"/>
    <x v="6"/>
  </r>
  <r>
    <s v="https://suumo.jp/chintai/jnc_000100284066/?bc=100450402605"/>
    <s v="クレストコート東中野"/>
    <s v="東京都中野区東中野１"/>
    <n v="180000"/>
    <n v="15000"/>
    <n v="180000"/>
    <m/>
    <n v="9"/>
    <x v="3"/>
    <n v="28.87"/>
    <n v="0"/>
    <x v="3"/>
    <s v="東中野駅"/>
    <n v="4"/>
    <n v="9.33"/>
    <n v="144436.73000000001"/>
    <n v="168453.81"/>
    <n v="648"/>
    <n v="788"/>
    <s v="20-30"/>
    <x v="6"/>
  </r>
  <r>
    <s v="https://suumo.jp/chintai/jnc_000101319456/?bc=100482151288"/>
    <s v="コンフォリア・リヴ北新宿"/>
    <s v="東京都新宿区北新宿４"/>
    <n v="174000"/>
    <n v="10000"/>
    <n v="174000"/>
    <m/>
    <n v="10"/>
    <x v="3"/>
    <n v="30.26"/>
    <n v="2"/>
    <x v="13"/>
    <s v="東中野駅"/>
    <n v="9"/>
    <n v="12.33"/>
    <n v="144436.73000000001"/>
    <n v="168453.81"/>
    <n v="648"/>
    <n v="788"/>
    <s v="30-40"/>
    <x v="0"/>
  </r>
  <r>
    <s v="https://suumo.jp/chintai/jnc_000101319458/?bc=100478839898"/>
    <s v="コンフォリア・リヴ北新宿"/>
    <s v="東京都新宿区北新宿４"/>
    <n v="176000"/>
    <n v="10000"/>
    <n v="176000"/>
    <m/>
    <n v="11"/>
    <x v="3"/>
    <n v="30.26"/>
    <n v="2"/>
    <x v="13"/>
    <s v="東中野駅"/>
    <n v="9"/>
    <n v="12.33"/>
    <n v="144436.73000000001"/>
    <n v="168453.81"/>
    <n v="648"/>
    <n v="788"/>
    <s v="30-40"/>
    <x v="0"/>
  </r>
  <r>
    <s v="https://suumo.jp/chintai/jnc_000102361081/?bc=100462436848"/>
    <s v="コンフォリア・リヴ北新宿"/>
    <s v="東京都新宿区北新宿４"/>
    <n v="167000"/>
    <n v="10000"/>
    <n v="167000"/>
    <m/>
    <n v="6"/>
    <x v="3"/>
    <n v="30.26"/>
    <n v="2"/>
    <x v="13"/>
    <s v="東中野駅"/>
    <n v="9"/>
    <n v="12.33"/>
    <n v="144436.73000000001"/>
    <n v="168453.81"/>
    <n v="648"/>
    <n v="788"/>
    <s v="30-40"/>
    <x v="0"/>
  </r>
  <r>
    <s v="https://suumo.jp/chintai/jnc_000102361083/?bc=100482160452"/>
    <s v="コンフォリア・リヴ北新宿"/>
    <s v="東京都新宿区北新宿４"/>
    <n v="168000"/>
    <n v="10000"/>
    <n v="168000"/>
    <m/>
    <n v="7"/>
    <x v="3"/>
    <n v="30.26"/>
    <n v="2"/>
    <x v="13"/>
    <s v="東中野駅"/>
    <n v="9"/>
    <n v="12.33"/>
    <n v="144436.73000000001"/>
    <n v="168453.81"/>
    <n v="648"/>
    <n v="788"/>
    <s v="30-40"/>
    <x v="0"/>
  </r>
  <r>
    <s v="https://suumo.jp/chintai/jnc_000104063958/?bc=100483771987"/>
    <s v="サンウッド東中野"/>
    <s v="東京都中野区東中野１"/>
    <n v="200000"/>
    <n v="8000"/>
    <n v="200000"/>
    <n v="200000"/>
    <n v="11"/>
    <x v="3"/>
    <n v="39.92"/>
    <n v="11"/>
    <x v="12"/>
    <s v="東中野駅"/>
    <n v="1"/>
    <n v="8.67"/>
    <n v="144436.73000000001"/>
    <n v="168453.81"/>
    <n v="648"/>
    <n v="788"/>
    <s v="30-40"/>
    <x v="7"/>
  </r>
  <r>
    <s v="https://suumo.jp/chintai/jnc_000104029335/?bc=100482325992"/>
    <s v="サンウッド東中野"/>
    <s v="東京都中野区東中野１"/>
    <n v="180000"/>
    <n v="10000"/>
    <n v="180000"/>
    <n v="180000"/>
    <n v="6"/>
    <x v="3"/>
    <n v="39.92"/>
    <n v="11"/>
    <x v="12"/>
    <s v="東中野駅"/>
    <n v="1"/>
    <n v="8.67"/>
    <n v="144436.73000000001"/>
    <n v="168453.81"/>
    <n v="648"/>
    <n v="788"/>
    <s v="30-40"/>
    <x v="7"/>
  </r>
  <r>
    <s v="https://suumo.jp/chintai/jnc_000103187354/?bc=100484172517"/>
    <s v="スカイコートヒルズ北新宿"/>
    <s v="東京都新宿区北新宿４"/>
    <n v="198700"/>
    <n v="11300"/>
    <n v="198700"/>
    <n v="198700"/>
    <n v="9"/>
    <x v="3"/>
    <n v="41.25"/>
    <n v="9"/>
    <x v="6"/>
    <s v="東中野駅"/>
    <n v="8"/>
    <n v="9.67"/>
    <n v="144436.73000000001"/>
    <n v="168453.81"/>
    <n v="648"/>
    <n v="788"/>
    <s v="40-50"/>
    <x v="0"/>
  </r>
  <r>
    <s v="https://suumo.jp/chintai/jnc_000103307454/?bc=100476744355"/>
    <s v="セリタビル"/>
    <s v="東京都中野区東中野１"/>
    <n v="195000"/>
    <n v="5000"/>
    <n v="195000"/>
    <n v="195000"/>
    <n v="4"/>
    <x v="3"/>
    <n v="51.65"/>
    <n v="49"/>
    <x v="4"/>
    <s v="東中野駅"/>
    <n v="2"/>
    <n v="8.67"/>
    <n v="144436.73000000001"/>
    <n v="168453.81"/>
    <n v="648"/>
    <n v="788"/>
    <s v="50-60"/>
    <x v="3"/>
  </r>
  <r>
    <s v="https://suumo.jp/chintai/jnc_000104138615/?bc=100485769534"/>
    <s v="ドルチェ ドミール"/>
    <s v="東京都新宿区北新宿４"/>
    <n v="170000"/>
    <n v="15000"/>
    <m/>
    <n v="170000"/>
    <n v="2"/>
    <x v="3"/>
    <n v="37.01"/>
    <n v="10"/>
    <x v="6"/>
    <s v="東中野駅"/>
    <n v="5"/>
    <n v="10"/>
    <n v="144436.73000000001"/>
    <n v="168453.81"/>
    <n v="648"/>
    <n v="788"/>
    <s v="30-40"/>
    <x v="0"/>
  </r>
  <r>
    <s v="https://suumo.jp/chintai/jnc_000096937916/?bc=100468213270"/>
    <s v="パークタワー東中野"/>
    <s v="東京都中野区東中野５"/>
    <n v="210000"/>
    <m/>
    <n v="210000"/>
    <n v="210000"/>
    <n v="11"/>
    <x v="3"/>
    <n v="44.3"/>
    <n v="20"/>
    <x v="17"/>
    <s v="東中野駅"/>
    <n v="3"/>
    <n v="6.33"/>
    <n v="144436.73000000001"/>
    <n v="168453.81"/>
    <n v="648"/>
    <n v="788"/>
    <s v="40-50"/>
    <x v="7"/>
  </r>
  <r>
    <s v="https://suumo.jp/chintai/jnc_000101487484/?bc=100481129466"/>
    <s v="パークハビオ東中野"/>
    <s v="東京都中野区東中野１"/>
    <n v="290000"/>
    <n v="10000"/>
    <n v="290000"/>
    <n v="290000"/>
    <n v="15"/>
    <x v="3"/>
    <n v="55.9"/>
    <n v="16"/>
    <x v="18"/>
    <s v="東中野駅"/>
    <n v="1"/>
    <n v="7"/>
    <n v="144436.73000000001"/>
    <n v="168453.81"/>
    <n v="648"/>
    <n v="788"/>
    <s v="50-60"/>
    <x v="7"/>
  </r>
  <r>
    <s v="https://suumo.jp/chintai/jnc_000102396489/?bc=100478343251"/>
    <s v="ビューノ"/>
    <s v="東京都中野区東中野４"/>
    <n v="185000"/>
    <n v="8000"/>
    <n v="185000"/>
    <n v="185000"/>
    <n v="2"/>
    <x v="3"/>
    <n v="41.36"/>
    <n v="11"/>
    <x v="2"/>
    <s v="東中野駅"/>
    <n v="3"/>
    <n v="5.5"/>
    <n v="144436.73000000001"/>
    <n v="168453.81"/>
    <n v="648"/>
    <n v="788"/>
    <s v="40-50"/>
    <x v="7"/>
  </r>
  <r>
    <s v="https://suumo.jp/chintai/jnc_000102555246/?bc=100485394932"/>
    <s v="ビューノ"/>
    <s v="東京都中野区東中野４"/>
    <n v="185000"/>
    <n v="8000"/>
    <n v="185000"/>
    <n v="185000"/>
    <n v="2"/>
    <x v="3"/>
    <n v="42.75"/>
    <n v="11"/>
    <x v="2"/>
    <s v="東中野駅"/>
    <n v="3"/>
    <n v="5.5"/>
    <n v="144436.73000000001"/>
    <n v="168453.81"/>
    <n v="648"/>
    <n v="788"/>
    <s v="40-50"/>
    <x v="7"/>
  </r>
  <r>
    <s v="https://suumo.jp/chintai/jnc_000103527146/?bc=100484264499"/>
    <s v="フォレストコート東中野"/>
    <s v="東京都中野区東中野１"/>
    <n v="137000"/>
    <n v="2000"/>
    <n v="137000"/>
    <n v="137000"/>
    <n v="1"/>
    <x v="3"/>
    <n v="35.19"/>
    <n v="7"/>
    <x v="0"/>
    <s v="東中野駅"/>
    <n v="3"/>
    <n v="7.67"/>
    <n v="144436.73000000001"/>
    <n v="168453.81"/>
    <n v="648"/>
    <n v="788"/>
    <s v="30-40"/>
    <x v="0"/>
  </r>
  <r>
    <s v="https://suumo.jp/chintai/jnc_000102862667/?bc=100485785958"/>
    <s v="プライムブリス東中野駅前"/>
    <s v="東京都中野区東中野１"/>
    <n v="145000"/>
    <n v="10000"/>
    <n v="145000"/>
    <m/>
    <n v="2"/>
    <x v="3"/>
    <n v="25.55"/>
    <n v="3"/>
    <x v="3"/>
    <s v="東中野駅"/>
    <n v="1"/>
    <n v="8.67"/>
    <n v="144436.73000000001"/>
    <n v="168453.81"/>
    <n v="648"/>
    <n v="788"/>
    <s v="20-30"/>
    <x v="0"/>
  </r>
  <r>
    <s v="https://suumo.jp/chintai/jnc_000101302161/?bc=100476942062"/>
    <s v="プライムブリス東中野駅前"/>
    <s v="東京都中野区東中野１"/>
    <n v="145000"/>
    <n v="10000"/>
    <n v="145000"/>
    <m/>
    <n v="5"/>
    <x v="3"/>
    <n v="25.55"/>
    <n v="3"/>
    <x v="3"/>
    <s v="東中野駅"/>
    <n v="1"/>
    <n v="8.67"/>
    <n v="144436.73000000001"/>
    <n v="168453.81"/>
    <n v="648"/>
    <n v="788"/>
    <s v="20-30"/>
    <x v="0"/>
  </r>
  <r>
    <s v="https://suumo.jp/chintai/jnc_000103231717/?bc=100480866889"/>
    <s v="プライムブリス東中野駅前"/>
    <s v="東京都中野区東中野１"/>
    <n v="168000"/>
    <n v="12000"/>
    <n v="168000"/>
    <m/>
    <n v="6"/>
    <x v="3"/>
    <n v="33.049999999999997"/>
    <n v="3"/>
    <x v="3"/>
    <s v="東中野駅"/>
    <n v="1"/>
    <n v="8.67"/>
    <n v="144436.73000000001"/>
    <n v="168453.81"/>
    <n v="648"/>
    <n v="788"/>
    <s v="30-40"/>
    <x v="0"/>
  </r>
  <r>
    <s v="https://suumo.jp/chintai/jnc_000098645774/?bc=100441101279"/>
    <s v="メゾンエンゼル"/>
    <s v="東京都新宿区北新宿４"/>
    <n v="98000"/>
    <n v="3000"/>
    <n v="98000"/>
    <n v="98000"/>
    <n v="4"/>
    <x v="3"/>
    <n v="35"/>
    <n v="46"/>
    <x v="7"/>
    <s v="東中野駅"/>
    <n v="8"/>
    <n v="11.33"/>
    <n v="144436.73000000001"/>
    <n v="168453.81"/>
    <n v="648"/>
    <n v="788"/>
    <s v="30-40"/>
    <x v="3"/>
  </r>
  <r>
    <s v="https://suumo.jp/chintai/jnc_000104449862/?bc=100260560485"/>
    <s v="ユニゾンタワー"/>
    <s v="東京都中野区東中野５"/>
    <n v="225000"/>
    <n v="12000"/>
    <n v="225000"/>
    <n v="225000"/>
    <n v="13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3909150/?bc=100475848713"/>
    <s v="ユニゾンタワー"/>
    <s v="東京都中野区東中野５"/>
    <n v="237000"/>
    <n v="12000"/>
    <n v="237000"/>
    <n v="237000"/>
    <n v="13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2672629/?bc=100472866957"/>
    <s v="ユニゾンタワー"/>
    <s v="東京都中野区東中野５"/>
    <n v="267000"/>
    <n v="12000"/>
    <n v="267000"/>
    <n v="320400"/>
    <n v="13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3909152/?bc=100482223046"/>
    <s v="ユニゾンタワー"/>
    <s v="東京都中野区東中野５"/>
    <n v="215000"/>
    <n v="12000"/>
    <n v="215000"/>
    <n v="215000"/>
    <n v="14"/>
    <x v="3"/>
    <n v="47.06"/>
    <n v="19"/>
    <x v="19"/>
    <s v="東中野駅"/>
    <n v="1"/>
    <n v="9"/>
    <n v="144436.73000000001"/>
    <n v="168453.81"/>
    <n v="648"/>
    <n v="788"/>
    <s v="40-50"/>
    <x v="7"/>
  </r>
  <r>
    <s v="https://suumo.jp/chintai/jnc_000103223533/?bc=100345191667"/>
    <s v="ユニゾンタワー"/>
    <s v="東京都中野区東中野５"/>
    <n v="233000"/>
    <n v="12000"/>
    <n v="233000"/>
    <n v="279600"/>
    <n v="14"/>
    <x v="3"/>
    <n v="47.06"/>
    <n v="19"/>
    <x v="19"/>
    <s v="東中野駅"/>
    <n v="1"/>
    <n v="9"/>
    <n v="144436.73000000001"/>
    <n v="168453.81"/>
    <n v="648"/>
    <n v="788"/>
    <s v="40-50"/>
    <x v="7"/>
  </r>
  <r>
    <s v="https://suumo.jp/chintai/jnc_000104076699/?bc=100482858697"/>
    <s v="ユニゾンタワー"/>
    <s v="東京都中野区東中野５"/>
    <n v="241000"/>
    <n v="12000"/>
    <n v="241000"/>
    <n v="241000"/>
    <n v="15"/>
    <x v="3"/>
    <n v="55.65"/>
    <n v="19"/>
    <x v="19"/>
    <s v="東中野駅"/>
    <n v="1"/>
    <n v="9"/>
    <n v="144436.73000000001"/>
    <n v="168453.81"/>
    <n v="648"/>
    <n v="788"/>
    <s v="50-60"/>
    <x v="7"/>
  </r>
  <r>
    <s v="https://suumo.jp/chintai/jnc_000103947719/?bc=100482186211"/>
    <s v="ユニゾンタワー"/>
    <s v="東京都中野区東中野５"/>
    <n v="211000"/>
    <n v="10000"/>
    <n v="211000"/>
    <n v="211000"/>
    <n v="18"/>
    <x v="3"/>
    <n v="46.07"/>
    <n v="19"/>
    <x v="19"/>
    <s v="東中野駅"/>
    <n v="1"/>
    <n v="9"/>
    <n v="144436.73000000001"/>
    <n v="168453.81"/>
    <n v="648"/>
    <n v="788"/>
    <s v="40-50"/>
    <x v="7"/>
  </r>
  <r>
    <s v="https://suumo.jp/chintai/jnc_000103330735/?bc=100477105517"/>
    <s v="ユニゾンタワー"/>
    <s v="東京都中野区東中野５"/>
    <n v="247000"/>
    <n v="12000"/>
    <n v="247000"/>
    <n v="296400"/>
    <n v="21"/>
    <x v="3"/>
    <n v="48.17"/>
    <n v="19"/>
    <x v="19"/>
    <s v="東中野駅"/>
    <n v="1"/>
    <n v="9"/>
    <n v="144436.73000000001"/>
    <n v="168453.81"/>
    <n v="648"/>
    <n v="788"/>
    <s v="40-50"/>
    <x v="7"/>
  </r>
  <r>
    <s v="https://suumo.jp/chintai/jnc_000104519180/?bc=100486339628"/>
    <s v="ユニゾンタワー"/>
    <s v="東京都中野区東中野５"/>
    <n v="226000"/>
    <n v="10000"/>
    <n v="226000"/>
    <n v="226000"/>
    <n v="24"/>
    <x v="3"/>
    <n v="46.07"/>
    <n v="19"/>
    <x v="19"/>
    <s v="東中野駅"/>
    <n v="1"/>
    <n v="9"/>
    <n v="144436.73000000001"/>
    <n v="168453.81"/>
    <n v="648"/>
    <n v="788"/>
    <s v="40-50"/>
    <x v="7"/>
  </r>
  <r>
    <s v="https://suumo.jp/chintai/jnc_000104091979/?bc=100483397477"/>
    <s v="ユニゾンタワー"/>
    <s v="東京都中野区東中野５"/>
    <n v="238000"/>
    <n v="12000"/>
    <n v="238000"/>
    <n v="238000"/>
    <n v="24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4091980/?bc=100480427993"/>
    <s v="ユニゾンタワー"/>
    <s v="東京都中野区東中野５"/>
    <n v="193000"/>
    <n v="12000"/>
    <n v="193000"/>
    <m/>
    <n v="5"/>
    <x v="3"/>
    <n v="47.06"/>
    <n v="19"/>
    <x v="19"/>
    <s v="東中野駅"/>
    <n v="1"/>
    <n v="9"/>
    <n v="144436.73000000001"/>
    <n v="168453.81"/>
    <n v="648"/>
    <n v="788"/>
    <s v="40-50"/>
    <x v="7"/>
  </r>
  <r>
    <s v="https://suumo.jp/chintai/jnc_000103909154/?bc=100482956444"/>
    <s v="ユニゾンタワー"/>
    <s v="東京都中野区東中野５"/>
    <n v="203000"/>
    <n v="12000"/>
    <n v="203000"/>
    <n v="203000"/>
    <n v="5"/>
    <x v="3"/>
    <n v="47.06"/>
    <n v="19"/>
    <x v="19"/>
    <s v="東中野駅"/>
    <n v="1"/>
    <n v="9"/>
    <n v="144436.73000000001"/>
    <n v="168453.81"/>
    <n v="648"/>
    <n v="788"/>
    <s v="40-50"/>
    <x v="7"/>
  </r>
  <r>
    <s v="https://suumo.jp/chintai/jnc_000104442917/?bc=100485704303"/>
    <s v="ラウレア"/>
    <s v="東京都中野区東中野４"/>
    <n v="150000"/>
    <n v="5000"/>
    <n v="75000"/>
    <n v="225000"/>
    <n v="3"/>
    <x v="3"/>
    <n v="37.89"/>
    <n v="11"/>
    <x v="2"/>
    <s v="東中野駅"/>
    <n v="2"/>
    <n v="3"/>
    <n v="144436.73000000001"/>
    <n v="168453.81"/>
    <n v="648"/>
    <n v="788"/>
    <s v="30-40"/>
    <x v="7"/>
  </r>
  <r>
    <s v="https://suumo.jp/chintai/jnc_000104498670/?bc=100486218351"/>
    <s v="ラミィ北新宿"/>
    <s v="東京都新宿区北新宿３"/>
    <n v="164000"/>
    <n v="15000"/>
    <m/>
    <m/>
    <n v="2"/>
    <x v="3"/>
    <n v="27.85"/>
    <n v="1"/>
    <x v="4"/>
    <s v="東中野駅"/>
    <n v="8"/>
    <n v="12.67"/>
    <n v="144436.73000000001"/>
    <n v="168453.81"/>
    <n v="648"/>
    <n v="788"/>
    <s v="20-30"/>
    <x v="0"/>
  </r>
  <r>
    <s v="https://suumo.jp/chintai/jnc_000103762840/?bc=100485547908"/>
    <s v="ラ・ミアカーサ東中野"/>
    <s v="東京都中野区東中野１"/>
    <n v="192000"/>
    <n v="12000"/>
    <n v="192000"/>
    <n v="192000"/>
    <n v="2"/>
    <x v="3"/>
    <n v="36.119999999999997"/>
    <n v="7"/>
    <x v="7"/>
    <s v="東中野駅"/>
    <n v="2"/>
    <n v="7"/>
    <n v="144436.73000000001"/>
    <n v="168453.81"/>
    <n v="648"/>
    <n v="788"/>
    <s v="30-40"/>
    <x v="0"/>
  </r>
  <r>
    <s v="https://suumo.jp/chintai/jnc_000101472621/?bc=100463049714"/>
    <s v="ラ・ミアカーサ東中野"/>
    <s v="東京都中野区東中野１"/>
    <n v="190000"/>
    <n v="12000"/>
    <n v="190000"/>
    <n v="190000"/>
    <n v="2"/>
    <x v="3"/>
    <n v="36.119999999999997"/>
    <n v="7"/>
    <x v="7"/>
    <s v="東中野駅"/>
    <n v="2"/>
    <n v="7"/>
    <n v="144436.73000000001"/>
    <n v="168453.81"/>
    <n v="648"/>
    <n v="788"/>
    <s v="30-40"/>
    <x v="0"/>
  </r>
  <r>
    <s v="https://suumo.jp/chintai/jnc_000103864701/?bc=100483337374"/>
    <s v="ラ・ミアカーサ東中野"/>
    <s v="東京都中野区東中野１"/>
    <n v="192000"/>
    <n v="12000"/>
    <n v="192000"/>
    <n v="192000"/>
    <n v="3"/>
    <x v="3"/>
    <n v="36.119999999999997"/>
    <n v="7"/>
    <x v="7"/>
    <s v="東中野駅"/>
    <n v="2"/>
    <n v="7"/>
    <n v="144436.73000000001"/>
    <n v="168453.81"/>
    <n v="648"/>
    <n v="788"/>
    <s v="30-40"/>
    <x v="0"/>
  </r>
  <r>
    <s v="https://suumo.jp/chintai/jnc_000103685974/?bc=100480361917"/>
    <s v="ラ・ミアカーサ東中野"/>
    <s v="東京都中野区東中野１"/>
    <n v="196000"/>
    <n v="12000"/>
    <n v="196000"/>
    <n v="196000"/>
    <n v="3"/>
    <x v="3"/>
    <n v="36.119999999999997"/>
    <n v="7"/>
    <x v="7"/>
    <s v="東中野駅"/>
    <n v="2"/>
    <n v="7"/>
    <n v="144436.73000000001"/>
    <n v="168453.81"/>
    <n v="648"/>
    <n v="788"/>
    <s v="30-40"/>
    <x v="0"/>
  </r>
  <r>
    <s v="https://suumo.jp/chintai/jnc_000102538459/?bc=100472237424"/>
    <s v="ラ・ミアカーサ東中野"/>
    <s v="東京都中野区東中野１"/>
    <n v="192000"/>
    <n v="12000"/>
    <n v="192000"/>
    <n v="192000"/>
    <n v="5"/>
    <x v="3"/>
    <n v="36.119999999999997"/>
    <n v="7"/>
    <x v="7"/>
    <s v="東中野駅"/>
    <n v="2"/>
    <n v="7"/>
    <n v="144436.73000000001"/>
    <n v="168453.81"/>
    <n v="648"/>
    <n v="788"/>
    <s v="30-40"/>
    <x v="0"/>
  </r>
  <r>
    <s v="https://suumo.jp/chintai/jnc_000098654193/?bc=100471671963"/>
    <s v="レジデンス東中野ガーデン"/>
    <s v="東京都中野区東中野５"/>
    <n v="185000"/>
    <n v="9000"/>
    <n v="185000"/>
    <m/>
    <n v="1"/>
    <x v="3"/>
    <n v="38.630000000000003"/>
    <n v="3"/>
    <x v="7"/>
    <s v="東中野駅"/>
    <n v="6"/>
    <n v="10.33"/>
    <n v="144436.73000000001"/>
    <n v="168453.81"/>
    <n v="648"/>
    <n v="788"/>
    <s v="30-40"/>
    <x v="0"/>
  </r>
  <r>
    <s v="https://suumo.jp/chintai/jnc_000104341766/?bc=100472702967"/>
    <s v="レジデンス東中野ガーデン"/>
    <s v="東京都中野区東中野５"/>
    <n v="190000"/>
    <n v="15000"/>
    <n v="190000"/>
    <m/>
    <n v="1"/>
    <x v="3"/>
    <n v="38.630000000000003"/>
    <n v="3"/>
    <x v="7"/>
    <s v="東中野駅"/>
    <n v="6"/>
    <n v="10.33"/>
    <n v="144436.73000000001"/>
    <n v="168453.81"/>
    <n v="648"/>
    <n v="788"/>
    <s v="30-40"/>
    <x v="0"/>
  </r>
  <r>
    <s v="https://suumo.jp/chintai/jnc_000104156763/?bc=100483389203"/>
    <s v="ワンルーフレジデンス中野"/>
    <s v="東京都中野区中野６"/>
    <n v="191000"/>
    <n v="15000"/>
    <n v="191000"/>
    <m/>
    <n v="3"/>
    <x v="3"/>
    <n v="35.47"/>
    <n v="0"/>
    <x v="1"/>
    <s v="東中野駅"/>
    <n v="11"/>
    <n v="11"/>
    <n v="144436.73000000001"/>
    <n v="168453.81"/>
    <n v="648"/>
    <n v="788"/>
    <s v="30-40"/>
    <x v="6"/>
  </r>
  <r>
    <s v="https://suumo.jp/chintai/jnc_000104156775/?bc=100483389089"/>
    <s v="ワンルーフレジデンス中野"/>
    <s v="東京都中野区中野６"/>
    <n v="197000"/>
    <n v="15000"/>
    <n v="197000"/>
    <m/>
    <n v="7"/>
    <x v="3"/>
    <n v="34.18"/>
    <n v="0"/>
    <x v="1"/>
    <s v="東中野駅"/>
    <n v="11"/>
    <n v="11"/>
    <n v="144436.73000000001"/>
    <n v="168453.81"/>
    <n v="648"/>
    <n v="788"/>
    <s v="30-40"/>
    <x v="6"/>
  </r>
  <r>
    <s v="https://suumo.jp/chintai/jnc_000104069534/?bc=100482949041"/>
    <s v="ヴィクトワール北新宿"/>
    <s v="東京都新宿区北新宿４"/>
    <n v="130000"/>
    <n v="10000"/>
    <m/>
    <n v="130000"/>
    <n v="2"/>
    <x v="3"/>
    <n v="24.59"/>
    <n v="2"/>
    <x v="4"/>
    <s v="東中野駅"/>
    <n v="8"/>
    <n v="9.67"/>
    <n v="144436.73000000001"/>
    <n v="168453.81"/>
    <n v="648"/>
    <n v="788"/>
    <s v="20-30"/>
    <x v="0"/>
  </r>
  <r>
    <s v="https://suumo.jp/chintai/jnc_000103649642/?bc=100479430785"/>
    <s v="仮称　上高田1丁目"/>
    <s v="東京都中野区上高田１"/>
    <n v="156000"/>
    <m/>
    <n v="156000"/>
    <n v="156000"/>
    <n v="1"/>
    <x v="3"/>
    <n v="49.15"/>
    <n v="0"/>
    <x v="0"/>
    <s v="東中野駅"/>
    <n v="11"/>
    <n v="12.33"/>
    <n v="144436.73000000001"/>
    <n v="168453.81"/>
    <n v="648"/>
    <n v="788"/>
    <s v="40-50"/>
    <x v="6"/>
  </r>
  <r>
    <s v="https://suumo.jp/chintai/jnc_000103649643/?bc=100479430788"/>
    <s v="仮称　上高田1丁目"/>
    <s v="東京都中野区上高田１"/>
    <n v="156000"/>
    <m/>
    <n v="156000"/>
    <n v="156000"/>
    <n v="1"/>
    <x v="3"/>
    <n v="51.02"/>
    <n v="0"/>
    <x v="0"/>
    <s v="東中野駅"/>
    <n v="11"/>
    <n v="12.33"/>
    <n v="144436.73000000001"/>
    <n v="168453.81"/>
    <n v="648"/>
    <n v="788"/>
    <s v="50-60"/>
    <x v="6"/>
  </r>
  <r>
    <s v="https://suumo.jp/chintai/jnc_000102732921/?bc=100471965430"/>
    <s v="松屋ビル"/>
    <s v="東京都中野区東中野１"/>
    <n v="85000"/>
    <n v="4400"/>
    <n v="170000"/>
    <n v="85000"/>
    <n v="4"/>
    <x v="3"/>
    <n v="25"/>
    <n v="28"/>
    <x v="7"/>
    <s v="東中野駅"/>
    <n v="1"/>
    <n v="10"/>
    <n v="144436.73000000001"/>
    <n v="168453.81"/>
    <n v="648"/>
    <n v="788"/>
    <s v="20-30"/>
    <x v="1"/>
  </r>
  <r>
    <s v="https://suumo.jp/chintai/jnc_000104438116/?bc=100464926309"/>
    <s v="都営大江戸線 東中野駅 2階建 築33年"/>
    <s v="東京都中野区上高田１"/>
    <n v="115000"/>
    <m/>
    <n v="115000"/>
    <n v="115000"/>
    <n v="1"/>
    <x v="3"/>
    <n v="44.71"/>
    <n v="33"/>
    <x v="0"/>
    <s v="東中野駅"/>
    <n v="10"/>
    <n v="11"/>
    <n v="144436.73000000001"/>
    <n v="168453.81"/>
    <n v="648"/>
    <n v="788"/>
    <s v="40-50"/>
    <x v="4"/>
  </r>
  <r>
    <s v="https://suumo.jp/chintai/jnc_000090625321/?bc=100447243428"/>
    <s v="都営大江戸線 東中野駅 3階建 築14年"/>
    <s v="東京都中野区東中野３"/>
    <n v="134000"/>
    <n v="3000"/>
    <n v="268000"/>
    <m/>
    <n v="3"/>
    <x v="3"/>
    <n v="52.23"/>
    <n v="14"/>
    <x v="2"/>
    <s v="東中野駅"/>
    <n v="2"/>
    <n v="5.33"/>
    <n v="144436.73000000001"/>
    <n v="168453.81"/>
    <n v="648"/>
    <n v="788"/>
    <s v="50-60"/>
    <x v="7"/>
  </r>
  <r>
    <s v="https://suumo.jp/chintai/jnc_000103987637/?bc=100486334255"/>
    <s v="Ｄ－Ｒｏｏｍ東中野"/>
    <s v="東京都中野区東中野２"/>
    <n v="155000"/>
    <n v="7000"/>
    <m/>
    <n v="310000"/>
    <n v="2"/>
    <x v="3"/>
    <n v="43.68"/>
    <n v="12"/>
    <x v="0"/>
    <s v="東中野駅"/>
    <n v="8"/>
    <n v="11.67"/>
    <n v="144436.73000000001"/>
    <n v="168453.81"/>
    <n v="648"/>
    <n v="788"/>
    <s v="40-50"/>
    <x v="7"/>
  </r>
  <r>
    <s v="https://suumo.jp/chintai/jnc_000104464947/?bc=100483191616"/>
    <s v="ＪＲ中央線 中野駅 2階建 新築"/>
    <s v="東京都中野区上高田１"/>
    <n v="164000"/>
    <n v="4400"/>
    <m/>
    <n v="328000"/>
    <n v="1"/>
    <x v="3"/>
    <n v="42.8"/>
    <n v="0"/>
    <x v="0"/>
    <s v="東中野駅"/>
    <n v="13"/>
    <n v="13.67"/>
    <n v="144436.73000000001"/>
    <n v="168453.81"/>
    <n v="648"/>
    <n v="788"/>
    <s v="40-50"/>
    <x v="6"/>
  </r>
  <r>
    <s v="https://suumo.jp/chintai/jnc_000104417262/?bc=100485692591"/>
    <s v="ＪＲ中央線 東中野駅 10階建 築17年"/>
    <s v="東京都中野区東中野１"/>
    <n v="221000"/>
    <n v="13000"/>
    <n v="221000"/>
    <n v="331500"/>
    <n v="10"/>
    <x v="3"/>
    <n v="47.74"/>
    <n v="17"/>
    <x v="1"/>
    <s v="東中野駅"/>
    <n v="5"/>
    <n v="9.67"/>
    <n v="144436.73000000001"/>
    <n v="168453.81"/>
    <n v="648"/>
    <n v="788"/>
    <s v="40-50"/>
    <x v="7"/>
  </r>
  <r>
    <s v="https://suumo.jp/chintai/jnc_000103259878/?bc=100476205664"/>
    <s v="ＪＲ中央線 東中野駅 10階建 築17年"/>
    <s v="東京都中野区東中野１"/>
    <n v="225000"/>
    <n v="13000"/>
    <n v="225000"/>
    <m/>
    <n v="1"/>
    <x v="3"/>
    <n v="51.14"/>
    <n v="17"/>
    <x v="1"/>
    <s v="東中野駅"/>
    <n v="5"/>
    <n v="9.67"/>
    <n v="144436.73000000001"/>
    <n v="168453.81"/>
    <n v="648"/>
    <n v="788"/>
    <s v="50-60"/>
    <x v="7"/>
  </r>
  <r>
    <s v="https://suumo.jp/chintai/jnc_000104097118/?bc=100478371691"/>
    <s v="ＪＲ中央線 東中野駅 10階建 築5年"/>
    <s v="東京都中野区中野６"/>
    <n v="135000"/>
    <n v="15000"/>
    <n v="135000"/>
    <n v="135000"/>
    <n v="4"/>
    <x v="3"/>
    <n v="30.42"/>
    <n v="5"/>
    <x v="1"/>
    <s v="東中野駅"/>
    <n v="10"/>
    <n v="11.67"/>
    <n v="144436.73000000001"/>
    <n v="168453.81"/>
    <n v="648"/>
    <n v="788"/>
    <s v="30-40"/>
    <x v="0"/>
  </r>
  <r>
    <s v="https://suumo.jp/chintai/jnc_000102395805/?bc=100485826619"/>
    <s v="ＪＲ中央線 東中野駅 13階建 築2年"/>
    <s v="東京都新宿区北新宿４"/>
    <n v="167000"/>
    <n v="10000"/>
    <n v="167000"/>
    <m/>
    <n v="6"/>
    <x v="3"/>
    <n v="30.26"/>
    <n v="2"/>
    <x v="13"/>
    <s v="東中野駅"/>
    <n v="9"/>
    <n v="11.33"/>
    <n v="144436.73000000001"/>
    <n v="168453.81"/>
    <n v="648"/>
    <n v="788"/>
    <s v="30-40"/>
    <x v="0"/>
  </r>
  <r>
    <s v="https://suumo.jp/chintai/jnc_000101505667/?bc=100460344423"/>
    <s v="ＪＲ中央線 東中野駅 15階建 築16年"/>
    <s v="東京都中野区東中野１"/>
    <n v="290000"/>
    <n v="10000"/>
    <n v="290000"/>
    <n v="290000"/>
    <n v="12"/>
    <x v="3"/>
    <n v="55.9"/>
    <n v="16"/>
    <x v="11"/>
    <s v="東中野駅"/>
    <n v="1"/>
    <n v="8.33"/>
    <n v="144436.73000000001"/>
    <n v="168453.81"/>
    <n v="648"/>
    <n v="788"/>
    <s v="50-60"/>
    <x v="7"/>
  </r>
  <r>
    <s v="https://suumo.jp/chintai/jnc_000103977497/?bc=100482511952"/>
    <s v="ＪＲ中央線 東中野駅 2階建 築12年"/>
    <s v="東京都中野区東中野２"/>
    <n v="155000"/>
    <n v="7000"/>
    <m/>
    <n v="310000"/>
    <n v="2"/>
    <x v="3"/>
    <n v="43.68"/>
    <n v="12"/>
    <x v="0"/>
    <s v="東中野駅"/>
    <n v="8"/>
    <n v="12"/>
    <n v="144436.73000000001"/>
    <n v="168453.81"/>
    <n v="648"/>
    <n v="788"/>
    <s v="40-50"/>
    <x v="7"/>
  </r>
  <r>
    <s v="https://suumo.jp/chintai/jnc_000103536675/?bc=100480789923"/>
    <s v="ＪＲ中央線 東中野駅 2階建 築7年"/>
    <s v="東京都中野区東中野１"/>
    <n v="137000"/>
    <n v="2000"/>
    <n v="137000"/>
    <n v="137000"/>
    <n v="1"/>
    <x v="3"/>
    <n v="35.19"/>
    <n v="7"/>
    <x v="0"/>
    <s v="東中野駅"/>
    <n v="5"/>
    <n v="10"/>
    <n v="144436.73000000001"/>
    <n v="168453.81"/>
    <n v="648"/>
    <n v="788"/>
    <s v="30-40"/>
    <x v="0"/>
  </r>
  <r>
    <s v="https://suumo.jp/chintai/jnc_000104215474/?bc=100483910599"/>
    <s v="ＪＲ中央線 東中野駅 3階建 築11年"/>
    <s v="東京都中野区東中野４"/>
    <n v="185000"/>
    <n v="8000"/>
    <n v="185000"/>
    <n v="185000"/>
    <n v="2"/>
    <x v="3"/>
    <n v="42.75"/>
    <n v="11"/>
    <x v="2"/>
    <s v="東中野駅"/>
    <n v="3"/>
    <n v="9.67"/>
    <n v="144436.73000000001"/>
    <n v="168453.81"/>
    <n v="648"/>
    <n v="788"/>
    <s v="40-50"/>
    <x v="7"/>
  </r>
  <r>
    <s v="https://suumo.jp/chintai/jnc_000104464975/?bc=100485897392"/>
    <s v="ＪＲ中央線 東中野駅 3階建 築11年"/>
    <s v="東京都中野区東中野４"/>
    <n v="150000"/>
    <n v="5000"/>
    <n v="75000"/>
    <n v="225000"/>
    <n v="3"/>
    <x v="3"/>
    <n v="37.89"/>
    <n v="11"/>
    <x v="2"/>
    <s v="東中野駅"/>
    <n v="2"/>
    <n v="3"/>
    <n v="144436.73000000001"/>
    <n v="168453.81"/>
    <n v="648"/>
    <n v="788"/>
    <s v="30-40"/>
    <x v="7"/>
  </r>
  <r>
    <s v="https://suumo.jp/chintai/jnc_000042806222/?bc=100483292056"/>
    <s v="ＪＲ中央線 東中野駅 3階建 築44年"/>
    <s v="東京都新宿区北新宿４"/>
    <n v="100000"/>
    <m/>
    <n v="100000"/>
    <n v="100000"/>
    <n v="2"/>
    <x v="3"/>
    <n v="33"/>
    <n v="44"/>
    <x v="2"/>
    <s v="東中野駅"/>
    <n v="8"/>
    <n v="9.33"/>
    <n v="144436.73000000001"/>
    <n v="168453.81"/>
    <n v="648"/>
    <n v="788"/>
    <s v="30-40"/>
    <x v="3"/>
  </r>
  <r>
    <s v="https://suumo.jp/chintai/jnc_000103851218/?bc=100481127812"/>
    <s v="ＪＲ中央線 東中野駅 4階建 新築"/>
    <s v="東京都新宿区北新宿３"/>
    <n v="154000"/>
    <n v="12000"/>
    <m/>
    <m/>
    <n v="3"/>
    <x v="3"/>
    <n v="31.04"/>
    <n v="0"/>
    <x v="4"/>
    <s v="東中野駅"/>
    <n v="9"/>
    <n v="12.67"/>
    <n v="144436.73000000001"/>
    <n v="168453.81"/>
    <n v="648"/>
    <n v="788"/>
    <s v="30-40"/>
    <x v="6"/>
  </r>
  <r>
    <s v="https://suumo.jp/chintai/jnc_000104054953/?bc=100482596563"/>
    <s v="ＪＲ中央線 東中野駅 4階建 築2年"/>
    <s v="東京都新宿区北新宿４"/>
    <n v="130000"/>
    <n v="10000"/>
    <m/>
    <m/>
    <n v="2"/>
    <x v="3"/>
    <n v="24.59"/>
    <n v="2"/>
    <x v="4"/>
    <s v="東中野駅"/>
    <n v="8"/>
    <n v="9.67"/>
    <n v="144436.73000000001"/>
    <n v="168453.81"/>
    <n v="648"/>
    <n v="788"/>
    <s v="20-30"/>
    <x v="0"/>
  </r>
  <r>
    <s v="https://suumo.jp/chintai/jnc_000061315020/?bc=100481137726"/>
    <s v="ＪＲ中央線 東中野駅 4階建 築38年"/>
    <s v="東京都中野区東中野３"/>
    <n v="125000"/>
    <n v="5000"/>
    <n v="125000"/>
    <n v="125000"/>
    <n v="4"/>
    <x v="3"/>
    <n v="43.96"/>
    <n v="38"/>
    <x v="4"/>
    <s v="東中野駅"/>
    <n v="2"/>
    <n v="3.67"/>
    <n v="144436.73000000001"/>
    <n v="168453.81"/>
    <n v="648"/>
    <n v="788"/>
    <s v="40-50"/>
    <x v="4"/>
  </r>
  <r>
    <s v="https://suumo.jp/chintai/jnc_000053132601/?bc=100485398543"/>
    <s v="ＪＲ中央線 東中野駅 5階建 築52年"/>
    <s v="東京都中野区東中野５"/>
    <n v="95000"/>
    <n v="3000"/>
    <n v="95000"/>
    <n v="95000"/>
    <n v="1"/>
    <x v="3"/>
    <n v="35.380000000000003"/>
    <n v="52"/>
    <x v="7"/>
    <s v="東中野駅"/>
    <n v="8"/>
    <n v="10.33"/>
    <n v="144436.73000000001"/>
    <n v="168453.81"/>
    <n v="648"/>
    <n v="788"/>
    <s v="30-40"/>
    <x v="5"/>
  </r>
  <r>
    <s v="https://suumo.jp/chintai/jnc_000103771448/?bc=100480814842"/>
    <s v="ＪＲ中央線 東中野駅 5階建 築7年"/>
    <s v="東京都中野区東中野１"/>
    <n v="192000"/>
    <n v="12000"/>
    <n v="192000"/>
    <n v="192000"/>
    <n v="2"/>
    <x v="3"/>
    <n v="36.119999999999997"/>
    <n v="7"/>
    <x v="7"/>
    <s v="東中野駅"/>
    <n v="3"/>
    <n v="7.67"/>
    <n v="144436.73000000001"/>
    <n v="168453.81"/>
    <n v="648"/>
    <n v="788"/>
    <s v="30-40"/>
    <x v="0"/>
  </r>
  <r>
    <s v="https://suumo.jp/chintai/jnc_000101505666/?bc=100479461105"/>
    <s v="ＪＲ中央線 東中野駅 5階建 築7年"/>
    <s v="東京都中野区東中野１"/>
    <n v="190000"/>
    <n v="12000"/>
    <n v="190000"/>
    <n v="190000"/>
    <n v="2"/>
    <x v="3"/>
    <n v="36.119999999999997"/>
    <n v="7"/>
    <x v="7"/>
    <s v="東中野駅"/>
    <n v="3"/>
    <n v="7.67"/>
    <n v="144436.73000000001"/>
    <n v="168453.81"/>
    <n v="648"/>
    <n v="788"/>
    <s v="30-40"/>
    <x v="0"/>
  </r>
  <r>
    <s v="https://suumo.jp/chintai/jnc_000103864703/?bc=100483192818"/>
    <s v="ＪＲ中央線 東中野駅 5階建 築7年"/>
    <s v="東京都中野区東中野１"/>
    <n v="192000"/>
    <n v="12000"/>
    <n v="192000"/>
    <n v="192000"/>
    <n v="3"/>
    <x v="3"/>
    <n v="36.119999999999997"/>
    <n v="7"/>
    <x v="7"/>
    <s v="東中野駅"/>
    <n v="3"/>
    <n v="7.67"/>
    <n v="144436.73000000001"/>
    <n v="168453.81"/>
    <n v="648"/>
    <n v="788"/>
    <s v="30-40"/>
    <x v="0"/>
  </r>
  <r>
    <s v="https://suumo.jp/chintai/jnc_000103695177/?bc=100479799212"/>
    <s v="ＪＲ中央線 東中野駅 5階建 築7年"/>
    <s v="東京都中野区東中野１"/>
    <n v="196000"/>
    <n v="12000"/>
    <n v="196000"/>
    <n v="196000"/>
    <n v="3"/>
    <x v="3"/>
    <n v="36.119999999999997"/>
    <n v="7"/>
    <x v="7"/>
    <s v="東中野駅"/>
    <n v="3"/>
    <n v="7.67"/>
    <n v="144436.73000000001"/>
    <n v="168453.81"/>
    <n v="648"/>
    <n v="788"/>
    <s v="30-40"/>
    <x v="0"/>
  </r>
  <r>
    <s v="https://suumo.jp/chintai/jnc_000103863936/?bc=100481446892"/>
    <s v="ＪＲ中央線 東中野駅 7階建 築19年"/>
    <s v="東京都新宿区北新宿４"/>
    <n v="168000"/>
    <n v="11000"/>
    <n v="168000"/>
    <n v="168000"/>
    <n v="3"/>
    <x v="3"/>
    <n v="39.78"/>
    <n v="19"/>
    <x v="10"/>
    <s v="東中野駅"/>
    <n v="7"/>
    <n v="10.33"/>
    <n v="144436.73000000001"/>
    <n v="168453.81"/>
    <n v="648"/>
    <n v="788"/>
    <s v="30-40"/>
    <x v="7"/>
  </r>
  <r>
    <s v="https://suumo.jp/chintai/jnc_000102118142/?bc=100478518627"/>
    <s v="ＪＲ中央線 東中野駅 9階建 築8年"/>
    <s v="東京都中野区東中野２"/>
    <n v="174000"/>
    <n v="10000"/>
    <n v="174000"/>
    <n v="174000"/>
    <n v="9"/>
    <x v="3"/>
    <n v="31.52"/>
    <n v="8"/>
    <x v="6"/>
    <s v="東中野駅"/>
    <n v="7"/>
    <n v="9.67"/>
    <n v="144436.73000000001"/>
    <n v="168453.81"/>
    <n v="648"/>
    <n v="788"/>
    <s v="30-40"/>
    <x v="0"/>
  </r>
  <r>
    <s v="https://suumo.jp/chintai/jnc_000103338553/?bc=100476707035"/>
    <s v="ＪＲ中央線 東中野駅 地下1地上30階建 築20年"/>
    <s v="東京都中野区東中野５"/>
    <n v="210000"/>
    <m/>
    <n v="210000"/>
    <n v="210000"/>
    <n v="11"/>
    <x v="3"/>
    <n v="44.3"/>
    <n v="20"/>
    <x v="17"/>
    <s v="東中野駅"/>
    <n v="3"/>
    <n v="6.33"/>
    <n v="144436.73000000001"/>
    <n v="168453.81"/>
    <n v="648"/>
    <n v="788"/>
    <s v="40-50"/>
    <x v="7"/>
  </r>
  <r>
    <s v="https://suumo.jp/chintai/jnc_000104464976/?bc=100473972183"/>
    <s v="ＪＲ中央線 東中野駅 地下2地上31階建 築19年"/>
    <s v="東京都中野区東中野５"/>
    <n v="225000"/>
    <n v="12000"/>
    <n v="225000"/>
    <n v="225000"/>
    <n v="13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3919963/?bc=100480118902"/>
    <s v="ＪＲ中央線 東中野駅 地下2地上31階建 築19年"/>
    <s v="東京都中野区東中野５"/>
    <n v="237000"/>
    <n v="12000"/>
    <n v="237000"/>
    <n v="237000"/>
    <n v="13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2679429/?bc=100480789936"/>
    <s v="ＪＲ中央線 東中野駅 地下2地上31階建 築19年"/>
    <s v="東京都中野区東中野５"/>
    <n v="267000"/>
    <n v="12000"/>
    <n v="267000"/>
    <n v="320400"/>
    <n v="13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4070152/?bc=100483322488"/>
    <s v="ＪＲ中央線 東中野駅 地下2地上31階建 築19年"/>
    <s v="東京都中野区東中野５"/>
    <n v="241000"/>
    <n v="12000"/>
    <n v="241000"/>
    <n v="241000"/>
    <n v="15"/>
    <x v="3"/>
    <n v="55.65"/>
    <n v="19"/>
    <x v="19"/>
    <s v="東中野駅"/>
    <n v="1"/>
    <n v="9"/>
    <n v="144436.73000000001"/>
    <n v="168453.81"/>
    <n v="648"/>
    <n v="788"/>
    <s v="50-60"/>
    <x v="7"/>
  </r>
  <r>
    <s v="https://suumo.jp/chintai/jnc_000104519181/?bc=100486370612"/>
    <s v="ＪＲ中央線 東中野駅 地下2地上31階建 築19年"/>
    <s v="東京都中野区東中野５"/>
    <n v="226000"/>
    <n v="10000"/>
    <n v="226000"/>
    <n v="226000"/>
    <n v="24"/>
    <x v="3"/>
    <n v="46.07"/>
    <n v="19"/>
    <x v="19"/>
    <s v="東中野駅"/>
    <n v="1"/>
    <n v="9"/>
    <n v="144436.73000000001"/>
    <n v="168453.81"/>
    <n v="648"/>
    <n v="788"/>
    <s v="40-50"/>
    <x v="7"/>
  </r>
  <r>
    <s v="https://suumo.jp/chintai/jnc_000104108080/?bc=100483180776"/>
    <s v="ＪＲ中央線 東中野駅 地下2地上31階建 築19年"/>
    <s v="東京都中野区東中野５"/>
    <n v="238000"/>
    <n v="12000"/>
    <n v="238000"/>
    <n v="238000"/>
    <n v="24"/>
    <x v="3"/>
    <n v="52.75"/>
    <n v="19"/>
    <x v="19"/>
    <s v="東中野駅"/>
    <n v="1"/>
    <n v="9"/>
    <n v="144436.73000000001"/>
    <n v="168453.81"/>
    <n v="648"/>
    <n v="788"/>
    <s v="50-60"/>
    <x v="7"/>
  </r>
  <r>
    <s v="https://suumo.jp/chintai/jnc_000102372518/?bc=100483257898"/>
    <s v="ＪＲ総武線 東中野駅 12階建 築1年"/>
    <s v="東京都中野区東中野１"/>
    <n v="184000"/>
    <n v="15000"/>
    <m/>
    <m/>
    <n v="10"/>
    <x v="3"/>
    <n v="29.25"/>
    <n v="1"/>
    <x v="3"/>
    <s v="東中野駅"/>
    <n v="3"/>
    <n v="9.33"/>
    <n v="144436.73000000001"/>
    <n v="168453.81"/>
    <n v="648"/>
    <n v="788"/>
    <s v="20-30"/>
    <x v="0"/>
  </r>
  <r>
    <s v="https://suumo.jp/chintai/jnc_000104156801/?bc=100483257879"/>
    <s v="ＪＲ総武線 東中野駅 12階建 築1年"/>
    <s v="東京都中野区東中野１"/>
    <n v="180000"/>
    <n v="15000"/>
    <m/>
    <m/>
    <n v="11"/>
    <x v="3"/>
    <n v="28.87"/>
    <n v="1"/>
    <x v="3"/>
    <s v="東中野駅"/>
    <n v="3"/>
    <n v="9.33"/>
    <n v="144436.73000000001"/>
    <n v="168453.81"/>
    <n v="648"/>
    <n v="788"/>
    <s v="20-30"/>
    <x v="0"/>
  </r>
  <r>
    <s v="https://suumo.jp/chintai/jnc_000104156802/?bc=100484366594"/>
    <s v="ＪＲ総武線 東中野駅 12階建 築1年"/>
    <s v="東京都中野区東中野１"/>
    <n v="185000"/>
    <n v="15000"/>
    <m/>
    <m/>
    <n v="11"/>
    <x v="3"/>
    <n v="29.25"/>
    <n v="1"/>
    <x v="3"/>
    <s v="東中野駅"/>
    <n v="3"/>
    <n v="9.33"/>
    <n v="144436.73000000001"/>
    <n v="168453.81"/>
    <n v="648"/>
    <n v="788"/>
    <s v="20-30"/>
    <x v="0"/>
  </r>
  <r>
    <s v="https://suumo.jp/chintai/jnc_000104156804/?bc=100484366592"/>
    <s v="ＪＲ総武線 東中野駅 12階建 築1年"/>
    <s v="東京都中野区東中野１"/>
    <n v="168000"/>
    <n v="15000"/>
    <m/>
    <m/>
    <n v="3"/>
    <x v="3"/>
    <n v="28.87"/>
    <n v="1"/>
    <x v="3"/>
    <s v="東中野駅"/>
    <n v="3"/>
    <n v="9.33"/>
    <n v="144436.73000000001"/>
    <n v="168453.81"/>
    <n v="648"/>
    <n v="788"/>
    <s v="20-30"/>
    <x v="0"/>
  </r>
  <r>
    <s v="https://suumo.jp/chintai/jnc_000102998319/?bc=100479790333"/>
    <s v="ＪＲ総武線 東中野駅 12階建 築1年"/>
    <s v="東京都中野区東中野１"/>
    <n v="168000"/>
    <n v="15000"/>
    <n v="168000"/>
    <m/>
    <n v="3"/>
    <x v="3"/>
    <n v="29.25"/>
    <n v="1"/>
    <x v="3"/>
    <s v="東中野駅"/>
    <n v="3"/>
    <n v="9.33"/>
    <n v="144436.73000000001"/>
    <n v="168453.81"/>
    <n v="648"/>
    <n v="788"/>
    <s v="20-30"/>
    <x v="0"/>
  </r>
  <r>
    <s v="https://suumo.jp/chintai/jnc_000100270194/?bc=100483257877"/>
    <s v="ＪＲ総武線 東中野駅 12階建 築1年"/>
    <s v="東京都中野区東中野１"/>
    <n v="170000"/>
    <n v="15000"/>
    <m/>
    <m/>
    <n v="4"/>
    <x v="3"/>
    <n v="28.87"/>
    <n v="1"/>
    <x v="3"/>
    <s v="東中野駅"/>
    <n v="3"/>
    <n v="9.33"/>
    <n v="144436.73000000001"/>
    <n v="168453.81"/>
    <n v="648"/>
    <n v="788"/>
    <s v="20-30"/>
    <x v="0"/>
  </r>
  <r>
    <s v="https://suumo.jp/chintai/jnc_000099392943/?bc=100467840242"/>
    <s v="ＪＲ総武線 東中野駅 12階建 築1年"/>
    <s v="東京都中野区東中野１"/>
    <n v="175000"/>
    <n v="15000"/>
    <m/>
    <m/>
    <n v="8"/>
    <x v="3"/>
    <n v="28.87"/>
    <n v="1"/>
    <x v="3"/>
    <s v="東中野駅"/>
    <n v="3"/>
    <n v="9.33"/>
    <n v="144436.73000000001"/>
    <n v="168453.81"/>
    <n v="648"/>
    <n v="788"/>
    <s v="20-30"/>
    <x v="0"/>
  </r>
  <r>
    <s v="https://suumo.jp/chintai/jnc_000100276321/?bc=100485994196"/>
    <s v="ＪＲ総武線 東中野駅 12階建 築1年"/>
    <s v="東京都中野区東中野１"/>
    <n v="180000"/>
    <n v="15000"/>
    <m/>
    <m/>
    <n v="9"/>
    <x v="3"/>
    <n v="29.25"/>
    <n v="1"/>
    <x v="3"/>
    <s v="東中野駅"/>
    <n v="3"/>
    <n v="9.33"/>
    <n v="144436.73000000001"/>
    <n v="168453.81"/>
    <n v="648"/>
    <n v="788"/>
    <s v="20-30"/>
    <x v="0"/>
  </r>
  <r>
    <s v="https://suumo.jp/chintai/jnc_000102888098/?bc=100477126540"/>
    <s v="ＪＲ総武線 東中野駅 12階建 築3年"/>
    <s v="東京都中野区東中野１"/>
    <n v="145000"/>
    <n v="10000"/>
    <n v="145000"/>
    <m/>
    <n v="3"/>
    <x v="3"/>
    <n v="25.55"/>
    <n v="3"/>
    <x v="3"/>
    <s v="東中野駅"/>
    <n v="1"/>
    <n v="5.67"/>
    <n v="144436.73000000001"/>
    <n v="168453.81"/>
    <n v="648"/>
    <n v="788"/>
    <s v="20-30"/>
    <x v="0"/>
  </r>
  <r>
    <s v="https://suumo.jp/chintai/jnc_000104086238/?bc=100482965688"/>
    <s v="ＪＲ総武線 東中野駅 14階建 築11年"/>
    <s v="東京都中野区東中野１"/>
    <n v="200000"/>
    <n v="8000"/>
    <n v="200000"/>
    <n v="200000"/>
    <n v="11"/>
    <x v="3"/>
    <n v="39.92"/>
    <n v="11"/>
    <x v="12"/>
    <s v="東中野駅"/>
    <n v="1"/>
    <n v="4.67"/>
    <n v="144436.73000000001"/>
    <n v="168453.81"/>
    <n v="648"/>
    <n v="788"/>
    <s v="30-40"/>
    <x v="7"/>
  </r>
  <r>
    <s v="https://suumo.jp/chintai/jnc_000097740329/?bc=100474752366"/>
    <s v="ＪＲ総武線 東中野駅 2階建 築2年"/>
    <s v="東京都中野区東中野２"/>
    <n v="188000"/>
    <n v="10000"/>
    <m/>
    <n v="188000"/>
    <n v="1"/>
    <x v="3"/>
    <n v="53.61"/>
    <n v="2"/>
    <x v="0"/>
    <s v="東中野駅"/>
    <n v="7"/>
    <n v="11.67"/>
    <n v="144436.73000000001"/>
    <n v="168453.81"/>
    <n v="648"/>
    <n v="788"/>
    <s v="50-60"/>
    <x v="0"/>
  </r>
  <r>
    <s v="https://suumo.jp/chintai/jnc_000097740329/?bc=100474752366"/>
    <s v="ＪＲ総武線 東中野駅 2階建 築2年"/>
    <s v="東京都中野区東中野２"/>
    <n v="188000"/>
    <n v="10000"/>
    <m/>
    <n v="188000"/>
    <n v="2"/>
    <x v="3"/>
    <n v="53.61"/>
    <n v="2"/>
    <x v="0"/>
    <s v="東中野駅"/>
    <n v="7"/>
    <n v="11.67"/>
    <n v="144436.73000000001"/>
    <n v="168453.81"/>
    <n v="648"/>
    <n v="788"/>
    <s v="50-60"/>
    <x v="0"/>
  </r>
  <r>
    <s v="https://suumo.jp/chintai/jnc_000102405267/?bc=100478518252"/>
    <s v="ＪＲ総武線 東中野駅 3階建 築11年"/>
    <s v="東京都中野区東中野４"/>
    <n v="185000"/>
    <n v="8000"/>
    <n v="185000"/>
    <n v="185000"/>
    <n v="2"/>
    <x v="3"/>
    <n v="41.36"/>
    <n v="11"/>
    <x v="2"/>
    <s v="東中野駅"/>
    <n v="3"/>
    <n v="4.67"/>
    <n v="144436.73000000001"/>
    <n v="168453.81"/>
    <n v="648"/>
    <n v="788"/>
    <s v="40-50"/>
    <x v="7"/>
  </r>
  <r>
    <s v="https://suumo.jp/chintai/jnc_000102555247/?bc=100475553258"/>
    <s v="ＪＲ総武線 東中野駅 3階建 築11年"/>
    <s v="東京都中野区東中野４"/>
    <n v="185000"/>
    <n v="8000"/>
    <n v="185000"/>
    <n v="185000"/>
    <n v="2"/>
    <x v="3"/>
    <n v="42.75"/>
    <n v="11"/>
    <x v="2"/>
    <s v="東中野駅"/>
    <n v="3"/>
    <n v="4.67"/>
    <n v="144436.73000000001"/>
    <n v="168453.81"/>
    <n v="648"/>
    <n v="788"/>
    <s v="40-50"/>
    <x v="7"/>
  </r>
  <r>
    <s v="https://suumo.jp/chintai/jnc_000100726557/?bc=100481966791"/>
    <s v="ＪＲ総武線 東中野駅 3階建 築14年"/>
    <s v="東京都中野区東中野５"/>
    <n v="160000"/>
    <n v="7000"/>
    <m/>
    <n v="320000"/>
    <n v="3"/>
    <x v="3"/>
    <n v="40.07"/>
    <n v="14"/>
    <x v="2"/>
    <s v="東中野駅"/>
    <n v="7"/>
    <n v="9"/>
    <n v="144436.73000000001"/>
    <n v="168453.81"/>
    <n v="648"/>
    <n v="788"/>
    <s v="40-50"/>
    <x v="7"/>
  </r>
  <r>
    <s v="https://suumo.jp/chintai/jnc_000103317175/?bc=100477548669"/>
    <s v="ＪＲ総武線 東中野駅 4階建 築49年"/>
    <s v="東京都中野区東中野１"/>
    <n v="195000"/>
    <n v="5000"/>
    <n v="195000"/>
    <n v="195000"/>
    <n v="4"/>
    <x v="3"/>
    <n v="51.65"/>
    <n v="49"/>
    <x v="4"/>
    <s v="東中野駅"/>
    <n v="2"/>
    <n v="8.67"/>
    <n v="144436.73000000001"/>
    <n v="168453.81"/>
    <n v="648"/>
    <n v="788"/>
    <s v="50-60"/>
    <x v="3"/>
  </r>
  <r>
    <s v="https://suumo.jp/chintai/jnc_000098688127/?bc=100480545438"/>
    <s v="ＪＲ総武線 東中野駅 5階建 築3年"/>
    <s v="東京都中野区東中野５"/>
    <n v="179000"/>
    <n v="15000"/>
    <n v="179000"/>
    <m/>
    <n v="1"/>
    <x v="3"/>
    <n v="38.630000000000003"/>
    <n v="3"/>
    <x v="7"/>
    <s v="東中野駅"/>
    <n v="7"/>
    <n v="10.67"/>
    <n v="144436.73000000001"/>
    <n v="168453.81"/>
    <n v="648"/>
    <n v="788"/>
    <s v="30-40"/>
    <x v="0"/>
  </r>
  <r>
    <s v="https://suumo.jp/chintai/jnc_000103762844/?bc=100480613074"/>
    <s v="ＪＲ総武線 東中野駅 地下1地上11階建 築19年"/>
    <s v="東京都中野区東中野２"/>
    <n v="200000"/>
    <n v="10000"/>
    <n v="200000"/>
    <n v="200000"/>
    <n v="2"/>
    <x v="3"/>
    <n v="40.31"/>
    <n v="19"/>
    <x v="3"/>
    <s v="東中野駅"/>
    <n v="5"/>
    <n v="8"/>
    <n v="144436.73000000001"/>
    <n v="168453.81"/>
    <n v="648"/>
    <n v="788"/>
    <s v="40-50"/>
    <x v="7"/>
  </r>
  <r>
    <s v="https://suumo.jp/chintai/jnc_000103743378/?bc=100484342441"/>
    <s v="ＪＲ総武線 東中野駅 地下1地上11階建 築19年"/>
    <s v="東京都中野区東中野２"/>
    <n v="215000"/>
    <n v="10000"/>
    <n v="215000"/>
    <m/>
    <n v="6"/>
    <x v="3"/>
    <n v="40.31"/>
    <n v="19"/>
    <x v="3"/>
    <s v="東中野駅"/>
    <n v="5"/>
    <n v="8"/>
    <n v="144436.73000000001"/>
    <n v="168453.81"/>
    <n v="648"/>
    <n v="788"/>
    <s v="40-50"/>
    <x v="7"/>
  </r>
  <r>
    <s v="https://suumo.jp/chintai/jnc_000103856294/?bc=100486097007"/>
    <s v="ＰＯＭＯＮＡ"/>
    <s v="東京都新宿区北新宿４"/>
    <n v="168000"/>
    <n v="11000"/>
    <n v="168000"/>
    <n v="168000"/>
    <n v="3"/>
    <x v="3"/>
    <n v="39.78"/>
    <n v="19"/>
    <x v="10"/>
    <s v="東中野駅"/>
    <n v="7"/>
    <n v="8"/>
    <n v="144436.73000000001"/>
    <n v="168453.81"/>
    <n v="648"/>
    <n v="788"/>
    <s v="30-40"/>
    <x v="7"/>
  </r>
  <r>
    <s v="https://suumo.jp/chintai/jnc_000097749326/?bc=100465183669"/>
    <s v="Ｐｅｏｎｙ"/>
    <s v="東京都中野区東中野２"/>
    <n v="188000"/>
    <n v="10000"/>
    <m/>
    <n v="188000"/>
    <n v="1"/>
    <x v="3"/>
    <n v="53.61"/>
    <n v="2"/>
    <x v="0"/>
    <s v="東中野駅"/>
    <n v="6"/>
    <n v="11"/>
    <n v="144436.73000000001"/>
    <n v="168453.81"/>
    <n v="648"/>
    <n v="788"/>
    <s v="50-60"/>
    <x v="0"/>
  </r>
  <r>
    <s v="https://suumo.jp/chintai/jnc_000097749326/?bc=100465183669"/>
    <s v="Ｐｅｏｎｙ"/>
    <s v="東京都中野区東中野２"/>
    <n v="188000"/>
    <n v="10000"/>
    <m/>
    <n v="188000"/>
    <n v="2"/>
    <x v="3"/>
    <n v="53.61"/>
    <n v="2"/>
    <x v="0"/>
    <s v="東中野駅"/>
    <n v="6"/>
    <n v="11"/>
    <n v="144436.73000000001"/>
    <n v="168453.81"/>
    <n v="648"/>
    <n v="788"/>
    <s v="50-60"/>
    <x v="0"/>
  </r>
  <r>
    <s v="https://suumo.jp/chintai/jnc_000102979680/?bc=100482231848"/>
    <s v="ＳＯＰＨＩＳＴＡ中野"/>
    <s v="東京都中野区中野６"/>
    <n v="169000"/>
    <n v="5000"/>
    <n v="169000"/>
    <n v="169000"/>
    <n v="1"/>
    <x v="3"/>
    <n v="40.159999999999997"/>
    <n v="0"/>
    <x v="0"/>
    <s v="東中野駅"/>
    <n v="9"/>
    <n v="11"/>
    <n v="144436.73000000001"/>
    <n v="168453.81"/>
    <n v="648"/>
    <n v="788"/>
    <s v="40-50"/>
    <x v="6"/>
  </r>
  <r>
    <s v="https://suumo.jp/chintai/jnc_000102979679/?bc=100482231823"/>
    <s v="ＳＯＰＨＩＳＴＡ中野"/>
    <s v="東京都中野区中野６"/>
    <n v="169000"/>
    <n v="5000"/>
    <n v="169000"/>
    <n v="169000"/>
    <n v="1"/>
    <x v="3"/>
    <n v="41.21"/>
    <n v="0"/>
    <x v="0"/>
    <s v="東中野駅"/>
    <n v="9"/>
    <n v="11"/>
    <n v="144436.73000000001"/>
    <n v="168453.81"/>
    <n v="648"/>
    <n v="788"/>
    <s v="40-50"/>
    <x v="6"/>
  </r>
  <r>
    <s v="https://suumo.jp/chintai/jnc_000102979682/?bc=100482231958"/>
    <s v="ＳＯＰＨＩＳＴＡ中野"/>
    <s v="東京都中野区中野６"/>
    <n v="179000"/>
    <n v="5000"/>
    <n v="179000"/>
    <n v="179000"/>
    <n v="2"/>
    <x v="3"/>
    <n v="40.159999999999997"/>
    <n v="0"/>
    <x v="0"/>
    <s v="東中野駅"/>
    <n v="9"/>
    <n v="11"/>
    <n v="144436.73000000001"/>
    <n v="168453.81"/>
    <n v="648"/>
    <n v="788"/>
    <s v="40-50"/>
    <x v="6"/>
  </r>
  <r>
    <s v="https://suumo.jp/chintai/jnc_000104398966/?bc=100485368429"/>
    <s v="COCOFLAT東中野"/>
    <s v="東京都新宿区北新宿４"/>
    <n v="89000"/>
    <n v="6000"/>
    <n v="89000"/>
    <n v="89000"/>
    <n v="3"/>
    <x v="0"/>
    <n v="20.65"/>
    <n v="10"/>
    <x v="7"/>
    <s v="東中野駅"/>
    <n v="7"/>
    <n v="11.67"/>
    <n v="144436.73000000001"/>
    <n v="77692.34"/>
    <n v="648"/>
    <n v="1071"/>
    <s v="20-30"/>
    <x v="0"/>
  </r>
  <r>
    <s v="https://suumo.jp/chintai/jnc_000102225140/?bc=100468439524"/>
    <s v="CREA中野坂上"/>
    <s v="東京都中野区東中野２"/>
    <n v="62000"/>
    <n v="3000"/>
    <m/>
    <m/>
    <n v="1"/>
    <x v="0"/>
    <n v="9.82"/>
    <n v="13"/>
    <x v="0"/>
    <s v="東中野駅"/>
    <n v="3"/>
    <n v="8.33"/>
    <n v="144436.73000000001"/>
    <n v="77692.34"/>
    <n v="648"/>
    <n v="1071"/>
    <s v="&lt;10"/>
    <x v="7"/>
  </r>
  <r>
    <s v="https://suumo.jp/chintai/jnc_000103792595/?bc=100482096407"/>
    <s v="Charmaine東中野"/>
    <s v="東京都中野区東中野１"/>
    <n v="105000"/>
    <n v="2000"/>
    <n v="105000"/>
    <n v="105000"/>
    <n v="1"/>
    <x v="0"/>
    <n v="20.48"/>
    <n v="1"/>
    <x v="2"/>
    <s v="東中野駅"/>
    <n v="4"/>
    <n v="6.67"/>
    <n v="144436.73000000001"/>
    <n v="77692.34"/>
    <n v="648"/>
    <n v="1071"/>
    <s v="20-30"/>
    <x v="0"/>
  </r>
  <r>
    <s v="https://suumo.jp/chintai/jnc_000100327701/?bc=100471242049"/>
    <s v="Cアーバンプレイス中野坂上IIIＢ"/>
    <s v="東京都中野区東中野２"/>
    <n v="56000"/>
    <n v="3000"/>
    <m/>
    <m/>
    <n v="1"/>
    <x v="0"/>
    <n v="10.3"/>
    <n v="13"/>
    <x v="0"/>
    <s v="東中野駅"/>
    <n v="4"/>
    <n v="7.33"/>
    <n v="144436.73000000001"/>
    <n v="77692.34"/>
    <n v="648"/>
    <n v="1071"/>
    <s v="10-20"/>
    <x v="7"/>
  </r>
  <r>
    <s v="https://suumo.jp/chintai/jnc_000103625937/?bc=100482399570"/>
    <s v="Fullea東中野（フレアヒガシナカノ）"/>
    <s v="東京都中野区東中野１"/>
    <n v="104000"/>
    <n v="15000"/>
    <n v="104000"/>
    <n v="104000"/>
    <n v="2"/>
    <x v="0"/>
    <n v="20.6"/>
    <n v="2"/>
    <x v="4"/>
    <s v="東中野駅"/>
    <n v="5"/>
    <n v="9.67"/>
    <n v="144436.73000000001"/>
    <n v="77692.34"/>
    <n v="648"/>
    <n v="1071"/>
    <s v="20-30"/>
    <x v="0"/>
  </r>
  <r>
    <s v="https://suumo.jp/chintai/jnc_000103987136/?bc=100484859042"/>
    <s v="KRハウス"/>
    <s v="東京都新宿区北新宿１"/>
    <n v="107000"/>
    <n v="7000"/>
    <n v="214000"/>
    <n v="107000"/>
    <n v="2"/>
    <x v="0"/>
    <n v="30.22"/>
    <n v="31"/>
    <x v="7"/>
    <s v="東中野駅"/>
    <n v="5"/>
    <n v="9"/>
    <n v="144436.73000000001"/>
    <n v="77692.34"/>
    <n v="648"/>
    <n v="1071"/>
    <s v="30-40"/>
    <x v="4"/>
  </r>
  <r>
    <s v="https://suumo.jp/chintai/jnc_000103987137/?bc=100484859082"/>
    <s v="KRハウス"/>
    <s v="東京都新宿区北新宿１"/>
    <n v="109000"/>
    <n v="7000"/>
    <n v="218000"/>
    <n v="109000"/>
    <n v="3"/>
    <x v="0"/>
    <n v="30.22"/>
    <n v="31"/>
    <x v="7"/>
    <s v="東中野駅"/>
    <n v="5"/>
    <n v="9"/>
    <n v="144436.73000000001"/>
    <n v="77692.34"/>
    <n v="648"/>
    <n v="1071"/>
    <s v="30-40"/>
    <x v="4"/>
  </r>
  <r>
    <s v="https://suumo.jp/chintai/jnc_000104170654/?bc=100485654037"/>
    <s v="MANNA　A棟"/>
    <s v="東京都中野区東中野１"/>
    <n v="100000"/>
    <n v="4000"/>
    <n v="100000"/>
    <m/>
    <n v="1"/>
    <x v="0"/>
    <n v="11.61"/>
    <n v="6"/>
    <x v="0"/>
    <s v="東中野駅"/>
    <n v="5"/>
    <n v="8.67"/>
    <n v="144436.73000000001"/>
    <n v="77692.34"/>
    <n v="648"/>
    <n v="1071"/>
    <s v="10-20"/>
    <x v="0"/>
  </r>
  <r>
    <s v="https://suumo.jp/chintai/jnc_000098264547/?bc=100471257107"/>
    <s v="MANNA　A棟"/>
    <s v="東京都中野区東中野１"/>
    <n v="120000"/>
    <n v="4000"/>
    <n v="120000"/>
    <m/>
    <n v="1"/>
    <x v="0"/>
    <n v="11.61"/>
    <n v="6"/>
    <x v="0"/>
    <s v="東中野駅"/>
    <n v="5"/>
    <n v="8.67"/>
    <n v="144436.73000000001"/>
    <n v="77692.34"/>
    <n v="648"/>
    <n v="1071"/>
    <s v="10-20"/>
    <x v="0"/>
  </r>
  <r>
    <s v="https://suumo.jp/chintai/jnc_000104170656/?bc=100485653960"/>
    <s v="MANNA　B棟"/>
    <s v="東京都中野区東中野１"/>
    <n v="75000"/>
    <n v="4000"/>
    <n v="75000"/>
    <m/>
    <n v="2"/>
    <x v="0"/>
    <n v="10.7"/>
    <n v="6"/>
    <x v="0"/>
    <s v="東中野駅"/>
    <n v="7"/>
    <n v="10.33"/>
    <n v="144436.73000000001"/>
    <n v="77692.34"/>
    <n v="648"/>
    <n v="1071"/>
    <s v="10-20"/>
    <x v="0"/>
  </r>
  <r>
    <s v="https://suumo.jp/chintai/jnc_000063808133/?bc=100144378240"/>
    <s v="MOET"/>
    <s v="東京都中野区東中野３"/>
    <n v="110000"/>
    <n v="5000"/>
    <n v="110000"/>
    <m/>
    <n v="4"/>
    <x v="0"/>
    <n v="29"/>
    <n v="17"/>
    <x v="4"/>
    <s v="東中野駅"/>
    <n v="3"/>
    <n v="5.67"/>
    <n v="144436.73000000001"/>
    <n v="77692.34"/>
    <n v="648"/>
    <n v="1071"/>
    <s v="20-30"/>
    <x v="7"/>
  </r>
  <r>
    <s v="https://suumo.jp/chintai/jnc_000102927937/?bc=100474709131"/>
    <s v="RELUXIA　CITY　北新宿"/>
    <s v="東京都新宿区北新宿３"/>
    <n v="119500"/>
    <n v="20000"/>
    <m/>
    <m/>
    <n v="2"/>
    <x v="0"/>
    <n v="25.79"/>
    <n v="2"/>
    <x v="10"/>
    <s v="東中野駅"/>
    <n v="6"/>
    <n v="10.33"/>
    <n v="144436.73000000001"/>
    <n v="77692.34"/>
    <n v="648"/>
    <n v="1071"/>
    <s v="20-30"/>
    <x v="0"/>
  </r>
  <r>
    <s v="https://suumo.jp/chintai/jnc_000103078029/?bc=100475837859"/>
    <s v="RELUXIA　CITY　北新宿"/>
    <s v="東京都新宿区北新宿３"/>
    <n v="131000"/>
    <n v="20000"/>
    <m/>
    <n v="131000"/>
    <n v="3"/>
    <x v="0"/>
    <n v="30.6"/>
    <n v="2"/>
    <x v="10"/>
    <s v="東中野駅"/>
    <n v="6"/>
    <n v="10.33"/>
    <n v="144436.73000000001"/>
    <n v="77692.34"/>
    <n v="648"/>
    <n v="1071"/>
    <s v="30-40"/>
    <x v="0"/>
  </r>
  <r>
    <s v="https://suumo.jp/chintai/jnc_000103570824/?bc=100478746810"/>
    <s v="RELUXIA　CITY　北新宿"/>
    <s v="東京都新宿区北新宿３"/>
    <n v="118000"/>
    <n v="20000"/>
    <m/>
    <n v="118000"/>
    <n v="5"/>
    <x v="0"/>
    <n v="25.79"/>
    <n v="2"/>
    <x v="10"/>
    <s v="東中野駅"/>
    <n v="6"/>
    <n v="10.33"/>
    <n v="144436.73000000001"/>
    <n v="77692.34"/>
    <n v="648"/>
    <n v="1071"/>
    <s v="20-30"/>
    <x v="0"/>
  </r>
  <r>
    <s v="https://suumo.jp/chintai/jnc_000103873079/?bc=100485608997"/>
    <s v="RELUXIA　CITY　北新宿"/>
    <s v="東京都新宿区北新宿３"/>
    <n v="138000"/>
    <n v="10000"/>
    <m/>
    <n v="138000"/>
    <n v="5"/>
    <x v="0"/>
    <n v="25.8"/>
    <n v="2"/>
    <x v="10"/>
    <s v="東中野駅"/>
    <n v="6"/>
    <n v="10.33"/>
    <n v="144436.73000000001"/>
    <n v="77692.34"/>
    <n v="648"/>
    <n v="1071"/>
    <s v="20-30"/>
    <x v="0"/>
  </r>
  <r>
    <s v="https://suumo.jp/chintai/jnc_000104426282/?bc=100485675221"/>
    <s v="THE PREMIUM CUBE G 東中野"/>
    <s v="東京都中野区東中野５"/>
    <n v="139000"/>
    <n v="15000"/>
    <n v="139000"/>
    <n v="139000"/>
    <n v="3"/>
    <x v="0"/>
    <n v="25.5"/>
    <n v="3"/>
    <x v="7"/>
    <s v="東中野駅"/>
    <n v="7"/>
    <n v="9"/>
    <n v="144436.73000000001"/>
    <n v="77692.34"/>
    <n v="648"/>
    <n v="1071"/>
    <s v="20-30"/>
    <x v="0"/>
  </r>
  <r>
    <s v="https://suumo.jp/chintai/jnc_000102103497/?bc=100484246881"/>
    <s v="THE PREMIUM CUBE G 東中野"/>
    <s v="東京都中野区東中野５"/>
    <n v="129000"/>
    <n v="15000"/>
    <n v="129000"/>
    <n v="129000"/>
    <n v="4"/>
    <x v="0"/>
    <n v="25.5"/>
    <n v="3"/>
    <x v="7"/>
    <s v="東中野駅"/>
    <n v="7"/>
    <n v="9"/>
    <n v="144436.73000000001"/>
    <n v="77692.34"/>
    <n v="648"/>
    <n v="1071"/>
    <s v="20-30"/>
    <x v="0"/>
  </r>
  <r>
    <s v="https://suumo.jp/chintai/jnc_000103762849/?bc=100483967051"/>
    <s v="THE PREMIUM CUBE G 東中野"/>
    <s v="東京都中野区東中野５"/>
    <n v="141000"/>
    <n v="15000"/>
    <n v="141000"/>
    <n v="141000"/>
    <n v="4"/>
    <x v="0"/>
    <n v="25.5"/>
    <n v="3"/>
    <x v="7"/>
    <s v="東中野駅"/>
    <n v="7"/>
    <n v="9"/>
    <n v="144436.73000000001"/>
    <n v="77692.34"/>
    <n v="648"/>
    <n v="1071"/>
    <s v="20-30"/>
    <x v="0"/>
  </r>
  <r>
    <s v="https://suumo.jp/chintai/jnc_000103680781/?bc=100481911559"/>
    <s v="ときわハイツ"/>
    <s v="東京都中野区上高田１"/>
    <n v="73000"/>
    <n v="2000"/>
    <n v="73000"/>
    <n v="73000"/>
    <n v="1"/>
    <x v="0"/>
    <n v="18"/>
    <n v="43"/>
    <x v="0"/>
    <s v="東中野駅"/>
    <n v="10"/>
    <n v="12"/>
    <n v="144436.73000000001"/>
    <n v="77692.34"/>
    <n v="648"/>
    <n v="1071"/>
    <s v="10-20"/>
    <x v="3"/>
  </r>
  <r>
    <s v="https://suumo.jp/chintai/jnc_000100468613/?bc=100482728333"/>
    <s v="アネックス大舘"/>
    <s v="東京都中野区東中野１"/>
    <n v="65000"/>
    <m/>
    <n v="65000"/>
    <n v="65000"/>
    <n v="2"/>
    <x v="0"/>
    <n v="19"/>
    <n v="33"/>
    <x v="7"/>
    <s v="東中野駅"/>
    <n v="3"/>
    <n v="8"/>
    <n v="144436.73000000001"/>
    <n v="77692.34"/>
    <n v="648"/>
    <n v="1071"/>
    <s v="10-20"/>
    <x v="4"/>
  </r>
  <r>
    <s v="https://suumo.jp/chintai/jnc_000096582669/?bc=100406415289"/>
    <s v="アパートメント435"/>
    <s v="東京都中野区東中野４"/>
    <n v="48000"/>
    <n v="2500"/>
    <n v="48000"/>
    <m/>
    <n v="1"/>
    <x v="0"/>
    <n v="10"/>
    <n v="72"/>
    <x v="0"/>
    <s v="東中野駅"/>
    <n v="2"/>
    <n v="6.67"/>
    <n v="144436.73000000001"/>
    <n v="77692.34"/>
    <n v="648"/>
    <n v="1071"/>
    <s v="10-20"/>
    <x v="2"/>
  </r>
  <r>
    <s v="https://suumo.jp/chintai/jnc_000097762177/?bc=100416983100"/>
    <s v="アパートメント435"/>
    <s v="東京都中野区東中野４"/>
    <n v="55000"/>
    <n v="2500"/>
    <n v="55000"/>
    <m/>
    <n v="2"/>
    <x v="0"/>
    <n v="11"/>
    <n v="72"/>
    <x v="0"/>
    <s v="東中野駅"/>
    <n v="2"/>
    <n v="6.67"/>
    <n v="144436.73000000001"/>
    <n v="77692.34"/>
    <n v="648"/>
    <n v="1071"/>
    <s v="10-20"/>
    <x v="2"/>
  </r>
  <r>
    <s v="https://suumo.jp/chintai/jnc_000104425524/?bc=100485571866"/>
    <s v="アパートメントＭ"/>
    <s v="東京都新宿区北新宿４"/>
    <n v="80000"/>
    <n v="4000"/>
    <n v="80000"/>
    <m/>
    <n v="3"/>
    <x v="0"/>
    <n v="26.45"/>
    <n v="40"/>
    <x v="4"/>
    <s v="東中野駅"/>
    <n v="6"/>
    <n v="8"/>
    <n v="144436.73000000001"/>
    <n v="77692.34"/>
    <n v="648"/>
    <n v="1071"/>
    <s v="20-30"/>
    <x v="4"/>
  </r>
  <r>
    <s v="https://suumo.jp/chintai/jnc_000102324020/?bc=100485494312"/>
    <s v="アークマーク東中野"/>
    <s v="東京都新宿区北新宿３"/>
    <n v="123000"/>
    <n v="15000"/>
    <m/>
    <m/>
    <n v="3"/>
    <x v="0"/>
    <n v="25.66"/>
    <n v="3"/>
    <x v="7"/>
    <s v="東中野駅"/>
    <n v="5"/>
    <n v="12"/>
    <n v="144436.73000000001"/>
    <n v="77692.34"/>
    <n v="648"/>
    <n v="1071"/>
    <s v="20-30"/>
    <x v="0"/>
  </r>
  <r>
    <s v="https://suumo.jp/chintai/jnc_000104310675/?bc=100484925123"/>
    <s v="アーバンテラス東中野"/>
    <s v="東京都中野区東中野３"/>
    <n v="52000"/>
    <n v="3000"/>
    <m/>
    <m/>
    <n v="1"/>
    <x v="0"/>
    <n v="12.1"/>
    <n v="20"/>
    <x v="0"/>
    <s v="東中野駅"/>
    <n v="5"/>
    <n v="8.67"/>
    <n v="144436.73000000001"/>
    <n v="77692.34"/>
    <n v="648"/>
    <n v="1071"/>
    <s v="10-20"/>
    <x v="7"/>
  </r>
  <r>
    <s v="https://suumo.jp/chintai/jnc_000065953830/?bc=100243062445"/>
    <s v="エイティハウス"/>
    <s v="東京都新宿区北新宿３"/>
    <n v="120000"/>
    <m/>
    <n v="240000"/>
    <n v="120000"/>
    <n v="2"/>
    <x v="0"/>
    <n v="31.41"/>
    <n v="35"/>
    <x v="4"/>
    <s v="東中野駅"/>
    <n v="5"/>
    <n v="9"/>
    <n v="144436.73000000001"/>
    <n v="77692.34"/>
    <n v="648"/>
    <n v="1071"/>
    <s v="30-40"/>
    <x v="4"/>
  </r>
  <r>
    <s v="https://suumo.jp/chintai/jnc_000104060455/?bc=100482634899"/>
    <s v="エステート東中野"/>
    <s v="東京都中野区東中野３"/>
    <n v="81000"/>
    <n v="2000"/>
    <n v="81000"/>
    <n v="81000"/>
    <n v="2"/>
    <x v="0"/>
    <n v="22.35"/>
    <n v="24"/>
    <x v="0"/>
    <s v="東中野駅"/>
    <n v="4"/>
    <n v="7"/>
    <n v="144436.73000000001"/>
    <n v="77692.34"/>
    <n v="648"/>
    <n v="1071"/>
    <s v="20-30"/>
    <x v="1"/>
  </r>
  <r>
    <s v="https://suumo.jp/chintai/jnc_000104378971/?bc=100456544277"/>
    <s v="グランエッグス東中野"/>
    <s v="東京都中野区東中野３"/>
    <n v="89000"/>
    <n v="6000"/>
    <m/>
    <n v="89000"/>
    <n v="1"/>
    <x v="0"/>
    <n v="15.2"/>
    <n v="7"/>
    <x v="0"/>
    <s v="東中野駅"/>
    <n v="5"/>
    <n v="9.33"/>
    <n v="144436.73000000001"/>
    <n v="77692.34"/>
    <n v="648"/>
    <n v="1071"/>
    <s v="10-20"/>
    <x v="0"/>
  </r>
  <r>
    <s v="https://suumo.jp/chintai/jnc_000104348352/?bc=100485051440"/>
    <s v="グランエッグス東中野"/>
    <s v="東京都中野区東中野３"/>
    <n v="89000"/>
    <n v="6000"/>
    <m/>
    <n v="89000"/>
    <n v="2"/>
    <x v="0"/>
    <n v="15.2"/>
    <n v="7"/>
    <x v="0"/>
    <s v="東中野駅"/>
    <n v="5"/>
    <n v="9.33"/>
    <n v="144436.73000000001"/>
    <n v="77692.34"/>
    <n v="648"/>
    <n v="1071"/>
    <s v="10-20"/>
    <x v="0"/>
  </r>
  <r>
    <s v="https://suumo.jp/chintai/jnc_000101605822/?bc=100484526003"/>
    <s v="グリーングラス北新宿"/>
    <s v="東京都新宿区北新宿３"/>
    <n v="85000"/>
    <n v="3000"/>
    <n v="85000"/>
    <m/>
    <n v="1"/>
    <x v="0"/>
    <n v="22.86"/>
    <n v="18"/>
    <x v="0"/>
    <s v="東中野駅"/>
    <n v="7"/>
    <n v="10.33"/>
    <n v="144436.73000000001"/>
    <n v="77692.34"/>
    <n v="648"/>
    <n v="1071"/>
    <s v="20-30"/>
    <x v="7"/>
  </r>
  <r>
    <s v="https://suumo.jp/chintai/jnc_000032915629/?bc=100483896990"/>
    <s v="グレースシャルマン"/>
    <s v="東京都中野区東中野１"/>
    <n v="57000"/>
    <n v="3000"/>
    <m/>
    <m/>
    <n v="2"/>
    <x v="0"/>
    <n v="9.2899999999999991"/>
    <n v="14"/>
    <x v="0"/>
    <s v="東中野駅"/>
    <n v="7"/>
    <n v="14.67"/>
    <n v="144436.73000000001"/>
    <n v="77692.34"/>
    <n v="648"/>
    <n v="1071"/>
    <s v="&lt;10"/>
    <x v="7"/>
  </r>
  <r>
    <s v="https://suumo.jp/chintai/jnc_000088295952/?bc=100482197502"/>
    <s v="グレースハイム"/>
    <s v="東京都中野区上高田１"/>
    <n v="68000"/>
    <m/>
    <n v="68000"/>
    <m/>
    <n v="2"/>
    <x v="0"/>
    <n v="17.2"/>
    <n v="32"/>
    <x v="2"/>
    <s v="東中野駅"/>
    <n v="10"/>
    <n v="11"/>
    <n v="144436.73000000001"/>
    <n v="77692.34"/>
    <n v="648"/>
    <n v="1071"/>
    <s v="10-20"/>
    <x v="4"/>
  </r>
  <r>
    <s v="https://suumo.jp/chintai/jnc_000100298316/?bc=100482159625"/>
    <s v="ケリーズコーブ"/>
    <s v="東京都中野区東中野１"/>
    <n v="67000"/>
    <n v="3000"/>
    <n v="67000"/>
    <n v="67000"/>
    <n v="1"/>
    <x v="0"/>
    <n v="15.27"/>
    <n v="8"/>
    <x v="2"/>
    <s v="東中野駅"/>
    <n v="6"/>
    <n v="10.33"/>
    <n v="144436.73000000001"/>
    <n v="77692.34"/>
    <n v="648"/>
    <n v="1071"/>
    <s v="10-20"/>
    <x v="0"/>
  </r>
  <r>
    <s v="https://suumo.jp/chintai/jnc_000103658005/?bc=100041299296"/>
    <s v="コンフォート柏木"/>
    <s v="東京都新宿区北新宿４"/>
    <n v="70000"/>
    <n v="2500"/>
    <m/>
    <n v="70000"/>
    <n v="4"/>
    <x v="0"/>
    <n v="15.57"/>
    <n v="22"/>
    <x v="4"/>
    <s v="東中野駅"/>
    <n v="7"/>
    <n v="9.67"/>
    <n v="144436.73000000001"/>
    <n v="77692.34"/>
    <n v="648"/>
    <n v="1071"/>
    <s v="10-20"/>
    <x v="1"/>
  </r>
  <r>
    <s v="https://suumo.jp/chintai/jnc_000104223004/?bc=100483124318"/>
    <s v="ザ・プレミアムキューブG東中野"/>
    <s v="東京都中野区東中野５"/>
    <n v="141000"/>
    <n v="15000"/>
    <n v="141000"/>
    <n v="141000"/>
    <n v="4"/>
    <x v="0"/>
    <n v="25.5"/>
    <n v="3"/>
    <x v="7"/>
    <s v="東中野駅"/>
    <n v="7"/>
    <n v="9.33"/>
    <n v="144436.73000000001"/>
    <n v="77692.34"/>
    <n v="648"/>
    <n v="1071"/>
    <s v="20-30"/>
    <x v="0"/>
  </r>
  <r>
    <s v="https://suumo.jp/chintai/jnc_000098302732/?bc=100482767996"/>
    <s v="シティフラット25"/>
    <s v="東京都中野区東中野３"/>
    <n v="69000"/>
    <n v="3000"/>
    <n v="69000"/>
    <n v="69000"/>
    <n v="2"/>
    <x v="0"/>
    <n v="18"/>
    <n v="35"/>
    <x v="2"/>
    <s v="東中野駅"/>
    <n v="3"/>
    <n v="6.67"/>
    <n v="144436.73000000001"/>
    <n v="77692.34"/>
    <n v="648"/>
    <n v="1071"/>
    <s v="10-20"/>
    <x v="4"/>
  </r>
  <r>
    <s v="https://suumo.jp/chintai/jnc_000099803740/?bc=100459621968"/>
    <s v="シティフラット25"/>
    <s v="東京都中野区東中野３"/>
    <n v="69000"/>
    <n v="3000"/>
    <n v="69000"/>
    <m/>
    <n v="3"/>
    <x v="0"/>
    <n v="17.329999999999998"/>
    <n v="35"/>
    <x v="2"/>
    <s v="東中野駅"/>
    <n v="3"/>
    <n v="6.67"/>
    <n v="144436.73000000001"/>
    <n v="77692.34"/>
    <n v="648"/>
    <n v="1071"/>
    <s v="10-20"/>
    <x v="4"/>
  </r>
  <r>
    <s v="https://suumo.jp/chintai/jnc_000104076697/?bc=100482767515"/>
    <s v="シティフラット25"/>
    <s v="東京都中野区東中野３"/>
    <n v="71000"/>
    <n v="3000"/>
    <n v="71000"/>
    <m/>
    <n v="3"/>
    <x v="0"/>
    <n v="18"/>
    <n v="35"/>
    <x v="2"/>
    <s v="東中野駅"/>
    <n v="3"/>
    <n v="6.67"/>
    <n v="144436.73000000001"/>
    <n v="77692.34"/>
    <n v="648"/>
    <n v="1071"/>
    <s v="10-20"/>
    <x v="4"/>
  </r>
  <r>
    <s v="https://suumo.jp/chintai/jnc_000102771929/?bc=100474635487"/>
    <s v="シティフラット25"/>
    <s v="東京都中野区東中野３"/>
    <n v="72000"/>
    <n v="3000"/>
    <n v="72000"/>
    <n v="72000"/>
    <n v="3"/>
    <x v="0"/>
    <n v="18"/>
    <n v="35"/>
    <x v="2"/>
    <s v="東中野駅"/>
    <n v="3"/>
    <n v="6.67"/>
    <n v="144436.73000000001"/>
    <n v="77692.34"/>
    <n v="648"/>
    <n v="1071"/>
    <s v="10-20"/>
    <x v="4"/>
  </r>
  <r>
    <s v="https://suumo.jp/chintai/jnc_000103513720/?bc=100485351029"/>
    <s v="スカイコート新宿第10"/>
    <s v="東京都新宿区北新宿４"/>
    <n v="72000"/>
    <n v="10000"/>
    <m/>
    <n v="72000"/>
    <n v="6"/>
    <x v="0"/>
    <n v="18.579999999999998"/>
    <n v="28"/>
    <x v="10"/>
    <s v="東中野駅"/>
    <n v="7"/>
    <n v="9.67"/>
    <n v="144436.73000000001"/>
    <n v="77692.34"/>
    <n v="648"/>
    <n v="1071"/>
    <s v="10-20"/>
    <x v="1"/>
  </r>
  <r>
    <s v="https://suumo.jp/chintai/jnc_000103277796/?bc=100476496424"/>
    <s v="スカイコート新宿第7"/>
    <s v="東京都新宿区北新宿４"/>
    <n v="60000"/>
    <n v="7200"/>
    <n v="60000"/>
    <m/>
    <n v="1"/>
    <x v="0"/>
    <n v="16.41"/>
    <n v="30"/>
    <x v="7"/>
    <s v="東中野駅"/>
    <n v="5"/>
    <n v="9.33"/>
    <n v="144436.73000000001"/>
    <n v="77692.34"/>
    <n v="648"/>
    <n v="1071"/>
    <s v="10-20"/>
    <x v="1"/>
  </r>
  <r>
    <s v="https://suumo.jp/chintai/jnc_000103435847/?bc=100477557752"/>
    <s v="スカイコート新宿第7"/>
    <s v="東京都新宿区北新宿４"/>
    <n v="70000"/>
    <n v="5000"/>
    <n v="70000"/>
    <n v="70000"/>
    <n v="2"/>
    <x v="0"/>
    <n v="16.41"/>
    <n v="30"/>
    <x v="7"/>
    <s v="東中野駅"/>
    <n v="5"/>
    <n v="9.33"/>
    <n v="144436.73000000001"/>
    <n v="77692.34"/>
    <n v="648"/>
    <n v="1071"/>
    <s v="10-20"/>
    <x v="1"/>
  </r>
  <r>
    <s v="https://suumo.jp/chintai/jnc_000104179476/?bc=100483394833"/>
    <s v="スワンレイク東中野"/>
    <s v="東京都中野区上高田１"/>
    <n v="105000"/>
    <n v="10000"/>
    <n v="105000"/>
    <m/>
    <n v="1"/>
    <x v="0"/>
    <n v="27"/>
    <n v="6"/>
    <x v="5"/>
    <s v="東中野駅"/>
    <n v="10"/>
    <n v="10"/>
    <n v="144436.73000000001"/>
    <n v="77692.34"/>
    <n v="648"/>
    <n v="1071"/>
    <s v="20-30"/>
    <x v="0"/>
  </r>
  <r>
    <s v="https://suumo.jp/chintai/jnc_000090777153/?bc=100478147330"/>
    <s v="セラフビル"/>
    <s v="東京都中野区東中野３"/>
    <n v="63000"/>
    <n v="2000"/>
    <n v="63000"/>
    <n v="63000"/>
    <n v="2"/>
    <x v="0"/>
    <n v="16.2"/>
    <n v="40"/>
    <x v="4"/>
    <s v="東中野駅"/>
    <n v="5"/>
    <n v="11"/>
    <n v="144436.73000000001"/>
    <n v="77692.34"/>
    <n v="648"/>
    <n v="1071"/>
    <s v="10-20"/>
    <x v="4"/>
  </r>
  <r>
    <s v="https://suumo.jp/chintai/jnc_000103179178/?bc=100476319487"/>
    <s v="ソワフィーユ東中野"/>
    <s v="東京都中野区東中野１"/>
    <n v="112000"/>
    <n v="4000"/>
    <n v="112000"/>
    <n v="168000"/>
    <n v="3"/>
    <x v="0"/>
    <n v="28.76"/>
    <n v="11"/>
    <x v="2"/>
    <s v="東中野駅"/>
    <n v="3"/>
    <n v="5.33"/>
    <n v="144436.73000000001"/>
    <n v="77692.34"/>
    <n v="648"/>
    <n v="1071"/>
    <s v="20-30"/>
    <x v="7"/>
  </r>
  <r>
    <s v="https://suumo.jp/chintai/jnc_000104454988/?bc=100485948834"/>
    <s v="ハイツ葉月"/>
    <s v="東京都中野区東中野３"/>
    <n v="62000"/>
    <n v="5000"/>
    <n v="62000"/>
    <m/>
    <n v="1"/>
    <x v="0"/>
    <n v="17"/>
    <n v="33"/>
    <x v="0"/>
    <s v="東中野駅"/>
    <n v="4"/>
    <n v="10"/>
    <n v="144436.73000000001"/>
    <n v="77692.34"/>
    <n v="648"/>
    <n v="1071"/>
    <s v="10-20"/>
    <x v="4"/>
  </r>
  <r>
    <s v="https://suumo.jp/chintai/jnc_000104454989/?bc=100485948645"/>
    <s v="ハイツ葉月"/>
    <s v="東京都中野区東中野３"/>
    <n v="73000"/>
    <n v="5000"/>
    <n v="73000"/>
    <m/>
    <n v="2"/>
    <x v="0"/>
    <n v="17"/>
    <n v="33"/>
    <x v="0"/>
    <s v="東中野駅"/>
    <n v="4"/>
    <n v="10"/>
    <n v="144436.73000000001"/>
    <n v="77692.34"/>
    <n v="648"/>
    <n v="1071"/>
    <s v="10-20"/>
    <x v="4"/>
  </r>
  <r>
    <s v="https://suumo.jp/chintai/jnc_000102455281/?bc=100480721143"/>
    <s v="ハーモニーテラス中野II"/>
    <s v="東京都中野区中野６"/>
    <n v="64000"/>
    <n v="4000"/>
    <m/>
    <n v="64000"/>
    <n v="1"/>
    <x v="0"/>
    <n v="10.8"/>
    <n v="8"/>
    <x v="0"/>
    <s v="東中野駅"/>
    <n v="8"/>
    <n v="11"/>
    <n v="144436.73000000001"/>
    <n v="77692.34"/>
    <n v="648"/>
    <n v="1071"/>
    <s v="10-20"/>
    <x v="0"/>
  </r>
  <r>
    <s v="https://suumo.jp/chintai/jnc_000098159071/?bc=100482222531"/>
    <s v="ハーモニーテラス中野II"/>
    <s v="東京都中野区中野６"/>
    <n v="66000"/>
    <n v="4000"/>
    <m/>
    <m/>
    <n v="1"/>
    <x v="0"/>
    <n v="12.87"/>
    <n v="8"/>
    <x v="0"/>
    <s v="東中野駅"/>
    <n v="8"/>
    <n v="11"/>
    <n v="144436.73000000001"/>
    <n v="77692.34"/>
    <n v="648"/>
    <n v="1071"/>
    <s v="10-20"/>
    <x v="0"/>
  </r>
  <r>
    <s v="https://suumo.jp/chintai/jnc_000103680802/?bc=100479541772"/>
    <s v="ハーモニーテラス中野II"/>
    <s v="東京都中野区中野６"/>
    <n v="76000"/>
    <n v="4000"/>
    <m/>
    <n v="76000"/>
    <n v="2"/>
    <x v="0"/>
    <n v="10.8"/>
    <n v="8"/>
    <x v="0"/>
    <s v="東中野駅"/>
    <n v="8"/>
    <n v="11"/>
    <n v="144436.73000000001"/>
    <n v="77692.34"/>
    <n v="648"/>
    <n v="1071"/>
    <s v="10-20"/>
    <x v="0"/>
  </r>
  <r>
    <s v="https://suumo.jp/chintai/jnc_000104285626/?bc=100484455718"/>
    <s v="バウスクロス北新宿"/>
    <s v="東京都新宿区北新宿４"/>
    <n v="89500"/>
    <n v="23000"/>
    <n v="89500"/>
    <n v="240000"/>
    <n v="6"/>
    <x v="0"/>
    <n v="14.51"/>
    <n v="5"/>
    <x v="1"/>
    <s v="東中野駅"/>
    <n v="9"/>
    <n v="9"/>
    <n v="144436.73000000001"/>
    <n v="77692.34"/>
    <n v="648"/>
    <n v="1071"/>
    <s v="10-20"/>
    <x v="0"/>
  </r>
  <r>
    <s v="https://suumo.jp/chintai/jnc_000104348342/?bc=100484920188"/>
    <s v="パレステージ中野"/>
    <s v="東京都中野区中野６"/>
    <n v="136000"/>
    <n v="15000"/>
    <m/>
    <n v="136000"/>
    <n v="3"/>
    <x v="0"/>
    <n v="30.27"/>
    <n v="5"/>
    <x v="1"/>
    <s v="東中野駅"/>
    <n v="10"/>
    <n v="11.67"/>
    <n v="144436.73000000001"/>
    <n v="77692.34"/>
    <n v="648"/>
    <n v="1071"/>
    <s v="30-40"/>
    <x v="0"/>
  </r>
  <r>
    <s v="https://suumo.jp/chintai/jnc_000103750103/?bc=100480261464"/>
    <s v="パークコート北新宿"/>
    <s v="東京都新宿区北新宿４"/>
    <n v="72000"/>
    <m/>
    <n v="72000"/>
    <n v="72000"/>
    <n v="1"/>
    <x v="0"/>
    <n v="19.87"/>
    <n v="23"/>
    <x v="4"/>
    <s v="東中野駅"/>
    <n v="7"/>
    <n v="10.33"/>
    <n v="144436.73000000001"/>
    <n v="77692.34"/>
    <n v="648"/>
    <n v="1071"/>
    <s v="10-20"/>
    <x v="1"/>
  </r>
  <r>
    <s v="https://suumo.jp/chintai/jnc_000103481466/?bc=100481485284"/>
    <s v="パークハビオ東中野"/>
    <s v="東京都中野区東中野１"/>
    <n v="137000"/>
    <n v="8000"/>
    <n v="137000"/>
    <n v="137000"/>
    <n v="2"/>
    <x v="0"/>
    <n v="26.7"/>
    <n v="16"/>
    <x v="18"/>
    <s v="東中野駅"/>
    <n v="1"/>
    <n v="7"/>
    <n v="144436.73000000001"/>
    <n v="77692.34"/>
    <n v="648"/>
    <n v="1071"/>
    <s v="20-30"/>
    <x v="7"/>
  </r>
  <r>
    <s v="https://suumo.jp/chintai/jnc_000103032335/?bc=100486334281"/>
    <s v="パークハビオ東中野"/>
    <s v="東京都中野区東中野１"/>
    <n v="149000"/>
    <n v="8000"/>
    <n v="149000"/>
    <n v="149000"/>
    <n v="3"/>
    <x v="0"/>
    <n v="30.3"/>
    <n v="16"/>
    <x v="18"/>
    <s v="東中野駅"/>
    <n v="1"/>
    <n v="7"/>
    <n v="144436.73000000001"/>
    <n v="77692.34"/>
    <n v="648"/>
    <n v="1071"/>
    <s v="30-40"/>
    <x v="7"/>
  </r>
  <r>
    <s v="https://suumo.jp/chintai/jnc_000104417263/?bc=100485745034"/>
    <s v="パーシモン東中野"/>
    <s v="東京都中野区東中野１"/>
    <n v="65000"/>
    <n v="3000"/>
    <m/>
    <m/>
    <n v="1"/>
    <x v="0"/>
    <n v="13"/>
    <n v="40"/>
    <x v="0"/>
    <s v="東中野駅"/>
    <n v="2"/>
    <n v="9"/>
    <n v="144436.73000000001"/>
    <n v="77692.34"/>
    <n v="648"/>
    <n v="1071"/>
    <s v="10-20"/>
    <x v="4"/>
  </r>
  <r>
    <s v="https://suumo.jp/chintai/jnc_000104433315/?bc=100485745017"/>
    <s v="パーシモン東中野"/>
    <s v="東京都中野区東中野１"/>
    <n v="67000"/>
    <n v="3000"/>
    <m/>
    <m/>
    <n v="2"/>
    <x v="0"/>
    <n v="13"/>
    <n v="40"/>
    <x v="0"/>
    <s v="東中野駅"/>
    <n v="2"/>
    <n v="9"/>
    <n v="144436.73000000001"/>
    <n v="77692.34"/>
    <n v="648"/>
    <n v="1071"/>
    <s v="10-20"/>
    <x v="4"/>
  </r>
  <r>
    <s v="https://suumo.jp/chintai/jnc_000103474101/?bc=100477760927"/>
    <s v="ビュー東中野"/>
    <s v="東京都中野区東中野２"/>
    <n v="58000"/>
    <m/>
    <n v="58000"/>
    <n v="58000"/>
    <n v="2"/>
    <x v="0"/>
    <n v="13.11"/>
    <n v="33"/>
    <x v="0"/>
    <s v="東中野駅"/>
    <n v="9"/>
    <n v="12.33"/>
    <n v="144436.73000000001"/>
    <n v="77692.34"/>
    <n v="648"/>
    <n v="1071"/>
    <s v="10-20"/>
    <x v="4"/>
  </r>
  <r>
    <s v="https://suumo.jp/chintai/jnc_000089327147/?bc=100484761687"/>
    <s v="ファインズコート北新宿"/>
    <s v="東京都新宿区北新宿４"/>
    <n v="82000"/>
    <n v="2000"/>
    <n v="82000"/>
    <n v="82000"/>
    <n v="2"/>
    <x v="0"/>
    <n v="21"/>
    <n v="45"/>
    <x v="4"/>
    <s v="東中野駅"/>
    <n v="6"/>
    <n v="9.33"/>
    <n v="144436.73000000001"/>
    <n v="77692.34"/>
    <n v="648"/>
    <n v="1071"/>
    <s v="20-30"/>
    <x v="3"/>
  </r>
  <r>
    <s v="https://suumo.jp/chintai/jnc_000101505645/?bc=100482772493"/>
    <s v="フォレストステージ上高田"/>
    <s v="東京都中野区上高田１"/>
    <n v="75000"/>
    <n v="4000"/>
    <n v="75000"/>
    <n v="75000"/>
    <n v="1"/>
    <x v="0"/>
    <n v="22"/>
    <n v="60"/>
    <x v="0"/>
    <s v="東中野駅"/>
    <n v="8"/>
    <n v="11.67"/>
    <n v="144436.73000000001"/>
    <n v="77692.34"/>
    <n v="648"/>
    <n v="1071"/>
    <s v="20-30"/>
    <x v="5"/>
  </r>
  <r>
    <s v="https://suumo.jp/chintai/jnc_000104499534/?bc=100486107537"/>
    <s v="ベルハウス"/>
    <s v="東京都中野区東中野１"/>
    <n v="72000"/>
    <m/>
    <n v="72000"/>
    <n v="72000"/>
    <n v="1"/>
    <x v="0"/>
    <n v="21.13"/>
    <n v="38"/>
    <x v="2"/>
    <s v="東中野駅"/>
    <n v="2"/>
    <n v="7"/>
    <n v="144436.73000000001"/>
    <n v="77692.34"/>
    <n v="648"/>
    <n v="1071"/>
    <s v="20-30"/>
    <x v="4"/>
  </r>
  <r>
    <s v="https://suumo.jp/chintai/jnc_000104003324/?bc=100482728781"/>
    <s v="ミストラル"/>
    <s v="東京都新宿区北新宿４"/>
    <n v="75000"/>
    <n v="4000"/>
    <m/>
    <n v="75000"/>
    <n v="1"/>
    <x v="0"/>
    <n v="10.1"/>
    <n v="10"/>
    <x v="0"/>
    <s v="東中野駅"/>
    <n v="6"/>
    <n v="9.33"/>
    <n v="144436.73000000001"/>
    <n v="77692.34"/>
    <n v="648"/>
    <n v="1071"/>
    <s v="10-20"/>
    <x v="0"/>
  </r>
  <r>
    <s v="https://suumo.jp/chintai/jnc_000101624761/?bc=100466801626"/>
    <s v="ミリアレジデンス北新宿"/>
    <s v="東京都新宿区北新宿４"/>
    <n v="150000"/>
    <n v="10000"/>
    <n v="150000"/>
    <m/>
    <n v="5"/>
    <x v="0"/>
    <n v="32.119999999999997"/>
    <n v="15"/>
    <x v="10"/>
    <s v="東中野駅"/>
    <n v="9"/>
    <n v="10.33"/>
    <n v="144436.73000000001"/>
    <n v="77692.34"/>
    <n v="648"/>
    <n v="1071"/>
    <s v="30-40"/>
    <x v="7"/>
  </r>
  <r>
    <s v="https://suumo.jp/chintai/jnc_000104138613/?bc=100472580138"/>
    <s v="ミリアレジデンス北新宿"/>
    <s v="東京都新宿区北新宿４"/>
    <n v="154000"/>
    <n v="10000"/>
    <n v="154000"/>
    <m/>
    <n v="6"/>
    <x v="0"/>
    <n v="33.6"/>
    <n v="15"/>
    <x v="10"/>
    <s v="東中野駅"/>
    <n v="9"/>
    <n v="10.33"/>
    <n v="144436.73000000001"/>
    <n v="77692.34"/>
    <n v="648"/>
    <n v="1071"/>
    <s v="30-40"/>
    <x v="7"/>
  </r>
  <r>
    <s v="https://suumo.jp/chintai/jnc_000104063396/?bc=100482836177"/>
    <s v="メゾンイシイ"/>
    <s v="東京都新宿区北新宿４"/>
    <n v="110000"/>
    <n v="5000"/>
    <n v="110000"/>
    <n v="110000"/>
    <n v="4"/>
    <x v="0"/>
    <n v="35.85"/>
    <n v="51"/>
    <x v="4"/>
    <s v="東中野駅"/>
    <n v="5"/>
    <n v="10"/>
    <n v="144436.73000000001"/>
    <n v="77692.34"/>
    <n v="648"/>
    <n v="1071"/>
    <s v="30-40"/>
    <x v="5"/>
  </r>
  <r>
    <s v="https://suumo.jp/chintai/jnc_000022859793/?bc=100478762521"/>
    <s v="メゾン・ド・F"/>
    <s v="東京都中野区東中野２"/>
    <n v="53000"/>
    <m/>
    <n v="53000"/>
    <m/>
    <n v="1"/>
    <x v="0"/>
    <n v="11.27"/>
    <n v="27"/>
    <x v="0"/>
    <s v="東中野駅"/>
    <n v="10"/>
    <n v="12.67"/>
    <n v="144436.73000000001"/>
    <n v="77692.34"/>
    <n v="648"/>
    <n v="1071"/>
    <s v="10-20"/>
    <x v="1"/>
  </r>
  <r>
    <s v="https://suumo.jp/chintai/jnc_000102751107/?bc=100480120029"/>
    <s v="メゾン・ド・エクセレ"/>
    <s v="東京都新宿区北新宿４"/>
    <n v="70000"/>
    <n v="5000"/>
    <n v="70000"/>
    <n v="70000"/>
    <n v="2"/>
    <x v="0"/>
    <n v="12.03"/>
    <n v="43"/>
    <x v="4"/>
    <s v="東中野駅"/>
    <n v="5"/>
    <n v="9.33"/>
    <n v="144436.73000000001"/>
    <n v="77692.34"/>
    <n v="648"/>
    <n v="1071"/>
    <s v="10-20"/>
    <x v="3"/>
  </r>
  <r>
    <s v="https://suumo.jp/chintai/jnc_000104003321/?bc=100482162162"/>
    <s v="メゾン・ド・北新宿"/>
    <s v="東京都新宿区北新宿３"/>
    <n v="70000"/>
    <n v="3000"/>
    <n v="70000"/>
    <n v="70000"/>
    <n v="1"/>
    <x v="0"/>
    <n v="19.100000000000001"/>
    <n v="50"/>
    <x v="0"/>
    <s v="東中野駅"/>
    <n v="6"/>
    <n v="10.33"/>
    <n v="144436.73000000001"/>
    <n v="77692.34"/>
    <n v="648"/>
    <n v="1071"/>
    <s v="10-20"/>
    <x v="3"/>
  </r>
  <r>
    <s v="https://suumo.jp/chintai/jnc_000104357246/?bc=100482657607"/>
    <s v="メゾン上ノ原"/>
    <s v="東京都中野区東中野２"/>
    <n v="60000"/>
    <n v="3000"/>
    <n v="60000"/>
    <m/>
    <n v="1"/>
    <x v="0"/>
    <n v="15.63"/>
    <n v="34"/>
    <x v="0"/>
    <s v="東中野駅"/>
    <n v="6"/>
    <n v="10.67"/>
    <n v="144436.73000000001"/>
    <n v="77692.34"/>
    <n v="648"/>
    <n v="1071"/>
    <s v="10-20"/>
    <x v="4"/>
  </r>
  <r>
    <s v="https://suumo.jp/chintai/jnc_000104357233/?bc=100484627722"/>
    <s v="ライフピアライジング"/>
    <s v="東京都中野区中野６"/>
    <n v="50000"/>
    <n v="4000"/>
    <n v="50000"/>
    <n v="50000"/>
    <n v="1"/>
    <x v="0"/>
    <n v="10.4"/>
    <n v="19"/>
    <x v="0"/>
    <s v="東中野駅"/>
    <n v="10"/>
    <n v="10.5"/>
    <n v="144436.73000000001"/>
    <n v="77692.34"/>
    <n v="648"/>
    <n v="1071"/>
    <s v="10-20"/>
    <x v="7"/>
  </r>
  <r>
    <s v="https://suumo.jp/chintai/jnc_000104357234/?bc=100475395796"/>
    <s v="ライフピアライジング"/>
    <s v="東京都中野区中野６"/>
    <n v="54000"/>
    <n v="4000"/>
    <n v="54000"/>
    <n v="54000"/>
    <n v="2"/>
    <x v="0"/>
    <n v="10.8"/>
    <n v="19"/>
    <x v="0"/>
    <s v="東中野駅"/>
    <n v="10"/>
    <n v="10.5"/>
    <n v="144436.73000000001"/>
    <n v="77692.34"/>
    <n v="648"/>
    <n v="1071"/>
    <s v="10-20"/>
    <x v="7"/>
  </r>
  <r>
    <s v="https://suumo.jp/chintai/jnc_000104348326/?bc=100485941169"/>
    <s v="ライフピア東中野Ａ棟"/>
    <s v="東京都中野区上高田１"/>
    <n v="56000"/>
    <n v="3000"/>
    <m/>
    <m/>
    <n v="1"/>
    <x v="0"/>
    <n v="11.08"/>
    <n v="20"/>
    <x v="0"/>
    <s v="東中野駅"/>
    <n v="10"/>
    <n v="11"/>
    <n v="144436.73000000001"/>
    <n v="77692.34"/>
    <n v="648"/>
    <n v="1071"/>
    <s v="10-20"/>
    <x v="7"/>
  </r>
  <r>
    <s v="https://suumo.jp/chintai/jnc_000103169867/?bc=100475432737"/>
    <s v="ライブコア東中野"/>
    <s v="東京都中野区東中野１"/>
    <n v="41000"/>
    <n v="2000"/>
    <m/>
    <n v="41000"/>
    <n v="1"/>
    <x v="0"/>
    <n v="8"/>
    <n v="37"/>
    <x v="0"/>
    <s v="東中野駅"/>
    <n v="6"/>
    <n v="10"/>
    <n v="144436.73000000001"/>
    <n v="77692.34"/>
    <n v="648"/>
    <n v="1071"/>
    <s v="&lt;10"/>
    <x v="4"/>
  </r>
  <r>
    <s v="https://suumo.jp/chintai/jnc_000104347521/?bc=100484917349"/>
    <s v="ラブリハイツ北新宿第2"/>
    <s v="東京都新宿区北新宿４"/>
    <n v="85000"/>
    <n v="6000"/>
    <n v="85000"/>
    <n v="85000"/>
    <n v="3"/>
    <x v="0"/>
    <n v="26.07"/>
    <n v="37"/>
    <x v="5"/>
    <s v="東中野駅"/>
    <n v="7"/>
    <n v="8.5"/>
    <n v="144436.73000000001"/>
    <n v="77692.34"/>
    <n v="648"/>
    <n v="1071"/>
    <s v="20-30"/>
    <x v="4"/>
  </r>
  <r>
    <s v="https://suumo.jp/chintai/jnc_000103217338/?bc=100475880828"/>
    <s v="リブフラット北新宿"/>
    <s v="東京都新宿区北新宿４"/>
    <n v="69000"/>
    <n v="4000"/>
    <m/>
    <m/>
    <n v="1"/>
    <x v="0"/>
    <n v="10.07"/>
    <n v="9"/>
    <x v="0"/>
    <s v="東中野駅"/>
    <n v="10"/>
    <n v="12.67"/>
    <n v="144436.73000000001"/>
    <n v="77692.34"/>
    <n v="648"/>
    <n v="1071"/>
    <s v="10-20"/>
    <x v="0"/>
  </r>
  <r>
    <s v="https://suumo.jp/chintai/jnc_000104474384/?bc=100486327540"/>
    <s v="ルミエール中野一丁目"/>
    <s v="東京都中野区中野１"/>
    <n v="80000"/>
    <n v="3000"/>
    <n v="80000"/>
    <n v="80000"/>
    <n v="1"/>
    <x v="0"/>
    <n v="15.33"/>
    <n v="2"/>
    <x v="2"/>
    <s v="東中野駅"/>
    <n v="9"/>
    <n v="13"/>
    <n v="144436.73000000001"/>
    <n v="77692.34"/>
    <n v="648"/>
    <n v="1071"/>
    <s v="10-20"/>
    <x v="0"/>
  </r>
  <r>
    <s v="https://suumo.jp/chintai/jnc_000104426266/?bc=100485608880"/>
    <s v="ルミエール中野一丁目"/>
    <s v="東京都中野区中野１"/>
    <n v="83000"/>
    <n v="3000"/>
    <n v="83000"/>
    <n v="83000"/>
    <n v="1"/>
    <x v="0"/>
    <n v="17.12"/>
    <n v="2"/>
    <x v="2"/>
    <s v="東中野駅"/>
    <n v="9"/>
    <n v="13"/>
    <n v="144436.73000000001"/>
    <n v="77692.34"/>
    <n v="648"/>
    <n v="1071"/>
    <s v="10-20"/>
    <x v="0"/>
  </r>
  <r>
    <s v="https://suumo.jp/chintai/jnc_000103563640/?bc=100484750880"/>
    <s v="ルミエール中野一丁目"/>
    <s v="東京都中野区中野１"/>
    <n v="83000"/>
    <n v="3000"/>
    <n v="83000"/>
    <n v="83000"/>
    <n v="2"/>
    <x v="0"/>
    <n v="15.33"/>
    <n v="2"/>
    <x v="2"/>
    <s v="東中野駅"/>
    <n v="9"/>
    <n v="13"/>
    <n v="144436.73000000001"/>
    <n v="77692.34"/>
    <n v="648"/>
    <n v="1071"/>
    <s v="10-20"/>
    <x v="0"/>
  </r>
  <r>
    <s v="https://suumo.jp/chintai/jnc_000104426267/?bc=100485868581"/>
    <s v="ルミエール中野一丁目"/>
    <s v="東京都中野区中野１"/>
    <n v="84000"/>
    <n v="3000"/>
    <n v="84000"/>
    <n v="84000"/>
    <n v="2"/>
    <x v="0"/>
    <n v="17.2"/>
    <n v="2"/>
    <x v="2"/>
    <s v="東中野駅"/>
    <n v="9"/>
    <n v="13"/>
    <n v="144436.73000000001"/>
    <n v="77692.34"/>
    <n v="648"/>
    <n v="1071"/>
    <s v="10-20"/>
    <x v="0"/>
  </r>
  <r>
    <s v="https://suumo.jp/chintai/jnc_000104474385/?bc=100486327418"/>
    <s v="ルミエール中野一丁目"/>
    <s v="東京都中野区中野１"/>
    <n v="82000"/>
    <n v="3000"/>
    <n v="82000"/>
    <n v="82000"/>
    <n v="3"/>
    <x v="0"/>
    <n v="15.33"/>
    <n v="2"/>
    <x v="2"/>
    <s v="東中野駅"/>
    <n v="9"/>
    <n v="13"/>
    <n v="144436.73000000001"/>
    <n v="77692.34"/>
    <n v="648"/>
    <n v="1071"/>
    <s v="10-20"/>
    <x v="0"/>
  </r>
  <r>
    <s v="https://suumo.jp/chintai/jnc_000103563641/?bc=100484587719"/>
    <s v="ルミエール中野一丁目"/>
    <s v="東京都中野区中野１"/>
    <n v="83000"/>
    <n v="3000"/>
    <n v="83000"/>
    <n v="83000"/>
    <n v="3"/>
    <x v="0"/>
    <n v="17.71"/>
    <n v="2"/>
    <x v="2"/>
    <s v="東中野駅"/>
    <n v="9"/>
    <n v="13"/>
    <n v="144436.73000000001"/>
    <n v="77692.34"/>
    <n v="648"/>
    <n v="1071"/>
    <s v="10-20"/>
    <x v="0"/>
  </r>
  <r>
    <s v="https://suumo.jp/chintai/jnc_000104229977/?bc=100484466117"/>
    <s v="中野一丁目コーポ"/>
    <s v="東京都中野区中野１"/>
    <n v="75000"/>
    <n v="5000"/>
    <n v="75000"/>
    <n v="75000"/>
    <n v="2"/>
    <x v="0"/>
    <n v="16.52"/>
    <n v="22"/>
    <x v="0"/>
    <s v="東中野駅"/>
    <n v="7"/>
    <n v="12.67"/>
    <n v="144436.73000000001"/>
    <n v="77692.34"/>
    <n v="648"/>
    <n v="1071"/>
    <s v="10-20"/>
    <x v="1"/>
  </r>
  <r>
    <s v="https://suumo.jp/chintai/jnc_000103977445/?bc=100482602361"/>
    <s v="中野区上高田1丁目新築PJ"/>
    <s v="東京都中野区上高田１"/>
    <n v="122000"/>
    <n v="3000"/>
    <n v="122000"/>
    <n v="122000"/>
    <n v="2"/>
    <x v="0"/>
    <n v="37.869999999999997"/>
    <n v="0"/>
    <x v="0"/>
    <s v="東中野駅"/>
    <n v="12"/>
    <n v="13.67"/>
    <n v="144436.73000000001"/>
    <n v="77692.34"/>
    <n v="648"/>
    <n v="1071"/>
    <s v="30-40"/>
    <x v="6"/>
  </r>
  <r>
    <s v="https://suumo.jp/chintai/jnc_000100203679/?bc=100448683180"/>
    <s v="大庭ビル"/>
    <s v="東京都新宿区北新宿４"/>
    <n v="52000"/>
    <n v="2000"/>
    <n v="52000"/>
    <n v="52000"/>
    <n v="2"/>
    <x v="0"/>
    <n v="12.21"/>
    <n v="46"/>
    <x v="4"/>
    <s v="東中野駅"/>
    <n v="10"/>
    <n v="12.33"/>
    <n v="144436.73000000001"/>
    <n v="77692.34"/>
    <n v="648"/>
    <n v="1071"/>
    <s v="10-20"/>
    <x v="3"/>
  </r>
  <r>
    <s v="https://suumo.jp/chintai/jnc_000103969608/?bc=100448613685"/>
    <s v="山内ビル"/>
    <s v="東京都中野区東中野４"/>
    <n v="87500"/>
    <m/>
    <n v="87500"/>
    <n v="87500"/>
    <n v="5"/>
    <x v="0"/>
    <n v="23.41"/>
    <n v="47"/>
    <x v="10"/>
    <s v="東中野駅"/>
    <n v="1"/>
    <n v="7"/>
    <n v="144436.73000000001"/>
    <n v="77692.34"/>
    <n v="648"/>
    <n v="1071"/>
    <s v="20-30"/>
    <x v="3"/>
  </r>
  <r>
    <s v="https://suumo.jp/chintai/jnc_000094247670/?bc=100474962365"/>
    <s v="東中野ガーデン"/>
    <s v="東京都中野区東中野４"/>
    <n v="75000"/>
    <m/>
    <n v="75000"/>
    <n v="75000"/>
    <n v="1"/>
    <x v="0"/>
    <n v="21.06"/>
    <n v="40"/>
    <x v="2"/>
    <s v="東中野駅"/>
    <n v="3"/>
    <n v="3.67"/>
    <n v="144436.73000000001"/>
    <n v="77692.34"/>
    <n v="648"/>
    <n v="1071"/>
    <s v="20-30"/>
    <x v="4"/>
  </r>
  <r>
    <s v="https://suumo.jp/chintai/jnc_000103969584/?bc=100482268809"/>
    <s v="都営大江戸線 東中野駅 2階建 新築"/>
    <s v="東京都中野区上高田１"/>
    <n v="122000"/>
    <n v="3000"/>
    <n v="122000"/>
    <n v="122000"/>
    <n v="2"/>
    <x v="0"/>
    <n v="37.869999999999997"/>
    <n v="0"/>
    <x v="0"/>
    <s v="東中野駅"/>
    <n v="12"/>
    <n v="13.67"/>
    <n v="144436.73000000001"/>
    <n v="77692.34"/>
    <n v="648"/>
    <n v="1071"/>
    <s v="30-40"/>
    <x v="6"/>
  </r>
  <r>
    <s v="https://suumo.jp/chintai/jnc_000103611157/?bc=100483561552"/>
    <s v="都営大江戸線 東中野駅 2階建 築1年"/>
    <s v="東京都中野区東中野２"/>
    <n v="113000"/>
    <n v="10000"/>
    <n v="113000"/>
    <n v="113000"/>
    <n v="1"/>
    <x v="0"/>
    <n v="24.47"/>
    <n v="1"/>
    <x v="0"/>
    <s v="東中野駅"/>
    <n v="7"/>
    <n v="11.33"/>
    <n v="144436.73000000001"/>
    <n v="77692.34"/>
    <n v="648"/>
    <n v="1071"/>
    <s v="20-30"/>
    <x v="0"/>
  </r>
  <r>
    <s v="https://suumo.jp/chintai/jnc_000103611158/?bc=100478967133"/>
    <s v="都営大江戸線 東中野駅 2階建 築1年"/>
    <s v="東京都中野区東中野２"/>
    <n v="120000"/>
    <n v="10000"/>
    <n v="120000"/>
    <n v="120000"/>
    <n v="2"/>
    <x v="0"/>
    <n v="24.47"/>
    <n v="1"/>
    <x v="0"/>
    <s v="東中野駅"/>
    <n v="7"/>
    <n v="11.33"/>
    <n v="144436.73000000001"/>
    <n v="77692.34"/>
    <n v="648"/>
    <n v="1071"/>
    <s v="20-30"/>
    <x v="0"/>
  </r>
  <r>
    <s v="https://suumo.jp/chintai/jnc_000104357245/?bc=100475439539"/>
    <s v="都営大江戸線 東中野駅 2階建 築99年以上"/>
    <s v="東京都中野区東中野２"/>
    <n v="51000"/>
    <n v="3000"/>
    <m/>
    <m/>
    <n v="2"/>
    <x v="0"/>
    <n v="11.13"/>
    <n v="99"/>
    <x v="0"/>
    <s v="東中野駅"/>
    <n v="6"/>
    <n v="9.67"/>
    <n v="144436.73000000001"/>
    <n v="77692.34"/>
    <n v="648"/>
    <n v="1071"/>
    <s v="10-20"/>
    <x v="2"/>
  </r>
  <r>
    <s v="https://suumo.jp/chintai/jnc_000102307782/?bc=100468284432"/>
    <s v="都営大江戸線 東中野駅 7階建 築25年"/>
    <s v="東京都中野区東中野１"/>
    <n v="231000"/>
    <m/>
    <n v="462000"/>
    <n v="231000"/>
    <n v="3"/>
    <x v="0"/>
    <n v="49.06"/>
    <n v="25"/>
    <x v="10"/>
    <s v="東中野駅"/>
    <n v="1"/>
    <n v="6.67"/>
    <n v="144436.73000000001"/>
    <n v="77692.34"/>
    <n v="648"/>
    <n v="1071"/>
    <s v="40-50"/>
    <x v="1"/>
  </r>
  <r>
    <s v="https://suumo.jp/chintai/jnc_000104356688/?bc=100485364072"/>
    <s v="黒澤マンション"/>
    <s v="東京都新宿区北新宿４"/>
    <n v="62000"/>
    <m/>
    <n v="62000"/>
    <m/>
    <n v="2"/>
    <x v="0"/>
    <n v="14.43"/>
    <n v="20"/>
    <x v="0"/>
    <s v="東中野駅"/>
    <n v="9"/>
    <n v="10.33"/>
    <n v="144436.73000000001"/>
    <n v="77692.34"/>
    <n v="648"/>
    <n v="1071"/>
    <s v="10-20"/>
    <x v="7"/>
  </r>
  <r>
    <s v="https://suumo.jp/chintai/jnc_000104406901/?bc=100485403226"/>
    <s v="ＢＰナカノ"/>
    <s v="東京都中野区上高田１"/>
    <n v="82000"/>
    <n v="3000"/>
    <m/>
    <m/>
    <n v="2"/>
    <x v="0"/>
    <n v="16.079999999999998"/>
    <n v="3"/>
    <x v="0"/>
    <s v="東中野駅"/>
    <n v="10"/>
    <n v="10"/>
    <n v="144436.73000000001"/>
    <n v="77692.34"/>
    <n v="648"/>
    <n v="1071"/>
    <s v="10-20"/>
    <x v="0"/>
  </r>
  <r>
    <s v="https://suumo.jp/chintai/jnc_000092128308/?bc=100483082913"/>
    <s v="Ｃｏｎ　Ｂｒｉｏ東中野"/>
    <s v="東京都中野区上高田１"/>
    <n v="70000"/>
    <n v="4000"/>
    <m/>
    <n v="70000"/>
    <n v="1"/>
    <x v="0"/>
    <n v="13.58"/>
    <n v="2"/>
    <x v="0"/>
    <s v="東中野駅"/>
    <n v="9"/>
    <n v="11"/>
    <n v="144436.73000000001"/>
    <n v="77692.34"/>
    <n v="648"/>
    <n v="1071"/>
    <s v="10-20"/>
    <x v="0"/>
  </r>
  <r>
    <s v="https://suumo.jp/chintai/jnc_000104179496/?bc=100483455871"/>
    <s v="ＩＳＭ東中野"/>
    <s v="東京都中野区東中野２"/>
    <n v="147000"/>
    <n v="20000"/>
    <m/>
    <m/>
    <n v="6"/>
    <x v="0"/>
    <n v="28.99"/>
    <n v="25"/>
    <x v="9"/>
    <s v="東中野駅"/>
    <n v="2"/>
    <n v="5.33"/>
    <n v="144436.73000000001"/>
    <n v="77692.34"/>
    <n v="648"/>
    <n v="1071"/>
    <s v="20-30"/>
    <x v="1"/>
  </r>
  <r>
    <s v="https://suumo.jp/chintai/jnc_000102875074/?bc=100473397830"/>
    <s v="ＩＳＭ東中野"/>
    <s v="東京都中野区東中野２"/>
    <n v="149000"/>
    <n v="9000"/>
    <n v="149000"/>
    <m/>
    <n v="6"/>
    <x v="0"/>
    <n v="28.99"/>
    <n v="25"/>
    <x v="9"/>
    <s v="東中野駅"/>
    <n v="2"/>
    <n v="5.33"/>
    <n v="144436.73000000001"/>
    <n v="77692.34"/>
    <n v="648"/>
    <n v="1071"/>
    <s v="20-30"/>
    <x v="1"/>
  </r>
  <r>
    <s v="https://suumo.jp/chintai/jnc_000103046085/?bc=100474548062"/>
    <s v="ＪＲ中央線 東中野駅 15階建 築16年"/>
    <s v="東京都中野区東中野１"/>
    <n v="149000"/>
    <n v="8000"/>
    <n v="149000"/>
    <n v="149000"/>
    <n v="3"/>
    <x v="0"/>
    <n v="30.3"/>
    <n v="16"/>
    <x v="11"/>
    <s v="東中野駅"/>
    <n v="1"/>
    <n v="8.33"/>
    <n v="144436.73000000001"/>
    <n v="77692.34"/>
    <n v="648"/>
    <n v="1071"/>
    <s v="30-40"/>
    <x v="7"/>
  </r>
  <r>
    <s v="https://suumo.jp/chintai/jnc_000103994050/?bc=100482151187"/>
    <s v="ＪＲ中央線 東中野駅 2階建 築10年"/>
    <s v="東京都新宿区北新宿４"/>
    <n v="75000"/>
    <n v="4000"/>
    <m/>
    <m/>
    <n v="1"/>
    <x v="0"/>
    <n v="7.61"/>
    <n v="10"/>
    <x v="0"/>
    <s v="東中野駅"/>
    <n v="6"/>
    <n v="9.67"/>
    <n v="144436.73000000001"/>
    <n v="77692.34"/>
    <n v="648"/>
    <n v="1071"/>
    <s v="&lt;10"/>
    <x v="0"/>
  </r>
  <r>
    <s v="https://suumo.jp/chintai/jnc_000102307783/?bc=100473971718"/>
    <s v="ＪＲ中央線 東中野駅 2階建 築13年"/>
    <s v="東京都中野区東中野２"/>
    <n v="62000"/>
    <n v="3000"/>
    <m/>
    <m/>
    <n v="1"/>
    <x v="0"/>
    <n v="9.82"/>
    <n v="13"/>
    <x v="0"/>
    <s v="東中野駅"/>
    <n v="3"/>
    <n v="8.33"/>
    <n v="144436.73000000001"/>
    <n v="77692.34"/>
    <n v="648"/>
    <n v="1071"/>
    <s v="&lt;10"/>
    <x v="7"/>
  </r>
  <r>
    <s v="https://suumo.jp/chintai/jnc_000103792596/?bc=100481015967"/>
    <s v="ＪＲ中央線 東中野駅 2階建 築1年"/>
    <s v="東京都中野区東中野１"/>
    <n v="105000"/>
    <n v="2000"/>
    <n v="105000"/>
    <n v="105000"/>
    <n v="1"/>
    <x v="0"/>
    <n v="20.48"/>
    <n v="1"/>
    <x v="0"/>
    <s v="東中野駅"/>
    <n v="4"/>
    <n v="9.67"/>
    <n v="144436.73000000001"/>
    <n v="77692.34"/>
    <n v="648"/>
    <n v="1071"/>
    <s v="20-30"/>
    <x v="0"/>
  </r>
  <r>
    <s v="https://suumo.jp/chintai/jnc_000104326820/?bc=100484740748"/>
    <s v="ＪＲ中央線 東中野駅 2階建 築20年"/>
    <s v="東京都中野区東中野３"/>
    <n v="52000"/>
    <n v="3000"/>
    <m/>
    <m/>
    <n v="1"/>
    <x v="0"/>
    <n v="12.1"/>
    <n v="20"/>
    <x v="0"/>
    <s v="東中野駅"/>
    <n v="4"/>
    <n v="11.67"/>
    <n v="144436.73000000001"/>
    <n v="77692.34"/>
    <n v="648"/>
    <n v="1071"/>
    <s v="10-20"/>
    <x v="7"/>
  </r>
  <r>
    <s v="https://suumo.jp/chintai/jnc_000103994799/?bc=100482055588"/>
    <s v="ＪＲ中央線 東中野駅 2階建 築33年"/>
    <s v="東京都中野区東中野２"/>
    <n v="58000"/>
    <n v="2000"/>
    <n v="58000"/>
    <n v="58000"/>
    <n v="2"/>
    <x v="0"/>
    <n v="13.11"/>
    <n v="33"/>
    <x v="0"/>
    <s v="東中野駅"/>
    <n v="10"/>
    <n v="13"/>
    <n v="144436.73000000001"/>
    <n v="77692.34"/>
    <n v="648"/>
    <n v="1071"/>
    <s v="10-20"/>
    <x v="4"/>
  </r>
  <r>
    <s v="https://suumo.jp/chintai/jnc_000103743375/?bc=100480196759"/>
    <s v="ＪＲ中央線 東中野駅 2階建 築35年"/>
    <s v="東京都中野区東中野１"/>
    <n v="55000"/>
    <m/>
    <n v="55000"/>
    <n v="55000"/>
    <n v="1"/>
    <x v="0"/>
    <n v="18"/>
    <n v="35"/>
    <x v="0"/>
    <s v="東中野駅"/>
    <n v="5"/>
    <n v="9.33"/>
    <n v="144436.73000000001"/>
    <n v="77692.34"/>
    <n v="648"/>
    <n v="1071"/>
    <s v="10-20"/>
    <x v="4"/>
  </r>
  <r>
    <s v="https://suumo.jp/chintai/jnc_000104335119/?bc=100484815824"/>
    <s v="ＪＲ中央線 東中野駅 2階建 築35年"/>
    <s v="東京都中野区東中野１"/>
    <n v="53000"/>
    <n v="3000"/>
    <m/>
    <m/>
    <n v="1"/>
    <x v="0"/>
    <n v="9.7200000000000006"/>
    <n v="35"/>
    <x v="0"/>
    <s v="東中野駅"/>
    <n v="7"/>
    <n v="12"/>
    <n v="144436.73000000001"/>
    <n v="77692.34"/>
    <n v="648"/>
    <n v="1071"/>
    <s v="&lt;10"/>
    <x v="4"/>
  </r>
  <r>
    <s v="https://suumo.jp/chintai/jnc_000103821807/?bc=100355207341"/>
    <s v="ＪＲ中央線 東中野駅 2階建 築38年"/>
    <s v="東京都中野区上高田１"/>
    <n v="80000"/>
    <n v="1000"/>
    <n v="40000"/>
    <n v="80000"/>
    <n v="1"/>
    <x v="0"/>
    <n v="42"/>
    <n v="38"/>
    <x v="0"/>
    <s v="東中野駅"/>
    <n v="10"/>
    <n v="11.67"/>
    <n v="144436.73000000001"/>
    <n v="77692.34"/>
    <n v="648"/>
    <n v="1071"/>
    <s v="40-50"/>
    <x v="4"/>
  </r>
  <r>
    <s v="https://suumo.jp/chintai/jnc_000101301440/?bc=100290906623"/>
    <s v="ＪＲ中央線 東中野駅 2階建 築38年"/>
    <s v="東京都新宿区北新宿３"/>
    <n v="58000"/>
    <m/>
    <n v="58000"/>
    <m/>
    <n v="2"/>
    <x v="0"/>
    <n v="17"/>
    <n v="38"/>
    <x v="0"/>
    <s v="東中野駅"/>
    <n v="6"/>
    <n v="11.33"/>
    <n v="144436.73000000001"/>
    <n v="77692.34"/>
    <n v="648"/>
    <n v="1071"/>
    <s v="10-20"/>
    <x v="4"/>
  </r>
  <r>
    <s v="https://suumo.jp/chintai/jnc_000068962161/?bc=100474625530"/>
    <s v="ＪＲ中央線 東中野駅 2階建 築42年"/>
    <s v="東京都中野区東中野１"/>
    <n v="52000"/>
    <m/>
    <n v="52000"/>
    <n v="52000"/>
    <n v="1"/>
    <x v="0"/>
    <n v="17.5"/>
    <n v="42"/>
    <x v="0"/>
    <s v="東中野駅"/>
    <n v="6"/>
    <n v="10.67"/>
    <n v="144436.73000000001"/>
    <n v="77692.34"/>
    <n v="648"/>
    <n v="1071"/>
    <s v="10-20"/>
    <x v="3"/>
  </r>
  <r>
    <s v="https://suumo.jp/chintai/jnc_000102771882/?bc=100472299660"/>
    <s v="ＪＲ中央線 東中野駅 2階建 築60年"/>
    <s v="東京都中野区上高田１"/>
    <n v="75000"/>
    <n v="4000"/>
    <n v="75000"/>
    <n v="75000"/>
    <n v="1"/>
    <x v="0"/>
    <n v="18.420000000000002"/>
    <n v="60"/>
    <x v="0"/>
    <s v="東中野駅"/>
    <n v="8"/>
    <n v="8.33"/>
    <n v="144436.73000000001"/>
    <n v="77692.34"/>
    <n v="648"/>
    <n v="1071"/>
    <s v="10-20"/>
    <x v="5"/>
  </r>
  <r>
    <s v="https://suumo.jp/chintai/jnc_000102464194/?bc=100469785339"/>
    <s v="ＪＲ中央線 東中野駅 2階建 築60年"/>
    <s v="東京都中野区上高田１"/>
    <n v="75000"/>
    <n v="4000"/>
    <n v="75000"/>
    <n v="75000"/>
    <n v="1"/>
    <x v="0"/>
    <n v="20.34"/>
    <n v="60"/>
    <x v="0"/>
    <s v="東中野駅"/>
    <n v="8"/>
    <n v="8.33"/>
    <n v="144436.73000000001"/>
    <n v="77692.34"/>
    <n v="648"/>
    <n v="1071"/>
    <s v="20-30"/>
    <x v="5"/>
  </r>
  <r>
    <s v="https://suumo.jp/chintai/jnc_000104170655/?bc=100485654244"/>
    <s v="ＪＲ中央線 東中野駅 2階建 築6年"/>
    <s v="東京都中野区東中野１"/>
    <n v="100000"/>
    <n v="4000"/>
    <n v="100000"/>
    <m/>
    <n v="1"/>
    <x v="0"/>
    <n v="11.61"/>
    <n v="6"/>
    <x v="0"/>
    <s v="東中野駅"/>
    <n v="4"/>
    <n v="8.33"/>
    <n v="144436.73000000001"/>
    <n v="77692.34"/>
    <n v="648"/>
    <n v="1071"/>
    <s v="10-20"/>
    <x v="0"/>
  </r>
  <r>
    <s v="https://suumo.jp/chintai/jnc_000104373088/?bc=100485658367"/>
    <s v="ＪＲ中央線 東中野駅 2階建 築7年"/>
    <s v="東京都中野区東中野３"/>
    <n v="89000"/>
    <n v="6000"/>
    <m/>
    <n v="89000"/>
    <n v="2"/>
    <x v="0"/>
    <n v="15.2"/>
    <n v="7"/>
    <x v="0"/>
    <s v="東中野駅"/>
    <n v="5"/>
    <n v="6"/>
    <n v="144436.73000000001"/>
    <n v="77692.34"/>
    <n v="648"/>
    <n v="1071"/>
    <s v="10-20"/>
    <x v="0"/>
  </r>
  <r>
    <s v="https://suumo.jp/chintai/jnc_000101208512/?bc=100475369433"/>
    <s v="ＪＲ中央線 東中野駅 2階建 築8年"/>
    <s v="東京都中野区中野６"/>
    <n v="64000"/>
    <n v="4000"/>
    <m/>
    <m/>
    <n v="1"/>
    <x v="0"/>
    <n v="10.8"/>
    <n v="8"/>
    <x v="0"/>
    <s v="東中野駅"/>
    <n v="8"/>
    <n v="11"/>
    <n v="144436.73000000001"/>
    <n v="77692.34"/>
    <n v="648"/>
    <n v="1071"/>
    <s v="10-20"/>
    <x v="0"/>
  </r>
  <r>
    <s v="https://suumo.jp/chintai/jnc_000101390438/?bc=100460743926"/>
    <s v="ＪＲ中央線 東中野駅 2階建 築8年"/>
    <s v="東京都中野区中野６"/>
    <n v="65000"/>
    <n v="4000"/>
    <m/>
    <n v="65000"/>
    <n v="1"/>
    <x v="0"/>
    <n v="10.8"/>
    <n v="8"/>
    <x v="0"/>
    <s v="東中野駅"/>
    <n v="8"/>
    <n v="11"/>
    <n v="144436.73000000001"/>
    <n v="77692.34"/>
    <n v="648"/>
    <n v="1071"/>
    <s v="10-20"/>
    <x v="0"/>
  </r>
  <r>
    <s v="https://suumo.jp/chintai/jnc_000098165391/?bc=100434751217"/>
    <s v="ＪＲ中央線 東中野駅 2階建 築8年"/>
    <s v="東京都中野区中野６"/>
    <n v="68000"/>
    <n v="4000"/>
    <m/>
    <n v="68000"/>
    <n v="1"/>
    <x v="0"/>
    <n v="12.87"/>
    <n v="8"/>
    <x v="0"/>
    <s v="東中野駅"/>
    <n v="8"/>
    <n v="11"/>
    <n v="144436.73000000001"/>
    <n v="77692.34"/>
    <n v="648"/>
    <n v="1071"/>
    <s v="10-20"/>
    <x v="0"/>
  </r>
  <r>
    <s v="https://suumo.jp/chintai/jnc_000104235631/?bc=100479046228"/>
    <s v="ＪＲ中央線 東中野駅 2階建 築9年"/>
    <s v="東京都新宿区北新宿４"/>
    <n v="70000"/>
    <n v="4000"/>
    <m/>
    <m/>
    <n v="1"/>
    <x v="0"/>
    <n v="10.07"/>
    <n v="9"/>
    <x v="0"/>
    <s v="東中野駅"/>
    <n v="10"/>
    <n v="11.33"/>
    <n v="144436.73000000001"/>
    <n v="77692.34"/>
    <n v="648"/>
    <n v="1071"/>
    <s v="10-20"/>
    <x v="0"/>
  </r>
  <r>
    <s v="https://suumo.jp/chintai/jnc_000103199046/?bc=100476693440"/>
    <s v="ＪＲ中央線 東中野駅 3階建 築11年"/>
    <s v="東京都中野区東中野１"/>
    <n v="112000"/>
    <n v="4000"/>
    <n v="112000"/>
    <n v="168000"/>
    <n v="3"/>
    <x v="0"/>
    <n v="28.76"/>
    <n v="11"/>
    <x v="2"/>
    <s v="東中野駅"/>
    <n v="3"/>
    <n v="5.33"/>
    <n v="144436.73000000001"/>
    <n v="77692.34"/>
    <n v="648"/>
    <n v="1071"/>
    <s v="20-30"/>
    <x v="7"/>
  </r>
  <r>
    <s v="https://suumo.jp/chintai/jnc_000102771930/?bc=100474632403"/>
    <s v="ＪＲ中央線 東中野駅 3階建 築36年"/>
    <s v="東京都中野区東中野３"/>
    <n v="72000"/>
    <n v="3000"/>
    <n v="72000"/>
    <n v="72000"/>
    <n v="3"/>
    <x v="0"/>
    <n v="18"/>
    <n v="36"/>
    <x v="2"/>
    <s v="東中野駅"/>
    <n v="3"/>
    <n v="5.33"/>
    <n v="144436.73000000001"/>
    <n v="77692.34"/>
    <n v="648"/>
    <n v="1071"/>
    <s v="10-20"/>
    <x v="4"/>
  </r>
  <r>
    <s v="https://suumo.jp/chintai/jnc_000104317183/?bc=100484658908"/>
    <s v="ＪＲ中央線 東中野駅 3階建 築37年"/>
    <s v="東京都中野区上高田１"/>
    <n v="57000"/>
    <n v="2000"/>
    <n v="57000"/>
    <n v="57000"/>
    <n v="1"/>
    <x v="0"/>
    <n v="14.8"/>
    <n v="37"/>
    <x v="2"/>
    <s v="東中野駅"/>
    <n v="10"/>
    <n v="11"/>
    <n v="144436.73000000001"/>
    <n v="77692.34"/>
    <n v="648"/>
    <n v="1071"/>
    <s v="10-20"/>
    <x v="4"/>
  </r>
  <r>
    <s v="https://suumo.jp/chintai/jnc_000103977496/?bc=100483179566"/>
    <s v="ＪＲ中央線 東中野駅 3階建 築8年"/>
    <s v="東京都中野区東中野１"/>
    <n v="67000"/>
    <n v="3000"/>
    <n v="67000"/>
    <n v="67000"/>
    <n v="1"/>
    <x v="0"/>
    <n v="15.27"/>
    <n v="8"/>
    <x v="2"/>
    <s v="東中野駅"/>
    <n v="6"/>
    <n v="10.33"/>
    <n v="144436.73000000001"/>
    <n v="77692.34"/>
    <n v="648"/>
    <n v="1071"/>
    <s v="10-20"/>
    <x v="0"/>
  </r>
  <r>
    <s v="https://suumo.jp/chintai/jnc_000103625938/?bc=100482730133"/>
    <s v="ＪＲ中央線 東中野駅 4階建 築2年"/>
    <s v="東京都中野区東中野１"/>
    <n v="104000"/>
    <n v="15000"/>
    <n v="104000"/>
    <n v="104000"/>
    <n v="2"/>
    <x v="0"/>
    <n v="20.6"/>
    <n v="2"/>
    <x v="4"/>
    <s v="東中野駅"/>
    <n v="5"/>
    <n v="10"/>
    <n v="144436.73000000001"/>
    <n v="77692.34"/>
    <n v="648"/>
    <n v="1071"/>
    <s v="20-30"/>
    <x v="0"/>
  </r>
  <r>
    <s v="https://suumo.jp/chintai/jnc_000103578607/?bc=100479525839"/>
    <s v="ＪＲ中央線 東中野駅 4階建 築38年"/>
    <s v="東京都新宿区北新宿３"/>
    <n v="74000"/>
    <n v="3000"/>
    <m/>
    <n v="74000"/>
    <n v="1"/>
    <x v="0"/>
    <n v="20.14"/>
    <n v="38"/>
    <x v="4"/>
    <s v="東中野駅"/>
    <n v="6"/>
    <n v="9"/>
    <n v="144436.73000000001"/>
    <n v="77692.34"/>
    <n v="648"/>
    <n v="1071"/>
    <s v="20-30"/>
    <x v="4"/>
  </r>
  <r>
    <s v="https://suumo.jp/chintai/jnc_000104295026/?bc=100484536967"/>
    <s v="ＪＲ中央線 東中野駅 4階建 築47年"/>
    <s v="東京都新宿区北新宿４"/>
    <n v="82000"/>
    <n v="2000"/>
    <n v="82000"/>
    <n v="82000"/>
    <n v="2"/>
    <x v="0"/>
    <n v="21"/>
    <n v="47"/>
    <x v="4"/>
    <s v="東中野駅"/>
    <n v="7"/>
    <n v="13"/>
    <n v="144436.73000000001"/>
    <n v="77692.34"/>
    <n v="648"/>
    <n v="1071"/>
    <s v="20-30"/>
    <x v="3"/>
  </r>
  <r>
    <s v="https://suumo.jp/chintai/jnc_000103316412/?bc=100477951434"/>
    <s v="ＪＲ中央線 東中野駅 5階建 築30年"/>
    <s v="東京都新宿区北新宿４"/>
    <n v="60000"/>
    <n v="7200"/>
    <n v="60000"/>
    <m/>
    <n v="1"/>
    <x v="0"/>
    <n v="16.41"/>
    <n v="30"/>
    <x v="7"/>
    <s v="東中野駅"/>
    <n v="5"/>
    <n v="9.33"/>
    <n v="144436.73000000001"/>
    <n v="77692.34"/>
    <n v="648"/>
    <n v="1071"/>
    <s v="10-20"/>
    <x v="1"/>
  </r>
  <r>
    <s v="https://suumo.jp/chintai/jnc_000104363178/?bc=100485035890"/>
    <s v="ＪＲ中央線 東中野駅 5階建 築48年"/>
    <s v="東京都新宿区北新宿４"/>
    <n v="85000"/>
    <m/>
    <n v="85000"/>
    <m/>
    <n v="4"/>
    <x v="0"/>
    <n v="25.55"/>
    <n v="48"/>
    <x v="7"/>
    <s v="東中野駅"/>
    <n v="8"/>
    <n v="10"/>
    <n v="144436.73000000001"/>
    <n v="77692.34"/>
    <n v="648"/>
    <n v="1071"/>
    <s v="20-30"/>
    <x v="3"/>
  </r>
  <r>
    <s v="https://suumo.jp/chintai/jnc_000102813964/?bc=100472951869"/>
    <s v="ＪＲ中央線 東中野駅 7階建 築15年"/>
    <s v="東京都新宿区北新宿４"/>
    <n v="156000"/>
    <n v="10000"/>
    <n v="156000"/>
    <m/>
    <n v="6"/>
    <x v="0"/>
    <n v="33.6"/>
    <n v="15"/>
    <x v="10"/>
    <s v="東中野駅"/>
    <n v="8"/>
    <n v="10.33"/>
    <n v="144436.73000000001"/>
    <n v="77692.34"/>
    <n v="648"/>
    <n v="1071"/>
    <s v="30-40"/>
    <x v="7"/>
  </r>
  <r>
    <s v="https://suumo.jp/chintai/jnc_000104043941/?bc=100481346256"/>
    <s v="ＪＲ中央線 東中野駅 7階建 築28年"/>
    <s v="東京都新宿区北新宿４"/>
    <n v="78000"/>
    <n v="7000"/>
    <n v="78000"/>
    <n v="78000"/>
    <n v="4"/>
    <x v="0"/>
    <n v="17.36"/>
    <n v="28"/>
    <x v="10"/>
    <s v="東中野駅"/>
    <n v="6"/>
    <n v="13.33"/>
    <n v="144436.73000000001"/>
    <n v="77692.34"/>
    <n v="648"/>
    <n v="1071"/>
    <s v="10-20"/>
    <x v="1"/>
  </r>
  <r>
    <s v="https://suumo.jp/chintai/jnc_000031498317/?bc=100099658359"/>
    <s v="ＪＲ中央線 東中野駅 8階建 築53年"/>
    <s v="東京都中野区東中野１"/>
    <n v="65000"/>
    <n v="4000"/>
    <n v="65000"/>
    <n v="65000"/>
    <n v="4"/>
    <x v="0"/>
    <n v="23"/>
    <n v="53"/>
    <x v="9"/>
    <s v="東中野駅"/>
    <n v="3"/>
    <n v="8"/>
    <n v="144436.73000000001"/>
    <n v="77692.34"/>
    <n v="648"/>
    <n v="1071"/>
    <s v="20-30"/>
    <x v="5"/>
  </r>
  <r>
    <s v="https://suumo.jp/chintai/jnc_000099954331/?bc=100293996443"/>
    <s v="ＪＲ中央線 東中野駅 地下1地上4階建 築40年"/>
    <s v="東京都中野区東中野１"/>
    <n v="62500"/>
    <n v="2500"/>
    <n v="62500"/>
    <n v="62500"/>
    <n v="4"/>
    <x v="0"/>
    <n v="18"/>
    <n v="40"/>
    <x v="7"/>
    <s v="東中野駅"/>
    <n v="6"/>
    <n v="11.33"/>
    <n v="144436.73000000001"/>
    <n v="77692.34"/>
    <n v="648"/>
    <n v="1071"/>
    <s v="10-20"/>
    <x v="4"/>
  </r>
  <r>
    <s v="https://suumo.jp/chintai/jnc_000102799128/?bc=100478518826"/>
    <s v="ＪＲ中央線 東中野駅 地下1地上4階建 築43年"/>
    <s v="東京都新宿区北新宿４"/>
    <n v="70000"/>
    <n v="5000"/>
    <n v="70000"/>
    <n v="70000"/>
    <n v="2"/>
    <x v="0"/>
    <n v="12.03"/>
    <n v="43"/>
    <x v="7"/>
    <s v="東中野駅"/>
    <n v="6"/>
    <n v="8"/>
    <n v="144436.73000000001"/>
    <n v="77692.34"/>
    <n v="648"/>
    <n v="1071"/>
    <s v="10-20"/>
    <x v="3"/>
  </r>
  <r>
    <s v="https://suumo.jp/chintai/jnc_000104442916/?bc=100485609671"/>
    <s v="ＪＲ総武線 東中野駅 3階建 築20年"/>
    <s v="東京都中野区東中野４"/>
    <n v="119000"/>
    <n v="5000"/>
    <n v="119000"/>
    <n v="119000"/>
    <n v="2"/>
    <x v="0"/>
    <n v="27.32"/>
    <n v="20"/>
    <x v="2"/>
    <s v="東中野駅"/>
    <n v="3"/>
    <n v="6"/>
    <n v="144436.73000000001"/>
    <n v="77692.34"/>
    <n v="648"/>
    <n v="1071"/>
    <s v="20-30"/>
    <x v="7"/>
  </r>
  <r>
    <s v="https://suumo.jp/chintai/jnc_000104454987/?bc=100485740811"/>
    <s v="ＪＲ総武線 東中野駅 8階建 築25年"/>
    <s v="東京都中野区東中野２"/>
    <n v="147000"/>
    <n v="20000"/>
    <m/>
    <m/>
    <n v="6"/>
    <x v="0"/>
    <n v="28.99"/>
    <n v="25"/>
    <x v="9"/>
    <s v="東中野駅"/>
    <n v="2"/>
    <n v="5"/>
    <n v="144436.73000000001"/>
    <n v="77692.34"/>
    <n v="648"/>
    <n v="1071"/>
    <s v="20-30"/>
    <x v="1"/>
  </r>
  <r>
    <s v="https://suumo.jp/chintai/jnc_000104169948/?bc=100483380859"/>
    <s v="ＬＩＥＢＥ東中野"/>
    <s v="東京都新宿区北新宿４"/>
    <n v="92000"/>
    <m/>
    <n v="92000"/>
    <n v="92000"/>
    <n v="3"/>
    <x v="0"/>
    <n v="22.26"/>
    <n v="10"/>
    <x v="4"/>
    <s v="東中野駅"/>
    <n v="9"/>
    <n v="10.33"/>
    <n v="144436.73000000001"/>
    <n v="77692.34"/>
    <n v="648"/>
    <n v="1071"/>
    <s v="20-30"/>
    <x v="0"/>
  </r>
  <r>
    <s v="https://suumo.jp/chintai/jnc_000103447960/?bc=100477397467"/>
    <s v="マンションロックハイツ"/>
    <s v="東京都中野区東中野４"/>
    <n v="195000"/>
    <m/>
    <n v="195000"/>
    <n v="195000"/>
    <n v="8"/>
    <x v="5"/>
    <n v="56.33"/>
    <n v="56"/>
    <x v="6"/>
    <s v="東中野駅"/>
    <n v="3"/>
    <n v="3.67"/>
    <n v="144436.73000000001"/>
    <n v="207063.41"/>
    <n v="648"/>
    <n v="41"/>
    <s v="50-60"/>
    <x v="5"/>
  </r>
  <r>
    <s v="https://suumo.jp/chintai/jnc_000103424498/?bc=100482929905"/>
    <s v="マンションロックハイツ"/>
    <s v="東京都中野区東中野４"/>
    <n v="190000"/>
    <m/>
    <n v="190000"/>
    <n v="190000"/>
    <n v="8"/>
    <x v="5"/>
    <n v="56.33"/>
    <n v="56"/>
    <x v="6"/>
    <s v="東中野駅"/>
    <n v="3"/>
    <n v="3.67"/>
    <n v="144436.73000000001"/>
    <n v="207063.41"/>
    <n v="648"/>
    <n v="41"/>
    <s v="50-60"/>
    <x v="5"/>
  </r>
  <r>
    <s v="https://suumo.jp/chintai/jnc_000104464966/?bc=100485854879"/>
    <s v="ワンルーフレジデンス中野"/>
    <s v="東京都中野区中野６"/>
    <n v="316000"/>
    <n v="15000"/>
    <n v="316000"/>
    <m/>
    <n v="3"/>
    <x v="5"/>
    <n v="53.11"/>
    <n v="0"/>
    <x v="1"/>
    <s v="東中野駅"/>
    <n v="11"/>
    <n v="11"/>
    <n v="144436.73000000001"/>
    <n v="207063.41"/>
    <n v="648"/>
    <n v="41"/>
    <s v="50-60"/>
    <x v="6"/>
  </r>
  <r>
    <s v="https://suumo.jp/chintai/jnc_000100594966/?bc=100483268307"/>
    <s v="ジ・アパートメントヒルトップ中野"/>
    <s v="東京都中野区中野６"/>
    <n v="163000"/>
    <n v="5000"/>
    <n v="163000"/>
    <n v="163000"/>
    <n v="4"/>
    <x v="6"/>
    <n v="48.67"/>
    <n v="25"/>
    <x v="3"/>
    <s v="東中野駅"/>
    <n v="11"/>
    <n v="12"/>
    <n v="144436.73000000001"/>
    <n v="141491.45000000001"/>
    <n v="648"/>
    <n v="117"/>
    <s v="40-50"/>
    <x v="1"/>
  </r>
  <r>
    <s v="https://suumo.jp/chintai/jnc_000102344565/?bc=100459529846"/>
    <s v="プライムアーバン新宿落合"/>
    <s v="東京都新宿区北新宿４"/>
    <n v="173000"/>
    <n v="10000"/>
    <n v="173000"/>
    <n v="173000"/>
    <n v="1"/>
    <x v="6"/>
    <n v="41.04"/>
    <n v="31"/>
    <x v="7"/>
    <s v="東中野駅"/>
    <n v="9"/>
    <n v="11.67"/>
    <n v="144436.73000000001"/>
    <n v="141491.45000000001"/>
    <n v="648"/>
    <n v="117"/>
    <s v="40-50"/>
    <x v="4"/>
  </r>
  <r>
    <s v="https://suumo.jp/chintai/jnc_000103610291/?bc=100482930540"/>
    <s v="プライムアーバン新宿落合"/>
    <s v="東京都新宿区北新宿４"/>
    <n v="177000"/>
    <n v="10000"/>
    <n v="177000"/>
    <n v="177000"/>
    <n v="1"/>
    <x v="6"/>
    <n v="45.94"/>
    <n v="31"/>
    <x v="7"/>
    <s v="東中野駅"/>
    <n v="9"/>
    <n v="11.67"/>
    <n v="144436.73000000001"/>
    <n v="141491.45000000001"/>
    <n v="648"/>
    <n v="117"/>
    <s v="40-50"/>
    <x v="4"/>
  </r>
  <r>
    <s v="https://suumo.jp/chintai/jnc_000103150940/?bc=100485991423"/>
    <s v="ベルメゾン"/>
    <s v="東京都中野区東中野２"/>
    <n v="125000"/>
    <n v="3000"/>
    <n v="125000"/>
    <n v="125000"/>
    <n v="1"/>
    <x v="6"/>
    <n v="45.94"/>
    <n v="34"/>
    <x v="0"/>
    <s v="東中野駅"/>
    <n v="8"/>
    <n v="11"/>
    <n v="144436.73000000001"/>
    <n v="141491.45000000001"/>
    <n v="648"/>
    <n v="117"/>
    <s v="40-50"/>
    <x v="4"/>
  </r>
  <r>
    <s v="https://suumo.jp/chintai/jnc_000103380304/?bc=100478561849"/>
    <s v="ホワイトハイムタナカ"/>
    <s v="東京都中野区東中野３"/>
    <n v="128000"/>
    <n v="2000"/>
    <n v="128000"/>
    <n v="128000"/>
    <n v="1"/>
    <x v="6"/>
    <n v="36.700000000000003"/>
    <n v="34"/>
    <x v="0"/>
    <s v="東中野駅"/>
    <n v="5"/>
    <n v="5.33"/>
    <n v="144436.73000000001"/>
    <n v="141491.45000000001"/>
    <n v="648"/>
    <n v="117"/>
    <s v="30-40"/>
    <x v="4"/>
  </r>
  <r>
    <s v="https://suumo.jp/chintai/jnc_000102936164/?bc=100482765982"/>
    <s v="マンションアクティーフ"/>
    <s v="東京都新宿区北新宿３"/>
    <n v="170000"/>
    <n v="5000"/>
    <n v="170000"/>
    <n v="170000"/>
    <n v="3"/>
    <x v="6"/>
    <n v="35.049999999999997"/>
    <n v="38"/>
    <x v="4"/>
    <s v="東中野駅"/>
    <n v="7"/>
    <n v="11"/>
    <n v="144436.73000000001"/>
    <n v="141491.45000000001"/>
    <n v="648"/>
    <n v="117"/>
    <s v="30-40"/>
    <x v="4"/>
  </r>
  <r>
    <s v="https://suumo.jp/chintai/jnc_000104442913/?bc=100485673991"/>
    <s v="都営大江戸線 東中野駅 4階建 築25年"/>
    <s v="東京都中野区東中野１"/>
    <n v="160000"/>
    <n v="5000"/>
    <n v="160000"/>
    <n v="160000"/>
    <n v="4"/>
    <x v="6"/>
    <n v="44.02"/>
    <n v="25"/>
    <x v="4"/>
    <s v="東中野駅"/>
    <n v="4"/>
    <n v="9.33"/>
    <n v="144436.73000000001"/>
    <n v="141491.45000000001"/>
    <n v="648"/>
    <n v="117"/>
    <s v="40-50"/>
    <x v="1"/>
  </r>
  <r>
    <s v="https://suumo.jp/chintai/jnc_000103169872/?bc=100475994458"/>
    <s v="ＪＲ中央線 東中野駅 1階建 築34年"/>
    <s v="東京都中野区東中野２"/>
    <n v="125000"/>
    <n v="3000"/>
    <n v="125000"/>
    <n v="125000"/>
    <n v="1"/>
    <x v="6"/>
    <n v="45.94"/>
    <n v="34"/>
    <x v="16"/>
    <s v="東中野駅"/>
    <n v="8"/>
    <n v="11"/>
    <n v="144436.73000000001"/>
    <n v="141491.45000000001"/>
    <n v="648"/>
    <n v="117"/>
    <s v="40-50"/>
    <x v="4"/>
  </r>
  <r>
    <s v="https://suumo.jp/chintai/jnc_000103316411/?bc=100473336971"/>
    <s v="ＪＲ総武線 東中野駅 5階建 築31年"/>
    <s v="東京都新宿区北新宿４"/>
    <n v="167000"/>
    <n v="10000"/>
    <n v="167000"/>
    <n v="167000"/>
    <n v="1"/>
    <x v="6"/>
    <n v="45.94"/>
    <n v="31"/>
    <x v="7"/>
    <s v="東中野駅"/>
    <n v="9"/>
    <n v="11.67"/>
    <n v="144436.73000000001"/>
    <n v="141491.45000000001"/>
    <n v="648"/>
    <n v="117"/>
    <s v="40-50"/>
    <x v="4"/>
  </r>
  <r>
    <s v="https://suumo.jp/chintai/jnc_000103373363/?bc=100476928683"/>
    <s v="ＪＲ総武線 東中野駅 6階建 築53年"/>
    <s v="東京都中野区東中野１"/>
    <n v="139000"/>
    <n v="6000"/>
    <n v="139000"/>
    <n v="139000"/>
    <n v="3"/>
    <x v="6"/>
    <n v="42"/>
    <n v="53"/>
    <x v="5"/>
    <s v="東中野駅"/>
    <n v="9"/>
    <n v="11.33"/>
    <n v="144436.73000000001"/>
    <n v="141491.45000000001"/>
    <n v="648"/>
    <n v="117"/>
    <s v="40-50"/>
    <x v="5"/>
  </r>
  <r>
    <s v="https://suumo.jp/chintai/jnc_000102103491/?bc=100470041083"/>
    <s v="THE PREMIUM CUBE G 東中野"/>
    <s v="東京都中野区東中野５"/>
    <n v="138000"/>
    <n v="15000"/>
    <n v="138000"/>
    <n v="138000"/>
    <n v="1"/>
    <x v="7"/>
    <n v="25.98"/>
    <n v="3"/>
    <x v="7"/>
    <s v="東中野駅"/>
    <n v="7"/>
    <n v="9"/>
    <n v="144436.73000000001"/>
    <n v="117441.44"/>
    <n v="648"/>
    <n v="111"/>
    <s v="20-30"/>
    <x v="0"/>
  </r>
  <r>
    <s v="https://suumo.jp/chintai/jnc_000104163316/?bc=100484350877"/>
    <s v="THE PREMIUM CUBE G 東中野"/>
    <s v="東京都中野区東中野５"/>
    <n v="140000"/>
    <n v="15000"/>
    <n v="140000"/>
    <n v="140000"/>
    <n v="1"/>
    <x v="7"/>
    <n v="25.98"/>
    <n v="3"/>
    <x v="7"/>
    <s v="東中野駅"/>
    <n v="7"/>
    <n v="9"/>
    <n v="144436.73000000001"/>
    <n v="117441.44"/>
    <n v="648"/>
    <n v="111"/>
    <s v="20-30"/>
    <x v="0"/>
  </r>
  <r>
    <s v="https://suumo.jp/chintai/jnc_000103307458/?bc=100485190419"/>
    <s v="THE PREMIUM CUBE G 東中野"/>
    <s v="東京都中野区東中野５"/>
    <n v="140000"/>
    <n v="15000"/>
    <n v="140000"/>
    <n v="140000"/>
    <n v="3"/>
    <x v="7"/>
    <n v="25.5"/>
    <n v="3"/>
    <x v="7"/>
    <s v="東中野駅"/>
    <n v="7"/>
    <n v="9"/>
    <n v="144436.73000000001"/>
    <n v="117441.44"/>
    <n v="648"/>
    <n v="111"/>
    <s v="20-30"/>
    <x v="0"/>
  </r>
  <r>
    <s v="https://suumo.jp/chintai/jnc_000104510147/?bc=100486160779"/>
    <s v="THE PREMIUM CUBE G 東中野"/>
    <s v="東京都中野区東中野５"/>
    <n v="150000"/>
    <n v="15000"/>
    <n v="150000"/>
    <n v="150000"/>
    <n v="4"/>
    <x v="7"/>
    <n v="25.9"/>
    <n v="3"/>
    <x v="7"/>
    <s v="東中野駅"/>
    <n v="7"/>
    <n v="9"/>
    <n v="144436.73000000001"/>
    <n v="117441.44"/>
    <n v="648"/>
    <n v="111"/>
    <s v="20-30"/>
    <x v="0"/>
  </r>
  <r>
    <s v="https://suumo.jp/chintai/jnc_000103625553/?bc=100479689061"/>
    <s v="グランヴァン東中野III"/>
    <s v="東京都新宿区北新宿４"/>
    <n v="105000"/>
    <n v="20000"/>
    <m/>
    <n v="157500"/>
    <n v="4"/>
    <x v="7"/>
    <n v="32.86"/>
    <n v="22"/>
    <x v="6"/>
    <s v="東中野駅"/>
    <n v="7"/>
    <n v="10"/>
    <n v="144436.73000000001"/>
    <n v="117441.44"/>
    <n v="648"/>
    <n v="111"/>
    <s v="30-40"/>
    <x v="1"/>
  </r>
  <r>
    <s v="https://suumo.jp/chintai/jnc_000103727178/?bc=100483700494"/>
    <s v="コンフォリア・リヴ北新宿"/>
    <s v="東京都新宿区北新宿４"/>
    <n v="168000"/>
    <n v="10000"/>
    <n v="168000"/>
    <m/>
    <n v="4"/>
    <x v="7"/>
    <n v="30.24"/>
    <n v="2"/>
    <x v="13"/>
    <s v="東中野駅"/>
    <n v="9"/>
    <n v="12.33"/>
    <n v="144436.73000000001"/>
    <n v="117441.44"/>
    <n v="648"/>
    <n v="111"/>
    <s v="30-40"/>
    <x v="0"/>
  </r>
  <r>
    <s v="https://suumo.jp/chintai/jnc_000103244901/?bc=100485228482"/>
    <s v="コンフォリア・リヴ北新宿"/>
    <s v="東京都新宿区北新宿４"/>
    <n v="159000"/>
    <n v="10000"/>
    <n v="159000"/>
    <m/>
    <n v="5"/>
    <x v="7"/>
    <n v="25.36"/>
    <n v="2"/>
    <x v="13"/>
    <s v="東中野駅"/>
    <n v="9"/>
    <n v="12.33"/>
    <n v="144436.73000000001"/>
    <n v="117441.44"/>
    <n v="648"/>
    <n v="111"/>
    <s v="20-30"/>
    <x v="0"/>
  </r>
  <r>
    <s v="https://suumo.jp/chintai/jnc_000103727179/?bc=100485657223"/>
    <s v="コンフォリア・リヴ北新宿"/>
    <s v="東京都新宿区北新宿４"/>
    <n v="172000"/>
    <n v="10000"/>
    <n v="172000"/>
    <m/>
    <n v="8"/>
    <x v="7"/>
    <n v="30.24"/>
    <n v="2"/>
    <x v="13"/>
    <s v="東中野駅"/>
    <n v="9"/>
    <n v="12.33"/>
    <n v="144436.73000000001"/>
    <n v="117441.44"/>
    <n v="648"/>
    <n v="111"/>
    <s v="30-40"/>
    <x v="0"/>
  </r>
  <r>
    <s v="https://suumo.jp/chintai/jnc_000103244902/?bc=100479317273"/>
    <s v="コンフォリア・リヴ北新宿"/>
    <s v="東京都新宿区北新宿４"/>
    <n v="167000"/>
    <n v="10000"/>
    <n v="167000"/>
    <m/>
    <n v="9"/>
    <x v="7"/>
    <n v="25.36"/>
    <n v="2"/>
    <x v="13"/>
    <s v="東中野駅"/>
    <n v="9"/>
    <n v="12.33"/>
    <n v="144436.73000000001"/>
    <n v="117441.44"/>
    <n v="648"/>
    <n v="111"/>
    <s v="20-30"/>
    <x v="0"/>
  </r>
  <r>
    <s v="https://suumo.jp/chintai/jnc_000104223002/?bc=100479747332"/>
    <s v="ザ・プレミアムキューブG東中野"/>
    <s v="東京都中野区東中野５"/>
    <n v="140000"/>
    <n v="15000"/>
    <n v="140000"/>
    <n v="140000"/>
    <n v="3"/>
    <x v="7"/>
    <n v="25.5"/>
    <n v="3"/>
    <x v="7"/>
    <s v="東中野駅"/>
    <n v="7"/>
    <n v="9.33"/>
    <n v="144436.73000000001"/>
    <n v="117441.44"/>
    <n v="648"/>
    <n v="111"/>
    <s v="20-30"/>
    <x v="0"/>
  </r>
  <r>
    <s v="https://suumo.jp/chintai/jnc_000104229464/?bc=100484750639"/>
    <s v="プライムアーバン新宿落合"/>
    <s v="東京都新宿区北新宿４"/>
    <n v="163000"/>
    <n v="10000"/>
    <n v="163000"/>
    <n v="163000"/>
    <n v="5"/>
    <x v="7"/>
    <n v="41.21"/>
    <n v="31"/>
    <x v="7"/>
    <s v="東中野駅"/>
    <n v="9"/>
    <n v="11.67"/>
    <n v="144436.73000000001"/>
    <n v="117441.44"/>
    <n v="648"/>
    <n v="111"/>
    <s v="40-50"/>
    <x v="4"/>
  </r>
  <r>
    <s v="https://suumo.jp/chintai/jnc_000104498673/?bc=100486118955"/>
    <s v="プライムアーバン新宿落合"/>
    <s v="東京都新宿区北新宿４"/>
    <n v="173000"/>
    <n v="10000"/>
    <n v="173000"/>
    <n v="173000"/>
    <n v="5"/>
    <x v="7"/>
    <n v="41.21"/>
    <n v="31"/>
    <x v="7"/>
    <s v="東中野駅"/>
    <n v="9"/>
    <n v="11.67"/>
    <n v="144436.73000000001"/>
    <n v="117441.44"/>
    <n v="648"/>
    <n v="111"/>
    <s v="40-50"/>
    <x v="4"/>
  </r>
  <r>
    <s v="https://suumo.jp/chintai/jnc_000103130104/?bc=100475157156"/>
    <s v="メゾン吉野"/>
    <s v="東京都中野区上高田１"/>
    <n v="75000"/>
    <n v="3000"/>
    <n v="75000"/>
    <m/>
    <n v="1"/>
    <x v="7"/>
    <n v="28.08"/>
    <n v="55"/>
    <x v="4"/>
    <s v="東中野駅"/>
    <n v="12"/>
    <n v="13"/>
    <n v="144436.73000000001"/>
    <n v="117441.44"/>
    <n v="648"/>
    <n v="111"/>
    <s v="20-30"/>
    <x v="5"/>
  </r>
  <r>
    <s v="https://suumo.jp/chintai/jnc_000101581643/?bc=100460839558"/>
    <s v="メゾン吉野"/>
    <s v="東京都中野区上高田１"/>
    <n v="79000"/>
    <n v="3000"/>
    <n v="79000"/>
    <m/>
    <n v="2"/>
    <x v="7"/>
    <n v="28.08"/>
    <n v="55"/>
    <x v="4"/>
    <s v="東中野駅"/>
    <n v="12"/>
    <n v="13"/>
    <n v="144436.73000000001"/>
    <n v="117441.44"/>
    <n v="648"/>
    <n v="111"/>
    <s v="20-30"/>
    <x v="5"/>
  </r>
  <r>
    <s v="https://suumo.jp/chintai/jnc_000103756330/?bc=100483191476"/>
    <s v="ＪＲ中央線 東中野駅 13階建 築2年"/>
    <s v="東京都新宿区北新宿４"/>
    <n v="168000"/>
    <n v="10000"/>
    <n v="168000"/>
    <m/>
    <n v="4"/>
    <x v="7"/>
    <n v="30.24"/>
    <n v="2"/>
    <x v="13"/>
    <s v="東中野駅"/>
    <n v="9"/>
    <n v="11.33"/>
    <n v="144436.73000000001"/>
    <n v="117441.44"/>
    <n v="648"/>
    <n v="111"/>
    <s v="30-40"/>
    <x v="0"/>
  </r>
  <r>
    <s v="https://suumo.jp/chintai/jnc_000103770562/?bc=100486347149"/>
    <s v="ＪＲ中央線 東中野駅 13階建 築2年"/>
    <s v="東京都新宿区北新宿４"/>
    <n v="172000"/>
    <n v="10000"/>
    <n v="172000"/>
    <m/>
    <n v="8"/>
    <x v="7"/>
    <n v="30.24"/>
    <n v="2"/>
    <x v="13"/>
    <s v="東中野駅"/>
    <n v="9"/>
    <n v="11.33"/>
    <n v="144436.73000000001"/>
    <n v="117441.44"/>
    <n v="648"/>
    <n v="111"/>
    <s v="30-40"/>
    <x v="0"/>
  </r>
  <r>
    <s v="https://suumo.jp/chintai/jnc_000103611154/?bc=100478983094"/>
    <s v="ＪＲ中央線 東中野駅 5階建 築50年"/>
    <s v="東京都中野区東中野１"/>
    <n v="87000"/>
    <n v="3000"/>
    <m/>
    <n v="87000"/>
    <n v="2"/>
    <x v="7"/>
    <n v="36"/>
    <n v="50"/>
    <x v="7"/>
    <s v="東中野駅"/>
    <n v="5"/>
    <n v="8"/>
    <n v="144436.73000000001"/>
    <n v="117441.44"/>
    <n v="648"/>
    <n v="111"/>
    <s v="30-40"/>
    <x v="3"/>
  </r>
  <r>
    <s v="https://suumo.jp/chintai/jnc_000102344566/?bc=100467636118"/>
    <s v="ＪＲ総武線 東中野駅 5階建 築31年"/>
    <s v="東京都新宿区北新宿４"/>
    <n v="173000"/>
    <n v="10000"/>
    <n v="173000"/>
    <n v="173000"/>
    <n v="1"/>
    <x v="7"/>
    <n v="41.04"/>
    <n v="31"/>
    <x v="7"/>
    <s v="東中野駅"/>
    <n v="9"/>
    <n v="11.67"/>
    <n v="144436.73000000001"/>
    <n v="117441.44"/>
    <n v="648"/>
    <n v="111"/>
    <s v="40-50"/>
    <x v="4"/>
  </r>
  <r>
    <s v="https://suumo.jp/chintai/jnc_000103513719/?bc=100478117880"/>
    <s v="ＪＲ総武線 東中野駅 5階建 築31年"/>
    <s v="東京都新宿区北新宿４"/>
    <n v="155000"/>
    <n v="10000"/>
    <n v="155000"/>
    <n v="155000"/>
    <n v="2"/>
    <x v="7"/>
    <n v="41.21"/>
    <n v="31"/>
    <x v="7"/>
    <s v="東中野駅"/>
    <n v="9"/>
    <n v="11.67"/>
    <n v="144436.73000000001"/>
    <n v="117441.44"/>
    <n v="648"/>
    <n v="111"/>
    <s v="40-50"/>
    <x v="4"/>
  </r>
  <r>
    <s v="https://suumo.jp/chintai/jnc_000104229466/?bc=100484082060"/>
    <s v="ＪＲ総武線 東中野駅 5階建 築31年"/>
    <s v="東京都新宿区北新宿４"/>
    <n v="163000"/>
    <n v="10000"/>
    <n v="163000"/>
    <n v="163000"/>
    <n v="5"/>
    <x v="7"/>
    <n v="41.21"/>
    <n v="31"/>
    <x v="7"/>
    <s v="東中野駅"/>
    <n v="9"/>
    <n v="11.67"/>
    <n v="144436.73000000001"/>
    <n v="117441.44"/>
    <n v="648"/>
    <n v="111"/>
    <s v="40-50"/>
    <x v="4"/>
  </r>
  <r>
    <s v="https://suumo.jp/chintai/jnc_000104531803/?bc=100484190003"/>
    <s v="ＪＲ総武線 東中野駅 5階建 築31年"/>
    <s v="東京都新宿区北新宿４"/>
    <n v="173000"/>
    <n v="10000"/>
    <n v="173000"/>
    <n v="173000"/>
    <n v="5"/>
    <x v="7"/>
    <n v="41.21"/>
    <n v="31"/>
    <x v="7"/>
    <s v="東中野駅"/>
    <n v="9"/>
    <n v="11.67"/>
    <n v="144436.73000000001"/>
    <n v="117441.44"/>
    <n v="648"/>
    <n v="111"/>
    <s v="40-50"/>
    <x v="4"/>
  </r>
  <r>
    <s v="https://suumo.jp/chintai/jnc_000103636252/?bc=100479193319"/>
    <s v="ＪＲ総武線 東中野駅 9階建 築23年"/>
    <s v="東京都新宿区北新宿４"/>
    <n v="105000"/>
    <n v="20000"/>
    <m/>
    <n v="157500"/>
    <n v="4"/>
    <x v="7"/>
    <n v="32.86"/>
    <n v="23"/>
    <x v="6"/>
    <s v="東中野駅"/>
    <n v="7"/>
    <n v="10.33"/>
    <n v="144436.73000000001"/>
    <n v="117441.44"/>
    <n v="648"/>
    <n v="111"/>
    <s v="30-40"/>
    <x v="1"/>
  </r>
  <r>
    <s v="https://suumo.jp/chintai/jnc_000102538462/?bc=100470498078"/>
    <s v="CREST COURT（クレストコート）東中野"/>
    <s v="東京都中野区東中野１"/>
    <n v="245000"/>
    <n v="20000"/>
    <n v="245000"/>
    <m/>
    <n v="3"/>
    <x v="8"/>
    <n v="43.65"/>
    <n v="0"/>
    <x v="3"/>
    <s v="東中野駅"/>
    <n v="3"/>
    <n v="9.67"/>
    <n v="144436.73000000001"/>
    <n v="232352.65"/>
    <n v="648"/>
    <n v="359"/>
    <s v="40-50"/>
    <x v="6"/>
  </r>
  <r>
    <s v="https://suumo.jp/chintai/jnc_000102538463/?bc=100470498077"/>
    <s v="CREST COURT（クレストコート）東中野"/>
    <s v="東京都中野区東中野１"/>
    <n v="240000"/>
    <n v="20000"/>
    <n v="240000"/>
    <m/>
    <n v="3"/>
    <x v="8"/>
    <n v="43.66"/>
    <n v="0"/>
    <x v="3"/>
    <s v="東中野駅"/>
    <n v="3"/>
    <n v="9.67"/>
    <n v="144436.73000000001"/>
    <n v="232352.65"/>
    <n v="648"/>
    <n v="359"/>
    <s v="40-50"/>
    <x v="6"/>
  </r>
  <r>
    <s v="https://suumo.jp/chintai/jnc_000104202940/?bc=100483791546"/>
    <s v="CREST COURT（クレストコート）東中野"/>
    <s v="東京都中野区東中野１"/>
    <n v="265000"/>
    <n v="20000"/>
    <n v="265000"/>
    <m/>
    <n v="9"/>
    <x v="8"/>
    <n v="43.65"/>
    <n v="0"/>
    <x v="3"/>
    <s v="東中野駅"/>
    <n v="3"/>
    <n v="9.67"/>
    <n v="144436.73000000001"/>
    <n v="232352.65"/>
    <n v="648"/>
    <n v="359"/>
    <s v="40-50"/>
    <x v="6"/>
  </r>
  <r>
    <s v="https://suumo.jp/chintai/jnc_000104499528/?bc=100481497254"/>
    <s v="LA MIA CASA 東中野"/>
    <s v="東京都中野区東中野１"/>
    <n v="272000"/>
    <n v="12000"/>
    <n v="272000"/>
    <n v="272000"/>
    <n v="5"/>
    <x v="8"/>
    <n v="53.38"/>
    <n v="7"/>
    <x v="7"/>
    <s v="東中野駅"/>
    <n v="2"/>
    <n v="7"/>
    <n v="144436.73000000001"/>
    <n v="232352.65"/>
    <n v="648"/>
    <n v="359"/>
    <s v="50-60"/>
    <x v="0"/>
  </r>
  <r>
    <s v="https://suumo.jp/chintai/jnc_000102633030/?bc=100437322405"/>
    <s v="L’s　residence東中野"/>
    <s v="東京都中野区東中野２"/>
    <n v="282000"/>
    <n v="12000"/>
    <n v="282000"/>
    <m/>
    <n v="2"/>
    <x v="8"/>
    <n v="63.2"/>
    <n v="1"/>
    <x v="2"/>
    <s v="東中野駅"/>
    <n v="7"/>
    <n v="10.33"/>
    <n v="144436.73000000001"/>
    <n v="232352.65"/>
    <n v="648"/>
    <n v="359"/>
    <s v="60-70"/>
    <x v="0"/>
  </r>
  <r>
    <s v="https://suumo.jp/chintai/jnc_000103987639/?bc=100482732518"/>
    <s v="L’s　residence東中野"/>
    <s v="東京都中野区東中野２"/>
    <n v="318000"/>
    <n v="12000"/>
    <n v="318000"/>
    <n v="318000"/>
    <n v="3"/>
    <x v="8"/>
    <n v="66.260000000000005"/>
    <n v="1"/>
    <x v="2"/>
    <s v="東中野駅"/>
    <n v="7"/>
    <n v="10.33"/>
    <n v="144436.73000000001"/>
    <n v="232352.65"/>
    <n v="648"/>
    <n v="359"/>
    <s v="60-70"/>
    <x v="0"/>
  </r>
  <r>
    <s v="https://suumo.jp/chintai/jnc_000100802110/?bc=100405487731"/>
    <s v="trias143"/>
    <s v="東京都中野区東中野１"/>
    <n v="255000"/>
    <n v="18000"/>
    <m/>
    <m/>
    <n v="2"/>
    <x v="8"/>
    <n v="58.48"/>
    <n v="2"/>
    <x v="4"/>
    <s v="東中野駅"/>
    <n v="5"/>
    <n v="7.33"/>
    <n v="144436.73000000001"/>
    <n v="232352.65"/>
    <n v="648"/>
    <n v="359"/>
    <s v="50-60"/>
    <x v="0"/>
  </r>
  <r>
    <s v="https://suumo.jp/chintai/jnc_000104464941/?bc=100479671732"/>
    <s v="アンソレイユもみじ山"/>
    <s v="東京都中野区上高田１"/>
    <n v="190500"/>
    <n v="4400"/>
    <m/>
    <n v="381000"/>
    <n v="1"/>
    <x v="8"/>
    <n v="50.47"/>
    <n v="0"/>
    <x v="0"/>
    <s v="東中野駅"/>
    <n v="13"/>
    <n v="13.67"/>
    <n v="144436.73000000001"/>
    <n v="232352.65"/>
    <n v="648"/>
    <n v="359"/>
    <s v="50-60"/>
    <x v="6"/>
  </r>
  <r>
    <s v="https://suumo.jp/chintai/jnc_000104464940/?bc=100479461128"/>
    <s v="アンソレイユもみじ山"/>
    <s v="東京都中野区上高田１"/>
    <n v="192500"/>
    <n v="4400"/>
    <m/>
    <n v="385000"/>
    <n v="1"/>
    <x v="8"/>
    <n v="50.47"/>
    <n v="0"/>
    <x v="0"/>
    <s v="東中野駅"/>
    <n v="13"/>
    <n v="13.67"/>
    <n v="144436.73000000001"/>
    <n v="232352.65"/>
    <n v="648"/>
    <n v="359"/>
    <s v="50-60"/>
    <x v="6"/>
  </r>
  <r>
    <s v="https://suumo.jp/chintai/jnc_000104464945/?bc=100479461121"/>
    <s v="アンソレイユもみじ山"/>
    <s v="東京都中野区上高田１"/>
    <n v="202500"/>
    <n v="4400"/>
    <m/>
    <n v="405000"/>
    <n v="2"/>
    <x v="8"/>
    <n v="56.26"/>
    <n v="0"/>
    <x v="0"/>
    <s v="東中野駅"/>
    <n v="13"/>
    <n v="13.67"/>
    <n v="144436.73000000001"/>
    <n v="232352.65"/>
    <n v="648"/>
    <n v="359"/>
    <s v="50-60"/>
    <x v="6"/>
  </r>
  <r>
    <s v="https://suumo.jp/chintai/jnc_000089638261/?bc=100482531184"/>
    <s v="クライムヒルズ"/>
    <s v="東京都中野区東中野１"/>
    <n v="173000"/>
    <n v="5000"/>
    <n v="173000"/>
    <n v="173000"/>
    <n v="2"/>
    <x v="8"/>
    <n v="50.31"/>
    <n v="37"/>
    <x v="0"/>
    <s v="東中野駅"/>
    <n v="6"/>
    <n v="9.67"/>
    <n v="144436.73000000001"/>
    <n v="232352.65"/>
    <n v="648"/>
    <n v="359"/>
    <s v="50-60"/>
    <x v="4"/>
  </r>
  <r>
    <s v="https://suumo.jp/chintai/jnc_000104442914/?bc=100485707531"/>
    <s v="クラッシィタワー東中野"/>
    <s v="東京都中野区東中野４"/>
    <n v="330000"/>
    <n v="30000"/>
    <n v="660000"/>
    <n v="330000"/>
    <n v="16"/>
    <x v="8"/>
    <n v="60.17"/>
    <n v="12"/>
    <x v="20"/>
    <s v="東中野駅"/>
    <n v="1"/>
    <n v="2.33"/>
    <n v="144436.73000000001"/>
    <n v="232352.65"/>
    <n v="648"/>
    <n v="359"/>
    <s v="60-70"/>
    <x v="7"/>
  </r>
  <r>
    <s v="https://suumo.jp/chintai/jnc_000104541599/?bc=100486363447"/>
    <s v="クラッシィタワー東中野"/>
    <s v="東京都中野区東中野４"/>
    <n v="315000"/>
    <m/>
    <n v="315000"/>
    <n v="315000"/>
    <n v="6"/>
    <x v="8"/>
    <n v="65.56"/>
    <n v="12"/>
    <x v="20"/>
    <s v="東中野駅"/>
    <n v="1"/>
    <n v="2.33"/>
    <n v="144436.73000000001"/>
    <n v="232352.65"/>
    <n v="648"/>
    <n v="359"/>
    <s v="60-70"/>
    <x v="7"/>
  </r>
  <r>
    <s v="https://suumo.jp/chintai/jnc_000103994792/?bc=100482120327"/>
    <s v="クレストコート東中野"/>
    <s v="東京都中野区東中野１"/>
    <n v="260000"/>
    <n v="20000"/>
    <n v="260000"/>
    <m/>
    <n v="10"/>
    <x v="8"/>
    <n v="43.66"/>
    <n v="0"/>
    <x v="3"/>
    <s v="東中野駅"/>
    <n v="4"/>
    <n v="9.33"/>
    <n v="144436.73000000001"/>
    <n v="232352.65"/>
    <n v="648"/>
    <n v="359"/>
    <s v="40-50"/>
    <x v="6"/>
  </r>
  <r>
    <s v="https://suumo.jp/chintai/jnc_000103994793/?bc=100485826896"/>
    <s v="クレストコート東中野"/>
    <s v="東京都中野区東中野１"/>
    <n v="270000"/>
    <n v="20000"/>
    <n v="270000"/>
    <m/>
    <n v="11"/>
    <x v="8"/>
    <n v="43.65"/>
    <n v="0"/>
    <x v="3"/>
    <s v="東中野駅"/>
    <n v="4"/>
    <n v="9.33"/>
    <n v="144436.73000000001"/>
    <n v="232352.65"/>
    <n v="648"/>
    <n v="359"/>
    <s v="40-50"/>
    <x v="6"/>
  </r>
  <r>
    <s v="https://suumo.jp/chintai/jnc_000103994796/?bc=100482466073"/>
    <s v="クレストコート東中野"/>
    <s v="東京都中野区東中野１"/>
    <n v="265000"/>
    <n v="20000"/>
    <n v="265000"/>
    <m/>
    <n v="11"/>
    <x v="8"/>
    <n v="43.66"/>
    <n v="0"/>
    <x v="3"/>
    <s v="東中野駅"/>
    <n v="4"/>
    <n v="9.33"/>
    <n v="144436.73000000001"/>
    <n v="232352.65"/>
    <n v="648"/>
    <n v="359"/>
    <s v="40-50"/>
    <x v="6"/>
  </r>
  <r>
    <s v="https://suumo.jp/chintai/jnc_000102538464/?bc=100480299817"/>
    <s v="クレストコート東中野"/>
    <s v="東京都中野区東中野１"/>
    <n v="245000"/>
    <n v="20000"/>
    <n v="245000"/>
    <m/>
    <n v="3"/>
    <x v="8"/>
    <n v="43.65"/>
    <n v="0"/>
    <x v="3"/>
    <s v="東中野駅"/>
    <n v="4"/>
    <n v="9.33"/>
    <n v="144436.73000000001"/>
    <n v="232352.65"/>
    <n v="648"/>
    <n v="359"/>
    <s v="40-50"/>
    <x v="6"/>
  </r>
  <r>
    <s v="https://suumo.jp/chintai/jnc_000100257759/?bc=100438662324"/>
    <s v="クレストコート東中野"/>
    <s v="東京都中野区東中野１"/>
    <n v="255000"/>
    <n v="20000"/>
    <n v="255000"/>
    <m/>
    <n v="4"/>
    <x v="8"/>
    <n v="43.65"/>
    <n v="0"/>
    <x v="3"/>
    <s v="東中野駅"/>
    <n v="4"/>
    <n v="9.33"/>
    <n v="144436.73000000001"/>
    <n v="232352.65"/>
    <n v="648"/>
    <n v="359"/>
    <s v="40-50"/>
    <x v="6"/>
  </r>
  <r>
    <s v="https://suumo.jp/chintai/jnc_000103018686/?bc=100450156230"/>
    <s v="クレストコート東中野"/>
    <s v="東京都中野区東中野１"/>
    <n v="245000"/>
    <n v="20000"/>
    <n v="245000"/>
    <m/>
    <n v="4"/>
    <x v="8"/>
    <n v="43.66"/>
    <n v="0"/>
    <x v="3"/>
    <s v="東中野駅"/>
    <n v="4"/>
    <n v="9.33"/>
    <n v="144436.73000000001"/>
    <n v="232352.65"/>
    <n v="648"/>
    <n v="359"/>
    <s v="40-50"/>
    <x v="6"/>
  </r>
  <r>
    <s v="https://suumo.jp/chintai/jnc_000100257761/?bc=100451387365"/>
    <s v="クレストコート東中野"/>
    <s v="東京都中野区東中野１"/>
    <n v="250000"/>
    <n v="20000"/>
    <n v="250000"/>
    <m/>
    <n v="4"/>
    <x v="8"/>
    <n v="43.66"/>
    <n v="0"/>
    <x v="3"/>
    <s v="東中野駅"/>
    <n v="4"/>
    <n v="9.33"/>
    <n v="144436.73000000001"/>
    <n v="232352.65"/>
    <n v="648"/>
    <n v="359"/>
    <s v="40-50"/>
    <x v="6"/>
  </r>
  <r>
    <s v="https://suumo.jp/chintai/jnc_000104241721/?bc=100484199822"/>
    <s v="クレストコート東中野"/>
    <s v="東京都中野区東中野１"/>
    <n v="260000"/>
    <n v="20000"/>
    <n v="260000"/>
    <m/>
    <n v="7"/>
    <x v="8"/>
    <n v="43.65"/>
    <n v="0"/>
    <x v="3"/>
    <s v="東中野駅"/>
    <n v="4"/>
    <n v="9.33"/>
    <n v="144436.73000000001"/>
    <n v="232352.65"/>
    <n v="648"/>
    <n v="359"/>
    <s v="40-50"/>
    <x v="6"/>
  </r>
  <r>
    <s v="https://suumo.jp/chintai/jnc_000102998318/?bc=100475281286"/>
    <s v="クレストコート東中野"/>
    <s v="東京都中野区東中野１"/>
    <n v="250000"/>
    <n v="20000"/>
    <n v="250000"/>
    <m/>
    <n v="7"/>
    <x v="8"/>
    <n v="43.66"/>
    <n v="0"/>
    <x v="3"/>
    <s v="東中野駅"/>
    <n v="4"/>
    <n v="9.33"/>
    <n v="144436.73000000001"/>
    <n v="232352.65"/>
    <n v="648"/>
    <n v="359"/>
    <s v="40-50"/>
    <x v="6"/>
  </r>
  <r>
    <s v="https://suumo.jp/chintai/jnc_000099589304/?bc=100444812881"/>
    <s v="クレストコート東中野"/>
    <s v="東京都中野区東中野１"/>
    <n v="230000"/>
    <n v="20000"/>
    <n v="230000"/>
    <m/>
    <n v="8"/>
    <x v="8"/>
    <n v="43.66"/>
    <n v="0"/>
    <x v="3"/>
    <s v="東中野駅"/>
    <n v="4"/>
    <n v="9.33"/>
    <n v="144436.73000000001"/>
    <n v="232352.65"/>
    <n v="648"/>
    <n v="359"/>
    <s v="40-50"/>
    <x v="6"/>
  </r>
  <r>
    <s v="https://suumo.jp/chintai/jnc_000100284065/?bc=100478115127"/>
    <s v="クレストコート東中野"/>
    <s v="東京都中野区東中野１"/>
    <n v="265000"/>
    <n v="20000"/>
    <n v="265000"/>
    <m/>
    <n v="9"/>
    <x v="8"/>
    <n v="43.65"/>
    <n v="0"/>
    <x v="3"/>
    <s v="東中野駅"/>
    <n v="4"/>
    <n v="9.33"/>
    <n v="144436.73000000001"/>
    <n v="232352.65"/>
    <n v="648"/>
    <n v="359"/>
    <s v="40-50"/>
    <x v="6"/>
  </r>
  <r>
    <s v="https://suumo.jp/chintai/jnc_000104117715/?bc=100482863404"/>
    <s v="サンウッド東中野"/>
    <s v="東京都中野区東中野１"/>
    <n v="243000"/>
    <n v="17000"/>
    <n v="243000"/>
    <n v="243000"/>
    <n v="7"/>
    <x v="8"/>
    <n v="53.96"/>
    <n v="11"/>
    <x v="12"/>
    <s v="東中野駅"/>
    <n v="1"/>
    <n v="8.67"/>
    <n v="144436.73000000001"/>
    <n v="232352.65"/>
    <n v="648"/>
    <n v="359"/>
    <s v="50-60"/>
    <x v="7"/>
  </r>
  <r>
    <s v="https://suumo.jp/chintai/jnc_000104519169/?bc=100486328320"/>
    <s v="ジ・アパートメントヒルトップ中野"/>
    <s v="東京都中野区中野６"/>
    <n v="175000"/>
    <n v="5000"/>
    <n v="175000"/>
    <n v="175000"/>
    <n v="10"/>
    <x v="8"/>
    <n v="51.02"/>
    <n v="25"/>
    <x v="3"/>
    <s v="東中野駅"/>
    <n v="11"/>
    <n v="12"/>
    <n v="144436.73000000001"/>
    <n v="232352.65"/>
    <n v="648"/>
    <n v="359"/>
    <s v="50-60"/>
    <x v="1"/>
  </r>
  <r>
    <s v="https://suumo.jp/chintai/jnc_000104335117/?bc=100485617209"/>
    <s v="ジ・アパートメントヒルトップ中野"/>
    <s v="東京都中野区中野６"/>
    <n v="168000"/>
    <n v="5000"/>
    <n v="168000"/>
    <n v="168000"/>
    <n v="4"/>
    <x v="8"/>
    <n v="48.67"/>
    <n v="25"/>
    <x v="3"/>
    <s v="東中野駅"/>
    <n v="11"/>
    <n v="12"/>
    <n v="144436.73000000001"/>
    <n v="232352.65"/>
    <n v="648"/>
    <n v="359"/>
    <s v="40-50"/>
    <x v="1"/>
  </r>
  <r>
    <s v="https://suumo.jp/chintai/jnc_000103947718/?bc=100463006619"/>
    <s v="ダイナフォート東中野"/>
    <s v="東京都中野区東中野４"/>
    <n v="200000"/>
    <m/>
    <n v="200000"/>
    <n v="200000"/>
    <n v="2"/>
    <x v="8"/>
    <n v="65.290000000000006"/>
    <n v="25"/>
    <x v="4"/>
    <s v="東中野駅"/>
    <n v="4"/>
    <n v="4.33"/>
    <n v="144436.73000000001"/>
    <n v="232352.65"/>
    <n v="648"/>
    <n v="359"/>
    <s v="60-70"/>
    <x v="1"/>
  </r>
  <r>
    <s v="https://suumo.jp/chintai/jnc_000103947718/?bc=100463006619"/>
    <s v="ダイナフォート東中野"/>
    <s v="東京都中野区東中野４"/>
    <n v="200000"/>
    <m/>
    <n v="200000"/>
    <n v="200000"/>
    <n v="3"/>
    <x v="8"/>
    <n v="65.290000000000006"/>
    <n v="25"/>
    <x v="4"/>
    <s v="東中野駅"/>
    <n v="4"/>
    <n v="4.33"/>
    <n v="144436.73000000001"/>
    <n v="232352.65"/>
    <n v="648"/>
    <n v="359"/>
    <s v="60-70"/>
    <x v="1"/>
  </r>
  <r>
    <s v="https://suumo.jp/chintai/jnc_000103947718/?bc=100463006619"/>
    <s v="ダイナフォート東中野"/>
    <s v="東京都中野区東中野４"/>
    <n v="200000"/>
    <m/>
    <n v="200000"/>
    <n v="200000"/>
    <n v="4"/>
    <x v="8"/>
    <n v="65.290000000000006"/>
    <n v="25"/>
    <x v="4"/>
    <s v="東中野駅"/>
    <n v="4"/>
    <n v="4.33"/>
    <n v="144436.73000000001"/>
    <n v="232352.65"/>
    <n v="648"/>
    <n v="359"/>
    <s v="60-70"/>
    <x v="1"/>
  </r>
  <r>
    <s v="https://suumo.jp/chintai/jnc_000102288111/?bc=100468066704"/>
    <s v="トゥールビヨン"/>
    <s v="東京都中野区東中野２"/>
    <n v="385000"/>
    <n v="15000"/>
    <n v="1155000"/>
    <m/>
    <n v="8"/>
    <x v="8"/>
    <n v="70.180000000000007"/>
    <n v="22"/>
    <x v="9"/>
    <s v="東中野駅"/>
    <n v="4"/>
    <n v="9"/>
    <n v="144436.73000000001"/>
    <n v="232352.65"/>
    <n v="648"/>
    <n v="359"/>
    <s v="70-80"/>
    <x v="1"/>
  </r>
  <r>
    <s v="https://suumo.jp/chintai/jnc_000104438129/?bc=100485824823"/>
    <s v="パークハビオ東中野"/>
    <s v="東京都中野区東中野１"/>
    <n v="300000"/>
    <n v="10000"/>
    <n v="300000"/>
    <n v="300000"/>
    <n v="13"/>
    <x v="8"/>
    <n v="56.18"/>
    <n v="16"/>
    <x v="18"/>
    <s v="東中野駅"/>
    <n v="1"/>
    <n v="7"/>
    <n v="144436.73000000001"/>
    <n v="232352.65"/>
    <n v="648"/>
    <n v="359"/>
    <s v="50-60"/>
    <x v="7"/>
  </r>
  <r>
    <s v="https://suumo.jp/chintai/jnc_000104326822/?bc=100485179059"/>
    <s v="ユニゾンタワー"/>
    <s v="東京都中野区東中野５"/>
    <n v="330000"/>
    <n v="15000"/>
    <n v="330000"/>
    <n v="495000"/>
    <n v="29"/>
    <x v="8"/>
    <n v="64.25"/>
    <n v="19"/>
    <x v="19"/>
    <s v="東中野駅"/>
    <n v="1"/>
    <n v="9"/>
    <n v="144436.73000000001"/>
    <n v="232352.65"/>
    <n v="648"/>
    <n v="359"/>
    <s v="60-70"/>
    <x v="7"/>
  </r>
  <r>
    <s v="https://suumo.jp/chintai/jnc_000104449863/?bc=100473947254"/>
    <s v="ユニゾンタワー"/>
    <s v="東京都中野区東中野５"/>
    <n v="310000"/>
    <n v="15000"/>
    <n v="310000"/>
    <n v="465000"/>
    <n v="30"/>
    <x v="8"/>
    <n v="64.7"/>
    <n v="19"/>
    <x v="19"/>
    <s v="東中野駅"/>
    <n v="1"/>
    <n v="9"/>
    <n v="144436.73000000001"/>
    <n v="232352.65"/>
    <n v="648"/>
    <n v="359"/>
    <s v="60-70"/>
    <x v="7"/>
  </r>
  <r>
    <s v="https://suumo.jp/chintai/jnc_000102825449/?bc=100472995319"/>
    <s v="ユニゾンタワー"/>
    <s v="東京都中野区東中野５"/>
    <n v="324000"/>
    <n v="15000"/>
    <n v="324000"/>
    <n v="486000"/>
    <n v="30"/>
    <x v="8"/>
    <n v="64.7"/>
    <n v="19"/>
    <x v="19"/>
    <s v="東中野駅"/>
    <n v="1"/>
    <n v="9"/>
    <n v="144436.73000000001"/>
    <n v="232352.65"/>
    <n v="648"/>
    <n v="359"/>
    <s v="60-70"/>
    <x v="7"/>
  </r>
  <r>
    <s v="https://suumo.jp/chintai/jnc_000102538458/?bc=100485138734"/>
    <s v="ラ・ミアカーサ東中野"/>
    <s v="東京都中野区東中野１"/>
    <n v="238000"/>
    <n v="12000"/>
    <n v="238000"/>
    <n v="238000"/>
    <n v="1"/>
    <x v="8"/>
    <n v="45.53"/>
    <n v="7"/>
    <x v="7"/>
    <s v="東中野駅"/>
    <n v="2"/>
    <n v="7"/>
    <n v="144436.73000000001"/>
    <n v="232352.65"/>
    <n v="648"/>
    <n v="359"/>
    <s v="40-50"/>
    <x v="0"/>
  </r>
  <r>
    <s v="https://suumo.jp/chintai/jnc_000103864700/?bc=100481651233"/>
    <s v="ラ・ミアカーサ東中野"/>
    <s v="東京都中野区東中野１"/>
    <n v="262000"/>
    <n v="12000"/>
    <n v="262000"/>
    <n v="262000"/>
    <n v="2"/>
    <x v="8"/>
    <n v="53.38"/>
    <n v="7"/>
    <x v="7"/>
    <s v="東中野駅"/>
    <n v="2"/>
    <n v="7"/>
    <n v="144436.73000000001"/>
    <n v="232352.65"/>
    <n v="648"/>
    <n v="359"/>
    <s v="50-60"/>
    <x v="0"/>
  </r>
  <r>
    <s v="https://suumo.jp/chintai/jnc_000104499529/?bc=100486204913"/>
    <s v="ラ・ミアカーサ東中野"/>
    <s v="東京都中野区東中野１"/>
    <n v="272000"/>
    <n v="12000"/>
    <n v="272000"/>
    <n v="272000"/>
    <n v="5"/>
    <x v="8"/>
    <n v="53.38"/>
    <n v="7"/>
    <x v="7"/>
    <s v="東中野駅"/>
    <n v="2"/>
    <n v="7"/>
    <n v="144436.73000000001"/>
    <n v="232352.65"/>
    <n v="648"/>
    <n v="359"/>
    <s v="50-60"/>
    <x v="0"/>
  </r>
  <r>
    <s v="https://suumo.jp/chintai/jnc_000104156767/?bc=100484938712"/>
    <s v="ワンルーフレジデンス中野"/>
    <s v="東京都中野区中野６"/>
    <n v="301000"/>
    <n v="15000"/>
    <n v="301000"/>
    <m/>
    <n v="3"/>
    <x v="8"/>
    <n v="53.11"/>
    <n v="0"/>
    <x v="1"/>
    <s v="東中野駅"/>
    <n v="11"/>
    <n v="11"/>
    <n v="144436.73000000001"/>
    <n v="232352.65"/>
    <n v="648"/>
    <n v="359"/>
    <s v="50-60"/>
    <x v="6"/>
  </r>
  <r>
    <s v="https://suumo.jp/chintai/jnc_000104156769/?bc=100483389200"/>
    <s v="ワンルーフレジデンス中野"/>
    <s v="東京都中野区中野６"/>
    <n v="254000"/>
    <n v="15000"/>
    <n v="254000"/>
    <m/>
    <n v="5"/>
    <x v="8"/>
    <n v="45.56"/>
    <n v="0"/>
    <x v="1"/>
    <s v="東中野駅"/>
    <n v="11"/>
    <n v="11"/>
    <n v="144436.73000000001"/>
    <n v="232352.65"/>
    <n v="648"/>
    <n v="359"/>
    <s v="40-50"/>
    <x v="6"/>
  </r>
  <r>
    <s v="https://suumo.jp/chintai/jnc_000104156774/?bc=100483389127"/>
    <s v="ワンルーフレジデンス中野"/>
    <s v="東京都中野区中野６"/>
    <n v="303000"/>
    <n v="15000"/>
    <n v="303000"/>
    <m/>
    <n v="5"/>
    <x v="8"/>
    <n v="53.11"/>
    <n v="0"/>
    <x v="1"/>
    <s v="東中野駅"/>
    <n v="11"/>
    <n v="11"/>
    <n v="144436.73000000001"/>
    <n v="232352.65"/>
    <n v="648"/>
    <n v="359"/>
    <s v="50-60"/>
    <x v="6"/>
  </r>
  <r>
    <s v="https://suumo.jp/chintai/jnc_000104156778/?bc=100483389137"/>
    <s v="ワンルーフレジデンス中野"/>
    <s v="東京都中野区中野６"/>
    <n v="305000"/>
    <n v="15000"/>
    <n v="305000"/>
    <m/>
    <n v="7"/>
    <x v="8"/>
    <n v="53.11"/>
    <n v="0"/>
    <x v="1"/>
    <s v="東中野駅"/>
    <n v="11"/>
    <n v="11"/>
    <n v="144436.73000000001"/>
    <n v="232352.65"/>
    <n v="648"/>
    <n v="359"/>
    <s v="50-60"/>
    <x v="6"/>
  </r>
  <r>
    <s v="https://suumo.jp/chintai/jnc_000103649644/?bc=100479370576"/>
    <s v="仮称　上高田1丁目"/>
    <s v="東京都中野区上高田１"/>
    <n v="182000"/>
    <m/>
    <n v="182000"/>
    <n v="182000"/>
    <n v="1"/>
    <x v="8"/>
    <n v="56.79"/>
    <n v="0"/>
    <x v="0"/>
    <s v="東中野駅"/>
    <n v="11"/>
    <n v="12.33"/>
    <n v="144436.73000000001"/>
    <n v="232352.65"/>
    <n v="648"/>
    <n v="359"/>
    <s v="50-60"/>
    <x v="6"/>
  </r>
  <r>
    <s v="https://suumo.jp/chintai/jnc_000103649644/?bc=100479370576"/>
    <s v="仮称　上高田1丁目"/>
    <s v="東京都中野区上高田１"/>
    <n v="182000"/>
    <m/>
    <n v="182000"/>
    <n v="182000"/>
    <n v="2"/>
    <x v="8"/>
    <n v="56.79"/>
    <n v="0"/>
    <x v="0"/>
    <s v="東中野駅"/>
    <n v="11"/>
    <n v="12.33"/>
    <n v="144436.73000000001"/>
    <n v="232352.65"/>
    <n v="648"/>
    <n v="359"/>
    <s v="50-60"/>
    <x v="6"/>
  </r>
  <r>
    <s v="https://suumo.jp/chintai/jnc_000103649645/?bc=100479430784"/>
    <s v="仮称　上高田1丁目"/>
    <s v="東京都中野区上高田１"/>
    <n v="184000"/>
    <m/>
    <n v="184000"/>
    <n v="184000"/>
    <n v="1"/>
    <x v="8"/>
    <n v="58.66"/>
    <n v="0"/>
    <x v="0"/>
    <s v="東中野駅"/>
    <n v="11"/>
    <n v="12.33"/>
    <n v="144436.73000000001"/>
    <n v="232352.65"/>
    <n v="648"/>
    <n v="359"/>
    <s v="50-60"/>
    <x v="6"/>
  </r>
  <r>
    <s v="https://suumo.jp/chintai/jnc_000103649645/?bc=100479430784"/>
    <s v="仮称　上高田1丁目"/>
    <s v="東京都中野区上高田１"/>
    <n v="184000"/>
    <m/>
    <n v="184000"/>
    <n v="184000"/>
    <n v="2"/>
    <x v="8"/>
    <n v="58.66"/>
    <n v="0"/>
    <x v="0"/>
    <s v="東中野駅"/>
    <n v="11"/>
    <n v="12.33"/>
    <n v="144436.73000000001"/>
    <n v="232352.65"/>
    <n v="648"/>
    <n v="359"/>
    <s v="50-60"/>
    <x v="6"/>
  </r>
  <r>
    <s v="https://suumo.jp/chintai/jnc_000104464946/?bc=100479325808"/>
    <s v="ＪＲ中央線 中野駅 2階建 新築"/>
    <s v="東京都中野区上高田１"/>
    <n v="190500"/>
    <n v="4400"/>
    <m/>
    <n v="381000"/>
    <n v="1"/>
    <x v="8"/>
    <n v="50.47"/>
    <n v="0"/>
    <x v="0"/>
    <s v="東中野駅"/>
    <n v="13"/>
    <n v="13.67"/>
    <n v="144436.73000000001"/>
    <n v="232352.65"/>
    <n v="648"/>
    <n v="359"/>
    <s v="50-60"/>
    <x v="6"/>
  </r>
  <r>
    <s v="https://suumo.jp/chintai/jnc_000104449859/?bc=100485929881"/>
    <s v="ＪＲ中央線 東中野駅 15階建 築16年"/>
    <s v="東京都中野区東中野１"/>
    <n v="300000"/>
    <n v="10000"/>
    <n v="300000"/>
    <n v="300000"/>
    <n v="13"/>
    <x v="8"/>
    <n v="56.18"/>
    <n v="16"/>
    <x v="11"/>
    <s v="東中野駅"/>
    <n v="1"/>
    <n v="8.33"/>
    <n v="144436.73000000001"/>
    <n v="232352.65"/>
    <n v="648"/>
    <n v="359"/>
    <s v="50-60"/>
    <x v="7"/>
  </r>
  <r>
    <s v="https://suumo.jp/chintai/jnc_000089708251/?bc=100482469058"/>
    <s v="ＪＲ中央線 東中野駅 2階建 築37年"/>
    <s v="東京都中野区東中野１"/>
    <n v="173000"/>
    <n v="5000"/>
    <n v="173000"/>
    <n v="173000"/>
    <n v="2"/>
    <x v="8"/>
    <n v="50.31"/>
    <n v="37"/>
    <x v="0"/>
    <s v="東中野駅"/>
    <n v="6"/>
    <n v="11"/>
    <n v="144436.73000000001"/>
    <n v="232352.65"/>
    <n v="648"/>
    <n v="359"/>
    <s v="50-60"/>
    <x v="4"/>
  </r>
  <r>
    <s v="https://suumo.jp/chintai/jnc_000104004000/?bc=100482099630"/>
    <s v="ＪＲ中央線 東中野駅 3階建 築1年"/>
    <s v="東京都中野区東中野２"/>
    <n v="318000"/>
    <n v="12000"/>
    <n v="318000"/>
    <n v="318000"/>
    <n v="3"/>
    <x v="8"/>
    <n v="66.260000000000005"/>
    <n v="1"/>
    <x v="2"/>
    <s v="東中野駅"/>
    <n v="8"/>
    <n v="11"/>
    <n v="144436.73000000001"/>
    <n v="232352.65"/>
    <n v="648"/>
    <n v="359"/>
    <s v="60-70"/>
    <x v="0"/>
  </r>
  <r>
    <s v="https://suumo.jp/chintai/jnc_000100813760/?bc=100462943269"/>
    <s v="ＪＲ中央線 東中野駅 3階建 築2年"/>
    <s v="東京都中野区東中野１"/>
    <n v="255000"/>
    <n v="18000"/>
    <m/>
    <m/>
    <n v="2"/>
    <x v="8"/>
    <n v="58.48"/>
    <n v="2"/>
    <x v="2"/>
    <s v="東中野駅"/>
    <n v="4"/>
    <n v="9.33"/>
    <n v="144436.73000000001"/>
    <n v="232352.65"/>
    <n v="648"/>
    <n v="359"/>
    <s v="50-60"/>
    <x v="0"/>
  </r>
  <r>
    <s v="https://suumo.jp/chintai/jnc_000102532621/?bc=100470463020"/>
    <s v="ＪＲ中央線 東中野駅 5階建 築7年"/>
    <s v="東京都中野区東中野１"/>
    <n v="238000"/>
    <n v="12000"/>
    <n v="238000"/>
    <n v="238000"/>
    <n v="1"/>
    <x v="8"/>
    <n v="45.53"/>
    <n v="7"/>
    <x v="7"/>
    <s v="東中野駅"/>
    <n v="3"/>
    <n v="7.67"/>
    <n v="144436.73000000001"/>
    <n v="232352.65"/>
    <n v="648"/>
    <n v="359"/>
    <s v="40-50"/>
    <x v="0"/>
  </r>
  <r>
    <s v="https://suumo.jp/chintai/jnc_000104525910/?bc=100486274217"/>
    <s v="ＪＲ中央線 東中野駅 5階建 築7年"/>
    <s v="東京都中野区東中野１"/>
    <n v="272000"/>
    <n v="12000"/>
    <n v="272000"/>
    <n v="272000"/>
    <n v="5"/>
    <x v="8"/>
    <n v="53.38"/>
    <n v="7"/>
    <x v="7"/>
    <s v="東中野駅"/>
    <n v="3"/>
    <n v="7.67"/>
    <n v="144436.73000000001"/>
    <n v="232352.65"/>
    <n v="648"/>
    <n v="359"/>
    <s v="50-60"/>
    <x v="0"/>
  </r>
  <r>
    <s v="https://suumo.jp/chintai/jnc_000103798535/?bc=100480601406"/>
    <s v="ＪＲ中央線 東中野駅 9階建 築8年"/>
    <s v="東京都中野区東中野２"/>
    <n v="220000"/>
    <n v="10000"/>
    <n v="220000"/>
    <n v="220000"/>
    <n v="3"/>
    <x v="8"/>
    <n v="41.7"/>
    <n v="8"/>
    <x v="6"/>
    <s v="東中野駅"/>
    <n v="7"/>
    <n v="9.67"/>
    <n v="144436.73000000001"/>
    <n v="232352.65"/>
    <n v="648"/>
    <n v="359"/>
    <s v="40-50"/>
    <x v="0"/>
  </r>
  <r>
    <s v="https://suumo.jp/chintai/jnc_000103798536/?bc=100480601410"/>
    <s v="ＪＲ中央線 東中野駅 9階建 築8年"/>
    <s v="東京都中野区東中野２"/>
    <n v="225000"/>
    <n v="10000"/>
    <n v="225000"/>
    <n v="225000"/>
    <n v="7"/>
    <x v="8"/>
    <n v="41.7"/>
    <n v="8"/>
    <x v="6"/>
    <s v="東中野駅"/>
    <n v="7"/>
    <n v="9.67"/>
    <n v="144436.73000000001"/>
    <n v="232352.65"/>
    <n v="648"/>
    <n v="359"/>
    <s v="40-50"/>
    <x v="0"/>
  </r>
  <r>
    <s v="https://suumo.jp/chintai/jnc_000104326823/?bc=100484945645"/>
    <s v="ＪＲ中央線 東中野駅 地下2地上31階建 築19年"/>
    <s v="東京都中野区東中野５"/>
    <n v="330000"/>
    <n v="15000"/>
    <n v="330000"/>
    <n v="495000"/>
    <n v="29"/>
    <x v="8"/>
    <n v="64.25"/>
    <n v="19"/>
    <x v="19"/>
    <s v="東中野駅"/>
    <n v="1"/>
    <n v="9"/>
    <n v="144436.73000000001"/>
    <n v="232352.65"/>
    <n v="648"/>
    <n v="359"/>
    <s v="60-70"/>
    <x v="7"/>
  </r>
  <r>
    <s v="https://suumo.jp/chintai/jnc_000104454991/?bc=100485607316"/>
    <s v="ＪＲ中央線 東中野駅 地下2地上31階建 築19年"/>
    <s v="東京都中野区東中野５"/>
    <n v="310000"/>
    <n v="15000"/>
    <n v="310000"/>
    <n v="465000"/>
    <n v="30"/>
    <x v="8"/>
    <n v="64.7"/>
    <n v="19"/>
    <x v="19"/>
    <s v="東中野駅"/>
    <n v="1"/>
    <n v="4.67"/>
    <n v="144436.73000000001"/>
    <n v="232352.65"/>
    <n v="648"/>
    <n v="359"/>
    <s v="60-70"/>
    <x v="7"/>
  </r>
  <r>
    <s v="https://suumo.jp/chintai/jnc_000102825450/?bc=100485754390"/>
    <s v="ＪＲ中央線 東中野駅 地下2地上31階建 築19年"/>
    <s v="東京都中野区東中野５"/>
    <n v="324000"/>
    <n v="15000"/>
    <n v="324000"/>
    <n v="486000"/>
    <n v="30"/>
    <x v="8"/>
    <n v="64.7"/>
    <n v="19"/>
    <x v="19"/>
    <s v="東中野駅"/>
    <n v="1"/>
    <n v="9"/>
    <n v="144436.73000000001"/>
    <n v="232352.65"/>
    <n v="648"/>
    <n v="359"/>
    <s v="60-70"/>
    <x v="7"/>
  </r>
  <r>
    <s v="https://suumo.jp/chintai/jnc_000104156799/?bc=100484366603"/>
    <s v="ＪＲ総武線 東中野駅 12階建 築1年"/>
    <s v="東京都中野区東中野１"/>
    <n v="260000"/>
    <n v="20000"/>
    <n v="260000"/>
    <m/>
    <n v="10"/>
    <x v="8"/>
    <n v="43.66"/>
    <n v="1"/>
    <x v="3"/>
    <s v="東中野駅"/>
    <n v="3"/>
    <n v="9.33"/>
    <n v="144436.73000000001"/>
    <n v="232352.65"/>
    <n v="648"/>
    <n v="359"/>
    <s v="40-50"/>
    <x v="0"/>
  </r>
  <r>
    <s v="https://suumo.jp/chintai/jnc_000104156800/?bc=100484366687"/>
    <s v="ＪＲ総武線 東中野駅 12階建 築1年"/>
    <s v="東京都中野区東中野１"/>
    <n v="270000"/>
    <n v="20000"/>
    <n v="270000"/>
    <m/>
    <n v="11"/>
    <x v="8"/>
    <n v="43.65"/>
    <n v="1"/>
    <x v="3"/>
    <s v="東中野駅"/>
    <n v="3"/>
    <n v="9.33"/>
    <n v="144436.73000000001"/>
    <n v="232352.65"/>
    <n v="648"/>
    <n v="359"/>
    <s v="40-50"/>
    <x v="0"/>
  </r>
  <r>
    <s v="https://suumo.jp/chintai/jnc_000104156803/?bc=100484366685"/>
    <s v="ＪＲ総武線 東中野駅 12階建 築1年"/>
    <s v="東京都中野区東中野１"/>
    <n v="265000"/>
    <n v="20000"/>
    <n v="265000"/>
    <m/>
    <n v="11"/>
    <x v="8"/>
    <n v="43.66"/>
    <n v="1"/>
    <x v="3"/>
    <s v="東中野駅"/>
    <n v="3"/>
    <n v="9.33"/>
    <n v="144436.73000000001"/>
    <n v="232352.65"/>
    <n v="648"/>
    <n v="359"/>
    <s v="40-50"/>
    <x v="0"/>
  </r>
  <r>
    <s v="https://suumo.jp/chintai/jnc_000102586906/?bc=100483254376"/>
    <s v="ＪＲ総武線 東中野駅 12階建 築1年"/>
    <s v="東京都中野区東中野１"/>
    <n v="245000"/>
    <n v="20000"/>
    <n v="245000"/>
    <m/>
    <n v="3"/>
    <x v="8"/>
    <n v="43.65"/>
    <n v="1"/>
    <x v="3"/>
    <s v="東中野駅"/>
    <n v="3"/>
    <n v="9.33"/>
    <n v="144436.73000000001"/>
    <n v="232352.65"/>
    <n v="648"/>
    <n v="359"/>
    <s v="40-50"/>
    <x v="0"/>
  </r>
  <r>
    <s v="https://suumo.jp/chintai/jnc_000100276318/?bc=100438799235"/>
    <s v="ＪＲ総武線 東中野駅 12階建 築1年"/>
    <s v="東京都中野区東中野１"/>
    <n v="255000"/>
    <n v="20000"/>
    <n v="255000"/>
    <m/>
    <n v="4"/>
    <x v="8"/>
    <n v="43.65"/>
    <n v="1"/>
    <x v="3"/>
    <s v="東中野駅"/>
    <n v="3"/>
    <n v="9.33"/>
    <n v="144436.73000000001"/>
    <n v="232352.65"/>
    <n v="648"/>
    <n v="359"/>
    <s v="40-50"/>
    <x v="0"/>
  </r>
  <r>
    <s v="https://suumo.jp/chintai/jnc_000103118230/?bc=100469215376"/>
    <s v="ＪＲ総武線 東中野駅 12階建 築1年"/>
    <s v="東京都中野区東中野１"/>
    <n v="245000"/>
    <n v="20000"/>
    <n v="245000"/>
    <m/>
    <n v="4"/>
    <x v="8"/>
    <n v="43.66"/>
    <n v="1"/>
    <x v="3"/>
    <s v="東中野駅"/>
    <n v="3"/>
    <n v="9.33"/>
    <n v="144436.73000000001"/>
    <n v="232352.65"/>
    <n v="648"/>
    <n v="359"/>
    <s v="40-50"/>
    <x v="0"/>
  </r>
  <r>
    <s v="https://suumo.jp/chintai/jnc_000100276319/?bc=100467840328"/>
    <s v="ＪＲ総武線 東中野駅 12階建 築1年"/>
    <s v="東京都中野区東中野１"/>
    <n v="250000"/>
    <n v="20000"/>
    <n v="250000"/>
    <m/>
    <n v="4"/>
    <x v="8"/>
    <n v="43.66"/>
    <n v="1"/>
    <x v="3"/>
    <s v="東中野駅"/>
    <n v="3"/>
    <n v="9.33"/>
    <n v="144436.73000000001"/>
    <n v="232352.65"/>
    <n v="648"/>
    <n v="359"/>
    <s v="40-50"/>
    <x v="0"/>
  </r>
  <r>
    <s v="https://suumo.jp/chintai/jnc_000104156805/?bc=100483255134"/>
    <s v="ＪＲ総武線 東中野駅 12階建 築1年"/>
    <s v="東京都中野区東中野１"/>
    <n v="255000"/>
    <n v="20000"/>
    <n v="255000"/>
    <m/>
    <n v="7"/>
    <x v="8"/>
    <n v="43.65"/>
    <n v="1"/>
    <x v="3"/>
    <s v="東中野駅"/>
    <n v="3"/>
    <n v="9.33"/>
    <n v="144436.73000000001"/>
    <n v="232352.65"/>
    <n v="648"/>
    <n v="359"/>
    <s v="40-50"/>
    <x v="0"/>
  </r>
  <r>
    <s v="https://suumo.jp/chintai/jnc_000102998320/?bc=100484366600"/>
    <s v="ＪＲ総武線 東中野駅 12階建 築1年"/>
    <s v="東京都中野区東中野１"/>
    <n v="250000"/>
    <n v="20000"/>
    <n v="250000"/>
    <m/>
    <n v="7"/>
    <x v="8"/>
    <n v="43.66"/>
    <n v="1"/>
    <x v="3"/>
    <s v="東中野駅"/>
    <n v="3"/>
    <n v="9.33"/>
    <n v="144436.73000000001"/>
    <n v="232352.65"/>
    <n v="648"/>
    <n v="359"/>
    <s v="40-50"/>
    <x v="0"/>
  </r>
  <r>
    <s v="https://suumo.jp/chintai/jnc_000104097123/?bc=100482956243"/>
    <s v="ＪＲ総武線 東中野駅 14階建 築11年"/>
    <s v="東京都中野区東中野１"/>
    <n v="243000"/>
    <n v="17000"/>
    <n v="243000"/>
    <n v="243000"/>
    <n v="7"/>
    <x v="8"/>
    <n v="53.96"/>
    <n v="11"/>
    <x v="12"/>
    <s v="東中野駅"/>
    <n v="1"/>
    <n v="4.67"/>
    <n v="144436.73000000001"/>
    <n v="232352.65"/>
    <n v="648"/>
    <n v="359"/>
    <s v="50-60"/>
    <x v="7"/>
  </r>
  <r>
    <s v="https://suumo.jp/chintai/jnc_000102979681/?bc=100482232336"/>
    <s v="ＳＯＰＨＩＳＴＡ中野"/>
    <s v="東京都中野区中野６"/>
    <n v="215000"/>
    <n v="5000"/>
    <n v="215000"/>
    <n v="215000"/>
    <n v="2"/>
    <x v="8"/>
    <n v="48.97"/>
    <n v="0"/>
    <x v="0"/>
    <s v="東中野駅"/>
    <n v="9"/>
    <n v="11"/>
    <n v="144436.73000000001"/>
    <n v="232352.65"/>
    <n v="648"/>
    <n v="359"/>
    <s v="40-50"/>
    <x v="6"/>
  </r>
  <r>
    <s v="https://suumo.jp/chintai/jnc_000101395756/?bc=100476385629"/>
    <s v="Kolet東中野"/>
    <s v="東京都新宿区北新宿３"/>
    <n v="360000"/>
    <m/>
    <n v="360000"/>
    <m/>
    <n v="1"/>
    <x v="10"/>
    <n v="86.24"/>
    <n v="4"/>
    <x v="2"/>
    <s v="東中野駅"/>
    <n v="7"/>
    <n v="13"/>
    <n v="144436.73000000001"/>
    <n v="282153.84999999998"/>
    <n v="648"/>
    <n v="26"/>
    <s v="80-90"/>
    <x v="0"/>
  </r>
  <r>
    <s v="https://suumo.jp/chintai/jnc_000101395756/?bc=100476385629"/>
    <s v="Kolet東中野"/>
    <s v="東京都新宿区北新宿３"/>
    <n v="360000"/>
    <m/>
    <n v="360000"/>
    <m/>
    <n v="2"/>
    <x v="10"/>
    <n v="86.24"/>
    <n v="4"/>
    <x v="2"/>
    <s v="東中野駅"/>
    <n v="7"/>
    <n v="13"/>
    <n v="144436.73000000001"/>
    <n v="282153.84999999998"/>
    <n v="648"/>
    <n v="26"/>
    <s v="80-90"/>
    <x v="0"/>
  </r>
  <r>
    <s v="https://suumo.jp/chintai/jnc_000101395756/?bc=100476385629"/>
    <s v="Kolet東中野"/>
    <s v="東京都新宿区北新宿３"/>
    <n v="360000"/>
    <m/>
    <n v="360000"/>
    <m/>
    <n v="3"/>
    <x v="10"/>
    <n v="86.24"/>
    <n v="4"/>
    <x v="2"/>
    <s v="東中野駅"/>
    <n v="7"/>
    <n v="13"/>
    <n v="144436.73000000001"/>
    <n v="282153.84999999998"/>
    <n v="648"/>
    <n v="26"/>
    <s v="80-90"/>
    <x v="0"/>
  </r>
  <r>
    <s v="https://suumo.jp/chintai/jnc_000104235938/?bc=100484036985"/>
    <s v="セ－ロス氷川"/>
    <s v="東京都中野区東中野１"/>
    <n v="235000"/>
    <n v="15000"/>
    <n v="235000"/>
    <n v="235000"/>
    <n v="3"/>
    <x v="10"/>
    <n v="79.38"/>
    <n v="36"/>
    <x v="7"/>
    <s v="東中野駅"/>
    <n v="4"/>
    <n v="9.33"/>
    <n v="144436.73000000001"/>
    <n v="282153.84999999998"/>
    <n v="648"/>
    <n v="26"/>
    <s v="70-80"/>
    <x v="4"/>
  </r>
  <r>
    <s v="https://suumo.jp/chintai/jnc_000103644397/?bc=100479254321"/>
    <s v="ジェイパーク東中野"/>
    <s v="東京都中野区東中野１"/>
    <n v="240000"/>
    <n v="20000"/>
    <n v="240000"/>
    <n v="240000"/>
    <n v="3"/>
    <x v="11"/>
    <n v="51.11"/>
    <n v="29"/>
    <x v="9"/>
    <s v="東中野駅"/>
    <n v="5"/>
    <n v="8.33"/>
    <n v="144436.73000000001"/>
    <n v="184333.33"/>
    <n v="648"/>
    <n v="18"/>
    <s v="50-60"/>
    <x v="1"/>
  </r>
  <r>
    <s v="https://suumo.jp/chintai/jnc_000104363179/?bc=100482656119"/>
    <s v="メゾン田中"/>
    <s v="東京都新宿区北新宿４"/>
    <n v="130000"/>
    <m/>
    <n v="130000"/>
    <n v="130000"/>
    <n v="2"/>
    <x v="11"/>
    <n v="48"/>
    <n v="48"/>
    <x v="4"/>
    <s v="東中野駅"/>
    <n v="7"/>
    <n v="10.33"/>
    <n v="144436.73000000001"/>
    <n v="184333.33"/>
    <n v="648"/>
    <n v="18"/>
    <s v="40-50"/>
    <x v="3"/>
  </r>
  <r>
    <s v="https://suumo.jp/chintai/jnc_000100376330/?bc=100479919020"/>
    <s v="新日桜２号マンション"/>
    <s v="東京都中野区中野６"/>
    <n v="215000"/>
    <n v="5000"/>
    <n v="215000"/>
    <m/>
    <n v="2"/>
    <x v="11"/>
    <n v="52.5"/>
    <n v="10"/>
    <x v="2"/>
    <s v="東中野駅"/>
    <n v="6"/>
    <n v="9.67"/>
    <n v="144436.73000000001"/>
    <n v="184333.33"/>
    <n v="648"/>
    <n v="18"/>
    <s v="50-60"/>
    <x v="0"/>
  </r>
  <r>
    <s v="https://suumo.jp/chintai/jnc_000100584095/?bc=100452829883"/>
    <s v="ＪＲ中央線 東中野駅 3階建 築10年"/>
    <s v="東京都中野区中野６"/>
    <n v="215000"/>
    <n v="5000"/>
    <n v="215000"/>
    <n v="215000"/>
    <n v="2"/>
    <x v="11"/>
    <n v="52.5"/>
    <n v="10"/>
    <x v="2"/>
    <s v="東中野駅"/>
    <n v="6"/>
    <n v="9.67"/>
    <n v="144436.73000000001"/>
    <n v="184333.33"/>
    <n v="648"/>
    <n v="18"/>
    <s v="50-60"/>
    <x v="0"/>
  </r>
  <r>
    <s v="https://suumo.jp/chintai/jnc_000100584095/?bc=100452829883"/>
    <s v="ＪＲ中央線 東中野駅 3階建 築10年"/>
    <s v="東京都中野区中野６"/>
    <n v="215000"/>
    <n v="5000"/>
    <n v="215000"/>
    <n v="215000"/>
    <n v="3"/>
    <x v="11"/>
    <n v="52.5"/>
    <n v="10"/>
    <x v="2"/>
    <s v="東中野駅"/>
    <n v="6"/>
    <n v="9.67"/>
    <n v="144436.73000000001"/>
    <n v="184333.33"/>
    <n v="648"/>
    <n v="18"/>
    <s v="50-60"/>
    <x v="0"/>
  </r>
  <r>
    <s v="https://suumo.jp/chintai/jnc_000104139458/?bc=100483262319"/>
    <s v="ＪＲ中央線 東中野駅 地下1地上2階建 築31年"/>
    <s v="東京都中野区中野６"/>
    <n v="200000"/>
    <m/>
    <n v="200000"/>
    <n v="200000"/>
    <n v="-1"/>
    <x v="11"/>
    <n v="67.739999999999995"/>
    <n v="31"/>
    <x v="2"/>
    <s v="東中野駅"/>
    <n v="9"/>
    <n v="12.33"/>
    <n v="144436.73000000001"/>
    <n v="184333.33"/>
    <n v="648"/>
    <n v="18"/>
    <s v="60-70"/>
    <x v="4"/>
  </r>
  <r>
    <s v="https://suumo.jp/chintai/jnc_000104139458/?bc=100483262319"/>
    <s v="ＪＲ中央線 東中野駅 地下1地上2階建 築31年"/>
    <s v="東京都中野区中野６"/>
    <n v="200000"/>
    <m/>
    <n v="200000"/>
    <n v="200000"/>
    <n v="0"/>
    <x v="11"/>
    <n v="67.739999999999995"/>
    <n v="31"/>
    <x v="2"/>
    <s v="東中野駅"/>
    <n v="9"/>
    <n v="12.33"/>
    <n v="144436.73000000001"/>
    <n v="184333.33"/>
    <n v="648"/>
    <n v="18"/>
    <s v="60-70"/>
    <x v="4"/>
  </r>
  <r>
    <s v="https://suumo.jp/chintai/jnc_000104139458/?bc=100483262319"/>
    <s v="ＪＲ中央線 東中野駅 地下1地上2階建 築31年"/>
    <s v="東京都中野区中野６"/>
    <n v="200000"/>
    <m/>
    <n v="200000"/>
    <n v="200000"/>
    <n v="1"/>
    <x v="11"/>
    <n v="67.739999999999995"/>
    <n v="31"/>
    <x v="2"/>
    <s v="東中野駅"/>
    <n v="9"/>
    <n v="12.33"/>
    <n v="144436.73000000001"/>
    <n v="184333.33"/>
    <n v="648"/>
    <n v="18"/>
    <s v="60-70"/>
    <x v="4"/>
  </r>
  <r>
    <s v="https://suumo.jp/chintai/jnc_000104139458/?bc=100483262319"/>
    <s v="ＪＲ中央線 東中野駅 地下1地上2階建 築31年"/>
    <s v="東京都中野区中野６"/>
    <n v="200000"/>
    <m/>
    <n v="200000"/>
    <n v="200000"/>
    <n v="2"/>
    <x v="11"/>
    <n v="67.739999999999995"/>
    <n v="31"/>
    <x v="2"/>
    <s v="東中野駅"/>
    <n v="9"/>
    <n v="12.33"/>
    <n v="144436.73000000001"/>
    <n v="184333.33"/>
    <n v="648"/>
    <n v="18"/>
    <s v="60-70"/>
    <x v="4"/>
  </r>
  <r>
    <s v="https://suumo.jp/chintai/jnc_000104207771/?bc=100483816063"/>
    <s v="上高田1丁目戸建て"/>
    <s v="東京都中野区上高田１"/>
    <n v="120000"/>
    <m/>
    <n v="120000"/>
    <n v="120000"/>
    <n v="1"/>
    <x v="12"/>
    <n v="42.14"/>
    <n v="76"/>
    <x v="16"/>
    <s v="東中野駅"/>
    <n v="9"/>
    <n v="9"/>
    <n v="144436.73000000001"/>
    <n v="163600"/>
    <n v="648"/>
    <n v="5"/>
    <s v="40-50"/>
    <x v="2"/>
  </r>
  <r>
    <s v="https://suumo.jp/chintai/jnc_000104464944/?bc=100479413431"/>
    <s v="アンソレイユもみじ山"/>
    <s v="東京都中野区上高田１"/>
    <n v="221500"/>
    <n v="4400"/>
    <m/>
    <n v="443000"/>
    <n v="2"/>
    <x v="13"/>
    <n v="62.1"/>
    <n v="0"/>
    <x v="0"/>
    <s v="東中野駅"/>
    <n v="13"/>
    <n v="13.67"/>
    <n v="144436.73000000001"/>
    <n v="288705.81"/>
    <n v="648"/>
    <n v="155"/>
    <s v="60-70"/>
    <x v="6"/>
  </r>
  <r>
    <s v="https://suumo.jp/chintai/jnc_000104464943/?bc=100479389596"/>
    <s v="アンソレイユもみじ山"/>
    <s v="東京都中野区上高田１"/>
    <n v="223500"/>
    <n v="4400"/>
    <m/>
    <n v="447000"/>
    <n v="2"/>
    <x v="13"/>
    <n v="62.1"/>
    <n v="0"/>
    <x v="0"/>
    <s v="東中野駅"/>
    <n v="13"/>
    <n v="13.67"/>
    <n v="144436.73000000001"/>
    <n v="288705.81"/>
    <n v="648"/>
    <n v="155"/>
    <s v="60-70"/>
    <x v="6"/>
  </r>
  <r>
    <s v="https://suumo.jp/chintai/jnc_000103994797/?bc=100482124673"/>
    <s v="クレストコート東中野"/>
    <s v="東京都中野区東中野１"/>
    <n v="425000"/>
    <n v="25000"/>
    <n v="425000"/>
    <m/>
    <n v="12"/>
    <x v="13"/>
    <n v="60.14"/>
    <n v="0"/>
    <x v="3"/>
    <s v="東中野駅"/>
    <n v="4"/>
    <n v="9.33"/>
    <n v="144436.73000000001"/>
    <n v="288705.81"/>
    <n v="648"/>
    <n v="155"/>
    <s v="60-70"/>
    <x v="6"/>
  </r>
  <r>
    <s v="https://suumo.jp/chintai/jnc_000104482960/?bc=100486151272"/>
    <s v="パークタワー東中野グランドエア"/>
    <s v="東京都中野区東中野５"/>
    <n v="410000"/>
    <n v="10000"/>
    <n v="410000"/>
    <n v="820000"/>
    <n v="24"/>
    <x v="13"/>
    <n v="74.41"/>
    <n v="2"/>
    <x v="21"/>
    <s v="東中野駅"/>
    <n v="1"/>
    <n v="10"/>
    <n v="144436.73000000001"/>
    <n v="288705.81"/>
    <n v="648"/>
    <n v="155"/>
    <s v="70-80"/>
    <x v="0"/>
  </r>
  <r>
    <s v="https://suumo.jp/chintai/jnc_000104241725/?bc=100484080255"/>
    <s v="ブランズ東中野プレシアス"/>
    <s v="東京都中野区東中野５"/>
    <n v="299000"/>
    <n v="11000"/>
    <n v="598000"/>
    <n v="299000"/>
    <n v="2"/>
    <x v="13"/>
    <n v="66.17"/>
    <n v="14"/>
    <x v="5"/>
    <s v="東中野駅"/>
    <n v="3"/>
    <n v="5.33"/>
    <n v="144436.73000000001"/>
    <n v="288705.81"/>
    <n v="648"/>
    <n v="155"/>
    <s v="60-70"/>
    <x v="7"/>
  </r>
  <r>
    <s v="https://suumo.jp/chintai/jnc_000103619511/?bc=100483520930"/>
    <s v="プロスペアー東中野"/>
    <s v="東京都中野区中野６"/>
    <n v="240000"/>
    <n v="10000"/>
    <n v="240000"/>
    <n v="240000"/>
    <n v="1"/>
    <x v="13"/>
    <n v="64.819999999999993"/>
    <n v="31"/>
    <x v="2"/>
    <s v="東中野駅"/>
    <n v="7"/>
    <n v="8.67"/>
    <n v="144436.73000000001"/>
    <n v="288705.81"/>
    <n v="648"/>
    <n v="155"/>
    <s v="60-70"/>
    <x v="4"/>
  </r>
  <r>
    <s v="https://suumo.jp/chintai/jnc_000103897222/?bc=100475960654"/>
    <s v="上高田ロイヤル（旅館業想定）"/>
    <s v="東京都中野区上高田１"/>
    <n v="400000"/>
    <m/>
    <n v="800000"/>
    <n v="800000"/>
    <n v="3"/>
    <x v="13"/>
    <n v="74.239999999999995"/>
    <n v="38"/>
    <x v="7"/>
    <s v="東中野駅"/>
    <n v="10"/>
    <n v="11.67"/>
    <n v="144436.73000000001"/>
    <n v="288705.81"/>
    <n v="648"/>
    <n v="155"/>
    <s v="70-80"/>
    <x v="4"/>
  </r>
  <r>
    <s v="https://suumo.jp/chintai/jnc_000100741844/?bc=100438499402"/>
    <s v="中野６丁目戸建2階部分"/>
    <s v="東京都中野区中野６"/>
    <n v="220000"/>
    <m/>
    <n v="220000"/>
    <n v="220000"/>
    <n v="2"/>
    <x v="13"/>
    <n v="78.62"/>
    <n v="34"/>
    <x v="0"/>
    <s v="東中野駅"/>
    <n v="8"/>
    <n v="9.33"/>
    <n v="144436.73000000001"/>
    <n v="288705.81"/>
    <n v="648"/>
    <n v="155"/>
    <s v="70-80"/>
    <x v="4"/>
  </r>
  <r>
    <s v="https://suumo.jp/chintai/jnc_000103837779/?bc=100480993004"/>
    <s v="東中野ハイツ"/>
    <s v="東京都中野区東中野２"/>
    <n v="209000"/>
    <n v="10000"/>
    <m/>
    <n v="209000"/>
    <n v="1"/>
    <x v="13"/>
    <n v="80.41"/>
    <n v="45"/>
    <x v="2"/>
    <s v="東中野駅"/>
    <n v="5"/>
    <n v="10"/>
    <n v="144436.73000000001"/>
    <n v="288705.81"/>
    <n v="648"/>
    <n v="155"/>
    <s v="80-90"/>
    <x v="3"/>
  </r>
  <r>
    <s v="https://suumo.jp/chintai/jnc_000102078259/?bc=100484317082"/>
    <s v="ＡＢパレス"/>
    <s v="東京都中野区東中野１"/>
    <n v="380000"/>
    <m/>
    <n v="380000"/>
    <n v="380000"/>
    <n v="2"/>
    <x v="13"/>
    <n v="117.2"/>
    <n v="36"/>
    <x v="2"/>
    <s v="東中野駅"/>
    <n v="5"/>
    <n v="9.67"/>
    <n v="144436.73000000001"/>
    <n v="288705.81"/>
    <n v="648"/>
    <n v="155"/>
    <s v="100+"/>
    <x v="4"/>
  </r>
  <r>
    <s v="https://suumo.jp/chintai/jnc_000104464949/?bc=100479325810"/>
    <s v="ＪＲ中央線 中野駅 2階建 新築"/>
    <s v="東京都中野区上高田１"/>
    <n v="221500"/>
    <n v="4400"/>
    <m/>
    <n v="443000"/>
    <n v="2"/>
    <x v="13"/>
    <n v="62.1"/>
    <n v="0"/>
    <x v="0"/>
    <s v="東中野駅"/>
    <n v="13"/>
    <n v="13.67"/>
    <n v="144436.73000000001"/>
    <n v="288705.81"/>
    <n v="648"/>
    <n v="155"/>
    <s v="60-70"/>
    <x v="6"/>
  </r>
  <r>
    <s v="https://suumo.jp/chintai/jnc_000104464948/?bc=100483192713"/>
    <s v="ＪＲ中央線 中野駅 2階建 新築"/>
    <s v="東京都中野区上高田１"/>
    <n v="223500"/>
    <n v="4400"/>
    <m/>
    <n v="447000"/>
    <n v="2"/>
    <x v="13"/>
    <n v="62.1"/>
    <n v="0"/>
    <x v="0"/>
    <s v="東中野駅"/>
    <n v="13"/>
    <n v="13.67"/>
    <n v="144436.73000000001"/>
    <n v="288705.81"/>
    <n v="648"/>
    <n v="155"/>
    <s v="60-70"/>
    <x v="6"/>
  </r>
  <r>
    <s v="https://suumo.jp/chintai/jnc_000104510149/?bc=100486175760"/>
    <s v="ＪＲ中央線 東中野駅 25階建 築2年"/>
    <s v="東京都中野区東中野５"/>
    <n v="410000"/>
    <n v="10000"/>
    <n v="410000"/>
    <n v="820000"/>
    <n v="24"/>
    <x v="13"/>
    <n v="74.41"/>
    <n v="2"/>
    <x v="22"/>
    <s v="東中野駅"/>
    <n v="1"/>
    <n v="4"/>
    <n v="144436.73000000001"/>
    <n v="288705.81"/>
    <n v="648"/>
    <n v="155"/>
    <s v="70-80"/>
    <x v="0"/>
  </r>
  <r>
    <s v="https://suumo.jp/chintai/jnc_000103837780/?bc=100481006367"/>
    <s v="ＪＲ中央線 東中野駅 3階建 築45年"/>
    <s v="東京都中野区東中野２"/>
    <n v="209000"/>
    <n v="10000"/>
    <m/>
    <n v="209000"/>
    <n v="1"/>
    <x v="13"/>
    <n v="80.41"/>
    <n v="45"/>
    <x v="2"/>
    <s v="東中野駅"/>
    <n v="5"/>
    <n v="9.67"/>
    <n v="144436.73000000001"/>
    <n v="288705.81"/>
    <n v="648"/>
    <n v="155"/>
    <s v="80-90"/>
    <x v="3"/>
  </r>
  <r>
    <s v="https://suumo.jp/chintai/jnc_000089226744/?bc=100485864106"/>
    <s v="ＪＲ中央線 東中野駅 地下1地上25階建 築2年"/>
    <s v="東京都中野区東中野５"/>
    <n v="410000"/>
    <m/>
    <n v="410000"/>
    <n v="820000"/>
    <n v="24"/>
    <x v="13"/>
    <n v="74.41"/>
    <n v="2"/>
    <x v="21"/>
    <s v="東中野駅"/>
    <n v="1"/>
    <n v="8.33"/>
    <n v="144436.73000000001"/>
    <n v="288705.81"/>
    <n v="648"/>
    <n v="155"/>
    <s v="70-80"/>
    <x v="0"/>
  </r>
  <r>
    <s v="https://suumo.jp/chintai/jnc_000104280473/?bc=100484366572"/>
    <s v="ＪＲ総武線 東中野駅 12階建 築1年"/>
    <s v="東京都中野区東中野１"/>
    <n v="425000"/>
    <n v="25000"/>
    <n v="425000"/>
    <m/>
    <n v="12"/>
    <x v="13"/>
    <n v="60.14"/>
    <n v="1"/>
    <x v="3"/>
    <s v="東中野駅"/>
    <n v="3"/>
    <n v="9.33"/>
    <n v="144436.73000000001"/>
    <n v="288705.81"/>
    <n v="648"/>
    <n v="155"/>
    <s v="60-70"/>
    <x v="0"/>
  </r>
  <r>
    <s v="https://suumo.jp/chintai/jnc_000102928314/?bc=100449153555"/>
    <s v="ＪＲ総武線 東中野駅 12階建 築1年"/>
    <s v="東京都中野区東中野１"/>
    <n v="425000"/>
    <n v="25000"/>
    <n v="425000"/>
    <m/>
    <n v="12"/>
    <x v="13"/>
    <n v="62.55"/>
    <n v="1"/>
    <x v="3"/>
    <s v="東中野駅"/>
    <n v="3"/>
    <n v="9.33"/>
    <n v="144436.73000000001"/>
    <n v="288705.81"/>
    <n v="648"/>
    <n v="155"/>
    <s v="60-70"/>
    <x v="0"/>
  </r>
  <r>
    <s v="https://suumo.jp/chintai/jnc_000103625934/?bc=100482869593"/>
    <s v="ＪＲ総武線 東中野駅 3階建 築31年"/>
    <s v="東京都中野区中野６"/>
    <n v="240000"/>
    <n v="10000"/>
    <n v="240000"/>
    <n v="240000"/>
    <n v="1"/>
    <x v="13"/>
    <n v="64.819999999999993"/>
    <n v="31"/>
    <x v="2"/>
    <s v="東中野駅"/>
    <n v="6"/>
    <n v="10.33"/>
    <n v="144436.73000000001"/>
    <n v="288705.81"/>
    <n v="648"/>
    <n v="155"/>
    <s v="60-70"/>
    <x v="4"/>
  </r>
  <r>
    <s v="https://suumo.jp/chintai/jnc_000102078260/?bc=100482060759"/>
    <s v="ＪＲ総武線 東中野駅 3階建 築36年"/>
    <s v="東京都中野区東中野１"/>
    <n v="380000"/>
    <m/>
    <n v="380000"/>
    <n v="380000"/>
    <n v="2"/>
    <x v="13"/>
    <n v="117.2"/>
    <n v="36"/>
    <x v="2"/>
    <s v="東中野駅"/>
    <n v="5"/>
    <n v="10.33"/>
    <n v="144436.73000000001"/>
    <n v="288705.81"/>
    <n v="648"/>
    <n v="155"/>
    <s v="100+"/>
    <x v="4"/>
  </r>
  <r>
    <s v="https://suumo.jp/chintai/jnc_000103380311/?bc=100477090650"/>
    <s v="ＪＲ総武線 東中野駅 6階建 築14年"/>
    <s v="東京都中野区東中野５"/>
    <n v="300000"/>
    <n v="10000"/>
    <n v="300000"/>
    <n v="300000"/>
    <n v="1"/>
    <x v="13"/>
    <n v="68.239999999999995"/>
    <n v="14"/>
    <x v="5"/>
    <s v="東中野駅"/>
    <n v="3"/>
    <n v="9"/>
    <n v="144436.73000000001"/>
    <n v="288705.81"/>
    <n v="648"/>
    <n v="155"/>
    <s v="60-70"/>
    <x v="7"/>
  </r>
  <r>
    <s v="https://suumo.jp/chintai/jnc_000104326818/?bc=100484765635"/>
    <s v="大倉ハウス"/>
    <s v="東京都中野区東中野２"/>
    <n v="280000"/>
    <m/>
    <n v="280000"/>
    <n v="280000"/>
    <n v="2"/>
    <x v="17"/>
    <n v="80"/>
    <n v="34"/>
    <x v="2"/>
    <s v="東中野駅"/>
    <n v="6"/>
    <n v="7"/>
    <n v="144436.73000000001"/>
    <n v="384285.71"/>
    <n v="648"/>
    <n v="7"/>
    <s v="80-90"/>
    <x v="4"/>
  </r>
  <r>
    <s v="https://suumo.jp/chintai/jnc_000101977160/?bc=100465229338"/>
    <s v="コーポ井上"/>
    <s v="東京都新宿区北新宿４"/>
    <n v="138000"/>
    <m/>
    <n v="138000"/>
    <m/>
    <n v="1"/>
    <x v="18"/>
    <n v="60"/>
    <n v="46"/>
    <x v="0"/>
    <s v="東中野駅"/>
    <n v="11"/>
    <n v="11.33"/>
    <n v="144436.73000000001"/>
    <n v="138000"/>
    <n v="648"/>
    <n v="1"/>
    <s v="60-70"/>
    <x v="3"/>
  </r>
  <r>
    <s v="https://suumo.jp/chintai/jnc_000102971548/?bc=100472908754"/>
    <s v="Ysマンション"/>
    <s v="東京都中野区東中野３"/>
    <n v="320000"/>
    <n v="3000"/>
    <n v="320000"/>
    <n v="320000"/>
    <n v="1"/>
    <x v="15"/>
    <n v="94.55"/>
    <n v="38"/>
    <x v="4"/>
    <s v="東中野駅"/>
    <n v="3"/>
    <n v="4.67"/>
    <n v="144436.73000000001"/>
    <n v="388200"/>
    <n v="648"/>
    <n v="20"/>
    <s v="90-100"/>
    <x v="4"/>
  </r>
  <r>
    <s v="https://suumo.jp/chintai/jnc_000073624886/?bc=100484889076"/>
    <s v="PAL WOOD"/>
    <s v="東京都豊島区長崎５"/>
    <n v="102000"/>
    <n v="3000"/>
    <n v="102000"/>
    <n v="102000"/>
    <n v="1"/>
    <x v="1"/>
    <n v="34.36"/>
    <n v="4"/>
    <x v="0"/>
    <s v="東長崎駅"/>
    <n v="4"/>
    <n v="11"/>
    <n v="104537.14"/>
    <n v="123325.96"/>
    <n v="315"/>
    <n v="339"/>
    <s v="30-40"/>
    <x v="0"/>
  </r>
  <r>
    <s v="https://suumo.jp/chintai/jnc_000104070288/?bc=100358697424"/>
    <s v="ウッディハイム"/>
    <s v="東京都豊島区南長崎４"/>
    <n v="62000"/>
    <n v="2000"/>
    <n v="62000"/>
    <n v="62000"/>
    <n v="2"/>
    <x v="1"/>
    <n v="24.58"/>
    <n v="39"/>
    <x v="0"/>
    <s v="東長崎駅"/>
    <n v="4"/>
    <n v="5.5"/>
    <n v="104537.14"/>
    <n v="123325.96"/>
    <n v="315"/>
    <n v="339"/>
    <s v="20-30"/>
    <x v="4"/>
  </r>
  <r>
    <s v="https://suumo.jp/chintai/jnc_000104499753/?bc=100486335541"/>
    <s v="エル・グランピア"/>
    <s v="東京都豊島区南長崎５"/>
    <n v="107000"/>
    <n v="6000"/>
    <n v="107000"/>
    <n v="107000"/>
    <n v="3"/>
    <x v="1"/>
    <n v="33.07"/>
    <n v="24"/>
    <x v="10"/>
    <s v="東長崎駅"/>
    <n v="3"/>
    <n v="9.67"/>
    <n v="104537.14"/>
    <n v="123325.96"/>
    <n v="315"/>
    <n v="339"/>
    <s v="30-40"/>
    <x v="1"/>
  </r>
  <r>
    <s v="https://suumo.jp/chintai/jnc_000103500460/?bc=100477966401"/>
    <s v="グレース松沢"/>
    <s v="東京都豊島区長崎４"/>
    <n v="82000"/>
    <n v="3000"/>
    <n v="82000"/>
    <n v="82000"/>
    <n v="3"/>
    <x v="1"/>
    <n v="33.07"/>
    <n v="32"/>
    <x v="2"/>
    <s v="東長崎駅"/>
    <n v="3"/>
    <n v="7"/>
    <n v="104537.14"/>
    <n v="123325.96"/>
    <n v="315"/>
    <n v="339"/>
    <s v="30-40"/>
    <x v="4"/>
  </r>
  <r>
    <s v="https://suumo.jp/chintai/jnc_000104296191/?bc=100485188073"/>
    <s v="ザ・パークハビオ東長崎"/>
    <s v="東京都豊島区南長崎５"/>
    <n v="141000"/>
    <n v="15000"/>
    <n v="141000"/>
    <n v="141000"/>
    <n v="4"/>
    <x v="1"/>
    <n v="30.77"/>
    <n v="3"/>
    <x v="1"/>
    <s v="東長崎駅"/>
    <n v="1"/>
    <n v="8.67"/>
    <n v="104537.14"/>
    <n v="123325.96"/>
    <n v="315"/>
    <n v="339"/>
    <s v="30-40"/>
    <x v="0"/>
  </r>
  <r>
    <s v="https://suumo.jp/chintai/jnc_000102875126/?bc=100473209822"/>
    <s v="ザ・パークハビオ東長崎"/>
    <s v="東京都豊島区南長崎５"/>
    <n v="141000"/>
    <n v="15000"/>
    <n v="141000"/>
    <m/>
    <n v="8"/>
    <x v="1"/>
    <n v="30.77"/>
    <n v="3"/>
    <x v="1"/>
    <s v="東長崎駅"/>
    <n v="1"/>
    <n v="8.67"/>
    <n v="104537.14"/>
    <n v="123325.96"/>
    <n v="315"/>
    <n v="339"/>
    <s v="30-40"/>
    <x v="0"/>
  </r>
  <r>
    <s v="https://suumo.jp/chintai/jnc_000103084325/?bc=100479882982"/>
    <s v="メゾン　ブランドブラン"/>
    <s v="東京都豊島区南長崎５"/>
    <n v="122000"/>
    <n v="4600"/>
    <m/>
    <n v="183000"/>
    <n v="4"/>
    <x v="1"/>
    <n v="30.54"/>
    <n v="2"/>
    <x v="4"/>
    <s v="東長崎駅"/>
    <n v="3"/>
    <n v="11"/>
    <n v="104537.14"/>
    <n v="123325.96"/>
    <n v="315"/>
    <n v="339"/>
    <s v="30-40"/>
    <x v="0"/>
  </r>
  <r>
    <s v="https://suumo.jp/chintai/jnc_000104138651/?bc=100482113594"/>
    <s v="ラシクラス西落合"/>
    <s v="東京都新宿区西落合４"/>
    <n v="141000"/>
    <n v="12000"/>
    <m/>
    <m/>
    <n v="-1"/>
    <x v="1"/>
    <n v="32.9"/>
    <n v="0"/>
    <x v="4"/>
    <s v="東長崎駅"/>
    <n v="7"/>
    <n v="9.33"/>
    <n v="104537.14"/>
    <n v="123325.96"/>
    <n v="315"/>
    <n v="339"/>
    <s v="30-40"/>
    <x v="6"/>
  </r>
  <r>
    <s v="https://suumo.jp/chintai/jnc_000104050183/?bc=100476554215"/>
    <s v="ルミエールナガサキ"/>
    <s v="東京都豊島区長崎４"/>
    <n v="117000"/>
    <n v="6000"/>
    <n v="117000"/>
    <n v="117000"/>
    <n v="3"/>
    <x v="1"/>
    <n v="42.78"/>
    <n v="8"/>
    <x v="2"/>
    <s v="東長崎駅"/>
    <n v="6"/>
    <n v="11.67"/>
    <n v="104537.14"/>
    <n v="123325.96"/>
    <n v="315"/>
    <n v="339"/>
    <s v="40-50"/>
    <x v="0"/>
  </r>
  <r>
    <s v="https://suumo.jp/chintai/jnc_000103459372/?bc=100477683189"/>
    <s v="ヴィラ長崎"/>
    <s v="東京都豊島区長崎３"/>
    <n v="100000"/>
    <n v="5000"/>
    <n v="100000"/>
    <n v="100000"/>
    <n v="1"/>
    <x v="1"/>
    <n v="30"/>
    <n v="56"/>
    <x v="4"/>
    <s v="東長崎駅"/>
    <n v="8"/>
    <n v="10.33"/>
    <n v="104537.14"/>
    <n v="123325.96"/>
    <n v="315"/>
    <n v="339"/>
    <s v="30-40"/>
    <x v="5"/>
  </r>
  <r>
    <s v="https://suumo.jp/chintai/jnc_000104326995/?bc=100484759554"/>
    <s v="西武池袋線 東長崎駅 10階建 築3年"/>
    <s v="東京都豊島区南長崎５"/>
    <n v="141000"/>
    <n v="15000"/>
    <n v="141000"/>
    <n v="141000"/>
    <n v="4"/>
    <x v="1"/>
    <n v="30.77"/>
    <n v="3"/>
    <x v="1"/>
    <s v="東長崎駅"/>
    <n v="1"/>
    <n v="9.67"/>
    <n v="104537.14"/>
    <n v="123325.96"/>
    <n v="315"/>
    <n v="339"/>
    <s v="30-40"/>
    <x v="0"/>
  </r>
  <r>
    <s v="https://suumo.jp/chintai/jnc_000103695313/?bc=100480209726"/>
    <s v="西武池袋線 東長崎駅 4階建 築2年"/>
    <s v="東京都豊島区南長崎５"/>
    <n v="122000"/>
    <n v="4600"/>
    <m/>
    <n v="183000"/>
    <n v="4"/>
    <x v="1"/>
    <n v="30.54"/>
    <n v="2"/>
    <x v="4"/>
    <s v="東長崎駅"/>
    <n v="3"/>
    <n v="10.33"/>
    <n v="104537.14"/>
    <n v="123325.96"/>
    <n v="315"/>
    <n v="339"/>
    <s v="30-40"/>
    <x v="0"/>
  </r>
  <r>
    <s v="https://suumo.jp/chintai/jnc_000104373212/?bc=100454117445"/>
    <s v="西武池袋線 東長崎駅 4階建 築44年"/>
    <s v="東京都豊島区南長崎６"/>
    <n v="70000"/>
    <n v="5000"/>
    <n v="35000"/>
    <n v="140000"/>
    <n v="3"/>
    <x v="1"/>
    <n v="23"/>
    <n v="44"/>
    <x v="4"/>
    <s v="東長崎駅"/>
    <n v="4"/>
    <n v="9.67"/>
    <n v="104537.14"/>
    <n v="123325.96"/>
    <n v="315"/>
    <n v="339"/>
    <s v="20-30"/>
    <x v="3"/>
  </r>
  <r>
    <s v="https://suumo.jp/chintai/jnc_000104519306/?bc=100486351440"/>
    <s v="西武池袋線 東長崎駅 7階建 築24年"/>
    <s v="東京都豊島区南長崎５"/>
    <n v="107000"/>
    <n v="6000"/>
    <n v="107000"/>
    <n v="107000"/>
    <n v="3"/>
    <x v="1"/>
    <n v="33.07"/>
    <n v="24"/>
    <x v="10"/>
    <s v="東長崎駅"/>
    <n v="3"/>
    <n v="9.67"/>
    <n v="104537.14"/>
    <n v="123325.96"/>
    <n v="315"/>
    <n v="339"/>
    <s v="30-40"/>
    <x v="1"/>
  </r>
  <r>
    <s v="https://suumo.jp/chintai/jnc_000103802513/?bc=100480889061"/>
    <s v="都営大江戸線 落合南長崎駅 3階建 築35年"/>
    <s v="東京都豊島区南長崎５"/>
    <n v="77000"/>
    <n v="4000"/>
    <n v="77000"/>
    <m/>
    <n v="2"/>
    <x v="1"/>
    <n v="26.75"/>
    <n v="35"/>
    <x v="2"/>
    <s v="東長崎駅"/>
    <n v="4"/>
    <n v="8"/>
    <n v="104537.14"/>
    <n v="123325.96"/>
    <n v="315"/>
    <n v="339"/>
    <s v="20-30"/>
    <x v="4"/>
  </r>
  <r>
    <s v="https://suumo.jp/chintai/jnc_000103459380/?bc=100475999999"/>
    <s v="ＨＹ’ｓ　東長崎"/>
    <s v="東京都豊島区南長崎５"/>
    <n v="98000"/>
    <n v="12000"/>
    <m/>
    <n v="98000"/>
    <n v="1"/>
    <x v="1"/>
    <n v="25.73"/>
    <n v="3"/>
    <x v="5"/>
    <s v="東長崎駅"/>
    <n v="3"/>
    <n v="5.5"/>
    <n v="104537.14"/>
    <n v="123325.96"/>
    <n v="315"/>
    <n v="339"/>
    <s v="20-30"/>
    <x v="0"/>
  </r>
  <r>
    <s v="https://suumo.jp/chintai/jnc_000047368946/?bc=100480690345"/>
    <s v="ART SPACE"/>
    <s v="東京都豊島区南長崎５"/>
    <n v="55000"/>
    <m/>
    <m/>
    <m/>
    <n v="1"/>
    <x v="2"/>
    <n v="17"/>
    <n v="39"/>
    <x v="2"/>
    <s v="東長崎駅"/>
    <n v="3"/>
    <n v="9"/>
    <n v="104537.14"/>
    <n v="95329.65"/>
    <n v="315"/>
    <n v="1622"/>
    <s v="10-20"/>
    <x v="4"/>
  </r>
  <r>
    <s v="https://suumo.jp/chintai/jnc_000103135483/?bc=100475242750"/>
    <s v="CON-TWO"/>
    <s v="東京都豊島区南長崎５"/>
    <n v="75000"/>
    <n v="5000"/>
    <n v="75000"/>
    <n v="75000"/>
    <n v="2"/>
    <x v="2"/>
    <n v="26"/>
    <n v="53"/>
    <x v="0"/>
    <s v="東長崎駅"/>
    <n v="3"/>
    <n v="10"/>
    <n v="104537.14"/>
    <n v="95329.65"/>
    <n v="315"/>
    <n v="1622"/>
    <s v="20-30"/>
    <x v="5"/>
  </r>
  <r>
    <s v="https://suumo.jp/chintai/jnc_000099762532/?bc=100482351053"/>
    <s v="M"/>
    <s v="東京都豊島区長崎５"/>
    <n v="91000"/>
    <n v="5500"/>
    <m/>
    <n v="91000"/>
    <n v="1"/>
    <x v="2"/>
    <n v="19.87"/>
    <n v="17"/>
    <x v="0"/>
    <s v="東長崎駅"/>
    <n v="6"/>
    <n v="12"/>
    <n v="104537.14"/>
    <n v="95329.65"/>
    <n v="315"/>
    <n v="1622"/>
    <s v="10-20"/>
    <x v="7"/>
  </r>
  <r>
    <s v="https://suumo.jp/chintai/jnc_000101286766/?bc=100241903081"/>
    <s v="M"/>
    <s v="東京都豊島区長崎５"/>
    <n v="96000"/>
    <n v="5500"/>
    <m/>
    <n v="96000"/>
    <n v="2"/>
    <x v="2"/>
    <n v="19.87"/>
    <n v="17"/>
    <x v="0"/>
    <s v="東長崎駅"/>
    <n v="6"/>
    <n v="12"/>
    <n v="104537.14"/>
    <n v="95329.65"/>
    <n v="315"/>
    <n v="1622"/>
    <s v="10-20"/>
    <x v="7"/>
  </r>
  <r>
    <s v="https://suumo.jp/chintai/jnc_000103884082/?bc=100482540540"/>
    <s v="OLIO東長崎"/>
    <s v="東京都豊島区長崎４"/>
    <n v="74000"/>
    <n v="8000"/>
    <n v="74000"/>
    <n v="74000"/>
    <n v="3"/>
    <x v="2"/>
    <n v="20.399999999999999"/>
    <n v="24"/>
    <x v="6"/>
    <s v="東長崎駅"/>
    <n v="3"/>
    <n v="9.33"/>
    <n v="104537.14"/>
    <n v="95329.65"/>
    <n v="315"/>
    <n v="1622"/>
    <s v="20-30"/>
    <x v="1"/>
  </r>
  <r>
    <s v="https://suumo.jp/chintai/jnc_000104054972/?bc=100482602958"/>
    <s v="SEIWA　RESIDENCE"/>
    <s v="東京都新宿区西落合４"/>
    <n v="84000"/>
    <n v="3000"/>
    <m/>
    <m/>
    <n v="2"/>
    <x v="2"/>
    <n v="23.02"/>
    <n v="3"/>
    <x v="0"/>
    <s v="東長崎駅"/>
    <n v="13"/>
    <n v="13.33"/>
    <n v="104537.14"/>
    <n v="95329.65"/>
    <n v="315"/>
    <n v="1622"/>
    <s v="20-30"/>
    <x v="0"/>
  </r>
  <r>
    <s v="https://suumo.jp/chintai/jnc_000103416023/?bc=100475477295"/>
    <s v="「防音マンション」ラシクラス西落合"/>
    <s v="東京都新宿区西落合４"/>
    <n v="141000"/>
    <n v="12000"/>
    <m/>
    <m/>
    <n v="-1"/>
    <x v="2"/>
    <n v="32.9"/>
    <n v="0"/>
    <x v="4"/>
    <s v="東長崎駅"/>
    <n v="7"/>
    <n v="9.33"/>
    <n v="104537.14"/>
    <n v="95329.65"/>
    <n v="315"/>
    <n v="1622"/>
    <s v="30-40"/>
    <x v="6"/>
  </r>
  <r>
    <s v="https://suumo.jp/chintai/jnc_000104348485/?bc=100484969904"/>
    <s v="アッファービレ"/>
    <s v="東京都豊島区南長崎４"/>
    <n v="80000"/>
    <n v="3000"/>
    <n v="80000"/>
    <n v="80000"/>
    <n v="1"/>
    <x v="2"/>
    <n v="22.5"/>
    <n v="22"/>
    <x v="2"/>
    <s v="東長崎駅"/>
    <n v="4"/>
    <n v="7.33"/>
    <n v="104537.14"/>
    <n v="95329.65"/>
    <n v="315"/>
    <n v="1622"/>
    <s v="20-30"/>
    <x v="1"/>
  </r>
  <r>
    <s v="https://suumo.jp/chintai/jnc_000104357370/?bc=100484969902"/>
    <s v="アッファービレ"/>
    <s v="東京都豊島区南長崎４"/>
    <n v="84000"/>
    <n v="3000"/>
    <n v="84000"/>
    <n v="84000"/>
    <n v="2"/>
    <x v="2"/>
    <n v="22.5"/>
    <n v="22"/>
    <x v="2"/>
    <s v="東長崎駅"/>
    <n v="4"/>
    <n v="7.33"/>
    <n v="104537.14"/>
    <n v="95329.65"/>
    <n v="315"/>
    <n v="1622"/>
    <s v="20-30"/>
    <x v="1"/>
  </r>
  <r>
    <s v="https://suumo.jp/chintai/jnc_000103317359/?bc=100484352456"/>
    <s v="アマデウス２１"/>
    <s v="東京都豊島区南長崎５"/>
    <n v="75000"/>
    <n v="5000"/>
    <n v="75000"/>
    <m/>
    <n v="4"/>
    <x v="2"/>
    <n v="17.82"/>
    <n v="35"/>
    <x v="5"/>
    <s v="東長崎駅"/>
    <n v="4"/>
    <n v="9.33"/>
    <n v="104537.14"/>
    <n v="95329.65"/>
    <n v="315"/>
    <n v="1622"/>
    <s v="10-20"/>
    <x v="4"/>
  </r>
  <r>
    <s v="https://suumo.jp/chintai/jnc_000103106012/?bc=100477423669"/>
    <s v="アーバン・クレスト"/>
    <s v="東京都中野区江古田１"/>
    <n v="73000"/>
    <n v="4000"/>
    <n v="73000"/>
    <m/>
    <n v="2"/>
    <x v="2"/>
    <n v="21"/>
    <n v="35"/>
    <x v="0"/>
    <s v="東長崎駅"/>
    <n v="11"/>
    <n v="11.33"/>
    <n v="104537.14"/>
    <n v="95329.65"/>
    <n v="315"/>
    <n v="1622"/>
    <s v="20-30"/>
    <x v="4"/>
  </r>
  <r>
    <s v="https://suumo.jp/chintai/jnc_000103123112/?bc=100468557542"/>
    <s v="アーバン・クレスト"/>
    <s v="東京都中野区江古田１"/>
    <n v="74000"/>
    <n v="4000"/>
    <n v="74000"/>
    <m/>
    <n v="2"/>
    <x v="2"/>
    <n v="21"/>
    <n v="35"/>
    <x v="0"/>
    <s v="東長崎駅"/>
    <n v="11"/>
    <n v="11.33"/>
    <n v="104537.14"/>
    <n v="95329.65"/>
    <n v="315"/>
    <n v="1622"/>
    <s v="20-30"/>
    <x v="4"/>
  </r>
  <r>
    <s v="https://suumo.jp/chintai/jnc_000104526011/?bc=100478972027"/>
    <s v="イーストフローラ東長崎"/>
    <s v="東京都豊島区長崎４"/>
    <n v="65000"/>
    <n v="3000"/>
    <m/>
    <n v="65000"/>
    <n v="4"/>
    <x v="2"/>
    <n v="18.34"/>
    <n v="23"/>
    <x v="4"/>
    <s v="東長崎駅"/>
    <n v="2"/>
    <n v="9.33"/>
    <n v="104537.14"/>
    <n v="95329.65"/>
    <n v="315"/>
    <n v="1622"/>
    <s v="10-20"/>
    <x v="1"/>
  </r>
  <r>
    <s v="https://suumo.jp/chintai/jnc_000103563785/?bc=100478737033"/>
    <s v="イーストフローラ東長崎"/>
    <s v="東京都豊島区長崎４"/>
    <n v="69000"/>
    <n v="3000"/>
    <n v="69000"/>
    <n v="69000"/>
    <n v="4"/>
    <x v="2"/>
    <n v="18.34"/>
    <n v="23"/>
    <x v="4"/>
    <s v="東長崎駅"/>
    <n v="2"/>
    <n v="9.33"/>
    <n v="104537.14"/>
    <n v="95329.65"/>
    <n v="315"/>
    <n v="1622"/>
    <s v="10-20"/>
    <x v="1"/>
  </r>
  <r>
    <s v="https://suumo.jp/chintai/jnc_000104426447/?bc=100486119344"/>
    <s v="エスペラントメント"/>
    <s v="東京都豊島区南長崎５"/>
    <n v="53000"/>
    <n v="5000"/>
    <m/>
    <m/>
    <n v="1"/>
    <x v="2"/>
    <n v="16.91"/>
    <n v="39"/>
    <x v="0"/>
    <s v="東長崎駅"/>
    <n v="4"/>
    <n v="8.67"/>
    <n v="104537.14"/>
    <n v="95329.65"/>
    <n v="315"/>
    <n v="1622"/>
    <s v="10-20"/>
    <x v="4"/>
  </r>
  <r>
    <s v="https://suumo.jp/chintai/jnc_000050291265/?bc=100481011025"/>
    <s v="キャロットタウン南長崎"/>
    <s v="東京都豊島区南長崎６"/>
    <n v="70000"/>
    <m/>
    <m/>
    <m/>
    <n v="1"/>
    <x v="2"/>
    <n v="21.32"/>
    <n v="24"/>
    <x v="0"/>
    <s v="東長崎駅"/>
    <n v="3"/>
    <n v="9.33"/>
    <n v="104537.14"/>
    <n v="95329.65"/>
    <n v="315"/>
    <n v="1622"/>
    <s v="20-30"/>
    <x v="1"/>
  </r>
  <r>
    <s v="https://suumo.jp/chintai/jnc_000056876724/?bc=100478511980"/>
    <s v="ココ雨宮"/>
    <s v="東京都豊島区長崎３"/>
    <n v="68000"/>
    <n v="3000"/>
    <n v="68000"/>
    <m/>
    <n v="2"/>
    <x v="2"/>
    <n v="20"/>
    <n v="31"/>
    <x v="0"/>
    <s v="東長崎駅"/>
    <n v="7"/>
    <n v="10.67"/>
    <n v="104537.14"/>
    <n v="95329.65"/>
    <n v="315"/>
    <n v="1622"/>
    <s v="20-30"/>
    <x v="4"/>
  </r>
  <r>
    <s v="https://suumo.jp/chintai/jnc_000104196592/?bc=100483677475"/>
    <s v="コンフォート南長崎"/>
    <s v="東京都豊島区南長崎５"/>
    <n v="90000"/>
    <n v="8820"/>
    <m/>
    <n v="90000"/>
    <n v="1"/>
    <x v="2"/>
    <n v="30"/>
    <n v="21"/>
    <x v="2"/>
    <s v="東長崎駅"/>
    <n v="5"/>
    <n v="9.33"/>
    <n v="104537.14"/>
    <n v="95329.65"/>
    <n v="315"/>
    <n v="1622"/>
    <s v="30-40"/>
    <x v="1"/>
  </r>
  <r>
    <s v="https://suumo.jp/chintai/jnc_000100344273/?bc=100451687393"/>
    <s v="コーポ椎の木"/>
    <s v="東京都豊島区南長崎４"/>
    <n v="64000"/>
    <m/>
    <n v="64000"/>
    <n v="64000"/>
    <n v="2"/>
    <x v="2"/>
    <n v="20.27"/>
    <n v="30"/>
    <x v="0"/>
    <s v="東長崎駅"/>
    <n v="6"/>
    <n v="12"/>
    <n v="104537.14"/>
    <n v="95329.65"/>
    <n v="315"/>
    <n v="1622"/>
    <s v="20-30"/>
    <x v="1"/>
  </r>
  <r>
    <s v="https://suumo.jp/chintai/jnc_000087124290/?bc=100481718050"/>
    <s v="サウス長崎"/>
    <s v="東京都豊島区南長崎４"/>
    <n v="72000"/>
    <n v="5000"/>
    <n v="72000"/>
    <m/>
    <n v="1"/>
    <x v="2"/>
    <n v="25"/>
    <n v="57"/>
    <x v="4"/>
    <s v="東長崎駅"/>
    <n v="5"/>
    <n v="8.67"/>
    <n v="104537.14"/>
    <n v="95329.65"/>
    <n v="315"/>
    <n v="1622"/>
    <s v="20-30"/>
    <x v="5"/>
  </r>
  <r>
    <s v="https://suumo.jp/chintai/jnc_000103686094/?bc=100479747109"/>
    <s v="サニーハイツ東長崎"/>
    <s v="東京都豊島区南長崎６"/>
    <n v="57000"/>
    <n v="3000"/>
    <n v="57000"/>
    <m/>
    <n v="1"/>
    <x v="2"/>
    <n v="17.95"/>
    <n v="36"/>
    <x v="0"/>
    <s v="東長崎駅"/>
    <n v="2"/>
    <n v="9.33"/>
    <n v="104537.14"/>
    <n v="95329.65"/>
    <n v="315"/>
    <n v="1622"/>
    <s v="10-20"/>
    <x v="4"/>
  </r>
  <r>
    <s v="https://suumo.jp/chintai/jnc_000103249057/?bc=100476570502"/>
    <s v="シリウス"/>
    <s v="東京都豊島区長崎３"/>
    <n v="84000"/>
    <n v="3000"/>
    <n v="42000"/>
    <n v="126000"/>
    <n v="1"/>
    <x v="2"/>
    <n v="22.9"/>
    <n v="17"/>
    <x v="0"/>
    <s v="東長崎駅"/>
    <n v="6"/>
    <n v="9.33"/>
    <n v="104537.14"/>
    <n v="95329.65"/>
    <n v="315"/>
    <n v="1622"/>
    <s v="20-30"/>
    <x v="7"/>
  </r>
  <r>
    <s v="https://suumo.jp/chintai/jnc_000104310742/?bc=100484689009"/>
    <s v="シリウス"/>
    <s v="東京都豊島区長崎３"/>
    <n v="86000"/>
    <n v="3000"/>
    <n v="43000"/>
    <n v="129000"/>
    <n v="1"/>
    <x v="2"/>
    <n v="24.1"/>
    <n v="17"/>
    <x v="0"/>
    <s v="東長崎駅"/>
    <n v="6"/>
    <n v="9.33"/>
    <n v="104537.14"/>
    <n v="95329.65"/>
    <n v="315"/>
    <n v="1622"/>
    <s v="20-30"/>
    <x v="7"/>
  </r>
  <r>
    <s v="https://suumo.jp/chintai/jnc_000103812552/?bc=100480725312"/>
    <s v="ジヴェルニー"/>
    <s v="東京都豊島区南長崎５"/>
    <n v="70000"/>
    <n v="2000"/>
    <n v="70000"/>
    <n v="70000"/>
    <n v="1"/>
    <x v="2"/>
    <n v="24.5"/>
    <n v="28"/>
    <x v="0"/>
    <s v="東長崎駅"/>
    <n v="2"/>
    <n v="10.33"/>
    <n v="104537.14"/>
    <n v="95329.65"/>
    <n v="315"/>
    <n v="1622"/>
    <s v="20-30"/>
    <x v="1"/>
  </r>
  <r>
    <s v="https://suumo.jp/chintai/jnc_000104070289/?bc=100484172426"/>
    <s v="スカイコート豊島南長崎"/>
    <s v="東京都豊島区南長崎６"/>
    <n v="79800"/>
    <n v="6700"/>
    <n v="79800"/>
    <n v="79800"/>
    <n v="2"/>
    <x v="2"/>
    <n v="21.22"/>
    <n v="15"/>
    <x v="9"/>
    <s v="東長崎駅"/>
    <n v="6"/>
    <n v="9"/>
    <n v="104537.14"/>
    <n v="95329.65"/>
    <n v="315"/>
    <n v="1622"/>
    <s v="20-30"/>
    <x v="7"/>
  </r>
  <r>
    <s v="https://suumo.jp/chintai/jnc_000103884101/?bc=100485609372"/>
    <s v="スカイコート豊島南長崎"/>
    <s v="東京都豊島区南長崎６"/>
    <n v="81300"/>
    <n v="6700"/>
    <n v="81300"/>
    <n v="81300"/>
    <n v="5"/>
    <x v="2"/>
    <n v="21.22"/>
    <n v="15"/>
    <x v="9"/>
    <s v="東長崎駅"/>
    <n v="6"/>
    <n v="9"/>
    <n v="104537.14"/>
    <n v="95329.65"/>
    <n v="315"/>
    <n v="1622"/>
    <s v="20-30"/>
    <x v="7"/>
  </r>
  <r>
    <s v="https://suumo.jp/chintai/jnc_000103884102/?bc=100484172425"/>
    <s v="スカイコート豊島南長崎"/>
    <s v="東京都豊島区南長崎６"/>
    <n v="82300"/>
    <n v="6700"/>
    <n v="82300"/>
    <n v="82300"/>
    <n v="7"/>
    <x v="2"/>
    <n v="21.88"/>
    <n v="15"/>
    <x v="9"/>
    <s v="東長崎駅"/>
    <n v="6"/>
    <n v="9"/>
    <n v="104537.14"/>
    <n v="95329.65"/>
    <n v="315"/>
    <n v="1622"/>
    <s v="20-30"/>
    <x v="7"/>
  </r>
  <r>
    <s v="https://suumo.jp/chintai/jnc_000104249153/?bc=100484466032"/>
    <s v="セジョリ新宿西落合"/>
    <s v="東京都新宿区西落合４"/>
    <n v="94000"/>
    <n v="15000"/>
    <m/>
    <n v="94000"/>
    <n v="7"/>
    <x v="2"/>
    <n v="25.51"/>
    <n v="6"/>
    <x v="1"/>
    <s v="東長崎駅"/>
    <n v="8"/>
    <n v="10"/>
    <n v="104537.14"/>
    <n v="95329.65"/>
    <n v="315"/>
    <n v="1622"/>
    <s v="20-30"/>
    <x v="0"/>
  </r>
  <r>
    <s v="https://suumo.jp/chintai/jnc_000104310760/?bc=100484713825"/>
    <s v="ソシエ東長崎"/>
    <s v="東京都豊島区南長崎５"/>
    <n v="93000"/>
    <n v="5000"/>
    <n v="93000"/>
    <n v="93000"/>
    <n v="2"/>
    <x v="2"/>
    <n v="26.78"/>
    <n v="8"/>
    <x v="2"/>
    <s v="東長崎駅"/>
    <n v="3"/>
    <n v="10"/>
    <n v="104537.14"/>
    <n v="95329.65"/>
    <n v="315"/>
    <n v="1622"/>
    <s v="20-30"/>
    <x v="0"/>
  </r>
  <r>
    <s v="https://suumo.jp/chintai/jnc_000103183064/?bc=100476553481"/>
    <s v="トレス長崎"/>
    <s v="東京都豊島区長崎４"/>
    <n v="81000"/>
    <n v="4000"/>
    <n v="81000"/>
    <n v="81000"/>
    <n v="2"/>
    <x v="2"/>
    <n v="30.83"/>
    <n v="21"/>
    <x v="0"/>
    <s v="東長崎駅"/>
    <n v="3"/>
    <n v="11"/>
    <n v="104537.14"/>
    <n v="95329.65"/>
    <n v="315"/>
    <n v="1622"/>
    <s v="30-40"/>
    <x v="1"/>
  </r>
  <r>
    <s v="https://suumo.jp/chintai/jnc_000104126267/?bc=100483151089"/>
    <s v="ハイム長崎"/>
    <s v="東京都豊島区長崎４"/>
    <n v="65000"/>
    <n v="4000"/>
    <n v="65000"/>
    <m/>
    <n v="1"/>
    <x v="2"/>
    <n v="20.25"/>
    <n v="27"/>
    <x v="0"/>
    <s v="東長崎駅"/>
    <n v="5"/>
    <n v="11"/>
    <n v="104537.14"/>
    <n v="95329.65"/>
    <n v="315"/>
    <n v="1622"/>
    <s v="20-30"/>
    <x v="1"/>
  </r>
  <r>
    <s v="https://suumo.jp/chintai/jnc_000103920093/?bc=100483379277"/>
    <s v="ハーモニーレジデンス東京ウエスト"/>
    <s v="東京都豊島区南長崎５"/>
    <n v="91500"/>
    <n v="15000"/>
    <n v="91500"/>
    <n v="91500"/>
    <n v="3"/>
    <x v="2"/>
    <n v="21.8"/>
    <n v="12"/>
    <x v="5"/>
    <s v="東長崎駅"/>
    <n v="4"/>
    <n v="11.33"/>
    <n v="104537.14"/>
    <n v="95329.65"/>
    <n v="315"/>
    <n v="1622"/>
    <s v="20-30"/>
    <x v="7"/>
  </r>
  <r>
    <s v="https://suumo.jp/chintai/jnc_000103519978/?bc=100007864174"/>
    <s v="パルクレール"/>
    <s v="東京都豊島区南長崎５"/>
    <n v="78000"/>
    <n v="7000"/>
    <m/>
    <n v="78000"/>
    <n v="1"/>
    <x v="2"/>
    <n v="22"/>
    <n v="17"/>
    <x v="0"/>
    <s v="東長崎駅"/>
    <n v="3"/>
    <n v="8.67"/>
    <n v="104537.14"/>
    <n v="95329.65"/>
    <n v="315"/>
    <n v="1622"/>
    <s v="20-30"/>
    <x v="7"/>
  </r>
  <r>
    <s v="https://suumo.jp/chintai/jnc_000090577935/?bc=100121291152"/>
    <s v="ファミーユ長崎"/>
    <s v="東京都豊島区長崎４"/>
    <n v="53000"/>
    <n v="2000"/>
    <n v="53000"/>
    <n v="53000"/>
    <n v="1"/>
    <x v="2"/>
    <n v="17.579999999999998"/>
    <n v="39"/>
    <x v="0"/>
    <s v="東長崎駅"/>
    <n v="2"/>
    <n v="9"/>
    <n v="104537.14"/>
    <n v="95329.65"/>
    <n v="315"/>
    <n v="1622"/>
    <s v="10-20"/>
    <x v="4"/>
  </r>
  <r>
    <s v="https://suumo.jp/chintai/jnc_000099384688/?bc=100330644543"/>
    <s v="フラワーコーポ"/>
    <s v="東京都豊島区南長崎６"/>
    <n v="55000"/>
    <n v="2000"/>
    <n v="55000"/>
    <m/>
    <n v="1"/>
    <x v="2"/>
    <n v="19"/>
    <n v="42"/>
    <x v="2"/>
    <s v="東長崎駅"/>
    <n v="8"/>
    <n v="10.67"/>
    <n v="104537.14"/>
    <n v="95329.65"/>
    <n v="315"/>
    <n v="1622"/>
    <s v="10-20"/>
    <x v="3"/>
  </r>
  <r>
    <s v="https://suumo.jp/chintai/jnc_000103812553/?bc=100480724724"/>
    <s v="フロムファースト"/>
    <s v="東京都豊島区南長崎６"/>
    <n v="68000"/>
    <n v="2000"/>
    <n v="68000"/>
    <n v="68000"/>
    <n v="2"/>
    <x v="2"/>
    <n v="18.75"/>
    <n v="28"/>
    <x v="0"/>
    <s v="東長崎駅"/>
    <n v="4"/>
    <n v="9"/>
    <n v="104537.14"/>
    <n v="95329.65"/>
    <n v="315"/>
    <n v="1622"/>
    <s v="10-20"/>
    <x v="1"/>
  </r>
  <r>
    <s v="https://suumo.jp/chintai/jnc_000104541706/?bc=100486420317"/>
    <s v="ブリリアントハイム"/>
    <s v="東京都豊島区長崎４"/>
    <n v="70000"/>
    <n v="2000"/>
    <n v="70000"/>
    <n v="70000"/>
    <n v="1"/>
    <x v="2"/>
    <n v="19.25"/>
    <n v="24"/>
    <x v="2"/>
    <s v="東長崎駅"/>
    <n v="2"/>
    <n v="9"/>
    <n v="104537.14"/>
    <n v="95329.65"/>
    <n v="315"/>
    <n v="1622"/>
    <s v="10-20"/>
    <x v="1"/>
  </r>
  <r>
    <s v="https://suumo.jp/chintai/jnc_000103075187/?bc=100481501526"/>
    <s v="プライム東長崎"/>
    <s v="東京都豊島区長崎５"/>
    <n v="79000"/>
    <n v="8000"/>
    <n v="79000"/>
    <m/>
    <n v="3"/>
    <x v="2"/>
    <n v="24.19"/>
    <n v="37"/>
    <x v="4"/>
    <s v="東長崎駅"/>
    <n v="4"/>
    <n v="11.33"/>
    <n v="104537.14"/>
    <n v="95329.65"/>
    <n v="315"/>
    <n v="1622"/>
    <s v="20-30"/>
    <x v="4"/>
  </r>
  <r>
    <s v="https://suumo.jp/chintai/jnc_000094518376/?bc=100473282076"/>
    <s v="プランドールＴＣ東長崎＠"/>
    <s v="東京都豊島区長崎３"/>
    <n v="82000"/>
    <n v="5000"/>
    <n v="82000"/>
    <m/>
    <n v="2"/>
    <x v="2"/>
    <n v="24.16"/>
    <n v="8"/>
    <x v="0"/>
    <s v="東長崎駅"/>
    <n v="10"/>
    <n v="12.33"/>
    <n v="104537.14"/>
    <n v="95329.65"/>
    <n v="315"/>
    <n v="1622"/>
    <s v="20-30"/>
    <x v="0"/>
  </r>
  <r>
    <s v="https://suumo.jp/chintai/jnc_000103763013/?bc=100480350252"/>
    <s v="プレジオ南長崎"/>
    <s v="東京都豊島区南長崎６"/>
    <n v="80000"/>
    <n v="6500"/>
    <n v="80000"/>
    <n v="80000"/>
    <n v="1"/>
    <x v="2"/>
    <n v="28"/>
    <n v="23"/>
    <x v="0"/>
    <s v="東長崎駅"/>
    <n v="6"/>
    <n v="11.33"/>
    <n v="104537.14"/>
    <n v="95329.65"/>
    <n v="315"/>
    <n v="1622"/>
    <s v="20-30"/>
    <x v="1"/>
  </r>
  <r>
    <s v="https://suumo.jp/chintai/jnc_000102971658/?bc=100481950421"/>
    <s v="ボヌール東長崎"/>
    <s v="東京都豊島区長崎５"/>
    <n v="88000"/>
    <n v="3000"/>
    <n v="88000"/>
    <n v="88000"/>
    <n v="2"/>
    <x v="2"/>
    <n v="28.99"/>
    <n v="15"/>
    <x v="2"/>
    <s v="東長崎駅"/>
    <n v="3"/>
    <n v="9.67"/>
    <n v="104537.14"/>
    <n v="95329.65"/>
    <n v="315"/>
    <n v="1622"/>
    <s v="20-30"/>
    <x v="7"/>
  </r>
  <r>
    <s v="https://suumo.jp/chintai/jnc_000103977802/?bc=100482124626"/>
    <s v="マイファリエ十字街"/>
    <s v="東京都豊島区長崎４"/>
    <n v="63000"/>
    <n v="2000"/>
    <n v="63000"/>
    <n v="63000"/>
    <n v="2"/>
    <x v="2"/>
    <n v="16.27"/>
    <n v="35"/>
    <x v="5"/>
    <s v="東長崎駅"/>
    <n v="2"/>
    <n v="9.67"/>
    <n v="104537.14"/>
    <n v="95329.65"/>
    <n v="315"/>
    <n v="1622"/>
    <s v="10-20"/>
    <x v="4"/>
  </r>
  <r>
    <s v="https://suumo.jp/chintai/jnc_000103586484/?bc=100478919806"/>
    <s v="マーレ南長崎"/>
    <s v="東京都豊島区南長崎６"/>
    <n v="96000"/>
    <n v="3300"/>
    <n v="96000"/>
    <n v="96000"/>
    <n v="1"/>
    <x v="2"/>
    <n v="25.83"/>
    <n v="4"/>
    <x v="2"/>
    <s v="東長崎駅"/>
    <n v="4"/>
    <n v="11.33"/>
    <n v="104537.14"/>
    <n v="95329.65"/>
    <n v="315"/>
    <n v="1622"/>
    <s v="20-30"/>
    <x v="0"/>
  </r>
  <r>
    <s v="https://suumo.jp/chintai/jnc_000104483112/?bc=100486011487"/>
    <s v="メゾン　ブランドブラン"/>
    <s v="東京都豊島区南長崎５"/>
    <n v="101500"/>
    <n v="4600"/>
    <m/>
    <n v="203000"/>
    <n v="3"/>
    <x v="2"/>
    <n v="24.48"/>
    <n v="2"/>
    <x v="4"/>
    <s v="東長崎駅"/>
    <n v="3"/>
    <n v="11"/>
    <n v="104537.14"/>
    <n v="95329.65"/>
    <n v="315"/>
    <n v="1622"/>
    <s v="20-30"/>
    <x v="0"/>
  </r>
  <r>
    <s v="https://suumo.jp/chintai/jnc_000103812549/?bc=100480724136"/>
    <s v="メゾン長崎"/>
    <s v="東京都豊島区長崎４"/>
    <n v="78000"/>
    <n v="2000"/>
    <n v="78000"/>
    <n v="78000"/>
    <n v="3"/>
    <x v="2"/>
    <n v="21.87"/>
    <n v="17"/>
    <x v="2"/>
    <s v="東長崎駅"/>
    <n v="3"/>
    <n v="10.67"/>
    <n v="104537.14"/>
    <n v="95329.65"/>
    <n v="315"/>
    <n v="1622"/>
    <s v="20-30"/>
    <x v="7"/>
  </r>
  <r>
    <s v="https://suumo.jp/chintai/jnc_000104138653/?bc=100479921422"/>
    <s v="ラシクラス西落合"/>
    <s v="東京都新宿区西落合４"/>
    <n v="112000"/>
    <n v="12000"/>
    <m/>
    <m/>
    <n v="1"/>
    <x v="2"/>
    <n v="23.97"/>
    <n v="0"/>
    <x v="4"/>
    <s v="東長崎駅"/>
    <n v="7"/>
    <n v="9.33"/>
    <n v="104537.14"/>
    <n v="95329.65"/>
    <n v="315"/>
    <n v="1622"/>
    <s v="20-30"/>
    <x v="6"/>
  </r>
  <r>
    <s v="https://suumo.jp/chintai/jnc_000104138655/?bc=100468973572"/>
    <s v="ラシクラス西落合"/>
    <s v="東京都新宿区西落合４"/>
    <n v="116000"/>
    <n v="12000"/>
    <m/>
    <m/>
    <n v="1"/>
    <x v="2"/>
    <n v="25.54"/>
    <n v="0"/>
    <x v="4"/>
    <s v="東長崎駅"/>
    <n v="7"/>
    <n v="9.33"/>
    <n v="104537.14"/>
    <n v="95329.65"/>
    <n v="315"/>
    <n v="1622"/>
    <s v="20-30"/>
    <x v="6"/>
  </r>
  <r>
    <s v="https://suumo.jp/chintai/jnc_000104138654/?bc=100468974134"/>
    <s v="ラシクラス西落合"/>
    <s v="東京都新宿区西落合４"/>
    <n v="116000"/>
    <n v="12000"/>
    <m/>
    <m/>
    <n v="1"/>
    <x v="2"/>
    <n v="25"/>
    <n v="0"/>
    <x v="4"/>
    <s v="東長崎駅"/>
    <n v="7"/>
    <n v="9.33"/>
    <n v="104537.14"/>
    <n v="95329.65"/>
    <n v="315"/>
    <n v="1622"/>
    <s v="20-30"/>
    <x v="6"/>
  </r>
  <r>
    <s v="https://suumo.jp/chintai/jnc_000104138652/?bc=100479613257"/>
    <s v="ラシクラス西落合"/>
    <s v="東京都新宿区西落合４"/>
    <n v="144000"/>
    <n v="12000"/>
    <m/>
    <m/>
    <n v="1"/>
    <x v="2"/>
    <n v="32.9"/>
    <n v="0"/>
    <x v="4"/>
    <s v="東長崎駅"/>
    <n v="7"/>
    <n v="9.33"/>
    <n v="104537.14"/>
    <n v="95329.65"/>
    <n v="315"/>
    <n v="1622"/>
    <s v="30-40"/>
    <x v="6"/>
  </r>
  <r>
    <s v="https://suumo.jp/chintai/jnc_000104138658/?bc=100478918819"/>
    <s v="ラシクラス西落合"/>
    <s v="東京都新宿区西落合４"/>
    <n v="118000"/>
    <n v="12000"/>
    <m/>
    <m/>
    <n v="2"/>
    <x v="2"/>
    <n v="25.54"/>
    <n v="0"/>
    <x v="4"/>
    <s v="東長崎駅"/>
    <n v="7"/>
    <n v="9.33"/>
    <n v="104537.14"/>
    <n v="95329.65"/>
    <n v="315"/>
    <n v="1622"/>
    <s v="20-30"/>
    <x v="6"/>
  </r>
  <r>
    <s v="https://suumo.jp/chintai/jnc_000104138657/?bc=100468974186"/>
    <s v="ラシクラス西落合"/>
    <s v="東京都新宿区西落合４"/>
    <n v="118000"/>
    <n v="12000"/>
    <m/>
    <m/>
    <n v="2"/>
    <x v="2"/>
    <n v="25"/>
    <n v="0"/>
    <x v="4"/>
    <s v="東長崎駅"/>
    <n v="7"/>
    <n v="9.33"/>
    <n v="104537.14"/>
    <n v="95329.65"/>
    <n v="315"/>
    <n v="1622"/>
    <s v="20-30"/>
    <x v="6"/>
  </r>
  <r>
    <s v="https://suumo.jp/chintai/jnc_000104138659/?bc=100483859919"/>
    <s v="ラシクラス西落合"/>
    <s v="東京都新宿区西落合４"/>
    <n v="116000"/>
    <n v="12000"/>
    <m/>
    <m/>
    <n v="3"/>
    <x v="2"/>
    <n v="23.97"/>
    <n v="0"/>
    <x v="4"/>
    <s v="東長崎駅"/>
    <n v="7"/>
    <n v="9.33"/>
    <n v="104537.14"/>
    <n v="95329.65"/>
    <n v="315"/>
    <n v="1622"/>
    <s v="20-30"/>
    <x v="6"/>
  </r>
  <r>
    <s v="https://suumo.jp/chintai/jnc_000104138661/?bc=100485326597"/>
    <s v="ラシクラス西落合"/>
    <s v="東京都新宿区西落合４"/>
    <n v="120000"/>
    <n v="12000"/>
    <m/>
    <m/>
    <n v="3"/>
    <x v="2"/>
    <n v="25.54"/>
    <n v="0"/>
    <x v="4"/>
    <s v="東長崎駅"/>
    <n v="7"/>
    <n v="9.33"/>
    <n v="104537.14"/>
    <n v="95329.65"/>
    <n v="315"/>
    <n v="1622"/>
    <s v="20-30"/>
    <x v="6"/>
  </r>
  <r>
    <s v="https://suumo.jp/chintai/jnc_000104138660/?bc=100469018430"/>
    <s v="ラシクラス西落合"/>
    <s v="東京都新宿区西落合４"/>
    <n v="120000"/>
    <n v="12000"/>
    <m/>
    <m/>
    <n v="3"/>
    <x v="2"/>
    <n v="25"/>
    <n v="0"/>
    <x v="4"/>
    <s v="東長崎駅"/>
    <n v="7"/>
    <n v="9.33"/>
    <n v="104537.14"/>
    <n v="95329.65"/>
    <n v="315"/>
    <n v="1622"/>
    <s v="20-30"/>
    <x v="6"/>
  </r>
  <r>
    <s v="https://suumo.jp/chintai/jnc_000103420789/?bc=100412085388"/>
    <s v="ラヴィーダ東長崎"/>
    <s v="東京都豊島区長崎４"/>
    <n v="121000"/>
    <n v="5000"/>
    <m/>
    <n v="121000"/>
    <n v="1"/>
    <x v="2"/>
    <n v="44.54"/>
    <n v="3"/>
    <x v="4"/>
    <s v="東長崎駅"/>
    <n v="5"/>
    <n v="11.33"/>
    <n v="104537.14"/>
    <n v="95329.65"/>
    <n v="315"/>
    <n v="1622"/>
    <s v="40-50"/>
    <x v="0"/>
  </r>
  <r>
    <s v="https://suumo.jp/chintai/jnc_000103078587/?bc=100474894580"/>
    <s v="ラヴィーダ東長崎"/>
    <s v="東京都豊島区長崎４"/>
    <n v="85000"/>
    <n v="5000"/>
    <m/>
    <n v="85000"/>
    <n v="4"/>
    <x v="2"/>
    <n v="20"/>
    <n v="3"/>
    <x v="4"/>
    <s v="東長崎駅"/>
    <n v="5"/>
    <n v="11.33"/>
    <n v="104537.14"/>
    <n v="95329.65"/>
    <n v="315"/>
    <n v="1622"/>
    <s v="20-30"/>
    <x v="0"/>
  </r>
  <r>
    <s v="https://suumo.jp/chintai/jnc_000103500459/?bc=100478183386"/>
    <s v="ラヴィーダ東長崎"/>
    <s v="東京都豊島区長崎４"/>
    <n v="86000"/>
    <n v="5000"/>
    <m/>
    <n v="86000"/>
    <n v="4"/>
    <x v="2"/>
    <n v="21.17"/>
    <n v="3"/>
    <x v="4"/>
    <s v="東長崎駅"/>
    <n v="5"/>
    <n v="11.33"/>
    <n v="104537.14"/>
    <n v="95329.65"/>
    <n v="315"/>
    <n v="1622"/>
    <s v="20-30"/>
    <x v="0"/>
  </r>
  <r>
    <s v="https://suumo.jp/chintai/jnc_000082834318/?bc=100477762195"/>
    <s v="ルネ東長崎"/>
    <s v="東京都豊島区長崎４"/>
    <n v="65000"/>
    <n v="3000"/>
    <n v="65000"/>
    <m/>
    <n v="2"/>
    <x v="2"/>
    <n v="18"/>
    <n v="25"/>
    <x v="0"/>
    <s v="東長崎駅"/>
    <n v="5"/>
    <n v="12"/>
    <n v="104537.14"/>
    <n v="95329.65"/>
    <n v="315"/>
    <n v="1622"/>
    <s v="10-20"/>
    <x v="1"/>
  </r>
  <r>
    <s v="https://suumo.jp/chintai/jnc_000102029474/?bc=100484823490"/>
    <s v="レオネクストシエロ長崎"/>
    <s v="東京都豊島区長崎３"/>
    <n v="88000"/>
    <n v="5500"/>
    <m/>
    <n v="88000"/>
    <n v="1"/>
    <x v="2"/>
    <n v="19.02"/>
    <n v="12"/>
    <x v="0"/>
    <s v="東長崎駅"/>
    <n v="9"/>
    <n v="17"/>
    <n v="104537.14"/>
    <n v="95329.65"/>
    <n v="315"/>
    <n v="1622"/>
    <s v="10-20"/>
    <x v="7"/>
  </r>
  <r>
    <s v="https://suumo.jp/chintai/jnc_000102391162/?bc=100469079697"/>
    <s v="レオネクストシエロ長崎"/>
    <s v="東京都豊島区長崎３"/>
    <n v="103000"/>
    <n v="5500"/>
    <m/>
    <n v="103000"/>
    <n v="2"/>
    <x v="2"/>
    <n v="22.26"/>
    <n v="12"/>
    <x v="0"/>
    <s v="東長崎駅"/>
    <n v="9"/>
    <n v="17"/>
    <n v="104537.14"/>
    <n v="95329.65"/>
    <n v="315"/>
    <n v="1622"/>
    <s v="20-30"/>
    <x v="7"/>
  </r>
  <r>
    <s v="https://suumo.jp/chintai/jnc_000104492101/?bc=100486067731"/>
    <s v="レオネクスト落合南長崎"/>
    <s v="東京都豊島区南長崎５"/>
    <n v="117000"/>
    <n v="5500"/>
    <m/>
    <n v="117000"/>
    <n v="3"/>
    <x v="2"/>
    <n v="31.19"/>
    <n v="13"/>
    <x v="2"/>
    <s v="東長崎駅"/>
    <n v="6"/>
    <n v="10"/>
    <n v="104537.14"/>
    <n v="95329.65"/>
    <n v="315"/>
    <n v="1622"/>
    <s v="30-40"/>
    <x v="7"/>
  </r>
  <r>
    <s v="https://suumo.jp/chintai/jnc_000104249956/?bc=100485187886"/>
    <s v="レガーロ東長崎"/>
    <s v="東京都豊島区南長崎５"/>
    <n v="82000"/>
    <n v="3000"/>
    <m/>
    <n v="82000"/>
    <n v="2"/>
    <x v="2"/>
    <n v="17.41"/>
    <n v="6"/>
    <x v="2"/>
    <s v="東長崎駅"/>
    <n v="3"/>
    <n v="8.67"/>
    <n v="104537.14"/>
    <n v="95329.65"/>
    <n v="315"/>
    <n v="1622"/>
    <s v="10-20"/>
    <x v="0"/>
  </r>
  <r>
    <s v="https://suumo.jp/chintai/jnc_000103844401/?bc=100481356417"/>
    <s v="ワコーテ椎名町"/>
    <s v="東京都豊島区長崎３"/>
    <n v="45000"/>
    <n v="2000"/>
    <n v="45000"/>
    <n v="45000"/>
    <n v="1"/>
    <x v="2"/>
    <n v="11.1"/>
    <n v="36"/>
    <x v="0"/>
    <s v="東長崎駅"/>
    <n v="9"/>
    <n v="13.67"/>
    <n v="104537.14"/>
    <n v="95329.65"/>
    <n v="315"/>
    <n v="1622"/>
    <s v="10-20"/>
    <x v="4"/>
  </r>
  <r>
    <s v="https://suumo.jp/chintai/jnc_000103844402/?bc=100481356421"/>
    <s v="ワコーテ椎名町"/>
    <s v="東京都豊島区長崎３"/>
    <n v="50000"/>
    <n v="2000"/>
    <n v="50000"/>
    <n v="50000"/>
    <n v="2"/>
    <x v="2"/>
    <n v="10.33"/>
    <n v="36"/>
    <x v="0"/>
    <s v="東長崎駅"/>
    <n v="9"/>
    <n v="13.67"/>
    <n v="104537.14"/>
    <n v="95329.65"/>
    <n v="315"/>
    <n v="1622"/>
    <s v="10-20"/>
    <x v="4"/>
  </r>
  <r>
    <s v="https://suumo.jp/chintai/jnc_000103987783/?bc=100482450039"/>
    <s v="ヴィラローザ"/>
    <s v="東京都豊島区南長崎４"/>
    <n v="55000"/>
    <n v="3000"/>
    <m/>
    <m/>
    <n v="2"/>
    <x v="2"/>
    <n v="16.2"/>
    <n v="33"/>
    <x v="0"/>
    <s v="東長崎駅"/>
    <n v="5"/>
    <n v="10.33"/>
    <n v="104537.14"/>
    <n v="95329.65"/>
    <n v="315"/>
    <n v="1622"/>
    <s v="10-20"/>
    <x v="4"/>
  </r>
  <r>
    <s v="https://suumo.jp/chintai/jnc_000104510289/?bc=100486163679"/>
    <s v="ヴェルデ長崎"/>
    <s v="東京都豊島区長崎４"/>
    <n v="92000"/>
    <m/>
    <n v="92000"/>
    <n v="138000"/>
    <n v="1"/>
    <x v="2"/>
    <n v="28.36"/>
    <n v="6"/>
    <x v="2"/>
    <s v="東長崎駅"/>
    <n v="3"/>
    <n v="8.67"/>
    <n v="104537.14"/>
    <n v="95329.65"/>
    <n v="315"/>
    <n v="1622"/>
    <s v="20-30"/>
    <x v="0"/>
  </r>
  <r>
    <s v="https://suumo.jp/chintai/jnc_000104426426/?bc=100481412285"/>
    <s v="東京メトロ有楽町線 千川駅 2階建 築31年"/>
    <s v="東京都豊島区長崎３"/>
    <n v="68000"/>
    <n v="3000"/>
    <n v="68000"/>
    <m/>
    <n v="2"/>
    <x v="2"/>
    <n v="20"/>
    <n v="31"/>
    <x v="0"/>
    <s v="東長崎駅"/>
    <n v="9"/>
    <n v="11"/>
    <n v="104537.14"/>
    <n v="95329.65"/>
    <n v="315"/>
    <n v="1622"/>
    <s v="20-30"/>
    <x v="4"/>
  </r>
  <r>
    <s v="https://suumo.jp/chintai/jnc_000101147334/?bc=100458153719"/>
    <s v="泉田荘"/>
    <s v="東京都豊島区南長崎４"/>
    <n v="36000"/>
    <n v="2000"/>
    <n v="36000"/>
    <m/>
    <n v="2"/>
    <x v="2"/>
    <n v="17.32"/>
    <n v="58"/>
    <x v="0"/>
    <s v="東長崎駅"/>
    <n v="4"/>
    <n v="9"/>
    <n v="104537.14"/>
    <n v="95329.65"/>
    <n v="315"/>
    <n v="1622"/>
    <s v="10-20"/>
    <x v="5"/>
  </r>
  <r>
    <s v="https://suumo.jp/chintai/jnc_000104509221/?bc=100360690368"/>
    <s v="西武PSビル"/>
    <s v="東京都新宿区西落合４"/>
    <n v="92000"/>
    <n v="7000"/>
    <n v="92000"/>
    <n v="92000"/>
    <n v="7"/>
    <x v="2"/>
    <n v="26.69"/>
    <n v="55"/>
    <x v="10"/>
    <s v="東長崎駅"/>
    <n v="8"/>
    <n v="10"/>
    <n v="104537.14"/>
    <n v="95329.65"/>
    <n v="315"/>
    <n v="1622"/>
    <s v="20-30"/>
    <x v="5"/>
  </r>
  <r>
    <s v="https://suumo.jp/chintai/jnc_000104492103/?bc=100486107918"/>
    <s v="西武池袋線 東長崎駅 2階建 築10年"/>
    <s v="東京都豊島区千早３"/>
    <n v="82000"/>
    <n v="3000"/>
    <m/>
    <m/>
    <n v="2"/>
    <x v="2"/>
    <n v="22.87"/>
    <n v="10"/>
    <x v="0"/>
    <s v="東長崎駅"/>
    <n v="7"/>
    <n v="10.33"/>
    <n v="104537.14"/>
    <n v="95329.65"/>
    <n v="315"/>
    <n v="1622"/>
    <s v="20-30"/>
    <x v="0"/>
  </r>
  <r>
    <s v="https://suumo.jp/chintai/jnc_000103843631/?bc=100288145248"/>
    <s v="西武池袋線 東長崎駅 2階建 築10年"/>
    <s v="東京都新宿区西落合４"/>
    <n v="100000"/>
    <n v="6000"/>
    <m/>
    <n v="100000"/>
    <n v="2"/>
    <x v="2"/>
    <n v="26.93"/>
    <n v="10"/>
    <x v="0"/>
    <s v="東長崎駅"/>
    <n v="10"/>
    <n v="11.67"/>
    <n v="104537.14"/>
    <n v="95329.65"/>
    <n v="315"/>
    <n v="1622"/>
    <s v="20-30"/>
    <x v="0"/>
  </r>
  <r>
    <s v="https://suumo.jp/chintai/jnc_000102063344/?bc=100300474531"/>
    <s v="西武池袋線 東長崎駅 2階建 築12年"/>
    <s v="東京都豊島区長崎３"/>
    <n v="88000"/>
    <n v="5500"/>
    <m/>
    <n v="88000"/>
    <n v="1"/>
    <x v="2"/>
    <n v="19.02"/>
    <n v="12"/>
    <x v="0"/>
    <s v="東長崎駅"/>
    <n v="9"/>
    <n v="10.33"/>
    <n v="104537.14"/>
    <n v="95329.65"/>
    <n v="315"/>
    <n v="1622"/>
    <s v="10-20"/>
    <x v="7"/>
  </r>
  <r>
    <s v="https://suumo.jp/chintai/jnc_000102391163/?bc=100469079637"/>
    <s v="西武池袋線 東長崎駅 2階建 築12年"/>
    <s v="東京都豊島区長崎３"/>
    <n v="103000"/>
    <n v="5500"/>
    <m/>
    <n v="103000"/>
    <n v="2"/>
    <x v="2"/>
    <n v="22.26"/>
    <n v="12"/>
    <x v="0"/>
    <s v="東長崎駅"/>
    <n v="9"/>
    <n v="10.33"/>
    <n v="104537.14"/>
    <n v="95329.65"/>
    <n v="315"/>
    <n v="1622"/>
    <s v="20-30"/>
    <x v="7"/>
  </r>
  <r>
    <s v="https://suumo.jp/chintai/jnc_000103249058/?bc=100486405879"/>
    <s v="西武池袋線 東長崎駅 2階建 築16年"/>
    <s v="東京都豊島区長崎３"/>
    <n v="84000"/>
    <n v="3000"/>
    <n v="42000"/>
    <n v="126000"/>
    <n v="1"/>
    <x v="2"/>
    <n v="22.9"/>
    <n v="16"/>
    <x v="0"/>
    <s v="東長崎駅"/>
    <n v="6"/>
    <n v="9.33"/>
    <n v="104537.14"/>
    <n v="95329.65"/>
    <n v="315"/>
    <n v="1622"/>
    <s v="20-30"/>
    <x v="7"/>
  </r>
  <r>
    <s v="https://suumo.jp/chintai/jnc_000104317331/?bc=100484700280"/>
    <s v="西武池袋線 東長崎駅 2階建 築16年"/>
    <s v="東京都豊島区長崎３"/>
    <n v="86000"/>
    <n v="3000"/>
    <n v="43000"/>
    <n v="129000"/>
    <n v="1"/>
    <x v="2"/>
    <n v="24.1"/>
    <n v="16"/>
    <x v="0"/>
    <s v="東長崎駅"/>
    <n v="6"/>
    <n v="9.33"/>
    <n v="104537.14"/>
    <n v="95329.65"/>
    <n v="315"/>
    <n v="1622"/>
    <s v="20-30"/>
    <x v="7"/>
  </r>
  <r>
    <s v="https://suumo.jp/chintai/jnc_000103187869/?bc=100475606432"/>
    <s v="西武池袋線 東長崎駅 2階建 築21年"/>
    <s v="東京都豊島区長崎４"/>
    <n v="81000"/>
    <n v="4000"/>
    <n v="81000"/>
    <n v="81000"/>
    <n v="2"/>
    <x v="2"/>
    <n v="30.83"/>
    <n v="21"/>
    <x v="0"/>
    <s v="東長崎駅"/>
    <n v="3"/>
    <n v="11"/>
    <n v="104537.14"/>
    <n v="95329.65"/>
    <n v="315"/>
    <n v="1622"/>
    <s v="30-40"/>
    <x v="1"/>
  </r>
  <r>
    <s v="https://suumo.jp/chintai/jnc_000104029443/?bc=100482292295"/>
    <s v="西武池袋線 東長崎駅 2階建 築33年"/>
    <s v="東京都豊島区南長崎４"/>
    <n v="55000"/>
    <n v="3000"/>
    <m/>
    <m/>
    <n v="2"/>
    <x v="2"/>
    <n v="16.2"/>
    <n v="33"/>
    <x v="0"/>
    <s v="東長崎駅"/>
    <n v="5"/>
    <n v="10.33"/>
    <n v="104537.14"/>
    <n v="95329.65"/>
    <n v="315"/>
    <n v="1622"/>
    <s v="10-20"/>
    <x v="4"/>
  </r>
  <r>
    <s v="https://suumo.jp/chintai/jnc_000103771407/?bc=100480404505"/>
    <s v="西武池袋線 東長崎駅 2階建 築35年"/>
    <s v="東京都中野区江古田１"/>
    <n v="73000"/>
    <n v="4000"/>
    <n v="73000"/>
    <m/>
    <n v="2"/>
    <x v="2"/>
    <n v="21"/>
    <n v="35"/>
    <x v="0"/>
    <s v="東長崎駅"/>
    <n v="11"/>
    <n v="11.33"/>
    <n v="104537.14"/>
    <n v="95329.65"/>
    <n v="315"/>
    <n v="1622"/>
    <s v="20-30"/>
    <x v="4"/>
  </r>
  <r>
    <s v="https://suumo.jp/chintai/jnc_000102732881/?bc=100471975310"/>
    <s v="西武池袋線 東長崎駅 2階建 築35年"/>
    <s v="東京都中野区江古田１"/>
    <n v="74000"/>
    <n v="4000"/>
    <n v="74000"/>
    <m/>
    <n v="2"/>
    <x v="2"/>
    <n v="21"/>
    <n v="35"/>
    <x v="0"/>
    <s v="東長崎駅"/>
    <n v="11"/>
    <n v="11.33"/>
    <n v="104537.14"/>
    <n v="95329.65"/>
    <n v="315"/>
    <n v="1622"/>
    <s v="20-30"/>
    <x v="4"/>
  </r>
  <r>
    <s v="https://suumo.jp/chintai/jnc_000104483092/?bc=100485994161"/>
    <s v="西武池袋線 東長崎駅 2階建 築39年"/>
    <s v="東京都豊島区長崎４"/>
    <n v="53000"/>
    <n v="2000"/>
    <n v="53000"/>
    <n v="53000"/>
    <n v="1"/>
    <x v="2"/>
    <n v="17.579999999999998"/>
    <n v="39"/>
    <x v="0"/>
    <s v="東長崎駅"/>
    <n v="4"/>
    <n v="11"/>
    <n v="104537.14"/>
    <n v="95329.65"/>
    <n v="315"/>
    <n v="1622"/>
    <s v="10-20"/>
    <x v="4"/>
  </r>
  <r>
    <s v="https://suumo.jp/chintai/jnc_000104085862/?bc=100483721089"/>
    <s v="西武池袋線 東長崎駅 2階建 築3年"/>
    <s v="東京都新宿区西落合４"/>
    <n v="84000"/>
    <n v="3000"/>
    <m/>
    <m/>
    <n v="2"/>
    <x v="2"/>
    <n v="23.02"/>
    <n v="3"/>
    <x v="0"/>
    <s v="東長崎駅"/>
    <n v="13"/>
    <n v="13.33"/>
    <n v="104537.14"/>
    <n v="95329.65"/>
    <n v="315"/>
    <n v="1622"/>
    <s v="20-30"/>
    <x v="0"/>
  </r>
  <r>
    <s v="https://suumo.jp/chintai/jnc_000102979813/?bc=100482578997"/>
    <s v="西武池袋線 東長崎駅 3階建 築15年"/>
    <s v="東京都豊島区長崎５"/>
    <n v="88000"/>
    <n v="3000"/>
    <n v="88000"/>
    <n v="88000"/>
    <n v="2"/>
    <x v="2"/>
    <n v="28.99"/>
    <n v="15"/>
    <x v="2"/>
    <s v="東長崎駅"/>
    <n v="3"/>
    <n v="9.67"/>
    <n v="104537.14"/>
    <n v="95329.65"/>
    <n v="315"/>
    <n v="1622"/>
    <s v="20-30"/>
    <x v="7"/>
  </r>
  <r>
    <s v="https://suumo.jp/chintai/jnc_000103637039/?bc=100479578274"/>
    <s v="西武池袋線 東長崎駅 3階建 築4年"/>
    <s v="東京都豊島区南長崎６"/>
    <n v="96000"/>
    <n v="3300"/>
    <n v="96000"/>
    <n v="96000"/>
    <n v="1"/>
    <x v="2"/>
    <n v="25.83"/>
    <n v="4"/>
    <x v="2"/>
    <s v="東長崎駅"/>
    <n v="4"/>
    <n v="11.33"/>
    <n v="104537.14"/>
    <n v="95329.65"/>
    <n v="315"/>
    <n v="1622"/>
    <s v="20-30"/>
    <x v="0"/>
  </r>
  <r>
    <s v="https://suumo.jp/chintai/jnc_000104256665/?bc=100484573915"/>
    <s v="西武池袋線 東長崎駅 3階建 築6年"/>
    <s v="東京都豊島区南長崎５"/>
    <n v="82000"/>
    <n v="3000"/>
    <m/>
    <n v="82000"/>
    <n v="2"/>
    <x v="2"/>
    <n v="17.41"/>
    <n v="6"/>
    <x v="2"/>
    <s v="東長崎駅"/>
    <n v="3"/>
    <n v="5.5"/>
    <n v="104537.14"/>
    <n v="95329.65"/>
    <n v="315"/>
    <n v="1622"/>
    <s v="10-20"/>
    <x v="0"/>
  </r>
  <r>
    <s v="https://suumo.jp/chintai/jnc_000103570844/?bc=100478606642"/>
    <s v="西武池袋線 東長崎駅 3階建 築7年"/>
    <s v="東京都新宿区西落合４"/>
    <n v="92000"/>
    <n v="7000"/>
    <n v="92000"/>
    <m/>
    <n v="1"/>
    <x v="2"/>
    <n v="25.04"/>
    <n v="7"/>
    <x v="2"/>
    <s v="東長崎駅"/>
    <n v="9"/>
    <n v="9"/>
    <n v="104537.14"/>
    <n v="95329.65"/>
    <n v="315"/>
    <n v="1622"/>
    <s v="20-30"/>
    <x v="0"/>
  </r>
  <r>
    <s v="https://suumo.jp/chintai/jnc_000104317350/?bc=100484684095"/>
    <s v="西武池袋線 東長崎駅 3階建 築8年"/>
    <s v="東京都豊島区南長崎５"/>
    <n v="93000"/>
    <n v="5000"/>
    <n v="93000"/>
    <n v="93000"/>
    <n v="2"/>
    <x v="2"/>
    <n v="26.78"/>
    <n v="8"/>
    <x v="2"/>
    <s v="東長崎駅"/>
    <n v="3"/>
    <n v="11"/>
    <n v="104537.14"/>
    <n v="95329.65"/>
    <n v="315"/>
    <n v="1622"/>
    <s v="20-30"/>
    <x v="0"/>
  </r>
  <r>
    <s v="https://suumo.jp/chintai/jnc_000104138662/?bc=100479818907"/>
    <s v="西武池袋線 東長崎駅 4階建 新築"/>
    <s v="東京都新宿区西落合４"/>
    <n v="105000"/>
    <n v="12000"/>
    <m/>
    <m/>
    <n v="1"/>
    <x v="2"/>
    <n v="23.97"/>
    <n v="0"/>
    <x v="4"/>
    <s v="東長崎駅"/>
    <n v="7"/>
    <n v="9.33"/>
    <n v="104537.14"/>
    <n v="95329.65"/>
    <n v="315"/>
    <n v="1622"/>
    <s v="20-30"/>
    <x v="6"/>
  </r>
  <r>
    <s v="https://suumo.jp/chintai/jnc_000104138664/?bc=100472607464"/>
    <s v="西武池袋線 東長崎駅 4階建 新築"/>
    <s v="東京都新宿区西落合４"/>
    <n v="112000"/>
    <n v="12000"/>
    <m/>
    <m/>
    <n v="1"/>
    <x v="2"/>
    <n v="23.97"/>
    <n v="0"/>
    <x v="4"/>
    <s v="東長崎駅"/>
    <n v="7"/>
    <n v="9.33"/>
    <n v="104537.14"/>
    <n v="95329.65"/>
    <n v="315"/>
    <n v="1622"/>
    <s v="20-30"/>
    <x v="6"/>
  </r>
  <r>
    <s v="https://suumo.jp/chintai/jnc_000104138666/?bc=100472607486"/>
    <s v="西武池袋線 東長崎駅 4階建 新築"/>
    <s v="東京都新宿区西落合４"/>
    <n v="116000"/>
    <n v="12000"/>
    <m/>
    <m/>
    <n v="1"/>
    <x v="2"/>
    <n v="25.54"/>
    <n v="0"/>
    <x v="4"/>
    <s v="東長崎駅"/>
    <n v="7"/>
    <n v="9.33"/>
    <n v="104537.14"/>
    <n v="95329.65"/>
    <n v="315"/>
    <n v="1622"/>
    <s v="20-30"/>
    <x v="6"/>
  </r>
  <r>
    <s v="https://suumo.jp/chintai/jnc_000104138663/?bc=100479845929"/>
    <s v="西武池袋線 東長崎駅 4階建 新築"/>
    <s v="東京都新宿区西落合４"/>
    <n v="144000"/>
    <n v="12000"/>
    <m/>
    <m/>
    <n v="1"/>
    <x v="2"/>
    <n v="32.9"/>
    <n v="0"/>
    <x v="4"/>
    <s v="東長崎駅"/>
    <n v="7"/>
    <n v="9.33"/>
    <n v="104537.14"/>
    <n v="95329.65"/>
    <n v="315"/>
    <n v="1622"/>
    <s v="30-40"/>
    <x v="6"/>
  </r>
  <r>
    <s v="https://suumo.jp/chintai/jnc_000104138669/?bc=100472607461"/>
    <s v="西武池袋線 東長崎駅 4階建 新築"/>
    <s v="東京都新宿区西落合４"/>
    <n v="118000"/>
    <n v="12000"/>
    <m/>
    <m/>
    <n v="2"/>
    <x v="2"/>
    <n v="25.54"/>
    <n v="0"/>
    <x v="4"/>
    <s v="東長崎駅"/>
    <n v="7"/>
    <n v="9.33"/>
    <n v="104537.14"/>
    <n v="95329.65"/>
    <n v="315"/>
    <n v="1622"/>
    <s v="20-30"/>
    <x v="6"/>
  </r>
  <r>
    <s v="https://suumo.jp/chintai/jnc_000104138665/?bc=100471620367"/>
    <s v="西武池袋線 東長崎駅 4階建 新築"/>
    <s v="東京都新宿区西落合４"/>
    <n v="116000"/>
    <n v="12000"/>
    <m/>
    <m/>
    <n v="2"/>
    <x v="2"/>
    <n v="25"/>
    <n v="0"/>
    <x v="4"/>
    <s v="東長崎駅"/>
    <n v="7"/>
    <n v="9.33"/>
    <n v="104537.14"/>
    <n v="95329.65"/>
    <n v="315"/>
    <n v="1622"/>
    <s v="20-30"/>
    <x v="6"/>
  </r>
  <r>
    <s v="https://suumo.jp/chintai/jnc_000104138668/?bc=100472607498"/>
    <s v="西武池袋線 東長崎駅 4階建 新築"/>
    <s v="東京都新宿区西落合４"/>
    <n v="118000"/>
    <n v="12000"/>
    <m/>
    <m/>
    <n v="2"/>
    <x v="2"/>
    <n v="25"/>
    <n v="0"/>
    <x v="4"/>
    <s v="東長崎駅"/>
    <n v="7"/>
    <n v="9.33"/>
    <n v="104537.14"/>
    <n v="95329.65"/>
    <n v="315"/>
    <n v="1622"/>
    <s v="20-30"/>
    <x v="6"/>
  </r>
  <r>
    <s v="https://suumo.jp/chintai/jnc_000104138670/?bc=100472607488"/>
    <s v="西武池袋線 東長崎駅 4階建 新築"/>
    <s v="東京都新宿区西落合４"/>
    <n v="116000"/>
    <n v="12000"/>
    <m/>
    <m/>
    <n v="3"/>
    <x v="2"/>
    <n v="23.97"/>
    <n v="0"/>
    <x v="4"/>
    <s v="東長崎駅"/>
    <n v="7"/>
    <n v="9.33"/>
    <n v="104537.14"/>
    <n v="95329.65"/>
    <n v="315"/>
    <n v="1622"/>
    <s v="20-30"/>
    <x v="6"/>
  </r>
  <r>
    <s v="https://suumo.jp/chintai/jnc_000104138672/?bc=100472607460"/>
    <s v="西武池袋線 東長崎駅 4階建 新築"/>
    <s v="東京都新宿区西落合４"/>
    <n v="120000"/>
    <n v="12000"/>
    <m/>
    <m/>
    <n v="3"/>
    <x v="2"/>
    <n v="25.54"/>
    <n v="0"/>
    <x v="4"/>
    <s v="東長崎駅"/>
    <n v="7"/>
    <n v="9.33"/>
    <n v="104537.14"/>
    <n v="95329.65"/>
    <n v="315"/>
    <n v="1622"/>
    <s v="20-30"/>
    <x v="6"/>
  </r>
  <r>
    <s v="https://suumo.jp/chintai/jnc_000104138671/?bc=100472607463"/>
    <s v="西武池袋線 東長崎駅 4階建 新築"/>
    <s v="東京都新宿区西落合４"/>
    <n v="120000"/>
    <n v="12000"/>
    <m/>
    <m/>
    <n v="3"/>
    <x v="2"/>
    <n v="25"/>
    <n v="0"/>
    <x v="4"/>
    <s v="東長崎駅"/>
    <n v="7"/>
    <n v="9.33"/>
    <n v="104537.14"/>
    <n v="95329.65"/>
    <n v="315"/>
    <n v="1622"/>
    <s v="20-30"/>
    <x v="6"/>
  </r>
  <r>
    <s v="https://suumo.jp/chintai/jnc_000104532677/?bc=100486325944"/>
    <s v="西武池袋線 東長崎駅 4階建 築23年"/>
    <s v="東京都豊島区長崎４"/>
    <n v="65000"/>
    <n v="3000"/>
    <m/>
    <n v="65000"/>
    <n v="4"/>
    <x v="2"/>
    <n v="18.34"/>
    <n v="23"/>
    <x v="4"/>
    <s v="東長崎駅"/>
    <n v="2"/>
    <n v="9.33"/>
    <n v="104537.14"/>
    <n v="95329.65"/>
    <n v="315"/>
    <n v="1622"/>
    <s v="10-20"/>
    <x v="1"/>
  </r>
  <r>
    <s v="https://suumo.jp/chintai/jnc_000103567707/?bc=100479089118"/>
    <s v="西武池袋線 東長崎駅 4階建 築23年"/>
    <s v="東京都豊島区長崎４"/>
    <n v="69000"/>
    <n v="3000"/>
    <n v="69000"/>
    <n v="69000"/>
    <n v="4"/>
    <x v="2"/>
    <n v="18.34"/>
    <n v="23"/>
    <x v="4"/>
    <s v="東長崎駅"/>
    <n v="2"/>
    <n v="9.33"/>
    <n v="104537.14"/>
    <n v="95329.65"/>
    <n v="315"/>
    <n v="1622"/>
    <s v="10-20"/>
    <x v="1"/>
  </r>
  <r>
    <s v="https://suumo.jp/chintai/jnc_000104549120/?bc=100486453187"/>
    <s v="西武池袋線 東長崎駅 4階建 築2年"/>
    <s v="東京都豊島区南長崎６"/>
    <n v="88000"/>
    <n v="10000"/>
    <m/>
    <m/>
    <n v="1"/>
    <x v="2"/>
    <n v="20.059999999999999"/>
    <n v="2"/>
    <x v="4"/>
    <s v="東長崎駅"/>
    <n v="7"/>
    <n v="11.33"/>
    <n v="104537.14"/>
    <n v="95329.65"/>
    <n v="315"/>
    <n v="1622"/>
    <s v="20-30"/>
    <x v="0"/>
  </r>
  <r>
    <s v="https://suumo.jp/chintai/jnc_000103519972/?bc=100478147298"/>
    <s v="西武池袋線 東長崎駅 4階建 築3年"/>
    <s v="東京都豊島区長崎４"/>
    <n v="121000"/>
    <n v="5000"/>
    <m/>
    <n v="121000"/>
    <n v="1"/>
    <x v="2"/>
    <n v="44.54"/>
    <n v="3"/>
    <x v="4"/>
    <s v="東長崎駅"/>
    <n v="5"/>
    <n v="12.33"/>
    <n v="104537.14"/>
    <n v="95329.65"/>
    <n v="315"/>
    <n v="1622"/>
    <s v="40-50"/>
    <x v="0"/>
  </r>
  <r>
    <s v="https://suumo.jp/chintai/jnc_000103506134/?bc=100478048116"/>
    <s v="西武池袋線 東長崎駅 4階建 築3年"/>
    <s v="東京都豊島区長崎４"/>
    <n v="86000"/>
    <n v="5000"/>
    <m/>
    <n v="86000"/>
    <n v="4"/>
    <x v="2"/>
    <n v="21.17"/>
    <n v="3"/>
    <x v="4"/>
    <s v="東長崎駅"/>
    <n v="5"/>
    <n v="12.33"/>
    <n v="104537.14"/>
    <n v="95329.65"/>
    <n v="315"/>
    <n v="1622"/>
    <s v="20-30"/>
    <x v="0"/>
  </r>
  <r>
    <s v="https://suumo.jp/chintai/jnc_000075910908/?bc=100484303492"/>
    <s v="西武池袋線 東長崎駅 5階建 築27年"/>
    <s v="東京都豊島区南長崎５"/>
    <n v="65000"/>
    <m/>
    <n v="65000"/>
    <n v="97500"/>
    <n v="3"/>
    <x v="2"/>
    <n v="16.5"/>
    <n v="27"/>
    <x v="7"/>
    <s v="東長崎駅"/>
    <n v="2"/>
    <n v="8"/>
    <n v="104537.14"/>
    <n v="95329.65"/>
    <n v="315"/>
    <n v="1622"/>
    <s v="10-20"/>
    <x v="1"/>
  </r>
  <r>
    <s v="https://suumo.jp/chintai/jnc_000104379098/?bc=100485171291"/>
    <s v="西武池袋線 東長崎駅 5階建 築27年"/>
    <s v="東京都豊島区南長崎５"/>
    <n v="67000"/>
    <m/>
    <n v="67000"/>
    <n v="100500"/>
    <n v="3"/>
    <x v="2"/>
    <n v="19.5"/>
    <n v="27"/>
    <x v="7"/>
    <s v="東長崎駅"/>
    <n v="2"/>
    <n v="8"/>
    <n v="104537.14"/>
    <n v="95329.65"/>
    <n v="315"/>
    <n v="1622"/>
    <s v="10-20"/>
    <x v="1"/>
  </r>
  <r>
    <s v="https://suumo.jp/chintai/jnc_000103891953/?bc=100478616753"/>
    <s v="西武池袋線 東長崎駅 6階建 築12年"/>
    <s v="東京都豊島区南長崎５"/>
    <n v="89500"/>
    <n v="16000"/>
    <n v="89500"/>
    <n v="89500"/>
    <n v="4"/>
    <x v="2"/>
    <n v="21.8"/>
    <n v="12"/>
    <x v="5"/>
    <s v="東長崎駅"/>
    <n v="5"/>
    <n v="9.33"/>
    <n v="104537.14"/>
    <n v="95329.65"/>
    <n v="315"/>
    <n v="1622"/>
    <s v="20-30"/>
    <x v="7"/>
  </r>
  <r>
    <s v="https://suumo.jp/chintai/jnc_000103151049/?bc=100478750427"/>
    <s v="西武池袋線 東長崎駅 6階建 築12年"/>
    <s v="東京都豊島区南長崎５"/>
    <n v="92000"/>
    <n v="15000"/>
    <n v="92000"/>
    <n v="92000"/>
    <n v="4"/>
    <x v="2"/>
    <n v="21.8"/>
    <n v="12"/>
    <x v="5"/>
    <s v="東長崎駅"/>
    <n v="5"/>
    <n v="9.33"/>
    <n v="104537.14"/>
    <n v="95329.65"/>
    <n v="315"/>
    <n v="1622"/>
    <s v="20-30"/>
    <x v="7"/>
  </r>
  <r>
    <s v="https://suumo.jp/chintai/jnc_000103644519/?bc=100479267866"/>
    <s v="西武池袋線 東長崎駅 6階建 築35年"/>
    <s v="東京都豊島区南長崎５"/>
    <n v="69000"/>
    <n v="4000"/>
    <n v="69000"/>
    <n v="69000"/>
    <n v="3"/>
    <x v="2"/>
    <n v="19.36"/>
    <n v="35"/>
    <x v="5"/>
    <s v="東長崎駅"/>
    <n v="4"/>
    <n v="9.67"/>
    <n v="104537.14"/>
    <n v="95329.65"/>
    <n v="315"/>
    <n v="1622"/>
    <s v="10-20"/>
    <x v="4"/>
  </r>
  <r>
    <s v="https://suumo.jp/chintai/jnc_000102783829/?bc=100472924294"/>
    <s v="西武池袋線 東長崎駅 6階建 築6年"/>
    <s v="東京都豊島区南長崎５"/>
    <n v="128000"/>
    <n v="10000"/>
    <n v="128000"/>
    <n v="128000"/>
    <n v="4"/>
    <x v="2"/>
    <n v="32.94"/>
    <n v="6"/>
    <x v="5"/>
    <s v="東長崎駅"/>
    <n v="2"/>
    <n v="8.67"/>
    <n v="104537.14"/>
    <n v="95329.65"/>
    <n v="315"/>
    <n v="1622"/>
    <s v="30-40"/>
    <x v="0"/>
  </r>
  <r>
    <s v="https://suumo.jp/chintai/jnc_000104426448/?bc=100485546146"/>
    <s v="西武池袋線 東長崎駅 8階建 築15年"/>
    <s v="東京都豊島区南長崎６"/>
    <n v="81300"/>
    <n v="6700"/>
    <n v="81300"/>
    <n v="81300"/>
    <n v="5"/>
    <x v="2"/>
    <n v="21.22"/>
    <n v="15"/>
    <x v="9"/>
    <s v="東長崎駅"/>
    <n v="6"/>
    <n v="11.33"/>
    <n v="104537.14"/>
    <n v="95329.65"/>
    <n v="315"/>
    <n v="1622"/>
    <s v="20-30"/>
    <x v="7"/>
  </r>
  <r>
    <s v="https://suumo.jp/chintai/jnc_000103897346/?bc=100481454771"/>
    <s v="西武池袋線 東長崎駅 9階建 築24年"/>
    <s v="東京都豊島区長崎４"/>
    <n v="74000"/>
    <n v="8000"/>
    <n v="74000"/>
    <n v="74000"/>
    <n v="3"/>
    <x v="2"/>
    <n v="20.399999999999999"/>
    <n v="24"/>
    <x v="6"/>
    <s v="東長崎駅"/>
    <n v="3"/>
    <n v="7"/>
    <n v="104537.14"/>
    <n v="95329.65"/>
    <n v="315"/>
    <n v="1622"/>
    <s v="20-30"/>
    <x v="1"/>
  </r>
  <r>
    <s v="https://suumo.jp/chintai/jnc_000103903840/?bc=100481454766"/>
    <s v="西武池袋線 東長崎駅 地下1地上4階建 新築"/>
    <s v="東京都中野区江原町３"/>
    <n v="91000"/>
    <n v="5000"/>
    <m/>
    <n v="91000"/>
    <n v="1"/>
    <x v="2"/>
    <n v="20.010000000000002"/>
    <n v="0"/>
    <x v="7"/>
    <s v="東長崎駅"/>
    <n v="8"/>
    <n v="10"/>
    <n v="104537.14"/>
    <n v="95329.65"/>
    <n v="315"/>
    <n v="1622"/>
    <s v="20-30"/>
    <x v="6"/>
  </r>
  <r>
    <s v="https://suumo.jp/chintai/jnc_000103903841/?bc=100481454765"/>
    <s v="西武池袋線 東長崎駅 地下1地上4階建 新築"/>
    <s v="東京都中野区江原町３"/>
    <n v="91000"/>
    <n v="5000"/>
    <m/>
    <n v="91000"/>
    <n v="1"/>
    <x v="2"/>
    <n v="20.3"/>
    <n v="0"/>
    <x v="7"/>
    <s v="東長崎駅"/>
    <n v="8"/>
    <n v="10"/>
    <n v="104537.14"/>
    <n v="95329.65"/>
    <n v="315"/>
    <n v="1622"/>
    <s v="20-30"/>
    <x v="6"/>
  </r>
  <r>
    <s v="https://suumo.jp/chintai/jnc_000103903842/?bc=100481454763"/>
    <s v="西武池袋線 東長崎駅 地下1地上4階建 新築"/>
    <s v="東京都中野区江原町３"/>
    <n v="93000"/>
    <n v="5000"/>
    <m/>
    <n v="93000"/>
    <n v="2"/>
    <x v="2"/>
    <n v="20.010000000000002"/>
    <n v="0"/>
    <x v="7"/>
    <s v="東長崎駅"/>
    <n v="8"/>
    <n v="10"/>
    <n v="104537.14"/>
    <n v="95329.65"/>
    <n v="315"/>
    <n v="1622"/>
    <s v="20-30"/>
    <x v="6"/>
  </r>
  <r>
    <s v="https://suumo.jp/chintai/jnc_000103903843/?bc=100481454761"/>
    <s v="西武池袋線 東長崎駅 地下1地上4階建 新築"/>
    <s v="東京都中野区江原町３"/>
    <n v="93000"/>
    <n v="5000"/>
    <m/>
    <n v="93000"/>
    <n v="2"/>
    <x v="2"/>
    <n v="20.3"/>
    <n v="0"/>
    <x v="7"/>
    <s v="東長崎駅"/>
    <n v="8"/>
    <n v="10"/>
    <n v="104537.14"/>
    <n v="95329.65"/>
    <n v="315"/>
    <n v="1622"/>
    <s v="20-30"/>
    <x v="6"/>
  </r>
  <r>
    <s v="https://suumo.jp/chintai/jnc_000103929475/?bc=100481640252"/>
    <s v="西武池袋線 東長崎駅 地下1地上4階建 築45年"/>
    <s v="東京都豊島区長崎３"/>
    <n v="72000"/>
    <m/>
    <n v="72000"/>
    <n v="72000"/>
    <n v="3"/>
    <x v="2"/>
    <n v="23.6"/>
    <n v="45"/>
    <x v="7"/>
    <s v="東長崎駅"/>
    <n v="8"/>
    <n v="10.5"/>
    <n v="104537.14"/>
    <n v="95329.65"/>
    <n v="315"/>
    <n v="1622"/>
    <s v="20-30"/>
    <x v="3"/>
  </r>
  <r>
    <s v="https://suumo.jp/chintai/jnc_000103631882/?bc=100473248787"/>
    <s v="豊島千早レジデンス"/>
    <s v="東京都豊島区千早３"/>
    <n v="116000"/>
    <n v="9000"/>
    <m/>
    <m/>
    <n v="1"/>
    <x v="2"/>
    <n v="25.3"/>
    <n v="4"/>
    <x v="2"/>
    <s v="東長崎駅"/>
    <n v="8"/>
    <n v="11.67"/>
    <n v="104537.14"/>
    <n v="95329.65"/>
    <n v="315"/>
    <n v="1622"/>
    <s v="20-30"/>
    <x v="0"/>
  </r>
  <r>
    <s v="https://suumo.jp/chintai/jnc_000104261591/?bc=100484348849"/>
    <s v="都営大江戸線 新江古田駅 10階建 築6年"/>
    <s v="東京都新宿区西落合４"/>
    <n v="94000"/>
    <n v="15000"/>
    <m/>
    <n v="94000"/>
    <n v="7"/>
    <x v="2"/>
    <n v="25.51"/>
    <n v="6"/>
    <x v="1"/>
    <s v="東長崎駅"/>
    <n v="8"/>
    <n v="9"/>
    <n v="104537.14"/>
    <n v="95329.65"/>
    <n v="315"/>
    <n v="1622"/>
    <s v="20-30"/>
    <x v="0"/>
  </r>
  <r>
    <s v="https://suumo.jp/chintai/jnc_000102772049/?bc=100476481487"/>
    <s v="音楽マンション セレナーデ東長崎"/>
    <s v="東京都豊島区南長崎５"/>
    <n v="128000"/>
    <n v="10000"/>
    <n v="128000"/>
    <n v="128000"/>
    <n v="4"/>
    <x v="2"/>
    <n v="32.94"/>
    <n v="6"/>
    <x v="5"/>
    <s v="東長崎駅"/>
    <n v="2"/>
    <n v="8.67"/>
    <n v="104537.14"/>
    <n v="95329.65"/>
    <n v="315"/>
    <n v="1622"/>
    <s v="30-40"/>
    <x v="0"/>
  </r>
  <r>
    <s v="https://suumo.jp/chintai/jnc_000048257417/?bc=100455216742"/>
    <s v="飛龍屋ビル"/>
    <s v="東京都豊島区南長崎５"/>
    <n v="79000"/>
    <m/>
    <n v="79000"/>
    <m/>
    <n v="3"/>
    <x v="2"/>
    <n v="28.84"/>
    <n v="32"/>
    <x v="2"/>
    <s v="東長崎駅"/>
    <n v="5"/>
    <n v="6.5"/>
    <n v="104537.14"/>
    <n v="95329.65"/>
    <n v="315"/>
    <n v="1622"/>
    <s v="20-30"/>
    <x v="4"/>
  </r>
  <r>
    <s v="https://suumo.jp/chintai/jnc_000104335283/?bc=100484797048"/>
    <s v="ＦＬＡＴＳ南長崎"/>
    <s v="東京都豊島区南長崎６"/>
    <n v="90000"/>
    <n v="3000"/>
    <n v="90000"/>
    <n v="90000"/>
    <n v="1"/>
    <x v="2"/>
    <n v="25.41"/>
    <n v="6"/>
    <x v="0"/>
    <s v="東長崎駅"/>
    <n v="2"/>
    <n v="7"/>
    <n v="104537.14"/>
    <n v="95329.65"/>
    <n v="315"/>
    <n v="1622"/>
    <s v="20-30"/>
    <x v="0"/>
  </r>
  <r>
    <s v="https://suumo.jp/chintai/jnc_000102452447/?bc=100486412348"/>
    <s v="My　Style　vintage東長崎"/>
    <s v="東京都豊島区長崎４"/>
    <n v="174000"/>
    <n v="10000"/>
    <m/>
    <n v="174000"/>
    <n v="3"/>
    <x v="3"/>
    <n v="48.3"/>
    <n v="0"/>
    <x v="2"/>
    <s v="東長崎駅"/>
    <n v="2"/>
    <n v="10.67"/>
    <n v="104537.14"/>
    <n v="168453.81"/>
    <n v="315"/>
    <n v="788"/>
    <s v="40-50"/>
    <x v="6"/>
  </r>
  <r>
    <s v="https://suumo.jp/chintai/jnc_000104348471/?bc=100484930251"/>
    <s v="Oxalis長崎(オクサリスナガサキ)"/>
    <s v="東京都豊島区長崎４"/>
    <n v="118000"/>
    <n v="3000"/>
    <n v="118000"/>
    <n v="118000"/>
    <n v="2"/>
    <x v="3"/>
    <n v="33.74"/>
    <n v="2"/>
    <x v="2"/>
    <s v="東長崎駅"/>
    <n v="5"/>
    <n v="11.67"/>
    <n v="104537.14"/>
    <n v="168453.81"/>
    <n v="315"/>
    <n v="788"/>
    <s v="30-40"/>
    <x v="0"/>
  </r>
  <r>
    <s v="https://suumo.jp/chintai/jnc_000104076812/?bc=100482876862"/>
    <s v="PEDIO.Y"/>
    <s v="東京都豊島区南長崎６"/>
    <n v="134000"/>
    <n v="5000"/>
    <n v="134000"/>
    <n v="134000"/>
    <n v="2"/>
    <x v="3"/>
    <n v="31.5"/>
    <n v="2"/>
    <x v="4"/>
    <s v="東長崎駅"/>
    <n v="2"/>
    <n v="11.67"/>
    <n v="104537.14"/>
    <n v="168453.81"/>
    <n v="315"/>
    <n v="788"/>
    <s v="30-40"/>
    <x v="0"/>
  </r>
  <r>
    <s v="https://suumo.jp/chintai/jnc_000104407000/?bc=100485887966"/>
    <s v="SOCIETY OPUS TWO"/>
    <s v="東京都豊島区南長崎４"/>
    <n v="176000"/>
    <n v="8000"/>
    <n v="176000"/>
    <n v="176000"/>
    <n v="3"/>
    <x v="3"/>
    <n v="47.86"/>
    <n v="26"/>
    <x v="7"/>
    <s v="東長崎駅"/>
    <n v="5"/>
    <n v="10.67"/>
    <n v="104537.14"/>
    <n v="168453.81"/>
    <n v="315"/>
    <n v="788"/>
    <s v="40-50"/>
    <x v="1"/>
  </r>
  <r>
    <s v="https://suumo.jp/chintai/jnc_000103723443/?bc=100480550790"/>
    <s v="trias362"/>
    <s v="東京都豊島区長崎３"/>
    <n v="164000"/>
    <n v="18000"/>
    <m/>
    <m/>
    <n v="4"/>
    <x v="3"/>
    <n v="40.229999999999997"/>
    <n v="5"/>
    <x v="4"/>
    <s v="東長崎駅"/>
    <n v="7"/>
    <n v="10.33"/>
    <n v="104537.14"/>
    <n v="168453.81"/>
    <n v="315"/>
    <n v="788"/>
    <s v="40-50"/>
    <x v="0"/>
  </r>
  <r>
    <s v="https://suumo.jp/chintai/jnc_000101578813/?bc=100480121417"/>
    <s v="ウェルスクエア南長崎"/>
    <s v="東京都豊島区南長崎５"/>
    <n v="126000"/>
    <n v="8000"/>
    <n v="126000"/>
    <m/>
    <n v="5"/>
    <x v="3"/>
    <n v="25.74"/>
    <n v="2"/>
    <x v="7"/>
    <s v="東長崎駅"/>
    <n v="4"/>
    <n v="8"/>
    <n v="104537.14"/>
    <n v="168453.81"/>
    <n v="315"/>
    <n v="788"/>
    <s v="20-30"/>
    <x v="0"/>
  </r>
  <r>
    <s v="https://suumo.jp/chintai/jnc_000096759010/?bc=100423945024"/>
    <s v="ウェルスクエア南長崎"/>
    <s v="東京都豊島区南長崎５"/>
    <n v="129000"/>
    <n v="8000"/>
    <n v="129000"/>
    <n v="129000"/>
    <n v="5"/>
    <x v="3"/>
    <n v="25.74"/>
    <n v="2"/>
    <x v="7"/>
    <s v="東長崎駅"/>
    <n v="4"/>
    <n v="8"/>
    <n v="104537.14"/>
    <n v="168453.81"/>
    <n v="315"/>
    <n v="788"/>
    <s v="20-30"/>
    <x v="0"/>
  </r>
  <r>
    <s v="https://suumo.jp/chintai/jnc_000103014001/?bc=100474296313"/>
    <s v="エミリブ東長崎"/>
    <s v="東京都豊島区南長崎５"/>
    <n v="182000"/>
    <n v="10000"/>
    <n v="182000"/>
    <m/>
    <n v="4"/>
    <x v="3"/>
    <n v="38.89"/>
    <n v="7"/>
    <x v="8"/>
    <s v="東長崎駅"/>
    <n v="1"/>
    <n v="8.67"/>
    <n v="104537.14"/>
    <n v="168453.81"/>
    <n v="315"/>
    <n v="788"/>
    <s v="30-40"/>
    <x v="0"/>
  </r>
  <r>
    <s v="https://suumo.jp/chintai/jnc_000104241906/?bc=100474562452"/>
    <s v="エミリブ東長崎"/>
    <s v="東京都豊島区南長崎５"/>
    <n v="182000"/>
    <n v="10000"/>
    <n v="182000"/>
    <m/>
    <n v="7"/>
    <x v="3"/>
    <n v="38.89"/>
    <n v="7"/>
    <x v="8"/>
    <s v="東長崎駅"/>
    <n v="1"/>
    <n v="8.67"/>
    <n v="104537.14"/>
    <n v="168453.81"/>
    <n v="315"/>
    <n v="788"/>
    <s v="30-40"/>
    <x v="0"/>
  </r>
  <r>
    <s v="https://suumo.jp/chintai/jnc_000101864653/?bc=100474570022"/>
    <s v="エミリブ東長崎"/>
    <s v="東京都豊島区南長崎５"/>
    <n v="185000"/>
    <n v="10000"/>
    <n v="185000"/>
    <m/>
    <n v="7"/>
    <x v="3"/>
    <n v="38.89"/>
    <n v="7"/>
    <x v="8"/>
    <s v="東長崎駅"/>
    <n v="1"/>
    <n v="8.67"/>
    <n v="104537.14"/>
    <n v="168453.81"/>
    <n v="315"/>
    <n v="788"/>
    <s v="30-40"/>
    <x v="0"/>
  </r>
  <r>
    <s v="https://suumo.jp/chintai/jnc_000102679534/?bc=100482747894"/>
    <s v="カサーラ長崎"/>
    <s v="東京都豊島区長崎５"/>
    <n v="118000"/>
    <n v="5000"/>
    <n v="118000"/>
    <n v="118000"/>
    <n v="1"/>
    <x v="3"/>
    <n v="34.869999999999997"/>
    <n v="0"/>
    <x v="0"/>
    <s v="東長崎駅"/>
    <n v="5"/>
    <n v="11.33"/>
    <n v="104537.14"/>
    <n v="168453.81"/>
    <n v="315"/>
    <n v="788"/>
    <s v="30-40"/>
    <x v="6"/>
  </r>
  <r>
    <s v="https://suumo.jp/chintai/jnc_000103245180/?bc=100476258099"/>
    <s v="コンパルティア東長崎"/>
    <s v="東京都豊島区南長崎５"/>
    <n v="129000"/>
    <n v="10000"/>
    <n v="129000"/>
    <m/>
    <n v="9"/>
    <x v="3"/>
    <n v="30.79"/>
    <n v="8"/>
    <x v="6"/>
    <s v="東長崎駅"/>
    <n v="3"/>
    <n v="8.33"/>
    <n v="104537.14"/>
    <n v="168453.81"/>
    <n v="315"/>
    <n v="788"/>
    <s v="30-40"/>
    <x v="0"/>
  </r>
  <r>
    <s v="https://suumo.jp/chintai/jnc_000103324710/?bc=100483713336"/>
    <s v="コンパルティア東長崎"/>
    <s v="東京都豊島区南長崎５"/>
    <n v="132000"/>
    <n v="10000"/>
    <n v="132000"/>
    <m/>
    <n v="9"/>
    <x v="3"/>
    <n v="30.79"/>
    <n v="8"/>
    <x v="6"/>
    <s v="東長崎駅"/>
    <n v="3"/>
    <n v="8.33"/>
    <n v="104537.14"/>
    <n v="168453.81"/>
    <n v="315"/>
    <n v="788"/>
    <s v="30-40"/>
    <x v="0"/>
  </r>
  <r>
    <s v="https://suumo.jp/chintai/jnc_000102971670/?bc=100474114229"/>
    <s v="コンパルティア東長崎"/>
    <s v="東京都豊島区南長崎５"/>
    <n v="157000"/>
    <n v="10000"/>
    <n v="157000"/>
    <m/>
    <n v="9"/>
    <x v="3"/>
    <n v="40.44"/>
    <n v="8"/>
    <x v="6"/>
    <s v="東長崎駅"/>
    <n v="3"/>
    <n v="8.33"/>
    <n v="104537.14"/>
    <n v="168453.81"/>
    <n v="315"/>
    <n v="788"/>
    <s v="40-50"/>
    <x v="0"/>
  </r>
  <r>
    <s v="https://suumo.jp/chintai/jnc_000103844432/?bc=100481424699"/>
    <s v="ザ・パークハビオ東長崎"/>
    <s v="東京都豊島区南長崎５"/>
    <n v="178000"/>
    <n v="20000"/>
    <n v="178000"/>
    <n v="178000"/>
    <n v="3"/>
    <x v="3"/>
    <n v="38.31"/>
    <n v="3"/>
    <x v="1"/>
    <s v="東長崎駅"/>
    <n v="1"/>
    <n v="8.67"/>
    <n v="104537.14"/>
    <n v="168453.81"/>
    <n v="315"/>
    <n v="788"/>
    <s v="30-40"/>
    <x v="0"/>
  </r>
  <r>
    <s v="https://suumo.jp/chintai/jnc_000101574405/?bc=100461612957"/>
    <s v="セジョリ新宿西落合"/>
    <s v="東京都新宿区西落合４"/>
    <n v="160000"/>
    <n v="20000"/>
    <m/>
    <n v="160000"/>
    <n v="8"/>
    <x v="3"/>
    <n v="41.08"/>
    <n v="6"/>
    <x v="1"/>
    <s v="東長崎駅"/>
    <n v="8"/>
    <n v="10"/>
    <n v="104537.14"/>
    <n v="168453.81"/>
    <n v="315"/>
    <n v="788"/>
    <s v="40-50"/>
    <x v="0"/>
  </r>
  <r>
    <s v="https://suumo.jp/chintai/jnc_000103637029/?bc=100479499341"/>
    <s v="プライム東長崎"/>
    <s v="東京都豊島区長崎５"/>
    <n v="140000"/>
    <m/>
    <n v="140000"/>
    <n v="140000"/>
    <n v="2"/>
    <x v="3"/>
    <n v="36.4"/>
    <n v="37"/>
    <x v="4"/>
    <s v="東長崎駅"/>
    <n v="4"/>
    <n v="11.33"/>
    <n v="104537.14"/>
    <n v="168453.81"/>
    <n v="315"/>
    <n v="788"/>
    <s v="30-40"/>
    <x v="4"/>
  </r>
  <r>
    <s v="https://suumo.jp/chintai/jnc_000101338305/?bc=100455613729"/>
    <s v="プリマヴィータ"/>
    <s v="東京都豊島区長崎５"/>
    <n v="118000"/>
    <n v="5000"/>
    <m/>
    <n v="118000"/>
    <n v="1"/>
    <x v="3"/>
    <n v="30.02"/>
    <n v="0"/>
    <x v="2"/>
    <s v="東長崎駅"/>
    <n v="4"/>
    <n v="11"/>
    <n v="104537.14"/>
    <n v="168453.81"/>
    <n v="315"/>
    <n v="788"/>
    <s v="30-40"/>
    <x v="6"/>
  </r>
  <r>
    <s v="https://suumo.jp/chintai/jnc_000102633143/?bc=100455613733"/>
    <s v="プリマヴィータ"/>
    <s v="東京都豊島区長崎５"/>
    <n v="132000"/>
    <n v="5000"/>
    <m/>
    <n v="132000"/>
    <n v="2"/>
    <x v="3"/>
    <n v="30.95"/>
    <n v="0"/>
    <x v="2"/>
    <s v="東長崎駅"/>
    <n v="4"/>
    <n v="11"/>
    <n v="104537.14"/>
    <n v="168453.81"/>
    <n v="315"/>
    <n v="788"/>
    <s v="30-40"/>
    <x v="6"/>
  </r>
  <r>
    <s v="https://suumo.jp/chintai/jnc_000102633144/?bc=100455613727"/>
    <s v="プリマヴィータ"/>
    <s v="東京都豊島区長崎５"/>
    <n v="134000"/>
    <n v="5000"/>
    <m/>
    <n v="134000"/>
    <n v="3"/>
    <x v="3"/>
    <n v="30.95"/>
    <n v="0"/>
    <x v="2"/>
    <s v="東長崎駅"/>
    <n v="4"/>
    <n v="11"/>
    <n v="104537.14"/>
    <n v="168453.81"/>
    <n v="315"/>
    <n v="788"/>
    <s v="30-40"/>
    <x v="6"/>
  </r>
  <r>
    <s v="https://suumo.jp/chintai/jnc_000102458559/?bc=100455613732"/>
    <s v="プリマヴィータ"/>
    <s v="東京都豊島区長崎５"/>
    <n v="136000"/>
    <n v="5000"/>
    <m/>
    <n v="136000"/>
    <n v="3"/>
    <x v="3"/>
    <n v="33.729999999999997"/>
    <n v="0"/>
    <x v="2"/>
    <s v="東長崎駅"/>
    <n v="4"/>
    <n v="11"/>
    <n v="104537.14"/>
    <n v="168453.81"/>
    <n v="315"/>
    <n v="788"/>
    <s v="30-40"/>
    <x v="6"/>
  </r>
  <r>
    <s v="https://suumo.jp/chintai/jnc_000103813540/?bc=100483240878"/>
    <s v="メゾンド・シャルマン"/>
    <s v="東京都豊島区南長崎５"/>
    <n v="134000"/>
    <n v="5800"/>
    <m/>
    <n v="268000"/>
    <n v="2"/>
    <x v="3"/>
    <n v="40.79"/>
    <n v="14"/>
    <x v="10"/>
    <s v="東長崎駅"/>
    <n v="2"/>
    <n v="8.67"/>
    <n v="104537.14"/>
    <n v="168453.81"/>
    <n v="315"/>
    <n v="788"/>
    <s v="40-50"/>
    <x v="7"/>
  </r>
  <r>
    <s v="https://suumo.jp/chintai/jnc_000104010691/?bc=100482141309"/>
    <s v="ユービ１０"/>
    <s v="東京都豊島区南長崎５"/>
    <n v="126000"/>
    <n v="9000"/>
    <n v="126000"/>
    <n v="126000"/>
    <n v="1"/>
    <x v="3"/>
    <n v="33.479999999999997"/>
    <n v="54"/>
    <x v="0"/>
    <s v="東長崎駅"/>
    <n v="5"/>
    <n v="6"/>
    <n v="104537.14"/>
    <n v="168453.81"/>
    <n v="315"/>
    <n v="788"/>
    <s v="30-40"/>
    <x v="5"/>
  </r>
  <r>
    <s v="https://suumo.jp/chintai/jnc_000104010692/?bc=100482141306"/>
    <s v="ユービ１０"/>
    <s v="東京都豊島区南長崎５"/>
    <n v="127000"/>
    <n v="9000"/>
    <n v="127000"/>
    <n v="127000"/>
    <n v="1"/>
    <x v="3"/>
    <n v="33.950000000000003"/>
    <n v="54"/>
    <x v="0"/>
    <s v="東長崎駅"/>
    <n v="5"/>
    <n v="6"/>
    <n v="104537.14"/>
    <n v="168453.81"/>
    <n v="315"/>
    <n v="788"/>
    <s v="30-40"/>
    <x v="5"/>
  </r>
  <r>
    <s v="https://suumo.jp/chintai/jnc_000104010693/?bc=100482141305"/>
    <s v="ユービ１０"/>
    <s v="東京都豊島区南長崎５"/>
    <n v="130000"/>
    <n v="11000"/>
    <n v="130000"/>
    <n v="130000"/>
    <n v="1"/>
    <x v="3"/>
    <n v="33.950000000000003"/>
    <n v="54"/>
    <x v="0"/>
    <s v="東長崎駅"/>
    <n v="5"/>
    <n v="6"/>
    <n v="104537.14"/>
    <n v="168453.81"/>
    <n v="315"/>
    <n v="788"/>
    <s v="30-40"/>
    <x v="5"/>
  </r>
  <r>
    <s v="https://suumo.jp/chintai/jnc_000104010695/?bc=100482141307"/>
    <s v="ユービ１０"/>
    <s v="東京都豊島区南長崎５"/>
    <n v="128000"/>
    <n v="9000"/>
    <n v="128000"/>
    <n v="128000"/>
    <n v="2"/>
    <x v="3"/>
    <n v="33.119999999999997"/>
    <n v="54"/>
    <x v="0"/>
    <s v="東長崎駅"/>
    <n v="5"/>
    <n v="6"/>
    <n v="104537.14"/>
    <n v="168453.81"/>
    <n v="315"/>
    <n v="788"/>
    <s v="30-40"/>
    <x v="5"/>
  </r>
  <r>
    <s v="https://suumo.jp/chintai/jnc_000104010696/?bc=100482141304"/>
    <s v="ユービ１０"/>
    <s v="東京都豊島区南長崎５"/>
    <n v="129000"/>
    <n v="9000"/>
    <n v="129000"/>
    <n v="129000"/>
    <n v="2"/>
    <x v="3"/>
    <n v="33.950000000000003"/>
    <n v="54"/>
    <x v="0"/>
    <s v="東長崎駅"/>
    <n v="5"/>
    <n v="6"/>
    <n v="104537.14"/>
    <n v="168453.81"/>
    <n v="315"/>
    <n v="788"/>
    <s v="30-40"/>
    <x v="5"/>
  </r>
  <r>
    <s v="https://suumo.jp/chintai/jnc_000104010697/?bc=100482141302"/>
    <s v="ユービ１０"/>
    <s v="東京都豊島区南長崎５"/>
    <n v="132000"/>
    <n v="11000"/>
    <n v="132000"/>
    <n v="132000"/>
    <n v="2"/>
    <x v="3"/>
    <n v="33.950000000000003"/>
    <n v="54"/>
    <x v="0"/>
    <s v="東長崎駅"/>
    <n v="5"/>
    <n v="6"/>
    <n v="104537.14"/>
    <n v="168453.81"/>
    <n v="315"/>
    <n v="788"/>
    <s v="30-40"/>
    <x v="5"/>
  </r>
  <r>
    <s v="https://suumo.jp/chintai/jnc_000103269831/?bc=100476245331"/>
    <s v="ルクレ東長崎"/>
    <s v="東京都豊島区長崎５"/>
    <n v="147000"/>
    <n v="5000"/>
    <m/>
    <m/>
    <n v="1"/>
    <x v="3"/>
    <n v="43.28"/>
    <n v="36"/>
    <x v="2"/>
    <s v="東長崎駅"/>
    <n v="5"/>
    <n v="11.67"/>
    <n v="104537.14"/>
    <n v="168453.81"/>
    <n v="315"/>
    <n v="788"/>
    <s v="40-50"/>
    <x v="4"/>
  </r>
  <r>
    <s v="https://suumo.jp/chintai/jnc_000100887932/?bc=100485399849"/>
    <s v="ワールドレジデンス"/>
    <s v="東京都豊島区長崎５"/>
    <n v="142000"/>
    <n v="3000"/>
    <n v="142000"/>
    <n v="142000"/>
    <n v="1"/>
    <x v="3"/>
    <n v="38.97"/>
    <n v="3"/>
    <x v="0"/>
    <s v="東長崎駅"/>
    <n v="5"/>
    <n v="9.33"/>
    <n v="104537.14"/>
    <n v="168453.81"/>
    <n v="315"/>
    <n v="788"/>
    <s v="30-40"/>
    <x v="0"/>
  </r>
  <r>
    <s v="https://suumo.jp/chintai/jnc_000103474367/?bc=100477934927"/>
    <s v="ワールドレジデンス"/>
    <s v="東京都豊島区長崎５"/>
    <n v="143000"/>
    <n v="3000"/>
    <n v="143000"/>
    <n v="143000"/>
    <n v="2"/>
    <x v="3"/>
    <n v="38.97"/>
    <n v="3"/>
    <x v="0"/>
    <s v="東長崎駅"/>
    <n v="5"/>
    <n v="9.33"/>
    <n v="104537.14"/>
    <n v="168453.81"/>
    <n v="315"/>
    <n v="788"/>
    <s v="30-40"/>
    <x v="0"/>
  </r>
  <r>
    <s v="https://suumo.jp/chintai/jnc_000101738513/?bc=100478433169"/>
    <s v="ヴィレッジ長崎"/>
    <s v="東京都豊島区長崎３"/>
    <n v="95000"/>
    <n v="2000"/>
    <n v="95000"/>
    <n v="95000"/>
    <n v="1"/>
    <x v="3"/>
    <n v="38.92"/>
    <n v="39"/>
    <x v="0"/>
    <s v="東長崎駅"/>
    <n v="8"/>
    <n v="10"/>
    <n v="104537.14"/>
    <n v="168453.81"/>
    <n v="315"/>
    <n v="788"/>
    <s v="30-40"/>
    <x v="4"/>
  </r>
  <r>
    <s v="https://suumo.jp/chintai/jnc_000103851688/?bc=100484006905"/>
    <s v="西武池袋線 東長崎駅 10階建 築3年"/>
    <s v="東京都豊島区南長崎５"/>
    <n v="178000"/>
    <n v="20000"/>
    <n v="178000"/>
    <n v="178000"/>
    <n v="3"/>
    <x v="3"/>
    <n v="38.31"/>
    <n v="3"/>
    <x v="1"/>
    <s v="東長崎駅"/>
    <n v="1"/>
    <n v="9.67"/>
    <n v="104537.14"/>
    <n v="168453.81"/>
    <n v="315"/>
    <n v="788"/>
    <s v="30-40"/>
    <x v="0"/>
  </r>
  <r>
    <s v="https://suumo.jp/chintai/jnc_000103054841/?bc=100475382315"/>
    <s v="西武池袋線 東長崎駅 11階建 築7年"/>
    <s v="東京都豊島区南長崎５"/>
    <n v="182000"/>
    <n v="10000"/>
    <n v="182000"/>
    <m/>
    <n v="4"/>
    <x v="3"/>
    <n v="38.89"/>
    <n v="7"/>
    <x v="8"/>
    <s v="東長崎駅"/>
    <n v="1"/>
    <n v="10"/>
    <n v="104537.14"/>
    <n v="168453.81"/>
    <n v="315"/>
    <n v="788"/>
    <s v="30-40"/>
    <x v="0"/>
  </r>
  <r>
    <s v="https://suumo.jp/chintai/jnc_000101886074/?bc=100474300776"/>
    <s v="西武池袋線 東長崎駅 11階建 築7年"/>
    <s v="東京都豊島区南長崎５"/>
    <n v="185000"/>
    <n v="10000"/>
    <n v="185000"/>
    <m/>
    <n v="7"/>
    <x v="3"/>
    <n v="38.89"/>
    <n v="7"/>
    <x v="8"/>
    <s v="東長崎駅"/>
    <n v="1"/>
    <n v="10"/>
    <n v="104537.14"/>
    <n v="168453.81"/>
    <n v="315"/>
    <n v="788"/>
    <s v="30-40"/>
    <x v="0"/>
  </r>
  <r>
    <s v="https://suumo.jp/chintai/jnc_000104156925/?bc=100483391826"/>
    <s v="西武池袋線 東長崎駅 2階建 新築"/>
    <s v="東京都豊島区南長崎６"/>
    <n v="145000"/>
    <n v="3000"/>
    <n v="145000"/>
    <n v="145000"/>
    <n v="1"/>
    <x v="3"/>
    <n v="43.47"/>
    <n v="0"/>
    <x v="0"/>
    <s v="東長崎駅"/>
    <n v="2"/>
    <n v="9.67"/>
    <n v="104537.14"/>
    <n v="168453.81"/>
    <n v="315"/>
    <n v="788"/>
    <s v="40-50"/>
    <x v="6"/>
  </r>
  <r>
    <s v="https://suumo.jp/chintai/jnc_000104156926/?bc=100483391824"/>
    <s v="西武池袋線 東長崎駅 2階建 新築"/>
    <s v="東京都豊島区南長崎６"/>
    <n v="162000"/>
    <n v="3000"/>
    <n v="162000"/>
    <n v="162000"/>
    <n v="2"/>
    <x v="3"/>
    <n v="52.17"/>
    <n v="0"/>
    <x v="0"/>
    <s v="東長崎駅"/>
    <n v="2"/>
    <n v="9.67"/>
    <n v="104537.14"/>
    <n v="168453.81"/>
    <n v="315"/>
    <n v="788"/>
    <s v="50-60"/>
    <x v="6"/>
  </r>
  <r>
    <s v="https://suumo.jp/chintai/jnc_000100889676/?bc=100485361558"/>
    <s v="西武池袋線 東長崎駅 2階建 築3年"/>
    <s v="東京都豊島区長崎５"/>
    <n v="142000"/>
    <n v="3000"/>
    <n v="142000"/>
    <n v="142000"/>
    <n v="1"/>
    <x v="3"/>
    <n v="38.97"/>
    <n v="3"/>
    <x v="0"/>
    <s v="東長崎駅"/>
    <n v="5"/>
    <n v="12"/>
    <n v="104537.14"/>
    <n v="168453.81"/>
    <n v="315"/>
    <n v="788"/>
    <s v="30-40"/>
    <x v="0"/>
  </r>
  <r>
    <s v="https://suumo.jp/chintai/jnc_000104076813/?bc=100482785352"/>
    <s v="西武池袋線 東長崎駅 4階建 築2年"/>
    <s v="東京都豊島区南長崎６"/>
    <n v="134000"/>
    <n v="5000"/>
    <n v="134000"/>
    <n v="134000"/>
    <n v="2"/>
    <x v="3"/>
    <n v="31.5"/>
    <n v="2"/>
    <x v="4"/>
    <s v="東長崎駅"/>
    <n v="2"/>
    <n v="10.33"/>
    <n v="104537.14"/>
    <n v="168453.81"/>
    <n v="315"/>
    <n v="788"/>
    <s v="30-40"/>
    <x v="0"/>
  </r>
  <r>
    <s v="https://suumo.jp/chintai/jnc_000101584118/?bc=100482730909"/>
    <s v="西武池袋線 東長崎駅 5階建 新築"/>
    <s v="東京都豊島区南長崎５"/>
    <n v="126000"/>
    <n v="8000"/>
    <n v="126000"/>
    <m/>
    <n v="5"/>
    <x v="3"/>
    <n v="25.74"/>
    <n v="0"/>
    <x v="7"/>
    <s v="東長崎駅"/>
    <n v="4"/>
    <n v="8.33"/>
    <n v="104537.14"/>
    <n v="168453.81"/>
    <n v="315"/>
    <n v="788"/>
    <s v="20-30"/>
    <x v="6"/>
  </r>
  <r>
    <s v="https://suumo.jp/chintai/jnc_000104132740/?bc=100483912899"/>
    <s v="西武池袋線 東長崎駅 7階建 築14年"/>
    <s v="東京都豊島区南長崎５"/>
    <n v="134000"/>
    <n v="5800"/>
    <m/>
    <n v="268000"/>
    <n v="2"/>
    <x v="3"/>
    <n v="40.79"/>
    <n v="14"/>
    <x v="10"/>
    <s v="東長崎駅"/>
    <n v="2"/>
    <n v="8.67"/>
    <n v="104537.14"/>
    <n v="168453.81"/>
    <n v="315"/>
    <n v="788"/>
    <s v="40-50"/>
    <x v="7"/>
  </r>
  <r>
    <s v="https://suumo.jp/chintai/jnc_000103380424/?bc=100476135881"/>
    <s v="西武池袋線 東長崎駅 9階建 築8年"/>
    <s v="東京都豊島区南長崎５"/>
    <n v="132000"/>
    <n v="10000"/>
    <n v="132000"/>
    <m/>
    <n v="9"/>
    <x v="3"/>
    <n v="30.79"/>
    <n v="8"/>
    <x v="6"/>
    <s v="東長崎駅"/>
    <n v="3"/>
    <n v="10.33"/>
    <n v="104537.14"/>
    <n v="168453.81"/>
    <n v="315"/>
    <n v="788"/>
    <s v="30-40"/>
    <x v="0"/>
  </r>
  <r>
    <s v="https://suumo.jp/chintai/jnc_000103903844/?bc=100481454762"/>
    <s v="西武池袋線 東長崎駅 地下1地上4階建 新築"/>
    <s v="東京都中野区江原町３"/>
    <n v="150000"/>
    <n v="5000"/>
    <n v="150000"/>
    <n v="150000"/>
    <n v="3"/>
    <x v="3"/>
    <n v="40.43"/>
    <n v="0"/>
    <x v="7"/>
    <s v="東長崎駅"/>
    <n v="8"/>
    <n v="10"/>
    <n v="104537.14"/>
    <n v="168453.81"/>
    <n v="315"/>
    <n v="788"/>
    <s v="40-50"/>
    <x v="6"/>
  </r>
  <r>
    <s v="https://suumo.jp/chintai/jnc_000102645989/?bc=100471545910"/>
    <s v="Ｌａ　Ｍａｉｓｏｎ　Ｄｅ　Ｐａｕｌ"/>
    <s v="東京都豊島区南長崎６"/>
    <n v="165000"/>
    <n v="10000"/>
    <n v="165000"/>
    <n v="165000"/>
    <n v="3"/>
    <x v="3"/>
    <n v="51.2"/>
    <n v="3"/>
    <x v="7"/>
    <s v="東長崎駅"/>
    <n v="6"/>
    <n v="12"/>
    <n v="104537.14"/>
    <n v="168453.81"/>
    <n v="315"/>
    <n v="788"/>
    <s v="50-60"/>
    <x v="0"/>
  </r>
  <r>
    <s v="https://suumo.jp/chintai/jnc_000103078604/?bc=100474748296"/>
    <s v="Ｌｕｍｉｎｏｕｓ東長崎"/>
    <s v="東京都豊島区南長崎６"/>
    <n v="145000"/>
    <n v="3000"/>
    <n v="145000"/>
    <n v="145000"/>
    <n v="1"/>
    <x v="3"/>
    <n v="43.47"/>
    <n v="0"/>
    <x v="0"/>
    <s v="東長崎駅"/>
    <n v="3"/>
    <n v="12"/>
    <n v="104537.14"/>
    <n v="168453.81"/>
    <n v="315"/>
    <n v="788"/>
    <s v="40-50"/>
    <x v="6"/>
  </r>
  <r>
    <s v="https://suumo.jp/chintai/jnc_000103078605/?bc=100483378525"/>
    <s v="Ｌｕｍｉｎｏｕｓ東長崎"/>
    <s v="東京都豊島区南長崎６"/>
    <n v="162000"/>
    <n v="3000"/>
    <n v="162000"/>
    <n v="162000"/>
    <n v="2"/>
    <x v="3"/>
    <n v="52.17"/>
    <n v="0"/>
    <x v="0"/>
    <s v="東長崎駅"/>
    <n v="3"/>
    <n v="12"/>
    <n v="104537.14"/>
    <n v="168453.81"/>
    <n v="315"/>
    <n v="788"/>
    <s v="50-60"/>
    <x v="6"/>
  </r>
  <r>
    <s v="https://suumo.jp/chintai/jnc_000103994909/?bc=100482293570"/>
    <s v="CAMELLIA東長崎"/>
    <s v="東京都豊島区長崎５"/>
    <n v="87000"/>
    <n v="5000"/>
    <m/>
    <n v="87000"/>
    <n v="4"/>
    <x v="0"/>
    <n v="18.13"/>
    <n v="4"/>
    <x v="7"/>
    <s v="東長崎駅"/>
    <n v="2"/>
    <n v="9.33"/>
    <n v="104537.14"/>
    <n v="77692.34"/>
    <n v="315"/>
    <n v="1071"/>
    <s v="10-20"/>
    <x v="0"/>
  </r>
  <r>
    <s v="https://suumo.jp/chintai/jnc_000104163424/?bc=100483547635"/>
    <s v="PEDIO.Y"/>
    <s v="東京都豊島区南長崎６"/>
    <n v="105000"/>
    <n v="5000"/>
    <n v="105000"/>
    <n v="105000"/>
    <n v="2"/>
    <x v="0"/>
    <n v="25.2"/>
    <n v="2"/>
    <x v="4"/>
    <s v="東長崎駅"/>
    <n v="2"/>
    <n v="11.67"/>
    <n v="104537.14"/>
    <n v="77692.34"/>
    <n v="315"/>
    <n v="1071"/>
    <s v="20-30"/>
    <x v="0"/>
  </r>
  <r>
    <s v="https://suumo.jp/chintai/jnc_000104029444/?bc=100482474756"/>
    <s v="Stone ForestV"/>
    <s v="東京都豊島区南長崎６"/>
    <n v="105000"/>
    <n v="5000"/>
    <n v="105000"/>
    <n v="105000"/>
    <n v="1"/>
    <x v="0"/>
    <n v="28.92"/>
    <n v="3"/>
    <x v="4"/>
    <s v="東長崎駅"/>
    <n v="7"/>
    <n v="11"/>
    <n v="104537.14"/>
    <n v="77692.34"/>
    <n v="315"/>
    <n v="1071"/>
    <s v="20-30"/>
    <x v="0"/>
  </r>
  <r>
    <s v="https://suumo.jp/chintai/jnc_000045067274/?bc=100483904150"/>
    <s v="アイコート東長崎"/>
    <s v="東京都豊島区長崎４"/>
    <n v="55000"/>
    <n v="6000"/>
    <m/>
    <m/>
    <n v="3"/>
    <x v="0"/>
    <n v="17.39"/>
    <n v="25"/>
    <x v="2"/>
    <s v="東長崎駅"/>
    <n v="3"/>
    <n v="8"/>
    <n v="104537.14"/>
    <n v="77692.34"/>
    <n v="315"/>
    <n v="1071"/>
    <s v="10-20"/>
    <x v="1"/>
  </r>
  <r>
    <s v="https://suumo.jp/chintai/jnc_000063101497/?bc=100482984960"/>
    <s v="アズール東長崎"/>
    <s v="東京都豊島区南長崎６"/>
    <n v="58000"/>
    <n v="3500"/>
    <m/>
    <m/>
    <n v="1"/>
    <x v="0"/>
    <n v="11.62"/>
    <n v="7"/>
    <x v="0"/>
    <s v="東長崎駅"/>
    <n v="3"/>
    <n v="9.67"/>
    <n v="104537.14"/>
    <n v="77692.34"/>
    <n v="315"/>
    <n v="1071"/>
    <s v="10-20"/>
    <x v="0"/>
  </r>
  <r>
    <s v="https://suumo.jp/chintai/jnc_000103780520/?bc=100480480896"/>
    <s v="アズール東長崎"/>
    <s v="東京都豊島区南長崎６"/>
    <n v="57000"/>
    <n v="3000"/>
    <n v="57000"/>
    <n v="57000"/>
    <n v="2"/>
    <x v="0"/>
    <n v="10.99"/>
    <n v="7"/>
    <x v="0"/>
    <s v="東長崎駅"/>
    <n v="3"/>
    <n v="9.67"/>
    <n v="104537.14"/>
    <n v="77692.34"/>
    <n v="315"/>
    <n v="1071"/>
    <s v="10-20"/>
    <x v="0"/>
  </r>
  <r>
    <s v="https://suumo.jp/chintai/jnc_000104417397/?bc=100485488584"/>
    <s v="アドバンス東長崎"/>
    <s v="東京都豊島区長崎４"/>
    <n v="67000"/>
    <n v="3000"/>
    <m/>
    <m/>
    <n v="1"/>
    <x v="0"/>
    <n v="15.75"/>
    <n v="24"/>
    <x v="2"/>
    <s v="東長崎駅"/>
    <n v="3"/>
    <n v="9.67"/>
    <n v="104537.14"/>
    <n v="77692.34"/>
    <n v="315"/>
    <n v="1071"/>
    <s v="10-20"/>
    <x v="1"/>
  </r>
  <r>
    <s v="https://suumo.jp/chintai/jnc_000104348470/?bc=100485561726"/>
    <s v="アドバンス東長崎"/>
    <s v="東京都豊島区長崎４"/>
    <n v="70000"/>
    <n v="3000"/>
    <m/>
    <m/>
    <n v="3"/>
    <x v="0"/>
    <n v="15.75"/>
    <n v="24"/>
    <x v="2"/>
    <s v="東長崎駅"/>
    <n v="3"/>
    <n v="9.67"/>
    <n v="104537.14"/>
    <n v="77692.34"/>
    <n v="315"/>
    <n v="1071"/>
    <s v="10-20"/>
    <x v="1"/>
  </r>
  <r>
    <s v="https://suumo.jp/chintai/jnc_000102547059/?bc=100475880847"/>
    <s v="アレンデール西落合"/>
    <s v="東京都新宿区西落合４"/>
    <n v="65000"/>
    <n v="4000"/>
    <m/>
    <m/>
    <n v="2"/>
    <x v="0"/>
    <n v="10.66"/>
    <n v="5"/>
    <x v="0"/>
    <s v="東長崎駅"/>
    <n v="9"/>
    <n v="11.33"/>
    <n v="104537.14"/>
    <n v="77692.34"/>
    <n v="315"/>
    <n v="1071"/>
    <s v="10-20"/>
    <x v="0"/>
  </r>
  <r>
    <s v="https://suumo.jp/chintai/jnc_000102979833/?bc=100474108694"/>
    <s v="アーバンヒルズ東長崎"/>
    <s v="東京都豊島区南長崎５"/>
    <n v="70000"/>
    <n v="5000"/>
    <n v="70000"/>
    <n v="70000"/>
    <n v="4"/>
    <x v="0"/>
    <n v="22.94"/>
    <n v="36"/>
    <x v="5"/>
    <s v="東長崎駅"/>
    <n v="2"/>
    <n v="11.33"/>
    <n v="104537.14"/>
    <n v="77692.34"/>
    <n v="315"/>
    <n v="1071"/>
    <s v="20-30"/>
    <x v="4"/>
  </r>
  <r>
    <s v="https://suumo.jp/chintai/jnc_000104458816/?bc=100486124495"/>
    <s v="ウィンズ・パレ西落合"/>
    <s v="東京都新宿区西落合４"/>
    <n v="66000"/>
    <n v="5000"/>
    <n v="66000"/>
    <n v="66000"/>
    <n v="1"/>
    <x v="0"/>
    <n v="13.9"/>
    <n v="12"/>
    <x v="0"/>
    <s v="東長崎駅"/>
    <n v="6"/>
    <n v="9"/>
    <n v="104537.14"/>
    <n v="77692.34"/>
    <n v="315"/>
    <n v="1071"/>
    <s v="10-20"/>
    <x v="7"/>
  </r>
  <r>
    <s v="https://suumo.jp/chintai/jnc_000103245172/?bc=100476064769"/>
    <s v="エクレール長崎"/>
    <s v="東京都豊島区長崎４"/>
    <n v="55000"/>
    <n v="3000"/>
    <m/>
    <n v="55000"/>
    <n v="1"/>
    <x v="0"/>
    <n v="21"/>
    <n v="38"/>
    <x v="2"/>
    <s v="東長崎駅"/>
    <n v="3"/>
    <n v="10.33"/>
    <n v="104537.14"/>
    <n v="77692.34"/>
    <n v="315"/>
    <n v="1071"/>
    <s v="20-30"/>
    <x v="4"/>
  </r>
  <r>
    <s v="https://suumo.jp/chintai/jnc_000104272254/?bc=100485429602"/>
    <s v="エスペラントメント"/>
    <s v="東京都豊島区南長崎５"/>
    <n v="58000"/>
    <n v="5000"/>
    <m/>
    <m/>
    <n v="1"/>
    <x v="0"/>
    <n v="17"/>
    <n v="39"/>
    <x v="0"/>
    <s v="東長崎駅"/>
    <n v="4"/>
    <n v="8.67"/>
    <n v="104537.14"/>
    <n v="77692.34"/>
    <n v="315"/>
    <n v="1071"/>
    <s v="10-20"/>
    <x v="4"/>
  </r>
  <r>
    <s v="https://suumo.jp/chintai/jnc_000103649756/?bc=100479277988"/>
    <s v="エムズミレナリオ"/>
    <s v="東京都豊島区長崎４"/>
    <n v="74000"/>
    <n v="3000"/>
    <n v="74000"/>
    <n v="74000"/>
    <n v="3"/>
    <x v="0"/>
    <n v="23.25"/>
    <n v="26"/>
    <x v="7"/>
    <s v="東長崎駅"/>
    <n v="1"/>
    <n v="6.5"/>
    <n v="104537.14"/>
    <n v="77692.34"/>
    <n v="315"/>
    <n v="1071"/>
    <s v="20-30"/>
    <x v="1"/>
  </r>
  <r>
    <s v="https://suumo.jp/chintai/jnc_000103674217/?bc=100479616654"/>
    <s v="キャッスル西落合"/>
    <s v="東京都新宿区西落合４"/>
    <n v="70000"/>
    <n v="7000"/>
    <m/>
    <m/>
    <n v="2"/>
    <x v="0"/>
    <n v="19.61"/>
    <n v="39"/>
    <x v="5"/>
    <s v="東長崎駅"/>
    <n v="6"/>
    <n v="8.67"/>
    <n v="104537.14"/>
    <n v="77692.34"/>
    <n v="315"/>
    <n v="1071"/>
    <s v="10-20"/>
    <x v="4"/>
  </r>
  <r>
    <s v="https://suumo.jp/chintai/jnc_000103094786/?bc=100474899886"/>
    <s v="キャッスル西落合"/>
    <s v="東京都新宿区西落合４"/>
    <n v="70000"/>
    <n v="7000"/>
    <m/>
    <m/>
    <n v="3"/>
    <x v="0"/>
    <n v="17.28"/>
    <n v="39"/>
    <x v="5"/>
    <s v="東長崎駅"/>
    <n v="6"/>
    <n v="8.67"/>
    <n v="104537.14"/>
    <n v="77692.34"/>
    <n v="315"/>
    <n v="1071"/>
    <s v="10-20"/>
    <x v="4"/>
  </r>
  <r>
    <s v="https://suumo.jp/chintai/jnc_000074928789/?bc=100476540153"/>
    <s v="キャビットハウス"/>
    <s v="東京都豊島区南長崎６"/>
    <n v="59000"/>
    <n v="3000"/>
    <m/>
    <m/>
    <n v="3"/>
    <x v="0"/>
    <n v="14.99"/>
    <n v="40"/>
    <x v="4"/>
    <s v="東長崎駅"/>
    <n v="5"/>
    <n v="9.67"/>
    <n v="104537.14"/>
    <n v="77692.34"/>
    <n v="315"/>
    <n v="1071"/>
    <s v="10-20"/>
    <x v="4"/>
  </r>
  <r>
    <s v="https://suumo.jp/chintai/jnc_000049901374/?bc=100407752170"/>
    <s v="グラバー邸"/>
    <s v="東京都豊島区長崎５"/>
    <n v="53000"/>
    <n v="3000"/>
    <n v="53000"/>
    <n v="53000"/>
    <n v="1"/>
    <x v="0"/>
    <n v="12.5"/>
    <n v="35"/>
    <x v="7"/>
    <s v="東長崎駅"/>
    <n v="5"/>
    <n v="11.33"/>
    <n v="104537.14"/>
    <n v="77692.34"/>
    <n v="315"/>
    <n v="1071"/>
    <s v="10-20"/>
    <x v="4"/>
  </r>
  <r>
    <s v="https://suumo.jp/chintai/jnc_000070703311/?bc=100472597951"/>
    <s v="コラージュ東長崎"/>
    <s v="東京都豊島区長崎４"/>
    <n v="75000"/>
    <n v="4000"/>
    <m/>
    <n v="75000"/>
    <n v="3"/>
    <x v="0"/>
    <n v="16.7"/>
    <n v="5"/>
    <x v="2"/>
    <s v="東長崎駅"/>
    <n v="6"/>
    <n v="11.33"/>
    <n v="104537.14"/>
    <n v="77692.34"/>
    <n v="315"/>
    <n v="1071"/>
    <s v="10-20"/>
    <x v="0"/>
  </r>
  <r>
    <s v="https://suumo.jp/chintai/jnc_000044576002/?bc=100461437884"/>
    <s v="コーポセーセェル"/>
    <s v="東京都豊島区南長崎６"/>
    <n v="58000"/>
    <m/>
    <n v="58000"/>
    <n v="58000"/>
    <n v="2"/>
    <x v="0"/>
    <n v="18.329999999999998"/>
    <n v="35"/>
    <x v="2"/>
    <s v="東長崎駅"/>
    <n v="3"/>
    <n v="12.33"/>
    <n v="104537.14"/>
    <n v="77692.34"/>
    <n v="315"/>
    <n v="1071"/>
    <s v="10-20"/>
    <x v="4"/>
  </r>
  <r>
    <s v="https://suumo.jp/chintai/jnc_000101024212/?bc=100456159787"/>
    <s v="コーポ梓"/>
    <s v="東京都豊島区長崎５"/>
    <n v="55000"/>
    <m/>
    <m/>
    <m/>
    <n v="2"/>
    <x v="0"/>
    <n v="12.96"/>
    <n v="63"/>
    <x v="0"/>
    <s v="東長崎駅"/>
    <n v="3"/>
    <n v="10"/>
    <n v="104537.14"/>
    <n v="77692.34"/>
    <n v="315"/>
    <n v="1071"/>
    <s v="10-20"/>
    <x v="2"/>
  </r>
  <r>
    <s v="https://suumo.jp/chintai/jnc_000098659733/?bc=100438544980"/>
    <s v="コーポ長崎"/>
    <s v="東京都豊島区南長崎５"/>
    <n v="72000"/>
    <n v="8000"/>
    <n v="72000"/>
    <m/>
    <n v="4"/>
    <x v="0"/>
    <n v="26.26"/>
    <n v="51"/>
    <x v="7"/>
    <s v="東長崎駅"/>
    <n v="2"/>
    <n v="9"/>
    <n v="104537.14"/>
    <n v="77692.34"/>
    <n v="315"/>
    <n v="1071"/>
    <s v="20-30"/>
    <x v="5"/>
  </r>
  <r>
    <s v="https://suumo.jp/chintai/jnc_000087520696/?bc=100402857428"/>
    <s v="サカエハウスＡ棟"/>
    <s v="東京都豊島区南長崎５"/>
    <n v="55000"/>
    <m/>
    <n v="55000"/>
    <n v="55000"/>
    <n v="2"/>
    <x v="0"/>
    <n v="18.7"/>
    <n v="55"/>
    <x v="0"/>
    <s v="東長崎駅"/>
    <n v="3"/>
    <n v="11"/>
    <n v="104537.14"/>
    <n v="77692.34"/>
    <n v="315"/>
    <n v="1071"/>
    <s v="10-20"/>
    <x v="5"/>
  </r>
  <r>
    <s v="https://suumo.jp/chintai/jnc_000102993475/?bc=100474233900"/>
    <s v="ザ・パークハビオ東長崎"/>
    <s v="東京都豊島区南長崎５"/>
    <n v="115000"/>
    <n v="15000"/>
    <n v="115000"/>
    <n v="115000"/>
    <n v="4"/>
    <x v="0"/>
    <n v="25.47"/>
    <n v="3"/>
    <x v="1"/>
    <s v="東長崎駅"/>
    <n v="1"/>
    <n v="8.67"/>
    <n v="104537.14"/>
    <n v="77692.34"/>
    <n v="315"/>
    <n v="1071"/>
    <s v="20-30"/>
    <x v="0"/>
  </r>
  <r>
    <s v="https://suumo.jp/chintai/jnc_000103481609/?bc=100483183746"/>
    <s v="ザ・パークハビオ東長崎"/>
    <s v="東京都豊島区南長崎５"/>
    <n v="117000"/>
    <n v="15000"/>
    <n v="117000"/>
    <m/>
    <n v="5"/>
    <x v="0"/>
    <n v="25.47"/>
    <n v="3"/>
    <x v="1"/>
    <s v="東長崎駅"/>
    <n v="1"/>
    <n v="8.67"/>
    <n v="104537.14"/>
    <n v="77692.34"/>
    <n v="315"/>
    <n v="1071"/>
    <s v="20-30"/>
    <x v="0"/>
  </r>
  <r>
    <s v="https://suumo.jp/chintai/jnc_000104192531/?bc=100483948942"/>
    <s v="ザ・パークハビオ東長崎"/>
    <s v="東京都豊島区南長崎５"/>
    <n v="120000"/>
    <n v="15000"/>
    <n v="120000"/>
    <m/>
    <n v="6"/>
    <x v="0"/>
    <n v="25.47"/>
    <n v="3"/>
    <x v="1"/>
    <s v="東長崎駅"/>
    <n v="1"/>
    <n v="8.67"/>
    <n v="104537.14"/>
    <n v="77692.34"/>
    <n v="315"/>
    <n v="1071"/>
    <s v="20-30"/>
    <x v="0"/>
  </r>
  <r>
    <s v="https://suumo.jp/chintai/jnc_000104196590/?bc=100483733511"/>
    <s v="ザ・パークメゾン南長崎の杜"/>
    <s v="東京都豊島区南長崎３"/>
    <n v="93000"/>
    <n v="4000"/>
    <n v="93000"/>
    <n v="93000"/>
    <n v="2"/>
    <x v="0"/>
    <n v="34.229999999999997"/>
    <n v="8"/>
    <x v="0"/>
    <s v="東長崎駅"/>
    <n v="7"/>
    <n v="8"/>
    <n v="104537.14"/>
    <n v="77692.34"/>
    <n v="315"/>
    <n v="1071"/>
    <s v="30-40"/>
    <x v="0"/>
  </r>
  <r>
    <s v="https://suumo.jp/chintai/jnc_000103763012/?bc=100480555256"/>
    <s v="ジュネス香和Ｃ棟"/>
    <s v="東京都豊島区南長崎５"/>
    <n v="58000"/>
    <n v="2000"/>
    <m/>
    <m/>
    <n v="1"/>
    <x v="0"/>
    <n v="17.59"/>
    <n v="27"/>
    <x v="0"/>
    <s v="東長崎駅"/>
    <n v="2"/>
    <n v="7.67"/>
    <n v="104537.14"/>
    <n v="77692.34"/>
    <n v="315"/>
    <n v="1071"/>
    <s v="10-20"/>
    <x v="1"/>
  </r>
  <r>
    <s v="https://suumo.jp/chintai/jnc_000102573074/?bc=100458676471"/>
    <s v="ジョイフル池袋西"/>
    <s v="東京都豊島区長崎４"/>
    <n v="53000"/>
    <n v="2000"/>
    <n v="53000"/>
    <m/>
    <n v="2"/>
    <x v="0"/>
    <n v="14.86"/>
    <n v="42"/>
    <x v="2"/>
    <s v="東長崎駅"/>
    <n v="6"/>
    <n v="11"/>
    <n v="104537.14"/>
    <n v="77692.34"/>
    <n v="315"/>
    <n v="1071"/>
    <s v="10-20"/>
    <x v="3"/>
  </r>
  <r>
    <s v="https://suumo.jp/chintai/jnc_000103611392/?bc=100479478544"/>
    <s v="スプリングメロディー"/>
    <s v="東京都豊島区南長崎５"/>
    <n v="94000"/>
    <n v="3000"/>
    <n v="94000"/>
    <n v="94000"/>
    <n v="3"/>
    <x v="0"/>
    <n v="30.14"/>
    <n v="20"/>
    <x v="4"/>
    <s v="東長崎駅"/>
    <n v="3"/>
    <n v="8.67"/>
    <n v="104537.14"/>
    <n v="77692.34"/>
    <n v="315"/>
    <n v="1071"/>
    <s v="30-40"/>
    <x v="7"/>
  </r>
  <r>
    <s v="https://suumo.jp/chintai/jnc_000104149374/?bc=100479078541"/>
    <s v="スプリングメロディー"/>
    <s v="東京都豊島区南長崎５"/>
    <n v="90000"/>
    <n v="3000"/>
    <n v="90000"/>
    <n v="90000"/>
    <n v="3"/>
    <x v="0"/>
    <n v="30.14"/>
    <n v="20"/>
    <x v="4"/>
    <s v="東長崎駅"/>
    <n v="3"/>
    <n v="8.67"/>
    <n v="104537.14"/>
    <n v="77692.34"/>
    <n v="315"/>
    <n v="1071"/>
    <s v="30-40"/>
    <x v="7"/>
  </r>
  <r>
    <s v="https://suumo.jp/chintai/jnc_000104465131/?bc=100486228289"/>
    <s v="ソレイユ南長崎"/>
    <s v="東京都豊島区南長崎６"/>
    <n v="66000"/>
    <n v="4000"/>
    <m/>
    <m/>
    <n v="2"/>
    <x v="0"/>
    <n v="10.32"/>
    <n v="10"/>
    <x v="0"/>
    <s v="東長崎駅"/>
    <n v="4"/>
    <n v="9.67"/>
    <n v="104537.14"/>
    <n v="77692.34"/>
    <n v="315"/>
    <n v="1071"/>
    <s v="10-20"/>
    <x v="0"/>
  </r>
  <r>
    <s v="https://suumo.jp/chintai/jnc_000083704919/?bc=100429823677"/>
    <s v="ハイツブラン"/>
    <s v="東京都豊島区南長崎６"/>
    <n v="60000"/>
    <n v="3000"/>
    <n v="60000"/>
    <m/>
    <n v="1"/>
    <x v="0"/>
    <n v="19"/>
    <n v="41"/>
    <x v="2"/>
    <s v="東長崎駅"/>
    <n v="6"/>
    <n v="10"/>
    <n v="104537.14"/>
    <n v="77692.34"/>
    <n v="315"/>
    <n v="1071"/>
    <s v="10-20"/>
    <x v="3"/>
  </r>
  <r>
    <s v="https://suumo.jp/chintai/jnc_000094970786/?bc=100462221798"/>
    <s v="ハーモニーテラス南長崎IV"/>
    <s v="東京都豊島区南長崎６"/>
    <n v="62000"/>
    <n v="4000"/>
    <m/>
    <n v="62000"/>
    <n v="1"/>
    <x v="0"/>
    <n v="10.91"/>
    <n v="7"/>
    <x v="0"/>
    <s v="東長崎駅"/>
    <n v="3"/>
    <n v="10"/>
    <n v="104537.14"/>
    <n v="77692.34"/>
    <n v="315"/>
    <n v="1071"/>
    <s v="10-20"/>
    <x v="0"/>
  </r>
  <r>
    <s v="https://suumo.jp/chintai/jnc_000104348487/?bc=100484941250"/>
    <s v="ハーモニーテラス南長崎IV"/>
    <s v="東京都豊島区南長崎６"/>
    <n v="65000"/>
    <n v="4000"/>
    <m/>
    <m/>
    <n v="2"/>
    <x v="0"/>
    <n v="10.91"/>
    <n v="7"/>
    <x v="0"/>
    <s v="東長崎駅"/>
    <n v="3"/>
    <n v="10"/>
    <n v="104537.14"/>
    <n v="77692.34"/>
    <n v="315"/>
    <n v="1071"/>
    <s v="10-20"/>
    <x v="0"/>
  </r>
  <r>
    <s v="https://suumo.jp/chintai/jnc_000101702048/?bc=100462577745"/>
    <s v="ハーモニーテラス南長崎IV"/>
    <s v="東京都豊島区南長崎６"/>
    <n v="68000"/>
    <n v="4000"/>
    <m/>
    <m/>
    <n v="2"/>
    <x v="0"/>
    <n v="10.91"/>
    <n v="7"/>
    <x v="0"/>
    <s v="東長崎駅"/>
    <n v="3"/>
    <n v="10"/>
    <n v="104537.14"/>
    <n v="77692.34"/>
    <n v="315"/>
    <n v="1071"/>
    <s v="10-20"/>
    <x v="0"/>
  </r>
  <r>
    <s v="https://suumo.jp/chintai/jnc_000103663280/?bc=100479488220"/>
    <s v="ハーモニーテラス南長崎IV"/>
    <s v="東京都豊島区南長崎６"/>
    <n v="71000"/>
    <n v="4000"/>
    <m/>
    <n v="71000"/>
    <n v="2"/>
    <x v="0"/>
    <n v="11.22"/>
    <n v="7"/>
    <x v="0"/>
    <s v="東長崎駅"/>
    <n v="3"/>
    <n v="10"/>
    <n v="104537.14"/>
    <n v="77692.34"/>
    <n v="315"/>
    <n v="1071"/>
    <s v="10-20"/>
    <x v="0"/>
  </r>
  <r>
    <s v="https://suumo.jp/chintai/jnc_000103833405/?bc=100480952657"/>
    <s v="ハーモニーテラス西落合II"/>
    <s v="東京都新宿区西落合４"/>
    <n v="63000"/>
    <n v="4000"/>
    <m/>
    <n v="63000"/>
    <n v="1"/>
    <x v="0"/>
    <n v="10.66"/>
    <n v="5"/>
    <x v="0"/>
    <s v="東長崎駅"/>
    <n v="9"/>
    <n v="13"/>
    <n v="104537.14"/>
    <n v="77692.34"/>
    <n v="315"/>
    <n v="1071"/>
    <s v="10-20"/>
    <x v="0"/>
  </r>
  <r>
    <s v="https://suumo.jp/chintai/jnc_000096599150/?bc=100478228134"/>
    <s v="パルゼ東長崎"/>
    <s v="東京都豊島区南長崎６"/>
    <n v="98000"/>
    <n v="9000"/>
    <n v="98000"/>
    <n v="98000"/>
    <n v="2"/>
    <x v="0"/>
    <n v="24.94"/>
    <n v="2"/>
    <x v="2"/>
    <s v="東長崎駅"/>
    <n v="5"/>
    <n v="10.33"/>
    <n v="104537.14"/>
    <n v="77692.34"/>
    <n v="315"/>
    <n v="1071"/>
    <s v="20-30"/>
    <x v="0"/>
  </r>
  <r>
    <s v="https://suumo.jp/chintai/jnc_000104509220/?bc=100486337814"/>
    <s v="パロ西落合"/>
    <s v="東京都新宿区西落合４"/>
    <n v="70000"/>
    <n v="6000"/>
    <m/>
    <m/>
    <n v="2"/>
    <x v="0"/>
    <n v="20.5"/>
    <n v="40"/>
    <x v="4"/>
    <s v="東長崎駅"/>
    <n v="5"/>
    <n v="9.33"/>
    <n v="104537.14"/>
    <n v="77692.34"/>
    <n v="315"/>
    <n v="1071"/>
    <s v="20-30"/>
    <x v="4"/>
  </r>
  <r>
    <s v="https://suumo.jp/chintai/jnc_000055051071/?bc=100455517121"/>
    <s v="フォンテ東長崎"/>
    <s v="東京都豊島区長崎５"/>
    <n v="61000"/>
    <n v="2000"/>
    <n v="61000"/>
    <n v="61000"/>
    <n v="1"/>
    <x v="0"/>
    <n v="15"/>
    <n v="33"/>
    <x v="0"/>
    <s v="東長崎駅"/>
    <n v="5"/>
    <n v="10"/>
    <n v="104537.14"/>
    <n v="77692.34"/>
    <n v="315"/>
    <n v="1071"/>
    <s v="10-20"/>
    <x v="4"/>
  </r>
  <r>
    <s v="https://suumo.jp/chintai/jnc_000102087840/?bc=100469430981"/>
    <s v="フォンテ東長崎"/>
    <s v="東京都豊島区長崎５"/>
    <n v="60000"/>
    <n v="2000"/>
    <m/>
    <m/>
    <n v="1"/>
    <x v="0"/>
    <n v="16"/>
    <n v="33"/>
    <x v="0"/>
    <s v="東長崎駅"/>
    <n v="5"/>
    <n v="10"/>
    <n v="104537.14"/>
    <n v="77692.34"/>
    <n v="315"/>
    <n v="1071"/>
    <s v="10-20"/>
    <x v="4"/>
  </r>
  <r>
    <s v="https://suumo.jp/chintai/jnc_000068631299/?bc=100477147482"/>
    <s v="フローラ南長崎"/>
    <s v="東京都豊島区南長崎６"/>
    <n v="57000"/>
    <n v="5000"/>
    <m/>
    <m/>
    <n v="1"/>
    <x v="0"/>
    <n v="17"/>
    <n v="22"/>
    <x v="4"/>
    <s v="東長崎駅"/>
    <n v="4"/>
    <n v="9.33"/>
    <n v="104537.14"/>
    <n v="77692.34"/>
    <n v="315"/>
    <n v="1071"/>
    <s v="10-20"/>
    <x v="1"/>
  </r>
  <r>
    <s v="https://suumo.jp/chintai/jnc_000104499754/?bc=100482968975"/>
    <s v="ブライト東長崎"/>
    <s v="東京都豊島区南長崎６"/>
    <n v="73000"/>
    <n v="4000"/>
    <m/>
    <n v="73000"/>
    <n v="1"/>
    <x v="0"/>
    <n v="10.32"/>
    <n v="10"/>
    <x v="0"/>
    <s v="東長崎駅"/>
    <n v="4"/>
    <n v="9.67"/>
    <n v="104537.14"/>
    <n v="77692.34"/>
    <n v="315"/>
    <n v="1071"/>
    <s v="10-20"/>
    <x v="0"/>
  </r>
  <r>
    <s v="https://suumo.jp/chintai/jnc_000104499755/?bc=100482968976"/>
    <s v="ブライト東長崎"/>
    <s v="東京都豊島区南長崎６"/>
    <n v="75000"/>
    <n v="4000"/>
    <m/>
    <n v="75000"/>
    <n v="2"/>
    <x v="0"/>
    <n v="10.32"/>
    <n v="10"/>
    <x v="0"/>
    <s v="東長崎駅"/>
    <n v="4"/>
    <n v="9.67"/>
    <n v="104537.14"/>
    <n v="77692.34"/>
    <n v="315"/>
    <n v="1071"/>
    <s v="10-20"/>
    <x v="0"/>
  </r>
  <r>
    <s v="https://suumo.jp/chintai/jnc_000104499756/?bc=100475934789"/>
    <s v="ブライト東長崎"/>
    <s v="東京都豊島区南長崎６"/>
    <n v="69000"/>
    <n v="4000"/>
    <m/>
    <n v="69000"/>
    <n v="2"/>
    <x v="0"/>
    <n v="11.39"/>
    <n v="10"/>
    <x v="0"/>
    <s v="東長崎駅"/>
    <n v="4"/>
    <n v="9.67"/>
    <n v="104537.14"/>
    <n v="77692.34"/>
    <n v="315"/>
    <n v="1071"/>
    <s v="10-20"/>
    <x v="0"/>
  </r>
  <r>
    <s v="https://suumo.jp/chintai/jnc_000103069492/?bc=100482670190"/>
    <s v="プラチナフォルム東長崎"/>
    <s v="東京都豊島区南長崎５"/>
    <n v="78000"/>
    <n v="10000"/>
    <m/>
    <n v="78000"/>
    <n v="3"/>
    <x v="0"/>
    <n v="20.02"/>
    <n v="4"/>
    <x v="7"/>
    <s v="東長崎駅"/>
    <n v="3"/>
    <n v="9"/>
    <n v="104537.14"/>
    <n v="77692.34"/>
    <n v="315"/>
    <n v="1071"/>
    <s v="20-30"/>
    <x v="0"/>
  </r>
  <r>
    <s v="https://suumo.jp/chintai/jnc_000098954979/?bc=100444921461"/>
    <s v="ベルハイム東長崎"/>
    <s v="東京都豊島区長崎６"/>
    <n v="66000"/>
    <n v="6000"/>
    <n v="66000"/>
    <m/>
    <n v="5"/>
    <x v="0"/>
    <n v="27.07"/>
    <n v="36"/>
    <x v="9"/>
    <s v="東長崎駅"/>
    <n v="3"/>
    <n v="11"/>
    <n v="104537.14"/>
    <n v="77692.34"/>
    <n v="315"/>
    <n v="1071"/>
    <s v="20-30"/>
    <x v="4"/>
  </r>
  <r>
    <s v="https://suumo.jp/chintai/jnc_000049644242/?bc=100482023931"/>
    <s v="ライフピアセルリアン"/>
    <s v="東京都新宿区西落合４"/>
    <n v="49000"/>
    <n v="3000"/>
    <m/>
    <m/>
    <n v="1"/>
    <x v="0"/>
    <n v="12.42"/>
    <n v="24"/>
    <x v="0"/>
    <s v="東長崎駅"/>
    <n v="9"/>
    <n v="11"/>
    <n v="104537.14"/>
    <n v="77692.34"/>
    <n v="315"/>
    <n v="1071"/>
    <s v="10-20"/>
    <x v="1"/>
  </r>
  <r>
    <s v="https://suumo.jp/chintai/jnc_000086902128/?bc=100282351660"/>
    <s v="ラメゾン長崎6"/>
    <s v="東京都豊島区長崎４"/>
    <n v="70000"/>
    <n v="6000"/>
    <n v="70000"/>
    <n v="70000"/>
    <n v="4"/>
    <x v="0"/>
    <n v="23"/>
    <n v="39"/>
    <x v="4"/>
    <s v="東長崎駅"/>
    <n v="3"/>
    <n v="10"/>
    <n v="104537.14"/>
    <n v="77692.34"/>
    <n v="315"/>
    <n v="1071"/>
    <s v="20-30"/>
    <x v="4"/>
  </r>
  <r>
    <s v="https://suumo.jp/chintai/jnc_000102468981/?bc=100469861927"/>
    <s v="リノ西落合"/>
    <s v="東京都新宿区西落合４"/>
    <n v="110000"/>
    <n v="10000"/>
    <m/>
    <n v="110000"/>
    <n v="3"/>
    <x v="0"/>
    <n v="29.21"/>
    <n v="8"/>
    <x v="7"/>
    <s v="東長崎駅"/>
    <n v="6"/>
    <n v="9"/>
    <n v="104537.14"/>
    <n v="77692.34"/>
    <n v="315"/>
    <n v="1071"/>
    <s v="20-30"/>
    <x v="0"/>
  </r>
  <r>
    <s v="https://suumo.jp/chintai/jnc_000103581569/?bc=100478694053"/>
    <s v="リノ西落合"/>
    <s v="東京都新宿区西落合４"/>
    <n v="84000"/>
    <n v="10000"/>
    <m/>
    <n v="84000"/>
    <n v="5"/>
    <x v="0"/>
    <n v="21.15"/>
    <n v="8"/>
    <x v="7"/>
    <s v="東長崎駅"/>
    <n v="6"/>
    <n v="9"/>
    <n v="104537.14"/>
    <n v="77692.34"/>
    <n v="315"/>
    <n v="1071"/>
    <s v="20-30"/>
    <x v="0"/>
  </r>
  <r>
    <s v="https://suumo.jp/chintai/jnc_000103393354/?bc=100477147486"/>
    <s v="ルミネ南長崎"/>
    <s v="東京都豊島区南長崎４"/>
    <n v="55000"/>
    <n v="5000"/>
    <m/>
    <m/>
    <n v="1"/>
    <x v="0"/>
    <n v="13"/>
    <n v="56"/>
    <x v="2"/>
    <s v="東長崎駅"/>
    <n v="4"/>
    <n v="7.33"/>
    <n v="104537.14"/>
    <n v="77692.34"/>
    <n v="315"/>
    <n v="1071"/>
    <s v="10-20"/>
    <x v="5"/>
  </r>
  <r>
    <s v="https://suumo.jp/chintai/jnc_000103947788/?bc=100479262151"/>
    <s v="共同住宅ながさき"/>
    <s v="東京都豊島区長崎３"/>
    <n v="69000"/>
    <m/>
    <n v="69000"/>
    <m/>
    <n v="1"/>
    <x v="0"/>
    <n v="16.55"/>
    <n v="48"/>
    <x v="7"/>
    <s v="東長崎駅"/>
    <n v="9"/>
    <n v="11"/>
    <n v="104537.14"/>
    <n v="77692.34"/>
    <n v="315"/>
    <n v="1071"/>
    <s v="10-20"/>
    <x v="3"/>
  </r>
  <r>
    <s v="https://suumo.jp/chintai/jnc_000103873959/?bc=100481921050"/>
    <s v="南長崎ヴィレッヂ"/>
    <s v="東京都豊島区南長崎５"/>
    <n v="54000"/>
    <n v="2000"/>
    <n v="54000"/>
    <m/>
    <n v="1"/>
    <x v="0"/>
    <n v="13.31"/>
    <n v="34"/>
    <x v="0"/>
    <s v="東長崎駅"/>
    <n v="4"/>
    <n v="8.67"/>
    <n v="104537.14"/>
    <n v="77692.34"/>
    <n v="315"/>
    <n v="1071"/>
    <s v="10-20"/>
    <x v="4"/>
  </r>
  <r>
    <s v="https://suumo.jp/chintai/jnc_000103864860/?bc=100485500848"/>
    <s v="南長崎ヴィレッヂ"/>
    <s v="東京都豊島区南長崎５"/>
    <n v="52000"/>
    <n v="2000"/>
    <n v="52000"/>
    <m/>
    <n v="2"/>
    <x v="0"/>
    <n v="12.04"/>
    <n v="34"/>
    <x v="0"/>
    <s v="東長崎駅"/>
    <n v="4"/>
    <n v="8.67"/>
    <n v="104537.14"/>
    <n v="77692.34"/>
    <n v="315"/>
    <n v="1071"/>
    <s v="10-20"/>
    <x v="4"/>
  </r>
  <r>
    <s v="https://suumo.jp/chintai/jnc_000104139650/?bc=100479402180"/>
    <s v="東長崎センチュリー２１"/>
    <s v="東京都豊島区南長崎５"/>
    <n v="59000"/>
    <m/>
    <n v="59000"/>
    <n v="59000"/>
    <n v="3"/>
    <x v="0"/>
    <n v="14.12"/>
    <n v="42"/>
    <x v="7"/>
    <s v="東長崎駅"/>
    <n v="2"/>
    <n v="5"/>
    <n v="104537.14"/>
    <n v="77692.34"/>
    <n v="315"/>
    <n v="1071"/>
    <s v="10-20"/>
    <x v="3"/>
  </r>
  <r>
    <s v="https://suumo.jp/chintai/jnc_000101581663/?bc=100481912850"/>
    <s v="東長崎センチュリー２１"/>
    <s v="東京都豊島区南長崎５"/>
    <n v="62000"/>
    <m/>
    <n v="62000"/>
    <n v="62000"/>
    <n v="3"/>
    <x v="0"/>
    <n v="14.12"/>
    <n v="42"/>
    <x v="7"/>
    <s v="東長崎駅"/>
    <n v="2"/>
    <n v="5"/>
    <n v="104537.14"/>
    <n v="77692.34"/>
    <n v="315"/>
    <n v="1071"/>
    <s v="10-20"/>
    <x v="3"/>
  </r>
  <r>
    <s v="https://suumo.jp/chintai/jnc_000103977827/?bc=100481928834"/>
    <s v="渡良ハウス"/>
    <s v="東京都豊島区南長崎５"/>
    <n v="80000"/>
    <n v="5000"/>
    <n v="80000"/>
    <n v="80000"/>
    <n v="1"/>
    <x v="0"/>
    <n v="20.100000000000001"/>
    <n v="23"/>
    <x v="2"/>
    <s v="東長崎駅"/>
    <n v="4"/>
    <n v="10"/>
    <n v="104537.14"/>
    <n v="77692.34"/>
    <n v="315"/>
    <n v="1071"/>
    <s v="20-30"/>
    <x v="1"/>
  </r>
  <r>
    <s v="https://suumo.jp/chintai/jnc_000101817996/?bc=100482492515"/>
    <s v="藤ハイツ"/>
    <s v="東京都豊島区南長崎５"/>
    <n v="65000"/>
    <n v="5000"/>
    <n v="65000"/>
    <m/>
    <n v="1"/>
    <x v="0"/>
    <n v="24.3"/>
    <n v="52"/>
    <x v="7"/>
    <s v="東長崎駅"/>
    <n v="3"/>
    <n v="9.67"/>
    <n v="104537.14"/>
    <n v="77692.34"/>
    <n v="315"/>
    <n v="1071"/>
    <s v="20-30"/>
    <x v="5"/>
  </r>
  <r>
    <s v="https://suumo.jp/chintai/jnc_000103014000/?bc=100474228392"/>
    <s v="西武池袋線 東長崎駅 10階建 築3年"/>
    <s v="東京都豊島区南長崎５"/>
    <n v="115000"/>
    <n v="15000"/>
    <n v="115000"/>
    <n v="115000"/>
    <n v="4"/>
    <x v="0"/>
    <n v="25.47"/>
    <n v="3"/>
    <x v="1"/>
    <s v="東長崎駅"/>
    <n v="1"/>
    <n v="9.67"/>
    <n v="104537.14"/>
    <n v="77692.34"/>
    <n v="315"/>
    <n v="1071"/>
    <s v="20-30"/>
    <x v="0"/>
  </r>
  <r>
    <s v="https://suumo.jp/chintai/jnc_000103510919/?bc=100484006913"/>
    <s v="西武池袋線 東長崎駅 10階建 築3年"/>
    <s v="東京都豊島区南長崎５"/>
    <n v="117000"/>
    <n v="15000"/>
    <n v="117000"/>
    <m/>
    <n v="5"/>
    <x v="0"/>
    <n v="25.47"/>
    <n v="3"/>
    <x v="1"/>
    <s v="東長崎駅"/>
    <n v="1"/>
    <n v="9.67"/>
    <n v="104537.14"/>
    <n v="77692.34"/>
    <n v="315"/>
    <n v="1071"/>
    <s v="20-30"/>
    <x v="0"/>
  </r>
  <r>
    <s v="https://suumo.jp/chintai/jnc_000104230125/?bc=100484006911"/>
    <s v="西武池袋線 東長崎駅 10階建 築3年"/>
    <s v="東京都豊島区南長崎５"/>
    <n v="120000"/>
    <n v="15000"/>
    <n v="120000"/>
    <m/>
    <n v="6"/>
    <x v="0"/>
    <n v="25.47"/>
    <n v="3"/>
    <x v="1"/>
    <s v="東長崎駅"/>
    <n v="1"/>
    <n v="9.67"/>
    <n v="104537.14"/>
    <n v="77692.34"/>
    <n v="315"/>
    <n v="1071"/>
    <s v="20-30"/>
    <x v="0"/>
  </r>
  <r>
    <s v="https://suumo.jp/chintai/jnc_000104465135/?bc=100485946264"/>
    <s v="西武池袋線 東長崎駅 2階建 築10年"/>
    <s v="東京都豊島区南長崎６"/>
    <n v="66000"/>
    <n v="4000"/>
    <m/>
    <m/>
    <n v="2"/>
    <x v="0"/>
    <n v="10.32"/>
    <n v="10"/>
    <x v="0"/>
    <s v="東長崎駅"/>
    <n v="4"/>
    <n v="11"/>
    <n v="104537.14"/>
    <n v="77692.34"/>
    <n v="315"/>
    <n v="1071"/>
    <s v="10-20"/>
    <x v="0"/>
  </r>
  <r>
    <s v="https://suumo.jp/chintai/jnc_000101685457/?bc=100475424053"/>
    <s v="西武池袋線 東長崎駅 2階建 築13年"/>
    <s v="東京都新宿区西落合４"/>
    <n v="65000"/>
    <n v="5000"/>
    <n v="65000"/>
    <n v="65000"/>
    <n v="1"/>
    <x v="0"/>
    <n v="13.89"/>
    <n v="13"/>
    <x v="0"/>
    <s v="東長崎駅"/>
    <n v="6"/>
    <n v="9"/>
    <n v="104537.14"/>
    <n v="77692.34"/>
    <n v="315"/>
    <n v="1071"/>
    <s v="10-20"/>
    <x v="7"/>
  </r>
  <r>
    <s v="https://suumo.jp/chintai/jnc_000104464226/?bc=100486152535"/>
    <s v="西武池袋線 東長崎駅 2階建 築13年"/>
    <s v="東京都新宿区西落合４"/>
    <n v="66000"/>
    <n v="5000"/>
    <n v="66000"/>
    <n v="66000"/>
    <n v="1"/>
    <x v="0"/>
    <n v="13.9"/>
    <n v="13"/>
    <x v="0"/>
    <s v="東長崎駅"/>
    <n v="6"/>
    <n v="9"/>
    <n v="104537.14"/>
    <n v="77692.34"/>
    <n v="315"/>
    <n v="1071"/>
    <s v="10-20"/>
    <x v="7"/>
  </r>
  <r>
    <s v="https://suumo.jp/chintai/jnc_000103792664/?bc=100480457901"/>
    <s v="西武池袋線 東長崎駅 2階建 築27年"/>
    <s v="東京都豊島区南長崎５"/>
    <n v="58000"/>
    <n v="2000"/>
    <m/>
    <m/>
    <n v="1"/>
    <x v="0"/>
    <n v="17.59"/>
    <n v="27"/>
    <x v="0"/>
    <s v="東長崎駅"/>
    <n v="2"/>
    <n v="7.67"/>
    <n v="104537.14"/>
    <n v="77692.34"/>
    <n v="315"/>
    <n v="1071"/>
    <s v="10-20"/>
    <x v="1"/>
  </r>
  <r>
    <s v="https://suumo.jp/chintai/jnc_000103810895/?bc=100480585445"/>
    <s v="西武池袋線 東長崎駅 2階建 築36年"/>
    <s v="東京都豊島区南長崎６"/>
    <n v="57000"/>
    <n v="3000"/>
    <n v="57000"/>
    <m/>
    <n v="1"/>
    <x v="0"/>
    <n v="17.95"/>
    <n v="36"/>
    <x v="0"/>
    <s v="東長崎駅"/>
    <n v="3"/>
    <n v="9.67"/>
    <n v="104537.14"/>
    <n v="77692.34"/>
    <n v="315"/>
    <n v="1071"/>
    <s v="10-20"/>
    <x v="4"/>
  </r>
  <r>
    <s v="https://suumo.jp/chintai/jnc_000100137107/?bc=100480180668"/>
    <s v="西武池袋線 東長崎駅 2階建 築39年"/>
    <s v="東京都豊島区長崎５"/>
    <n v="50000"/>
    <n v="2000"/>
    <m/>
    <m/>
    <n v="1"/>
    <x v="0"/>
    <n v="10"/>
    <n v="39"/>
    <x v="0"/>
    <s v="東長崎駅"/>
    <n v="4"/>
    <n v="10"/>
    <n v="104537.14"/>
    <n v="77692.34"/>
    <n v="315"/>
    <n v="1071"/>
    <s v="10-20"/>
    <x v="4"/>
  </r>
  <r>
    <s v="https://suumo.jp/chintai/jnc_000087576650/?bc=100470865119"/>
    <s v="西武池袋線 東長崎駅 2階建 築55年"/>
    <s v="東京都豊島区南長崎５"/>
    <n v="55000"/>
    <m/>
    <n v="55000"/>
    <n v="55000"/>
    <n v="2"/>
    <x v="0"/>
    <n v="18.7"/>
    <n v="55"/>
    <x v="0"/>
    <s v="東長崎駅"/>
    <n v="3"/>
    <n v="10"/>
    <n v="104537.14"/>
    <n v="77692.34"/>
    <n v="315"/>
    <n v="1071"/>
    <s v="10-20"/>
    <x v="5"/>
  </r>
  <r>
    <s v="https://suumo.jp/chintai/jnc_000103884103/?bc=100481345177"/>
    <s v="西武池袋線 東長崎駅 2階建 築7年"/>
    <s v="東京都豊島区南長崎６"/>
    <n v="57000"/>
    <n v="3000"/>
    <m/>
    <m/>
    <n v="2"/>
    <x v="0"/>
    <n v="10.99"/>
    <n v="7"/>
    <x v="0"/>
    <s v="東長崎駅"/>
    <n v="3"/>
    <n v="9.67"/>
    <n v="104537.14"/>
    <n v="77692.34"/>
    <n v="315"/>
    <n v="1071"/>
    <s v="10-20"/>
    <x v="0"/>
  </r>
  <r>
    <s v="https://suumo.jp/chintai/jnc_000104499757/?bc=100481333636"/>
    <s v="西武池袋線 東長崎駅 2階建 築8年"/>
    <s v="東京都豊島区南長崎６"/>
    <n v="65000"/>
    <n v="4000"/>
    <m/>
    <n v="65000"/>
    <n v="1"/>
    <x v="0"/>
    <n v="10.32"/>
    <n v="8"/>
    <x v="0"/>
    <s v="東長崎駅"/>
    <n v="4"/>
    <n v="10.67"/>
    <n v="104537.14"/>
    <n v="77692.34"/>
    <n v="315"/>
    <n v="1071"/>
    <s v="10-20"/>
    <x v="0"/>
  </r>
  <r>
    <s v="https://suumo.jp/chintai/jnc_000104499758/?bc=100457561444"/>
    <s v="西武池袋線 東長崎駅 2階建 築8年"/>
    <s v="東京都豊島区南長崎６"/>
    <n v="60000"/>
    <n v="4000"/>
    <m/>
    <n v="60000"/>
    <n v="2"/>
    <x v="0"/>
    <n v="10.32"/>
    <n v="8"/>
    <x v="0"/>
    <s v="東長崎駅"/>
    <n v="4"/>
    <n v="10.67"/>
    <n v="104537.14"/>
    <n v="77692.34"/>
    <n v="315"/>
    <n v="1071"/>
    <s v="10-20"/>
    <x v="0"/>
  </r>
  <r>
    <s v="https://suumo.jp/chintai/jnc_000101050415/?bc=100460743978"/>
    <s v="西武池袋線 東長崎駅 2階建 築8年"/>
    <s v="東京都豊島区南長崎６"/>
    <n v="68000"/>
    <n v="4000"/>
    <m/>
    <n v="68000"/>
    <n v="2"/>
    <x v="0"/>
    <n v="10.91"/>
    <n v="8"/>
    <x v="0"/>
    <s v="東長崎駅"/>
    <n v="3"/>
    <n v="10"/>
    <n v="104537.14"/>
    <n v="77692.34"/>
    <n v="315"/>
    <n v="1071"/>
    <s v="10-20"/>
    <x v="0"/>
  </r>
  <r>
    <s v="https://suumo.jp/chintai/jnc_000103695314/?bc=100479824839"/>
    <s v="西武池袋線 東長崎駅 2階建 築8年"/>
    <s v="東京都豊島区南長崎６"/>
    <n v="71000"/>
    <n v="4000"/>
    <m/>
    <n v="71000"/>
    <n v="2"/>
    <x v="0"/>
    <n v="11.22"/>
    <n v="8"/>
    <x v="0"/>
    <s v="東長崎駅"/>
    <n v="3"/>
    <n v="10"/>
    <n v="104537.14"/>
    <n v="77692.34"/>
    <n v="315"/>
    <n v="1071"/>
    <s v="10-20"/>
    <x v="0"/>
  </r>
  <r>
    <s v="https://suumo.jp/chintai/jnc_000104499759/?bc=100482778235"/>
    <s v="西武池袋線 東長崎駅 2階建 築8年"/>
    <s v="東京都豊島区南長崎６"/>
    <n v="67000"/>
    <n v="4000"/>
    <m/>
    <m/>
    <n v="2"/>
    <x v="0"/>
    <n v="11.39"/>
    <n v="8"/>
    <x v="0"/>
    <s v="東長崎駅"/>
    <n v="4"/>
    <n v="10.67"/>
    <n v="104537.14"/>
    <n v="77692.34"/>
    <n v="315"/>
    <n v="1071"/>
    <s v="10-20"/>
    <x v="0"/>
  </r>
  <r>
    <s v="https://suumo.jp/chintai/jnc_000104417398/?bc=100485523984"/>
    <s v="西武池袋線 東長崎駅 3階建 築24年"/>
    <s v="東京都豊島区長崎４"/>
    <n v="67000"/>
    <n v="3000"/>
    <m/>
    <m/>
    <n v="1"/>
    <x v="0"/>
    <n v="15.75"/>
    <n v="24"/>
    <x v="2"/>
    <s v="東長崎駅"/>
    <n v="3"/>
    <n v="8.67"/>
    <n v="104537.14"/>
    <n v="77692.34"/>
    <n v="315"/>
    <n v="1071"/>
    <s v="10-20"/>
    <x v="1"/>
  </r>
  <r>
    <s v="https://suumo.jp/chintai/jnc_000104483091/?bc=100485189290"/>
    <s v="西武池袋線 東長崎駅 3階建 築25年"/>
    <s v="東京都豊島区長崎４"/>
    <n v="55000"/>
    <n v="6000"/>
    <m/>
    <m/>
    <n v="3"/>
    <x v="0"/>
    <n v="17.39"/>
    <n v="25"/>
    <x v="2"/>
    <s v="東長崎駅"/>
    <n v="3"/>
    <n v="8"/>
    <n v="104537.14"/>
    <n v="77692.34"/>
    <n v="315"/>
    <n v="1071"/>
    <s v="10-20"/>
    <x v="1"/>
  </r>
  <r>
    <s v="https://suumo.jp/chintai/jnc_000096599154/?bc=100477969636"/>
    <s v="西武池袋線 東長崎駅 3階建 築2年"/>
    <s v="東京都豊島区南長崎６"/>
    <n v="98000"/>
    <n v="9000"/>
    <n v="98000"/>
    <n v="98000"/>
    <n v="2"/>
    <x v="0"/>
    <n v="24.94"/>
    <n v="2"/>
    <x v="2"/>
    <s v="東長崎駅"/>
    <n v="5"/>
    <n v="10"/>
    <n v="104537.14"/>
    <n v="77692.34"/>
    <n v="315"/>
    <n v="1071"/>
    <s v="20-30"/>
    <x v="0"/>
  </r>
  <r>
    <s v="https://suumo.jp/chintai/jnc_000102573075/?bc=100469628402"/>
    <s v="西武池袋線 東長崎駅 3階建 築42年"/>
    <s v="東京都豊島区長崎４"/>
    <n v="53000"/>
    <n v="2000"/>
    <n v="53000"/>
    <m/>
    <n v="2"/>
    <x v="0"/>
    <n v="14.86"/>
    <n v="42"/>
    <x v="2"/>
    <s v="東長崎駅"/>
    <n v="6"/>
    <n v="11.33"/>
    <n v="104537.14"/>
    <n v="77692.34"/>
    <n v="315"/>
    <n v="1071"/>
    <s v="10-20"/>
    <x v="3"/>
  </r>
  <r>
    <s v="https://suumo.jp/chintai/jnc_000070734998/?bc=100486251589"/>
    <s v="西武池袋線 東長崎駅 3階建 築5年"/>
    <s v="東京都豊島区長崎４"/>
    <n v="75000"/>
    <n v="4000"/>
    <m/>
    <n v="75000"/>
    <n v="3"/>
    <x v="0"/>
    <n v="16.7"/>
    <n v="5"/>
    <x v="2"/>
    <s v="東長崎駅"/>
    <n v="6"/>
    <n v="11.33"/>
    <n v="104537.14"/>
    <n v="77692.34"/>
    <n v="315"/>
    <n v="1071"/>
    <s v="10-20"/>
    <x v="0"/>
  </r>
  <r>
    <s v="https://suumo.jp/chintai/jnc_000103743530/?bc=100479620888"/>
    <s v="西武池袋線 東長崎駅 4階建 築20年"/>
    <s v="東京都豊島区南長崎５"/>
    <n v="94000"/>
    <n v="3000"/>
    <n v="94000"/>
    <n v="94000"/>
    <n v="3"/>
    <x v="0"/>
    <n v="30.14"/>
    <n v="20"/>
    <x v="4"/>
    <s v="東長崎駅"/>
    <n v="3"/>
    <n v="8.67"/>
    <n v="104537.14"/>
    <n v="77692.34"/>
    <n v="315"/>
    <n v="1071"/>
    <s v="30-40"/>
    <x v="7"/>
  </r>
  <r>
    <s v="https://suumo.jp/chintai/jnc_000104163425/?bc=100483613239"/>
    <s v="西武池袋線 東長崎駅 4階建 築2年"/>
    <s v="東京都豊島区南長崎６"/>
    <n v="105000"/>
    <n v="5000"/>
    <n v="105000"/>
    <n v="105000"/>
    <n v="2"/>
    <x v="0"/>
    <n v="25.2"/>
    <n v="2"/>
    <x v="4"/>
    <s v="東長崎駅"/>
    <n v="2"/>
    <n v="10.33"/>
    <n v="104537.14"/>
    <n v="77692.34"/>
    <n v="315"/>
    <n v="1071"/>
    <s v="20-30"/>
    <x v="0"/>
  </r>
  <r>
    <s v="https://suumo.jp/chintai/jnc_000074922608/?bc=100460214783"/>
    <s v="西武池袋線 東長崎駅 4階建 築40年"/>
    <s v="東京都豊島区南長崎６"/>
    <n v="59000"/>
    <n v="3000"/>
    <m/>
    <m/>
    <n v="3"/>
    <x v="0"/>
    <n v="14.99"/>
    <n v="40"/>
    <x v="4"/>
    <s v="東長崎駅"/>
    <n v="5"/>
    <n v="11.67"/>
    <n v="104537.14"/>
    <n v="77692.34"/>
    <n v="315"/>
    <n v="1071"/>
    <s v="10-20"/>
    <x v="4"/>
  </r>
  <r>
    <s v="https://suumo.jp/chintai/jnc_000104004130/?bc=100482106834"/>
    <s v="西武池袋線 東長崎駅 5階建 築4年"/>
    <s v="東京都豊島区長崎５"/>
    <n v="87000"/>
    <n v="5000"/>
    <m/>
    <n v="87000"/>
    <n v="4"/>
    <x v="0"/>
    <n v="18.13"/>
    <n v="4"/>
    <x v="7"/>
    <s v="東長崎駅"/>
    <n v="2"/>
    <n v="8.67"/>
    <n v="104537.14"/>
    <n v="77692.34"/>
    <n v="315"/>
    <n v="1071"/>
    <s v="10-20"/>
    <x v="0"/>
  </r>
  <r>
    <s v="https://suumo.jp/chintai/jnc_000104076809/?bc=100482803583"/>
    <s v="西武池袋線 東長崎駅 5階建 築52年"/>
    <s v="東京都豊島区南長崎５"/>
    <n v="65000"/>
    <n v="5000"/>
    <n v="65000"/>
    <m/>
    <n v="1"/>
    <x v="0"/>
    <n v="24.3"/>
    <n v="52"/>
    <x v="7"/>
    <s v="東長崎駅"/>
    <n v="3"/>
    <n v="4"/>
    <n v="104537.14"/>
    <n v="77692.34"/>
    <n v="315"/>
    <n v="1071"/>
    <s v="20-30"/>
    <x v="5"/>
  </r>
  <r>
    <s v="https://suumo.jp/chintai/jnc_000102987004/?bc=100475317936"/>
    <s v="西武池袋線 東長崎駅 6階建 築36年"/>
    <s v="東京都豊島区南長崎５"/>
    <n v="70000"/>
    <n v="5000"/>
    <n v="70000"/>
    <n v="70000"/>
    <n v="4"/>
    <x v="0"/>
    <n v="22.94"/>
    <n v="36"/>
    <x v="5"/>
    <s v="東長崎駅"/>
    <n v="2"/>
    <n v="11.33"/>
    <n v="104537.14"/>
    <n v="77692.34"/>
    <n v="315"/>
    <n v="1071"/>
    <s v="20-30"/>
    <x v="4"/>
  </r>
  <r>
    <s v="https://suumo.jp/chintai/jnc_000097521935/?bc=100483953377"/>
    <s v="西武池袋線 東長崎駅 6階建 築37年"/>
    <s v="東京都豊島区南長崎６"/>
    <n v="47000"/>
    <n v="10000"/>
    <n v="47000"/>
    <n v="47000"/>
    <n v="4"/>
    <x v="0"/>
    <n v="14.24"/>
    <n v="37"/>
    <x v="5"/>
    <s v="東長崎駅"/>
    <n v="7"/>
    <n v="9.33"/>
    <n v="104537.14"/>
    <n v="77692.34"/>
    <n v="315"/>
    <n v="1071"/>
    <s v="10-20"/>
    <x v="4"/>
  </r>
  <r>
    <s v="https://suumo.jp/chintai/jnc_000100137106/?bc=100484688082"/>
    <s v="ＣＬＡＳＳＥＡI"/>
    <s v="東京都豊島区長崎５"/>
    <n v="50000"/>
    <n v="2000"/>
    <m/>
    <m/>
    <n v="1"/>
    <x v="0"/>
    <n v="10"/>
    <n v="39"/>
    <x v="0"/>
    <s v="東長崎駅"/>
    <n v="4"/>
    <n v="10"/>
    <n v="104537.14"/>
    <n v="77692.34"/>
    <n v="315"/>
    <n v="1071"/>
    <s v="10-20"/>
    <x v="4"/>
  </r>
  <r>
    <s v="https://suumo.jp/chintai/jnc_000102719366/?bc=100472199114"/>
    <s v="ＣＬＡＳＳＥＡI"/>
    <s v="東京都豊島区長崎５"/>
    <n v="50000"/>
    <n v="2000"/>
    <m/>
    <m/>
    <n v="1"/>
    <x v="0"/>
    <n v="12"/>
    <n v="39"/>
    <x v="0"/>
    <s v="東長崎駅"/>
    <n v="4"/>
    <n v="10"/>
    <n v="104537.14"/>
    <n v="77692.34"/>
    <n v="315"/>
    <n v="1071"/>
    <s v="10-20"/>
    <x v="4"/>
  </r>
  <r>
    <s v="https://suumo.jp/chintai/jnc_000102452442/?bc=100469685730"/>
    <s v="My　Style　vintage東長崎"/>
    <s v="東京都豊島区長崎４"/>
    <n v="94000"/>
    <n v="5000"/>
    <m/>
    <n v="94000"/>
    <n v="1"/>
    <x v="16"/>
    <n v="23.98"/>
    <n v="0"/>
    <x v="2"/>
    <s v="東長崎駅"/>
    <n v="2"/>
    <n v="10.67"/>
    <n v="104537.14"/>
    <n v="92000"/>
    <n v="315"/>
    <n v="9"/>
    <s v="20-30"/>
    <x v="6"/>
  </r>
  <r>
    <s v="https://suumo.jp/chintai/jnc_000102452441/?bc=100469685735"/>
    <s v="My　Style　vintage東長崎"/>
    <s v="東京都豊島区長崎４"/>
    <n v="92000"/>
    <n v="5000"/>
    <m/>
    <n v="92000"/>
    <n v="1"/>
    <x v="16"/>
    <n v="24.32"/>
    <n v="0"/>
    <x v="2"/>
    <s v="東長崎駅"/>
    <n v="2"/>
    <n v="10.67"/>
    <n v="104537.14"/>
    <n v="92000"/>
    <n v="315"/>
    <n v="9"/>
    <s v="20-30"/>
    <x v="6"/>
  </r>
  <r>
    <s v="https://suumo.jp/chintai/jnc_000102448715/?bc=100469623528"/>
    <s v="My　Style　vintage東長崎"/>
    <s v="東京都豊島区長崎４"/>
    <n v="95000"/>
    <n v="5000"/>
    <m/>
    <n v="95000"/>
    <n v="1"/>
    <x v="16"/>
    <n v="24.97"/>
    <n v="0"/>
    <x v="2"/>
    <s v="東長崎駅"/>
    <n v="2"/>
    <n v="10.67"/>
    <n v="104537.14"/>
    <n v="92000"/>
    <n v="315"/>
    <n v="9"/>
    <s v="20-30"/>
    <x v="6"/>
  </r>
  <r>
    <s v="https://suumo.jp/chintai/jnc_000102452443/?bc=100469623532"/>
    <s v="My　Style　vintage東長崎"/>
    <s v="東京都豊島区長崎４"/>
    <n v="100000"/>
    <n v="5000"/>
    <m/>
    <n v="100000"/>
    <n v="2"/>
    <x v="16"/>
    <n v="24.97"/>
    <n v="0"/>
    <x v="2"/>
    <s v="東長崎駅"/>
    <n v="2"/>
    <n v="10.67"/>
    <n v="104537.14"/>
    <n v="92000"/>
    <n v="315"/>
    <n v="9"/>
    <s v="20-30"/>
    <x v="6"/>
  </r>
  <r>
    <s v="https://suumo.jp/chintai/jnc_000102452446/?bc=100486412343"/>
    <s v="My　Style　vintage東長崎"/>
    <s v="東京都豊島区長崎４"/>
    <n v="101000"/>
    <n v="5000"/>
    <m/>
    <n v="101000"/>
    <n v="3"/>
    <x v="16"/>
    <n v="24.97"/>
    <n v="0"/>
    <x v="2"/>
    <s v="東長崎駅"/>
    <n v="2"/>
    <n v="10.67"/>
    <n v="104537.14"/>
    <n v="92000"/>
    <n v="315"/>
    <n v="9"/>
    <s v="20-30"/>
    <x v="6"/>
  </r>
  <r>
    <s v="https://suumo.jp/chintai/jnc_000103380425/?bc=100477309526"/>
    <s v="エル・グランピア"/>
    <s v="東京都豊島区南長崎５"/>
    <n v="124000"/>
    <n v="6000"/>
    <n v="124000"/>
    <n v="124000"/>
    <n v="2"/>
    <x v="5"/>
    <n v="40.03"/>
    <n v="24"/>
    <x v="10"/>
    <s v="東長崎駅"/>
    <n v="3"/>
    <n v="9.67"/>
    <n v="104537.14"/>
    <n v="207063.41"/>
    <n v="315"/>
    <n v="41"/>
    <s v="40-50"/>
    <x v="1"/>
  </r>
  <r>
    <s v="https://suumo.jp/chintai/jnc_000103977826/?bc=100482378130"/>
    <s v="エル・グランピア"/>
    <s v="東京都豊島区南長崎５"/>
    <n v="126000"/>
    <n v="6000"/>
    <n v="126000"/>
    <n v="126000"/>
    <n v="2"/>
    <x v="5"/>
    <n v="40.03"/>
    <n v="24"/>
    <x v="10"/>
    <s v="東長崎駅"/>
    <n v="3"/>
    <n v="9.67"/>
    <n v="104537.14"/>
    <n v="207063.41"/>
    <n v="315"/>
    <n v="41"/>
    <s v="40-50"/>
    <x v="1"/>
  </r>
  <r>
    <s v="https://suumo.jp/chintai/jnc_000103380426/?bc=100479271182"/>
    <s v="エル・グランピア"/>
    <s v="東京都豊島区南長崎５"/>
    <n v="125000"/>
    <n v="6000"/>
    <n v="125000"/>
    <n v="125000"/>
    <n v="3"/>
    <x v="5"/>
    <n v="40.03"/>
    <n v="24"/>
    <x v="10"/>
    <s v="東長崎駅"/>
    <n v="3"/>
    <n v="9.67"/>
    <n v="104537.14"/>
    <n v="207063.41"/>
    <n v="315"/>
    <n v="41"/>
    <s v="40-50"/>
    <x v="1"/>
  </r>
  <r>
    <s v="https://suumo.jp/chintai/jnc_000103994935/?bc=100482082116"/>
    <s v="西武池袋線 東長崎駅 7階建 築24年"/>
    <s v="東京都豊島区南長崎５"/>
    <n v="126000"/>
    <n v="6000"/>
    <n v="126000"/>
    <n v="126000"/>
    <n v="2"/>
    <x v="5"/>
    <n v="40.03"/>
    <n v="24"/>
    <x v="10"/>
    <s v="東長崎駅"/>
    <n v="3"/>
    <n v="9.67"/>
    <n v="104537.14"/>
    <n v="207063.41"/>
    <n v="315"/>
    <n v="41"/>
    <s v="40-50"/>
    <x v="1"/>
  </r>
  <r>
    <s v="https://suumo.jp/chintai/jnc_000103386700/?bc=100484096180"/>
    <s v="西武池袋線 東長崎駅 7階建 築24年"/>
    <s v="東京都豊島区南長崎５"/>
    <n v="125000"/>
    <n v="6000"/>
    <n v="125000"/>
    <n v="125000"/>
    <n v="3"/>
    <x v="5"/>
    <n v="40.03"/>
    <n v="24"/>
    <x v="10"/>
    <s v="東長崎駅"/>
    <n v="3"/>
    <n v="9.67"/>
    <n v="104537.14"/>
    <n v="207063.41"/>
    <n v="315"/>
    <n v="41"/>
    <s v="40-50"/>
    <x v="1"/>
  </r>
  <r>
    <s v="https://suumo.jp/chintai/jnc_000104004156/?bc=100482105628"/>
    <s v="コートエバーグリーン"/>
    <s v="東京都豊島区南長崎６"/>
    <n v="159000"/>
    <n v="9000"/>
    <n v="159000"/>
    <n v="159000"/>
    <n v="4"/>
    <x v="6"/>
    <n v="53.01"/>
    <n v="31"/>
    <x v="1"/>
    <s v="東長崎駅"/>
    <n v="5"/>
    <n v="9.67"/>
    <n v="104537.14"/>
    <n v="141491.45000000001"/>
    <n v="315"/>
    <n v="117"/>
    <s v="50-60"/>
    <x v="4"/>
  </r>
  <r>
    <s v="https://suumo.jp/chintai/jnc_000104499726/?bc=100471277977"/>
    <s v="パーシモンヒルズ"/>
    <s v="東京都豊島区長崎４"/>
    <n v="114000"/>
    <n v="3000"/>
    <n v="114000"/>
    <n v="114000"/>
    <n v="3"/>
    <x v="6"/>
    <n v="41.12"/>
    <n v="36"/>
    <x v="2"/>
    <s v="東長崎駅"/>
    <n v="4"/>
    <n v="9"/>
    <n v="104537.14"/>
    <n v="141491.45000000001"/>
    <n v="315"/>
    <n v="117"/>
    <s v="40-50"/>
    <x v="4"/>
  </r>
  <r>
    <s v="https://suumo.jp/chintai/jnc_000103828592/?bc=100480872975"/>
    <s v="メゾン長崎"/>
    <s v="東京都豊島区長崎４"/>
    <n v="95000"/>
    <n v="3000"/>
    <n v="95000"/>
    <n v="95000"/>
    <n v="3"/>
    <x v="6"/>
    <n v="35"/>
    <n v="51"/>
    <x v="4"/>
    <s v="東長崎駅"/>
    <n v="3"/>
    <n v="9.33"/>
    <n v="104537.14"/>
    <n v="141491.45000000001"/>
    <n v="315"/>
    <n v="117"/>
    <s v="30-40"/>
    <x v="5"/>
  </r>
  <r>
    <s v="https://suumo.jp/chintai/jnc_000103510915/?bc=100477317468"/>
    <s v="メゾン長崎１"/>
    <s v="東京都豊島区長崎４"/>
    <n v="95000"/>
    <n v="3000"/>
    <n v="95000"/>
    <n v="95000"/>
    <n v="3"/>
    <x v="6"/>
    <n v="35"/>
    <n v="52"/>
    <x v="4"/>
    <s v="東長崎駅"/>
    <n v="4"/>
    <n v="10.33"/>
    <n v="104537.14"/>
    <n v="141491.45000000001"/>
    <n v="315"/>
    <n v="117"/>
    <s v="30-40"/>
    <x v="5"/>
  </r>
  <r>
    <s v="https://suumo.jp/chintai/jnc_000104265711/?bc=100485176789"/>
    <s v="ラシクラス西落合"/>
    <s v="東京都新宿区西落合４"/>
    <n v="188000"/>
    <n v="12000"/>
    <m/>
    <m/>
    <n v="1"/>
    <x v="6"/>
    <n v="49.95"/>
    <n v="0"/>
    <x v="4"/>
    <s v="東長崎駅"/>
    <n v="7"/>
    <n v="9.33"/>
    <n v="104537.14"/>
    <n v="141491.45000000001"/>
    <n v="315"/>
    <n v="117"/>
    <s v="40-50"/>
    <x v="6"/>
  </r>
  <r>
    <s v="https://suumo.jp/chintai/jnc_000104178869/?bc=100483566756"/>
    <s v="第2コーポ岡部"/>
    <s v="東京都新宿区西落合４"/>
    <n v="100000"/>
    <n v="2000"/>
    <n v="100000"/>
    <n v="100000"/>
    <n v="2"/>
    <x v="6"/>
    <n v="40"/>
    <n v="34"/>
    <x v="0"/>
    <s v="東長崎駅"/>
    <n v="7"/>
    <n v="9.33"/>
    <n v="104537.14"/>
    <n v="141491.45000000001"/>
    <n v="315"/>
    <n v="117"/>
    <s v="40-50"/>
    <x v="4"/>
  </r>
  <r>
    <s v="https://suumo.jp/chintai/jnc_000104499727/?bc=100478570265"/>
    <s v="西武池袋線 東長崎駅 3階建 築36年"/>
    <s v="東京都豊島区長崎４"/>
    <n v="114000"/>
    <n v="3000"/>
    <n v="114000"/>
    <n v="114000"/>
    <n v="3"/>
    <x v="6"/>
    <n v="41.12"/>
    <n v="36"/>
    <x v="2"/>
    <s v="東長崎駅"/>
    <n v="4"/>
    <n v="9"/>
    <n v="104537.14"/>
    <n v="141491.45000000001"/>
    <n v="315"/>
    <n v="117"/>
    <s v="40-50"/>
    <x v="4"/>
  </r>
  <r>
    <s v="https://suumo.jp/chintai/jnc_000097414622/?bc=100428431292"/>
    <s v="第6山七コーポ"/>
    <s v="東京都豊島区千早３"/>
    <n v="66000"/>
    <m/>
    <n v="66000"/>
    <m/>
    <n v="2"/>
    <x v="7"/>
    <n v="25.61"/>
    <n v="51"/>
    <x v="0"/>
    <s v="東長崎駅"/>
    <n v="5"/>
    <n v="10.67"/>
    <n v="104537.14"/>
    <n v="117441.44"/>
    <n v="315"/>
    <n v="111"/>
    <s v="20-30"/>
    <x v="5"/>
  </r>
  <r>
    <s v="https://suumo.jp/chintai/jnc_000097404446/?bc=100484472081"/>
    <s v="西武池袋線 東長崎駅 2階建 築51年"/>
    <s v="東京都豊島区千早３"/>
    <n v="66000"/>
    <m/>
    <n v="66000"/>
    <m/>
    <n v="2"/>
    <x v="7"/>
    <n v="25.61"/>
    <n v="51"/>
    <x v="0"/>
    <s v="東長崎駅"/>
    <n v="5"/>
    <n v="10.67"/>
    <n v="104537.14"/>
    <n v="117441.44"/>
    <n v="315"/>
    <n v="111"/>
    <s v="20-30"/>
    <x v="5"/>
  </r>
  <r>
    <s v="https://suumo.jp/chintai/jnc_000099832914/?bc=100484230045"/>
    <s v="アナハイム"/>
    <s v="東京都豊島区南長崎３"/>
    <n v="180000"/>
    <m/>
    <n v="180000"/>
    <n v="180000"/>
    <n v="1"/>
    <x v="8"/>
    <n v="61.27"/>
    <n v="26"/>
    <x v="0"/>
    <s v="東長崎駅"/>
    <n v="7"/>
    <n v="9"/>
    <n v="104537.14"/>
    <n v="232352.65"/>
    <n v="315"/>
    <n v="359"/>
    <s v="60-70"/>
    <x v="1"/>
  </r>
  <r>
    <s v="https://suumo.jp/chintai/jnc_000104525353/?bc=100486256695"/>
    <s v="ベルデュ－ル"/>
    <s v="東京都新宿区西落合４"/>
    <n v="175000"/>
    <m/>
    <n v="175000"/>
    <n v="175000"/>
    <n v="1"/>
    <x v="8"/>
    <n v="65.62"/>
    <n v="18"/>
    <x v="0"/>
    <s v="東長崎駅"/>
    <n v="7"/>
    <n v="9"/>
    <n v="104537.14"/>
    <n v="232352.65"/>
    <n v="315"/>
    <n v="359"/>
    <s v="60-70"/>
    <x v="7"/>
  </r>
  <r>
    <s v="https://suumo.jp/chintai/jnc_000104525353/?bc=100486256695"/>
    <s v="ベルデュ－ル"/>
    <s v="東京都新宿区西落合４"/>
    <n v="175000"/>
    <m/>
    <n v="175000"/>
    <n v="175000"/>
    <n v="2"/>
    <x v="8"/>
    <n v="65.62"/>
    <n v="18"/>
    <x v="0"/>
    <s v="東長崎駅"/>
    <n v="7"/>
    <n v="9"/>
    <n v="104537.14"/>
    <n v="232352.65"/>
    <n v="315"/>
    <n v="359"/>
    <s v="60-70"/>
    <x v="7"/>
  </r>
  <r>
    <s v="https://suumo.jp/chintai/jnc_000104010694/?bc=100482141308"/>
    <s v="ユービ１０"/>
    <s v="東京都豊島区南長崎５"/>
    <n v="145000"/>
    <n v="12000"/>
    <n v="145000"/>
    <n v="145000"/>
    <n v="2"/>
    <x v="8"/>
    <n v="49.27"/>
    <n v="54"/>
    <x v="0"/>
    <s v="東長崎駅"/>
    <n v="5"/>
    <n v="6"/>
    <n v="104537.14"/>
    <n v="232352.65"/>
    <n v="315"/>
    <n v="359"/>
    <s v="40-50"/>
    <x v="5"/>
  </r>
  <r>
    <s v="https://suumo.jp/chintai/jnc_000103474365/?bc=100477793901"/>
    <s v="ワールドレジデンス"/>
    <s v="東京都豊島区長崎５"/>
    <n v="174000"/>
    <n v="5000"/>
    <n v="174000"/>
    <n v="174000"/>
    <n v="2"/>
    <x v="8"/>
    <n v="53.68"/>
    <n v="3"/>
    <x v="0"/>
    <s v="東長崎駅"/>
    <n v="5"/>
    <n v="9.33"/>
    <n v="104537.14"/>
    <n v="232352.65"/>
    <n v="315"/>
    <n v="359"/>
    <s v="50-60"/>
    <x v="0"/>
  </r>
  <r>
    <s v="https://suumo.jp/chintai/jnc_000103474366/?bc=100477969634"/>
    <s v="ワールドレジデンス"/>
    <s v="東京都豊島区長崎５"/>
    <n v="176000"/>
    <n v="5000"/>
    <n v="176000"/>
    <n v="176000"/>
    <n v="2"/>
    <x v="8"/>
    <n v="53.68"/>
    <n v="3"/>
    <x v="0"/>
    <s v="東長崎駅"/>
    <n v="5"/>
    <n v="9.33"/>
    <n v="104537.14"/>
    <n v="232352.65"/>
    <n v="315"/>
    <n v="359"/>
    <s v="50-60"/>
    <x v="0"/>
  </r>
  <r>
    <s v="https://suumo.jp/chintai/jnc_000102837334/?bc=100480808576"/>
    <s v="日神パレステージ東長崎"/>
    <s v="東京都豊島区長崎５"/>
    <n v="192000"/>
    <n v="8000"/>
    <n v="192000"/>
    <m/>
    <n v="4"/>
    <x v="8"/>
    <n v="60.21"/>
    <n v="37"/>
    <x v="8"/>
    <s v="東長崎駅"/>
    <n v="6"/>
    <n v="13"/>
    <n v="104537.14"/>
    <n v="232352.65"/>
    <n v="315"/>
    <n v="359"/>
    <s v="60-70"/>
    <x v="4"/>
  </r>
  <r>
    <s v="https://suumo.jp/chintai/jnc_000103487599/?bc=100486289908"/>
    <s v="西武池袋線 東長崎駅 2階建 築3年"/>
    <s v="東京都豊島区長崎５"/>
    <n v="176000"/>
    <n v="5000"/>
    <n v="176000"/>
    <n v="176000"/>
    <n v="2"/>
    <x v="8"/>
    <n v="53.68"/>
    <n v="3"/>
    <x v="0"/>
    <s v="東長崎駅"/>
    <n v="5"/>
    <n v="12"/>
    <n v="104537.14"/>
    <n v="232352.65"/>
    <n v="315"/>
    <n v="359"/>
    <s v="50-60"/>
    <x v="0"/>
  </r>
  <r>
    <s v="https://suumo.jp/chintai/jnc_000104272255/?bc=100485884302"/>
    <s v="ドゥーエ南長崎"/>
    <s v="東京都豊島区南長崎６"/>
    <n v="218000"/>
    <n v="9000"/>
    <n v="218000"/>
    <n v="218000"/>
    <n v="6"/>
    <x v="10"/>
    <n v="70.88"/>
    <n v="31"/>
    <x v="8"/>
    <s v="東長崎駅"/>
    <n v="7"/>
    <n v="10.33"/>
    <n v="104537.14"/>
    <n v="282153.84999999998"/>
    <n v="315"/>
    <n v="26"/>
    <s v="70-80"/>
    <x v="4"/>
  </r>
  <r>
    <s v="https://suumo.jp/chintai/jnc_000104272256/?bc=100484348272"/>
    <s v="ドゥーエ南長崎"/>
    <s v="東京都豊島区南長崎６"/>
    <n v="209000"/>
    <n v="9000"/>
    <n v="209000"/>
    <n v="209000"/>
    <n v="7"/>
    <x v="10"/>
    <n v="70.88"/>
    <n v="31"/>
    <x v="8"/>
    <s v="東長崎駅"/>
    <n v="7"/>
    <n v="10.33"/>
    <n v="104537.14"/>
    <n v="282153.84999999998"/>
    <n v="315"/>
    <n v="26"/>
    <s v="70-80"/>
    <x v="4"/>
  </r>
  <r>
    <s v="https://suumo.jp/chintai/jnc_000104117853/?bc=100483459491"/>
    <s v="ベルメゾン長崎"/>
    <s v="東京都豊島区長崎５"/>
    <n v="160000"/>
    <n v="13000"/>
    <m/>
    <n v="160000"/>
    <n v="3"/>
    <x v="11"/>
    <n v="65.23"/>
    <n v="31"/>
    <x v="2"/>
    <s v="東長崎駅"/>
    <n v="3"/>
    <n v="10.33"/>
    <n v="104537.14"/>
    <n v="184333.33"/>
    <n v="315"/>
    <n v="18"/>
    <s v="60-70"/>
    <x v="4"/>
  </r>
  <r>
    <s v="https://suumo.jp/chintai/jnc_000104357356/?bc=100484979863"/>
    <s v="西武池袋線 東長崎駅 3階建 築31年"/>
    <s v="東京都豊島区長崎５"/>
    <n v="160000"/>
    <n v="13000"/>
    <m/>
    <n v="160000"/>
    <n v="3"/>
    <x v="11"/>
    <n v="65.23"/>
    <n v="31"/>
    <x v="2"/>
    <s v="東長崎駅"/>
    <n v="3"/>
    <n v="9.33"/>
    <n v="104537.14"/>
    <n v="184333.33"/>
    <n v="315"/>
    <n v="18"/>
    <s v="60-70"/>
    <x v="4"/>
  </r>
  <r>
    <s v="https://suumo.jp/chintai/jnc_000103551378/?bc=100478449757"/>
    <s v="カサ・ドゥラスノ"/>
    <s v="東京都豊島区長崎４"/>
    <n v="300000"/>
    <m/>
    <n v="300000"/>
    <n v="300000"/>
    <n v="1"/>
    <x v="13"/>
    <n v="86.16"/>
    <n v="0"/>
    <x v="0"/>
    <s v="東長崎駅"/>
    <n v="3"/>
    <n v="10"/>
    <n v="104537.14"/>
    <n v="288705.81"/>
    <n v="315"/>
    <n v="155"/>
    <s v="80-90"/>
    <x v="6"/>
  </r>
  <r>
    <s v="https://suumo.jp/chintai/jnc_000103551377/?bc=100478448315"/>
    <s v="カサ・メロコトン"/>
    <s v="東京都豊島区長崎４"/>
    <n v="315000"/>
    <m/>
    <n v="315000"/>
    <n v="315000"/>
    <n v="1"/>
    <x v="13"/>
    <n v="93.52"/>
    <n v="0"/>
    <x v="0"/>
    <s v="東長崎駅"/>
    <n v="3"/>
    <n v="10"/>
    <n v="104537.14"/>
    <n v="288705.81"/>
    <n v="315"/>
    <n v="155"/>
    <s v="90-100"/>
    <x v="6"/>
  </r>
  <r>
    <s v="https://suumo.jp/chintai/jnc_000103218062/?bc=100476452690"/>
    <s v="サンヴェール"/>
    <s v="東京都豊島区南長崎５"/>
    <n v="220000"/>
    <m/>
    <n v="440000"/>
    <n v="220000"/>
    <n v="3"/>
    <x v="13"/>
    <n v="79.02"/>
    <n v="34"/>
    <x v="2"/>
    <s v="東長崎駅"/>
    <n v="4"/>
    <n v="10.67"/>
    <n v="104537.14"/>
    <n v="288705.81"/>
    <n v="315"/>
    <n v="155"/>
    <s v="70-80"/>
    <x v="4"/>
  </r>
  <r>
    <s v="https://suumo.jp/chintai/jnc_000103702657/?bc=100481387307"/>
    <s v="ドゥーエ南長崎"/>
    <s v="東京都豊島区南長崎６"/>
    <n v="218000"/>
    <n v="9000"/>
    <n v="218000"/>
    <n v="218000"/>
    <n v="5"/>
    <x v="13"/>
    <n v="70.88"/>
    <n v="31"/>
    <x v="8"/>
    <s v="東長崎駅"/>
    <n v="7"/>
    <n v="10.33"/>
    <n v="104537.14"/>
    <n v="288705.81"/>
    <n v="315"/>
    <n v="155"/>
    <s v="70-80"/>
    <x v="4"/>
  </r>
  <r>
    <s v="https://suumo.jp/chintai/jnc_000103702658/?bc=100479879064"/>
    <s v="ドゥーエ南長崎"/>
    <s v="東京都豊島区南長崎６"/>
    <n v="221000"/>
    <n v="9000"/>
    <n v="221000"/>
    <n v="221000"/>
    <n v="9"/>
    <x v="13"/>
    <n v="70.88"/>
    <n v="31"/>
    <x v="8"/>
    <s v="東長崎駅"/>
    <n v="7"/>
    <n v="10.33"/>
    <n v="104537.14"/>
    <n v="288705.81"/>
    <n v="315"/>
    <n v="155"/>
    <s v="70-80"/>
    <x v="4"/>
  </r>
  <r>
    <s v="https://suumo.jp/chintai/jnc_000104004158/?bc=100482464852"/>
    <s v="西武池袋線 東長崎駅 11階建 築31年"/>
    <s v="東京都豊島区南長崎６"/>
    <n v="218000"/>
    <n v="9000"/>
    <n v="218000"/>
    <n v="218000"/>
    <n v="5"/>
    <x v="13"/>
    <n v="70.88"/>
    <n v="31"/>
    <x v="8"/>
    <s v="東長崎駅"/>
    <n v="7"/>
    <n v="10.33"/>
    <n v="104537.14"/>
    <n v="288705.81"/>
    <n v="315"/>
    <n v="155"/>
    <s v="70-80"/>
    <x v="4"/>
  </r>
  <r>
    <s v="https://suumo.jp/chintai/jnc_000102405415/?bc=100424809772"/>
    <s v="西武池袋線 東長崎駅 3階建 築1年"/>
    <s v="東京都豊島区長崎３"/>
    <n v="243000"/>
    <n v="11000"/>
    <n v="243000"/>
    <n v="243000"/>
    <n v="1"/>
    <x v="13"/>
    <n v="64.64"/>
    <n v="1"/>
    <x v="2"/>
    <s v="東長崎駅"/>
    <n v="6"/>
    <n v="10.67"/>
    <n v="104537.14"/>
    <n v="288705.81"/>
    <n v="315"/>
    <n v="155"/>
    <s v="60-70"/>
    <x v="0"/>
  </r>
  <r>
    <s v="https://suumo.jp/chintai/jnc_000103558198/?bc=100478448304"/>
    <s v="西武池袋線 東長崎駅 地上2階建 新築"/>
    <s v="東京都豊島区長崎４"/>
    <n v="300000"/>
    <m/>
    <n v="300000"/>
    <n v="300000"/>
    <n v="1"/>
    <x v="13"/>
    <n v="86.16"/>
    <n v="0"/>
    <x v="0"/>
    <s v="東長崎駅"/>
    <n v="3"/>
    <n v="10"/>
    <n v="104537.14"/>
    <n v="288705.81"/>
    <n v="315"/>
    <n v="155"/>
    <s v="80-90"/>
    <x v="6"/>
  </r>
  <r>
    <s v="https://suumo.jp/chintai/jnc_000103558197/?bc=100480411857"/>
    <s v="西武池袋線 東長崎駅 地上2階建 新築"/>
    <s v="東京都豊島区長崎４"/>
    <n v="315000"/>
    <m/>
    <n v="315000"/>
    <n v="315000"/>
    <n v="1"/>
    <x v="13"/>
    <n v="93.52"/>
    <n v="0"/>
    <x v="0"/>
    <s v="東長崎駅"/>
    <n v="3"/>
    <n v="10"/>
    <n v="104537.14"/>
    <n v="288705.81"/>
    <n v="315"/>
    <n v="155"/>
    <s v="90-100"/>
    <x v="6"/>
  </r>
  <r>
    <s v="https://suumo.jp/chintai/jnc_000102970939/?bc=100473913506"/>
    <s v="Ｃｌａｒｉｓｓｅ西落合"/>
    <s v="東京都新宿区西落合４"/>
    <n v="270000"/>
    <m/>
    <n v="270000"/>
    <n v="270000"/>
    <n v="1"/>
    <x v="13"/>
    <n v="95.23"/>
    <n v="7"/>
    <x v="0"/>
    <s v="東長崎駅"/>
    <n v="9"/>
    <n v="10.5"/>
    <n v="104537.14"/>
    <n v="288705.81"/>
    <n v="315"/>
    <n v="155"/>
    <s v="90-100"/>
    <x v="0"/>
  </r>
  <r>
    <s v="https://suumo.jp/chintai/jnc_000102405414/?bc=100424746746"/>
    <s v="ＤＯビル東長崎へーベルメゾン"/>
    <s v="東京都豊島区長崎３"/>
    <n v="243000"/>
    <n v="11000"/>
    <n v="243000"/>
    <n v="243000"/>
    <n v="1"/>
    <x v="13"/>
    <n v="64.64"/>
    <n v="1"/>
    <x v="2"/>
    <s v="東長崎駅"/>
    <n v="6"/>
    <n v="10.67"/>
    <n v="104537.14"/>
    <n v="288705.81"/>
    <n v="315"/>
    <n v="155"/>
    <s v="60-70"/>
    <x v="0"/>
  </r>
  <r>
    <s v="https://suumo.jp/chintai/jnc_000103969727/?bc=100472920562"/>
    <s v="trias372"/>
    <s v="東京都豊島区長崎３"/>
    <n v="81000"/>
    <n v="18000"/>
    <m/>
    <m/>
    <n v="1"/>
    <x v="1"/>
    <n v="17.010000000000002"/>
    <n v="0"/>
    <x v="4"/>
    <s v="椎名町駅"/>
    <n v="8"/>
    <n v="12"/>
    <n v="118283.39"/>
    <n v="123325.96"/>
    <n v="271"/>
    <n v="339"/>
    <s v="10-20"/>
    <x v="6"/>
  </r>
  <r>
    <s v="https://suumo.jp/chintai/jnc_000102862788/?bc=100472964610"/>
    <s v="trias372"/>
    <s v="東京都豊島区長崎３"/>
    <n v="94000"/>
    <n v="18000"/>
    <m/>
    <m/>
    <n v="1"/>
    <x v="1"/>
    <n v="17.54"/>
    <n v="0"/>
    <x v="4"/>
    <s v="椎名町駅"/>
    <n v="8"/>
    <n v="12"/>
    <n v="118283.39"/>
    <n v="123325.96"/>
    <n v="271"/>
    <n v="339"/>
    <s v="10-20"/>
    <x v="6"/>
  </r>
  <r>
    <s v="https://suumo.jp/chintai/jnc_000104241860/?bc=100472964611"/>
    <s v="trias372"/>
    <s v="東京都豊島区長崎３"/>
    <n v="84000"/>
    <n v="18000"/>
    <m/>
    <m/>
    <n v="1"/>
    <x v="1"/>
    <n v="18.18"/>
    <n v="0"/>
    <x v="4"/>
    <s v="椎名町駅"/>
    <n v="8"/>
    <n v="12"/>
    <n v="118283.39"/>
    <n v="123325.96"/>
    <n v="271"/>
    <n v="339"/>
    <s v="10-20"/>
    <x v="6"/>
  </r>
  <r>
    <s v="https://suumo.jp/chintai/jnc_000104241861/?bc=100481884103"/>
    <s v="trias372"/>
    <s v="東京都豊島区長崎３"/>
    <n v="84000"/>
    <n v="18000"/>
    <m/>
    <m/>
    <n v="2"/>
    <x v="1"/>
    <n v="17.010000000000002"/>
    <n v="0"/>
    <x v="4"/>
    <s v="椎名町駅"/>
    <n v="8"/>
    <n v="12"/>
    <n v="118283.39"/>
    <n v="123325.96"/>
    <n v="271"/>
    <n v="339"/>
    <s v="10-20"/>
    <x v="6"/>
  </r>
  <r>
    <s v="https://suumo.jp/chintai/jnc_000104241862/?bc=100481892107"/>
    <s v="trias372"/>
    <s v="東京都豊島区長崎３"/>
    <n v="94000"/>
    <n v="18000"/>
    <m/>
    <m/>
    <n v="2"/>
    <x v="1"/>
    <n v="17.54"/>
    <n v="0"/>
    <x v="4"/>
    <s v="椎名町駅"/>
    <n v="8"/>
    <n v="12"/>
    <n v="118283.39"/>
    <n v="123325.96"/>
    <n v="271"/>
    <n v="339"/>
    <s v="10-20"/>
    <x v="6"/>
  </r>
  <r>
    <s v="https://suumo.jp/chintai/jnc_000104241863/?bc=100472964613"/>
    <s v="trias372"/>
    <s v="東京都豊島区長崎３"/>
    <n v="87000"/>
    <n v="18000"/>
    <m/>
    <m/>
    <n v="3"/>
    <x v="1"/>
    <n v="18.18"/>
    <n v="0"/>
    <x v="4"/>
    <s v="椎名町駅"/>
    <n v="8"/>
    <n v="12"/>
    <n v="118283.39"/>
    <n v="123325.96"/>
    <n v="271"/>
    <n v="339"/>
    <s v="10-20"/>
    <x v="6"/>
  </r>
  <r>
    <s v="https://suumo.jp/chintai/jnc_000104455056/?bc=100485775507"/>
    <s v="trias372"/>
    <s v="東京都豊島区長崎３"/>
    <n v="90000"/>
    <n v="18000"/>
    <m/>
    <m/>
    <n v="4"/>
    <x v="1"/>
    <n v="18.18"/>
    <n v="0"/>
    <x v="4"/>
    <s v="椎名町駅"/>
    <n v="8"/>
    <n v="12"/>
    <n v="118283.39"/>
    <n v="123325.96"/>
    <n v="271"/>
    <n v="339"/>
    <s v="10-20"/>
    <x v="6"/>
  </r>
  <r>
    <s v="https://suumo.jp/chintai/jnc_000104412323/?bc=100485439808"/>
    <s v="エスポワール目白"/>
    <s v="東京都豊島区目白４"/>
    <n v="97000"/>
    <n v="3000"/>
    <n v="97000"/>
    <n v="97000"/>
    <n v="1"/>
    <x v="1"/>
    <n v="33.53"/>
    <n v="56"/>
    <x v="0"/>
    <s v="椎名町駅"/>
    <n v="7"/>
    <n v="10.67"/>
    <n v="118283.39"/>
    <n v="123325.96"/>
    <n v="271"/>
    <n v="339"/>
    <s v="30-40"/>
    <x v="5"/>
  </r>
  <r>
    <s v="https://suumo.jp/chintai/jnc_000103750704/?bc=100463328138"/>
    <s v="エミネンス目白"/>
    <s v="東京都豊島区目白４"/>
    <n v="72000"/>
    <m/>
    <n v="72000"/>
    <m/>
    <n v="1"/>
    <x v="1"/>
    <n v="27.41"/>
    <n v="36"/>
    <x v="0"/>
    <s v="椎名町駅"/>
    <n v="9"/>
    <n v="12.67"/>
    <n v="118283.39"/>
    <n v="123325.96"/>
    <n v="271"/>
    <n v="339"/>
    <s v="20-30"/>
    <x v="4"/>
  </r>
  <r>
    <s v="https://suumo.jp/chintai/jnc_000104541726/?bc=100486386610"/>
    <s v="オータムリーフ椎名町"/>
    <s v="東京都豊島区南長崎１"/>
    <n v="115000"/>
    <m/>
    <m/>
    <n v="172500"/>
    <n v="1"/>
    <x v="1"/>
    <n v="38.25"/>
    <n v="14"/>
    <x v="2"/>
    <s v="椎名町駅"/>
    <n v="6"/>
    <n v="10.67"/>
    <n v="118283.39"/>
    <n v="123325.96"/>
    <n v="271"/>
    <n v="339"/>
    <s v="30-40"/>
    <x v="7"/>
  </r>
  <r>
    <s v="https://suumo.jp/chintai/jnc_000104317353/?bc=100484918777"/>
    <s v="ザ・パークハビオ目白タワー"/>
    <s v="東京都豊島区目白５"/>
    <n v="160000"/>
    <n v="15000"/>
    <n v="160000"/>
    <m/>
    <n v="12"/>
    <x v="1"/>
    <n v="31.92"/>
    <n v="2"/>
    <x v="23"/>
    <s v="椎名町駅"/>
    <n v="6"/>
    <n v="12"/>
    <n v="118283.39"/>
    <n v="123325.96"/>
    <n v="271"/>
    <n v="339"/>
    <s v="30-40"/>
    <x v="0"/>
  </r>
  <r>
    <s v="https://suumo.jp/chintai/jnc_000104317354/?bc=100484918768"/>
    <s v="ザ・パークハビオ目白タワー"/>
    <s v="東京都豊島区目白５"/>
    <n v="161000"/>
    <n v="15000"/>
    <n v="161000"/>
    <m/>
    <n v="13"/>
    <x v="1"/>
    <n v="31.92"/>
    <n v="2"/>
    <x v="23"/>
    <s v="椎名町駅"/>
    <n v="6"/>
    <n v="12"/>
    <n v="118283.39"/>
    <n v="123325.96"/>
    <n v="271"/>
    <n v="339"/>
    <s v="30-40"/>
    <x v="0"/>
  </r>
  <r>
    <s v="https://suumo.jp/chintai/jnc_000104317355/?bc=100484751535"/>
    <s v="ザ・パークハビオ目白タワー"/>
    <s v="東京都豊島区目白５"/>
    <n v="142000"/>
    <n v="15000"/>
    <n v="142000"/>
    <m/>
    <n v="3"/>
    <x v="1"/>
    <n v="28.02"/>
    <n v="2"/>
    <x v="23"/>
    <s v="椎名町駅"/>
    <n v="6"/>
    <n v="12"/>
    <n v="118283.39"/>
    <n v="123325.96"/>
    <n v="271"/>
    <n v="339"/>
    <s v="20-30"/>
    <x v="0"/>
  </r>
  <r>
    <s v="https://suumo.jp/chintai/jnc_000094227647/?bc=100478747271"/>
    <s v="パレス浜野"/>
    <s v="東京都豊島区南長崎２"/>
    <n v="82000"/>
    <n v="3000"/>
    <n v="82000"/>
    <n v="82000"/>
    <n v="2"/>
    <x v="1"/>
    <n v="25.34"/>
    <n v="31"/>
    <x v="2"/>
    <s v="椎名町駅"/>
    <n v="6"/>
    <n v="12.67"/>
    <n v="118283.39"/>
    <n v="123325.96"/>
    <n v="271"/>
    <n v="339"/>
    <s v="20-30"/>
    <x v="4"/>
  </r>
  <r>
    <s v="https://suumo.jp/chintai/jnc_000104097223/?bc=100482962248"/>
    <s v="目白 My village"/>
    <s v="東京都豊島区目白５"/>
    <n v="140000"/>
    <n v="5000"/>
    <n v="140000"/>
    <n v="140000"/>
    <n v="5"/>
    <x v="1"/>
    <n v="32.450000000000003"/>
    <n v="12"/>
    <x v="8"/>
    <s v="椎名町駅"/>
    <n v="7"/>
    <n v="10.67"/>
    <n v="118283.39"/>
    <n v="123325.96"/>
    <n v="271"/>
    <n v="339"/>
    <s v="30-40"/>
    <x v="7"/>
  </r>
  <r>
    <s v="https://suumo.jp/chintai/jnc_000104178866/?bc=100483580598"/>
    <s v="西武池袋線 椎名町駅 3階建 築70年"/>
    <s v="東京都新宿区中落合３"/>
    <n v="88000"/>
    <m/>
    <n v="88000"/>
    <n v="88000"/>
    <n v="2"/>
    <x v="1"/>
    <n v="30.26"/>
    <n v="70"/>
    <x v="2"/>
    <s v="椎名町駅"/>
    <n v="9"/>
    <n v="10.33"/>
    <n v="118283.39"/>
    <n v="123325.96"/>
    <n v="271"/>
    <n v="339"/>
    <s v="30-40"/>
    <x v="2"/>
  </r>
  <r>
    <s v="https://suumo.jp/chintai/jnc_000094237485/?bc=100482286647"/>
    <s v="西武池袋線 椎名町駅 地下1地上3階建 築31年"/>
    <s v="東京都豊島区南長崎２"/>
    <n v="82000"/>
    <n v="3000"/>
    <n v="82000"/>
    <n v="82000"/>
    <n v="2"/>
    <x v="1"/>
    <n v="25.34"/>
    <n v="31"/>
    <x v="4"/>
    <s v="椎名町駅"/>
    <n v="6"/>
    <n v="11"/>
    <n v="118283.39"/>
    <n v="123325.96"/>
    <n v="271"/>
    <n v="339"/>
    <s v="20-30"/>
    <x v="4"/>
  </r>
  <r>
    <s v="https://suumo.jp/chintai/jnc_000104348483/?bc=100484916312"/>
    <s v="Ever Win"/>
    <s v="東京都豊島区南長崎２"/>
    <n v="90000"/>
    <n v="5000"/>
    <n v="90000"/>
    <n v="90000"/>
    <n v="3"/>
    <x v="2"/>
    <n v="25.54"/>
    <n v="13"/>
    <x v="4"/>
    <s v="椎名町駅"/>
    <n v="6"/>
    <n v="9.33"/>
    <n v="118283.39"/>
    <n v="95329.65"/>
    <n v="271"/>
    <n v="1622"/>
    <s v="20-30"/>
    <x v="7"/>
  </r>
  <r>
    <s v="https://suumo.jp/chintai/jnc_000092269693/?bc=100471630614"/>
    <s v="fortuna目白"/>
    <s v="東京都豊島区目白５"/>
    <n v="79000"/>
    <n v="6000"/>
    <n v="79000"/>
    <n v="79000"/>
    <n v="1"/>
    <x v="2"/>
    <n v="21.17"/>
    <n v="22"/>
    <x v="7"/>
    <s v="椎名町駅"/>
    <n v="5"/>
    <n v="11.67"/>
    <n v="118283.39"/>
    <n v="95329.65"/>
    <n v="271"/>
    <n v="1622"/>
    <s v="20-30"/>
    <x v="1"/>
  </r>
  <r>
    <s v="https://suumo.jp/chintai/jnc_000102464356/?bc=100483165265"/>
    <s v="fortuna目白"/>
    <s v="東京都豊島区目白５"/>
    <n v="82000"/>
    <n v="4000"/>
    <n v="82000"/>
    <n v="82000"/>
    <n v="1"/>
    <x v="2"/>
    <n v="21.17"/>
    <n v="22"/>
    <x v="7"/>
    <s v="椎名町駅"/>
    <n v="5"/>
    <n v="11.67"/>
    <n v="118283.39"/>
    <n v="95329.65"/>
    <n v="271"/>
    <n v="1622"/>
    <s v="20-30"/>
    <x v="1"/>
  </r>
  <r>
    <s v="https://suumo.jp/chintai/jnc_000101699222/?bc=100462292664"/>
    <s v="fortuna目白"/>
    <s v="東京都豊島区目白５"/>
    <n v="85000"/>
    <n v="4000"/>
    <n v="85000"/>
    <n v="85000"/>
    <n v="1"/>
    <x v="2"/>
    <n v="21.17"/>
    <n v="22"/>
    <x v="7"/>
    <s v="椎名町駅"/>
    <n v="5"/>
    <n v="11.67"/>
    <n v="118283.39"/>
    <n v="95329.65"/>
    <n v="271"/>
    <n v="1622"/>
    <s v="20-30"/>
    <x v="1"/>
  </r>
  <r>
    <s v="https://suumo.jp/chintai/jnc_000104399853/?bc=100485548419"/>
    <s v="fortuna目白"/>
    <s v="東京都豊島区目白５"/>
    <n v="80000"/>
    <n v="10000"/>
    <n v="80000"/>
    <n v="80000"/>
    <n v="3"/>
    <x v="2"/>
    <n v="21.17"/>
    <n v="22"/>
    <x v="7"/>
    <s v="椎名町駅"/>
    <n v="5"/>
    <n v="11.67"/>
    <n v="118283.39"/>
    <n v="95329.65"/>
    <n v="271"/>
    <n v="1622"/>
    <s v="20-30"/>
    <x v="1"/>
  </r>
  <r>
    <s v="https://suumo.jp/chintai/jnc_000102822631/?bc=100472696583"/>
    <s v="「防音マンション」ラシクラス目白通り"/>
    <s v="東京都豊島区目白５"/>
    <n v="140000"/>
    <n v="8000"/>
    <n v="140000"/>
    <n v="140000"/>
    <n v="6"/>
    <x v="2"/>
    <n v="33.1"/>
    <n v="9"/>
    <x v="9"/>
    <s v="椎名町駅"/>
    <n v="7"/>
    <n v="10.67"/>
    <n v="118283.39"/>
    <n v="95329.65"/>
    <n v="271"/>
    <n v="1622"/>
    <s v="30-40"/>
    <x v="0"/>
  </r>
  <r>
    <s v="https://suumo.jp/chintai/jnc_000098659722/?bc=100432597732"/>
    <s v="ひかり荘"/>
    <s v="東京都豊島区南長崎１"/>
    <n v="48000"/>
    <n v="2000"/>
    <n v="48000"/>
    <n v="48000"/>
    <n v="2"/>
    <x v="2"/>
    <n v="15.72"/>
    <n v="45"/>
    <x v="0"/>
    <s v="椎名町駅"/>
    <n v="3"/>
    <n v="12"/>
    <n v="118283.39"/>
    <n v="95329.65"/>
    <n v="271"/>
    <n v="1622"/>
    <s v="10-20"/>
    <x v="3"/>
  </r>
  <r>
    <s v="https://suumo.jp/chintai/jnc_000103807503/?bc=100480668791"/>
    <s v="アイ.エス.メジロレジデンス"/>
    <s v="東京都豊島区目白５"/>
    <n v="93000"/>
    <n v="8500"/>
    <n v="93000"/>
    <n v="93000"/>
    <n v="1"/>
    <x v="2"/>
    <n v="23.55"/>
    <n v="3"/>
    <x v="2"/>
    <s v="椎名町駅"/>
    <n v="6"/>
    <n v="9"/>
    <n v="118283.39"/>
    <n v="95329.65"/>
    <n v="271"/>
    <n v="1622"/>
    <s v="20-30"/>
    <x v="0"/>
  </r>
  <r>
    <s v="https://suumo.jp/chintai/jnc_000103277820/?bc=100483565157"/>
    <s v="アリスタ"/>
    <s v="東京都新宿区中落合２"/>
    <n v="86000"/>
    <n v="4000"/>
    <m/>
    <n v="86000"/>
    <n v="1"/>
    <x v="2"/>
    <n v="25.74"/>
    <n v="16"/>
    <x v="2"/>
    <s v="椎名町駅"/>
    <n v="9"/>
    <n v="9.67"/>
    <n v="118283.39"/>
    <n v="95329.65"/>
    <n v="271"/>
    <n v="1622"/>
    <s v="20-30"/>
    <x v="7"/>
  </r>
  <r>
    <s v="https://suumo.jp/chintai/jnc_000103410507/?bc=100485044928"/>
    <s v="アーク目白"/>
    <s v="東京都豊島区南長崎２"/>
    <n v="72000"/>
    <n v="3000"/>
    <m/>
    <n v="72000"/>
    <n v="2"/>
    <x v="2"/>
    <n v="19.38"/>
    <n v="28"/>
    <x v="2"/>
    <s v="椎名町駅"/>
    <n v="3"/>
    <n v="8.67"/>
    <n v="118283.39"/>
    <n v="95329.65"/>
    <n v="271"/>
    <n v="1622"/>
    <s v="10-20"/>
    <x v="1"/>
  </r>
  <r>
    <s v="https://suumo.jp/chintai/jnc_000094462533/?bc=100485604744"/>
    <s v="ガリシア南長崎"/>
    <s v="東京都豊島区南長崎２"/>
    <n v="108000"/>
    <n v="5000"/>
    <n v="108000"/>
    <n v="108000"/>
    <n v="1"/>
    <x v="2"/>
    <n v="25.5"/>
    <n v="4"/>
    <x v="7"/>
    <s v="椎名町駅"/>
    <n v="7"/>
    <n v="12"/>
    <n v="118283.39"/>
    <n v="95329.65"/>
    <n v="271"/>
    <n v="1622"/>
    <s v="20-30"/>
    <x v="0"/>
  </r>
  <r>
    <s v="https://suumo.jp/chintai/jnc_000104432896/?bc=100485627964"/>
    <s v="キャラ目白"/>
    <s v="東京都新宿区下落合３"/>
    <n v="75000"/>
    <n v="3000"/>
    <n v="75000"/>
    <m/>
    <n v="2"/>
    <x v="2"/>
    <n v="24.61"/>
    <n v="34"/>
    <x v="2"/>
    <s v="椎名町駅"/>
    <n v="8"/>
    <n v="9"/>
    <n v="118283.39"/>
    <n v="95329.65"/>
    <n v="271"/>
    <n v="1622"/>
    <s v="20-30"/>
    <x v="4"/>
  </r>
  <r>
    <s v="https://suumo.jp/chintai/jnc_000102050397/?bc=100465974639"/>
    <s v="クアルト目白"/>
    <s v="東京都豊島区目白５"/>
    <n v="67000"/>
    <n v="6000"/>
    <m/>
    <m/>
    <n v="3"/>
    <x v="2"/>
    <n v="16.2"/>
    <n v="40"/>
    <x v="4"/>
    <s v="椎名町駅"/>
    <n v="8"/>
    <n v="11"/>
    <n v="118283.39"/>
    <n v="95329.65"/>
    <n v="271"/>
    <n v="1622"/>
    <s v="10-20"/>
    <x v="4"/>
  </r>
  <r>
    <s v="https://suumo.jp/chintai/jnc_000104203073/?bc=100462187360"/>
    <s v="クアルト目白"/>
    <s v="東京都豊島区目白５"/>
    <n v="64000"/>
    <n v="6000"/>
    <m/>
    <m/>
    <n v="4"/>
    <x v="2"/>
    <n v="16.100000000000001"/>
    <n v="40"/>
    <x v="4"/>
    <s v="椎名町駅"/>
    <n v="8"/>
    <n v="11"/>
    <n v="118283.39"/>
    <n v="95329.65"/>
    <n v="271"/>
    <n v="1622"/>
    <s v="10-20"/>
    <x v="4"/>
  </r>
  <r>
    <s v="https://suumo.jp/chintai/jnc_000102538637/?bc=100479316843"/>
    <s v="クレスト"/>
    <s v="東京都豊島区長崎３"/>
    <n v="80000"/>
    <m/>
    <n v="80000"/>
    <n v="80000"/>
    <n v="3"/>
    <x v="2"/>
    <n v="33.94"/>
    <n v="21"/>
    <x v="2"/>
    <s v="椎名町駅"/>
    <n v="11"/>
    <n v="13"/>
    <n v="118283.39"/>
    <n v="95329.65"/>
    <n v="271"/>
    <n v="1622"/>
    <s v="30-40"/>
    <x v="1"/>
  </r>
  <r>
    <s v="https://suumo.jp/chintai/jnc_000099641447/?bc=100445171609"/>
    <s v="クレッセント椎名町"/>
    <s v="東京都豊島区南長崎２"/>
    <n v="59000"/>
    <m/>
    <n v="59000"/>
    <n v="59000"/>
    <n v="1"/>
    <x v="2"/>
    <n v="20"/>
    <n v="38"/>
    <x v="2"/>
    <s v="椎名町駅"/>
    <n v="5"/>
    <n v="11.67"/>
    <n v="118283.39"/>
    <n v="95329.65"/>
    <n v="271"/>
    <n v="1622"/>
    <s v="20-30"/>
    <x v="4"/>
  </r>
  <r>
    <s v="https://suumo.jp/chintai/jnc_000099571660/?bc=100445171616"/>
    <s v="クレッセント椎名町"/>
    <s v="東京都豊島区南長崎２"/>
    <n v="61000"/>
    <m/>
    <n v="61000"/>
    <n v="61000"/>
    <n v="1"/>
    <x v="2"/>
    <n v="20"/>
    <n v="38"/>
    <x v="2"/>
    <s v="椎名町駅"/>
    <n v="5"/>
    <n v="11.67"/>
    <n v="118283.39"/>
    <n v="95329.65"/>
    <n v="271"/>
    <n v="1622"/>
    <s v="20-30"/>
    <x v="4"/>
  </r>
  <r>
    <s v="https://suumo.jp/chintai/jnc_000103658444/?bc=100479439319"/>
    <s v="グランドソレイユ"/>
    <s v="東京都豊島区南長崎２"/>
    <n v="88000"/>
    <n v="6000"/>
    <n v="88000"/>
    <n v="88000"/>
    <n v="1"/>
    <x v="2"/>
    <n v="25.99"/>
    <n v="14"/>
    <x v="2"/>
    <s v="椎名町駅"/>
    <n v="8"/>
    <n v="12"/>
    <n v="118283.39"/>
    <n v="95329.65"/>
    <n v="271"/>
    <n v="1622"/>
    <s v="20-30"/>
    <x v="7"/>
  </r>
  <r>
    <s v="https://suumo.jp/chintai/jnc_000102508446/?bc=100470272621"/>
    <s v="コーポ椎の実"/>
    <s v="東京都豊島区南長崎１"/>
    <n v="38000"/>
    <n v="5000"/>
    <n v="38000"/>
    <n v="76000"/>
    <n v="2"/>
    <x v="2"/>
    <n v="12.3"/>
    <n v="45"/>
    <x v="0"/>
    <s v="椎名町駅"/>
    <n v="3"/>
    <n v="11.33"/>
    <n v="118283.39"/>
    <n v="95329.65"/>
    <n v="271"/>
    <n v="1622"/>
    <s v="10-20"/>
    <x v="3"/>
  </r>
  <r>
    <s v="https://suumo.jp/chintai/jnc_000092115690/?bc=100402857367"/>
    <s v="コーポ椎の実"/>
    <s v="東京都豊島区南長崎１"/>
    <n v="45000"/>
    <m/>
    <n v="45000"/>
    <n v="45000"/>
    <n v="2"/>
    <x v="2"/>
    <n v="12"/>
    <n v="45"/>
    <x v="0"/>
    <s v="椎名町駅"/>
    <n v="3"/>
    <n v="11.33"/>
    <n v="118283.39"/>
    <n v="95329.65"/>
    <n v="271"/>
    <n v="1622"/>
    <s v="10-20"/>
    <x v="3"/>
  </r>
  <r>
    <s v="https://suumo.jp/chintai/jnc_000103481583/?bc=100478048202"/>
    <s v="コーポ片山"/>
    <s v="東京都豊島区長崎２"/>
    <n v="83000"/>
    <n v="3000"/>
    <n v="83000"/>
    <m/>
    <n v="2"/>
    <x v="2"/>
    <n v="26.25"/>
    <n v="25"/>
    <x v="2"/>
    <s v="椎名町駅"/>
    <n v="3"/>
    <n v="10"/>
    <n v="118283.39"/>
    <n v="95329.65"/>
    <n v="271"/>
    <n v="1622"/>
    <s v="20-30"/>
    <x v="1"/>
  </r>
  <r>
    <s v="https://suumo.jp/chintai/jnc_000103123346/?bc=100440713567"/>
    <s v="サザングラス"/>
    <s v="東京都豊島区南長崎３"/>
    <n v="77000"/>
    <n v="3000"/>
    <n v="77000"/>
    <m/>
    <n v="2"/>
    <x v="2"/>
    <n v="23.1"/>
    <n v="37"/>
    <x v="0"/>
    <s v="椎名町駅"/>
    <n v="7"/>
    <n v="9.67"/>
    <n v="118283.39"/>
    <n v="95329.65"/>
    <n v="271"/>
    <n v="1622"/>
    <s v="20-30"/>
    <x v="4"/>
  </r>
  <r>
    <s v="https://suumo.jp/chintai/jnc_000097508430/?bc=100486077358"/>
    <s v="ザ・パークハビオ目白タワー"/>
    <s v="東京都豊島区目白５"/>
    <n v="138000"/>
    <n v="15000"/>
    <n v="138000"/>
    <m/>
    <n v="14"/>
    <x v="2"/>
    <n v="25.97"/>
    <n v="2"/>
    <x v="23"/>
    <s v="椎名町駅"/>
    <n v="6"/>
    <n v="12"/>
    <n v="118283.39"/>
    <n v="95329.65"/>
    <n v="271"/>
    <n v="1622"/>
    <s v="20-30"/>
    <x v="0"/>
  </r>
  <r>
    <s v="https://suumo.jp/chintai/jnc_000102538657/?bc=100482844523"/>
    <s v="ザ・パークハビオ目白タワー"/>
    <s v="東京都豊島区目白５"/>
    <n v="130000"/>
    <n v="15000"/>
    <n v="130000"/>
    <m/>
    <n v="2"/>
    <x v="2"/>
    <n v="25.97"/>
    <n v="2"/>
    <x v="23"/>
    <s v="椎名町駅"/>
    <n v="6"/>
    <n v="12"/>
    <n v="118283.39"/>
    <n v="95329.65"/>
    <n v="271"/>
    <n v="1622"/>
    <s v="20-30"/>
    <x v="0"/>
  </r>
  <r>
    <s v="https://suumo.jp/chintai/jnc_000104541727/?bc=100486358376"/>
    <s v="シャーメゾンＭ"/>
    <s v="東京都豊島区南長崎２"/>
    <n v="82000"/>
    <n v="9320"/>
    <m/>
    <n v="123000"/>
    <n v="2"/>
    <x v="2"/>
    <n v="23.12"/>
    <n v="19"/>
    <x v="0"/>
    <s v="椎名町駅"/>
    <n v="6"/>
    <n v="11.67"/>
    <n v="118283.39"/>
    <n v="95329.65"/>
    <n v="271"/>
    <n v="1622"/>
    <s v="20-30"/>
    <x v="7"/>
  </r>
  <r>
    <s v="https://suumo.jp/chintai/jnc_000103217342/?bc=100475866905"/>
    <s v="シンシア目白"/>
    <s v="東京都新宿区下落合４"/>
    <n v="86000"/>
    <n v="10000"/>
    <n v="43000"/>
    <n v="86000"/>
    <n v="8"/>
    <x v="2"/>
    <n v="21.14"/>
    <n v="25"/>
    <x v="1"/>
    <s v="椎名町駅"/>
    <n v="9"/>
    <n v="12"/>
    <n v="118283.39"/>
    <n v="95329.65"/>
    <n v="271"/>
    <n v="1622"/>
    <s v="20-30"/>
    <x v="1"/>
  </r>
  <r>
    <s v="https://suumo.jp/chintai/jnc_000104363185/?bc=100486187416"/>
    <s v="シンシア目白"/>
    <s v="東京都新宿区下落合４"/>
    <n v="90000"/>
    <n v="8000"/>
    <n v="45000"/>
    <n v="90000"/>
    <n v="9"/>
    <x v="2"/>
    <n v="21.14"/>
    <n v="25"/>
    <x v="1"/>
    <s v="椎名町駅"/>
    <n v="9"/>
    <n v="12"/>
    <n v="118283.39"/>
    <n v="95329.65"/>
    <n v="271"/>
    <n v="1622"/>
    <s v="20-30"/>
    <x v="1"/>
  </r>
  <r>
    <s v="https://suumo.jp/chintai/jnc_000104373213/?bc=100231700019"/>
    <s v="ジェルブロワ512"/>
    <s v="東京都豊島区目白５"/>
    <n v="97000"/>
    <n v="4000"/>
    <m/>
    <n v="97000"/>
    <n v="2"/>
    <x v="2"/>
    <n v="23.25"/>
    <n v="9"/>
    <x v="2"/>
    <s v="椎名町駅"/>
    <n v="4"/>
    <n v="11"/>
    <n v="118283.39"/>
    <n v="95329.65"/>
    <n v="271"/>
    <n v="1622"/>
    <s v="20-30"/>
    <x v="0"/>
  </r>
  <r>
    <s v="https://suumo.jp/chintai/jnc_000082657338/?bc=100485999496"/>
    <s v="ソフィア長崎"/>
    <s v="東京都豊島区長崎２"/>
    <n v="65000"/>
    <m/>
    <n v="65000"/>
    <m/>
    <n v="1"/>
    <x v="2"/>
    <n v="23.08"/>
    <n v="32"/>
    <x v="0"/>
    <s v="椎名町駅"/>
    <n v="6"/>
    <n v="12.33"/>
    <n v="118283.39"/>
    <n v="95329.65"/>
    <n v="271"/>
    <n v="1622"/>
    <s v="20-30"/>
    <x v="4"/>
  </r>
  <r>
    <s v="https://suumo.jp/chintai/jnc_000086874128/?bc=100477805741"/>
    <s v="ダイタクコーポ椎名町"/>
    <s v="東京都豊島区南長崎２"/>
    <n v="49000"/>
    <n v="3000"/>
    <m/>
    <n v="49000"/>
    <n v="2"/>
    <x v="2"/>
    <n v="15.5"/>
    <n v="35"/>
    <x v="0"/>
    <s v="椎名町駅"/>
    <n v="8"/>
    <n v="10.67"/>
    <n v="118283.39"/>
    <n v="95329.65"/>
    <n v="271"/>
    <n v="1622"/>
    <s v="10-20"/>
    <x v="4"/>
  </r>
  <r>
    <s v="https://suumo.jp/chintai/jnc_000103205453/?bc=100474127264"/>
    <s v="バレンシアコート"/>
    <s v="東京都豊島区南長崎３"/>
    <n v="92000"/>
    <n v="3000"/>
    <n v="92000"/>
    <n v="92000"/>
    <n v="2"/>
    <x v="2"/>
    <n v="25.5"/>
    <n v="12"/>
    <x v="2"/>
    <s v="椎名町駅"/>
    <n v="9"/>
    <n v="9.33"/>
    <n v="118283.39"/>
    <n v="95329.65"/>
    <n v="271"/>
    <n v="1622"/>
    <s v="20-30"/>
    <x v="7"/>
  </r>
  <r>
    <s v="https://suumo.jp/chintai/jnc_000103837886/?bc=100481030143"/>
    <s v="パル・ボナール"/>
    <s v="東京都豊島区南長崎１"/>
    <n v="92000"/>
    <n v="6500"/>
    <n v="92000"/>
    <n v="184000"/>
    <n v="1"/>
    <x v="2"/>
    <n v="29.97"/>
    <n v="7"/>
    <x v="2"/>
    <s v="椎名町駅"/>
    <n v="4"/>
    <n v="11.33"/>
    <n v="118283.39"/>
    <n v="95329.65"/>
    <n v="271"/>
    <n v="1622"/>
    <s v="20-30"/>
    <x v="0"/>
  </r>
  <r>
    <s v="https://suumo.jp/chintai/jnc_000103111537/?bc=100484013365"/>
    <s v="フェニックス目白５丁目"/>
    <s v="東京都豊島区目白５"/>
    <n v="80000"/>
    <n v="9000"/>
    <n v="80000"/>
    <n v="80000"/>
    <n v="3"/>
    <x v="2"/>
    <n v="20.58"/>
    <n v="27"/>
    <x v="8"/>
    <s v="椎名町駅"/>
    <n v="6"/>
    <n v="11.67"/>
    <n v="118283.39"/>
    <n v="95329.65"/>
    <n v="271"/>
    <n v="1622"/>
    <s v="20-30"/>
    <x v="1"/>
  </r>
  <r>
    <s v="https://suumo.jp/chintai/jnc_000104156928/?bc=100483454305"/>
    <s v="フェルクルールプレスト目白"/>
    <s v="東京都豊島区目白５"/>
    <n v="92000"/>
    <n v="10000"/>
    <n v="92000"/>
    <n v="92000"/>
    <n v="7"/>
    <x v="2"/>
    <n v="20.25"/>
    <n v="11"/>
    <x v="9"/>
    <s v="椎名町駅"/>
    <n v="9"/>
    <n v="11.67"/>
    <n v="118283.39"/>
    <n v="95329.65"/>
    <n v="271"/>
    <n v="1622"/>
    <s v="20-30"/>
    <x v="7"/>
  </r>
  <r>
    <s v="https://suumo.jp/chintai/jnc_000104532696/?bc=100486297265"/>
    <s v="プルミエ椎名町"/>
    <s v="東京都豊島区南長崎３"/>
    <n v="80000"/>
    <n v="6000"/>
    <m/>
    <n v="80000"/>
    <n v="1"/>
    <x v="2"/>
    <n v="24.1"/>
    <n v="13"/>
    <x v="0"/>
    <s v="椎名町駅"/>
    <n v="9"/>
    <n v="10.67"/>
    <n v="118283.39"/>
    <n v="95329.65"/>
    <n v="271"/>
    <n v="1622"/>
    <s v="20-30"/>
    <x v="7"/>
  </r>
  <r>
    <s v="https://suumo.jp/chintai/jnc_000096531997/?bc=100392095827"/>
    <s v="プレサンス新宿中落合メーディオ"/>
    <s v="東京都新宿区中落合３"/>
    <n v="132000"/>
    <n v="11000"/>
    <m/>
    <n v="132000"/>
    <n v="2"/>
    <x v="2"/>
    <n v="25.5"/>
    <n v="2"/>
    <x v="9"/>
    <s v="椎名町駅"/>
    <n v="7"/>
    <n v="10.33"/>
    <n v="118283.39"/>
    <n v="95329.65"/>
    <n v="271"/>
    <n v="1622"/>
    <s v="20-30"/>
    <x v="0"/>
  </r>
  <r>
    <s v="https://suumo.jp/chintai/jnc_000096531998/?bc=100447683818"/>
    <s v="プレサンス新宿中落合メーディオ"/>
    <s v="東京都新宿区中落合３"/>
    <n v="134000"/>
    <n v="11000"/>
    <m/>
    <n v="134000"/>
    <n v="2"/>
    <x v="2"/>
    <n v="25.5"/>
    <n v="2"/>
    <x v="9"/>
    <s v="椎名町駅"/>
    <n v="7"/>
    <n v="10.33"/>
    <n v="118283.39"/>
    <n v="95329.65"/>
    <n v="271"/>
    <n v="1622"/>
    <s v="20-30"/>
    <x v="0"/>
  </r>
  <r>
    <s v="https://suumo.jp/chintai/jnc_000096532000/?bc=100392031586"/>
    <s v="プレサンス新宿中落合メーディオ"/>
    <s v="東京都新宿区中落合３"/>
    <n v="133000"/>
    <n v="11000"/>
    <m/>
    <n v="133000"/>
    <n v="3"/>
    <x v="2"/>
    <n v="25.5"/>
    <n v="2"/>
    <x v="9"/>
    <s v="椎名町駅"/>
    <n v="7"/>
    <n v="10.33"/>
    <n v="118283.39"/>
    <n v="95329.65"/>
    <n v="271"/>
    <n v="1622"/>
    <s v="20-30"/>
    <x v="0"/>
  </r>
  <r>
    <s v="https://suumo.jp/chintai/jnc_000096532002/?bc=100392095597"/>
    <s v="プレサンス新宿中落合メーディオ"/>
    <s v="東京都新宿区中落合３"/>
    <n v="135000"/>
    <n v="11000"/>
    <m/>
    <n v="135000"/>
    <n v="3"/>
    <x v="2"/>
    <n v="25.5"/>
    <n v="2"/>
    <x v="9"/>
    <s v="椎名町駅"/>
    <n v="7"/>
    <n v="10.33"/>
    <n v="118283.39"/>
    <n v="95329.65"/>
    <n v="271"/>
    <n v="1622"/>
    <s v="20-30"/>
    <x v="0"/>
  </r>
  <r>
    <s v="https://suumo.jp/chintai/jnc_000097028765/?bc=100476333321"/>
    <s v="プレサンス新宿中落合メーディオ"/>
    <s v="東京都新宿区中落合３"/>
    <n v="134000"/>
    <n v="11000"/>
    <m/>
    <n v="134000"/>
    <n v="5"/>
    <x v="2"/>
    <n v="25.5"/>
    <n v="2"/>
    <x v="9"/>
    <s v="椎名町駅"/>
    <n v="7"/>
    <n v="10.33"/>
    <n v="118283.39"/>
    <n v="95329.65"/>
    <n v="271"/>
    <n v="1622"/>
    <s v="20-30"/>
    <x v="0"/>
  </r>
  <r>
    <s v="https://suumo.jp/chintai/jnc_000103110663/?bc=100480119695"/>
    <s v="プレサンス新宿中落合メーディオ"/>
    <s v="東京都新宿区中落合３"/>
    <n v="135000"/>
    <n v="11000"/>
    <m/>
    <n v="135000"/>
    <n v="8"/>
    <x v="2"/>
    <n v="25.5"/>
    <n v="2"/>
    <x v="9"/>
    <s v="椎名町駅"/>
    <n v="7"/>
    <n v="10.33"/>
    <n v="118283.39"/>
    <n v="95329.65"/>
    <n v="271"/>
    <n v="1622"/>
    <s v="20-30"/>
    <x v="0"/>
  </r>
  <r>
    <s v="https://suumo.jp/chintai/jnc_000099785017/?bc=100481439282"/>
    <s v="プレール・ドゥーク目白"/>
    <s v="東京都豊島区目白５"/>
    <n v="86000"/>
    <n v="8000"/>
    <m/>
    <n v="86000"/>
    <n v="2"/>
    <x v="2"/>
    <n v="22.15"/>
    <n v="15"/>
    <x v="1"/>
    <s v="椎名町駅"/>
    <n v="4"/>
    <n v="10.67"/>
    <n v="118283.39"/>
    <n v="95329.65"/>
    <n v="271"/>
    <n v="1622"/>
    <s v="20-30"/>
    <x v="7"/>
  </r>
  <r>
    <s v="https://suumo.jp/chintai/jnc_000104256684/?bc=100484179196"/>
    <s v="プレール・ドゥーク目白"/>
    <s v="東京都豊島区目白５"/>
    <n v="87000"/>
    <n v="8000"/>
    <m/>
    <n v="87000"/>
    <n v="5"/>
    <x v="2"/>
    <n v="21.17"/>
    <n v="15"/>
    <x v="1"/>
    <s v="椎名町駅"/>
    <n v="4"/>
    <n v="10.67"/>
    <n v="118283.39"/>
    <n v="95329.65"/>
    <n v="271"/>
    <n v="1622"/>
    <s v="20-30"/>
    <x v="7"/>
  </r>
  <r>
    <s v="https://suumo.jp/chintai/jnc_000096533616/?bc=100482845700"/>
    <s v="プレール・ドゥーク目白"/>
    <s v="東京都豊島区目白５"/>
    <n v="124000"/>
    <n v="11000"/>
    <m/>
    <n v="124000"/>
    <n v="9"/>
    <x v="2"/>
    <n v="21.17"/>
    <n v="15"/>
    <x v="1"/>
    <s v="椎名町駅"/>
    <n v="4"/>
    <n v="10.67"/>
    <n v="118283.39"/>
    <n v="95329.65"/>
    <n v="271"/>
    <n v="1622"/>
    <s v="20-30"/>
    <x v="7"/>
  </r>
  <r>
    <s v="https://suumo.jp/chintai/jnc_000097337556/?bc=100482582203"/>
    <s v="プレール・ドゥーク目白"/>
    <s v="東京都豊島区目白５"/>
    <n v="86000"/>
    <n v="8000"/>
    <m/>
    <n v="86000"/>
    <n v="9"/>
    <x v="2"/>
    <n v="21.17"/>
    <n v="15"/>
    <x v="1"/>
    <s v="椎名町駅"/>
    <n v="4"/>
    <n v="10.67"/>
    <n v="118283.39"/>
    <n v="95329.65"/>
    <n v="271"/>
    <n v="1622"/>
    <s v="20-30"/>
    <x v="7"/>
  </r>
  <r>
    <s v="https://suumo.jp/chintai/jnc_000104357367/?bc=100419518926"/>
    <s v="メゾンソレイユ"/>
    <s v="東京都豊島区南長崎１"/>
    <n v="75000"/>
    <n v="3000"/>
    <n v="75000"/>
    <m/>
    <n v="3"/>
    <x v="2"/>
    <n v="20.14"/>
    <n v="17"/>
    <x v="2"/>
    <s v="椎名町駅"/>
    <n v="5"/>
    <n v="11.33"/>
    <n v="118283.39"/>
    <n v="95329.65"/>
    <n v="271"/>
    <n v="1622"/>
    <s v="20-30"/>
    <x v="7"/>
  </r>
  <r>
    <s v="https://suumo.jp/chintai/jnc_000103436123/?bc=100477593605"/>
    <s v="ライオンズマンション椎名町駅前通り"/>
    <s v="東京都豊島区南長崎２"/>
    <n v="60000"/>
    <n v="6000"/>
    <n v="60000"/>
    <n v="60000"/>
    <n v="4"/>
    <x v="2"/>
    <n v="16.2"/>
    <n v="39"/>
    <x v="5"/>
    <s v="椎名町駅"/>
    <n v="6"/>
    <n v="12"/>
    <n v="118283.39"/>
    <n v="95329.65"/>
    <n v="271"/>
    <n v="1622"/>
    <s v="10-20"/>
    <x v="4"/>
  </r>
  <r>
    <s v="https://suumo.jp/chintai/jnc_000103409551/?bc=100477309982"/>
    <s v="ライブ長谷部"/>
    <s v="東京都新宿区下落合４"/>
    <n v="74000"/>
    <n v="3000"/>
    <n v="74000"/>
    <m/>
    <n v="4"/>
    <x v="2"/>
    <n v="20.100000000000001"/>
    <n v="31"/>
    <x v="7"/>
    <s v="椎名町駅"/>
    <n v="10"/>
    <n v="11.33"/>
    <n v="118283.39"/>
    <n v="95329.65"/>
    <n v="271"/>
    <n v="1622"/>
    <s v="20-30"/>
    <x v="4"/>
  </r>
  <r>
    <s v="https://suumo.jp/chintai/jnc_000093714347/?bc=100475854809"/>
    <s v="ラシクラス目白通り"/>
    <s v="東京都豊島区目白５"/>
    <n v="140000"/>
    <n v="8000"/>
    <n v="140000"/>
    <n v="140000"/>
    <n v="6"/>
    <x v="2"/>
    <n v="33.1"/>
    <n v="9"/>
    <x v="9"/>
    <s v="椎名町駅"/>
    <n v="7"/>
    <n v="10.67"/>
    <n v="118283.39"/>
    <n v="95329.65"/>
    <n v="271"/>
    <n v="1622"/>
    <s v="30-40"/>
    <x v="0"/>
  </r>
  <r>
    <s v="https://suumo.jp/chintai/jnc_000103770566/?bc=100459598456"/>
    <s v="ラテライト目白"/>
    <s v="東京都新宿区下落合４"/>
    <n v="116000"/>
    <n v="8000"/>
    <n v="116000"/>
    <n v="116000"/>
    <n v="8"/>
    <x v="2"/>
    <n v="25.74"/>
    <n v="7"/>
    <x v="9"/>
    <s v="椎名町駅"/>
    <n v="11"/>
    <n v="12.33"/>
    <n v="118283.39"/>
    <n v="95329.65"/>
    <n v="271"/>
    <n v="1622"/>
    <s v="20-30"/>
    <x v="0"/>
  </r>
  <r>
    <s v="https://suumo.jp/chintai/jnc_000082357733/?bc=100478147337"/>
    <s v="ラテライト目白"/>
    <s v="東京都新宿区下落合４"/>
    <n v="118000"/>
    <n v="8000"/>
    <n v="118000"/>
    <n v="59000"/>
    <n v="8"/>
    <x v="2"/>
    <n v="25.74"/>
    <n v="7"/>
    <x v="9"/>
    <s v="椎名町駅"/>
    <n v="11"/>
    <n v="12.33"/>
    <n v="118283.39"/>
    <n v="95329.65"/>
    <n v="271"/>
    <n v="1622"/>
    <s v="20-30"/>
    <x v="0"/>
  </r>
  <r>
    <s v="https://suumo.jp/chintai/jnc_000104029441/?bc=100484513857"/>
    <s v="リエナハイツ"/>
    <s v="東京都豊島区南長崎１"/>
    <n v="85000"/>
    <n v="10000"/>
    <n v="85000"/>
    <n v="85000"/>
    <n v="2"/>
    <x v="2"/>
    <n v="21.71"/>
    <n v="17"/>
    <x v="10"/>
    <s v="椎名町駅"/>
    <n v="4"/>
    <n v="12"/>
    <n v="118283.39"/>
    <n v="95329.65"/>
    <n v="271"/>
    <n v="1622"/>
    <s v="20-30"/>
    <x v="7"/>
  </r>
  <r>
    <s v="https://suumo.jp/chintai/jnc_000102182695/?bc=100467353675"/>
    <s v="リーブルファイン豊島区長崎"/>
    <s v="東京都豊島区長崎２"/>
    <n v="88000"/>
    <n v="3000"/>
    <n v="88000"/>
    <n v="88000"/>
    <n v="1"/>
    <x v="2"/>
    <n v="24.45"/>
    <n v="0"/>
    <x v="2"/>
    <s v="椎名町駅"/>
    <n v="5"/>
    <n v="8.67"/>
    <n v="118283.39"/>
    <n v="95329.65"/>
    <n v="271"/>
    <n v="1622"/>
    <s v="20-30"/>
    <x v="6"/>
  </r>
  <r>
    <s v="https://suumo.jp/chintai/jnc_000102182693/?bc=100467353630"/>
    <s v="リーブルファイン豊島区長崎"/>
    <s v="東京都豊島区長崎２"/>
    <n v="88000"/>
    <n v="3000"/>
    <n v="88000"/>
    <n v="88000"/>
    <n v="1"/>
    <x v="2"/>
    <n v="24.84"/>
    <n v="0"/>
    <x v="2"/>
    <s v="椎名町駅"/>
    <n v="5"/>
    <n v="8.67"/>
    <n v="118283.39"/>
    <n v="95329.65"/>
    <n v="271"/>
    <n v="1622"/>
    <s v="20-30"/>
    <x v="6"/>
  </r>
  <r>
    <s v="https://suumo.jp/chintai/jnc_000102182700/?bc=100481002466"/>
    <s v="リーブルファイン豊島区長崎"/>
    <s v="東京都豊島区長崎２"/>
    <n v="92000"/>
    <n v="3000"/>
    <n v="92000"/>
    <n v="92000"/>
    <n v="1"/>
    <x v="2"/>
    <n v="24.84"/>
    <n v="0"/>
    <x v="2"/>
    <s v="椎名町駅"/>
    <n v="5"/>
    <n v="8.67"/>
    <n v="118283.39"/>
    <n v="95329.65"/>
    <n v="271"/>
    <n v="1622"/>
    <s v="20-30"/>
    <x v="6"/>
  </r>
  <r>
    <s v="https://suumo.jp/chintai/jnc_000104156225/?bc=100484048917"/>
    <s v="ルクシェール新宿中落合"/>
    <s v="東京都新宿区中落合３"/>
    <n v="95000"/>
    <n v="10000"/>
    <m/>
    <n v="95000"/>
    <n v="2"/>
    <x v="2"/>
    <n v="25.62"/>
    <n v="12"/>
    <x v="1"/>
    <s v="椎名町駅"/>
    <n v="8"/>
    <n v="9.33"/>
    <n v="118283.39"/>
    <n v="95329.65"/>
    <n v="271"/>
    <n v="1622"/>
    <s v="20-30"/>
    <x v="7"/>
  </r>
  <r>
    <s v="https://suumo.jp/chintai/jnc_000103611389/?bc=100479427263"/>
    <s v="ル・リオン池袋椎名町"/>
    <s v="東京都豊島区南長崎１"/>
    <n v="95000"/>
    <n v="5000"/>
    <n v="95000"/>
    <n v="95000"/>
    <n v="5"/>
    <x v="2"/>
    <n v="27.42"/>
    <n v="16"/>
    <x v="7"/>
    <s v="椎名町駅"/>
    <n v="3"/>
    <n v="11.33"/>
    <n v="118283.39"/>
    <n v="95329.65"/>
    <n v="271"/>
    <n v="1622"/>
    <s v="20-30"/>
    <x v="7"/>
  </r>
  <r>
    <s v="https://suumo.jp/chintai/jnc_000104541725/?bc=100481244387"/>
    <s v="ルーブル椎名町"/>
    <s v="東京都豊島区南長崎１"/>
    <n v="102000"/>
    <n v="8000"/>
    <n v="102000"/>
    <n v="102000"/>
    <n v="5"/>
    <x v="2"/>
    <n v="30.51"/>
    <n v="20"/>
    <x v="8"/>
    <s v="椎名町駅"/>
    <n v="6"/>
    <n v="12"/>
    <n v="118283.39"/>
    <n v="95329.65"/>
    <n v="271"/>
    <n v="1622"/>
    <s v="30-40"/>
    <x v="7"/>
  </r>
  <r>
    <s v="https://suumo.jp/chintai/jnc_000103851686/?bc=100481597240"/>
    <s v="ルーブル椎名町"/>
    <s v="東京都豊島区南長崎１"/>
    <n v="107000"/>
    <n v="8000"/>
    <n v="107000"/>
    <n v="107000"/>
    <n v="5"/>
    <x v="2"/>
    <n v="30.51"/>
    <n v="20"/>
    <x v="8"/>
    <s v="椎名町駅"/>
    <n v="6"/>
    <n v="12"/>
    <n v="118283.39"/>
    <n v="95329.65"/>
    <n v="271"/>
    <n v="1622"/>
    <s v="30-40"/>
    <x v="7"/>
  </r>
  <r>
    <s v="https://suumo.jp/chintai/jnc_000103712997/?bc=100480190487"/>
    <s v="レオパレス南長崎II"/>
    <s v="東京都豊島区南長崎２"/>
    <n v="97000"/>
    <n v="5500"/>
    <m/>
    <n v="97000"/>
    <n v="1"/>
    <x v="2"/>
    <n v="19.87"/>
    <n v="19"/>
    <x v="0"/>
    <s v="椎名町駅"/>
    <n v="8"/>
    <n v="12"/>
    <n v="118283.39"/>
    <n v="95329.65"/>
    <n v="271"/>
    <n v="1622"/>
    <s v="10-20"/>
    <x v="7"/>
  </r>
  <r>
    <s v="https://suumo.jp/chintai/jnc_000104117879/?bc=100461555345"/>
    <s v="ワイズハイム"/>
    <s v="東京都豊島区南長崎３"/>
    <n v="65000"/>
    <m/>
    <n v="65000"/>
    <n v="65000"/>
    <n v="2"/>
    <x v="2"/>
    <n v="19.829999999999998"/>
    <n v="31"/>
    <x v="0"/>
    <s v="椎名町駅"/>
    <n v="10"/>
    <n v="11"/>
    <n v="118283.39"/>
    <n v="95329.65"/>
    <n v="271"/>
    <n v="1622"/>
    <s v="10-20"/>
    <x v="4"/>
  </r>
  <r>
    <s v="https://suumo.jp/chintai/jnc_000101634943/?bc=100461402768"/>
    <s v="ワイズハイム"/>
    <s v="東京都豊島区南長崎３"/>
    <n v="67000"/>
    <m/>
    <n v="67000"/>
    <n v="67000"/>
    <n v="2"/>
    <x v="2"/>
    <n v="19.829999999999998"/>
    <n v="31"/>
    <x v="0"/>
    <s v="椎名町駅"/>
    <n v="10"/>
    <n v="11"/>
    <n v="118283.39"/>
    <n v="95329.65"/>
    <n v="271"/>
    <n v="1622"/>
    <s v="10-20"/>
    <x v="4"/>
  </r>
  <r>
    <s v="https://suumo.jp/chintai/jnc_000064732455/?bc=100484447348"/>
    <s v="ヴェルト池袋ウエストフォート"/>
    <s v="東京都豊島区南長崎１"/>
    <n v="78000"/>
    <n v="7000"/>
    <n v="78000"/>
    <n v="78000"/>
    <n v="6"/>
    <x v="2"/>
    <n v="20.76"/>
    <n v="23"/>
    <x v="1"/>
    <s v="椎名町駅"/>
    <n v="3"/>
    <n v="10.33"/>
    <n v="118283.39"/>
    <n v="95329.65"/>
    <n v="271"/>
    <n v="1622"/>
    <s v="20-30"/>
    <x v="1"/>
  </r>
  <r>
    <s v="https://suumo.jp/chintai/jnc_000104392414/?bc=100485399525"/>
    <s v="ヴェルト池袋ウエストフォート"/>
    <s v="東京都豊島区南長崎１"/>
    <n v="81000"/>
    <n v="8000"/>
    <m/>
    <n v="81000"/>
    <n v="8"/>
    <x v="2"/>
    <n v="20.45"/>
    <n v="23"/>
    <x v="1"/>
    <s v="椎名町駅"/>
    <n v="3"/>
    <n v="10.33"/>
    <n v="118283.39"/>
    <n v="95329.65"/>
    <n v="271"/>
    <n v="1622"/>
    <s v="20-30"/>
    <x v="1"/>
  </r>
  <r>
    <s v="https://suumo.jp/chintai/jnc_000103690667/?bc=100480396250"/>
    <s v="ヴェルト池袋ウエストフォート"/>
    <s v="東京都豊島区南長崎１"/>
    <n v="80000"/>
    <n v="10000"/>
    <m/>
    <n v="80000"/>
    <n v="8"/>
    <x v="2"/>
    <n v="20.67"/>
    <n v="23"/>
    <x v="1"/>
    <s v="椎名町駅"/>
    <n v="3"/>
    <n v="10.33"/>
    <n v="118283.39"/>
    <n v="95329.65"/>
    <n v="271"/>
    <n v="1622"/>
    <s v="20-30"/>
    <x v="1"/>
  </r>
  <r>
    <s v="https://suumo.jp/chintai/jnc_000103792662/?bc=100485727457"/>
    <s v="ヴェルト池袋ウエストフォート"/>
    <s v="東京都豊島区南長崎１"/>
    <n v="87000"/>
    <n v="10000"/>
    <m/>
    <n v="87000"/>
    <n v="9"/>
    <x v="2"/>
    <n v="20.45"/>
    <n v="23"/>
    <x v="1"/>
    <s v="椎名町駅"/>
    <n v="3"/>
    <n v="10.33"/>
    <n v="118283.39"/>
    <n v="95329.65"/>
    <n v="271"/>
    <n v="1622"/>
    <s v="20-30"/>
    <x v="1"/>
  </r>
  <r>
    <s v="https://suumo.jp/chintai/jnc_000104092098/?bc=100483011685"/>
    <s v="南長崎ハイツ"/>
    <s v="東京都豊島区南長崎１"/>
    <n v="79000"/>
    <n v="5000"/>
    <n v="79000"/>
    <n v="79000"/>
    <n v="3"/>
    <x v="2"/>
    <n v="23.1"/>
    <n v="26"/>
    <x v="7"/>
    <s v="椎名町駅"/>
    <n v="2"/>
    <n v="13.33"/>
    <n v="118283.39"/>
    <n v="95329.65"/>
    <n v="271"/>
    <n v="1622"/>
    <s v="20-30"/>
    <x v="1"/>
  </r>
  <r>
    <s v="https://suumo.jp/chintai/jnc_000104092099/?bc=100483011694"/>
    <s v="南長崎ハイツ"/>
    <s v="東京都豊島区南長崎１"/>
    <n v="80000"/>
    <n v="5000"/>
    <n v="80000"/>
    <n v="80000"/>
    <n v="4"/>
    <x v="2"/>
    <n v="23.1"/>
    <n v="26"/>
    <x v="7"/>
    <s v="椎名町駅"/>
    <n v="2"/>
    <n v="13.33"/>
    <n v="118283.39"/>
    <n v="95329.65"/>
    <n v="271"/>
    <n v="1622"/>
    <s v="20-30"/>
    <x v="1"/>
  </r>
  <r>
    <s v="https://suumo.jp/chintai/jnc_000103542615/?bc=100452188518"/>
    <s v="小林第三ビル"/>
    <s v="東京都豊島区南長崎１"/>
    <n v="68000"/>
    <n v="4000"/>
    <n v="68000"/>
    <n v="68000"/>
    <n v="4"/>
    <x v="2"/>
    <n v="20.5"/>
    <n v="28"/>
    <x v="4"/>
    <s v="椎名町駅"/>
    <n v="3"/>
    <n v="11"/>
    <n v="118283.39"/>
    <n v="95329.65"/>
    <n v="271"/>
    <n v="1622"/>
    <s v="20-30"/>
    <x v="1"/>
  </r>
  <r>
    <s v="https://suumo.jp/chintai/jnc_000101837905/?bc=100483128636"/>
    <s v="村田荘"/>
    <s v="東京都豊島区南長崎２"/>
    <n v="53700"/>
    <n v="4300"/>
    <n v="53700"/>
    <n v="107400"/>
    <n v="2"/>
    <x v="2"/>
    <n v="21.61"/>
    <n v="57"/>
    <x v="0"/>
    <s v="椎名町駅"/>
    <n v="7"/>
    <n v="10"/>
    <n v="118283.39"/>
    <n v="95329.65"/>
    <n v="271"/>
    <n v="1622"/>
    <s v="20-30"/>
    <x v="5"/>
  </r>
  <r>
    <s v="https://suumo.jp/chintai/jnc_000104317330/?bc=100485188138"/>
    <s v="若竹ハイツ"/>
    <s v="東京都豊島区長崎２"/>
    <n v="61000"/>
    <n v="2000"/>
    <n v="61000"/>
    <m/>
    <n v="2"/>
    <x v="2"/>
    <n v="20"/>
    <n v="36"/>
    <x v="0"/>
    <s v="椎名町駅"/>
    <n v="8"/>
    <n v="11"/>
    <n v="118283.39"/>
    <n v="95329.65"/>
    <n v="271"/>
    <n v="1622"/>
    <s v="20-30"/>
    <x v="4"/>
  </r>
  <r>
    <s v="https://suumo.jp/chintai/jnc_000104392405/?bc=100485312838"/>
    <s v="若竹ハイツ"/>
    <s v="東京都豊島区長崎２"/>
    <n v="60000"/>
    <n v="2000"/>
    <n v="60000"/>
    <m/>
    <n v="2"/>
    <x v="2"/>
    <n v="20"/>
    <n v="36"/>
    <x v="0"/>
    <s v="椎名町駅"/>
    <n v="8"/>
    <n v="11"/>
    <n v="118283.39"/>
    <n v="95329.65"/>
    <n v="271"/>
    <n v="1622"/>
    <s v="20-30"/>
    <x v="4"/>
  </r>
  <r>
    <s v="https://suumo.jp/chintai/jnc_000104148253/?bc=100483324461"/>
    <s v="西武池袋線 椎名町駅 10階建 築12年"/>
    <s v="東京都新宿区中落合３"/>
    <n v="95000"/>
    <n v="10000"/>
    <m/>
    <n v="95000"/>
    <n v="2"/>
    <x v="2"/>
    <n v="25.62"/>
    <n v="12"/>
    <x v="1"/>
    <s v="椎名町駅"/>
    <n v="8"/>
    <n v="9.33"/>
    <n v="118283.39"/>
    <n v="95329.65"/>
    <n v="271"/>
    <n v="1622"/>
    <s v="20-30"/>
    <x v="7"/>
  </r>
  <r>
    <s v="https://suumo.jp/chintai/jnc_000103920094/?bc=100481831247"/>
    <s v="西武池袋線 椎名町駅 10階建 築15年"/>
    <s v="東京都豊島区目白５"/>
    <n v="89000"/>
    <n v="8000"/>
    <m/>
    <n v="89000"/>
    <n v="10"/>
    <x v="2"/>
    <n v="21.17"/>
    <n v="15"/>
    <x v="1"/>
    <s v="椎名町駅"/>
    <n v="4"/>
    <n v="10.67"/>
    <n v="118283.39"/>
    <n v="95329.65"/>
    <n v="271"/>
    <n v="1622"/>
    <s v="20-30"/>
    <x v="7"/>
  </r>
  <r>
    <s v="https://suumo.jp/chintai/jnc_000099794523/?bc=100481727413"/>
    <s v="西武池袋線 椎名町駅 10階建 築15年"/>
    <s v="東京都豊島区目白５"/>
    <n v="86000"/>
    <n v="8000"/>
    <m/>
    <n v="86000"/>
    <n v="2"/>
    <x v="2"/>
    <n v="22.15"/>
    <n v="15"/>
    <x v="1"/>
    <s v="椎名町駅"/>
    <n v="4"/>
    <n v="10.67"/>
    <n v="118283.39"/>
    <n v="95329.65"/>
    <n v="271"/>
    <n v="1622"/>
    <s v="20-30"/>
    <x v="7"/>
  </r>
  <r>
    <s v="https://suumo.jp/chintai/jnc_000096599158/?bc=100480882778"/>
    <s v="西武池袋線 椎名町駅 10階建 築15年"/>
    <s v="東京都豊島区目白５"/>
    <n v="124000"/>
    <n v="11000"/>
    <m/>
    <n v="124000"/>
    <n v="9"/>
    <x v="2"/>
    <n v="21.17"/>
    <n v="15"/>
    <x v="1"/>
    <s v="椎名町駅"/>
    <n v="4"/>
    <n v="10.67"/>
    <n v="118283.39"/>
    <n v="95329.65"/>
    <n v="271"/>
    <n v="1622"/>
    <s v="20-30"/>
    <x v="7"/>
  </r>
  <r>
    <s v="https://suumo.jp/chintai/jnc_000104392415/?bc=100485314502"/>
    <s v="西武池袋線 椎名町駅 10階建 築23年"/>
    <s v="東京都豊島区南長崎１"/>
    <n v="81000"/>
    <n v="8000"/>
    <m/>
    <n v="81000"/>
    <n v="4"/>
    <x v="2"/>
    <n v="20.45"/>
    <n v="23"/>
    <x v="1"/>
    <s v="椎名町駅"/>
    <n v="3"/>
    <n v="11"/>
    <n v="118283.39"/>
    <n v="95329.65"/>
    <n v="271"/>
    <n v="1622"/>
    <s v="20-30"/>
    <x v="1"/>
  </r>
  <r>
    <s v="https://suumo.jp/chintai/jnc_000103920092/?bc=100485737622"/>
    <s v="西武池袋線 椎名町駅 10階建 築23年"/>
    <s v="東京都豊島区南長崎１"/>
    <n v="87000"/>
    <n v="10000"/>
    <m/>
    <n v="87000"/>
    <n v="9"/>
    <x v="2"/>
    <n v="20.45"/>
    <n v="23"/>
    <x v="1"/>
    <s v="椎名町駅"/>
    <n v="3"/>
    <n v="11"/>
    <n v="118283.39"/>
    <n v="95329.65"/>
    <n v="271"/>
    <n v="1622"/>
    <s v="20-30"/>
    <x v="1"/>
  </r>
  <r>
    <s v="https://suumo.jp/chintai/jnc_000103231014/?bc=100475994306"/>
    <s v="西武池袋線 椎名町駅 10階建 築26年"/>
    <s v="東京都新宿区下落合４"/>
    <n v="86000"/>
    <n v="10000"/>
    <n v="43000"/>
    <n v="86000"/>
    <n v="8"/>
    <x v="2"/>
    <n v="21.14"/>
    <n v="26"/>
    <x v="1"/>
    <s v="椎名町駅"/>
    <n v="9"/>
    <n v="11.67"/>
    <n v="118283.39"/>
    <n v="95329.65"/>
    <n v="271"/>
    <n v="1622"/>
    <s v="20-30"/>
    <x v="1"/>
  </r>
  <r>
    <s v="https://suumo.jp/chintai/jnc_000104347524/?bc=100484937624"/>
    <s v="西武池袋線 椎名町駅 10階建 築26年"/>
    <s v="東京都新宿区下落合４"/>
    <n v="90000"/>
    <n v="8000"/>
    <n v="45000"/>
    <n v="90000"/>
    <n v="9"/>
    <x v="2"/>
    <n v="21.14"/>
    <n v="26"/>
    <x v="1"/>
    <s v="椎名町駅"/>
    <n v="9"/>
    <n v="11.67"/>
    <n v="118283.39"/>
    <n v="95329.65"/>
    <n v="271"/>
    <n v="1622"/>
    <s v="20-30"/>
    <x v="1"/>
  </r>
  <r>
    <s v="https://suumo.jp/chintai/jnc_000103403472/?bc=100478158611"/>
    <s v="西武池袋線 椎名町駅 11階建 築20年"/>
    <s v="東京都豊島区南長崎１"/>
    <n v="78000"/>
    <n v="8000"/>
    <n v="78000"/>
    <n v="78000"/>
    <n v="3"/>
    <x v="2"/>
    <n v="20.43"/>
    <n v="20"/>
    <x v="8"/>
    <s v="椎名町駅"/>
    <n v="6"/>
    <n v="11.33"/>
    <n v="118283.39"/>
    <n v="95329.65"/>
    <n v="271"/>
    <n v="1622"/>
    <s v="20-30"/>
    <x v="7"/>
  </r>
  <r>
    <s v="https://suumo.jp/chintai/jnc_000103637032/?bc=100485774998"/>
    <s v="西武池袋線 椎名町駅 12階建 築14年"/>
    <s v="東京都豊島区西池袋４"/>
    <n v="101000"/>
    <n v="4000"/>
    <n v="101000"/>
    <n v="101000"/>
    <n v="12"/>
    <x v="2"/>
    <n v="21.28"/>
    <n v="14"/>
    <x v="3"/>
    <s v="椎名町駅"/>
    <n v="2"/>
    <n v="11.33"/>
    <n v="118283.39"/>
    <n v="95329.65"/>
    <n v="271"/>
    <n v="1622"/>
    <s v="20-30"/>
    <x v="7"/>
  </r>
  <r>
    <s v="https://suumo.jp/chintai/jnc_000102587048/?bc=100470387197"/>
    <s v="西武池袋線 椎名町駅 2階建 築45年"/>
    <s v="東京都豊島区南長崎１"/>
    <n v="38000"/>
    <n v="5000"/>
    <n v="38000"/>
    <n v="76000"/>
    <n v="2"/>
    <x v="2"/>
    <n v="12.3"/>
    <n v="45"/>
    <x v="0"/>
    <s v="椎名町駅"/>
    <n v="3"/>
    <n v="10.67"/>
    <n v="118283.39"/>
    <n v="95329.65"/>
    <n v="271"/>
    <n v="1622"/>
    <s v="10-20"/>
    <x v="3"/>
  </r>
  <r>
    <s v="https://suumo.jp/chintai/jnc_000103013997/?bc=100474183438"/>
    <s v="西武池袋線 椎名町駅 2階建 築45年"/>
    <s v="東京都豊島区南長崎１"/>
    <n v="38000"/>
    <n v="5000"/>
    <n v="38000"/>
    <n v="76000"/>
    <n v="2"/>
    <x v="2"/>
    <n v="12"/>
    <n v="45"/>
    <x v="0"/>
    <s v="椎名町駅"/>
    <n v="3"/>
    <n v="10.67"/>
    <n v="118283.39"/>
    <n v="95329.65"/>
    <n v="271"/>
    <n v="1622"/>
    <s v="10-20"/>
    <x v="3"/>
  </r>
  <r>
    <s v="https://suumo.jp/chintai/jnc_000102189722/?bc=100469822726"/>
    <s v="西武池袋線 椎名町駅 3階建 新築"/>
    <s v="東京都豊島区長崎２"/>
    <n v="88000"/>
    <n v="3000"/>
    <n v="88000"/>
    <n v="88000"/>
    <n v="1"/>
    <x v="2"/>
    <n v="24.45"/>
    <n v="0"/>
    <x v="2"/>
    <s v="椎名町駅"/>
    <n v="5"/>
    <n v="8.67"/>
    <n v="118283.39"/>
    <n v="95329.65"/>
    <n v="271"/>
    <n v="1622"/>
    <s v="20-30"/>
    <x v="6"/>
  </r>
  <r>
    <s v="https://suumo.jp/chintai/jnc_000102189728/?bc=100469822719"/>
    <s v="西武池袋線 椎名町駅 3階建 新築"/>
    <s v="東京都豊島区長崎２"/>
    <n v="94000"/>
    <n v="3000"/>
    <n v="94000"/>
    <n v="94000"/>
    <n v="2"/>
    <x v="2"/>
    <n v="24.14"/>
    <n v="0"/>
    <x v="2"/>
    <s v="椎名町駅"/>
    <n v="5"/>
    <n v="8.67"/>
    <n v="118283.39"/>
    <n v="95329.65"/>
    <n v="271"/>
    <n v="1622"/>
    <s v="20-30"/>
    <x v="6"/>
  </r>
  <r>
    <s v="https://suumo.jp/chintai/jnc_000102189727/?bc=100480479428"/>
    <s v="西武池袋線 椎名町駅 3階建 新築"/>
    <s v="東京都豊島区長崎２"/>
    <n v="92000"/>
    <n v="3000"/>
    <n v="92000"/>
    <n v="92000"/>
    <n v="3"/>
    <x v="2"/>
    <n v="24.84"/>
    <n v="0"/>
    <x v="2"/>
    <s v="椎名町駅"/>
    <n v="5"/>
    <n v="8.67"/>
    <n v="118283.39"/>
    <n v="95329.65"/>
    <n v="271"/>
    <n v="1622"/>
    <s v="20-30"/>
    <x v="6"/>
  </r>
  <r>
    <s v="https://suumo.jp/chintai/jnc_000103708249/?bc=100479935911"/>
    <s v="西武池袋線 椎名町駅 3階建 築14年"/>
    <s v="東京都豊島区南長崎２"/>
    <n v="88000"/>
    <n v="6000"/>
    <n v="88000"/>
    <n v="88000"/>
    <n v="1"/>
    <x v="2"/>
    <n v="25.99"/>
    <n v="14"/>
    <x v="2"/>
    <s v="椎名町駅"/>
    <n v="8"/>
    <n v="12"/>
    <n v="118283.39"/>
    <n v="95329.65"/>
    <n v="271"/>
    <n v="1622"/>
    <s v="20-30"/>
    <x v="7"/>
  </r>
  <r>
    <s v="https://suumo.jp/chintai/jnc_000103277821/?bc=100476785992"/>
    <s v="西武池袋線 椎名町駅 3階建 築16年"/>
    <s v="東京都新宿区中落合２"/>
    <n v="86000"/>
    <n v="4000"/>
    <m/>
    <n v="86000"/>
    <n v="1"/>
    <x v="2"/>
    <n v="25.74"/>
    <n v="16"/>
    <x v="2"/>
    <s v="椎名町駅"/>
    <n v="9"/>
    <n v="9.67"/>
    <n v="118283.39"/>
    <n v="95329.65"/>
    <n v="271"/>
    <n v="1622"/>
    <s v="20-30"/>
    <x v="7"/>
  </r>
  <r>
    <s v="https://suumo.jp/chintai/jnc_000103492574/?bc=100477935046"/>
    <s v="西武池袋線 椎名町駅 3階建 築25年"/>
    <s v="東京都豊島区長崎２"/>
    <n v="83000"/>
    <n v="3000"/>
    <n v="83000"/>
    <m/>
    <n v="2"/>
    <x v="2"/>
    <n v="26.25"/>
    <n v="25"/>
    <x v="2"/>
    <s v="椎名町駅"/>
    <n v="3"/>
    <n v="10"/>
    <n v="118283.39"/>
    <n v="95329.65"/>
    <n v="271"/>
    <n v="1622"/>
    <s v="20-30"/>
    <x v="1"/>
  </r>
  <r>
    <s v="https://suumo.jp/chintai/jnc_000104317348/?bc=100484683007"/>
    <s v="西武池袋線 椎名町駅 3階建 築28年"/>
    <s v="東京都豊島区南長崎２"/>
    <n v="72000"/>
    <n v="6000"/>
    <m/>
    <n v="72000"/>
    <n v="1"/>
    <x v="2"/>
    <n v="20"/>
    <n v="28"/>
    <x v="2"/>
    <s v="椎名町駅"/>
    <n v="3"/>
    <n v="10"/>
    <n v="118283.39"/>
    <n v="95329.65"/>
    <n v="271"/>
    <n v="1622"/>
    <s v="20-30"/>
    <x v="1"/>
  </r>
  <r>
    <s v="https://suumo.jp/chintai/jnc_000104465128/?bc=100485870583"/>
    <s v="西武池袋線 椎名町駅 3階建 築28年"/>
    <s v="東京都豊島区南長崎２"/>
    <n v="72000"/>
    <n v="3000"/>
    <m/>
    <n v="72000"/>
    <n v="2"/>
    <x v="2"/>
    <n v="19.38"/>
    <n v="28"/>
    <x v="2"/>
    <s v="椎名町駅"/>
    <n v="3"/>
    <n v="10"/>
    <n v="118283.39"/>
    <n v="95329.65"/>
    <n v="271"/>
    <n v="1622"/>
    <s v="10-20"/>
    <x v="1"/>
  </r>
  <r>
    <s v="https://suumo.jp/chintai/jnc_000084763221/?bc=100484705712"/>
    <s v="西武池袋線 椎名町駅 3階建 築3年"/>
    <s v="東京都豊島区長崎２"/>
    <n v="87000"/>
    <n v="6000"/>
    <m/>
    <m/>
    <n v="2"/>
    <x v="2"/>
    <n v="19.170000000000002"/>
    <n v="3"/>
    <x v="2"/>
    <s v="椎名町駅"/>
    <n v="6"/>
    <n v="12.33"/>
    <n v="118283.39"/>
    <n v="95329.65"/>
    <n v="271"/>
    <n v="1622"/>
    <s v="10-20"/>
    <x v="0"/>
  </r>
  <r>
    <s v="https://suumo.jp/chintai/jnc_000103837887/?bc=100481031877"/>
    <s v="西武池袋線 椎名町駅 3階建 築7年"/>
    <s v="東京都豊島区南長崎１"/>
    <n v="92000"/>
    <n v="6500"/>
    <n v="92000"/>
    <n v="184000"/>
    <n v="1"/>
    <x v="2"/>
    <n v="29.97"/>
    <n v="7"/>
    <x v="2"/>
    <s v="椎名町駅"/>
    <n v="4"/>
    <n v="11.33"/>
    <n v="118283.39"/>
    <n v="95329.65"/>
    <n v="271"/>
    <n v="1622"/>
    <s v="20-30"/>
    <x v="0"/>
  </r>
  <r>
    <s v="https://suumo.jp/chintai/jnc_000103813539/?bc=100480542978"/>
    <s v="西武池袋線 椎名町駅 4階建 築22年"/>
    <s v="東京都豊島区南長崎１"/>
    <n v="75000"/>
    <n v="3000"/>
    <n v="75000"/>
    <m/>
    <n v="4"/>
    <x v="2"/>
    <n v="24.14"/>
    <n v="22"/>
    <x v="4"/>
    <s v="椎名町駅"/>
    <n v="8"/>
    <n v="11.33"/>
    <n v="118283.39"/>
    <n v="95329.65"/>
    <n v="271"/>
    <n v="1622"/>
    <s v="20-30"/>
    <x v="1"/>
  </r>
  <r>
    <s v="https://suumo.jp/chintai/jnc_000103611390/?bc=100478985944"/>
    <s v="西武池袋線 椎名町駅 5階建 築16年"/>
    <s v="東京都豊島区南長崎１"/>
    <n v="95000"/>
    <n v="5000"/>
    <n v="95000"/>
    <n v="95000"/>
    <n v="5"/>
    <x v="2"/>
    <n v="27.42"/>
    <n v="16"/>
    <x v="7"/>
    <s v="椎名町駅"/>
    <n v="3"/>
    <n v="11.33"/>
    <n v="118283.39"/>
    <n v="95329.65"/>
    <n v="271"/>
    <n v="1622"/>
    <s v="20-30"/>
    <x v="7"/>
  </r>
  <r>
    <s v="https://suumo.jp/chintai/jnc_000103474375/?bc=100478338397"/>
    <s v="西武池袋線 椎名町駅 5階建 築39年"/>
    <s v="東京都豊島区南長崎２"/>
    <n v="60000"/>
    <n v="6000"/>
    <n v="60000"/>
    <n v="60000"/>
    <n v="4"/>
    <x v="2"/>
    <n v="16.2"/>
    <n v="39"/>
    <x v="7"/>
    <s v="椎名町駅"/>
    <n v="6"/>
    <n v="10"/>
    <n v="118283.39"/>
    <n v="95329.65"/>
    <n v="271"/>
    <n v="1622"/>
    <s v="10-20"/>
    <x v="4"/>
  </r>
  <r>
    <s v="https://suumo.jp/chintai/jnc_000103600480/?bc=100478849087"/>
    <s v="西武池袋線 椎名町駅 5階建 築4年"/>
    <s v="東京都豊島区南長崎３"/>
    <n v="98000"/>
    <n v="15000"/>
    <m/>
    <n v="98000"/>
    <n v="3"/>
    <x v="2"/>
    <n v="25.4"/>
    <n v="4"/>
    <x v="7"/>
    <s v="椎名町駅"/>
    <n v="4"/>
    <n v="11"/>
    <n v="118283.39"/>
    <n v="95329.65"/>
    <n v="271"/>
    <n v="1622"/>
    <s v="20-30"/>
    <x v="0"/>
  </r>
  <r>
    <s v="https://suumo.jp/chintai/jnc_000096597994/?bc=100445899089"/>
    <s v="西武池袋線 椎名町駅 8階建 築2年"/>
    <s v="東京都新宿区中落合３"/>
    <n v="132000"/>
    <n v="11000"/>
    <m/>
    <n v="132000"/>
    <n v="2"/>
    <x v="2"/>
    <n v="25.5"/>
    <n v="2"/>
    <x v="9"/>
    <s v="椎名町駅"/>
    <n v="7"/>
    <n v="10"/>
    <n v="118283.39"/>
    <n v="95329.65"/>
    <n v="271"/>
    <n v="1622"/>
    <s v="20-30"/>
    <x v="0"/>
  </r>
  <r>
    <s v="https://suumo.jp/chintai/jnc_000096597997/?bc=100446281967"/>
    <s v="西武池袋線 椎名町駅 8階建 築2年"/>
    <s v="東京都新宿区中落合３"/>
    <n v="133000"/>
    <n v="11000"/>
    <m/>
    <n v="133000"/>
    <n v="3"/>
    <x v="2"/>
    <n v="25.5"/>
    <n v="2"/>
    <x v="9"/>
    <s v="椎名町駅"/>
    <n v="7"/>
    <n v="10"/>
    <n v="118283.39"/>
    <n v="95329.65"/>
    <n v="271"/>
    <n v="1622"/>
    <s v="20-30"/>
    <x v="0"/>
  </r>
  <r>
    <s v="https://suumo.jp/chintai/jnc_000097052285/?bc=100448398324"/>
    <s v="西武池袋線 椎名町駅 8階建 築2年"/>
    <s v="東京都新宿区中落合３"/>
    <n v="134000"/>
    <n v="11000"/>
    <m/>
    <n v="134000"/>
    <n v="5"/>
    <x v="2"/>
    <n v="25.5"/>
    <n v="2"/>
    <x v="9"/>
    <s v="椎名町駅"/>
    <n v="7"/>
    <n v="10"/>
    <n v="118283.39"/>
    <n v="95329.65"/>
    <n v="271"/>
    <n v="1622"/>
    <s v="20-30"/>
    <x v="0"/>
  </r>
  <r>
    <s v="https://suumo.jp/chintai/jnc_000103110664/?bc=100477745061"/>
    <s v="西武池袋線 椎名町駅 8階建 築2年"/>
    <s v="東京都新宿区中落合３"/>
    <n v="135000"/>
    <n v="11000"/>
    <m/>
    <n v="135000"/>
    <n v="8"/>
    <x v="2"/>
    <n v="25.5"/>
    <n v="2"/>
    <x v="9"/>
    <s v="椎名町駅"/>
    <n v="7"/>
    <n v="10"/>
    <n v="118283.39"/>
    <n v="95329.65"/>
    <n v="271"/>
    <n v="1622"/>
    <s v="20-30"/>
    <x v="0"/>
  </r>
  <r>
    <s v="https://suumo.jp/chintai/jnc_000104442187/?bc=100474861693"/>
    <s v="西武池袋線 椎名町駅 8階建 築7年"/>
    <s v="東京都新宿区下落合４"/>
    <n v="116000"/>
    <n v="10000"/>
    <n v="116000"/>
    <n v="116000"/>
    <n v="8"/>
    <x v="2"/>
    <n v="25.74"/>
    <n v="7"/>
    <x v="9"/>
    <s v="椎名町駅"/>
    <n v="9"/>
    <n v="12.33"/>
    <n v="118283.39"/>
    <n v="95329.65"/>
    <n v="271"/>
    <n v="1622"/>
    <s v="20-30"/>
    <x v="0"/>
  </r>
  <r>
    <s v="https://suumo.jp/chintai/jnc_000103863967/?bc=100481487673"/>
    <s v="西武池袋線 椎名町駅 地下1地上3階建 築28年"/>
    <s v="東京都新宿区中落合３"/>
    <n v="73000"/>
    <m/>
    <n v="73000"/>
    <m/>
    <n v="3"/>
    <x v="2"/>
    <n v="18.64"/>
    <n v="28"/>
    <x v="4"/>
    <s v="椎名町駅"/>
    <n v="8"/>
    <n v="9.5"/>
    <n v="118283.39"/>
    <n v="95329.65"/>
    <n v="271"/>
    <n v="1622"/>
    <s v="10-20"/>
    <x v="1"/>
  </r>
  <r>
    <s v="https://suumo.jp/chintai/jnc_000104326994/?bc=100484763530"/>
    <s v="西武池袋線 椎名町駅 地下1地上4階建 築27年"/>
    <s v="東京都豊島区南長崎２"/>
    <n v="75000"/>
    <n v="5000"/>
    <n v="75000"/>
    <m/>
    <n v="3"/>
    <x v="2"/>
    <n v="22.32"/>
    <n v="27"/>
    <x v="7"/>
    <s v="椎名町駅"/>
    <n v="8"/>
    <n v="10.33"/>
    <n v="118283.39"/>
    <n v="95329.65"/>
    <n v="271"/>
    <n v="1622"/>
    <s v="20-30"/>
    <x v="1"/>
  </r>
  <r>
    <s v="https://suumo.jp/chintai/jnc_000104070286/?bc=100462845395"/>
    <s v="都営大江戸線 落合南長崎駅 2階建 築31年"/>
    <s v="東京都豊島区南長崎３"/>
    <n v="65000"/>
    <m/>
    <n v="65000"/>
    <n v="65000"/>
    <n v="2"/>
    <x v="2"/>
    <n v="19.829999999999998"/>
    <n v="31"/>
    <x v="0"/>
    <s v="椎名町駅"/>
    <n v="10"/>
    <n v="11"/>
    <n v="118283.39"/>
    <n v="95329.65"/>
    <n v="271"/>
    <n v="1622"/>
    <s v="10-20"/>
    <x v="4"/>
  </r>
  <r>
    <s v="https://suumo.jp/chintai/jnc_000104373201/?bc=100077923093"/>
    <s v="長崎2丁目ハウスヌーボォ"/>
    <s v="東京都豊島区長崎２"/>
    <n v="92000"/>
    <n v="3000"/>
    <n v="92000"/>
    <n v="92000"/>
    <n v="3"/>
    <x v="2"/>
    <n v="28.79"/>
    <n v="31"/>
    <x v="7"/>
    <s v="椎名町駅"/>
    <n v="6"/>
    <n v="10.67"/>
    <n v="118283.39"/>
    <n v="95329.65"/>
    <n v="271"/>
    <n v="1622"/>
    <s v="20-30"/>
    <x v="4"/>
  </r>
  <r>
    <s v="https://suumo.jp/chintai/jnc_000104379089/?bc=100091940498"/>
    <s v="長崎2丁目ハウスヌーボォ"/>
    <s v="東京都豊島区長崎２"/>
    <n v="92000"/>
    <n v="3000"/>
    <n v="92000"/>
    <n v="92000"/>
    <n v="4"/>
    <x v="2"/>
    <n v="28.79"/>
    <n v="31"/>
    <x v="7"/>
    <s v="椎名町駅"/>
    <n v="6"/>
    <n v="10.67"/>
    <n v="118283.39"/>
    <n v="95329.65"/>
    <n v="271"/>
    <n v="1622"/>
    <s v="20-30"/>
    <x v="4"/>
  </r>
  <r>
    <s v="https://suumo.jp/chintai/jnc_000103891956/?bc=100482542236"/>
    <s v="ＪＲ山手線 目白駅 5階建 築22年"/>
    <s v="東京都豊島区目白５"/>
    <n v="74500"/>
    <n v="15000"/>
    <m/>
    <n v="37300"/>
    <n v="1"/>
    <x v="2"/>
    <n v="21.17"/>
    <n v="22"/>
    <x v="7"/>
    <s v="椎名町駅"/>
    <n v="5"/>
    <n v="10.33"/>
    <n v="118283.39"/>
    <n v="95329.65"/>
    <n v="271"/>
    <n v="1622"/>
    <s v="20-30"/>
    <x v="1"/>
  </r>
  <r>
    <s v="https://suumo.jp/chintai/jnc_000103183082/?bc=100482880214"/>
    <s v="ＪＲ山手線 目白駅 5階建 築22年"/>
    <s v="東京都豊島区目白５"/>
    <n v="82000"/>
    <n v="4000"/>
    <n v="82000"/>
    <n v="82000"/>
    <n v="1"/>
    <x v="2"/>
    <n v="21.17"/>
    <n v="22"/>
    <x v="7"/>
    <s v="椎名町駅"/>
    <n v="5"/>
    <n v="10.33"/>
    <n v="118283.39"/>
    <n v="95329.65"/>
    <n v="271"/>
    <n v="1622"/>
    <s v="20-30"/>
    <x v="1"/>
  </r>
  <r>
    <s v="https://suumo.jp/chintai/jnc_000104459266/?bc=100485750994"/>
    <s v="ＪＲ山手線 目白駅 5階建 築22年"/>
    <s v="東京都豊島区目白５"/>
    <n v="80000"/>
    <n v="10000"/>
    <n v="80000"/>
    <n v="80000"/>
    <n v="3"/>
    <x v="2"/>
    <n v="21.17"/>
    <n v="22"/>
    <x v="7"/>
    <s v="椎名町駅"/>
    <n v="5"/>
    <n v="10.33"/>
    <n v="118283.39"/>
    <n v="95329.65"/>
    <n v="271"/>
    <n v="1622"/>
    <s v="20-30"/>
    <x v="1"/>
  </r>
  <r>
    <s v="https://suumo.jp/chintai/jnc_000101665942/?bc=100461745538"/>
    <s v="ＭＩ目白"/>
    <s v="東京都豊島区目白５"/>
    <n v="35000"/>
    <n v="2000"/>
    <n v="35000"/>
    <n v="35000"/>
    <n v="1"/>
    <x v="2"/>
    <n v="18.22"/>
    <n v="60"/>
    <x v="0"/>
    <s v="椎名町駅"/>
    <n v="9"/>
    <n v="11.67"/>
    <n v="118283.39"/>
    <n v="95329.65"/>
    <n v="271"/>
    <n v="1622"/>
    <s v="10-20"/>
    <x v="5"/>
  </r>
  <r>
    <s v="https://suumo.jp/chintai/jnc_000084763215/?bc=100471002723"/>
    <s v="Ｔ’ｓ　Ｃｕｏｒｅ椎名町"/>
    <s v="東京都豊島区長崎２"/>
    <n v="87000"/>
    <n v="6000"/>
    <m/>
    <m/>
    <n v="2"/>
    <x v="2"/>
    <n v="19.170000000000002"/>
    <n v="3"/>
    <x v="2"/>
    <s v="椎名町駅"/>
    <n v="6"/>
    <n v="12.33"/>
    <n v="118283.39"/>
    <n v="95329.65"/>
    <n v="271"/>
    <n v="1622"/>
    <s v="10-20"/>
    <x v="0"/>
  </r>
  <r>
    <s v="https://suumo.jp/chintai/jnc_000103708237/?bc=100485956719"/>
    <s v="ＺＯＯＭ椎名町駅前"/>
    <s v="東京都豊島区西池袋４"/>
    <n v="101000"/>
    <n v="4000"/>
    <n v="101000"/>
    <n v="101000"/>
    <n v="12"/>
    <x v="2"/>
    <n v="21.28"/>
    <n v="14"/>
    <x v="3"/>
    <s v="椎名町駅"/>
    <n v="2"/>
    <n v="10.67"/>
    <n v="118283.39"/>
    <n v="95329.65"/>
    <n v="271"/>
    <n v="1622"/>
    <s v="20-30"/>
    <x v="7"/>
  </r>
  <r>
    <s v="https://suumo.jp/chintai/jnc_000103763010/?bc=100480349416"/>
    <s v="3×3 CUBE"/>
    <s v="東京都豊島区南長崎２"/>
    <n v="185000"/>
    <n v="5000"/>
    <n v="185000"/>
    <n v="185000"/>
    <n v="3"/>
    <x v="3"/>
    <n v="59.6"/>
    <n v="12"/>
    <x v="4"/>
    <s v="椎名町駅"/>
    <n v="6"/>
    <n v="9"/>
    <n v="118283.39"/>
    <n v="168453.81"/>
    <n v="271"/>
    <n v="788"/>
    <s v="50-60"/>
    <x v="7"/>
  </r>
  <r>
    <s v="https://suumo.jp/chintai/jnc_000103763010/?bc=100480349416"/>
    <s v="3×3 CUBE"/>
    <s v="東京都豊島区南長崎２"/>
    <n v="185000"/>
    <n v="5000"/>
    <n v="185000"/>
    <n v="185000"/>
    <n v="4"/>
    <x v="3"/>
    <n v="59.6"/>
    <n v="12"/>
    <x v="4"/>
    <s v="椎名町駅"/>
    <n v="6"/>
    <n v="9"/>
    <n v="118283.39"/>
    <n v="168453.81"/>
    <n v="271"/>
    <n v="788"/>
    <s v="50-60"/>
    <x v="7"/>
  </r>
  <r>
    <s v="https://suumo.jp/chintai/jnc_000104215579/?bc=100465209012"/>
    <s v="BELTIS椎名町"/>
    <s v="東京都豊島区南長崎２"/>
    <n v="159000"/>
    <n v="8000"/>
    <m/>
    <m/>
    <n v="2"/>
    <x v="3"/>
    <n v="55.17"/>
    <n v="19"/>
    <x v="2"/>
    <s v="椎名町駅"/>
    <n v="8"/>
    <n v="10.33"/>
    <n v="118283.39"/>
    <n v="168453.81"/>
    <n v="271"/>
    <n v="788"/>
    <s v="50-60"/>
    <x v="7"/>
  </r>
  <r>
    <s v="https://suumo.jp/chintai/jnc_000104455055/?bc=100485951243"/>
    <s v="trias372"/>
    <s v="東京都豊島区長崎３"/>
    <n v="162000"/>
    <n v="18000"/>
    <m/>
    <m/>
    <n v="3"/>
    <x v="3"/>
    <n v="34.549999999999997"/>
    <n v="0"/>
    <x v="4"/>
    <s v="椎名町駅"/>
    <n v="8"/>
    <n v="12"/>
    <n v="118283.39"/>
    <n v="168453.81"/>
    <n v="271"/>
    <n v="788"/>
    <s v="30-40"/>
    <x v="6"/>
  </r>
  <r>
    <s v="https://suumo.jp/chintai/jnc_000103969731/?bc=100481899016"/>
    <s v="trias372"/>
    <s v="東京都豊島区長崎３"/>
    <n v="167000"/>
    <n v="18000"/>
    <m/>
    <m/>
    <n v="4"/>
    <x v="3"/>
    <n v="36.43"/>
    <n v="0"/>
    <x v="4"/>
    <s v="椎名町駅"/>
    <n v="8"/>
    <n v="12"/>
    <n v="118283.39"/>
    <n v="168453.81"/>
    <n v="271"/>
    <n v="788"/>
    <s v="30-40"/>
    <x v="6"/>
  </r>
  <r>
    <s v="https://suumo.jp/chintai/jnc_000102411940/?bc=100417232198"/>
    <s v="コンフォリア・リヴ下落合"/>
    <s v="東京都新宿区下落合４"/>
    <n v="144000"/>
    <n v="6000"/>
    <n v="144000"/>
    <m/>
    <n v="10"/>
    <x v="3"/>
    <n v="25.22"/>
    <n v="2"/>
    <x v="1"/>
    <s v="椎名町駅"/>
    <n v="9"/>
    <n v="11.67"/>
    <n v="118283.39"/>
    <n v="168453.81"/>
    <n v="271"/>
    <n v="788"/>
    <s v="20-30"/>
    <x v="0"/>
  </r>
  <r>
    <s v="https://suumo.jp/chintai/jnc_000103735320/?bc=100480291838"/>
    <s v="ザ・パークハビオ目白タワー"/>
    <s v="東京都豊島区目白５"/>
    <n v="175000"/>
    <n v="20000"/>
    <n v="175000"/>
    <m/>
    <n v="10"/>
    <x v="3"/>
    <n v="33.299999999999997"/>
    <n v="2"/>
    <x v="23"/>
    <s v="椎名町駅"/>
    <n v="6"/>
    <n v="12"/>
    <n v="118283.39"/>
    <n v="168453.81"/>
    <n v="271"/>
    <n v="788"/>
    <s v="30-40"/>
    <x v="0"/>
  </r>
  <r>
    <s v="https://suumo.jp/chintai/jnc_000103594302/?bc=100482943191"/>
    <s v="シャリエ椎名町"/>
    <s v="東京都豊島区南長崎１"/>
    <n v="169000"/>
    <m/>
    <n v="169000"/>
    <n v="169000"/>
    <n v="4"/>
    <x v="3"/>
    <n v="35.409999999999997"/>
    <n v="0"/>
    <x v="11"/>
    <s v="椎名町駅"/>
    <n v="3"/>
    <n v="10.33"/>
    <n v="118283.39"/>
    <n v="168453.81"/>
    <n v="271"/>
    <n v="788"/>
    <s v="30-40"/>
    <x v="6"/>
  </r>
  <r>
    <s v="https://suumo.jp/chintai/jnc_000103837321/?bc=100481070011"/>
    <s v="スワンレイク目白"/>
    <s v="東京都新宿区下落合４"/>
    <n v="170000"/>
    <n v="10000"/>
    <n v="170000"/>
    <n v="170000"/>
    <n v="2"/>
    <x v="3"/>
    <n v="43.25"/>
    <n v="7"/>
    <x v="7"/>
    <s v="椎名町駅"/>
    <n v="8"/>
    <n v="11"/>
    <n v="118283.39"/>
    <n v="168453.81"/>
    <n v="271"/>
    <n v="788"/>
    <s v="40-50"/>
    <x v="0"/>
  </r>
  <r>
    <s v="https://suumo.jp/chintai/jnc_000104256662/?bc=100475334363"/>
    <s v="タカホアパートメント"/>
    <s v="東京都豊島区南長崎２"/>
    <n v="130000"/>
    <n v="2000"/>
    <n v="130000"/>
    <n v="260000"/>
    <n v="1"/>
    <x v="3"/>
    <n v="49.68"/>
    <n v="17"/>
    <x v="0"/>
    <s v="椎名町駅"/>
    <n v="8"/>
    <n v="11.67"/>
    <n v="118283.39"/>
    <n v="168453.81"/>
    <n v="271"/>
    <n v="788"/>
    <s v="40-50"/>
    <x v="7"/>
  </r>
  <r>
    <s v="https://suumo.jp/chintai/jnc_000102936941/?bc=100478919485"/>
    <s v="タカホアパートメント"/>
    <s v="東京都豊島区南長崎２"/>
    <n v="140000"/>
    <n v="2000"/>
    <n v="140000"/>
    <n v="280000"/>
    <n v="1"/>
    <x v="3"/>
    <n v="49.68"/>
    <n v="17"/>
    <x v="0"/>
    <s v="椎名町駅"/>
    <n v="8"/>
    <n v="11.67"/>
    <n v="118283.39"/>
    <n v="168453.81"/>
    <n v="271"/>
    <n v="788"/>
    <s v="40-50"/>
    <x v="7"/>
  </r>
  <r>
    <s v="https://suumo.jp/chintai/jnc_000104483090/?bc=100485975401"/>
    <s v="フレンシア椎名町"/>
    <s v="東京都豊島区長崎１"/>
    <n v="168000"/>
    <n v="6000"/>
    <n v="168000"/>
    <n v="168000"/>
    <n v="12"/>
    <x v="3"/>
    <n v="33.57"/>
    <n v="8"/>
    <x v="3"/>
    <s v="椎名町駅"/>
    <n v="2"/>
    <n v="10.67"/>
    <n v="118283.39"/>
    <n v="168453.81"/>
    <n v="271"/>
    <n v="788"/>
    <s v="30-40"/>
    <x v="0"/>
  </r>
  <r>
    <s v="https://suumo.jp/chintai/jnc_000104474538/?bc=100485975403"/>
    <s v="フレンシア椎名町"/>
    <s v="東京都豊島区長崎１"/>
    <n v="145000"/>
    <n v="6000"/>
    <n v="145000"/>
    <n v="145000"/>
    <n v="2"/>
    <x v="3"/>
    <n v="32.450000000000003"/>
    <n v="8"/>
    <x v="3"/>
    <s v="椎名町駅"/>
    <n v="2"/>
    <n v="10.67"/>
    <n v="118283.39"/>
    <n v="168453.81"/>
    <n v="271"/>
    <n v="788"/>
    <s v="30-40"/>
    <x v="0"/>
  </r>
  <r>
    <s v="https://suumo.jp/chintai/jnc_000104286533/?bc=100484472808"/>
    <s v="フレンシア椎名町"/>
    <s v="東京都豊島区長崎１"/>
    <n v="148000"/>
    <n v="6000"/>
    <n v="148000"/>
    <n v="148000"/>
    <n v="4"/>
    <x v="3"/>
    <n v="32.450000000000003"/>
    <n v="8"/>
    <x v="3"/>
    <s v="椎名町駅"/>
    <n v="2"/>
    <n v="10.67"/>
    <n v="118283.39"/>
    <n v="168453.81"/>
    <n v="271"/>
    <n v="788"/>
    <s v="30-40"/>
    <x v="0"/>
  </r>
  <r>
    <s v="https://suumo.jp/chintai/jnc_000021368594/?bc=100484473579"/>
    <s v="プレール・ドゥーク新宿中落合II"/>
    <s v="東京都新宿区中落合３"/>
    <n v="127000"/>
    <n v="8000"/>
    <m/>
    <n v="127000"/>
    <n v="10"/>
    <x v="3"/>
    <n v="37.21"/>
    <n v="13"/>
    <x v="1"/>
    <s v="椎名町駅"/>
    <n v="9"/>
    <n v="9.67"/>
    <n v="118283.39"/>
    <n v="168453.81"/>
    <n v="271"/>
    <n v="788"/>
    <s v="30-40"/>
    <x v="7"/>
  </r>
  <r>
    <s v="https://suumo.jp/chintai/jnc_000104004152/?bc=100482503051"/>
    <s v="ラ・メゾン長崎XII（A.O.T）"/>
    <s v="東京都豊島区南長崎１"/>
    <n v="150000"/>
    <n v="5000"/>
    <m/>
    <n v="150000"/>
    <n v="2"/>
    <x v="3"/>
    <n v="47.27"/>
    <n v="4"/>
    <x v="10"/>
    <s v="椎名町駅"/>
    <n v="5"/>
    <n v="12"/>
    <n v="118283.39"/>
    <n v="168453.81"/>
    <n v="271"/>
    <n v="788"/>
    <s v="40-50"/>
    <x v="0"/>
  </r>
  <r>
    <s v="https://suumo.jp/chintai/jnc_000103717077/?bc=100480003270"/>
    <s v="リビオレゾン目白通り"/>
    <s v="東京都新宿区下落合４"/>
    <n v="165000"/>
    <n v="15000"/>
    <n v="165000"/>
    <n v="165000"/>
    <n v="10"/>
    <x v="3"/>
    <n v="40.090000000000003"/>
    <n v="19"/>
    <x v="1"/>
    <s v="椎名町駅"/>
    <n v="8"/>
    <n v="10.67"/>
    <n v="118283.39"/>
    <n v="168453.81"/>
    <n v="271"/>
    <n v="788"/>
    <s v="40-50"/>
    <x v="7"/>
  </r>
  <r>
    <s v="https://suumo.jp/chintai/jnc_000104399854/?bc=100485354358"/>
    <s v="目白ピアンタ"/>
    <s v="東京都豊島区目白５"/>
    <n v="138000"/>
    <m/>
    <m/>
    <m/>
    <n v="3"/>
    <x v="3"/>
    <n v="50.35"/>
    <n v="34"/>
    <x v="8"/>
    <s v="椎名町駅"/>
    <n v="5"/>
    <n v="10.67"/>
    <n v="118283.39"/>
    <n v="168453.81"/>
    <n v="271"/>
    <n v="788"/>
    <s v="50-60"/>
    <x v="4"/>
  </r>
  <r>
    <s v="https://suumo.jp/chintai/jnc_000104132737/?bc=100455411475"/>
    <s v="西武池袋線 椎名町駅 12階建 築3年"/>
    <s v="東京都豊島区南長崎１"/>
    <n v="154000"/>
    <n v="15000"/>
    <m/>
    <m/>
    <n v="12"/>
    <x v="3"/>
    <n v="31.31"/>
    <n v="3"/>
    <x v="3"/>
    <s v="椎名町駅"/>
    <n v="5"/>
    <n v="10"/>
    <n v="118283.39"/>
    <n v="168453.81"/>
    <n v="271"/>
    <n v="788"/>
    <s v="30-40"/>
    <x v="0"/>
  </r>
  <r>
    <s v="https://suumo.jp/chintai/jnc_000104034804/?bc=100485737594"/>
    <s v="西武池袋線 椎名町駅 12階建 築3年"/>
    <s v="東京都豊島区南長崎１"/>
    <n v="146000"/>
    <n v="15000"/>
    <m/>
    <m/>
    <n v="9"/>
    <x v="3"/>
    <n v="33.04"/>
    <n v="3"/>
    <x v="3"/>
    <s v="椎名町駅"/>
    <n v="5"/>
    <n v="10"/>
    <n v="118283.39"/>
    <n v="168453.81"/>
    <n v="271"/>
    <n v="788"/>
    <s v="30-40"/>
    <x v="0"/>
  </r>
  <r>
    <s v="https://suumo.jp/chintai/jnc_000104261997/?bc=100486226600"/>
    <s v="西武池袋線 椎名町駅 2階建 築17年"/>
    <s v="東京都豊島区南長崎２"/>
    <n v="130000"/>
    <n v="2000"/>
    <n v="130000"/>
    <n v="260000"/>
    <n v="1"/>
    <x v="3"/>
    <n v="49.68"/>
    <n v="17"/>
    <x v="0"/>
    <s v="椎名町駅"/>
    <n v="8"/>
    <n v="11.33"/>
    <n v="118283.39"/>
    <n v="168453.81"/>
    <n v="271"/>
    <n v="788"/>
    <s v="40-50"/>
    <x v="7"/>
  </r>
  <r>
    <s v="https://suumo.jp/chintai/jnc_000102966931/?bc=100473844339"/>
    <s v="西武池袋線 椎名町駅 2階建 築17年"/>
    <s v="東京都豊島区南長崎２"/>
    <n v="140000"/>
    <n v="2000"/>
    <n v="140000"/>
    <n v="280000"/>
    <n v="1"/>
    <x v="3"/>
    <n v="49.68"/>
    <n v="17"/>
    <x v="0"/>
    <s v="椎名町駅"/>
    <n v="8"/>
    <n v="11.33"/>
    <n v="118283.39"/>
    <n v="168453.81"/>
    <n v="271"/>
    <n v="788"/>
    <s v="40-50"/>
    <x v="7"/>
  </r>
  <r>
    <s v="https://suumo.jp/chintai/jnc_000104363205/?bc=100481132510"/>
    <s v="西武池袋線 椎名町駅 3階建 新築"/>
    <s v="東京都新宿区中落合２"/>
    <n v="188000"/>
    <n v="10500"/>
    <n v="188000"/>
    <n v="376000"/>
    <n v="1"/>
    <x v="3"/>
    <n v="51.16"/>
    <n v="0"/>
    <x v="2"/>
    <s v="椎名町駅"/>
    <n v="10"/>
    <n v="10.33"/>
    <n v="118283.39"/>
    <n v="168453.81"/>
    <n v="271"/>
    <n v="788"/>
    <s v="50-60"/>
    <x v="6"/>
  </r>
  <r>
    <s v="https://suumo.jp/chintai/jnc_000104215580/?bc=100465851803"/>
    <s v="西武池袋線 椎名町駅 3階建 築19年"/>
    <s v="東京都豊島区南長崎２"/>
    <n v="159000"/>
    <n v="8000"/>
    <m/>
    <m/>
    <n v="2"/>
    <x v="3"/>
    <n v="55.17"/>
    <n v="19"/>
    <x v="2"/>
    <s v="椎名町駅"/>
    <n v="8"/>
    <n v="10.33"/>
    <n v="118283.39"/>
    <n v="168453.81"/>
    <n v="271"/>
    <n v="788"/>
    <s v="50-60"/>
    <x v="7"/>
  </r>
  <r>
    <s v="https://suumo.jp/chintai/jnc_000103223692/?bc=100475927775"/>
    <s v="西武池袋線 椎名町駅 4階建 築4年"/>
    <s v="東京都豊島区南長崎１"/>
    <n v="165000"/>
    <n v="15000"/>
    <n v="165000"/>
    <m/>
    <n v="2"/>
    <x v="3"/>
    <n v="39.950000000000003"/>
    <n v="4"/>
    <x v="4"/>
    <s v="椎名町駅"/>
    <n v="5"/>
    <n v="11"/>
    <n v="118283.39"/>
    <n v="168453.81"/>
    <n v="271"/>
    <n v="788"/>
    <s v="30-40"/>
    <x v="0"/>
  </r>
  <r>
    <s v="https://suumo.jp/chintai/jnc_000055464833/?bc=100482764348"/>
    <s v="西武池袋線 椎名町駅 5階建 築54年"/>
    <s v="東京都豊島区南長崎２"/>
    <n v="125000"/>
    <n v="5000"/>
    <n v="125000"/>
    <n v="125000"/>
    <n v="4"/>
    <x v="3"/>
    <n v="45.12"/>
    <n v="54"/>
    <x v="7"/>
    <s v="椎名町駅"/>
    <n v="10"/>
    <n v="12"/>
    <n v="118283.39"/>
    <n v="168453.81"/>
    <n v="271"/>
    <n v="788"/>
    <s v="40-50"/>
    <x v="5"/>
  </r>
  <r>
    <s v="https://suumo.jp/chintai/jnc_000104170887/?bc=100483502581"/>
    <s v="西武池袋線 椎名町駅 8階建 新築"/>
    <s v="東京都豊島区目白５"/>
    <n v="150000"/>
    <n v="10000"/>
    <n v="150000"/>
    <n v="150000"/>
    <n v="2"/>
    <x v="3"/>
    <n v="30.85"/>
    <n v="0"/>
    <x v="9"/>
    <s v="椎名町駅"/>
    <n v="6"/>
    <n v="10.67"/>
    <n v="118283.39"/>
    <n v="168453.81"/>
    <n v="271"/>
    <n v="788"/>
    <s v="30-40"/>
    <x v="6"/>
  </r>
  <r>
    <s v="https://suumo.jp/chintai/jnc_000100079555/?bc=100483502585"/>
    <s v="西武池袋線 椎名町駅 8階建 新築"/>
    <s v="東京都豊島区目白５"/>
    <n v="180000"/>
    <n v="10000"/>
    <n v="180000"/>
    <n v="180000"/>
    <n v="8"/>
    <x v="3"/>
    <n v="38.979999999999997"/>
    <n v="0"/>
    <x v="9"/>
    <s v="椎名町駅"/>
    <n v="6"/>
    <n v="10.67"/>
    <n v="118283.39"/>
    <n v="168453.81"/>
    <n v="271"/>
    <n v="788"/>
    <s v="30-40"/>
    <x v="6"/>
  </r>
  <r>
    <s v="https://suumo.jp/chintai/jnc_000100897722/?bc=100485559283"/>
    <s v="西武池袋線 椎名町駅 地下1地上4階建 築5年"/>
    <s v="東京都豊島区南長崎１"/>
    <n v="143000"/>
    <n v="5000"/>
    <n v="143000"/>
    <n v="143000"/>
    <n v="-1"/>
    <x v="3"/>
    <n v="36.24"/>
    <n v="5"/>
    <x v="7"/>
    <s v="椎名町駅"/>
    <n v="3"/>
    <n v="9.33"/>
    <n v="118283.39"/>
    <n v="168453.81"/>
    <n v="271"/>
    <n v="788"/>
    <s v="30-40"/>
    <x v="0"/>
  </r>
  <r>
    <s v="https://suumo.jp/chintai/jnc_000100897722/?bc=100485559283"/>
    <s v="西武池袋線 椎名町駅 地下1地上4階建 築5年"/>
    <s v="東京都豊島区南長崎１"/>
    <n v="143000"/>
    <n v="5000"/>
    <n v="143000"/>
    <n v="143000"/>
    <n v="0"/>
    <x v="3"/>
    <n v="36.24"/>
    <n v="5"/>
    <x v="7"/>
    <s v="椎名町駅"/>
    <n v="3"/>
    <n v="9.33"/>
    <n v="118283.39"/>
    <n v="168453.81"/>
    <n v="271"/>
    <n v="788"/>
    <s v="30-40"/>
    <x v="0"/>
  </r>
  <r>
    <s v="https://suumo.jp/chintai/jnc_000100897722/?bc=100485559283"/>
    <s v="西武池袋線 椎名町駅 地下1地上4階建 築5年"/>
    <s v="東京都豊島区南長崎１"/>
    <n v="143000"/>
    <n v="5000"/>
    <n v="143000"/>
    <n v="143000"/>
    <n v="1"/>
    <x v="3"/>
    <n v="36.24"/>
    <n v="5"/>
    <x v="7"/>
    <s v="椎名町駅"/>
    <n v="3"/>
    <n v="9.33"/>
    <n v="118283.39"/>
    <n v="168453.81"/>
    <n v="271"/>
    <n v="788"/>
    <s v="30-40"/>
    <x v="0"/>
  </r>
  <r>
    <s v="https://suumo.jp/chintai/jnc_000104368366/?bc=100480636114"/>
    <s v="西武池袋線 椎名町駅 地下1地上4階建 築7年"/>
    <s v="東京都新宿区下落合４"/>
    <n v="170000"/>
    <n v="10000"/>
    <n v="170000"/>
    <n v="170000"/>
    <n v="2"/>
    <x v="3"/>
    <n v="43.25"/>
    <n v="7"/>
    <x v="7"/>
    <s v="椎名町駅"/>
    <n v="7"/>
    <n v="10.33"/>
    <n v="118283.39"/>
    <n v="168453.81"/>
    <n v="271"/>
    <n v="788"/>
    <s v="40-50"/>
    <x v="0"/>
  </r>
  <r>
    <s v="https://suumo.jp/chintai/jnc_000023297383/?bc=100484254443"/>
    <s v="都営大江戸線 落合南長崎駅 10階建 築13年"/>
    <s v="東京都新宿区中落合３"/>
    <n v="127000"/>
    <n v="8000"/>
    <m/>
    <n v="127000"/>
    <n v="10"/>
    <x v="3"/>
    <n v="37.21"/>
    <n v="13"/>
    <x v="1"/>
    <s v="椎名町駅"/>
    <n v="9"/>
    <n v="9.67"/>
    <n v="118283.39"/>
    <n v="168453.81"/>
    <n v="271"/>
    <n v="788"/>
    <s v="30-40"/>
    <x v="7"/>
  </r>
  <r>
    <s v="https://suumo.jp/chintai/jnc_000104465139/?bc=100476778831"/>
    <s v="ＡＩＦＬＡＴ　ＭＥＪＩＲＯ"/>
    <s v="東京都豊島区目白４"/>
    <n v="156000"/>
    <n v="8000"/>
    <n v="156000"/>
    <n v="156000"/>
    <n v="1"/>
    <x v="3"/>
    <n v="33.96"/>
    <n v="6"/>
    <x v="2"/>
    <s v="椎名町駅"/>
    <n v="8"/>
    <n v="12"/>
    <n v="118283.39"/>
    <n v="168453.81"/>
    <n v="271"/>
    <n v="788"/>
    <s v="30-40"/>
    <x v="0"/>
  </r>
  <r>
    <s v="https://suumo.jp/chintai/jnc_000103278773/?bc=100486399401"/>
    <s v="ＡＩＦＬＡＴ　ＭＥＪＩＲＯ"/>
    <s v="東京都豊島区目白４"/>
    <n v="161000"/>
    <n v="8000"/>
    <n v="161000"/>
    <n v="161000"/>
    <n v="1"/>
    <x v="3"/>
    <n v="33.96"/>
    <n v="6"/>
    <x v="2"/>
    <s v="椎名町駅"/>
    <n v="8"/>
    <n v="12"/>
    <n v="118283.39"/>
    <n v="168453.81"/>
    <n v="271"/>
    <n v="788"/>
    <s v="30-40"/>
    <x v="0"/>
  </r>
  <r>
    <s v="https://suumo.jp/chintai/jnc_000104417422/?bc=100485510347"/>
    <s v="ＡＩＦＬＡＴ　ＭＥＪＩＲＯ"/>
    <s v="東京都豊島区目白４"/>
    <n v="163000"/>
    <n v="8000"/>
    <n v="163000"/>
    <n v="163000"/>
    <n v="3"/>
    <x v="3"/>
    <n v="33.96"/>
    <n v="6"/>
    <x v="2"/>
    <s v="椎名町駅"/>
    <n v="8"/>
    <n v="12"/>
    <n v="118283.39"/>
    <n v="168453.81"/>
    <n v="271"/>
    <n v="788"/>
    <s v="30-40"/>
    <x v="0"/>
  </r>
  <r>
    <s v="https://suumo.jp/chintai/jnc_000103218058/?bc=100486101349"/>
    <s v="Ｆｕｌｌｅａ椎名町"/>
    <s v="東京都豊島区南長崎１"/>
    <n v="165000"/>
    <n v="15000"/>
    <n v="165000"/>
    <m/>
    <n v="2"/>
    <x v="3"/>
    <n v="39.950000000000003"/>
    <n v="4"/>
    <x v="4"/>
    <s v="椎名町駅"/>
    <n v="5"/>
    <n v="11.67"/>
    <n v="118283.39"/>
    <n v="168453.81"/>
    <n v="271"/>
    <n v="788"/>
    <s v="30-40"/>
    <x v="0"/>
  </r>
  <r>
    <s v="https://suumo.jp/chintai/jnc_000104101653/?bc=100483114175"/>
    <s v="ＧＥＮＯＶＩＡ椎名町"/>
    <s v="東京都豊島区南長崎１"/>
    <n v="154000"/>
    <n v="15000"/>
    <m/>
    <m/>
    <n v="12"/>
    <x v="3"/>
    <n v="31.31"/>
    <n v="2"/>
    <x v="3"/>
    <s v="椎名町駅"/>
    <n v="5"/>
    <n v="10"/>
    <n v="118283.39"/>
    <n v="168453.81"/>
    <n v="271"/>
    <n v="788"/>
    <s v="30-40"/>
    <x v="0"/>
  </r>
  <r>
    <s v="https://suumo.jp/chintai/jnc_000103987780/?bc=100485575545"/>
    <s v="ＧＥＮＯＶＩＡ椎名町"/>
    <s v="東京都豊島区南長崎１"/>
    <n v="146000"/>
    <n v="15000"/>
    <m/>
    <m/>
    <n v="9"/>
    <x v="3"/>
    <n v="33.04"/>
    <n v="2"/>
    <x v="3"/>
    <s v="椎名町駅"/>
    <n v="5"/>
    <n v="10"/>
    <n v="118283.39"/>
    <n v="168453.81"/>
    <n v="271"/>
    <n v="788"/>
    <s v="30-40"/>
    <x v="0"/>
  </r>
  <r>
    <s v="https://suumo.jp/chintai/jnc_000103317361/?bc=100476889522"/>
    <s v="ＪＲ山手線 目白駅 3階建 築6年"/>
    <s v="東京都豊島区目白４"/>
    <n v="161000"/>
    <n v="8000"/>
    <n v="161000"/>
    <n v="161000"/>
    <n v="1"/>
    <x v="3"/>
    <n v="33.96"/>
    <n v="6"/>
    <x v="2"/>
    <s v="椎名町駅"/>
    <n v="6"/>
    <n v="10.33"/>
    <n v="118283.39"/>
    <n v="168453.81"/>
    <n v="271"/>
    <n v="788"/>
    <s v="30-40"/>
    <x v="0"/>
  </r>
  <r>
    <s v="https://suumo.jp/chintai/jnc_000103960632/?bc=100292850704"/>
    <s v="ｎｏｔｉｃｅ椎名町"/>
    <s v="東京都豊島区南長崎１"/>
    <n v="143000"/>
    <n v="5000"/>
    <n v="143000"/>
    <n v="143000"/>
    <n v="1"/>
    <x v="3"/>
    <n v="36.24"/>
    <n v="5"/>
    <x v="7"/>
    <s v="椎名町駅"/>
    <n v="3"/>
    <n v="10.67"/>
    <n v="118283.39"/>
    <n v="168453.81"/>
    <n v="271"/>
    <n v="788"/>
    <s v="30-40"/>
    <x v="0"/>
  </r>
  <r>
    <s v="https://suumo.jp/chintai/jnc_000103730561/?bc=100477745326"/>
    <s v="ｎｏｔｉｃｅ椎名町"/>
    <s v="東京都豊島区南長崎１"/>
    <n v="139000"/>
    <n v="5000"/>
    <n v="139000"/>
    <n v="139000"/>
    <n v="4"/>
    <x v="3"/>
    <n v="31.84"/>
    <n v="5"/>
    <x v="7"/>
    <s v="椎名町駅"/>
    <n v="3"/>
    <n v="10.67"/>
    <n v="118283.39"/>
    <n v="168453.81"/>
    <n v="271"/>
    <n v="788"/>
    <s v="30-40"/>
    <x v="0"/>
  </r>
  <r>
    <s v="https://suumo.jp/chintai/jnc_000100897720/?bc=100455217789"/>
    <s v="ｎｏｔｉｃｅ椎名町"/>
    <s v="東京都豊島区南長崎１"/>
    <n v="143000"/>
    <n v="5000"/>
    <n v="143000"/>
    <n v="143000"/>
    <n v="-1"/>
    <x v="3"/>
    <n v="36.24"/>
    <n v="5"/>
    <x v="7"/>
    <s v="椎名町駅"/>
    <n v="3"/>
    <n v="10.67"/>
    <n v="118283.39"/>
    <n v="168453.81"/>
    <n v="271"/>
    <n v="788"/>
    <s v="30-40"/>
    <x v="0"/>
  </r>
  <r>
    <s v="https://suumo.jp/chintai/jnc_000100897720/?bc=100455217789"/>
    <s v="ｎｏｔｉｃｅ椎名町"/>
    <s v="東京都豊島区南長崎１"/>
    <n v="143000"/>
    <n v="5000"/>
    <n v="143000"/>
    <n v="143000"/>
    <n v="0"/>
    <x v="3"/>
    <n v="36.24"/>
    <n v="5"/>
    <x v="7"/>
    <s v="椎名町駅"/>
    <n v="3"/>
    <n v="10.67"/>
    <n v="118283.39"/>
    <n v="168453.81"/>
    <n v="271"/>
    <n v="788"/>
    <s v="30-40"/>
    <x v="0"/>
  </r>
  <r>
    <s v="https://suumo.jp/chintai/jnc_000100897720/?bc=100455217789"/>
    <s v="ｎｏｔｉｃｅ椎名町"/>
    <s v="東京都豊島区南長崎１"/>
    <n v="143000"/>
    <n v="5000"/>
    <n v="143000"/>
    <n v="143000"/>
    <n v="1"/>
    <x v="3"/>
    <n v="36.24"/>
    <n v="5"/>
    <x v="7"/>
    <s v="椎名町駅"/>
    <n v="3"/>
    <n v="10.67"/>
    <n v="118283.39"/>
    <n v="168453.81"/>
    <n v="271"/>
    <n v="788"/>
    <s v="30-40"/>
    <x v="0"/>
  </r>
  <r>
    <s v="https://suumo.jp/chintai/jnc_000101519063/?bc=100460582926"/>
    <s v="Ludens椎名町"/>
    <s v="東京都豊島区南長崎３"/>
    <n v="88000"/>
    <n v="5000"/>
    <m/>
    <m/>
    <n v="1"/>
    <x v="0"/>
    <n v="18.010000000000002"/>
    <n v="0"/>
    <x v="4"/>
    <s v="椎名町駅"/>
    <n v="7"/>
    <n v="12.33"/>
    <n v="118283.39"/>
    <n v="77692.34"/>
    <n v="271"/>
    <n v="1071"/>
    <s v="10-20"/>
    <x v="6"/>
  </r>
  <r>
    <s v="https://suumo.jp/chintai/jnc_000101519064/?bc=100460346679"/>
    <s v="Ludens椎名町"/>
    <s v="東京都豊島区南長崎３"/>
    <n v="92000"/>
    <n v="5000"/>
    <m/>
    <m/>
    <n v="1"/>
    <x v="0"/>
    <n v="20.239999999999998"/>
    <n v="0"/>
    <x v="4"/>
    <s v="椎名町駅"/>
    <n v="7"/>
    <n v="12.33"/>
    <n v="118283.39"/>
    <n v="77692.34"/>
    <n v="271"/>
    <n v="1071"/>
    <s v="20-30"/>
    <x v="6"/>
  </r>
  <r>
    <s v="https://suumo.jp/chintai/jnc_000101519065/?bc=100482729341"/>
    <s v="Ludens椎名町"/>
    <s v="東京都豊島区南長崎３"/>
    <n v="92000"/>
    <n v="5000"/>
    <m/>
    <m/>
    <n v="2"/>
    <x v="0"/>
    <n v="20.13"/>
    <n v="0"/>
    <x v="4"/>
    <s v="椎名町駅"/>
    <n v="7"/>
    <n v="12.33"/>
    <n v="118283.39"/>
    <n v="77692.34"/>
    <n v="271"/>
    <n v="1071"/>
    <s v="20-30"/>
    <x v="6"/>
  </r>
  <r>
    <s v="https://suumo.jp/chintai/jnc_000101519066/?bc=100485742991"/>
    <s v="Ludens椎名町"/>
    <s v="東京都豊島区南長崎３"/>
    <n v="92000"/>
    <n v="5000"/>
    <m/>
    <m/>
    <n v="3"/>
    <x v="0"/>
    <n v="18.010000000000002"/>
    <n v="0"/>
    <x v="4"/>
    <s v="椎名町駅"/>
    <n v="7"/>
    <n v="12.33"/>
    <n v="118283.39"/>
    <n v="77692.34"/>
    <n v="271"/>
    <n v="1071"/>
    <s v="10-20"/>
    <x v="6"/>
  </r>
  <r>
    <s v="https://suumo.jp/chintai/jnc_000101519070/?bc=100485500873"/>
    <s v="Ludens椎名町"/>
    <s v="東京都豊島区南長崎３"/>
    <n v="92000"/>
    <n v="5000"/>
    <m/>
    <m/>
    <n v="4"/>
    <x v="0"/>
    <n v="18.010000000000002"/>
    <n v="0"/>
    <x v="4"/>
    <s v="椎名町駅"/>
    <n v="7"/>
    <n v="12.33"/>
    <n v="118283.39"/>
    <n v="77692.34"/>
    <n v="271"/>
    <n v="1071"/>
    <s v="10-20"/>
    <x v="6"/>
  </r>
  <r>
    <s v="https://suumo.jp/chintai/jnc_000101519072/?bc=100482918656"/>
    <s v="Ludens椎名町"/>
    <s v="東京都豊島区南長崎３"/>
    <n v="96000"/>
    <n v="5000"/>
    <m/>
    <m/>
    <n v="4"/>
    <x v="0"/>
    <n v="20.13"/>
    <n v="0"/>
    <x v="4"/>
    <s v="椎名町駅"/>
    <n v="7"/>
    <n v="12.33"/>
    <n v="118283.39"/>
    <n v="77692.34"/>
    <n v="271"/>
    <n v="1071"/>
    <s v="20-30"/>
    <x v="6"/>
  </r>
  <r>
    <s v="https://suumo.jp/chintai/jnc_000103763009/?bc=100482738687"/>
    <s v="Marvelous court 椎名町"/>
    <s v="東京都豊島区南長崎２"/>
    <n v="66000"/>
    <n v="4000"/>
    <m/>
    <n v="66000"/>
    <n v="1"/>
    <x v="0"/>
    <n v="10.5"/>
    <n v="9"/>
    <x v="0"/>
    <s v="椎名町駅"/>
    <n v="8"/>
    <n v="10.33"/>
    <n v="118283.39"/>
    <n v="77692.34"/>
    <n v="271"/>
    <n v="1071"/>
    <s v="10-20"/>
    <x v="0"/>
  </r>
  <r>
    <s v="https://suumo.jp/chintai/jnc_000100503920/?bc=100399612462"/>
    <s v="YM椎名町　椎名町ハイム"/>
    <s v="東京都豊島区長崎２"/>
    <n v="77000"/>
    <n v="10000"/>
    <n v="77000"/>
    <n v="77000"/>
    <n v="3"/>
    <x v="0"/>
    <n v="19"/>
    <n v="38"/>
    <x v="2"/>
    <s v="椎名町駅"/>
    <n v="3"/>
    <n v="11.67"/>
    <n v="118283.39"/>
    <n v="77692.34"/>
    <n v="271"/>
    <n v="1071"/>
    <s v="10-20"/>
    <x v="4"/>
  </r>
  <r>
    <s v="https://suumo.jp/chintai/jnc_000054222928/?bc=100481038944"/>
    <s v="みつこしハイツ"/>
    <s v="東京都豊島区南長崎２"/>
    <n v="52000"/>
    <m/>
    <m/>
    <m/>
    <n v="2"/>
    <x v="0"/>
    <n v="19.440000000000001"/>
    <n v="65"/>
    <x v="0"/>
    <s v="椎名町駅"/>
    <n v="7"/>
    <n v="9.67"/>
    <n v="118283.39"/>
    <n v="77692.34"/>
    <n v="271"/>
    <n v="1071"/>
    <s v="10-20"/>
    <x v="2"/>
  </r>
  <r>
    <s v="https://suumo.jp/chintai/jnc_000101798382/?bc=100483128635"/>
    <s v="みなみ荘"/>
    <s v="東京都豊島区南長崎２"/>
    <n v="25000"/>
    <n v="3000"/>
    <n v="25000"/>
    <n v="25000"/>
    <n v="2"/>
    <x v="0"/>
    <n v="10"/>
    <n v="59"/>
    <x v="0"/>
    <s v="椎名町駅"/>
    <n v="8"/>
    <n v="10.33"/>
    <n v="118283.39"/>
    <n v="77692.34"/>
    <n v="271"/>
    <n v="1071"/>
    <s v="10-20"/>
    <x v="5"/>
  </r>
  <r>
    <s v="https://suumo.jp/chintai/jnc_000103802511/?bc=100483128639"/>
    <s v="みなみ荘"/>
    <s v="東京都豊島区南長崎２"/>
    <n v="22000"/>
    <n v="3000"/>
    <n v="22000"/>
    <n v="22000"/>
    <n v="2"/>
    <x v="0"/>
    <n v="6.6"/>
    <n v="59"/>
    <x v="0"/>
    <s v="椎名町駅"/>
    <n v="8"/>
    <n v="10.33"/>
    <n v="118283.39"/>
    <n v="77692.34"/>
    <n v="271"/>
    <n v="1071"/>
    <s v="&lt;10"/>
    <x v="5"/>
  </r>
  <r>
    <s v="https://suumo.jp/chintai/jnc_000080479812/?bc=100485931817"/>
    <s v="アーバンプレイス椎名町"/>
    <s v="東京都豊島区南長崎２"/>
    <n v="50000"/>
    <n v="5000"/>
    <m/>
    <n v="50000"/>
    <n v="1"/>
    <x v="0"/>
    <n v="11"/>
    <n v="17"/>
    <x v="0"/>
    <s v="椎名町駅"/>
    <n v="5"/>
    <n v="10.33"/>
    <n v="118283.39"/>
    <n v="77692.34"/>
    <n v="271"/>
    <n v="1071"/>
    <s v="10-20"/>
    <x v="7"/>
  </r>
  <r>
    <s v="https://suumo.jp/chintai/jnc_000103089852/?bc=100474867398"/>
    <s v="インプレスト目白ヒルズ"/>
    <s v="東京都新宿区下落合４"/>
    <n v="135000"/>
    <n v="10000"/>
    <m/>
    <n v="135000"/>
    <n v="5"/>
    <x v="0"/>
    <n v="30.7"/>
    <n v="17"/>
    <x v="12"/>
    <s v="椎名町駅"/>
    <n v="9"/>
    <n v="11.33"/>
    <n v="118283.39"/>
    <n v="77692.34"/>
    <n v="271"/>
    <n v="1071"/>
    <s v="30-40"/>
    <x v="7"/>
  </r>
  <r>
    <s v="https://suumo.jp/chintai/jnc_000103317357/?bc=100477745645"/>
    <s v="ウィンベルソロ西目白"/>
    <s v="東京都豊島区南長崎１"/>
    <n v="56000"/>
    <n v="5000"/>
    <n v="56000"/>
    <n v="56000"/>
    <n v="1"/>
    <x v="0"/>
    <n v="16.38"/>
    <n v="34"/>
    <x v="7"/>
    <s v="椎名町駅"/>
    <n v="7"/>
    <n v="10.67"/>
    <n v="118283.39"/>
    <n v="77692.34"/>
    <n v="271"/>
    <n v="1071"/>
    <s v="10-20"/>
    <x v="4"/>
  </r>
  <r>
    <s v="https://suumo.jp/chintai/jnc_000103702653/?bc=100477366063"/>
    <s v="ウィンベルソロ西目白"/>
    <s v="東京都豊島区南長崎１"/>
    <n v="66000"/>
    <n v="5000"/>
    <m/>
    <n v="66000"/>
    <n v="1"/>
    <x v="0"/>
    <n v="16.38"/>
    <n v="34"/>
    <x v="7"/>
    <s v="椎名町駅"/>
    <n v="7"/>
    <n v="10.67"/>
    <n v="118283.39"/>
    <n v="77692.34"/>
    <n v="271"/>
    <n v="1071"/>
    <s v="10-20"/>
    <x v="4"/>
  </r>
  <r>
    <s v="https://suumo.jp/chintai/jnc_000093236768/?bc=100480135758"/>
    <s v="ウィンベルソロ西目白"/>
    <s v="東京都豊島区南長崎１"/>
    <n v="66000"/>
    <n v="5000"/>
    <m/>
    <n v="66000"/>
    <n v="3"/>
    <x v="0"/>
    <n v="16.37"/>
    <n v="34"/>
    <x v="7"/>
    <s v="椎名町駅"/>
    <n v="7"/>
    <n v="10.67"/>
    <n v="118283.39"/>
    <n v="77692.34"/>
    <n v="271"/>
    <n v="1071"/>
    <s v="10-20"/>
    <x v="4"/>
  </r>
  <r>
    <s v="https://suumo.jp/chintai/jnc_000097539976/?bc=100477484516"/>
    <s v="ウィンベルソロ西目白"/>
    <s v="東京都豊島区南長崎１"/>
    <n v="62000"/>
    <n v="6000"/>
    <n v="62000"/>
    <n v="62000"/>
    <n v="3"/>
    <x v="0"/>
    <n v="16.38"/>
    <n v="34"/>
    <x v="7"/>
    <s v="椎名町駅"/>
    <n v="7"/>
    <n v="10.67"/>
    <n v="118283.39"/>
    <n v="77692.34"/>
    <n v="271"/>
    <n v="1071"/>
    <s v="10-20"/>
    <x v="4"/>
  </r>
  <r>
    <s v="https://suumo.jp/chintai/jnc_000103994932/?bc=100482715599"/>
    <s v="サンクチュアリ南長崎"/>
    <s v="東京都豊島区南長崎２"/>
    <n v="66000"/>
    <n v="4000"/>
    <m/>
    <n v="66000"/>
    <n v="1"/>
    <x v="0"/>
    <n v="10"/>
    <n v="9"/>
    <x v="0"/>
    <s v="椎名町駅"/>
    <n v="8"/>
    <n v="12"/>
    <n v="118283.39"/>
    <n v="77692.34"/>
    <n v="271"/>
    <n v="1071"/>
    <s v="10-20"/>
    <x v="0"/>
  </r>
  <r>
    <s v="https://suumo.jp/chintai/jnc_000102448280/?bc=100481608633"/>
    <s v="サンテミリオン目白西"/>
    <s v="東京都新宿区中落合２"/>
    <n v="73000"/>
    <n v="10000"/>
    <m/>
    <m/>
    <n v="1"/>
    <x v="0"/>
    <n v="25.52"/>
    <n v="25"/>
    <x v="6"/>
    <s v="椎名町駅"/>
    <n v="8"/>
    <n v="10"/>
    <n v="118283.39"/>
    <n v="77692.34"/>
    <n v="271"/>
    <n v="1071"/>
    <s v="20-30"/>
    <x v="1"/>
  </r>
  <r>
    <s v="https://suumo.jp/chintai/jnc_000103183075/?bc=100475718156"/>
    <s v="サンハイツ"/>
    <s v="東京都豊島区南長崎２"/>
    <n v="49000"/>
    <n v="3000"/>
    <m/>
    <m/>
    <n v="1"/>
    <x v="0"/>
    <n v="15.5"/>
    <n v="36"/>
    <x v="0"/>
    <s v="椎名町駅"/>
    <n v="9"/>
    <n v="10"/>
    <n v="118283.39"/>
    <n v="77692.34"/>
    <n v="271"/>
    <n v="1071"/>
    <s v="10-20"/>
    <x v="4"/>
  </r>
  <r>
    <s v="https://suumo.jp/chintai/jnc_000104139597/?bc=100485173488"/>
    <s v="サンライズ"/>
    <s v="東京都豊島区長崎２"/>
    <n v="61000"/>
    <n v="2000"/>
    <m/>
    <n v="61000"/>
    <n v="2"/>
    <x v="0"/>
    <n v="17.05"/>
    <n v="32"/>
    <x v="2"/>
    <s v="椎名町駅"/>
    <n v="4"/>
    <n v="11"/>
    <n v="118283.39"/>
    <n v="77692.34"/>
    <n v="271"/>
    <n v="1071"/>
    <s v="10-20"/>
    <x v="4"/>
  </r>
  <r>
    <s v="https://suumo.jp/chintai/jnc_000101330111/?bc=100472940125"/>
    <s v="シャルムコンフォート"/>
    <s v="東京都豊島区長崎３"/>
    <n v="55000"/>
    <m/>
    <n v="55000"/>
    <n v="55000"/>
    <n v="1"/>
    <x v="0"/>
    <n v="17.39"/>
    <n v="23"/>
    <x v="0"/>
    <s v="椎名町駅"/>
    <n v="8"/>
    <n v="12.67"/>
    <n v="118283.39"/>
    <n v="77692.34"/>
    <n v="271"/>
    <n v="1071"/>
    <s v="10-20"/>
    <x v="1"/>
  </r>
  <r>
    <s v="https://suumo.jp/chintai/jnc_000104341900/?bc=100334190682"/>
    <s v="ジュネス椎名町"/>
    <s v="東京都豊島区南長崎２"/>
    <n v="50000"/>
    <n v="3000"/>
    <n v="50000"/>
    <m/>
    <n v="2"/>
    <x v="0"/>
    <n v="14.71"/>
    <n v="40"/>
    <x v="0"/>
    <s v="椎名町駅"/>
    <n v="8"/>
    <n v="11"/>
    <n v="118283.39"/>
    <n v="77692.34"/>
    <n v="271"/>
    <n v="1071"/>
    <s v="10-20"/>
    <x v="4"/>
  </r>
  <r>
    <s v="https://suumo.jp/chintai/jnc_000103122483/?bc=100475110574"/>
    <s v="ティアラタワー中落合"/>
    <s v="東京都新宿区中落合３"/>
    <n v="74000"/>
    <m/>
    <n v="74000"/>
    <n v="74000"/>
    <n v="1"/>
    <x v="0"/>
    <n v="20"/>
    <n v="20"/>
    <x v="7"/>
    <s v="椎名町駅"/>
    <n v="7"/>
    <n v="8.33"/>
    <n v="118283.39"/>
    <n v="77692.34"/>
    <n v="271"/>
    <n v="1071"/>
    <s v="20-30"/>
    <x v="7"/>
  </r>
  <r>
    <s v="https://suumo.jp/chintai/jnc_000104266232/?bc=100484318285"/>
    <s v="トグル椎名町"/>
    <s v="東京都豊島区長崎２"/>
    <n v="95000"/>
    <n v="11000"/>
    <m/>
    <m/>
    <n v="2"/>
    <x v="0"/>
    <n v="21.28"/>
    <n v="2"/>
    <x v="4"/>
    <s v="椎名町駅"/>
    <n v="9"/>
    <n v="13.33"/>
    <n v="118283.39"/>
    <n v="77692.34"/>
    <n v="271"/>
    <n v="1071"/>
    <s v="20-30"/>
    <x v="0"/>
  </r>
  <r>
    <s v="https://suumo.jp/chintai/jnc_000102862785/?bc=100481292171"/>
    <s v="トップイン椎名町"/>
    <s v="東京都豊島区長崎１"/>
    <n v="94000"/>
    <n v="5000"/>
    <m/>
    <n v="94000"/>
    <n v="2"/>
    <x v="0"/>
    <n v="25"/>
    <n v="6"/>
    <x v="2"/>
    <s v="椎名町駅"/>
    <n v="3"/>
    <n v="10.33"/>
    <n v="118283.39"/>
    <n v="77692.34"/>
    <n v="271"/>
    <n v="1071"/>
    <s v="20-30"/>
    <x v="0"/>
  </r>
  <r>
    <s v="https://suumo.jp/chintai/jnc_000104348482/?bc=100484941248"/>
    <s v="ハーモニーテラス南長崎II"/>
    <s v="東京都豊島区南長崎２"/>
    <n v="66000"/>
    <n v="4000"/>
    <m/>
    <n v="66000"/>
    <n v="1"/>
    <x v="0"/>
    <n v="10.53"/>
    <n v="8"/>
    <x v="0"/>
    <s v="椎名町駅"/>
    <n v="7"/>
    <n v="12"/>
    <n v="118283.39"/>
    <n v="77692.34"/>
    <n v="271"/>
    <n v="1071"/>
    <s v="10-20"/>
    <x v="0"/>
  </r>
  <r>
    <s v="https://suumo.jp/chintai/jnc_000103205452/?bc=100475820666"/>
    <s v="ハーモニーテラス南長崎II"/>
    <s v="東京都豊島区南長崎２"/>
    <n v="70000"/>
    <n v="4000"/>
    <m/>
    <n v="70000"/>
    <n v="1"/>
    <x v="0"/>
    <n v="11.11"/>
    <n v="8"/>
    <x v="0"/>
    <s v="椎名町駅"/>
    <n v="7"/>
    <n v="12"/>
    <n v="118283.39"/>
    <n v="77692.34"/>
    <n v="271"/>
    <n v="1071"/>
    <s v="10-20"/>
    <x v="0"/>
  </r>
  <r>
    <s v="https://suumo.jp/chintai/jnc_000103891952/?bc=100481374766"/>
    <s v="フラット・Ｆ"/>
    <s v="東京都豊島区南長崎２"/>
    <n v="65000"/>
    <n v="4000"/>
    <m/>
    <n v="65000"/>
    <n v="1"/>
    <x v="0"/>
    <n v="16.940000000000001"/>
    <n v="27"/>
    <x v="0"/>
    <s v="椎名町駅"/>
    <n v="7"/>
    <n v="10"/>
    <n v="118283.39"/>
    <n v="77692.34"/>
    <n v="271"/>
    <n v="1071"/>
    <s v="10-20"/>
    <x v="1"/>
  </r>
  <r>
    <s v="https://suumo.jp/chintai/jnc_000103103355/?bc=100484713840"/>
    <s v="ベル・アヴェニール"/>
    <s v="東京都豊島区南長崎２"/>
    <n v="63000"/>
    <n v="4000"/>
    <n v="63000"/>
    <m/>
    <n v="2"/>
    <x v="0"/>
    <n v="10.83"/>
    <n v="10"/>
    <x v="0"/>
    <s v="椎名町駅"/>
    <n v="7"/>
    <n v="9"/>
    <n v="118283.39"/>
    <n v="77692.34"/>
    <n v="271"/>
    <n v="1071"/>
    <s v="10-20"/>
    <x v="0"/>
  </r>
  <r>
    <s v="https://suumo.jp/chintai/jnc_000104256681/?bc=100484129985"/>
    <s v="メゾンクレール"/>
    <s v="東京都豊島区目白５"/>
    <n v="60000"/>
    <n v="5000"/>
    <n v="60000"/>
    <m/>
    <n v="2"/>
    <x v="0"/>
    <n v="20.28"/>
    <n v="46"/>
    <x v="2"/>
    <s v="椎名町駅"/>
    <n v="7"/>
    <n v="11.33"/>
    <n v="118283.39"/>
    <n v="77692.34"/>
    <n v="271"/>
    <n v="1071"/>
    <s v="20-30"/>
    <x v="3"/>
  </r>
  <r>
    <s v="https://suumo.jp/chintai/jnc_000102003671/?bc=100458759663"/>
    <s v="メゾン南長崎"/>
    <s v="東京都豊島区南長崎１"/>
    <n v="63000"/>
    <n v="3000"/>
    <n v="63000"/>
    <m/>
    <n v="1"/>
    <x v="0"/>
    <n v="17.399999999999999"/>
    <n v="20"/>
    <x v="0"/>
    <s v="椎名町駅"/>
    <n v="3"/>
    <n v="13"/>
    <n v="118283.39"/>
    <n v="77692.34"/>
    <n v="271"/>
    <n v="1071"/>
    <s v="10-20"/>
    <x v="7"/>
  </r>
  <r>
    <s v="https://suumo.jp/chintai/jnc_000060222521/?bc=100483886046"/>
    <s v="メゾン南長崎"/>
    <s v="東京都豊島区南長崎１"/>
    <n v="65000"/>
    <n v="3000"/>
    <n v="65000"/>
    <m/>
    <n v="2"/>
    <x v="0"/>
    <n v="17.399999999999999"/>
    <n v="20"/>
    <x v="0"/>
    <s v="椎名町駅"/>
    <n v="3"/>
    <n v="13"/>
    <n v="118283.39"/>
    <n v="77692.34"/>
    <n v="271"/>
    <n v="1071"/>
    <s v="10-20"/>
    <x v="7"/>
  </r>
  <r>
    <s v="https://suumo.jp/chintai/jnc_000104459250/?bc=100475152742"/>
    <s v="ロード椎名町"/>
    <s v="東京都豊島区長崎２"/>
    <n v="62000"/>
    <n v="5000"/>
    <n v="62000"/>
    <m/>
    <n v="2"/>
    <x v="0"/>
    <n v="13.26"/>
    <n v="41"/>
    <x v="4"/>
    <s v="椎名町駅"/>
    <n v="3"/>
    <n v="11"/>
    <n v="118283.39"/>
    <n v="77692.34"/>
    <n v="271"/>
    <n v="1071"/>
    <s v="10-20"/>
    <x v="3"/>
  </r>
  <r>
    <s v="https://suumo.jp/chintai/jnc_000104541729/?bc=100486407728"/>
    <s v="学生会館 BLAU目白[食事付き]"/>
    <s v="東京都豊島区目白５"/>
    <n v="82500"/>
    <m/>
    <n v="50000"/>
    <m/>
    <n v="5"/>
    <x v="0"/>
    <n v="16.5"/>
    <n v="3"/>
    <x v="10"/>
    <s v="椎名町駅"/>
    <n v="6"/>
    <n v="10.67"/>
    <n v="118283.39"/>
    <n v="77692.34"/>
    <n v="271"/>
    <n v="1071"/>
    <s v="10-20"/>
    <x v="0"/>
  </r>
  <r>
    <s v="https://suumo.jp/chintai/jnc_000060234358/?bc=100483900684"/>
    <s v="西武池袋線 椎名町駅 2階建 築20年"/>
    <s v="東京都豊島区南長崎１"/>
    <n v="65000"/>
    <n v="3000"/>
    <n v="65000"/>
    <m/>
    <n v="2"/>
    <x v="0"/>
    <n v="17.399999999999999"/>
    <n v="20"/>
    <x v="0"/>
    <s v="椎名町駅"/>
    <n v="3"/>
    <n v="11"/>
    <n v="118283.39"/>
    <n v="77692.34"/>
    <n v="271"/>
    <n v="1071"/>
    <s v="10-20"/>
    <x v="7"/>
  </r>
  <r>
    <s v="https://suumo.jp/chintai/jnc_000103212260/?bc=100475728368"/>
    <s v="西武池袋線 椎名町駅 2階建 築36年"/>
    <s v="東京都豊島区南長崎２"/>
    <n v="49000"/>
    <n v="3000"/>
    <m/>
    <m/>
    <n v="1"/>
    <x v="0"/>
    <n v="15.5"/>
    <n v="36"/>
    <x v="0"/>
    <s v="椎名町駅"/>
    <n v="8"/>
    <n v="10.33"/>
    <n v="118283.39"/>
    <n v="77692.34"/>
    <n v="271"/>
    <n v="1071"/>
    <s v="10-20"/>
    <x v="4"/>
  </r>
  <r>
    <s v="https://suumo.jp/chintai/jnc_000095572158/?bc=100457561396"/>
    <s v="西武池袋線 椎名町駅 2階建 築8年"/>
    <s v="東京都豊島区南長崎２"/>
    <n v="62000"/>
    <n v="4000"/>
    <m/>
    <n v="62000"/>
    <n v="1"/>
    <x v="0"/>
    <n v="10.53"/>
    <n v="8"/>
    <x v="0"/>
    <s v="椎名町駅"/>
    <n v="7"/>
    <n v="12"/>
    <n v="118283.39"/>
    <n v="77692.34"/>
    <n v="271"/>
    <n v="1071"/>
    <s v="10-20"/>
    <x v="0"/>
  </r>
  <r>
    <s v="https://suumo.jp/chintai/jnc_000104272252/?bc=100280985302"/>
    <s v="西武池袋線 椎名町駅 2階建 築8年"/>
    <s v="東京都豊島区南長崎２"/>
    <n v="70000"/>
    <n v="4000"/>
    <m/>
    <n v="70000"/>
    <n v="1"/>
    <x v="0"/>
    <n v="11.11"/>
    <n v="8"/>
    <x v="0"/>
    <s v="椎名町駅"/>
    <n v="7"/>
    <n v="12"/>
    <n v="118283.39"/>
    <n v="77692.34"/>
    <n v="271"/>
    <n v="1071"/>
    <s v="10-20"/>
    <x v="0"/>
  </r>
  <r>
    <s v="https://suumo.jp/chintai/jnc_000103884097/?bc=100481333640"/>
    <s v="西武池袋線 椎名町駅 2階建 築8年"/>
    <s v="東京都豊島区南長崎３"/>
    <n v="71000"/>
    <n v="4000"/>
    <m/>
    <n v="71000"/>
    <n v="1"/>
    <x v="0"/>
    <n v="11.76"/>
    <n v="8"/>
    <x v="0"/>
    <s v="椎名町駅"/>
    <n v="10"/>
    <n v="11"/>
    <n v="118283.39"/>
    <n v="77692.34"/>
    <n v="271"/>
    <n v="1071"/>
    <s v="10-20"/>
    <x v="0"/>
  </r>
  <r>
    <s v="https://suumo.jp/chintai/jnc_000100787037/?bc=100458190739"/>
    <s v="西武池袋線 椎名町駅 2階建 築8年"/>
    <s v="東京都豊島区南長崎３"/>
    <n v="63000"/>
    <n v="4000"/>
    <m/>
    <n v="63000"/>
    <n v="2"/>
    <x v="0"/>
    <n v="11.18"/>
    <n v="8"/>
    <x v="0"/>
    <s v="椎名町駅"/>
    <n v="10"/>
    <n v="11"/>
    <n v="118283.39"/>
    <n v="77692.34"/>
    <n v="271"/>
    <n v="1071"/>
    <s v="10-20"/>
    <x v="0"/>
  </r>
  <r>
    <s v="https://suumo.jp/chintai/jnc_000103780518/?bc=100482968772"/>
    <s v="西武池袋線 椎名町駅 2階建 築9年"/>
    <s v="東京都豊島区南長崎２"/>
    <n v="66000"/>
    <n v="4000"/>
    <m/>
    <n v="66000"/>
    <n v="1"/>
    <x v="0"/>
    <n v="10.5"/>
    <n v="9"/>
    <x v="0"/>
    <s v="椎名町駅"/>
    <n v="8"/>
    <n v="10.33"/>
    <n v="118283.39"/>
    <n v="77692.34"/>
    <n v="271"/>
    <n v="1071"/>
    <s v="10-20"/>
    <x v="0"/>
  </r>
  <r>
    <s v="https://suumo.jp/chintai/jnc_000103994933/?bc=100483673735"/>
    <s v="西武池袋線 椎名町駅 2階建 築9年"/>
    <s v="東京都豊島区南長崎２"/>
    <n v="66000"/>
    <n v="4000"/>
    <m/>
    <n v="66000"/>
    <n v="1"/>
    <x v="0"/>
    <n v="10"/>
    <n v="9"/>
    <x v="0"/>
    <s v="椎名町駅"/>
    <n v="8"/>
    <n v="10.67"/>
    <n v="118283.39"/>
    <n v="77692.34"/>
    <n v="271"/>
    <n v="1071"/>
    <s v="10-20"/>
    <x v="0"/>
  </r>
  <r>
    <s v="https://suumo.jp/chintai/jnc_000102573100/?bc=100475820954"/>
    <s v="西武池袋線 椎名町駅 2階建 築9年"/>
    <s v="東京都豊島区南長崎２"/>
    <n v="69000"/>
    <n v="4000"/>
    <m/>
    <n v="69000"/>
    <n v="2"/>
    <x v="0"/>
    <n v="12.62"/>
    <n v="9"/>
    <x v="0"/>
    <s v="椎名町駅"/>
    <n v="8"/>
    <n v="10.67"/>
    <n v="118283.39"/>
    <n v="77692.34"/>
    <n v="271"/>
    <n v="1071"/>
    <s v="10-20"/>
    <x v="0"/>
  </r>
  <r>
    <s v="https://suumo.jp/chintai/jnc_000103480999/?bc=100483625684"/>
    <s v="西武池袋線 椎名町駅 3階建 築28年"/>
    <s v="東京都新宿区中落合２"/>
    <n v="75000"/>
    <n v="3000"/>
    <n v="75000"/>
    <n v="75000"/>
    <n v="1"/>
    <x v="0"/>
    <n v="19.399999999999999"/>
    <n v="28"/>
    <x v="2"/>
    <s v="椎名町駅"/>
    <n v="8"/>
    <n v="9.5"/>
    <n v="118283.39"/>
    <n v="77692.34"/>
    <n v="271"/>
    <n v="1071"/>
    <s v="10-20"/>
    <x v="1"/>
  </r>
  <r>
    <s v="https://suumo.jp/chintai/jnc_000103542616/?bc=100469815120"/>
    <s v="西武池袋線 椎名町駅 4階建 新築"/>
    <s v="東京都豊島区南長崎３"/>
    <n v="88000"/>
    <n v="5000"/>
    <m/>
    <m/>
    <n v="1"/>
    <x v="0"/>
    <n v="18.010000000000002"/>
    <n v="0"/>
    <x v="4"/>
    <s v="椎名町駅"/>
    <n v="7"/>
    <n v="12.33"/>
    <n v="118283.39"/>
    <n v="77692.34"/>
    <n v="271"/>
    <n v="1071"/>
    <s v="10-20"/>
    <x v="6"/>
  </r>
  <r>
    <s v="https://suumo.jp/chintai/jnc_000103373427/?bc=100481078433"/>
    <s v="西武池袋線 椎名町駅 4階建 築41年"/>
    <s v="東京都豊島区目白５"/>
    <n v="52000"/>
    <n v="6000"/>
    <n v="52000"/>
    <n v="52000"/>
    <n v="4"/>
    <x v="0"/>
    <n v="16.5"/>
    <n v="41"/>
    <x v="4"/>
    <s v="椎名町駅"/>
    <n v="5"/>
    <n v="11.33"/>
    <n v="118283.39"/>
    <n v="77692.34"/>
    <n v="271"/>
    <n v="1071"/>
    <s v="10-20"/>
    <x v="3"/>
  </r>
  <r>
    <s v="https://suumo.jp/chintai/jnc_000104230124/?bc=100483180101"/>
    <s v="西武池袋線 椎名町駅 7階建 築17年"/>
    <s v="東京都豊島区南長崎１"/>
    <n v="85000"/>
    <n v="10000"/>
    <n v="85000"/>
    <n v="85000"/>
    <n v="2"/>
    <x v="0"/>
    <n v="21.71"/>
    <n v="17"/>
    <x v="10"/>
    <s v="椎名町駅"/>
    <n v="4"/>
    <n v="11.67"/>
    <n v="118283.39"/>
    <n v="77692.34"/>
    <n v="271"/>
    <n v="1071"/>
    <s v="20-30"/>
    <x v="7"/>
  </r>
  <r>
    <s v="https://suumo.jp/chintai/jnc_000103368537/?bc=100478737105"/>
    <s v="西武池袋線 椎名町駅 地下1地上4階建 築34年"/>
    <s v="東京都豊島区南長崎１"/>
    <n v="56000"/>
    <n v="5000"/>
    <n v="56000"/>
    <n v="56000"/>
    <n v="1"/>
    <x v="0"/>
    <n v="16.38"/>
    <n v="34"/>
    <x v="7"/>
    <s v="椎名町駅"/>
    <n v="7"/>
    <n v="10.67"/>
    <n v="118283.39"/>
    <n v="77692.34"/>
    <n v="271"/>
    <n v="1071"/>
    <s v="10-20"/>
    <x v="4"/>
  </r>
  <r>
    <s v="https://suumo.jp/chintai/jnc_000104156929/?bc=100483380831"/>
    <s v="都営大江戸線 落合南長崎駅 8階建 築11年"/>
    <s v="東京都豊島区目白５"/>
    <n v="92000"/>
    <n v="10000"/>
    <n v="92000"/>
    <n v="92000"/>
    <n v="7"/>
    <x v="0"/>
    <n v="20.420000000000002"/>
    <n v="11"/>
    <x v="9"/>
    <s v="椎名町駅"/>
    <n v="6"/>
    <n v="9.67"/>
    <n v="118283.39"/>
    <n v="77692.34"/>
    <n v="271"/>
    <n v="1071"/>
    <s v="20-30"/>
    <x v="7"/>
  </r>
  <r>
    <s v="https://suumo.jp/chintai/jnc_000103459017/?bc=100478176670"/>
    <s v="ＢＲＩＣＫＳ目白"/>
    <s v="東京都新宿区中落合２"/>
    <n v="75000"/>
    <n v="3000"/>
    <n v="75000"/>
    <n v="75000"/>
    <n v="1"/>
    <x v="0"/>
    <n v="19.399999999999999"/>
    <n v="29"/>
    <x v="2"/>
    <s v="椎名町駅"/>
    <n v="8"/>
    <n v="11"/>
    <n v="118283.39"/>
    <n v="77692.34"/>
    <n v="271"/>
    <n v="1071"/>
    <s v="10-20"/>
    <x v="1"/>
  </r>
  <r>
    <s v="https://suumo.jp/chintai/jnc_000104215582/?bc=100484959786"/>
    <s v="不二レジデンス"/>
    <s v="東京都豊島区目白５"/>
    <n v="95000"/>
    <n v="5000"/>
    <n v="95000"/>
    <m/>
    <n v="3"/>
    <x v="5"/>
    <n v="38.4"/>
    <n v="42"/>
    <x v="4"/>
    <s v="椎名町駅"/>
    <n v="3"/>
    <n v="9"/>
    <n v="118283.39"/>
    <n v="207063.41"/>
    <n v="271"/>
    <n v="41"/>
    <s v="30-40"/>
    <x v="3"/>
  </r>
  <r>
    <s v="https://suumo.jp/chintai/jnc_000104215583/?bc=100486115422"/>
    <s v="不二レジデンス"/>
    <s v="東京都豊島区目白５"/>
    <n v="90000"/>
    <n v="5000"/>
    <n v="90000"/>
    <m/>
    <n v="4"/>
    <x v="5"/>
    <n v="38.4"/>
    <n v="42"/>
    <x v="4"/>
    <s v="椎名町駅"/>
    <n v="3"/>
    <n v="9"/>
    <n v="118283.39"/>
    <n v="207063.41"/>
    <n v="271"/>
    <n v="41"/>
    <s v="30-40"/>
    <x v="3"/>
  </r>
  <r>
    <s v="https://suumo.jp/chintai/jnc_000102573101/?bc=100470975706"/>
    <s v="TAS椎名町レジデンス"/>
    <s v="東京都豊島区南長崎２"/>
    <n v="98000"/>
    <n v="5000"/>
    <n v="98000"/>
    <n v="98000"/>
    <n v="4"/>
    <x v="6"/>
    <n v="38.020000000000003"/>
    <n v="54"/>
    <x v="7"/>
    <s v="椎名町駅"/>
    <n v="10"/>
    <n v="12"/>
    <n v="118283.39"/>
    <n v="141491.45000000001"/>
    <n v="271"/>
    <n v="117"/>
    <s v="30-40"/>
    <x v="5"/>
  </r>
  <r>
    <s v="https://suumo.jp/chintai/jnc_000104499751/?bc=100486101248"/>
    <s v="グレースハイツ椎名町"/>
    <s v="東京都豊島区南長崎２"/>
    <n v="120000"/>
    <n v="5000"/>
    <n v="240000"/>
    <m/>
    <n v="3"/>
    <x v="6"/>
    <n v="45.6"/>
    <n v="32"/>
    <x v="4"/>
    <s v="椎名町駅"/>
    <n v="6"/>
    <n v="11.67"/>
    <n v="118283.39"/>
    <n v="141491.45000000001"/>
    <n v="271"/>
    <n v="117"/>
    <s v="40-50"/>
    <x v="4"/>
  </r>
  <r>
    <s v="https://suumo.jp/chintai/jnc_000103581836/?bc=100445941630"/>
    <s v="ザ・パークハビオ目白タワー"/>
    <s v="東京都豊島区目白５"/>
    <n v="218000"/>
    <n v="25000"/>
    <n v="218000"/>
    <m/>
    <n v="13"/>
    <x v="6"/>
    <n v="44.64"/>
    <n v="2"/>
    <x v="23"/>
    <s v="椎名町駅"/>
    <n v="6"/>
    <n v="12"/>
    <n v="118283.39"/>
    <n v="141491.45000000001"/>
    <n v="271"/>
    <n v="117"/>
    <s v="40-50"/>
    <x v="0"/>
  </r>
  <r>
    <s v="https://suumo.jp/chintai/jnc_000104317356/?bc=100485126733"/>
    <s v="ザ・パークハビオ目白タワー"/>
    <s v="東京都豊島区目白５"/>
    <n v="218000"/>
    <n v="25000"/>
    <n v="218000"/>
    <m/>
    <n v="7"/>
    <x v="6"/>
    <n v="44.64"/>
    <n v="2"/>
    <x v="23"/>
    <s v="椎名町駅"/>
    <n v="6"/>
    <n v="12"/>
    <n v="118283.39"/>
    <n v="141491.45000000001"/>
    <n v="271"/>
    <n v="117"/>
    <s v="40-50"/>
    <x v="0"/>
  </r>
  <r>
    <s v="https://suumo.jp/chintai/jnc_000049305346/?bc=100485032929"/>
    <s v="フレグランス椎名町"/>
    <s v="東京都豊島区南長崎２"/>
    <n v="96000"/>
    <m/>
    <n v="96000"/>
    <n v="96000"/>
    <n v="2"/>
    <x v="6"/>
    <n v="37.26"/>
    <n v="33"/>
    <x v="2"/>
    <s v="椎名町駅"/>
    <n v="5"/>
    <n v="10.67"/>
    <n v="118283.39"/>
    <n v="141491.45000000001"/>
    <n v="271"/>
    <n v="117"/>
    <s v="30-40"/>
    <x v="4"/>
  </r>
  <r>
    <s v="https://suumo.jp/chintai/jnc_000104156923/?bc=100483369048"/>
    <s v="西武池袋線 椎名町駅 地下1地上6階建 築52年"/>
    <s v="東京都豊島区南長崎１"/>
    <n v="120000"/>
    <n v="5000"/>
    <n v="120000"/>
    <n v="120000"/>
    <n v="2"/>
    <x v="6"/>
    <n v="42"/>
    <n v="52"/>
    <x v="10"/>
    <s v="椎名町駅"/>
    <n v="3"/>
    <n v="11.33"/>
    <n v="118283.39"/>
    <n v="141491.45000000001"/>
    <n v="271"/>
    <n v="117"/>
    <s v="40-50"/>
    <x v="5"/>
  </r>
  <r>
    <s v="https://suumo.jp/chintai/jnc_000099470659/?bc=100480122776"/>
    <s v="クレッセント椎名町"/>
    <s v="東京都豊島区南長崎２"/>
    <n v="86000"/>
    <m/>
    <n v="86000"/>
    <n v="86000"/>
    <n v="3"/>
    <x v="7"/>
    <n v="39.86"/>
    <n v="38"/>
    <x v="2"/>
    <s v="椎名町駅"/>
    <n v="5"/>
    <n v="11.67"/>
    <n v="118283.39"/>
    <n v="117441.44"/>
    <n v="271"/>
    <n v="111"/>
    <s v="30-40"/>
    <x v="4"/>
  </r>
  <r>
    <s v="https://suumo.jp/chintai/jnc_000101039415/?bc=100485612920"/>
    <s v="サンハウス小池"/>
    <s v="東京都豊島区長崎２"/>
    <n v="75000"/>
    <n v="1000"/>
    <m/>
    <n v="75000"/>
    <n v="2"/>
    <x v="7"/>
    <n v="29.16"/>
    <n v="49"/>
    <x v="2"/>
    <s v="椎名町駅"/>
    <n v="7"/>
    <n v="12.33"/>
    <n v="118283.39"/>
    <n v="117441.44"/>
    <n v="271"/>
    <n v="111"/>
    <s v="20-30"/>
    <x v="3"/>
  </r>
  <r>
    <s v="https://suumo.jp/chintai/jnc_000098014009/?bc=100486240813"/>
    <s v="シティーハイム健"/>
    <s v="東京都豊島区長崎３"/>
    <n v="68000"/>
    <n v="3000"/>
    <n v="68000"/>
    <m/>
    <n v="1"/>
    <x v="7"/>
    <n v="33"/>
    <n v="39"/>
    <x v="0"/>
    <s v="椎名町駅"/>
    <n v="9"/>
    <n v="11.33"/>
    <n v="118283.39"/>
    <n v="117441.44"/>
    <n v="271"/>
    <n v="111"/>
    <s v="30-40"/>
    <x v="4"/>
  </r>
  <r>
    <s v="https://suumo.jp/chintai/jnc_000103619653/?bc=100479050271"/>
    <s v="ファミーユK"/>
    <s v="東京都豊島区南長崎２"/>
    <n v="113000"/>
    <n v="2000"/>
    <n v="113000"/>
    <n v="113000"/>
    <n v="2"/>
    <x v="7"/>
    <n v="33"/>
    <n v="22"/>
    <x v="0"/>
    <s v="椎名町駅"/>
    <n v="9"/>
    <n v="10.67"/>
    <n v="118283.39"/>
    <n v="117441.44"/>
    <n v="271"/>
    <n v="111"/>
    <s v="30-40"/>
    <x v="1"/>
  </r>
  <r>
    <s v="https://suumo.jp/chintai/jnc_000098868689/?bc=100484331329"/>
    <s v="中銀南長崎マンシオン"/>
    <s v="東京都豊島区南長崎１"/>
    <n v="85000"/>
    <n v="10000"/>
    <n v="170000"/>
    <n v="85000"/>
    <n v="4"/>
    <x v="7"/>
    <n v="29.45"/>
    <n v="55"/>
    <x v="1"/>
    <s v="椎名町駅"/>
    <n v="8"/>
    <n v="11.33"/>
    <n v="118283.39"/>
    <n v="117441.44"/>
    <n v="271"/>
    <n v="111"/>
    <s v="20-30"/>
    <x v="5"/>
  </r>
  <r>
    <s v="https://suumo.jp/chintai/jnc_000060060212/?bc=100458066826"/>
    <s v="第一キャッスル"/>
    <s v="東京都豊島区南長崎１"/>
    <n v="74000"/>
    <m/>
    <n v="74000"/>
    <m/>
    <n v="2"/>
    <x v="7"/>
    <n v="33"/>
    <n v="41"/>
    <x v="0"/>
    <s v="椎名町駅"/>
    <n v="6"/>
    <n v="10.33"/>
    <n v="118283.39"/>
    <n v="117441.44"/>
    <n v="271"/>
    <n v="111"/>
    <s v="30-40"/>
    <x v="3"/>
  </r>
  <r>
    <s v="https://suumo.jp/chintai/jnc_000103626079/?bc=100479052954"/>
    <s v="西武池袋線 椎名町駅 2階建 築22年"/>
    <s v="東京都豊島区南長崎２"/>
    <n v="113000"/>
    <n v="2000"/>
    <n v="113000"/>
    <n v="113000"/>
    <n v="2"/>
    <x v="7"/>
    <n v="33"/>
    <n v="22"/>
    <x v="0"/>
    <s v="椎名町駅"/>
    <n v="9"/>
    <n v="10.67"/>
    <n v="118283.39"/>
    <n v="117441.44"/>
    <n v="271"/>
    <n v="111"/>
    <s v="30-40"/>
    <x v="1"/>
  </r>
  <r>
    <s v="https://suumo.jp/chintai/jnc_000104117878/?bc=100483291465"/>
    <s v="Foresta Uchiyama"/>
    <s v="東京都豊島区南長崎２"/>
    <n v="175000"/>
    <n v="4000"/>
    <n v="175000"/>
    <n v="437500"/>
    <n v="2"/>
    <x v="8"/>
    <n v="53.67"/>
    <n v="15"/>
    <x v="2"/>
    <s v="椎名町駅"/>
    <n v="9"/>
    <n v="12.33"/>
    <n v="118283.39"/>
    <n v="232352.65"/>
    <n v="271"/>
    <n v="359"/>
    <s v="50-60"/>
    <x v="7"/>
  </r>
  <r>
    <s v="https://suumo.jp/chintai/jnc_000054538400/?bc=100482932439"/>
    <s v="TAS椎名町レジデンス"/>
    <s v="東京都豊島区南長崎２"/>
    <n v="125000"/>
    <n v="5000"/>
    <n v="125000"/>
    <n v="125000"/>
    <n v="4"/>
    <x v="8"/>
    <n v="45.12"/>
    <n v="54"/>
    <x v="7"/>
    <s v="椎名町駅"/>
    <n v="10"/>
    <n v="12"/>
    <n v="118283.39"/>
    <n v="232352.65"/>
    <n v="271"/>
    <n v="359"/>
    <s v="40-50"/>
    <x v="5"/>
  </r>
  <r>
    <s v="https://suumo.jp/chintai/jnc_000104097219/?bc=100483050591"/>
    <s v="アウルフォレスト"/>
    <s v="東京都豊島区南長崎１"/>
    <n v="244000"/>
    <m/>
    <n v="244000"/>
    <n v="488000"/>
    <n v="4"/>
    <x v="8"/>
    <n v="75.14"/>
    <n v="6"/>
    <x v="5"/>
    <s v="椎名町駅"/>
    <n v="3"/>
    <n v="11.33"/>
    <n v="118283.39"/>
    <n v="232352.65"/>
    <n v="271"/>
    <n v="359"/>
    <s v="70-80"/>
    <x v="0"/>
  </r>
  <r>
    <s v="https://suumo.jp/chintai/jnc_000104010698/?bc=100477992741"/>
    <s v="エキュルイユ"/>
    <s v="東京都豊島区目白５"/>
    <n v="200000"/>
    <m/>
    <n v="200000"/>
    <n v="200000"/>
    <n v="2"/>
    <x v="8"/>
    <n v="50.77"/>
    <n v="0"/>
    <x v="2"/>
    <s v="椎名町駅"/>
    <n v="5"/>
    <n v="11"/>
    <n v="118283.39"/>
    <n v="232352.65"/>
    <n v="271"/>
    <n v="359"/>
    <s v="50-60"/>
    <x v="6"/>
  </r>
  <r>
    <s v="https://suumo.jp/chintai/jnc_000103837320/?bc=100481052969"/>
    <s v="スワンレイク目白"/>
    <s v="東京都新宿区下落合４"/>
    <n v="210000"/>
    <n v="10000"/>
    <n v="210000"/>
    <n v="210000"/>
    <n v="2"/>
    <x v="8"/>
    <n v="62.5"/>
    <n v="7"/>
    <x v="7"/>
    <s v="椎名町駅"/>
    <n v="8"/>
    <n v="11"/>
    <n v="118283.39"/>
    <n v="232352.65"/>
    <n v="271"/>
    <n v="359"/>
    <s v="60-70"/>
    <x v="0"/>
  </r>
  <r>
    <s v="https://suumo.jp/chintai/jnc_000104003350/?bc=100482139101"/>
    <s v="ダイアパレス中落合"/>
    <s v="東京都新宿区中落合３"/>
    <n v="190000"/>
    <n v="5000"/>
    <n v="190000"/>
    <n v="190000"/>
    <n v="5"/>
    <x v="8"/>
    <n v="54.3"/>
    <n v="28"/>
    <x v="3"/>
    <s v="椎名町駅"/>
    <n v="7"/>
    <n v="10"/>
    <n v="118283.39"/>
    <n v="232352.65"/>
    <n v="271"/>
    <n v="359"/>
    <s v="50-60"/>
    <x v="1"/>
  </r>
  <r>
    <s v="https://suumo.jp/chintai/jnc_000104296193/?bc=100484498727"/>
    <s v="フェリシア目白"/>
    <s v="東京都豊島区目白５"/>
    <n v="145000"/>
    <m/>
    <n v="145000"/>
    <n v="145000"/>
    <n v="3"/>
    <x v="8"/>
    <n v="51.03"/>
    <n v="37"/>
    <x v="4"/>
    <s v="椎名町駅"/>
    <n v="6"/>
    <n v="11.67"/>
    <n v="118283.39"/>
    <n v="232352.65"/>
    <n v="271"/>
    <n v="359"/>
    <s v="50-60"/>
    <x v="4"/>
  </r>
  <r>
    <s v="https://suumo.jp/chintai/jnc_000104054968/?bc=100482602870"/>
    <s v="西武池袋線 椎名町駅 12階建 築28年"/>
    <s v="東京都新宿区中落合３"/>
    <n v="190000"/>
    <n v="5000"/>
    <n v="190000"/>
    <n v="190000"/>
    <n v="5"/>
    <x v="8"/>
    <n v="54.3"/>
    <n v="28"/>
    <x v="3"/>
    <s v="椎名町駅"/>
    <n v="7"/>
    <n v="10"/>
    <n v="118283.39"/>
    <n v="232352.65"/>
    <n v="271"/>
    <n v="359"/>
    <s v="50-60"/>
    <x v="1"/>
  </r>
  <r>
    <s v="https://suumo.jp/chintai/jnc_000104363203/?bc=100481132519"/>
    <s v="西武池袋線 椎名町駅 3階建 新築"/>
    <s v="東京都新宿区中落合２"/>
    <n v="250000"/>
    <n v="10500"/>
    <n v="250000"/>
    <n v="500000"/>
    <n v="1"/>
    <x v="8"/>
    <n v="51.03"/>
    <n v="0"/>
    <x v="2"/>
    <s v="椎名町駅"/>
    <n v="10"/>
    <n v="10.33"/>
    <n v="118283.39"/>
    <n v="232352.65"/>
    <n v="271"/>
    <n v="359"/>
    <s v="50-60"/>
    <x v="6"/>
  </r>
  <r>
    <s v="https://suumo.jp/chintai/jnc_000104363204/?bc=100482608387"/>
    <s v="西武池袋線 椎名町駅 3階建 新築"/>
    <s v="東京都新宿区中落合２"/>
    <n v="252000"/>
    <n v="10500"/>
    <n v="252000"/>
    <n v="504000"/>
    <n v="1"/>
    <x v="8"/>
    <n v="54.94"/>
    <n v="0"/>
    <x v="2"/>
    <s v="椎名町駅"/>
    <n v="10"/>
    <n v="10.33"/>
    <n v="118283.39"/>
    <n v="232352.65"/>
    <n v="271"/>
    <n v="359"/>
    <s v="50-60"/>
    <x v="6"/>
  </r>
  <r>
    <s v="https://suumo.jp/chintai/jnc_000104363207/?bc=100482608396"/>
    <s v="西武池袋線 椎名町駅 3階建 新築"/>
    <s v="東京都新宿区中落合２"/>
    <n v="258000"/>
    <n v="12500"/>
    <n v="258000"/>
    <n v="516000"/>
    <n v="2"/>
    <x v="8"/>
    <n v="54.94"/>
    <n v="0"/>
    <x v="2"/>
    <s v="椎名町駅"/>
    <n v="10"/>
    <n v="10.33"/>
    <n v="118283.39"/>
    <n v="232352.65"/>
    <n v="271"/>
    <n v="359"/>
    <s v="50-60"/>
    <x v="6"/>
  </r>
  <r>
    <s v="https://suumo.jp/chintai/jnc_000104363206/?bc=100482608392"/>
    <s v="西武池袋線 椎名町駅 3階建 新築"/>
    <s v="東京都新宿区中落合２"/>
    <n v="266000"/>
    <n v="12500"/>
    <n v="266000"/>
    <n v="532000"/>
    <n v="2"/>
    <x v="8"/>
    <n v="58.96"/>
    <n v="0"/>
    <x v="2"/>
    <s v="椎名町駅"/>
    <n v="10"/>
    <n v="10.33"/>
    <n v="118283.39"/>
    <n v="232352.65"/>
    <n v="271"/>
    <n v="359"/>
    <s v="50-60"/>
    <x v="6"/>
  </r>
  <r>
    <s v="https://suumo.jp/chintai/jnc_000104363210/?bc=100482608447"/>
    <s v="西武池袋線 椎名町駅 3階建 新築"/>
    <s v="東京都新宿区中落合２"/>
    <n v="265000"/>
    <n v="12500"/>
    <n v="265000"/>
    <n v="530000"/>
    <n v="3"/>
    <x v="8"/>
    <n v="54.94"/>
    <n v="0"/>
    <x v="2"/>
    <s v="椎名町駅"/>
    <n v="10"/>
    <n v="10.33"/>
    <n v="118283.39"/>
    <n v="232352.65"/>
    <n v="271"/>
    <n v="359"/>
    <s v="50-60"/>
    <x v="6"/>
  </r>
  <r>
    <s v="https://suumo.jp/chintai/jnc_000104363211/?bc=100481132497"/>
    <s v="西武池袋線 椎名町駅 3階建 新築"/>
    <s v="東京都新宿区中落合２"/>
    <n v="261000"/>
    <n v="12500"/>
    <n v="261000"/>
    <n v="522000"/>
    <n v="3"/>
    <x v="8"/>
    <n v="57.2"/>
    <n v="0"/>
    <x v="2"/>
    <s v="椎名町駅"/>
    <n v="10"/>
    <n v="10.33"/>
    <n v="118283.39"/>
    <n v="232352.65"/>
    <n v="271"/>
    <n v="359"/>
    <s v="50-60"/>
    <x v="6"/>
  </r>
  <r>
    <s v="https://suumo.jp/chintai/jnc_000104156924/?bc=100483391827"/>
    <s v="西武池袋線 椎名町駅 3階建 築15年"/>
    <s v="東京都豊島区南長崎２"/>
    <n v="175000"/>
    <n v="4000"/>
    <n v="175000"/>
    <n v="437500"/>
    <n v="2"/>
    <x v="8"/>
    <n v="53.67"/>
    <n v="15"/>
    <x v="2"/>
    <s v="椎名町駅"/>
    <n v="9"/>
    <n v="11.33"/>
    <n v="118283.39"/>
    <n v="232352.65"/>
    <n v="271"/>
    <n v="359"/>
    <s v="50-60"/>
    <x v="7"/>
  </r>
  <r>
    <s v="https://suumo.jp/chintai/jnc_000103448138/?bc=100478630035"/>
    <s v="西武池袋線 椎名町駅 4階建 築24年"/>
    <s v="東京都豊島区目白５"/>
    <n v="170000"/>
    <n v="15000"/>
    <n v="170000"/>
    <n v="170000"/>
    <n v="3"/>
    <x v="8"/>
    <n v="53"/>
    <n v="24"/>
    <x v="4"/>
    <s v="椎名町駅"/>
    <n v="3"/>
    <n v="11.67"/>
    <n v="118283.39"/>
    <n v="232352.65"/>
    <n v="271"/>
    <n v="359"/>
    <s v="50-60"/>
    <x v="1"/>
  </r>
  <r>
    <s v="https://suumo.jp/chintai/jnc_000104101654/?bc=100484438689"/>
    <s v="西武池袋線 椎名町駅 6階建 築6年"/>
    <s v="東京都豊島区南長崎１"/>
    <n v="244000"/>
    <m/>
    <n v="244000"/>
    <n v="488000"/>
    <n v="4"/>
    <x v="8"/>
    <n v="75.14"/>
    <n v="6"/>
    <x v="5"/>
    <s v="椎名町駅"/>
    <n v="3"/>
    <n v="11"/>
    <n v="118283.39"/>
    <n v="232352.65"/>
    <n v="271"/>
    <n v="359"/>
    <s v="70-80"/>
    <x v="0"/>
  </r>
  <r>
    <s v="https://suumo.jp/chintai/jnc_000104368367/?bc=100480636113"/>
    <s v="西武池袋線 椎名町駅 地下1地上4階建 築7年"/>
    <s v="東京都新宿区下落合４"/>
    <n v="210000"/>
    <n v="10000"/>
    <n v="210000"/>
    <n v="210000"/>
    <n v="2"/>
    <x v="8"/>
    <n v="62.5"/>
    <n v="7"/>
    <x v="7"/>
    <s v="椎名町駅"/>
    <n v="7"/>
    <n v="10.33"/>
    <n v="118283.39"/>
    <n v="232352.65"/>
    <n v="271"/>
    <n v="359"/>
    <s v="60-70"/>
    <x v="0"/>
  </r>
  <r>
    <s v="https://suumo.jp/chintai/jnc_000103060337/?bc=100474600293"/>
    <s v="Kolet下落合"/>
    <s v="東京都新宿区下落合４"/>
    <n v="367000"/>
    <m/>
    <n v="367000"/>
    <n v="367000"/>
    <n v="1"/>
    <x v="10"/>
    <n v="80.41"/>
    <n v="4"/>
    <x v="2"/>
    <s v="椎名町駅"/>
    <n v="9"/>
    <n v="11"/>
    <n v="118283.39"/>
    <n v="282153.84999999998"/>
    <n v="271"/>
    <n v="26"/>
    <s v="80-90"/>
    <x v="0"/>
  </r>
  <r>
    <s v="https://suumo.jp/chintai/jnc_000103060337/?bc=100474600293"/>
    <s v="Kolet下落合"/>
    <s v="東京都新宿区下落合４"/>
    <n v="367000"/>
    <m/>
    <n v="367000"/>
    <n v="367000"/>
    <n v="2"/>
    <x v="10"/>
    <n v="80.41"/>
    <n v="4"/>
    <x v="2"/>
    <s v="椎名町駅"/>
    <n v="9"/>
    <n v="11"/>
    <n v="118283.39"/>
    <n v="282153.84999999998"/>
    <n v="271"/>
    <n v="26"/>
    <s v="80-90"/>
    <x v="0"/>
  </r>
  <r>
    <s v="https://suumo.jp/chintai/jnc_000103060337/?bc=100474600293"/>
    <s v="Kolet下落合"/>
    <s v="東京都新宿区下落合４"/>
    <n v="367000"/>
    <m/>
    <n v="367000"/>
    <n v="367000"/>
    <n v="3"/>
    <x v="10"/>
    <n v="80.41"/>
    <n v="4"/>
    <x v="2"/>
    <s v="椎名町駅"/>
    <n v="9"/>
    <n v="11"/>
    <n v="118283.39"/>
    <n v="282153.84999999998"/>
    <n v="271"/>
    <n v="26"/>
    <s v="80-90"/>
    <x v="0"/>
  </r>
  <r>
    <s v="https://suumo.jp/chintai/jnc_000103023778/?bc=100474923190"/>
    <s v="Kolet下落合"/>
    <s v="東京都新宿区下落合４"/>
    <n v="367000"/>
    <m/>
    <n v="367000"/>
    <n v="367000"/>
    <n v="1"/>
    <x v="10"/>
    <n v="80.41"/>
    <n v="4"/>
    <x v="2"/>
    <s v="椎名町駅"/>
    <n v="9"/>
    <n v="11"/>
    <n v="118283.39"/>
    <n v="282153.84999999998"/>
    <n v="271"/>
    <n v="26"/>
    <s v="80-90"/>
    <x v="0"/>
  </r>
  <r>
    <s v="https://suumo.jp/chintai/jnc_000104317349/?bc=100484697739"/>
    <s v="パークホームズ落合南長崎"/>
    <s v="東京都豊島区南長崎２"/>
    <n v="290000"/>
    <n v="10000"/>
    <n v="580000"/>
    <n v="290000"/>
    <n v="2"/>
    <x v="10"/>
    <n v="66.680000000000007"/>
    <n v="9"/>
    <x v="7"/>
    <s v="椎名町駅"/>
    <n v="10"/>
    <n v="10.5"/>
    <n v="118283.39"/>
    <n v="282153.84999999998"/>
    <n v="271"/>
    <n v="26"/>
    <s v="60-70"/>
    <x v="0"/>
  </r>
  <r>
    <s v="https://suumo.jp/chintai/jnc_000103122462/?bc=100475144947"/>
    <s v="ＪＲ山手線 目白駅 地上3階建 築4年"/>
    <s v="東京都新宿区下落合４"/>
    <n v="367000"/>
    <m/>
    <n v="367000"/>
    <n v="367000"/>
    <n v="1"/>
    <x v="10"/>
    <n v="80.41"/>
    <n v="4"/>
    <x v="2"/>
    <s v="椎名町駅"/>
    <n v="9"/>
    <n v="11"/>
    <n v="118283.39"/>
    <n v="282153.84999999998"/>
    <n v="271"/>
    <n v="26"/>
    <s v="80-90"/>
    <x v="0"/>
  </r>
  <r>
    <s v="https://suumo.jp/chintai/jnc_000103064946/?bc=100474674583"/>
    <s v="Kolet下落合"/>
    <s v="東京都新宿区下落合４"/>
    <n v="367000"/>
    <m/>
    <n v="367000"/>
    <n v="367000"/>
    <n v="3"/>
    <x v="13"/>
    <n v="80.41"/>
    <n v="4"/>
    <x v="2"/>
    <s v="椎名町駅"/>
    <n v="9"/>
    <n v="11"/>
    <n v="118283.39"/>
    <n v="288705.81"/>
    <n v="271"/>
    <n v="155"/>
    <s v="80-90"/>
    <x v="0"/>
  </r>
  <r>
    <s v="https://suumo.jp/chintai/jnc_000102532766/?bc=100393093338"/>
    <s v="ザ・パークハビオ目白タワー"/>
    <s v="東京都豊島区目白５"/>
    <n v="375000"/>
    <n v="25000"/>
    <n v="375000"/>
    <m/>
    <n v="18"/>
    <x v="13"/>
    <n v="62.7"/>
    <n v="2"/>
    <x v="23"/>
    <s v="椎名町駅"/>
    <n v="6"/>
    <n v="12"/>
    <n v="118283.39"/>
    <n v="288705.81"/>
    <n v="271"/>
    <n v="155"/>
    <s v="60-70"/>
    <x v="0"/>
  </r>
  <r>
    <s v="https://suumo.jp/chintai/jnc_000103465896/?bc=100469571190"/>
    <s v="パークホームズ落合南長崎"/>
    <s v="東京都豊島区南長崎２"/>
    <n v="292000"/>
    <n v="19890"/>
    <n v="292000"/>
    <n v="292000"/>
    <n v="1"/>
    <x v="13"/>
    <n v="68.98"/>
    <n v="9"/>
    <x v="7"/>
    <s v="椎名町駅"/>
    <n v="10"/>
    <n v="10.5"/>
    <n v="118283.39"/>
    <n v="288705.81"/>
    <n v="271"/>
    <n v="155"/>
    <s v="60-70"/>
    <x v="0"/>
  </r>
  <r>
    <s v="https://suumo.jp/chintai/jnc_000103130179/?bc=100476938573"/>
    <s v="パークホームズ落合南長崎"/>
    <s v="東京都豊島区南長崎２"/>
    <n v="310000"/>
    <n v="19890"/>
    <n v="620000"/>
    <n v="465000"/>
    <n v="2"/>
    <x v="13"/>
    <n v="68.98"/>
    <n v="9"/>
    <x v="7"/>
    <s v="椎名町駅"/>
    <n v="10"/>
    <n v="10.5"/>
    <n v="118283.39"/>
    <n v="288705.81"/>
    <n v="271"/>
    <n v="155"/>
    <s v="60-70"/>
    <x v="0"/>
  </r>
  <r>
    <s v="https://suumo.jp/chintai/jnc_000101625402/?bc=100461427026"/>
    <s v="パークホームズ落合南長崎"/>
    <s v="東京都豊島区南長崎２"/>
    <n v="328000"/>
    <n v="19890"/>
    <n v="656000"/>
    <n v="492000"/>
    <n v="2"/>
    <x v="13"/>
    <n v="68.98"/>
    <n v="9"/>
    <x v="7"/>
    <s v="椎名町駅"/>
    <n v="10"/>
    <n v="10.5"/>
    <n v="118283.39"/>
    <n v="288705.81"/>
    <n v="271"/>
    <n v="155"/>
    <s v="60-70"/>
    <x v="0"/>
  </r>
  <r>
    <s v="https://suumo.jp/chintai/jnc_000102928411/?bc=100482929074"/>
    <s v="パークホームズ落合南長崎"/>
    <s v="東京都豊島区南長崎２"/>
    <n v="335100"/>
    <n v="19800"/>
    <n v="670200"/>
    <n v="502700"/>
    <n v="2"/>
    <x v="13"/>
    <n v="68.98"/>
    <n v="9"/>
    <x v="7"/>
    <s v="椎名町駅"/>
    <n v="10"/>
    <n v="10.5"/>
    <n v="118283.39"/>
    <n v="288705.81"/>
    <n v="271"/>
    <n v="155"/>
    <s v="60-70"/>
    <x v="0"/>
  </r>
  <r>
    <s v="https://suumo.jp/chintai/jnc_000104363208/?bc=100482608442"/>
    <s v="西武池袋線 椎名町駅 3階建 新築"/>
    <s v="東京都新宿区中落合２"/>
    <n v="278000"/>
    <n v="12500"/>
    <n v="278000"/>
    <n v="556000"/>
    <n v="2"/>
    <x v="13"/>
    <n v="68.75"/>
    <n v="0"/>
    <x v="2"/>
    <s v="椎名町駅"/>
    <n v="10"/>
    <n v="10.33"/>
    <n v="118283.39"/>
    <n v="288705.81"/>
    <n v="271"/>
    <n v="155"/>
    <s v="60-70"/>
    <x v="6"/>
  </r>
  <r>
    <s v="https://suumo.jp/chintai/jnc_000104363209/?bc=100482608440"/>
    <s v="西武池袋線 椎名町駅 3階建 新築"/>
    <s v="東京都新宿区中落合２"/>
    <n v="281000"/>
    <n v="12500"/>
    <n v="281000"/>
    <n v="562000"/>
    <n v="3"/>
    <x v="13"/>
    <n v="66.849999999999994"/>
    <n v="0"/>
    <x v="2"/>
    <s v="椎名町駅"/>
    <n v="10"/>
    <n v="10.33"/>
    <n v="118283.39"/>
    <n v="288705.81"/>
    <n v="271"/>
    <n v="155"/>
    <s v="60-70"/>
    <x v="6"/>
  </r>
  <r>
    <s v="https://suumo.jp/chintai/jnc_000104256682/?bc=100484268330"/>
    <s v="西武池袋線 椎名町駅 6階建 築29年"/>
    <s v="東京都豊島区目白５"/>
    <n v="240000"/>
    <n v="10000"/>
    <n v="240000"/>
    <n v="240000"/>
    <n v="2"/>
    <x v="13"/>
    <n v="82.84"/>
    <n v="29"/>
    <x v="5"/>
    <s v="椎名町駅"/>
    <n v="4"/>
    <n v="11.67"/>
    <n v="118283.39"/>
    <n v="288705.81"/>
    <n v="271"/>
    <n v="155"/>
    <s v="80-90"/>
    <x v="1"/>
  </r>
  <r>
    <s v="https://suumo.jp/chintai/jnc_000104249965/?bc=100484517337"/>
    <s v="Ｋ・Ｒ目白"/>
    <s v="東京都豊島区目白５"/>
    <n v="240000"/>
    <n v="10000"/>
    <n v="240000"/>
    <n v="240000"/>
    <n v="2"/>
    <x v="13"/>
    <n v="82.84"/>
    <n v="29"/>
    <x v="5"/>
    <s v="椎名町駅"/>
    <n v="4"/>
    <n v="11.67"/>
    <n v="118283.39"/>
    <n v="288705.81"/>
    <n v="271"/>
    <n v="155"/>
    <s v="80-90"/>
    <x v="1"/>
  </r>
  <r>
    <s v="https://suumo.jp/chintai/jnc_000104475772/?bc=100448486104"/>
    <s v="アイビーテラスビル"/>
    <s v="神奈川県川崎市中原区新城３"/>
    <n v="69000"/>
    <n v="4000"/>
    <n v="69000"/>
    <m/>
    <n v="4"/>
    <x v="0"/>
    <n v="25"/>
    <n v="50"/>
    <x v="4"/>
    <s v="武蔵新城駅"/>
    <n v="4"/>
    <n v="9.67"/>
    <n v="69000"/>
    <n v="77692.34"/>
    <n v="1"/>
    <n v="1071"/>
    <s v="20-30"/>
    <x v="3"/>
  </r>
  <r>
    <s v="https://suumo.jp/chintai/jnc_000104519171/?bc=100486327548"/>
    <s v="Maison de bleu"/>
    <s v="東京都中野区沼袋３"/>
    <n v="136000"/>
    <n v="4000"/>
    <n v="136000"/>
    <n v="136000"/>
    <n v="2"/>
    <x v="1"/>
    <n v="36"/>
    <n v="25"/>
    <x v="0"/>
    <s v="沼袋駅"/>
    <n v="3"/>
    <n v="10.67"/>
    <n v="98022.29"/>
    <n v="123325.96"/>
    <n v="323"/>
    <n v="339"/>
    <s v="30-40"/>
    <x v="1"/>
  </r>
  <r>
    <s v="https://suumo.jp/chintai/jnc_000103787148/?bc=100480250732"/>
    <s v="blue palette 中野平和の森"/>
    <s v="東京都中野区新井３"/>
    <n v="129000"/>
    <n v="6000"/>
    <n v="129000"/>
    <n v="129000"/>
    <n v="2"/>
    <x v="1"/>
    <n v="34.380000000000003"/>
    <n v="5"/>
    <x v="4"/>
    <s v="沼袋駅"/>
    <n v="5"/>
    <n v="10"/>
    <n v="98022.29"/>
    <n v="123325.96"/>
    <n v="323"/>
    <n v="339"/>
    <s v="30-40"/>
    <x v="0"/>
  </r>
  <r>
    <s v="https://suumo.jp/chintai/jnc_000102843205/?bc=100480672495"/>
    <s v="アネクスYASAKI"/>
    <s v="東京都中野区沼袋３"/>
    <n v="105000"/>
    <n v="5000"/>
    <n v="105000"/>
    <n v="105000"/>
    <n v="3"/>
    <x v="1"/>
    <n v="31.85"/>
    <n v="22"/>
    <x v="4"/>
    <s v="沼袋駅"/>
    <n v="1"/>
    <n v="10.33"/>
    <n v="98022.29"/>
    <n v="123325.96"/>
    <n v="323"/>
    <n v="339"/>
    <s v="30-40"/>
    <x v="1"/>
  </r>
  <r>
    <s v="https://suumo.jp/chintai/jnc_000058525303/?bc=100484790940"/>
    <s v="サンフォレスト"/>
    <s v="東京都中野区新井４"/>
    <n v="97000"/>
    <n v="3000"/>
    <n v="97000"/>
    <n v="97000"/>
    <n v="2"/>
    <x v="1"/>
    <n v="31.34"/>
    <n v="18"/>
    <x v="2"/>
    <s v="沼袋駅"/>
    <n v="5"/>
    <n v="9.67"/>
    <n v="98022.29"/>
    <n v="123325.96"/>
    <n v="323"/>
    <n v="339"/>
    <s v="30-40"/>
    <x v="7"/>
  </r>
  <r>
    <s v="https://suumo.jp/chintai/jnc_000104454997/?bc=100485549613"/>
    <s v="パークサイドマンション松が丘"/>
    <s v="東京都中野区松が丘２"/>
    <n v="100000"/>
    <m/>
    <n v="100000"/>
    <m/>
    <n v="2"/>
    <x v="1"/>
    <n v="33.979999999999997"/>
    <n v="41"/>
    <x v="7"/>
    <s v="沼袋駅"/>
    <n v="9"/>
    <n v="12.67"/>
    <n v="98022.29"/>
    <n v="123325.96"/>
    <n v="323"/>
    <n v="339"/>
    <s v="30-40"/>
    <x v="3"/>
  </r>
  <r>
    <s v="https://suumo.jp/chintai/jnc_000098908656/?bc=100448310135"/>
    <s v="パークサイドマンション松が丘"/>
    <s v="東京都中野区松が丘２"/>
    <n v="140000"/>
    <m/>
    <n v="140000"/>
    <m/>
    <n v="4"/>
    <x v="1"/>
    <n v="33.979999999999997"/>
    <n v="41"/>
    <x v="7"/>
    <s v="沼袋駅"/>
    <n v="9"/>
    <n v="12.67"/>
    <n v="98022.29"/>
    <n v="123325.96"/>
    <n v="323"/>
    <n v="339"/>
    <s v="30-40"/>
    <x v="3"/>
  </r>
  <r>
    <s v="https://suumo.jp/chintai/jnc_000103825334/?bc=100465582424"/>
    <s v="パークサイドマンション松が丘"/>
    <s v="東京都中野区松が丘２"/>
    <n v="110000"/>
    <m/>
    <n v="110000"/>
    <m/>
    <n v="4"/>
    <x v="1"/>
    <n v="34.96"/>
    <n v="41"/>
    <x v="7"/>
    <s v="沼袋駅"/>
    <n v="9"/>
    <n v="12.67"/>
    <n v="98022.29"/>
    <n v="123325.96"/>
    <n v="323"/>
    <n v="339"/>
    <s v="30-40"/>
    <x v="3"/>
  </r>
  <r>
    <s v="https://suumo.jp/chintai/jnc_000086920781/?bc=100484383932"/>
    <s v="モン・シャトー平和の森"/>
    <s v="東京都中野区沼袋１"/>
    <n v="90000"/>
    <n v="5000"/>
    <n v="90000"/>
    <m/>
    <n v="2"/>
    <x v="1"/>
    <n v="26.34"/>
    <n v="8"/>
    <x v="7"/>
    <s v="沼袋駅"/>
    <n v="6"/>
    <n v="12.67"/>
    <n v="98022.29"/>
    <n v="123325.96"/>
    <n v="323"/>
    <n v="339"/>
    <s v="20-30"/>
    <x v="0"/>
  </r>
  <r>
    <s v="https://suumo.jp/chintai/jnc_000092577667/?bc=100455112068"/>
    <s v="川島ハウス"/>
    <s v="東京都中野区松が丘２"/>
    <n v="54000"/>
    <m/>
    <n v="54000"/>
    <n v="54000"/>
    <n v="2"/>
    <x v="1"/>
    <n v="24.3"/>
    <n v="63"/>
    <x v="0"/>
    <s v="沼袋駅"/>
    <n v="8"/>
    <n v="12.33"/>
    <n v="98022.29"/>
    <n v="123325.96"/>
    <n v="323"/>
    <n v="339"/>
    <s v="20-30"/>
    <x v="2"/>
  </r>
  <r>
    <s v="https://suumo.jp/chintai/jnc_000103135300/?bc=100475319058"/>
    <s v="西武新宿線 新井薬師前駅 2階建 築47年"/>
    <s v="東京都中野区沼袋１"/>
    <n v="70000"/>
    <m/>
    <n v="70000"/>
    <n v="70000"/>
    <n v="2"/>
    <x v="1"/>
    <n v="27"/>
    <n v="47"/>
    <x v="0"/>
    <s v="沼袋駅"/>
    <n v="6"/>
    <n v="11.67"/>
    <n v="98022.29"/>
    <n v="123325.96"/>
    <n v="323"/>
    <n v="339"/>
    <s v="20-30"/>
    <x v="3"/>
  </r>
  <r>
    <s v="https://suumo.jp/chintai/jnc_000103006513/?bc=100474160429"/>
    <s v="西武新宿線 沼袋駅 2階建 築36年"/>
    <s v="東京都中野区沼袋１"/>
    <n v="65000"/>
    <n v="3000"/>
    <n v="65000"/>
    <n v="65000"/>
    <n v="2"/>
    <x v="1"/>
    <n v="25"/>
    <n v="36"/>
    <x v="0"/>
    <s v="沼袋駅"/>
    <n v="4"/>
    <n v="10.67"/>
    <n v="98022.29"/>
    <n v="123325.96"/>
    <n v="323"/>
    <n v="339"/>
    <s v="20-30"/>
    <x v="4"/>
  </r>
  <r>
    <s v="https://suumo.jp/chintai/jnc_000102998334/?bc=100473970689"/>
    <s v="西武新宿線 沼袋駅 2階建 築63年"/>
    <s v="東京都中野区松が丘２"/>
    <n v="54000"/>
    <m/>
    <n v="54000"/>
    <n v="54000"/>
    <n v="2"/>
    <x v="1"/>
    <n v="24.3"/>
    <n v="63"/>
    <x v="0"/>
    <s v="沼袋駅"/>
    <n v="8"/>
    <n v="12.33"/>
    <n v="98022.29"/>
    <n v="123325.96"/>
    <n v="323"/>
    <n v="339"/>
    <s v="20-30"/>
    <x v="2"/>
  </r>
  <r>
    <s v="https://suumo.jp/chintai/jnc_000103123138/?bc=100466986954"/>
    <s v="西武新宿線 沼袋駅 4階建 築22年"/>
    <s v="東京都中野区沼袋３"/>
    <n v="105000"/>
    <n v="5000"/>
    <n v="105000"/>
    <n v="105000"/>
    <n v="3"/>
    <x v="1"/>
    <n v="31.85"/>
    <n v="22"/>
    <x v="4"/>
    <s v="沼袋駅"/>
    <n v="1"/>
    <n v="12.67"/>
    <n v="98022.29"/>
    <n v="123325.96"/>
    <n v="323"/>
    <n v="339"/>
    <s v="30-40"/>
    <x v="1"/>
  </r>
  <r>
    <s v="https://suumo.jp/chintai/jnc_000104179472/?bc=100485398934"/>
    <s v="BENOIT中野"/>
    <s v="東京都中野区新井３"/>
    <n v="110000"/>
    <n v="8000"/>
    <n v="110000"/>
    <n v="110000"/>
    <n v="1"/>
    <x v="2"/>
    <n v="26.59"/>
    <n v="3"/>
    <x v="7"/>
    <s v="沼袋駅"/>
    <n v="8"/>
    <n v="11.33"/>
    <n v="98022.29"/>
    <n v="95329.65"/>
    <n v="323"/>
    <n v="1622"/>
    <s v="20-30"/>
    <x v="0"/>
  </r>
  <r>
    <s v="https://suumo.jp/chintai/jnc_000103465732/?bc=100482475924"/>
    <s v="BENOIT中野"/>
    <s v="東京都中野区新井３"/>
    <n v="115000"/>
    <n v="8000"/>
    <n v="115000"/>
    <n v="115000"/>
    <n v="2"/>
    <x v="2"/>
    <n v="26.59"/>
    <n v="3"/>
    <x v="7"/>
    <s v="沼袋駅"/>
    <n v="8"/>
    <n v="11.33"/>
    <n v="98022.29"/>
    <n v="95329.65"/>
    <n v="323"/>
    <n v="1622"/>
    <s v="20-30"/>
    <x v="0"/>
  </r>
  <r>
    <s v="https://suumo.jp/chintai/jnc_000069959618/?bc=100484762234"/>
    <s v="nobliss中野"/>
    <s v="東京都中野区沼袋３"/>
    <n v="79000"/>
    <n v="10000"/>
    <m/>
    <n v="79000"/>
    <n v="3"/>
    <x v="2"/>
    <n v="20.04"/>
    <n v="4"/>
    <x v="4"/>
    <s v="沼袋駅"/>
    <n v="9"/>
    <n v="15.67"/>
    <n v="98022.29"/>
    <n v="95329.65"/>
    <n v="323"/>
    <n v="1622"/>
    <s v="20-30"/>
    <x v="0"/>
  </r>
  <r>
    <s v="https://suumo.jp/chintai/jnc_000104482953/?bc=100486015489"/>
    <s v="the trias205"/>
    <s v="東京都中野区沼袋２"/>
    <n v="147000"/>
    <n v="18000"/>
    <m/>
    <m/>
    <n v="1"/>
    <x v="2"/>
    <n v="37.17"/>
    <n v="0"/>
    <x v="4"/>
    <s v="沼袋駅"/>
    <n v="4"/>
    <n v="12.67"/>
    <n v="98022.29"/>
    <n v="95329.65"/>
    <n v="323"/>
    <n v="1622"/>
    <s v="30-40"/>
    <x v="6"/>
  </r>
  <r>
    <s v="https://suumo.jp/chintai/jnc_000104482954/?bc=100486015695"/>
    <s v="the trias205"/>
    <s v="東京都中野区沼袋２"/>
    <n v="161000"/>
    <n v="18000"/>
    <m/>
    <m/>
    <n v="2"/>
    <x v="2"/>
    <n v="41.78"/>
    <n v="0"/>
    <x v="4"/>
    <s v="沼袋駅"/>
    <n v="4"/>
    <n v="12.67"/>
    <n v="98022.29"/>
    <n v="95329.65"/>
    <n v="323"/>
    <n v="1622"/>
    <s v="40-50"/>
    <x v="6"/>
  </r>
  <r>
    <s v="https://suumo.jp/chintai/jnc_000104286402/?bc=100484416510"/>
    <s v="the trias205"/>
    <s v="東京都中野区沼袋２"/>
    <n v="112000"/>
    <n v="18000"/>
    <m/>
    <m/>
    <n v="3"/>
    <x v="2"/>
    <n v="26.19"/>
    <n v="0"/>
    <x v="4"/>
    <s v="沼袋駅"/>
    <n v="4"/>
    <n v="12.67"/>
    <n v="98022.29"/>
    <n v="95329.65"/>
    <n v="323"/>
    <n v="1622"/>
    <s v="20-30"/>
    <x v="6"/>
  </r>
  <r>
    <s v="https://suumo.jp/chintai/jnc_000101234883/?bc=100479699708"/>
    <s v="さつき荘"/>
    <s v="東京都中野区沼袋２"/>
    <n v="62000"/>
    <n v="2000"/>
    <m/>
    <n v="62000"/>
    <n v="1"/>
    <x v="2"/>
    <n v="20"/>
    <n v="53"/>
    <x v="0"/>
    <s v="沼袋駅"/>
    <n v="9"/>
    <n v="12.67"/>
    <n v="98022.29"/>
    <n v="95329.65"/>
    <n v="323"/>
    <n v="1622"/>
    <s v="20-30"/>
    <x v="5"/>
  </r>
  <r>
    <s v="https://suumo.jp/chintai/jnc_000101234884/?bc=100458051970"/>
    <s v="さつき荘"/>
    <s v="東京都中野区沼袋２"/>
    <n v="65000"/>
    <n v="2000"/>
    <m/>
    <n v="65000"/>
    <n v="1"/>
    <x v="2"/>
    <n v="20"/>
    <n v="53"/>
    <x v="0"/>
    <s v="沼袋駅"/>
    <n v="9"/>
    <n v="12.67"/>
    <n v="98022.29"/>
    <n v="95329.65"/>
    <n v="323"/>
    <n v="1622"/>
    <s v="20-30"/>
    <x v="5"/>
  </r>
  <r>
    <s v="https://suumo.jp/chintai/jnc_000075772262/?bc=100485461219"/>
    <s v="さつき荘"/>
    <s v="東京都中野区沼袋２"/>
    <n v="47000"/>
    <n v="2000"/>
    <m/>
    <n v="47000"/>
    <n v="2"/>
    <x v="2"/>
    <n v="20"/>
    <n v="53"/>
    <x v="0"/>
    <s v="沼袋駅"/>
    <n v="9"/>
    <n v="12.67"/>
    <n v="98022.29"/>
    <n v="95329.65"/>
    <n v="323"/>
    <n v="1622"/>
    <s v="20-30"/>
    <x v="5"/>
  </r>
  <r>
    <s v="https://suumo.jp/chintai/jnc_000058310407/?bc=100484478673"/>
    <s v="アクティブハイツ"/>
    <s v="東京都中野区沼袋１"/>
    <n v="60000"/>
    <n v="2000"/>
    <n v="60000"/>
    <n v="60000"/>
    <n v="1"/>
    <x v="2"/>
    <n v="20"/>
    <n v="30"/>
    <x v="0"/>
    <s v="沼袋駅"/>
    <n v="5"/>
    <n v="10"/>
    <n v="98022.29"/>
    <n v="95329.65"/>
    <n v="323"/>
    <n v="1622"/>
    <s v="20-30"/>
    <x v="1"/>
  </r>
  <r>
    <s v="https://suumo.jp/chintai/jnc_000102125721/?bc=100466747989"/>
    <s v="アネックス中野１"/>
    <s v="東京都中野区沼袋２"/>
    <n v="48000"/>
    <n v="2000"/>
    <m/>
    <m/>
    <n v="1"/>
    <x v="2"/>
    <n v="13.5"/>
    <n v="40"/>
    <x v="0"/>
    <s v="沼袋駅"/>
    <n v="9"/>
    <n v="14.67"/>
    <n v="98022.29"/>
    <n v="95329.65"/>
    <n v="323"/>
    <n v="1622"/>
    <s v="10-20"/>
    <x v="4"/>
  </r>
  <r>
    <s v="https://suumo.jp/chintai/jnc_000039510284/?bc=100464414751"/>
    <s v="アネックス中野１"/>
    <s v="東京都中野区沼袋２"/>
    <n v="47000"/>
    <n v="2000"/>
    <m/>
    <m/>
    <n v="1"/>
    <x v="2"/>
    <n v="13"/>
    <n v="40"/>
    <x v="0"/>
    <s v="沼袋駅"/>
    <n v="9"/>
    <n v="14.67"/>
    <n v="98022.29"/>
    <n v="95329.65"/>
    <n v="323"/>
    <n v="1622"/>
    <s v="10-20"/>
    <x v="4"/>
  </r>
  <r>
    <s v="https://suumo.jp/chintai/jnc_000104003995/?bc=100482400357"/>
    <s v="アーバンハイツ沼袋"/>
    <s v="東京都中野区沼袋１"/>
    <n v="55000"/>
    <n v="5000"/>
    <m/>
    <m/>
    <n v="1"/>
    <x v="2"/>
    <n v="12.24"/>
    <n v="40"/>
    <x v="0"/>
    <s v="沼袋駅"/>
    <n v="5"/>
    <n v="8"/>
    <n v="98022.29"/>
    <n v="95329.65"/>
    <n v="323"/>
    <n v="1622"/>
    <s v="10-20"/>
    <x v="4"/>
  </r>
  <r>
    <s v="https://suumo.jp/chintai/jnc_000024065935/?bc=100485608109"/>
    <s v="カームハウスC"/>
    <s v="東京都中野区沼袋２"/>
    <n v="56000"/>
    <m/>
    <m/>
    <m/>
    <n v="2"/>
    <x v="2"/>
    <n v="20"/>
    <n v="35"/>
    <x v="0"/>
    <s v="沼袋駅"/>
    <n v="7"/>
    <n v="12.33"/>
    <n v="98022.29"/>
    <n v="95329.65"/>
    <n v="323"/>
    <n v="1622"/>
    <s v="20-30"/>
    <x v="4"/>
  </r>
  <r>
    <s v="https://suumo.jp/chintai/jnc_000098053291/?bc=100482832137"/>
    <s v="クレストール NB"/>
    <s v="東京都中野区沼袋２"/>
    <n v="71000"/>
    <n v="3000"/>
    <m/>
    <n v="142000"/>
    <n v="1"/>
    <x v="2"/>
    <n v="17.52"/>
    <n v="8"/>
    <x v="0"/>
    <s v="沼袋駅"/>
    <n v="3"/>
    <n v="10.67"/>
    <n v="98022.29"/>
    <n v="95329.65"/>
    <n v="323"/>
    <n v="1622"/>
    <s v="10-20"/>
    <x v="0"/>
  </r>
  <r>
    <s v="https://suumo.jp/chintai/jnc_000104063956/?bc=100482938143"/>
    <s v="クレストール NB"/>
    <s v="東京都中野区沼袋２"/>
    <n v="74000"/>
    <n v="3000"/>
    <m/>
    <m/>
    <n v="1"/>
    <x v="2"/>
    <n v="17.52"/>
    <n v="8"/>
    <x v="0"/>
    <s v="沼袋駅"/>
    <n v="3"/>
    <n v="10.67"/>
    <n v="98022.29"/>
    <n v="95329.65"/>
    <n v="323"/>
    <n v="1622"/>
    <s v="10-20"/>
    <x v="0"/>
  </r>
  <r>
    <s v="https://suumo.jp/chintai/jnc_000104532497/?bc=100486346889"/>
    <s v="クレストール NB"/>
    <s v="東京都中野区沼袋２"/>
    <n v="75000"/>
    <n v="3000"/>
    <m/>
    <m/>
    <n v="2"/>
    <x v="2"/>
    <n v="17.52"/>
    <n v="8"/>
    <x v="0"/>
    <s v="沼袋駅"/>
    <n v="3"/>
    <n v="10.67"/>
    <n v="98022.29"/>
    <n v="95329.65"/>
    <n v="323"/>
    <n v="1622"/>
    <s v="10-20"/>
    <x v="0"/>
  </r>
  <r>
    <s v="https://suumo.jp/chintai/jnc_000104433302/?bc=100485629761"/>
    <s v="グランドール中野"/>
    <s v="東京都中野区新井２"/>
    <n v="120000"/>
    <n v="5000"/>
    <m/>
    <n v="120000"/>
    <n v="2"/>
    <x v="2"/>
    <n v="34.17"/>
    <n v="11"/>
    <x v="4"/>
    <s v="沼袋駅"/>
    <n v="10"/>
    <n v="11.33"/>
    <n v="98022.29"/>
    <n v="95329.65"/>
    <n v="323"/>
    <n v="1622"/>
    <s v="30-40"/>
    <x v="7"/>
  </r>
  <r>
    <s v="https://suumo.jp/chintai/jnc_000020997174/?bc=100449718453"/>
    <s v="コスモス21"/>
    <s v="東京都中野区沼袋２"/>
    <n v="65000"/>
    <n v="1000"/>
    <n v="65000"/>
    <n v="65000"/>
    <n v="2"/>
    <x v="2"/>
    <n v="18"/>
    <n v="37"/>
    <x v="0"/>
    <s v="沼袋駅"/>
    <n v="6"/>
    <n v="13.33"/>
    <n v="98022.29"/>
    <n v="95329.65"/>
    <n v="323"/>
    <n v="1622"/>
    <s v="10-20"/>
    <x v="4"/>
  </r>
  <r>
    <s v="https://suumo.jp/chintai/jnc_000100894673/?bc=100423125984"/>
    <s v="コスモス21"/>
    <s v="東京都中野区沼袋２"/>
    <n v="66000"/>
    <n v="1000"/>
    <n v="66000"/>
    <n v="66000"/>
    <n v="2"/>
    <x v="2"/>
    <n v="18"/>
    <n v="37"/>
    <x v="0"/>
    <s v="沼袋駅"/>
    <n v="6"/>
    <n v="13.33"/>
    <n v="98022.29"/>
    <n v="95329.65"/>
    <n v="323"/>
    <n v="1622"/>
    <s v="10-20"/>
    <x v="4"/>
  </r>
  <r>
    <s v="https://suumo.jp/chintai/jnc_000102611988/?bc=100479716486"/>
    <s v="コスモス沼袋"/>
    <s v="東京都中野区沼袋１"/>
    <n v="67000"/>
    <n v="2000"/>
    <n v="67000"/>
    <n v="67000"/>
    <n v="1"/>
    <x v="2"/>
    <n v="22"/>
    <n v="40"/>
    <x v="4"/>
    <s v="沼袋駅"/>
    <n v="6"/>
    <n v="10.67"/>
    <n v="98022.29"/>
    <n v="95329.65"/>
    <n v="323"/>
    <n v="1622"/>
    <s v="20-30"/>
    <x v="4"/>
  </r>
  <r>
    <s v="https://suumo.jp/chintai/jnc_000102637957/?bc=100471339566"/>
    <s v="コンフォート新井"/>
    <s v="東京都中野区新井３"/>
    <n v="70000"/>
    <n v="3000"/>
    <m/>
    <m/>
    <n v="2"/>
    <x v="2"/>
    <n v="16.3"/>
    <n v="20"/>
    <x v="0"/>
    <s v="沼袋駅"/>
    <n v="8"/>
    <n v="11"/>
    <n v="98022.29"/>
    <n v="95329.65"/>
    <n v="323"/>
    <n v="1622"/>
    <s v="10-20"/>
    <x v="7"/>
  </r>
  <r>
    <s v="https://suumo.jp/chintai/jnc_000104368699/?bc=100485072981"/>
    <s v="コンフォート沼袋"/>
    <s v="東京都中野区沼袋３"/>
    <n v="62000"/>
    <n v="3000"/>
    <n v="62000"/>
    <n v="62000"/>
    <n v="1"/>
    <x v="2"/>
    <n v="16.59"/>
    <n v="23"/>
    <x v="2"/>
    <s v="沼袋駅"/>
    <n v="1"/>
    <n v="10.67"/>
    <n v="98022.29"/>
    <n v="95329.65"/>
    <n v="323"/>
    <n v="1622"/>
    <s v="10-20"/>
    <x v="1"/>
  </r>
  <r>
    <s v="https://suumo.jp/chintai/jnc_000032746641/?bc=100453136151"/>
    <s v="コーポ阿部"/>
    <s v="東京都中野区新井３"/>
    <n v="60000"/>
    <n v="3000"/>
    <n v="60000"/>
    <n v="60000"/>
    <n v="3"/>
    <x v="2"/>
    <n v="20.25"/>
    <n v="32"/>
    <x v="2"/>
    <s v="沼袋駅"/>
    <n v="9"/>
    <n v="13"/>
    <n v="98022.29"/>
    <n v="95329.65"/>
    <n v="323"/>
    <n v="1622"/>
    <s v="20-30"/>
    <x v="4"/>
  </r>
  <r>
    <s v="https://suumo.jp/chintai/jnc_000054177466/?bc=100478492906"/>
    <s v="サン・モロズミ"/>
    <s v="東京都中野区新井３"/>
    <n v="57000"/>
    <n v="1000"/>
    <n v="57000"/>
    <n v="57000"/>
    <n v="1"/>
    <x v="2"/>
    <n v="18"/>
    <n v="37"/>
    <x v="0"/>
    <s v="沼袋駅"/>
    <n v="8"/>
    <n v="10.33"/>
    <n v="98022.29"/>
    <n v="95329.65"/>
    <n v="323"/>
    <n v="1622"/>
    <s v="10-20"/>
    <x v="4"/>
  </r>
  <r>
    <s v="https://suumo.jp/chintai/jnc_000103150934/?bc=100475317971"/>
    <s v="スカイコート中野沼袋"/>
    <s v="東京都中野区沼袋２"/>
    <n v="92000"/>
    <n v="10000"/>
    <m/>
    <m/>
    <n v="3"/>
    <x v="2"/>
    <n v="25.66"/>
    <n v="10"/>
    <x v="1"/>
    <s v="沼袋駅"/>
    <n v="8"/>
    <n v="12"/>
    <n v="98022.29"/>
    <n v="95329.65"/>
    <n v="323"/>
    <n v="1622"/>
    <s v="20-30"/>
    <x v="0"/>
  </r>
  <r>
    <s v="https://suumo.jp/chintai/jnc_000101329970/?bc=100470396705"/>
    <s v="スカイコート中野沼袋"/>
    <s v="東京都中野区沼袋２"/>
    <n v="83000"/>
    <n v="12000"/>
    <m/>
    <n v="83000"/>
    <n v="4"/>
    <x v="2"/>
    <n v="25.66"/>
    <n v="10"/>
    <x v="1"/>
    <s v="沼袋駅"/>
    <n v="8"/>
    <n v="12"/>
    <n v="98022.29"/>
    <n v="95329.65"/>
    <n v="323"/>
    <n v="1622"/>
    <s v="20-30"/>
    <x v="0"/>
  </r>
  <r>
    <s v="https://suumo.jp/chintai/jnc_000103987629/?bc=100482066683"/>
    <s v="スカイコート中野沼袋"/>
    <s v="東京都中野区沼袋２"/>
    <n v="101000"/>
    <n v="5000"/>
    <m/>
    <n v="101000"/>
    <n v="4"/>
    <x v="2"/>
    <n v="25.8"/>
    <n v="10"/>
    <x v="1"/>
    <s v="沼袋駅"/>
    <n v="8"/>
    <n v="12"/>
    <n v="98022.29"/>
    <n v="95329.65"/>
    <n v="323"/>
    <n v="1622"/>
    <s v="20-30"/>
    <x v="0"/>
  </r>
  <r>
    <s v="https://suumo.jp/chintai/jnc_000104304032/?bc=100484595738"/>
    <s v="スカイコート中野沼袋"/>
    <s v="東京都中野区沼袋２"/>
    <n v="110000"/>
    <n v="10000"/>
    <n v="110000"/>
    <m/>
    <n v="4"/>
    <x v="2"/>
    <n v="27.72"/>
    <n v="10"/>
    <x v="1"/>
    <s v="沼袋駅"/>
    <n v="8"/>
    <n v="12"/>
    <n v="98022.29"/>
    <n v="95329.65"/>
    <n v="323"/>
    <n v="1622"/>
    <s v="20-30"/>
    <x v="0"/>
  </r>
  <r>
    <s v="https://suumo.jp/chintai/jnc_000103891854/?bc=100481408410"/>
    <s v="スカイコート中野沼袋"/>
    <s v="東京都中野区沼袋２"/>
    <n v="94000"/>
    <n v="10000"/>
    <m/>
    <m/>
    <n v="6"/>
    <x v="2"/>
    <n v="25.7"/>
    <n v="10"/>
    <x v="1"/>
    <s v="沼袋駅"/>
    <n v="8"/>
    <n v="12"/>
    <n v="98022.29"/>
    <n v="95329.65"/>
    <n v="323"/>
    <n v="1622"/>
    <s v="20-30"/>
    <x v="0"/>
  </r>
  <r>
    <s v="https://suumo.jp/chintai/jnc_000103586370/?bc=100480178314"/>
    <s v="スカイコート中野沼袋"/>
    <s v="東京都中野区沼袋２"/>
    <n v="92500"/>
    <n v="8500"/>
    <n v="92500"/>
    <n v="92500"/>
    <n v="9"/>
    <x v="2"/>
    <n v="25.66"/>
    <n v="10"/>
    <x v="1"/>
    <s v="沼袋駅"/>
    <n v="8"/>
    <n v="12"/>
    <n v="98022.29"/>
    <n v="95329.65"/>
    <n v="323"/>
    <n v="1622"/>
    <s v="20-30"/>
    <x v="0"/>
  </r>
  <r>
    <s v="https://suumo.jp/chintai/jnc_000104063941/?bc=100482723094"/>
    <s v="スカイパレス新井"/>
    <s v="東京都中野区新井４"/>
    <n v="67000"/>
    <n v="2000"/>
    <n v="67000"/>
    <n v="67000"/>
    <n v="2"/>
    <x v="2"/>
    <n v="25.05"/>
    <n v="37"/>
    <x v="0"/>
    <s v="沼袋駅"/>
    <n v="5"/>
    <n v="10"/>
    <n v="98022.29"/>
    <n v="95329.65"/>
    <n v="323"/>
    <n v="1622"/>
    <s v="20-30"/>
    <x v="4"/>
  </r>
  <r>
    <s v="https://suumo.jp/chintai/jnc_000102197461/?bc=100373551799"/>
    <s v="ダイヤパレス沼袋"/>
    <s v="東京都中野区沼袋１"/>
    <n v="72000"/>
    <n v="3000"/>
    <m/>
    <m/>
    <n v="4"/>
    <x v="2"/>
    <n v="20.49"/>
    <n v="37"/>
    <x v="7"/>
    <s v="沼袋駅"/>
    <n v="6"/>
    <n v="12.67"/>
    <n v="98022.29"/>
    <n v="95329.65"/>
    <n v="323"/>
    <n v="1622"/>
    <s v="20-30"/>
    <x v="4"/>
  </r>
  <r>
    <s v="https://suumo.jp/chintai/jnc_000102688108/?bc=100472369372"/>
    <s v="トモイエレジデンス中野"/>
    <s v="東京都中野区江古田２"/>
    <n v="67000"/>
    <n v="5000"/>
    <n v="67000"/>
    <n v="67000"/>
    <n v="1"/>
    <x v="2"/>
    <n v="12.52"/>
    <n v="5"/>
    <x v="0"/>
    <s v="沼袋駅"/>
    <n v="11"/>
    <n v="15"/>
    <n v="98022.29"/>
    <n v="95329.65"/>
    <n v="323"/>
    <n v="1622"/>
    <s v="10-20"/>
    <x v="0"/>
  </r>
  <r>
    <s v="https://suumo.jp/chintai/jnc_000104341746/?bc=100485216894"/>
    <s v="トモイエレジデンス中野"/>
    <s v="東京都中野区江古田２"/>
    <n v="69000"/>
    <n v="5000"/>
    <n v="69000"/>
    <n v="69000"/>
    <n v="1"/>
    <x v="2"/>
    <n v="14.9"/>
    <n v="5"/>
    <x v="0"/>
    <s v="沼袋駅"/>
    <n v="11"/>
    <n v="15"/>
    <n v="98022.29"/>
    <n v="95329.65"/>
    <n v="323"/>
    <n v="1622"/>
    <s v="10-20"/>
    <x v="0"/>
  </r>
  <r>
    <s v="https://suumo.jp/chintai/jnc_000037666528/?bc=100485082961"/>
    <s v="ハイムルーエ"/>
    <s v="東京都中野区新井３"/>
    <n v="70000"/>
    <m/>
    <n v="70000"/>
    <n v="70000"/>
    <n v="2"/>
    <x v="2"/>
    <n v="21.33"/>
    <n v="40"/>
    <x v="0"/>
    <s v="沼袋駅"/>
    <n v="8"/>
    <n v="11"/>
    <n v="98022.29"/>
    <n v="95329.65"/>
    <n v="323"/>
    <n v="1622"/>
    <s v="20-30"/>
    <x v="4"/>
  </r>
  <r>
    <s v="https://suumo.jp/chintai/jnc_000103006496/?bc=100474185665"/>
    <s v="ハイム苗"/>
    <s v="東京都中野区新井４"/>
    <n v="51000"/>
    <n v="1000"/>
    <n v="51000"/>
    <m/>
    <n v="2"/>
    <x v="2"/>
    <n v="18"/>
    <n v="39"/>
    <x v="0"/>
    <s v="沼袋駅"/>
    <n v="5"/>
    <n v="13"/>
    <n v="98022.29"/>
    <n v="95329.65"/>
    <n v="323"/>
    <n v="1622"/>
    <s v="10-20"/>
    <x v="4"/>
  </r>
  <r>
    <s v="https://suumo.jp/chintai/jnc_000103695170/?bc=100481669905"/>
    <s v="フォレストIV"/>
    <s v="東京都中野区沼袋１"/>
    <n v="92000"/>
    <n v="4000"/>
    <m/>
    <n v="92000"/>
    <n v="2"/>
    <x v="2"/>
    <n v="22.48"/>
    <n v="37"/>
    <x v="0"/>
    <s v="沼袋駅"/>
    <n v="6"/>
    <n v="11"/>
    <n v="98022.29"/>
    <n v="95329.65"/>
    <n v="323"/>
    <n v="1622"/>
    <s v="20-30"/>
    <x v="4"/>
  </r>
  <r>
    <s v="https://suumo.jp/chintai/jnc_000104541572/?bc=100480033294"/>
    <s v="フォレストIV"/>
    <s v="東京都中野区沼袋１"/>
    <n v="96000"/>
    <n v="4000"/>
    <m/>
    <n v="192000"/>
    <n v="2"/>
    <x v="2"/>
    <n v="22.48"/>
    <n v="37"/>
    <x v="0"/>
    <s v="沼袋駅"/>
    <n v="6"/>
    <n v="11"/>
    <n v="98022.29"/>
    <n v="95329.65"/>
    <n v="323"/>
    <n v="1622"/>
    <s v="20-30"/>
    <x v="4"/>
  </r>
  <r>
    <s v="https://suumo.jp/chintai/jnc_000103410277/?bc=100483107046"/>
    <s v="ブライズ中野江古田"/>
    <s v="東京都中野区江古田２"/>
    <n v="88000"/>
    <n v="12000"/>
    <m/>
    <n v="88000"/>
    <n v="1"/>
    <x v="2"/>
    <n v="25.65"/>
    <n v="8"/>
    <x v="2"/>
    <s v="沼袋駅"/>
    <n v="9"/>
    <n v="13"/>
    <n v="98022.29"/>
    <n v="95329.65"/>
    <n v="323"/>
    <n v="1622"/>
    <s v="20-30"/>
    <x v="0"/>
  </r>
  <r>
    <s v="https://suumo.jp/chintai/jnc_000103762816/?bc=100480368665"/>
    <s v="ブライズ中野江古田"/>
    <s v="東京都中野区江古田２"/>
    <n v="97000"/>
    <n v="8000"/>
    <m/>
    <n v="97000"/>
    <n v="3"/>
    <x v="2"/>
    <n v="25.76"/>
    <n v="8"/>
    <x v="2"/>
    <s v="沼袋駅"/>
    <n v="9"/>
    <n v="13"/>
    <n v="98022.29"/>
    <n v="95329.65"/>
    <n v="323"/>
    <n v="1622"/>
    <s v="20-30"/>
    <x v="0"/>
  </r>
  <r>
    <s v="https://suumo.jp/chintai/jnc_000086104363/?bc=100481878365"/>
    <s v="プライムハイツ"/>
    <s v="東京都中野区新井３"/>
    <n v="68000"/>
    <m/>
    <n v="68000"/>
    <n v="68000"/>
    <n v="1"/>
    <x v="2"/>
    <n v="20"/>
    <n v="36"/>
    <x v="0"/>
    <s v="沼袋駅"/>
    <n v="8"/>
    <n v="10.67"/>
    <n v="98022.29"/>
    <n v="95329.65"/>
    <n v="323"/>
    <n v="1622"/>
    <s v="20-30"/>
    <x v="4"/>
  </r>
  <r>
    <s v="https://suumo.jp/chintai/jnc_000099251898/?bc=100484933031"/>
    <s v="プレジオ"/>
    <s v="東京都中野区沼袋２"/>
    <n v="80000"/>
    <n v="2000"/>
    <m/>
    <m/>
    <n v="1"/>
    <x v="2"/>
    <n v="26.91"/>
    <n v="21"/>
    <x v="0"/>
    <s v="沼袋駅"/>
    <n v="7"/>
    <n v="12.33"/>
    <n v="98022.29"/>
    <n v="95329.65"/>
    <n v="323"/>
    <n v="1622"/>
    <s v="20-30"/>
    <x v="1"/>
  </r>
  <r>
    <s v="https://suumo.jp/chintai/jnc_000013452497/?bc=100426430937"/>
    <s v="ペンションハウスコスモス２１"/>
    <s v="東京都中野区沼袋２"/>
    <n v="65000"/>
    <n v="1000"/>
    <n v="65000"/>
    <n v="65000"/>
    <n v="2"/>
    <x v="2"/>
    <n v="18"/>
    <n v="40"/>
    <x v="0"/>
    <s v="沼袋駅"/>
    <n v="6"/>
    <n v="12.67"/>
    <n v="98022.29"/>
    <n v="95329.65"/>
    <n v="323"/>
    <n v="1622"/>
    <s v="10-20"/>
    <x v="4"/>
  </r>
  <r>
    <s v="https://suumo.jp/chintai/jnc_000044705249/?bc=100420387702"/>
    <s v="ペンションハウスコスモス２１"/>
    <s v="東京都中野区沼袋２"/>
    <n v="65000"/>
    <n v="1000"/>
    <n v="65000"/>
    <n v="65000"/>
    <n v="2"/>
    <x v="2"/>
    <n v="20"/>
    <n v="40"/>
    <x v="0"/>
    <s v="沼袋駅"/>
    <n v="6"/>
    <n v="12.67"/>
    <n v="98022.29"/>
    <n v="95329.65"/>
    <n v="323"/>
    <n v="1622"/>
    <s v="20-30"/>
    <x v="4"/>
  </r>
  <r>
    <s v="https://suumo.jp/chintai/jnc_000101442763/?bc=100459247989"/>
    <s v="メゾンオオノ"/>
    <s v="東京都中野区沼袋２"/>
    <n v="62000"/>
    <m/>
    <n v="62000"/>
    <n v="62000"/>
    <n v="2"/>
    <x v="2"/>
    <n v="19.8"/>
    <n v="41"/>
    <x v="0"/>
    <s v="沼袋駅"/>
    <n v="8"/>
    <n v="11.33"/>
    <n v="98022.29"/>
    <n v="95329.65"/>
    <n v="323"/>
    <n v="1622"/>
    <s v="10-20"/>
    <x v="3"/>
  </r>
  <r>
    <s v="https://suumo.jp/chintai/jnc_000103717519/?bc=100480033002"/>
    <s v="メゾンローリエ"/>
    <s v="東京都中野区沼袋４"/>
    <n v="68000"/>
    <n v="3000"/>
    <n v="68000"/>
    <n v="68000"/>
    <n v="2"/>
    <x v="2"/>
    <n v="27"/>
    <n v="37"/>
    <x v="0"/>
    <s v="沼袋駅"/>
    <n v="9"/>
    <n v="15"/>
    <n v="98022.29"/>
    <n v="95329.65"/>
    <n v="323"/>
    <n v="1622"/>
    <s v="20-30"/>
    <x v="4"/>
  </r>
  <r>
    <s v="https://suumo.jp/chintai/jnc_000103771433/?bc=100480432319"/>
    <s v="メゾン・ドゥ・デタント"/>
    <s v="東京都中野区沼袋４"/>
    <n v="79000"/>
    <n v="5000"/>
    <n v="79000"/>
    <n v="79000"/>
    <n v="1"/>
    <x v="2"/>
    <n v="21.91"/>
    <n v="2"/>
    <x v="0"/>
    <s v="沼袋駅"/>
    <n v="6"/>
    <n v="13"/>
    <n v="98022.29"/>
    <n v="95329.65"/>
    <n v="323"/>
    <n v="1622"/>
    <s v="20-30"/>
    <x v="0"/>
  </r>
  <r>
    <s v="https://suumo.jp/chintai/jnc_000103346702/?bc=100476754987"/>
    <s v="ラヴィクレールI"/>
    <s v="東京都中野区新井３"/>
    <n v="63000"/>
    <n v="2500"/>
    <n v="63000"/>
    <m/>
    <n v="2"/>
    <x v="2"/>
    <n v="23.1"/>
    <n v="37"/>
    <x v="0"/>
    <s v="沼袋駅"/>
    <n v="7"/>
    <n v="13.67"/>
    <n v="98022.29"/>
    <n v="95329.65"/>
    <n v="323"/>
    <n v="1622"/>
    <s v="20-30"/>
    <x v="4"/>
  </r>
  <r>
    <s v="https://suumo.jp/chintai/jnc_000103563629/?bc=100478725922"/>
    <s v="ラ・セリーナ中野K・M・H"/>
    <s v="東京都中野区新井２"/>
    <n v="93500"/>
    <n v="4600"/>
    <m/>
    <n v="233800"/>
    <n v="1"/>
    <x v="2"/>
    <n v="24.3"/>
    <n v="11"/>
    <x v="4"/>
    <s v="沼袋駅"/>
    <n v="10"/>
    <n v="11.33"/>
    <n v="98022.29"/>
    <n v="95329.65"/>
    <n v="323"/>
    <n v="1622"/>
    <s v="20-30"/>
    <x v="7"/>
  </r>
  <r>
    <s v="https://suumo.jp/chintai/jnc_000103581798/?bc=100478811717"/>
    <s v="リズ松ヶ丘"/>
    <s v="東京都中野区松が丘２"/>
    <n v="68000"/>
    <n v="3000"/>
    <n v="68000"/>
    <m/>
    <n v="2"/>
    <x v="2"/>
    <n v="22.5"/>
    <n v="33"/>
    <x v="2"/>
    <s v="沼袋駅"/>
    <n v="10"/>
    <n v="11.67"/>
    <n v="98022.29"/>
    <n v="95329.65"/>
    <n v="323"/>
    <n v="1622"/>
    <s v="20-30"/>
    <x v="4"/>
  </r>
  <r>
    <s v="https://suumo.jp/chintai/jnc_000103994784/?bc=100482065186"/>
    <s v="ル・グラン中野沼袋"/>
    <s v="東京都中野区沼袋１"/>
    <n v="74000"/>
    <n v="3000"/>
    <n v="74000"/>
    <n v="74000"/>
    <n v="1"/>
    <x v="2"/>
    <n v="22.5"/>
    <n v="19"/>
    <x v="2"/>
    <s v="沼袋駅"/>
    <n v="3"/>
    <n v="10"/>
    <n v="98022.29"/>
    <n v="95329.65"/>
    <n v="323"/>
    <n v="1622"/>
    <s v="20-30"/>
    <x v="7"/>
  </r>
  <r>
    <s v="https://suumo.jp/chintai/jnc_000104406888/?bc=100485461648"/>
    <s v="ルートアイ"/>
    <s v="東京都中野区新井２"/>
    <n v="63000"/>
    <n v="5000"/>
    <n v="63000"/>
    <m/>
    <n v="2"/>
    <x v="2"/>
    <n v="17.600000000000001"/>
    <n v="34"/>
    <x v="2"/>
    <s v="沼袋駅"/>
    <n v="10"/>
    <n v="12.33"/>
    <n v="98022.29"/>
    <n v="95329.65"/>
    <n v="323"/>
    <n v="1622"/>
    <s v="10-20"/>
    <x v="4"/>
  </r>
  <r>
    <s v="https://suumo.jp/chintai/jnc_000103913722/?bc=100481715219"/>
    <s v="レオパレスはなみずき"/>
    <s v="東京都中野区沼袋４"/>
    <n v="100000"/>
    <n v="5500"/>
    <m/>
    <n v="100000"/>
    <n v="2"/>
    <x v="2"/>
    <n v="22.35"/>
    <n v="18"/>
    <x v="0"/>
    <s v="沼袋駅"/>
    <n v="6"/>
    <n v="12.33"/>
    <n v="98022.29"/>
    <n v="95329.65"/>
    <n v="323"/>
    <n v="1622"/>
    <s v="20-30"/>
    <x v="7"/>
  </r>
  <r>
    <s v="https://suumo.jp/chintai/jnc_000104310667/?bc=100485741576"/>
    <s v="レオパレスＧフォレスト沼袋"/>
    <s v="東京都中野区沼袋１"/>
    <n v="93000"/>
    <n v="5500"/>
    <m/>
    <n v="93000"/>
    <n v="1"/>
    <x v="2"/>
    <n v="22.35"/>
    <n v="21"/>
    <x v="0"/>
    <s v="沼袋駅"/>
    <n v="7"/>
    <n v="12.67"/>
    <n v="98022.29"/>
    <n v="95329.65"/>
    <n v="323"/>
    <n v="1622"/>
    <s v="20-30"/>
    <x v="1"/>
  </r>
  <r>
    <s v="https://suumo.jp/chintai/jnc_000101758412/?bc=100486396248"/>
    <s v="レオパレスＧフォレスト沼袋"/>
    <s v="東京都中野区沼袋１"/>
    <n v="98000"/>
    <n v="5500"/>
    <m/>
    <n v="98000"/>
    <n v="2"/>
    <x v="2"/>
    <n v="22.35"/>
    <n v="21"/>
    <x v="0"/>
    <s v="沼袋駅"/>
    <n v="7"/>
    <n v="12.67"/>
    <n v="98022.29"/>
    <n v="95329.65"/>
    <n v="323"/>
    <n v="1622"/>
    <s v="20-30"/>
    <x v="1"/>
  </r>
  <r>
    <s v="https://suumo.jp/chintai/jnc_000080791472/?bc=100459810582"/>
    <s v="レオパ－ド中野"/>
    <s v="東京都中野区松が丘２"/>
    <n v="50000"/>
    <m/>
    <m/>
    <m/>
    <n v="1"/>
    <x v="2"/>
    <n v="12.67"/>
    <n v="43"/>
    <x v="2"/>
    <s v="沼袋駅"/>
    <n v="7"/>
    <n v="13"/>
    <n v="98022.29"/>
    <n v="95329.65"/>
    <n v="323"/>
    <n v="1622"/>
    <s v="10-20"/>
    <x v="3"/>
  </r>
  <r>
    <s v="https://suumo.jp/chintai/jnc_000104426271/?bc=100183892181"/>
    <s v="小堀ハイツ"/>
    <s v="東京都中野区沼袋２"/>
    <n v="69000"/>
    <n v="3000"/>
    <n v="69000"/>
    <n v="69000"/>
    <n v="2"/>
    <x v="2"/>
    <n v="21"/>
    <n v="33"/>
    <x v="0"/>
    <s v="沼袋駅"/>
    <n v="5"/>
    <n v="14"/>
    <n v="98022.29"/>
    <n v="95329.65"/>
    <n v="323"/>
    <n v="1622"/>
    <s v="20-30"/>
    <x v="4"/>
  </r>
  <r>
    <s v="https://suumo.jp/chintai/jnc_000092577666/?bc=100457511201"/>
    <s v="川島ハウス"/>
    <s v="東京都中野区松が丘２"/>
    <n v="55000"/>
    <m/>
    <n v="55000"/>
    <n v="55000"/>
    <n v="2"/>
    <x v="2"/>
    <n v="20"/>
    <n v="63"/>
    <x v="0"/>
    <s v="沼袋駅"/>
    <n v="8"/>
    <n v="12.33"/>
    <n v="98022.29"/>
    <n v="95329.65"/>
    <n v="323"/>
    <n v="1622"/>
    <s v="20-30"/>
    <x v="2"/>
  </r>
  <r>
    <s v="https://suumo.jp/chintai/jnc_000104373029/?bc=100485155404"/>
    <s v="江古田4丁目"/>
    <s v="東京都中野区江古田４"/>
    <n v="77000"/>
    <n v="3000"/>
    <n v="77000"/>
    <n v="77000"/>
    <n v="2"/>
    <x v="2"/>
    <n v="31.39"/>
    <n v="20"/>
    <x v="0"/>
    <s v="沼袋駅"/>
    <n v="10"/>
    <n v="14.67"/>
    <n v="98022.29"/>
    <n v="95329.65"/>
    <n v="323"/>
    <n v="1622"/>
    <s v="30-40"/>
    <x v="7"/>
  </r>
  <r>
    <s v="https://suumo.jp/chintai/jnc_000103231709/?bc=100476012225"/>
    <s v="沼袋2丁目"/>
    <s v="東京都中野区沼袋２"/>
    <n v="66000"/>
    <n v="1000"/>
    <n v="66000"/>
    <n v="66000"/>
    <n v="2"/>
    <x v="2"/>
    <n v="20"/>
    <n v="58"/>
    <x v="0"/>
    <s v="沼袋駅"/>
    <n v="4"/>
    <n v="12.33"/>
    <n v="98022.29"/>
    <n v="95329.65"/>
    <n v="323"/>
    <n v="1622"/>
    <s v="20-30"/>
    <x v="5"/>
  </r>
  <r>
    <s v="https://suumo.jp/chintai/jnc_000103519890/?bc=100478192977"/>
    <s v="沼袋２丁目コーポ"/>
    <s v="東京都中野区沼袋２"/>
    <n v="73000"/>
    <n v="2000"/>
    <n v="73000"/>
    <n v="73000"/>
    <n v="1"/>
    <x v="2"/>
    <n v="27.43"/>
    <n v="23"/>
    <x v="0"/>
    <s v="沼袋駅"/>
    <n v="5"/>
    <n v="15"/>
    <n v="98022.29"/>
    <n v="95329.65"/>
    <n v="323"/>
    <n v="1622"/>
    <s v="20-30"/>
    <x v="1"/>
  </r>
  <r>
    <s v="https://suumo.jp/chintai/jnc_000103078484/?bc=100477400260"/>
    <s v="西武新宿線 沼袋駅 10階建 築10年"/>
    <s v="東京都中野区沼袋２"/>
    <n v="87000"/>
    <n v="8000"/>
    <n v="87000"/>
    <n v="87000"/>
    <n v="3"/>
    <x v="2"/>
    <n v="25.66"/>
    <n v="10"/>
    <x v="1"/>
    <s v="沼袋駅"/>
    <n v="9"/>
    <n v="13"/>
    <n v="98022.29"/>
    <n v="95329.65"/>
    <n v="323"/>
    <n v="1622"/>
    <s v="20-30"/>
    <x v="0"/>
  </r>
  <r>
    <s v="https://suumo.jp/chintai/jnc_000103674681/?bc=100481562486"/>
    <s v="西武新宿線 沼袋駅 10階建 築10年"/>
    <s v="東京都中野区沼袋２"/>
    <n v="92500"/>
    <n v="8500"/>
    <n v="92500"/>
    <n v="92500"/>
    <n v="9"/>
    <x v="2"/>
    <n v="25.66"/>
    <n v="10"/>
    <x v="1"/>
    <s v="沼袋駅"/>
    <n v="9"/>
    <n v="13"/>
    <n v="98022.29"/>
    <n v="95329.65"/>
    <n v="323"/>
    <n v="1622"/>
    <s v="20-30"/>
    <x v="0"/>
  </r>
  <r>
    <s v="https://suumo.jp/chintai/jnc_000103324567/?bc=100468090792"/>
    <s v="西武新宿線 沼袋駅 2階建 築16年"/>
    <s v="東京都中野区新井３"/>
    <n v="71000"/>
    <n v="8000"/>
    <n v="71000"/>
    <n v="71000"/>
    <n v="2"/>
    <x v="2"/>
    <n v="22.8"/>
    <n v="16"/>
    <x v="0"/>
    <s v="沼袋駅"/>
    <n v="8"/>
    <n v="12.33"/>
    <n v="98022.29"/>
    <n v="95329.65"/>
    <n v="323"/>
    <n v="1622"/>
    <s v="20-30"/>
    <x v="7"/>
  </r>
  <r>
    <s v="https://suumo.jp/chintai/jnc_000103903867/?bc=100481464476"/>
    <s v="西武新宿線 沼袋駅 2階建 築17年"/>
    <s v="東京都中野区沼袋２"/>
    <n v="70000"/>
    <n v="2000"/>
    <n v="70000"/>
    <n v="70000"/>
    <n v="2"/>
    <x v="2"/>
    <n v="23.18"/>
    <n v="17"/>
    <x v="0"/>
    <s v="沼袋駅"/>
    <n v="5"/>
    <n v="11.67"/>
    <n v="98022.29"/>
    <n v="95329.65"/>
    <n v="323"/>
    <n v="1622"/>
    <s v="20-30"/>
    <x v="7"/>
  </r>
  <r>
    <s v="https://suumo.jp/chintai/jnc_000103913723/?bc=100481556815"/>
    <s v="西武新宿線 沼袋駅 2階建 築18年"/>
    <s v="東京都中野区沼袋４"/>
    <n v="100000"/>
    <n v="5500"/>
    <m/>
    <n v="100000"/>
    <n v="2"/>
    <x v="2"/>
    <n v="22.35"/>
    <n v="18"/>
    <x v="0"/>
    <s v="沼袋駅"/>
    <n v="6"/>
    <n v="12.33"/>
    <n v="98022.29"/>
    <n v="95329.65"/>
    <n v="323"/>
    <n v="1622"/>
    <s v="20-30"/>
    <x v="7"/>
  </r>
  <r>
    <s v="https://suumo.jp/chintai/jnc_000104310668/?bc=100484638394"/>
    <s v="西武新宿線 沼袋駅 2階建 築21年"/>
    <s v="東京都中野区沼袋１"/>
    <n v="93000"/>
    <n v="5500"/>
    <m/>
    <n v="93000"/>
    <n v="1"/>
    <x v="2"/>
    <n v="22.35"/>
    <n v="21"/>
    <x v="0"/>
    <s v="沼袋駅"/>
    <n v="7"/>
    <n v="11.67"/>
    <n v="98022.29"/>
    <n v="95329.65"/>
    <n v="323"/>
    <n v="1622"/>
    <s v="20-30"/>
    <x v="1"/>
  </r>
  <r>
    <s v="https://suumo.jp/chintai/jnc_000104310656/?bc=100484584443"/>
    <s v="西武新宿線 沼袋駅 2階建 築21年"/>
    <s v="東京都中野区新井４"/>
    <n v="78000"/>
    <n v="2000"/>
    <n v="78000"/>
    <n v="78000"/>
    <n v="1"/>
    <x v="2"/>
    <n v="26.49"/>
    <n v="21"/>
    <x v="0"/>
    <s v="沼袋駅"/>
    <n v="3"/>
    <n v="9.33"/>
    <n v="98022.29"/>
    <n v="95329.65"/>
    <n v="323"/>
    <n v="1622"/>
    <s v="20-30"/>
    <x v="1"/>
  </r>
  <r>
    <s v="https://suumo.jp/chintai/jnc_000099251899/?bc=100484600569"/>
    <s v="西武新宿線 沼袋駅 2階建 築21年"/>
    <s v="東京都中野区沼袋２"/>
    <n v="80000"/>
    <n v="2000"/>
    <m/>
    <m/>
    <n v="1"/>
    <x v="2"/>
    <n v="26.91"/>
    <n v="21"/>
    <x v="0"/>
    <s v="沼袋駅"/>
    <n v="7"/>
    <n v="12.33"/>
    <n v="98022.29"/>
    <n v="95329.65"/>
    <n v="323"/>
    <n v="1622"/>
    <s v="20-30"/>
    <x v="1"/>
  </r>
  <r>
    <s v="https://suumo.jp/chintai/jnc_000100933857/?bc=100480334932"/>
    <s v="西武新宿線 沼袋駅 2階建 築21年"/>
    <s v="東京都中野区沼袋１"/>
    <n v="81000"/>
    <n v="3000"/>
    <m/>
    <m/>
    <n v="2"/>
    <x v="2"/>
    <n v="25.01"/>
    <n v="21"/>
    <x v="0"/>
    <s v="沼袋駅"/>
    <n v="3"/>
    <n v="11"/>
    <n v="98022.29"/>
    <n v="95329.65"/>
    <n v="323"/>
    <n v="1622"/>
    <s v="20-30"/>
    <x v="1"/>
  </r>
  <r>
    <s v="https://suumo.jp/chintai/jnc_000103771403/?bc=100480389546"/>
    <s v="西武新宿線 沼袋駅 2階建 築36年"/>
    <s v="東京都中野区新井３"/>
    <n v="69000"/>
    <m/>
    <n v="69000"/>
    <n v="69000"/>
    <n v="1"/>
    <x v="2"/>
    <n v="22.3"/>
    <n v="36"/>
    <x v="0"/>
    <s v="沼袋駅"/>
    <n v="8"/>
    <n v="10.67"/>
    <n v="98022.29"/>
    <n v="95329.65"/>
    <n v="323"/>
    <n v="1622"/>
    <s v="20-30"/>
    <x v="4"/>
  </r>
  <r>
    <s v="https://suumo.jp/chintai/jnc_000048787374/?bc=100485609768"/>
    <s v="西武新宿線 沼袋駅 2階建 築40年"/>
    <s v="東京都中野区沼袋２"/>
    <n v="65000"/>
    <n v="1000"/>
    <n v="65000"/>
    <n v="65000"/>
    <n v="2"/>
    <x v="2"/>
    <n v="18"/>
    <n v="40"/>
    <x v="0"/>
    <s v="沼袋駅"/>
    <n v="6"/>
    <n v="15.33"/>
    <n v="98022.29"/>
    <n v="95329.65"/>
    <n v="323"/>
    <n v="1622"/>
    <s v="10-20"/>
    <x v="4"/>
  </r>
  <r>
    <s v="https://suumo.jp/chintai/jnc_000103032331/?bc=100298401366"/>
    <s v="西武新宿線 沼袋駅 2階建 築40年"/>
    <s v="東京都中野区沼袋２"/>
    <n v="66000"/>
    <n v="1000"/>
    <n v="66000"/>
    <n v="66000"/>
    <n v="2"/>
    <x v="2"/>
    <n v="18"/>
    <n v="40"/>
    <x v="0"/>
    <s v="沼袋駅"/>
    <n v="6"/>
    <n v="15.33"/>
    <n v="98022.29"/>
    <n v="95329.65"/>
    <n v="323"/>
    <n v="1622"/>
    <s v="10-20"/>
    <x v="4"/>
  </r>
  <r>
    <s v="https://suumo.jp/chintai/jnc_000101442765/?bc=100476987641"/>
    <s v="西武新宿線 沼袋駅 2階建 築41年"/>
    <s v="東京都中野区沼袋２"/>
    <n v="62000"/>
    <m/>
    <n v="62000"/>
    <n v="62000"/>
    <n v="2"/>
    <x v="2"/>
    <n v="19.8"/>
    <n v="41"/>
    <x v="0"/>
    <s v="沼袋駅"/>
    <n v="8"/>
    <n v="12"/>
    <n v="98022.29"/>
    <n v="95329.65"/>
    <n v="323"/>
    <n v="1622"/>
    <s v="10-20"/>
    <x v="3"/>
  </r>
  <r>
    <s v="https://suumo.jp/chintai/jnc_000102633022/?bc=100451056357"/>
    <s v="西武新宿線 沼袋駅 2階建 築41年"/>
    <s v="東京都中野区沼袋２"/>
    <n v="60000"/>
    <m/>
    <n v="60000"/>
    <n v="60000"/>
    <n v="2"/>
    <x v="2"/>
    <n v="19.8"/>
    <n v="41"/>
    <x v="0"/>
    <s v="沼袋駅"/>
    <n v="8"/>
    <n v="12"/>
    <n v="98022.29"/>
    <n v="95329.65"/>
    <n v="323"/>
    <n v="1622"/>
    <s v="10-20"/>
    <x v="3"/>
  </r>
  <r>
    <s v="https://suumo.jp/chintai/jnc_000104417277/?bc=100485496774"/>
    <s v="西武新宿線 沼袋駅 2階建 築42年"/>
    <s v="東京都中野区松が丘２"/>
    <n v="55000"/>
    <n v="3000"/>
    <n v="55000"/>
    <n v="55000"/>
    <n v="1"/>
    <x v="2"/>
    <n v="19.170000000000002"/>
    <n v="42"/>
    <x v="0"/>
    <s v="沼袋駅"/>
    <n v="8"/>
    <n v="12"/>
    <n v="98022.29"/>
    <n v="95329.65"/>
    <n v="323"/>
    <n v="1622"/>
    <s v="10-20"/>
    <x v="3"/>
  </r>
  <r>
    <s v="https://suumo.jp/chintai/jnc_000102998304/?bc=100473971436"/>
    <s v="西武新宿線 沼袋駅 2階建 築53年"/>
    <s v="東京都中野区沼袋２"/>
    <n v="65000"/>
    <n v="2000"/>
    <m/>
    <n v="65000"/>
    <n v="1"/>
    <x v="2"/>
    <n v="20"/>
    <n v="53"/>
    <x v="0"/>
    <s v="沼袋駅"/>
    <n v="9"/>
    <n v="12.67"/>
    <n v="98022.29"/>
    <n v="95329.65"/>
    <n v="323"/>
    <n v="1622"/>
    <s v="20-30"/>
    <x v="5"/>
  </r>
  <r>
    <s v="https://suumo.jp/chintai/jnc_000102732884/?bc=100472036802"/>
    <s v="西武新宿線 沼袋駅 2階建 築5年"/>
    <s v="東京都中野区江古田２"/>
    <n v="67000"/>
    <n v="5000"/>
    <n v="67000"/>
    <n v="67000"/>
    <n v="1"/>
    <x v="2"/>
    <n v="12.52"/>
    <n v="5"/>
    <x v="0"/>
    <s v="沼袋駅"/>
    <n v="11"/>
    <n v="14.33"/>
    <n v="98022.29"/>
    <n v="95329.65"/>
    <n v="323"/>
    <n v="1622"/>
    <s v="10-20"/>
    <x v="0"/>
  </r>
  <r>
    <s v="https://suumo.jp/chintai/jnc_000104357192/?bc=100485216079"/>
    <s v="西武新宿線 沼袋駅 2階建 築5年"/>
    <s v="東京都中野区江古田２"/>
    <n v="69000"/>
    <n v="5000"/>
    <n v="69000"/>
    <n v="69000"/>
    <n v="1"/>
    <x v="2"/>
    <n v="14.9"/>
    <n v="5"/>
    <x v="0"/>
    <s v="沼袋駅"/>
    <n v="11"/>
    <n v="14.33"/>
    <n v="98022.29"/>
    <n v="95329.65"/>
    <n v="323"/>
    <n v="1622"/>
    <s v="10-20"/>
    <x v="0"/>
  </r>
  <r>
    <s v="https://suumo.jp/chintai/jnc_000092577668/?bc=100473972414"/>
    <s v="西武新宿線 沼袋駅 2階建 築63年"/>
    <s v="東京都中野区松が丘２"/>
    <n v="55000"/>
    <m/>
    <n v="55000"/>
    <n v="55000"/>
    <n v="2"/>
    <x v="2"/>
    <n v="20"/>
    <n v="63"/>
    <x v="0"/>
    <s v="沼袋駅"/>
    <n v="8"/>
    <n v="12.33"/>
    <n v="98022.29"/>
    <n v="95329.65"/>
    <n v="323"/>
    <n v="1622"/>
    <s v="20-30"/>
    <x v="2"/>
  </r>
  <r>
    <s v="https://suumo.jp/chintai/jnc_000104060454/?bc=100482698279"/>
    <s v="西武新宿線 沼袋駅 2階建 築8年"/>
    <s v="東京都中野区沼袋２"/>
    <n v="74000"/>
    <n v="3000"/>
    <m/>
    <m/>
    <n v="1"/>
    <x v="2"/>
    <n v="17.52"/>
    <n v="8"/>
    <x v="0"/>
    <s v="沼袋駅"/>
    <n v="3"/>
    <n v="10.67"/>
    <n v="98022.29"/>
    <n v="95329.65"/>
    <n v="323"/>
    <n v="1622"/>
    <s v="10-20"/>
    <x v="0"/>
  </r>
  <r>
    <s v="https://suumo.jp/chintai/jnc_000104525905/?bc=100486411063"/>
    <s v="西武新宿線 沼袋駅 2階建 築8年"/>
    <s v="東京都中野区沼袋２"/>
    <n v="75000"/>
    <n v="3000"/>
    <m/>
    <m/>
    <n v="2"/>
    <x v="2"/>
    <n v="17.52"/>
    <n v="8"/>
    <x v="0"/>
    <s v="沼袋駅"/>
    <n v="3"/>
    <n v="10.67"/>
    <n v="98022.29"/>
    <n v="95329.65"/>
    <n v="323"/>
    <n v="1622"/>
    <s v="10-20"/>
    <x v="0"/>
  </r>
  <r>
    <s v="https://suumo.jp/chintai/jnc_000103551236/?bc=100478503280"/>
    <s v="西武新宿線 沼袋駅 3階建 築18年"/>
    <s v="東京都中野区江古田２"/>
    <n v="73000"/>
    <n v="3000"/>
    <n v="73000"/>
    <n v="73000"/>
    <n v="1"/>
    <x v="2"/>
    <n v="26.25"/>
    <n v="18"/>
    <x v="2"/>
    <s v="沼袋駅"/>
    <n v="12"/>
    <n v="14.67"/>
    <n v="98022.29"/>
    <n v="95329.65"/>
    <n v="323"/>
    <n v="1622"/>
    <s v="20-30"/>
    <x v="7"/>
  </r>
  <r>
    <s v="https://suumo.jp/chintai/jnc_000104015962/?bc=100483447640"/>
    <s v="西武新宿線 沼袋駅 3階建 築19年"/>
    <s v="東京都中野区沼袋１"/>
    <n v="74000"/>
    <n v="3000"/>
    <n v="74000"/>
    <n v="74000"/>
    <n v="1"/>
    <x v="2"/>
    <n v="22"/>
    <n v="19"/>
    <x v="2"/>
    <s v="沼袋駅"/>
    <n v="3"/>
    <n v="9.67"/>
    <n v="98022.29"/>
    <n v="95329.65"/>
    <n v="323"/>
    <n v="1622"/>
    <s v="20-30"/>
    <x v="7"/>
  </r>
  <r>
    <s v="https://suumo.jp/chintai/jnc_000102109232/?bc=100466618634"/>
    <s v="西武新宿線 沼袋駅 3階建 築32年"/>
    <s v="東京都中野区沼袋１"/>
    <n v="60000"/>
    <n v="2000"/>
    <n v="60000"/>
    <n v="60000"/>
    <n v="3"/>
    <x v="2"/>
    <n v="18.36"/>
    <n v="32"/>
    <x v="2"/>
    <s v="沼袋駅"/>
    <n v="5"/>
    <n v="12.67"/>
    <n v="98022.29"/>
    <n v="95329.65"/>
    <n v="323"/>
    <n v="1622"/>
    <s v="10-20"/>
    <x v="4"/>
  </r>
  <r>
    <s v="https://suumo.jp/chintai/jnc_000103581800/?bc=100478750466"/>
    <s v="西武新宿線 沼袋駅 3階建 築36年"/>
    <s v="東京都中野区松が丘２"/>
    <n v="68000"/>
    <n v="3000"/>
    <n v="68000"/>
    <m/>
    <n v="2"/>
    <x v="2"/>
    <n v="22.5"/>
    <n v="36"/>
    <x v="2"/>
    <s v="沼袋駅"/>
    <n v="8"/>
    <n v="10.33"/>
    <n v="98022.29"/>
    <n v="95329.65"/>
    <n v="323"/>
    <n v="1622"/>
    <s v="20-30"/>
    <x v="4"/>
  </r>
  <r>
    <s v="https://suumo.jp/chintai/jnc_000055906881/?bc=100475516161"/>
    <s v="西武新宿線 沼袋駅 3階建 築36年"/>
    <s v="東京都中野区松が丘２"/>
    <n v="67000"/>
    <n v="3000"/>
    <n v="67000"/>
    <m/>
    <n v="2"/>
    <x v="2"/>
    <n v="22"/>
    <n v="36"/>
    <x v="2"/>
    <s v="沼袋駅"/>
    <n v="8"/>
    <n v="10.33"/>
    <n v="98022.29"/>
    <n v="95329.65"/>
    <n v="323"/>
    <n v="1622"/>
    <s v="20-30"/>
    <x v="4"/>
  </r>
  <r>
    <s v="https://suumo.jp/chintai/jnc_000104426293/?bc=100485549610"/>
    <s v="西武新宿線 沼袋駅 3階建 築36年"/>
    <s v="東京都中野区松が丘２"/>
    <n v="65000"/>
    <n v="3000"/>
    <n v="65000"/>
    <m/>
    <n v="3"/>
    <x v="2"/>
    <n v="20"/>
    <n v="36"/>
    <x v="2"/>
    <s v="沼袋駅"/>
    <n v="8"/>
    <n v="10.33"/>
    <n v="98022.29"/>
    <n v="95329.65"/>
    <n v="323"/>
    <n v="1622"/>
    <s v="20-30"/>
    <x v="4"/>
  </r>
  <r>
    <s v="https://suumo.jp/chintai/jnc_000103828552/?bc=100480400489"/>
    <s v="西武新宿線 沼袋駅 3階建 築36年"/>
    <s v="東京都中野区松が丘２"/>
    <n v="65000"/>
    <n v="3000"/>
    <n v="65000"/>
    <m/>
    <n v="3"/>
    <x v="2"/>
    <n v="22"/>
    <n v="36"/>
    <x v="2"/>
    <s v="沼袋駅"/>
    <n v="8"/>
    <n v="10.33"/>
    <n v="98022.29"/>
    <n v="95329.65"/>
    <n v="323"/>
    <n v="1622"/>
    <s v="20-30"/>
    <x v="4"/>
  </r>
  <r>
    <s v="https://suumo.jp/chintai/jnc_000102605645/?bc=100471033456"/>
    <s v="西武新宿線 沼袋駅 3階建 築40年"/>
    <s v="東京都中野区沼袋１"/>
    <n v="67000"/>
    <n v="2000"/>
    <n v="67000"/>
    <n v="67000"/>
    <n v="1"/>
    <x v="2"/>
    <n v="22"/>
    <n v="40"/>
    <x v="2"/>
    <s v="沼袋駅"/>
    <n v="6"/>
    <n v="10.67"/>
    <n v="98022.29"/>
    <n v="95329.65"/>
    <n v="323"/>
    <n v="1622"/>
    <s v="20-30"/>
    <x v="4"/>
  </r>
  <r>
    <s v="https://suumo.jp/chintai/jnc_000103410278/?bc=100477282241"/>
    <s v="西武新宿線 沼袋駅 3階建 築8年"/>
    <s v="東京都中野区江古田２"/>
    <n v="88000"/>
    <n v="12000"/>
    <m/>
    <n v="88000"/>
    <n v="1"/>
    <x v="2"/>
    <n v="25.65"/>
    <n v="8"/>
    <x v="2"/>
    <s v="沼袋駅"/>
    <n v="9"/>
    <n v="13"/>
    <n v="98022.29"/>
    <n v="95329.65"/>
    <n v="323"/>
    <n v="1622"/>
    <s v="20-30"/>
    <x v="0"/>
  </r>
  <r>
    <s v="https://suumo.jp/chintai/jnc_000103144283/?bc=100478323821"/>
    <s v="西武新宿線 沼袋駅 3階建 築8年"/>
    <s v="東京都中野区江古田２"/>
    <n v="88000"/>
    <n v="12000"/>
    <m/>
    <m/>
    <n v="1"/>
    <x v="2"/>
    <n v="26.35"/>
    <n v="8"/>
    <x v="2"/>
    <s v="沼袋駅"/>
    <n v="9"/>
    <n v="13"/>
    <n v="98022.29"/>
    <n v="95329.65"/>
    <n v="323"/>
    <n v="1622"/>
    <s v="20-30"/>
    <x v="0"/>
  </r>
  <r>
    <s v="https://suumo.jp/chintai/jnc_000103175167/?bc=100477608661"/>
    <s v="西武新宿線 沼袋駅 3階建 築8年"/>
    <s v="東京都中野区江古田２"/>
    <n v="91000"/>
    <n v="12000"/>
    <m/>
    <n v="91000"/>
    <n v="3"/>
    <x v="2"/>
    <n v="25.76"/>
    <n v="8"/>
    <x v="2"/>
    <s v="沼袋駅"/>
    <n v="9"/>
    <n v="13"/>
    <n v="98022.29"/>
    <n v="95329.65"/>
    <n v="323"/>
    <n v="1622"/>
    <s v="20-30"/>
    <x v="0"/>
  </r>
  <r>
    <s v="https://suumo.jp/chintai/jnc_000103771410/?bc=100482749886"/>
    <s v="西武新宿線 沼袋駅 3階建 築8年"/>
    <s v="東京都中野区江古田２"/>
    <n v="97000"/>
    <n v="8000"/>
    <m/>
    <n v="97000"/>
    <n v="3"/>
    <x v="2"/>
    <n v="25.76"/>
    <n v="8"/>
    <x v="2"/>
    <s v="沼袋駅"/>
    <n v="9"/>
    <n v="13"/>
    <n v="98022.29"/>
    <n v="95329.65"/>
    <n v="323"/>
    <n v="1622"/>
    <s v="20-30"/>
    <x v="0"/>
  </r>
  <r>
    <s v="https://suumo.jp/chintai/jnc_000070698798/?bc=100485005147"/>
    <s v="西武新宿線 沼袋駅 4階建 築4年"/>
    <s v="東京都中野区沼袋３"/>
    <n v="79000"/>
    <n v="10000"/>
    <m/>
    <n v="79000"/>
    <n v="3"/>
    <x v="2"/>
    <n v="20.04"/>
    <n v="4"/>
    <x v="4"/>
    <s v="沼袋駅"/>
    <n v="9"/>
    <n v="12.67"/>
    <n v="98022.29"/>
    <n v="95329.65"/>
    <n v="323"/>
    <n v="1622"/>
    <s v="20-30"/>
    <x v="0"/>
  </r>
  <r>
    <s v="https://suumo.jp/chintai/jnc_000104541564/?bc=100486394745"/>
    <s v="西武新宿線 沼袋駅 4階建 築5年"/>
    <s v="東京都中野区江古田２"/>
    <n v="79000"/>
    <n v="12000"/>
    <m/>
    <m/>
    <n v="3"/>
    <x v="2"/>
    <n v="18.5"/>
    <n v="5"/>
    <x v="4"/>
    <s v="沼袋駅"/>
    <n v="10"/>
    <n v="12.67"/>
    <n v="98022.29"/>
    <n v="95329.65"/>
    <n v="323"/>
    <n v="1622"/>
    <s v="10-20"/>
    <x v="0"/>
  </r>
  <r>
    <s v="https://suumo.jp/chintai/jnc_000104519159/?bc=100486230707"/>
    <s v="西武新宿線 沼袋駅 4階建 築5年"/>
    <s v="東京都中野区江古田２"/>
    <n v="79000"/>
    <n v="12000"/>
    <m/>
    <m/>
    <n v="3"/>
    <x v="2"/>
    <n v="20.5"/>
    <n v="5"/>
    <x v="4"/>
    <s v="沼袋駅"/>
    <n v="10"/>
    <n v="13.33"/>
    <n v="98022.29"/>
    <n v="95329.65"/>
    <n v="323"/>
    <n v="1622"/>
    <s v="20-30"/>
    <x v="0"/>
  </r>
  <r>
    <s v="https://suumo.jp/chintai/jnc_000104076676/?bc=100482787626"/>
    <s v="西武新宿線 沼袋駅 5階建 築11年"/>
    <s v="東京都中野区新井４"/>
    <n v="93000"/>
    <n v="5000"/>
    <n v="93000"/>
    <n v="93000"/>
    <n v="2"/>
    <x v="2"/>
    <n v="25.13"/>
    <n v="11"/>
    <x v="7"/>
    <s v="沼袋駅"/>
    <n v="5"/>
    <n v="10.33"/>
    <n v="98022.29"/>
    <n v="95329.65"/>
    <n v="323"/>
    <n v="1622"/>
    <s v="20-30"/>
    <x v="7"/>
  </r>
  <r>
    <s v="https://suumo.jp/chintai/jnc_000103909146/?bc=100481555225"/>
    <s v="香林館"/>
    <s v="東京都中野区沼袋２"/>
    <n v="70000"/>
    <n v="2000"/>
    <n v="70000"/>
    <n v="70000"/>
    <n v="2"/>
    <x v="2"/>
    <n v="23.18"/>
    <n v="17"/>
    <x v="0"/>
    <s v="沼袋駅"/>
    <n v="5"/>
    <n v="11.67"/>
    <n v="98022.29"/>
    <n v="95329.65"/>
    <n v="323"/>
    <n v="1622"/>
    <s v="20-30"/>
    <x v="7"/>
  </r>
  <r>
    <s v="https://suumo.jp/chintai/jnc_000103969577/?bc=100481895987"/>
    <s v="ＪＲ中央線 中野駅 2階建 築37年"/>
    <s v="東京都中野区新井４"/>
    <n v="67000"/>
    <n v="2000"/>
    <n v="67000"/>
    <n v="67000"/>
    <n v="2"/>
    <x v="2"/>
    <n v="25.05"/>
    <n v="37"/>
    <x v="0"/>
    <s v="沼袋駅"/>
    <n v="5"/>
    <n v="9.67"/>
    <n v="98022.29"/>
    <n v="95329.65"/>
    <n v="323"/>
    <n v="1622"/>
    <s v="20-30"/>
    <x v="4"/>
  </r>
  <r>
    <s v="https://suumo.jp/chintai/jnc_000103575538/?bc=100478645210"/>
    <s v="ＪＲ中央線 中野駅 4階建 築11年"/>
    <s v="東京都中野区新井２"/>
    <n v="93500"/>
    <n v="4600"/>
    <m/>
    <n v="233800"/>
    <n v="1"/>
    <x v="2"/>
    <n v="24.3"/>
    <n v="11"/>
    <x v="4"/>
    <s v="沼袋駅"/>
    <n v="10"/>
    <n v="11.33"/>
    <n v="98022.29"/>
    <n v="95329.65"/>
    <n v="323"/>
    <n v="1622"/>
    <s v="20-30"/>
    <x v="7"/>
  </r>
  <r>
    <s v="https://suumo.jp/chintai/jnc_000104170642/?bc=100483491916"/>
    <s v="ＪＲ中央線 中野駅 5階建 築2年"/>
    <s v="東京都中野区新井３"/>
    <n v="110000"/>
    <n v="8000"/>
    <n v="110000"/>
    <n v="110000"/>
    <n v="1"/>
    <x v="2"/>
    <n v="26.59"/>
    <n v="2"/>
    <x v="7"/>
    <s v="沼袋駅"/>
    <n v="8"/>
    <n v="10.67"/>
    <n v="98022.29"/>
    <n v="95329.65"/>
    <n v="323"/>
    <n v="1622"/>
    <s v="20-30"/>
    <x v="0"/>
  </r>
  <r>
    <s v="https://suumo.jp/chintai/jnc_000103465733/?bc=100478018111"/>
    <s v="ＪＲ中央線 中野駅 5階建 築2年"/>
    <s v="東京都中野区新井３"/>
    <n v="115000"/>
    <n v="8000"/>
    <n v="115000"/>
    <n v="115000"/>
    <n v="2"/>
    <x v="2"/>
    <n v="26.59"/>
    <n v="2"/>
    <x v="7"/>
    <s v="沼袋駅"/>
    <n v="8"/>
    <n v="10.67"/>
    <n v="98022.29"/>
    <n v="95329.65"/>
    <n v="323"/>
    <n v="1622"/>
    <s v="20-30"/>
    <x v="0"/>
  </r>
  <r>
    <s v="https://suumo.jp/chintai/jnc_000102458406/?bc=100484104859"/>
    <s v="ＪＲ総武線 中野駅 2階建 築37年"/>
    <s v="東京都中野区新井３"/>
    <n v="63000"/>
    <n v="2500"/>
    <n v="63000"/>
    <m/>
    <n v="2"/>
    <x v="2"/>
    <n v="23.1"/>
    <n v="37"/>
    <x v="0"/>
    <s v="沼袋駅"/>
    <n v="7"/>
    <n v="13"/>
    <n v="98022.29"/>
    <n v="95329.65"/>
    <n v="323"/>
    <n v="1622"/>
    <s v="20-30"/>
    <x v="4"/>
  </r>
  <r>
    <s v="https://suumo.jp/chintai/jnc_000104249777/?bc=100484121594"/>
    <s v="Ｎ・Ｆｌａｔ"/>
    <s v="東京都中野区沼袋３"/>
    <n v="95000"/>
    <n v="3000"/>
    <n v="95000"/>
    <n v="95000"/>
    <n v="2"/>
    <x v="2"/>
    <n v="31.58"/>
    <n v="7"/>
    <x v="0"/>
    <s v="沼袋駅"/>
    <n v="3"/>
    <n v="10.67"/>
    <n v="98022.29"/>
    <n v="95329.65"/>
    <n v="323"/>
    <n v="1622"/>
    <s v="30-40"/>
    <x v="0"/>
  </r>
  <r>
    <s v="https://suumo.jp/chintai/jnc_000103078485/?bc=100474779185"/>
    <s v="ＳＴＲＩＰＥＳ"/>
    <s v="東京都中野区沼袋４"/>
    <n v="81000"/>
    <n v="5000"/>
    <m/>
    <m/>
    <n v="1"/>
    <x v="2"/>
    <n v="19.02"/>
    <n v="5"/>
    <x v="4"/>
    <s v="沼袋駅"/>
    <n v="4"/>
    <n v="12.67"/>
    <n v="98022.29"/>
    <n v="95329.65"/>
    <n v="323"/>
    <n v="1622"/>
    <s v="10-20"/>
    <x v="0"/>
  </r>
  <r>
    <s v="https://suumo.jp/chintai/jnc_000104015963/?bc=100482197602"/>
    <s v="ａｖｖｉｏ"/>
    <s v="東京都中野区沼袋１"/>
    <n v="95000"/>
    <n v="5000"/>
    <n v="95000"/>
    <n v="95000"/>
    <n v="2"/>
    <x v="2"/>
    <n v="26.24"/>
    <n v="18"/>
    <x v="4"/>
    <s v="沼袋駅"/>
    <n v="2"/>
    <n v="9.33"/>
    <n v="98022.29"/>
    <n v="95329.65"/>
    <n v="323"/>
    <n v="1622"/>
    <s v="20-30"/>
    <x v="7"/>
  </r>
  <r>
    <s v="https://suumo.jp/chintai/jnc_000104179473/?bc=100483721420"/>
    <s v="BENOIT中野"/>
    <s v="東京都中野区新井３"/>
    <n v="135000"/>
    <n v="10000"/>
    <n v="135000"/>
    <n v="125000"/>
    <n v="2"/>
    <x v="3"/>
    <n v="34.56"/>
    <n v="3"/>
    <x v="7"/>
    <s v="沼袋駅"/>
    <n v="8"/>
    <n v="11.33"/>
    <n v="98022.29"/>
    <n v="168453.81"/>
    <n v="323"/>
    <n v="788"/>
    <s v="30-40"/>
    <x v="0"/>
  </r>
  <r>
    <s v="https://suumo.jp/chintai/jnc_000104482952/?bc=100486015103"/>
    <s v="the trias205"/>
    <s v="東京都中野区沼袋２"/>
    <n v="108000"/>
    <n v="18000"/>
    <m/>
    <m/>
    <n v="1"/>
    <x v="3"/>
    <n v="25.56"/>
    <n v="0"/>
    <x v="4"/>
    <s v="沼袋駅"/>
    <n v="4"/>
    <n v="12.67"/>
    <n v="98022.29"/>
    <n v="168453.81"/>
    <n v="323"/>
    <n v="788"/>
    <s v="20-30"/>
    <x v="6"/>
  </r>
  <r>
    <s v="https://suumo.jp/chintai/jnc_000102986869/?bc=100474017635"/>
    <s v="the trias205"/>
    <s v="東京都中野区沼袋２"/>
    <n v="109000"/>
    <n v="18000"/>
    <m/>
    <m/>
    <n v="1"/>
    <x v="3"/>
    <n v="26.19"/>
    <n v="0"/>
    <x v="4"/>
    <s v="沼袋駅"/>
    <n v="4"/>
    <n v="12.67"/>
    <n v="98022.29"/>
    <n v="168453.81"/>
    <n v="323"/>
    <n v="788"/>
    <s v="20-30"/>
    <x v="6"/>
  </r>
  <r>
    <s v="https://suumo.jp/chintai/jnc_000104286401/?bc=100484415405"/>
    <s v="the trias205"/>
    <s v="東京都中野区沼袋２"/>
    <n v="108000"/>
    <n v="18000"/>
    <m/>
    <m/>
    <n v="-1"/>
    <x v="3"/>
    <n v="26.19"/>
    <n v="0"/>
    <x v="4"/>
    <s v="沼袋駅"/>
    <n v="4"/>
    <n v="12.67"/>
    <n v="98022.29"/>
    <n v="168453.81"/>
    <n v="323"/>
    <n v="788"/>
    <s v="20-30"/>
    <x v="6"/>
  </r>
  <r>
    <s v="https://suumo.jp/chintai/jnc_000103909147/?bc=100481521645"/>
    <s v="グラン・タヱ"/>
    <s v="東京都中野区沼袋２"/>
    <n v="106000"/>
    <n v="4000"/>
    <n v="106000"/>
    <n v="106000"/>
    <n v="1"/>
    <x v="3"/>
    <n v="33.25"/>
    <n v="11"/>
    <x v="2"/>
    <s v="沼袋駅"/>
    <n v="3"/>
    <n v="6.67"/>
    <n v="98022.29"/>
    <n v="168453.81"/>
    <n v="323"/>
    <n v="788"/>
    <s v="30-40"/>
    <x v="7"/>
  </r>
  <r>
    <s v="https://suumo.jp/chintai/jnc_000102641812/?bc=100480465880"/>
    <s v="グラン・タヱ"/>
    <s v="東京都中野区沼袋２"/>
    <n v="124000"/>
    <n v="4000"/>
    <n v="124000"/>
    <n v="124000"/>
    <n v="1"/>
    <x v="3"/>
    <n v="38.25"/>
    <n v="11"/>
    <x v="2"/>
    <s v="沼袋駅"/>
    <n v="3"/>
    <n v="6.67"/>
    <n v="98022.29"/>
    <n v="168453.81"/>
    <n v="323"/>
    <n v="788"/>
    <s v="30-40"/>
    <x v="7"/>
  </r>
  <r>
    <s v="https://suumo.jp/chintai/jnc_000102637988/?bc=100472500700"/>
    <s v="パークサイドマンション松が丘"/>
    <s v="東京都中野区松が丘２"/>
    <n v="125000"/>
    <m/>
    <n v="125000"/>
    <m/>
    <n v="3"/>
    <x v="3"/>
    <n v="33.979999999999997"/>
    <n v="41"/>
    <x v="7"/>
    <s v="沼袋駅"/>
    <n v="9"/>
    <n v="12.67"/>
    <n v="98022.29"/>
    <n v="168453.81"/>
    <n v="323"/>
    <n v="788"/>
    <s v="30-40"/>
    <x v="3"/>
  </r>
  <r>
    <s v="https://suumo.jp/chintai/jnc_000102443744/?bc=100441197429"/>
    <s v="パークサイドマンション松が丘"/>
    <s v="東京都中野区松が丘２"/>
    <n v="125000"/>
    <m/>
    <n v="125000"/>
    <m/>
    <n v="4"/>
    <x v="3"/>
    <n v="34.96"/>
    <n v="41"/>
    <x v="7"/>
    <s v="沼袋駅"/>
    <n v="9"/>
    <n v="12.67"/>
    <n v="98022.29"/>
    <n v="168453.81"/>
    <n v="323"/>
    <n v="788"/>
    <s v="30-40"/>
    <x v="3"/>
  </r>
  <r>
    <s v="https://suumo.jp/chintai/jnc_000103393218/?bc=100477151469"/>
    <s v="ファームシャトー"/>
    <s v="東京都中野区新井４"/>
    <n v="150000"/>
    <n v="5000"/>
    <n v="150000"/>
    <n v="150000"/>
    <n v="1"/>
    <x v="3"/>
    <n v="40"/>
    <n v="42"/>
    <x v="2"/>
    <s v="沼袋駅"/>
    <n v="4"/>
    <n v="10.33"/>
    <n v="98022.29"/>
    <n v="168453.81"/>
    <n v="323"/>
    <n v="788"/>
    <s v="40-50"/>
    <x v="3"/>
  </r>
  <r>
    <s v="https://suumo.jp/chintai/jnc_000103883929/?bc=100481667770"/>
    <s v="ルオント中野"/>
    <s v="東京都中野区新井２"/>
    <n v="160000"/>
    <n v="10000"/>
    <n v="160000"/>
    <n v="160000"/>
    <n v="4"/>
    <x v="3"/>
    <n v="41"/>
    <n v="37"/>
    <x v="4"/>
    <s v="沼袋駅"/>
    <n v="9"/>
    <n v="11"/>
    <n v="98022.29"/>
    <n v="168453.81"/>
    <n v="323"/>
    <n v="788"/>
    <s v="40-50"/>
    <x v="4"/>
  </r>
  <r>
    <s v="https://suumo.jp/chintai/jnc_000101279575/?bc=100459041478"/>
    <s v="レオパレスソレイユＮＡＫＡＮＯ"/>
    <s v="東京都中野区新井２"/>
    <n v="153000"/>
    <n v="5500"/>
    <m/>
    <n v="153000"/>
    <n v="3"/>
    <x v="3"/>
    <n v="40.57"/>
    <n v="22"/>
    <x v="2"/>
    <s v="沼袋駅"/>
    <n v="13"/>
    <n v="14.33"/>
    <n v="98022.29"/>
    <n v="168453.81"/>
    <n v="323"/>
    <n v="788"/>
    <s v="40-50"/>
    <x v="1"/>
  </r>
  <r>
    <s v="https://suumo.jp/chintai/jnc_000103060677/?bc=100482550805"/>
    <s v="ロシェ沼袋"/>
    <s v="東京都中野区沼袋２"/>
    <n v="129900"/>
    <n v="8000"/>
    <n v="129900"/>
    <n v="129900"/>
    <n v="3"/>
    <x v="3"/>
    <n v="41.11"/>
    <n v="14"/>
    <x v="2"/>
    <s v="沼袋駅"/>
    <n v="5"/>
    <n v="15"/>
    <n v="98022.29"/>
    <n v="168453.81"/>
    <n v="323"/>
    <n v="788"/>
    <s v="40-50"/>
    <x v="7"/>
  </r>
  <r>
    <s v="https://suumo.jp/chintai/jnc_000103575539/?bc=100478633040"/>
    <s v="沼袋コーポラス"/>
    <s v="東京都中野区新井４"/>
    <n v="140000"/>
    <n v="10000"/>
    <n v="140000"/>
    <n v="140000"/>
    <n v="4"/>
    <x v="3"/>
    <n v="56.7"/>
    <n v="57"/>
    <x v="9"/>
    <s v="沼袋駅"/>
    <n v="4"/>
    <n v="7"/>
    <n v="98022.29"/>
    <n v="168453.81"/>
    <n v="323"/>
    <n v="788"/>
    <s v="50-60"/>
    <x v="5"/>
  </r>
  <r>
    <s v="https://suumo.jp/chintai/jnc_000104519172/?bc=100486296835"/>
    <s v="西武新宿線 沼袋駅 2階建 築25年"/>
    <s v="東京都中野区沼袋３"/>
    <n v="136000"/>
    <n v="4000"/>
    <n v="136000"/>
    <n v="136000"/>
    <n v="2"/>
    <x v="3"/>
    <n v="36"/>
    <n v="25"/>
    <x v="0"/>
    <s v="沼袋駅"/>
    <n v="3"/>
    <n v="10"/>
    <n v="98022.29"/>
    <n v="168453.81"/>
    <n v="323"/>
    <n v="788"/>
    <s v="30-40"/>
    <x v="1"/>
  </r>
  <r>
    <s v="https://suumo.jp/chintai/jnc_000104086235/?bc=100483721050"/>
    <s v="西武新宿線 沼袋駅 3階建 築11年"/>
    <s v="東京都中野区沼袋２"/>
    <n v="106000"/>
    <n v="4000"/>
    <n v="106000"/>
    <n v="106000"/>
    <n v="1"/>
    <x v="3"/>
    <n v="33.25"/>
    <n v="11"/>
    <x v="2"/>
    <s v="沼袋駅"/>
    <n v="3"/>
    <n v="6.67"/>
    <n v="98022.29"/>
    <n v="168453.81"/>
    <n v="323"/>
    <n v="788"/>
    <s v="30-40"/>
    <x v="7"/>
  </r>
  <r>
    <s v="https://suumo.jp/chintai/jnc_000103032330/?bc=100484600560"/>
    <s v="西武新宿線 沼袋駅 3階建 築11年"/>
    <s v="東京都中野区沼袋２"/>
    <n v="124000"/>
    <n v="4000"/>
    <n v="124000"/>
    <n v="124000"/>
    <n v="1"/>
    <x v="3"/>
    <n v="38.25"/>
    <n v="11"/>
    <x v="2"/>
    <s v="沼袋駅"/>
    <n v="3"/>
    <n v="6.67"/>
    <n v="98022.29"/>
    <n v="168453.81"/>
    <n v="323"/>
    <n v="788"/>
    <s v="30-40"/>
    <x v="7"/>
  </r>
  <r>
    <s v="https://suumo.jp/chintai/jnc_000103046075/?bc=100482299135"/>
    <s v="西武新宿線 沼袋駅 3階建 築14年"/>
    <s v="東京都中野区沼袋２"/>
    <n v="139900"/>
    <n v="9900"/>
    <n v="139900"/>
    <n v="139900"/>
    <n v="2"/>
    <x v="3"/>
    <n v="53.86"/>
    <n v="14"/>
    <x v="2"/>
    <s v="沼袋駅"/>
    <n v="5"/>
    <n v="12.67"/>
    <n v="98022.29"/>
    <n v="168453.81"/>
    <n v="323"/>
    <n v="788"/>
    <s v="50-60"/>
    <x v="7"/>
  </r>
  <r>
    <s v="https://suumo.jp/chintai/jnc_000103060678/?bc=100475941580"/>
    <s v="西武新宿線 沼袋駅 3階建 築14年"/>
    <s v="東京都中野区沼袋２"/>
    <n v="129900"/>
    <n v="8000"/>
    <n v="129900"/>
    <n v="129900"/>
    <n v="3"/>
    <x v="3"/>
    <n v="41.11"/>
    <n v="14"/>
    <x v="2"/>
    <s v="沼袋駅"/>
    <n v="5"/>
    <n v="12.67"/>
    <n v="98022.29"/>
    <n v="168453.81"/>
    <n v="323"/>
    <n v="788"/>
    <s v="40-50"/>
    <x v="7"/>
  </r>
  <r>
    <s v="https://suumo.jp/chintai/jnc_000104249776/?bc=100483918804"/>
    <s v="西武新宿線 沼袋駅 3階建 築14年"/>
    <s v="東京都中野区沼袋２"/>
    <n v="129000"/>
    <n v="8000"/>
    <n v="129000"/>
    <n v="129000"/>
    <n v="3"/>
    <x v="3"/>
    <n v="41.11"/>
    <n v="14"/>
    <x v="2"/>
    <s v="沼袋駅"/>
    <n v="5"/>
    <n v="12.67"/>
    <n v="98022.29"/>
    <n v="168453.81"/>
    <n v="323"/>
    <n v="788"/>
    <s v="40-50"/>
    <x v="7"/>
  </r>
  <r>
    <s v="https://suumo.jp/chintai/jnc_000103780354/?bc=100481342109"/>
    <s v="西武新宿線 沼袋駅 3階建 築19年"/>
    <s v="東京都中野区沼袋２"/>
    <n v="139000"/>
    <n v="10000"/>
    <n v="139000"/>
    <n v="139000"/>
    <n v="1"/>
    <x v="3"/>
    <n v="38.71"/>
    <n v="19"/>
    <x v="2"/>
    <s v="沼袋駅"/>
    <n v="10"/>
    <n v="12.67"/>
    <n v="98022.29"/>
    <n v="168453.81"/>
    <n v="323"/>
    <n v="788"/>
    <s v="30-40"/>
    <x v="7"/>
  </r>
  <r>
    <s v="https://suumo.jp/chintai/jnc_000104266140/?bc=100484263653"/>
    <s v="西武新宿線 沼袋駅 3階建 築20年"/>
    <s v="東京都中野区沼袋３"/>
    <n v="120000"/>
    <n v="3000"/>
    <n v="120000"/>
    <n v="120000"/>
    <n v="1"/>
    <x v="3"/>
    <n v="31.58"/>
    <n v="20"/>
    <x v="2"/>
    <s v="沼袋駅"/>
    <n v="8"/>
    <n v="12"/>
    <n v="98022.29"/>
    <n v="168453.81"/>
    <n v="323"/>
    <n v="788"/>
    <s v="30-40"/>
    <x v="7"/>
  </r>
  <r>
    <s v="https://suumo.jp/chintai/jnc_000104426294/?bc=100485780827"/>
    <s v="西武新宿線 沼袋駅 5階建 築41年"/>
    <s v="東京都中野区松が丘２"/>
    <n v="100000"/>
    <m/>
    <n v="100000"/>
    <m/>
    <n v="2"/>
    <x v="3"/>
    <n v="33.979999999999997"/>
    <n v="41"/>
    <x v="7"/>
    <s v="沼袋駅"/>
    <n v="9"/>
    <n v="11"/>
    <n v="98022.29"/>
    <n v="168453.81"/>
    <n v="323"/>
    <n v="788"/>
    <s v="30-40"/>
    <x v="3"/>
  </r>
  <r>
    <s v="https://suumo.jp/chintai/jnc_000102443745/?bc=100439734379"/>
    <s v="西武新宿線 沼袋駅 5階建 築41年"/>
    <s v="東京都中野区松が丘２"/>
    <n v="125000"/>
    <m/>
    <n v="125000"/>
    <m/>
    <n v="4"/>
    <x v="3"/>
    <n v="33.979999999999997"/>
    <n v="41"/>
    <x v="7"/>
    <s v="沼袋駅"/>
    <n v="9"/>
    <n v="11"/>
    <n v="98022.29"/>
    <n v="168453.81"/>
    <n v="323"/>
    <n v="788"/>
    <s v="30-40"/>
    <x v="3"/>
  </r>
  <r>
    <s v="https://suumo.jp/chintai/jnc_000103780353/?bc=100481302539"/>
    <s v="Ａｒｔｅ　哲学堂"/>
    <s v="東京都中野区沼袋２"/>
    <n v="139000"/>
    <n v="10000"/>
    <n v="139000"/>
    <n v="139000"/>
    <n v="1"/>
    <x v="3"/>
    <n v="38.71"/>
    <n v="19"/>
    <x v="2"/>
    <s v="沼袋駅"/>
    <n v="10"/>
    <n v="12.67"/>
    <n v="98022.29"/>
    <n v="168453.81"/>
    <n v="323"/>
    <n v="788"/>
    <s v="30-40"/>
    <x v="7"/>
  </r>
  <r>
    <s v="https://suumo.jp/chintai/jnc_000101258999/?bc=100473971661"/>
    <s v="ＪＲ中央線 中野駅 3階建 築22年"/>
    <s v="東京都中野区新井２"/>
    <n v="153000"/>
    <n v="5500"/>
    <m/>
    <n v="153000"/>
    <n v="3"/>
    <x v="3"/>
    <n v="40.57"/>
    <n v="22"/>
    <x v="2"/>
    <s v="沼袋駅"/>
    <n v="13"/>
    <n v="14.33"/>
    <n v="98022.29"/>
    <n v="168453.81"/>
    <n v="323"/>
    <n v="788"/>
    <s v="40-50"/>
    <x v="1"/>
  </r>
  <r>
    <s v="https://suumo.jp/chintai/jnc_000103873780/?bc=100481285498"/>
    <s v="ＪＲ中央線 中野駅 4階建 築37年"/>
    <s v="東京都中野区新井２"/>
    <n v="160000"/>
    <n v="10000"/>
    <n v="160000"/>
    <n v="160000"/>
    <n v="4"/>
    <x v="3"/>
    <n v="41"/>
    <n v="37"/>
    <x v="4"/>
    <s v="沼袋駅"/>
    <n v="9"/>
    <n v="11"/>
    <n v="98022.29"/>
    <n v="168453.81"/>
    <n v="323"/>
    <n v="788"/>
    <s v="40-50"/>
    <x v="4"/>
  </r>
  <r>
    <s v="https://suumo.jp/chintai/jnc_000104170643/?bc=100483673956"/>
    <s v="ＪＲ中央線 中野駅 5階建 築2年"/>
    <s v="東京都中野区新井３"/>
    <n v="135000"/>
    <n v="10000"/>
    <n v="135000"/>
    <n v="135000"/>
    <n v="2"/>
    <x v="3"/>
    <n v="34.56"/>
    <n v="2"/>
    <x v="7"/>
    <s v="沼袋駅"/>
    <n v="8"/>
    <n v="10.67"/>
    <n v="98022.29"/>
    <n v="168453.81"/>
    <n v="323"/>
    <n v="788"/>
    <s v="30-40"/>
    <x v="0"/>
  </r>
  <r>
    <s v="https://suumo.jp/chintai/jnc_000102679423/?bc=100471825571"/>
    <s v="CONTEL　NAKANO"/>
    <s v="東京都中野区沼袋１"/>
    <n v="77000"/>
    <n v="9000"/>
    <m/>
    <m/>
    <n v="2"/>
    <x v="0"/>
    <n v="15.29"/>
    <n v="6"/>
    <x v="4"/>
    <s v="沼袋駅"/>
    <n v="3"/>
    <n v="13"/>
    <n v="98022.29"/>
    <n v="77692.34"/>
    <n v="323"/>
    <n v="1071"/>
    <s v="10-20"/>
    <x v="0"/>
  </r>
  <r>
    <s v="https://suumo.jp/chintai/jnc_000065362545/?bc=100485778782"/>
    <s v="CONTEL　NAKANO"/>
    <s v="東京都中野区沼袋１"/>
    <n v="70000"/>
    <n v="9000"/>
    <m/>
    <m/>
    <n v="3"/>
    <x v="0"/>
    <n v="12"/>
    <n v="6"/>
    <x v="4"/>
    <s v="沼袋駅"/>
    <n v="3"/>
    <n v="13"/>
    <n v="98022.29"/>
    <n v="77692.34"/>
    <n v="323"/>
    <n v="1071"/>
    <s v="10-20"/>
    <x v="0"/>
  </r>
  <r>
    <s v="https://suumo.jp/chintai/jnc_000104442905/?bc=100485829807"/>
    <s v="CONTEL　NAKANO"/>
    <s v="東京都中野区沼袋１"/>
    <n v="72000"/>
    <n v="9000"/>
    <m/>
    <m/>
    <n v="4"/>
    <x v="0"/>
    <n v="12.25"/>
    <n v="6"/>
    <x v="4"/>
    <s v="沼袋駅"/>
    <n v="3"/>
    <n v="13"/>
    <n v="98022.29"/>
    <n v="77692.34"/>
    <n v="323"/>
    <n v="1071"/>
    <s v="10-20"/>
    <x v="0"/>
  </r>
  <r>
    <s v="https://suumo.jp/chintai/jnc_000100009741/?bc=100448076636"/>
    <s v="DORM中野"/>
    <s v="東京都中野区沼袋３"/>
    <n v="50000"/>
    <n v="3000"/>
    <m/>
    <m/>
    <n v="1"/>
    <x v="0"/>
    <n v="18"/>
    <n v="39"/>
    <x v="4"/>
    <s v="沼袋駅"/>
    <n v="8"/>
    <n v="12.33"/>
    <n v="98022.29"/>
    <n v="77692.34"/>
    <n v="323"/>
    <n v="1071"/>
    <s v="10-20"/>
    <x v="4"/>
  </r>
  <r>
    <s v="https://suumo.jp/chintai/jnc_000103123139/?bc=100475229123"/>
    <s v="Luciole"/>
    <s v="東京都中野区沼袋３"/>
    <n v="64000"/>
    <n v="4000"/>
    <m/>
    <n v="64000"/>
    <n v="2"/>
    <x v="0"/>
    <n v="12.61"/>
    <n v="2"/>
    <x v="0"/>
    <s v="沼袋駅"/>
    <n v="6"/>
    <n v="11.67"/>
    <n v="98022.29"/>
    <n v="77692.34"/>
    <n v="323"/>
    <n v="1071"/>
    <s v="10-20"/>
    <x v="0"/>
  </r>
  <r>
    <s v="https://suumo.jp/chintai/jnc_000056717462/?bc=100482475592"/>
    <s v="アクティブハイツ"/>
    <s v="東京都中野区沼袋１"/>
    <n v="60000"/>
    <m/>
    <n v="60000"/>
    <n v="60000"/>
    <n v="1"/>
    <x v="0"/>
    <n v="20"/>
    <n v="30"/>
    <x v="0"/>
    <s v="沼袋駅"/>
    <n v="5"/>
    <n v="10"/>
    <n v="98022.29"/>
    <n v="77692.34"/>
    <n v="323"/>
    <n v="1071"/>
    <s v="20-30"/>
    <x v="1"/>
  </r>
  <r>
    <s v="https://suumo.jp/chintai/jnc_000104499521/?bc=100486244012"/>
    <s v="アミューズ・ラ・クール中野"/>
    <s v="東京都中野区沼袋１"/>
    <n v="75000"/>
    <n v="1000"/>
    <n v="75000"/>
    <n v="75000"/>
    <n v="2"/>
    <x v="0"/>
    <n v="22"/>
    <n v="20"/>
    <x v="2"/>
    <s v="沼袋駅"/>
    <n v="4"/>
    <n v="10.67"/>
    <n v="98022.29"/>
    <n v="77692.34"/>
    <n v="323"/>
    <n v="1071"/>
    <s v="20-30"/>
    <x v="7"/>
  </r>
  <r>
    <s v="https://suumo.jp/chintai/jnc_000103611125/?bc=100478987704"/>
    <s v="アルトリオ"/>
    <s v="東京都中野区新井４"/>
    <n v="92000"/>
    <n v="4000"/>
    <n v="92000"/>
    <n v="92000"/>
    <n v="3"/>
    <x v="0"/>
    <n v="25.05"/>
    <n v="17"/>
    <x v="2"/>
    <s v="沼袋駅"/>
    <n v="4"/>
    <n v="11.33"/>
    <n v="98022.29"/>
    <n v="77692.34"/>
    <n v="323"/>
    <n v="1071"/>
    <s v="20-30"/>
    <x v="7"/>
  </r>
  <r>
    <s v="https://suumo.jp/chintai/jnc_000102633008/?bc=100471606359"/>
    <s v="アークピア"/>
    <s v="東京都中野区江古田４"/>
    <n v="37000"/>
    <n v="3000"/>
    <m/>
    <m/>
    <n v="3"/>
    <x v="0"/>
    <n v="11.4"/>
    <n v="40"/>
    <x v="4"/>
    <s v="沼袋駅"/>
    <n v="8"/>
    <n v="13.67"/>
    <n v="98022.29"/>
    <n v="77692.34"/>
    <n v="323"/>
    <n v="1071"/>
    <s v="10-20"/>
    <x v="4"/>
  </r>
  <r>
    <s v="https://suumo.jp/chintai/jnc_000100231180/?bc=100449682620"/>
    <s v="アーバンスクエア沼袋B棟"/>
    <s v="東京都中野区沼袋１"/>
    <n v="51000"/>
    <n v="2000"/>
    <n v="51000"/>
    <m/>
    <n v="2"/>
    <x v="0"/>
    <n v="11.34"/>
    <n v="21"/>
    <x v="0"/>
    <s v="沼袋駅"/>
    <n v="5"/>
    <n v="10.33"/>
    <n v="98022.29"/>
    <n v="77692.34"/>
    <n v="323"/>
    <n v="1071"/>
    <s v="10-20"/>
    <x v="1"/>
  </r>
  <r>
    <s v="https://suumo.jp/chintai/jnc_000087873597/?bc=100473643328"/>
    <s v="アーバンプレイス沼袋B棟"/>
    <s v="東京都中野区沼袋４"/>
    <n v="48000"/>
    <n v="3000"/>
    <m/>
    <m/>
    <n v="1"/>
    <x v="0"/>
    <n v="9.1999999999999993"/>
    <n v="16"/>
    <x v="0"/>
    <s v="沼袋駅"/>
    <n v="5"/>
    <n v="10.67"/>
    <n v="98022.29"/>
    <n v="77692.34"/>
    <n v="323"/>
    <n v="1071"/>
    <s v="&lt;10"/>
    <x v="7"/>
  </r>
  <r>
    <s v="https://suumo.jp/chintai/jnc_000104442906/?bc=100485853077"/>
    <s v="アーバンプレイス沼袋VII　Ａ"/>
    <s v="東京都中野区沼袋４"/>
    <n v="55000"/>
    <m/>
    <n v="55000"/>
    <n v="55000"/>
    <n v="1"/>
    <x v="0"/>
    <n v="10.130000000000001"/>
    <n v="16"/>
    <x v="0"/>
    <s v="沼袋駅"/>
    <n v="5"/>
    <n v="11.33"/>
    <n v="98022.29"/>
    <n v="77692.34"/>
    <n v="323"/>
    <n v="1071"/>
    <s v="10-20"/>
    <x v="7"/>
  </r>
  <r>
    <s v="https://suumo.jp/chintai/jnc_000103743337/?bc=100397115290"/>
    <s v="アーバンプレイス沼袋VＢ"/>
    <s v="東京都中野区江古田２"/>
    <n v="47000"/>
    <n v="5000"/>
    <m/>
    <m/>
    <n v="1"/>
    <x v="0"/>
    <n v="10.87"/>
    <n v="17"/>
    <x v="0"/>
    <s v="沼袋駅"/>
    <n v="9"/>
    <n v="13.33"/>
    <n v="98022.29"/>
    <n v="77692.34"/>
    <n v="323"/>
    <n v="1071"/>
    <s v="10-20"/>
    <x v="7"/>
  </r>
  <r>
    <s v="https://suumo.jp/chintai/jnc_000101379359/?bc=100458798650"/>
    <s v="ウエストフィールド"/>
    <s v="東京都中野区沼袋１"/>
    <n v="50000"/>
    <m/>
    <n v="50000"/>
    <n v="50000"/>
    <n v="1"/>
    <x v="0"/>
    <n v="16.7"/>
    <n v="34"/>
    <x v="0"/>
    <s v="沼袋駅"/>
    <n v="2"/>
    <n v="11"/>
    <n v="98022.29"/>
    <n v="77692.34"/>
    <n v="323"/>
    <n v="1071"/>
    <s v="10-20"/>
    <x v="4"/>
  </r>
  <r>
    <s v="https://suumo.jp/chintai/jnc_000104304018/?bc=100484622270"/>
    <s v="エルボックス　ナカノ"/>
    <s v="東京都中野区新井２"/>
    <n v="75000"/>
    <n v="2000"/>
    <n v="75000"/>
    <n v="75000"/>
    <n v="3"/>
    <x v="0"/>
    <n v="20.3"/>
    <n v="35"/>
    <x v="2"/>
    <s v="沼袋駅"/>
    <n v="8"/>
    <n v="10"/>
    <n v="98022.29"/>
    <n v="77692.34"/>
    <n v="323"/>
    <n v="1071"/>
    <s v="20-30"/>
    <x v="4"/>
  </r>
  <r>
    <s v="https://suumo.jp/chintai/jnc_000103393232/?bc=100477152342"/>
    <s v="エンジェルマンション１１番館"/>
    <s v="東京都中野区沼袋１"/>
    <n v="45000"/>
    <n v="2000"/>
    <m/>
    <m/>
    <n v="3"/>
    <x v="0"/>
    <n v="13"/>
    <n v="38"/>
    <x v="4"/>
    <s v="沼袋駅"/>
    <n v="6"/>
    <n v="11"/>
    <n v="98022.29"/>
    <n v="77692.34"/>
    <n v="323"/>
    <n v="1071"/>
    <s v="10-20"/>
    <x v="4"/>
  </r>
  <r>
    <s v="https://suumo.jp/chintai/jnc_000104215470/?bc=100484564055"/>
    <s v="クレア中野野方"/>
    <s v="東京都中野区野方３"/>
    <n v="66000"/>
    <n v="5000"/>
    <m/>
    <m/>
    <n v="2"/>
    <x v="0"/>
    <n v="12.68"/>
    <n v="7"/>
    <x v="0"/>
    <s v="沼袋駅"/>
    <n v="9"/>
    <n v="12.67"/>
    <n v="98022.29"/>
    <n v="77692.34"/>
    <n v="323"/>
    <n v="1071"/>
    <s v="10-20"/>
    <x v="0"/>
  </r>
  <r>
    <s v="https://suumo.jp/chintai/jnc_000103454489/?bc=100477614000"/>
    <s v="グリーンヒルズ松ヶ丘"/>
    <s v="東京都中野区松が丘２"/>
    <n v="70000"/>
    <n v="2500"/>
    <m/>
    <m/>
    <n v="2"/>
    <x v="0"/>
    <n v="25"/>
    <n v="33"/>
    <x v="0"/>
    <s v="沼袋駅"/>
    <n v="10"/>
    <n v="12.67"/>
    <n v="98022.29"/>
    <n v="77692.34"/>
    <n v="323"/>
    <n v="1071"/>
    <s v="20-30"/>
    <x v="4"/>
  </r>
  <r>
    <s v="https://suumo.jp/chintai/jnc_000104525880/?bc=100486292418"/>
    <s v="コーポカトレア"/>
    <s v="東京都中野区新井２"/>
    <n v="60000"/>
    <n v="2000"/>
    <n v="60000"/>
    <n v="60000"/>
    <n v="2"/>
    <x v="0"/>
    <n v="19"/>
    <n v="41"/>
    <x v="4"/>
    <s v="沼袋駅"/>
    <n v="10"/>
    <n v="11.33"/>
    <n v="98022.29"/>
    <n v="77692.34"/>
    <n v="323"/>
    <n v="1071"/>
    <s v="10-20"/>
    <x v="3"/>
  </r>
  <r>
    <s v="https://suumo.jp/chintai/jnc_000104070128/?bc=100482932670"/>
    <s v="サウスウインド"/>
    <s v="東京都中野区新井４"/>
    <n v="74000"/>
    <n v="5000"/>
    <n v="74000"/>
    <n v="74000"/>
    <n v="1"/>
    <x v="0"/>
    <n v="18"/>
    <n v="38"/>
    <x v="2"/>
    <s v="沼袋駅"/>
    <n v="5"/>
    <n v="10.67"/>
    <n v="98022.29"/>
    <n v="77692.34"/>
    <n v="323"/>
    <n v="1071"/>
    <s v="10-20"/>
    <x v="4"/>
  </r>
  <r>
    <s v="https://suumo.jp/chintai/jnc_000053958634/?bc=100471610963"/>
    <s v="シエスタルイス"/>
    <s v="東京都中野区沼袋４"/>
    <n v="50000"/>
    <n v="5000"/>
    <m/>
    <m/>
    <n v="1"/>
    <x v="0"/>
    <n v="13.5"/>
    <n v="17"/>
    <x v="0"/>
    <s v="沼袋駅"/>
    <n v="9"/>
    <n v="14"/>
    <n v="98022.29"/>
    <n v="77692.34"/>
    <n v="323"/>
    <n v="1071"/>
    <s v="10-20"/>
    <x v="7"/>
  </r>
  <r>
    <s v="https://suumo.jp/chintai/jnc_000103330731/?bc=100478342471"/>
    <s v="ジュリアス中野"/>
    <s v="東京都中野区沼袋３"/>
    <n v="81000"/>
    <n v="10000"/>
    <m/>
    <m/>
    <n v="4"/>
    <x v="0"/>
    <n v="20.03"/>
    <n v="5"/>
    <x v="4"/>
    <s v="沼袋駅"/>
    <n v="9"/>
    <n v="12.67"/>
    <n v="98022.29"/>
    <n v="77692.34"/>
    <n v="323"/>
    <n v="1071"/>
    <s v="20-30"/>
    <x v="0"/>
  </r>
  <r>
    <s v="https://suumo.jp/chintai/jnc_000102719241/?bc=100471848747"/>
    <s v="ジョイ"/>
    <s v="東京都中野区沼袋１"/>
    <n v="60000"/>
    <m/>
    <m/>
    <m/>
    <n v="2"/>
    <x v="0"/>
    <n v="15.8"/>
    <n v="58"/>
    <x v="0"/>
    <s v="沼袋駅"/>
    <n v="2"/>
    <n v="10.67"/>
    <n v="98022.29"/>
    <n v="77692.34"/>
    <n v="323"/>
    <n v="1071"/>
    <s v="10-20"/>
    <x v="5"/>
  </r>
  <r>
    <s v="https://suumo.jp/chintai/jnc_000104387664/?bc=100476802049"/>
    <s v="スカイタウン沼袋"/>
    <s v="東京都中野区沼袋３"/>
    <n v="66000"/>
    <n v="4000"/>
    <n v="66000"/>
    <m/>
    <n v="2"/>
    <x v="0"/>
    <n v="17.98"/>
    <n v="38"/>
    <x v="2"/>
    <s v="沼袋駅"/>
    <n v="2"/>
    <n v="9.33"/>
    <n v="98022.29"/>
    <n v="77692.34"/>
    <n v="323"/>
    <n v="1071"/>
    <s v="10-20"/>
    <x v="4"/>
  </r>
  <r>
    <s v="https://suumo.jp/chintai/jnc_000104387663/?bc=100482582639"/>
    <s v="スカイタウン沼袋"/>
    <s v="東京都中野区沼袋３"/>
    <n v="69000"/>
    <n v="3000"/>
    <n v="69000"/>
    <m/>
    <n v="2"/>
    <x v="0"/>
    <n v="20.22"/>
    <n v="38"/>
    <x v="2"/>
    <s v="沼袋駅"/>
    <n v="2"/>
    <n v="9.33"/>
    <n v="98022.29"/>
    <n v="77692.34"/>
    <n v="323"/>
    <n v="1071"/>
    <s v="20-30"/>
    <x v="4"/>
  </r>
  <r>
    <s v="https://suumo.jp/chintai/jnc_000101983064/?bc=100464355649"/>
    <s v="セゾン沼袋"/>
    <s v="東京都中野区沼袋３"/>
    <n v="57000"/>
    <m/>
    <n v="57000"/>
    <n v="57000"/>
    <n v="1"/>
    <x v="0"/>
    <n v="16"/>
    <n v="40"/>
    <x v="0"/>
    <s v="沼袋駅"/>
    <n v="4"/>
    <n v="10.33"/>
    <n v="98022.29"/>
    <n v="77692.34"/>
    <n v="323"/>
    <n v="1071"/>
    <s v="10-20"/>
    <x v="4"/>
  </r>
  <r>
    <s v="https://suumo.jp/chintai/jnc_000073092506/?bc=100484123211"/>
    <s v="セゾン沼袋"/>
    <s v="東京都中野区沼袋３"/>
    <n v="46000"/>
    <n v="1000"/>
    <m/>
    <m/>
    <n v="2"/>
    <x v="0"/>
    <n v="14"/>
    <n v="40"/>
    <x v="0"/>
    <s v="沼袋駅"/>
    <n v="4"/>
    <n v="10.33"/>
    <n v="98022.29"/>
    <n v="77692.34"/>
    <n v="323"/>
    <n v="1071"/>
    <s v="10-20"/>
    <x v="4"/>
  </r>
  <r>
    <s v="https://suumo.jp/chintai/jnc_000071823994/?bc=100454487335"/>
    <s v="セゾン沼袋"/>
    <s v="東京都中野区沼袋３"/>
    <n v="48000"/>
    <n v="1000"/>
    <m/>
    <m/>
    <n v="2"/>
    <x v="0"/>
    <n v="16"/>
    <n v="40"/>
    <x v="0"/>
    <s v="沼袋駅"/>
    <n v="4"/>
    <n v="10.33"/>
    <n v="98022.29"/>
    <n v="77692.34"/>
    <n v="323"/>
    <n v="1071"/>
    <s v="10-20"/>
    <x v="4"/>
  </r>
  <r>
    <s v="https://suumo.jp/chintai/jnc_000103798530/?bc=100480618516"/>
    <s v="セゾン沼袋"/>
    <s v="東京都中野区沼袋３"/>
    <n v="57000"/>
    <m/>
    <n v="57000"/>
    <n v="57000"/>
    <n v="2"/>
    <x v="0"/>
    <n v="16"/>
    <n v="40"/>
    <x v="0"/>
    <s v="沼袋駅"/>
    <n v="4"/>
    <n v="10.33"/>
    <n v="98022.29"/>
    <n v="77692.34"/>
    <n v="323"/>
    <n v="1071"/>
    <s v="10-20"/>
    <x v="4"/>
  </r>
  <r>
    <s v="https://suumo.jp/chintai/jnc_000104474409/?bc=100387595220"/>
    <s v="セレシア哲学堂"/>
    <s v="東京都中野区松が丘２"/>
    <n v="45000"/>
    <n v="3000"/>
    <m/>
    <m/>
    <n v="1"/>
    <x v="0"/>
    <n v="12.96"/>
    <n v="36"/>
    <x v="0"/>
    <s v="沼袋駅"/>
    <n v="9"/>
    <n v="9.5"/>
    <n v="98022.29"/>
    <n v="77692.34"/>
    <n v="323"/>
    <n v="1071"/>
    <s v="10-20"/>
    <x v="4"/>
  </r>
  <r>
    <s v="https://suumo.jp/chintai/jnc_000104474410/?bc=100361817599"/>
    <s v="セレシア哲学堂"/>
    <s v="東京都中野区松が丘２"/>
    <n v="47000"/>
    <n v="3000"/>
    <m/>
    <m/>
    <n v="2"/>
    <x v="0"/>
    <n v="12.96"/>
    <n v="36"/>
    <x v="0"/>
    <s v="沼袋駅"/>
    <n v="9"/>
    <n v="9.5"/>
    <n v="98022.29"/>
    <n v="77692.34"/>
    <n v="323"/>
    <n v="1071"/>
    <s v="10-20"/>
    <x v="4"/>
  </r>
  <r>
    <s v="https://suumo.jp/chintai/jnc_000103994787/?bc=100482075918"/>
    <s v="ソフィアカラーズ(家具付き)"/>
    <s v="東京都中野区沼袋３"/>
    <n v="62000"/>
    <n v="3000"/>
    <m/>
    <m/>
    <n v="2"/>
    <x v="0"/>
    <n v="10.57"/>
    <n v="6"/>
    <x v="0"/>
    <s v="沼袋駅"/>
    <n v="4"/>
    <n v="13.67"/>
    <n v="98022.29"/>
    <n v="77692.34"/>
    <n v="323"/>
    <n v="1071"/>
    <s v="10-20"/>
    <x v="0"/>
  </r>
  <r>
    <s v="https://suumo.jp/chintai/jnc_000101634789/?bc=100480034828"/>
    <s v="ソフィアスカイ"/>
    <s v="東京都中野区松が丘２"/>
    <n v="62000"/>
    <n v="3000"/>
    <m/>
    <m/>
    <n v="2"/>
    <x v="0"/>
    <n v="10.7"/>
    <n v="5"/>
    <x v="0"/>
    <s v="沼袋駅"/>
    <n v="12"/>
    <n v="14.67"/>
    <n v="98022.29"/>
    <n v="77692.34"/>
    <n v="323"/>
    <n v="1071"/>
    <s v="10-20"/>
    <x v="0"/>
  </r>
  <r>
    <s v="https://suumo.jp/chintai/jnc_000103500348/?bc=100480026390"/>
    <s v="ソフィアツリー"/>
    <s v="東京都中野区松が丘２"/>
    <n v="62000"/>
    <n v="3000"/>
    <m/>
    <m/>
    <n v="2"/>
    <x v="0"/>
    <n v="11.05"/>
    <n v="5"/>
    <x v="0"/>
    <s v="沼袋駅"/>
    <n v="12"/>
    <n v="14.67"/>
    <n v="98022.29"/>
    <n v="77692.34"/>
    <n v="323"/>
    <n v="1071"/>
    <s v="10-20"/>
    <x v="0"/>
  </r>
  <r>
    <s v="https://suumo.jp/chintai/jnc_000057863814/?bc=100483885884"/>
    <s v="ソフィアマジック"/>
    <s v="東京都中野区沼袋４"/>
    <n v="60000"/>
    <n v="3000"/>
    <m/>
    <m/>
    <n v="1"/>
    <x v="0"/>
    <n v="10.24"/>
    <n v="6"/>
    <x v="0"/>
    <s v="沼袋駅"/>
    <n v="6"/>
    <n v="12.67"/>
    <n v="98022.29"/>
    <n v="77692.34"/>
    <n v="323"/>
    <n v="1071"/>
    <s v="10-20"/>
    <x v="0"/>
  </r>
  <r>
    <s v="https://suumo.jp/chintai/jnc_000103563652/?bc=100484562269"/>
    <s v="タロハウス"/>
    <s v="東京都中野区沼袋３"/>
    <n v="65000"/>
    <n v="3000"/>
    <n v="65000"/>
    <n v="65000"/>
    <n v="1"/>
    <x v="0"/>
    <n v="17.02"/>
    <n v="38"/>
    <x v="2"/>
    <s v="沼袋駅"/>
    <n v="3"/>
    <n v="10.67"/>
    <n v="98022.29"/>
    <n v="77692.34"/>
    <n v="323"/>
    <n v="1071"/>
    <s v="10-20"/>
    <x v="4"/>
  </r>
  <r>
    <s v="https://suumo.jp/chintai/jnc_000104474398/?bc=100484599383"/>
    <s v="タロハウス"/>
    <s v="東京都中野区沼袋３"/>
    <n v="67000"/>
    <n v="3000"/>
    <n v="67000"/>
    <n v="67000"/>
    <n v="1"/>
    <x v="0"/>
    <n v="20.28"/>
    <n v="38"/>
    <x v="2"/>
    <s v="沼袋駅"/>
    <n v="3"/>
    <n v="10.67"/>
    <n v="98022.29"/>
    <n v="77692.34"/>
    <n v="323"/>
    <n v="1071"/>
    <s v="20-30"/>
    <x v="4"/>
  </r>
  <r>
    <s v="https://suumo.jp/chintai/jnc_000102805444/?bc=100484082739"/>
    <s v="ダンズM中野"/>
    <s v="東京都中野区沼袋４"/>
    <n v="73000"/>
    <n v="4000"/>
    <m/>
    <n v="73000"/>
    <n v="2"/>
    <x v="0"/>
    <n v="21.73"/>
    <n v="8"/>
    <x v="0"/>
    <s v="沼袋駅"/>
    <n v="5"/>
    <n v="13.67"/>
    <n v="98022.29"/>
    <n v="77692.34"/>
    <n v="323"/>
    <n v="1071"/>
    <s v="20-30"/>
    <x v="0"/>
  </r>
  <r>
    <s v="https://suumo.jp/chintai/jnc_000104207767/?bc=100483816060"/>
    <s v="ハイツ和"/>
    <s v="東京都中野区新井３"/>
    <n v="74000"/>
    <n v="1000"/>
    <n v="74000"/>
    <n v="74000"/>
    <n v="1"/>
    <x v="0"/>
    <n v="18"/>
    <n v="19"/>
    <x v="2"/>
    <s v="沼袋駅"/>
    <n v="7"/>
    <n v="10"/>
    <n v="98022.29"/>
    <n v="77692.34"/>
    <n v="323"/>
    <n v="1071"/>
    <s v="10-20"/>
    <x v="7"/>
  </r>
  <r>
    <s v="https://suumo.jp/chintai/jnc_000103514130/?bc=100481961994"/>
    <s v="ハウス中野"/>
    <s v="東京都中野区沼袋１"/>
    <n v="70000"/>
    <n v="3000"/>
    <n v="70000"/>
    <n v="70000"/>
    <n v="2"/>
    <x v="0"/>
    <n v="24.1"/>
    <n v="63"/>
    <x v="0"/>
    <s v="沼袋駅"/>
    <n v="5"/>
    <n v="11"/>
    <n v="98022.29"/>
    <n v="77692.34"/>
    <n v="323"/>
    <n v="1071"/>
    <s v="20-30"/>
    <x v="2"/>
  </r>
  <r>
    <s v="https://suumo.jp/chintai/jnc_000087614507/?bc=100472677755"/>
    <s v="ハーモニーテラス沼袋"/>
    <s v="東京都中野区沼袋２"/>
    <n v="58000"/>
    <n v="4000"/>
    <m/>
    <n v="58000"/>
    <n v="1"/>
    <x v="0"/>
    <n v="11.01"/>
    <n v="4"/>
    <x v="0"/>
    <s v="沼袋駅"/>
    <n v="9"/>
    <n v="12.67"/>
    <n v="98022.29"/>
    <n v="77692.34"/>
    <n v="323"/>
    <n v="1071"/>
    <s v="10-20"/>
    <x v="0"/>
  </r>
  <r>
    <s v="https://suumo.jp/chintai/jnc_000104215466/?bc=100484139773"/>
    <s v="ハーモニーテラス沼袋"/>
    <s v="東京都中野区沼袋２"/>
    <n v="62000"/>
    <n v="4000"/>
    <m/>
    <n v="62000"/>
    <n v="1"/>
    <x v="0"/>
    <n v="12.32"/>
    <n v="4"/>
    <x v="0"/>
    <s v="沼袋駅"/>
    <n v="9"/>
    <n v="12.67"/>
    <n v="98022.29"/>
    <n v="77692.34"/>
    <n v="323"/>
    <n v="1071"/>
    <s v="10-20"/>
    <x v="0"/>
  </r>
  <r>
    <s v="https://suumo.jp/chintai/jnc_000104249774/?bc=100484160430"/>
    <s v="ハーモニーテラス沼袋"/>
    <s v="東京都中野区沼袋２"/>
    <n v="61000"/>
    <n v="4000"/>
    <m/>
    <n v="61000"/>
    <n v="2"/>
    <x v="0"/>
    <n v="11.01"/>
    <n v="4"/>
    <x v="0"/>
    <s v="沼袋駅"/>
    <n v="9"/>
    <n v="12.67"/>
    <n v="98022.29"/>
    <n v="77692.34"/>
    <n v="323"/>
    <n v="1071"/>
    <s v="10-20"/>
    <x v="0"/>
  </r>
  <r>
    <s v="https://suumo.jp/chintai/jnc_000103695172/?bc=100479810092"/>
    <s v="フェリスライリー"/>
    <s v="東京都中野区沼袋１"/>
    <n v="52000"/>
    <n v="3000"/>
    <n v="52000"/>
    <n v="52000"/>
    <n v="2"/>
    <x v="0"/>
    <n v="10.55"/>
    <n v="10"/>
    <x v="0"/>
    <s v="沼袋駅"/>
    <n v="5"/>
    <n v="11.67"/>
    <n v="98022.29"/>
    <n v="77692.34"/>
    <n v="323"/>
    <n v="1071"/>
    <s v="10-20"/>
    <x v="0"/>
  </r>
  <r>
    <s v="https://suumo.jp/chintai/jnc_000101574726/?bc=100460762826"/>
    <s v="フォレスタ中野"/>
    <s v="東京都中野区新井３"/>
    <n v="70000"/>
    <n v="3000"/>
    <m/>
    <m/>
    <n v="2"/>
    <x v="0"/>
    <n v="16.5"/>
    <n v="27"/>
    <x v="2"/>
    <s v="沼袋駅"/>
    <n v="10"/>
    <n v="12"/>
    <n v="98022.29"/>
    <n v="77692.34"/>
    <n v="323"/>
    <n v="1071"/>
    <s v="10-20"/>
    <x v="1"/>
  </r>
  <r>
    <s v="https://suumo.jp/chintai/jnc_000102951921/?bc=100418571393"/>
    <s v="フォレスタ中野"/>
    <s v="東京都中野区新井３"/>
    <n v="69000"/>
    <n v="4000"/>
    <n v="69000"/>
    <m/>
    <n v="2"/>
    <x v="0"/>
    <n v="17.600000000000001"/>
    <n v="27"/>
    <x v="2"/>
    <s v="沼袋駅"/>
    <n v="10"/>
    <n v="12"/>
    <n v="98022.29"/>
    <n v="77692.34"/>
    <n v="323"/>
    <n v="1071"/>
    <s v="10-20"/>
    <x v="1"/>
  </r>
  <r>
    <s v="https://suumo.jp/chintai/jnc_000103217915/?bc=100475847130"/>
    <s v="フォレスタ中野"/>
    <s v="東京都中野区新井３"/>
    <n v="70000"/>
    <n v="4000"/>
    <m/>
    <m/>
    <n v="3"/>
    <x v="0"/>
    <n v="16.5"/>
    <n v="27"/>
    <x v="2"/>
    <s v="沼袋駅"/>
    <n v="10"/>
    <n v="12"/>
    <n v="98022.29"/>
    <n v="77692.34"/>
    <n v="323"/>
    <n v="1071"/>
    <s v="10-20"/>
    <x v="1"/>
  </r>
  <r>
    <s v="https://suumo.jp/chintai/jnc_000102814411/?bc=100479026750"/>
    <s v="フローラ松が丘"/>
    <s v="東京都中野区松が丘２"/>
    <n v="81000"/>
    <n v="3000"/>
    <n v="40500"/>
    <n v="121500"/>
    <n v="2"/>
    <x v="0"/>
    <n v="24.22"/>
    <n v="22"/>
    <x v="0"/>
    <s v="沼袋駅"/>
    <n v="10"/>
    <n v="13.67"/>
    <n v="98022.29"/>
    <n v="77692.34"/>
    <n v="323"/>
    <n v="1071"/>
    <s v="20-30"/>
    <x v="1"/>
  </r>
  <r>
    <s v="https://suumo.jp/chintai/jnc_000034225752/?bc=100474221299"/>
    <s v="プライムハイツ"/>
    <s v="東京都中野区新井３"/>
    <n v="69000"/>
    <m/>
    <n v="69000"/>
    <n v="69000"/>
    <n v="1"/>
    <x v="0"/>
    <n v="22"/>
    <n v="36"/>
    <x v="0"/>
    <s v="沼袋駅"/>
    <n v="8"/>
    <n v="10.67"/>
    <n v="98022.29"/>
    <n v="77692.34"/>
    <n v="323"/>
    <n v="1071"/>
    <s v="20-30"/>
    <x v="4"/>
  </r>
  <r>
    <s v="https://suumo.jp/chintai/jnc_000102232497/?bc=100472696647"/>
    <s v="プルミエ沼袋"/>
    <s v="東京都中野区沼袋１"/>
    <n v="59000"/>
    <n v="4000"/>
    <m/>
    <n v="59000"/>
    <n v="1"/>
    <x v="0"/>
    <n v="11.02"/>
    <n v="2"/>
    <x v="0"/>
    <s v="沼袋駅"/>
    <n v="5"/>
    <n v="11.33"/>
    <n v="98022.29"/>
    <n v="77692.34"/>
    <n v="323"/>
    <n v="1071"/>
    <s v="10-20"/>
    <x v="0"/>
  </r>
  <r>
    <s v="https://suumo.jp/chintai/jnc_000102954817/?bc=100474489577"/>
    <s v="プルミエ沼袋"/>
    <s v="東京都中野区沼袋１"/>
    <n v="61000"/>
    <n v="4000"/>
    <m/>
    <n v="61000"/>
    <n v="1"/>
    <x v="0"/>
    <n v="11"/>
    <n v="2"/>
    <x v="0"/>
    <s v="沼袋駅"/>
    <n v="5"/>
    <n v="11.33"/>
    <n v="98022.29"/>
    <n v="77692.34"/>
    <n v="323"/>
    <n v="1071"/>
    <s v="10-20"/>
    <x v="0"/>
  </r>
  <r>
    <s v="https://suumo.jp/chintai/jnc_000102484772/?bc=100470002924"/>
    <s v="プレール中野"/>
    <s v="東京都中野区新井３"/>
    <n v="65000"/>
    <n v="5000"/>
    <n v="65000"/>
    <n v="65000"/>
    <n v="3"/>
    <x v="0"/>
    <n v="24.3"/>
    <n v="38"/>
    <x v="2"/>
    <s v="沼袋駅"/>
    <n v="6"/>
    <n v="9.67"/>
    <n v="98022.29"/>
    <n v="77692.34"/>
    <n v="323"/>
    <n v="1071"/>
    <s v="20-30"/>
    <x v="4"/>
  </r>
  <r>
    <s v="https://suumo.jp/chintai/jnc_000104433312/?bc=100485620549"/>
    <s v="メゾンアライ中野３号"/>
    <s v="東京都中野区沼袋１"/>
    <n v="52000"/>
    <n v="3000"/>
    <n v="52000"/>
    <m/>
    <n v="2"/>
    <x v="0"/>
    <n v="13.2"/>
    <n v="27"/>
    <x v="2"/>
    <s v="沼袋駅"/>
    <n v="7"/>
    <n v="12.33"/>
    <n v="98022.29"/>
    <n v="77692.34"/>
    <n v="323"/>
    <n v="1071"/>
    <s v="10-20"/>
    <x v="1"/>
  </r>
  <r>
    <s v="https://suumo.jp/chintai/jnc_000104060453/?bc=100482667797"/>
    <s v="メゾンアライ中野３号"/>
    <s v="東京都中野区沼袋１"/>
    <n v="52000"/>
    <n v="3000"/>
    <n v="52000"/>
    <m/>
    <n v="2"/>
    <x v="0"/>
    <n v="14.09"/>
    <n v="27"/>
    <x v="2"/>
    <s v="沼袋駅"/>
    <n v="7"/>
    <n v="12.33"/>
    <n v="98022.29"/>
    <n v="77692.34"/>
    <n v="323"/>
    <n v="1071"/>
    <s v="10-20"/>
    <x v="1"/>
  </r>
  <r>
    <s v="https://suumo.jp/chintai/jnc_000019621175/?bc=100482668037"/>
    <s v="メゾンアライ中野３号"/>
    <s v="東京都中野区沼袋１"/>
    <n v="53000"/>
    <n v="3000"/>
    <n v="53000"/>
    <m/>
    <n v="2"/>
    <x v="0"/>
    <n v="14.09"/>
    <n v="27"/>
    <x v="2"/>
    <s v="沼袋駅"/>
    <n v="7"/>
    <n v="12.33"/>
    <n v="98022.29"/>
    <n v="77692.34"/>
    <n v="323"/>
    <n v="1071"/>
    <s v="10-20"/>
    <x v="1"/>
  </r>
  <r>
    <s v="https://suumo.jp/chintai/jnc_000036938400/?bc=100485164520"/>
    <s v="メゾンアライ中野３号"/>
    <s v="東京都中野区沼袋１"/>
    <n v="58000"/>
    <m/>
    <n v="58000"/>
    <m/>
    <n v="3"/>
    <x v="0"/>
    <n v="13.51"/>
    <n v="27"/>
    <x v="2"/>
    <s v="沼袋駅"/>
    <n v="7"/>
    <n v="12.33"/>
    <n v="98022.29"/>
    <n v="77692.34"/>
    <n v="323"/>
    <n v="1071"/>
    <s v="10-20"/>
    <x v="1"/>
  </r>
  <r>
    <s v="https://suumo.jp/chintai/jnc_000104412202/?bc=100485434815"/>
    <s v="メゾンタカハシ"/>
    <s v="東京都中野区新井３"/>
    <n v="63000"/>
    <m/>
    <n v="63000"/>
    <m/>
    <n v="2"/>
    <x v="0"/>
    <n v="16.5"/>
    <n v="36"/>
    <x v="0"/>
    <s v="沼袋駅"/>
    <n v="5"/>
    <n v="9.67"/>
    <n v="98022.29"/>
    <n v="77692.34"/>
    <n v="323"/>
    <n v="1071"/>
    <s v="10-20"/>
    <x v="4"/>
  </r>
  <r>
    <s v="https://suumo.jp/chintai/jnc_000097852814/?bc=100477781958"/>
    <s v="メゾン・ド・エムロード"/>
    <s v="東京都中野区新井２"/>
    <n v="47000"/>
    <n v="15000"/>
    <m/>
    <n v="47000"/>
    <n v="1"/>
    <x v="0"/>
    <n v="13.65"/>
    <n v="41"/>
    <x v="7"/>
    <s v="沼袋駅"/>
    <n v="9"/>
    <n v="12.33"/>
    <n v="98022.29"/>
    <n v="77692.34"/>
    <n v="323"/>
    <n v="1071"/>
    <s v="10-20"/>
    <x v="3"/>
  </r>
  <r>
    <s v="https://suumo.jp/chintai/jnc_000102521285/?bc=100483397345"/>
    <s v="ユニオン・スクエア"/>
    <s v="東京都中野区江古田１"/>
    <n v="68000"/>
    <n v="5000"/>
    <m/>
    <m/>
    <n v="1"/>
    <x v="0"/>
    <n v="23.04"/>
    <n v="22"/>
    <x v="2"/>
    <s v="沼袋駅"/>
    <n v="12"/>
    <n v="13.33"/>
    <n v="98022.29"/>
    <n v="77692.34"/>
    <n v="323"/>
    <n v="1071"/>
    <s v="20-30"/>
    <x v="1"/>
  </r>
  <r>
    <s v="https://suumo.jp/chintai/jnc_000055670416/?bc=100475834971"/>
    <s v="リズ松ヶ丘"/>
    <s v="東京都中野区松が丘２"/>
    <n v="67000"/>
    <n v="3000"/>
    <n v="67000"/>
    <m/>
    <n v="2"/>
    <x v="0"/>
    <n v="21.37"/>
    <n v="33"/>
    <x v="2"/>
    <s v="沼袋駅"/>
    <n v="10"/>
    <n v="11.67"/>
    <n v="98022.29"/>
    <n v="77692.34"/>
    <n v="323"/>
    <n v="1071"/>
    <s v="20-30"/>
    <x v="4"/>
  </r>
  <r>
    <s v="https://suumo.jp/chintai/jnc_000071332759/?bc=100482938373"/>
    <s v="リズ松ヶ丘"/>
    <s v="東京都中野区松が丘２"/>
    <n v="65000"/>
    <n v="3000"/>
    <n v="65000"/>
    <m/>
    <n v="3"/>
    <x v="0"/>
    <n v="20"/>
    <n v="33"/>
    <x v="2"/>
    <s v="沼袋駅"/>
    <n v="10"/>
    <n v="11.67"/>
    <n v="98022.29"/>
    <n v="77692.34"/>
    <n v="323"/>
    <n v="1071"/>
    <s v="20-30"/>
    <x v="4"/>
  </r>
  <r>
    <s v="https://suumo.jp/chintai/jnc_000099353898/?bc=100444344413"/>
    <s v="リバーサイド若葉"/>
    <s v="東京都中野区松が丘２"/>
    <n v="42000"/>
    <n v="1000"/>
    <n v="42000"/>
    <m/>
    <n v="1"/>
    <x v="0"/>
    <n v="11.04"/>
    <n v="19"/>
    <x v="0"/>
    <s v="沼袋駅"/>
    <n v="7"/>
    <n v="12.67"/>
    <n v="98022.29"/>
    <n v="77692.34"/>
    <n v="323"/>
    <n v="1071"/>
    <s v="10-20"/>
    <x v="7"/>
  </r>
  <r>
    <s v="https://suumo.jp/chintai/jnc_000101373685/?bc=100479251034"/>
    <s v="一番館マンション"/>
    <s v="東京都中野区新井４"/>
    <n v="87000"/>
    <n v="2000"/>
    <m/>
    <m/>
    <n v="2"/>
    <x v="0"/>
    <n v="30"/>
    <n v="56"/>
    <x v="7"/>
    <s v="沼袋駅"/>
    <n v="5"/>
    <n v="8.67"/>
    <n v="98022.29"/>
    <n v="77692.34"/>
    <n v="323"/>
    <n v="1071"/>
    <s v="30-40"/>
    <x v="5"/>
  </r>
  <r>
    <s v="https://suumo.jp/chintai/jnc_000100464619/?bc=100484143978"/>
    <s v="中津ハイツ"/>
    <s v="東京都中野区新井４"/>
    <n v="77000"/>
    <n v="3000"/>
    <n v="77000"/>
    <m/>
    <n v="2"/>
    <x v="0"/>
    <n v="23"/>
    <n v="48"/>
    <x v="0"/>
    <s v="沼袋駅"/>
    <n v="3"/>
    <n v="10.67"/>
    <n v="98022.29"/>
    <n v="77692.34"/>
    <n v="323"/>
    <n v="1071"/>
    <s v="20-30"/>
    <x v="3"/>
  </r>
  <r>
    <s v="https://suumo.jp/chintai/jnc_000092849276/?bc=100472997152"/>
    <s v="原口荘"/>
    <s v="東京都中野区沼袋３"/>
    <n v="26000"/>
    <n v="3000"/>
    <n v="26000"/>
    <m/>
    <n v="2"/>
    <x v="0"/>
    <n v="10"/>
    <n v="57"/>
    <x v="0"/>
    <s v="沼袋駅"/>
    <n v="4"/>
    <n v="10.33"/>
    <n v="98022.29"/>
    <n v="77692.34"/>
    <n v="323"/>
    <n v="1071"/>
    <s v="10-20"/>
    <x v="5"/>
  </r>
  <r>
    <s v="https://suumo.jp/chintai/jnc_000100946668/?bc=100455756557"/>
    <s v="宮竹ビル"/>
    <s v="東京都中野区新井４"/>
    <n v="41000"/>
    <n v="2000"/>
    <n v="41000"/>
    <n v="41000"/>
    <n v="2"/>
    <x v="0"/>
    <n v="9.9"/>
    <n v="47"/>
    <x v="2"/>
    <s v="沼袋駅"/>
    <n v="6"/>
    <n v="9.33"/>
    <n v="98022.29"/>
    <n v="77692.34"/>
    <n v="323"/>
    <n v="1071"/>
    <s v="&lt;10"/>
    <x v="3"/>
  </r>
  <r>
    <s v="https://suumo.jp/chintai/jnc_000057496427/?bc=100407718422"/>
    <s v="村上ハイツＰＡＲＴ2"/>
    <s v="東京都中野区沼袋１"/>
    <n v="57000"/>
    <m/>
    <n v="57000"/>
    <m/>
    <n v="2"/>
    <x v="0"/>
    <n v="16"/>
    <n v="34"/>
    <x v="0"/>
    <s v="沼袋駅"/>
    <n v="2"/>
    <n v="12.33"/>
    <n v="98022.29"/>
    <n v="77692.34"/>
    <n v="323"/>
    <n v="1071"/>
    <s v="10-20"/>
    <x v="4"/>
  </r>
  <r>
    <s v="https://suumo.jp/chintai/jnc_000060517494/?bc=100385491175"/>
    <s v="松美荘"/>
    <s v="東京都中野区新井２"/>
    <n v="28000"/>
    <n v="2000"/>
    <m/>
    <m/>
    <n v="2"/>
    <x v="0"/>
    <n v="12.4"/>
    <n v="67"/>
    <x v="0"/>
    <s v="沼袋駅"/>
    <n v="9"/>
    <n v="10.33"/>
    <n v="98022.29"/>
    <n v="77692.34"/>
    <n v="323"/>
    <n v="1071"/>
    <s v="10-20"/>
    <x v="2"/>
  </r>
  <r>
    <s v="https://suumo.jp/chintai/jnc_000094336892/?bc=100408229960"/>
    <s v="松美荘"/>
    <s v="東京都中野区新井２"/>
    <n v="36000"/>
    <n v="2000"/>
    <m/>
    <m/>
    <n v="2"/>
    <x v="0"/>
    <n v="14"/>
    <n v="67"/>
    <x v="0"/>
    <s v="沼袋駅"/>
    <n v="9"/>
    <n v="10.33"/>
    <n v="98022.29"/>
    <n v="77692.34"/>
    <n v="323"/>
    <n v="1071"/>
    <s v="10-20"/>
    <x v="2"/>
  </r>
  <r>
    <s v="https://suumo.jp/chintai/jnc_000104348345/?bc=100484953109"/>
    <s v="沼袋4丁目"/>
    <s v="東京都中野区沼袋４"/>
    <n v="52500"/>
    <n v="2500"/>
    <m/>
    <m/>
    <n v="1"/>
    <x v="0"/>
    <n v="15"/>
    <n v="17"/>
    <x v="0"/>
    <s v="沼袋駅"/>
    <n v="5"/>
    <n v="15.33"/>
    <n v="98022.29"/>
    <n v="77692.34"/>
    <n v="323"/>
    <n v="1071"/>
    <s v="10-20"/>
    <x v="7"/>
  </r>
  <r>
    <s v="https://suumo.jp/chintai/jnc_000102189685/?bc=100484474263"/>
    <s v="沼袋ハイム"/>
    <s v="東京都中野区沼袋２"/>
    <n v="57000"/>
    <n v="3000"/>
    <m/>
    <m/>
    <n v="3"/>
    <x v="0"/>
    <n v="17.010000000000002"/>
    <n v="41"/>
    <x v="4"/>
    <s v="沼袋駅"/>
    <n v="8"/>
    <n v="12"/>
    <n v="98022.29"/>
    <n v="77692.34"/>
    <n v="323"/>
    <n v="1071"/>
    <s v="10-20"/>
    <x v="3"/>
  </r>
  <r>
    <s v="https://suumo.jp/chintai/jnc_000103695173/?bc=100479810046"/>
    <s v="西武新宿線 沼袋駅 2階建 築10年"/>
    <s v="東京都中野区沼袋１"/>
    <n v="52000"/>
    <n v="3000"/>
    <n v="52000"/>
    <n v="52000"/>
    <n v="2"/>
    <x v="0"/>
    <n v="10.55"/>
    <n v="10"/>
    <x v="0"/>
    <s v="沼袋駅"/>
    <n v="5"/>
    <n v="11.67"/>
    <n v="98022.29"/>
    <n v="77692.34"/>
    <n v="323"/>
    <n v="1071"/>
    <s v="10-20"/>
    <x v="0"/>
  </r>
  <r>
    <s v="https://suumo.jp/chintai/jnc_000087887732/?bc=100473965839"/>
    <s v="西武新宿線 沼袋駅 2階建 築16年"/>
    <s v="東京都中野区沼袋４"/>
    <n v="48000"/>
    <n v="3000"/>
    <m/>
    <m/>
    <n v="1"/>
    <x v="0"/>
    <n v="9.1999999999999993"/>
    <n v="16"/>
    <x v="0"/>
    <s v="沼袋駅"/>
    <n v="5"/>
    <n v="10.67"/>
    <n v="98022.29"/>
    <n v="77692.34"/>
    <n v="323"/>
    <n v="1071"/>
    <s v="&lt;10"/>
    <x v="7"/>
  </r>
  <r>
    <s v="https://suumo.jp/chintai/jnc_000052191659/?bc=100473970859"/>
    <s v="西武新宿線 沼袋駅 2階建 築17年"/>
    <s v="東京都中野区沼袋４"/>
    <n v="50000"/>
    <n v="5000"/>
    <m/>
    <m/>
    <n v="1"/>
    <x v="0"/>
    <n v="13.5"/>
    <n v="17"/>
    <x v="0"/>
    <s v="沼袋駅"/>
    <n v="9"/>
    <n v="14"/>
    <n v="98022.29"/>
    <n v="77692.34"/>
    <n v="323"/>
    <n v="1071"/>
    <s v="10-20"/>
    <x v="7"/>
  </r>
  <r>
    <s v="https://suumo.jp/chintai/jnc_000103223524/?bc=100484169760"/>
    <s v="西武新宿線 沼袋駅 2階建 築18年"/>
    <s v="東京都中野区沼袋２"/>
    <n v="65000"/>
    <n v="3000"/>
    <n v="65000"/>
    <n v="65000"/>
    <n v="2"/>
    <x v="0"/>
    <n v="19.87"/>
    <n v="18"/>
    <x v="0"/>
    <s v="沼袋駅"/>
    <n v="6"/>
    <n v="10"/>
    <n v="98022.29"/>
    <n v="77692.34"/>
    <n v="323"/>
    <n v="1071"/>
    <s v="10-20"/>
    <x v="7"/>
  </r>
  <r>
    <s v="https://suumo.jp/chintai/jnc_000102814412/?bc=100479089517"/>
    <s v="西武新宿線 沼袋駅 2階建 築22年"/>
    <s v="東京都中野区松が丘２"/>
    <n v="81000"/>
    <n v="3000"/>
    <n v="40500"/>
    <n v="121500"/>
    <n v="2"/>
    <x v="0"/>
    <n v="24.22"/>
    <n v="22"/>
    <x v="0"/>
    <s v="沼袋駅"/>
    <n v="10"/>
    <n v="13.67"/>
    <n v="98022.29"/>
    <n v="77692.34"/>
    <n v="323"/>
    <n v="1071"/>
    <s v="20-30"/>
    <x v="1"/>
  </r>
  <r>
    <s v="https://suumo.jp/chintai/jnc_000103658345/?bc=100479547854"/>
    <s v="西武新宿線 沼袋駅 2階建 築28年"/>
    <s v="東京都中野区沼袋２"/>
    <n v="66000"/>
    <n v="2000"/>
    <n v="47300"/>
    <m/>
    <n v="2"/>
    <x v="0"/>
    <n v="28.98"/>
    <n v="28"/>
    <x v="0"/>
    <s v="沼袋駅"/>
    <n v="7"/>
    <n v="13.33"/>
    <n v="98022.29"/>
    <n v="77692.34"/>
    <n v="323"/>
    <n v="1071"/>
    <s v="20-30"/>
    <x v="1"/>
  </r>
  <r>
    <s v="https://suumo.jp/chintai/jnc_000090224632/?bc=100467825260"/>
    <s v="西武新宿線 沼袋駅 2階建 築2年"/>
    <s v="東京都中野区沼袋１"/>
    <n v="59000"/>
    <n v="4000"/>
    <m/>
    <n v="59000"/>
    <n v="1"/>
    <x v="0"/>
    <n v="11.02"/>
    <n v="2"/>
    <x v="0"/>
    <s v="沼袋駅"/>
    <n v="5"/>
    <n v="11.33"/>
    <n v="98022.29"/>
    <n v="77692.34"/>
    <n v="323"/>
    <n v="1071"/>
    <s v="10-20"/>
    <x v="0"/>
  </r>
  <r>
    <s v="https://suumo.jp/chintai/jnc_000102998303/?bc=100479457673"/>
    <s v="西武新宿線 沼袋駅 2階建 築2年"/>
    <s v="東京都中野区沼袋１"/>
    <n v="61000"/>
    <n v="4000"/>
    <m/>
    <n v="61000"/>
    <n v="1"/>
    <x v="0"/>
    <n v="11"/>
    <n v="2"/>
    <x v="0"/>
    <s v="沼袋駅"/>
    <n v="5"/>
    <n v="11.33"/>
    <n v="98022.29"/>
    <n v="77692.34"/>
    <n v="323"/>
    <n v="1071"/>
    <s v="10-20"/>
    <x v="0"/>
  </r>
  <r>
    <s v="https://suumo.jp/chintai/jnc_000103123140/?bc=100478123129"/>
    <s v="西武新宿線 沼袋駅 2階建 築2年"/>
    <s v="東京都中野区沼袋３"/>
    <n v="64000"/>
    <n v="4000"/>
    <m/>
    <n v="64000"/>
    <n v="2"/>
    <x v="0"/>
    <n v="12.61"/>
    <n v="2"/>
    <x v="0"/>
    <s v="沼袋駅"/>
    <n v="6"/>
    <n v="11.67"/>
    <n v="98022.29"/>
    <n v="77692.34"/>
    <n v="323"/>
    <n v="1071"/>
    <s v="10-20"/>
    <x v="0"/>
  </r>
  <r>
    <s v="https://suumo.jp/chintai/jnc_000104186937/?bc=100484159457"/>
    <s v="西武新宿線 沼袋駅 2階建 築30年"/>
    <s v="東京都中野区沼袋１"/>
    <n v="60000"/>
    <m/>
    <n v="60000"/>
    <n v="60000"/>
    <n v="1"/>
    <x v="0"/>
    <n v="20"/>
    <n v="30"/>
    <x v="0"/>
    <s v="沼袋駅"/>
    <n v="5"/>
    <n v="10"/>
    <n v="98022.29"/>
    <n v="77692.34"/>
    <n v="323"/>
    <n v="1071"/>
    <s v="20-30"/>
    <x v="1"/>
  </r>
  <r>
    <s v="https://suumo.jp/chintai/jnc_000102998302/?bc=100473970605"/>
    <s v="西武新宿線 沼袋駅 2階建 築34年"/>
    <s v="東京都中野区沼袋１"/>
    <n v="50000"/>
    <m/>
    <n v="50000"/>
    <n v="50000"/>
    <n v="1"/>
    <x v="0"/>
    <n v="16.7"/>
    <n v="34"/>
    <x v="0"/>
    <s v="沼袋駅"/>
    <n v="2"/>
    <n v="11"/>
    <n v="98022.29"/>
    <n v="77692.34"/>
    <n v="323"/>
    <n v="1071"/>
    <s v="10-20"/>
    <x v="4"/>
  </r>
  <r>
    <s v="https://suumo.jp/chintai/jnc_000100231192/?bc=100478123135"/>
    <s v="西武新宿線 沼袋駅 2階建 築3年"/>
    <s v="東京都中野区松が丘２"/>
    <n v="63000"/>
    <n v="4000"/>
    <m/>
    <n v="63000"/>
    <n v="1"/>
    <x v="0"/>
    <n v="12"/>
    <n v="3"/>
    <x v="0"/>
    <s v="沼袋駅"/>
    <n v="8"/>
    <n v="12"/>
    <n v="98022.29"/>
    <n v="77692.34"/>
    <n v="323"/>
    <n v="1071"/>
    <s v="10-20"/>
    <x v="0"/>
  </r>
  <r>
    <s v="https://suumo.jp/chintai/jnc_000100468607/?bc=100479251029"/>
    <s v="西武新宿線 沼袋駅 2階建 築48年"/>
    <s v="東京都中野区新井４"/>
    <n v="77000"/>
    <n v="3000"/>
    <n v="77000"/>
    <n v="77000"/>
    <n v="2"/>
    <x v="0"/>
    <n v="23"/>
    <n v="48"/>
    <x v="0"/>
    <s v="沼袋駅"/>
    <n v="3"/>
    <n v="10.33"/>
    <n v="98022.29"/>
    <n v="77692.34"/>
    <n v="323"/>
    <n v="1071"/>
    <s v="20-30"/>
    <x v="3"/>
  </r>
  <r>
    <s v="https://suumo.jp/chintai/jnc_000104222985/?bc=100483952664"/>
    <s v="西武新宿線 沼袋駅 2階建 築4年"/>
    <s v="東京都中野区沼袋２"/>
    <n v="62000"/>
    <n v="4000"/>
    <m/>
    <n v="62000"/>
    <n v="1"/>
    <x v="0"/>
    <n v="12.32"/>
    <n v="4"/>
    <x v="0"/>
    <s v="沼袋駅"/>
    <n v="9"/>
    <n v="12.67"/>
    <n v="98022.29"/>
    <n v="77692.34"/>
    <n v="323"/>
    <n v="1071"/>
    <s v="10-20"/>
    <x v="0"/>
  </r>
  <r>
    <s v="https://suumo.jp/chintai/jnc_000104249775/?bc=100484156035"/>
    <s v="西武新宿線 沼袋駅 2階建 築4年"/>
    <s v="東京都中野区沼袋２"/>
    <n v="61000"/>
    <n v="4000"/>
    <m/>
    <n v="61000"/>
    <n v="2"/>
    <x v="0"/>
    <n v="11.01"/>
    <n v="4"/>
    <x v="0"/>
    <s v="沼袋駅"/>
    <n v="9"/>
    <n v="12.67"/>
    <n v="98022.29"/>
    <n v="77692.34"/>
    <n v="323"/>
    <n v="1071"/>
    <s v="10-20"/>
    <x v="0"/>
  </r>
  <r>
    <s v="https://suumo.jp/chintai/jnc_000103519886/?bc=100478220098"/>
    <s v="西武新宿線 沼袋駅 2階建 築63年"/>
    <s v="東京都中野区沼袋１"/>
    <n v="70000"/>
    <n v="3000"/>
    <n v="70000"/>
    <n v="70000"/>
    <n v="2"/>
    <x v="0"/>
    <n v="24.1"/>
    <n v="63"/>
    <x v="0"/>
    <s v="沼袋駅"/>
    <n v="5"/>
    <n v="11"/>
    <n v="98022.29"/>
    <n v="77692.34"/>
    <n v="323"/>
    <n v="1071"/>
    <s v="20-30"/>
    <x v="2"/>
  </r>
  <r>
    <s v="https://suumo.jp/chintai/jnc_000102805445/?bc=100473971130"/>
    <s v="西武新宿線 沼袋駅 2階建 築8年"/>
    <s v="東京都中野区沼袋４"/>
    <n v="73000"/>
    <n v="4000"/>
    <m/>
    <n v="73000"/>
    <n v="2"/>
    <x v="0"/>
    <n v="21.73"/>
    <n v="8"/>
    <x v="0"/>
    <s v="沼袋駅"/>
    <n v="5"/>
    <n v="13.67"/>
    <n v="98022.29"/>
    <n v="77692.34"/>
    <n v="323"/>
    <n v="1071"/>
    <s v="20-30"/>
    <x v="0"/>
  </r>
  <r>
    <s v="https://suumo.jp/chintai/jnc_000102169519/?bc=100478044660"/>
    <s v="西武新宿線 沼袋駅 3階建 築20年"/>
    <s v="東京都中野区沼袋２"/>
    <n v="93000"/>
    <n v="7000"/>
    <m/>
    <n v="93000"/>
    <n v="1"/>
    <x v="0"/>
    <n v="30.53"/>
    <n v="20"/>
    <x v="2"/>
    <s v="沼袋駅"/>
    <n v="8"/>
    <n v="12.33"/>
    <n v="98022.29"/>
    <n v="77692.34"/>
    <n v="323"/>
    <n v="1071"/>
    <s v="30-40"/>
    <x v="7"/>
  </r>
  <r>
    <s v="https://suumo.jp/chintai/jnc_000104510115/?bc=100486149714"/>
    <s v="西武新宿線 沼袋駅 3階建 築20年"/>
    <s v="東京都中野区沼袋１"/>
    <n v="75000"/>
    <n v="1000"/>
    <n v="75000"/>
    <n v="75000"/>
    <n v="2"/>
    <x v="0"/>
    <n v="22"/>
    <n v="20"/>
    <x v="2"/>
    <s v="沼袋駅"/>
    <n v="4"/>
    <n v="10.67"/>
    <n v="98022.29"/>
    <n v="77692.34"/>
    <n v="323"/>
    <n v="1071"/>
    <s v="20-30"/>
    <x v="7"/>
  </r>
  <r>
    <s v="https://suumo.jp/chintai/jnc_000104519173/?bc=100486212894"/>
    <s v="西武新宿線 沼袋駅 3階建 築23年"/>
    <s v="東京都中野区沼袋４"/>
    <n v="85000"/>
    <m/>
    <n v="85000"/>
    <n v="85000"/>
    <n v="1"/>
    <x v="0"/>
    <n v="25.18"/>
    <n v="23"/>
    <x v="2"/>
    <s v="沼袋駅"/>
    <n v="5"/>
    <n v="11.33"/>
    <n v="98022.29"/>
    <n v="77692.34"/>
    <n v="323"/>
    <n v="1071"/>
    <s v="20-30"/>
    <x v="1"/>
  </r>
  <r>
    <s v="https://suumo.jp/chintai/jnc_000104117708/?bc=100483084422"/>
    <s v="西武新宿線 沼袋駅 3階建 築27年"/>
    <s v="東京都中野区沼袋１"/>
    <n v="53000"/>
    <n v="3000"/>
    <n v="53000"/>
    <m/>
    <n v="2"/>
    <x v="0"/>
    <n v="13.2"/>
    <n v="27"/>
    <x v="2"/>
    <s v="沼袋駅"/>
    <n v="5"/>
    <n v="12.33"/>
    <n v="98022.29"/>
    <n v="77692.34"/>
    <n v="323"/>
    <n v="1071"/>
    <s v="10-20"/>
    <x v="1"/>
  </r>
  <r>
    <s v="https://suumo.jp/chintai/jnc_000104117709/?bc=100483084425"/>
    <s v="西武新宿線 沼袋駅 3階建 築27年"/>
    <s v="東京都中野区沼袋１"/>
    <n v="52000"/>
    <n v="3000"/>
    <n v="52000"/>
    <m/>
    <n v="2"/>
    <x v="0"/>
    <n v="14.77"/>
    <n v="27"/>
    <x v="2"/>
    <s v="沼袋駅"/>
    <n v="5"/>
    <n v="12.33"/>
    <n v="98022.29"/>
    <n v="77692.34"/>
    <n v="323"/>
    <n v="1071"/>
    <s v="10-20"/>
    <x v="1"/>
  </r>
  <r>
    <s v="https://suumo.jp/chintai/jnc_000103833569/?bc=100481136914"/>
    <s v="西武新宿線 沼袋駅 3階建 築27年"/>
    <s v="東京都中野区新井３"/>
    <n v="70000"/>
    <n v="3000"/>
    <m/>
    <m/>
    <n v="2"/>
    <x v="0"/>
    <n v="16.5"/>
    <n v="27"/>
    <x v="2"/>
    <s v="沼袋駅"/>
    <n v="10"/>
    <n v="12"/>
    <n v="98022.29"/>
    <n v="77692.34"/>
    <n v="323"/>
    <n v="1071"/>
    <s v="10-20"/>
    <x v="1"/>
  </r>
  <r>
    <s v="https://suumo.jp/chintai/jnc_000104163301/?bc=100483500667"/>
    <s v="西武新宿線 沼袋駅 3階建 築27年"/>
    <s v="東京都中野区新井３"/>
    <n v="69000"/>
    <n v="4000"/>
    <n v="69000"/>
    <m/>
    <n v="2"/>
    <x v="0"/>
    <n v="17.600000000000001"/>
    <n v="27"/>
    <x v="2"/>
    <s v="沼袋駅"/>
    <n v="10"/>
    <n v="12"/>
    <n v="98022.29"/>
    <n v="77692.34"/>
    <n v="323"/>
    <n v="1071"/>
    <s v="10-20"/>
    <x v="1"/>
  </r>
  <r>
    <s v="https://suumo.jp/chintai/jnc_000104378965/?bc=100485158175"/>
    <s v="西武新宿線 沼袋駅 3階建 築27年"/>
    <s v="東京都中野区沼袋１"/>
    <n v="58000"/>
    <m/>
    <n v="58000"/>
    <m/>
    <n v="3"/>
    <x v="0"/>
    <n v="15.18"/>
    <n v="27"/>
    <x v="2"/>
    <s v="沼袋駅"/>
    <n v="5"/>
    <n v="12.33"/>
    <n v="98022.29"/>
    <n v="77692.34"/>
    <n v="323"/>
    <n v="1071"/>
    <s v="10-20"/>
    <x v="1"/>
  </r>
  <r>
    <s v="https://suumo.jp/chintai/jnc_000103514131/?bc=100483510330"/>
    <s v="西武新宿線 沼袋駅 3階建 築37年"/>
    <s v="東京都中野区沼袋３"/>
    <n v="65000"/>
    <n v="3000"/>
    <n v="65000"/>
    <n v="65000"/>
    <n v="1"/>
    <x v="0"/>
    <n v="17"/>
    <n v="37"/>
    <x v="2"/>
    <s v="沼袋駅"/>
    <n v="2"/>
    <n v="9.33"/>
    <n v="98022.29"/>
    <n v="77692.34"/>
    <n v="323"/>
    <n v="1071"/>
    <s v="10-20"/>
    <x v="4"/>
  </r>
  <r>
    <s v="https://suumo.jp/chintai/jnc_000102197462/?bc=100484158730"/>
    <s v="西武新宿線 沼袋駅 4階建 築41年"/>
    <s v="東京都中野区沼袋２"/>
    <n v="57000"/>
    <n v="3000"/>
    <m/>
    <m/>
    <n v="3"/>
    <x v="0"/>
    <n v="17.010000000000002"/>
    <n v="41"/>
    <x v="4"/>
    <s v="沼袋駅"/>
    <n v="8"/>
    <n v="12"/>
    <n v="98022.29"/>
    <n v="77692.34"/>
    <n v="323"/>
    <n v="1071"/>
    <s v="10-20"/>
    <x v="3"/>
  </r>
  <r>
    <s v="https://suumo.jp/chintai/jnc_000103695150/?bc=100481562487"/>
    <s v="西武新宿線 沼袋駅 4階建 築5年"/>
    <s v="東京都中野区江古田２"/>
    <n v="70000"/>
    <n v="10000"/>
    <m/>
    <n v="70000"/>
    <n v="3"/>
    <x v="0"/>
    <n v="18.72"/>
    <n v="5"/>
    <x v="4"/>
    <s v="沼袋駅"/>
    <n v="10"/>
    <n v="12.67"/>
    <n v="98022.29"/>
    <n v="77692.34"/>
    <n v="323"/>
    <n v="1071"/>
    <s v="10-20"/>
    <x v="0"/>
  </r>
  <r>
    <s v="https://suumo.jp/chintai/jnc_000103338544/?bc=100478341678"/>
    <s v="西武新宿線 沼袋駅 4階建 築5年"/>
    <s v="東京都中野区沼袋３"/>
    <n v="81000"/>
    <n v="10000"/>
    <m/>
    <m/>
    <n v="4"/>
    <x v="0"/>
    <n v="20.03"/>
    <n v="5"/>
    <x v="4"/>
    <s v="沼袋駅"/>
    <n v="9"/>
    <n v="12.67"/>
    <n v="98022.29"/>
    <n v="77692.34"/>
    <n v="323"/>
    <n v="1071"/>
    <s v="20-30"/>
    <x v="0"/>
  </r>
  <r>
    <s v="https://suumo.jp/chintai/jnc_000104256495/?bc=100484207244"/>
    <s v="西武新宿線 沼袋駅 5階建 築4年"/>
    <s v="東京都中野区沼袋１"/>
    <n v="83000"/>
    <n v="5000"/>
    <n v="83000"/>
    <n v="83000"/>
    <n v="2"/>
    <x v="0"/>
    <n v="18.13"/>
    <n v="4"/>
    <x v="7"/>
    <s v="沼袋駅"/>
    <n v="2"/>
    <n v="13"/>
    <n v="98022.29"/>
    <n v="77692.34"/>
    <n v="323"/>
    <n v="1071"/>
    <s v="10-20"/>
    <x v="0"/>
  </r>
  <r>
    <s v="https://suumo.jp/chintai/jnc_000101364617/?bc=100483724070"/>
    <s v="西武新宿線 沼袋駅 5階建 築56年"/>
    <s v="東京都中野区新井４"/>
    <n v="87000"/>
    <n v="2000"/>
    <m/>
    <m/>
    <n v="2"/>
    <x v="0"/>
    <n v="30"/>
    <n v="56"/>
    <x v="7"/>
    <s v="沼袋駅"/>
    <n v="5"/>
    <n v="8.67"/>
    <n v="98022.29"/>
    <n v="77692.34"/>
    <n v="323"/>
    <n v="1071"/>
    <s v="30-40"/>
    <x v="5"/>
  </r>
  <r>
    <s v="https://suumo.jp/chintai/jnc_000104464936/?bc=100477305928"/>
    <s v="西武新宿線 沼袋駅 6階建 築26年"/>
    <s v="東京都中野区新井４"/>
    <n v="98000"/>
    <m/>
    <m/>
    <n v="98000"/>
    <n v="3"/>
    <x v="0"/>
    <n v="32.29"/>
    <n v="26"/>
    <x v="5"/>
    <s v="沼袋駅"/>
    <n v="5"/>
    <n v="10"/>
    <n v="98022.29"/>
    <n v="77692.34"/>
    <n v="323"/>
    <n v="1071"/>
    <s v="30-40"/>
    <x v="1"/>
  </r>
  <r>
    <s v="https://suumo.jp/chintai/jnc_000102688123/?bc=100438562050"/>
    <s v="西武新宿線 沼袋駅 地下1地上4階建 築4年"/>
    <s v="東京都中野区沼袋１"/>
    <n v="77000"/>
    <n v="9000"/>
    <m/>
    <m/>
    <n v="2"/>
    <x v="0"/>
    <n v="12.5"/>
    <n v="4"/>
    <x v="7"/>
    <s v="沼袋駅"/>
    <n v="3"/>
    <n v="9.67"/>
    <n v="98022.29"/>
    <n v="77692.34"/>
    <n v="323"/>
    <n v="1071"/>
    <s v="10-20"/>
    <x v="0"/>
  </r>
  <r>
    <s v="https://suumo.jp/chintai/jnc_000104464969/?bc=100486224799"/>
    <s v="西武新宿線 沼袋駅 地下1地上4階建 築4年"/>
    <s v="東京都中野区沼袋１"/>
    <n v="72000"/>
    <n v="9000"/>
    <m/>
    <m/>
    <n v="4"/>
    <x v="0"/>
    <n v="12.25"/>
    <n v="4"/>
    <x v="7"/>
    <s v="沼袋駅"/>
    <n v="3"/>
    <n v="9.67"/>
    <n v="98022.29"/>
    <n v="77692.34"/>
    <n v="323"/>
    <n v="1071"/>
    <s v="10-20"/>
    <x v="0"/>
  </r>
  <r>
    <s v="https://suumo.jp/chintai/jnc_000101783983/?bc=100477734181"/>
    <s v="西武新宿線 沼袋駅 地下1地上4階建 築4年"/>
    <s v="東京都中野区沼袋１"/>
    <n v="72000"/>
    <n v="9000"/>
    <m/>
    <m/>
    <n v="4"/>
    <x v="0"/>
    <n v="12.35"/>
    <n v="4"/>
    <x v="7"/>
    <s v="沼袋駅"/>
    <n v="3"/>
    <n v="9.67"/>
    <n v="98022.29"/>
    <n v="77692.34"/>
    <n v="323"/>
    <n v="1071"/>
    <s v="10-20"/>
    <x v="0"/>
  </r>
  <r>
    <s v="https://suumo.jp/chintai/jnc_000103873803/?bc=100481308985"/>
    <s v="ＢＥＷＥＬプラス"/>
    <s v="東京都中野区沼袋１"/>
    <n v="85000"/>
    <n v="6000"/>
    <n v="85000"/>
    <n v="85000"/>
    <n v="3"/>
    <x v="0"/>
    <n v="25.25"/>
    <n v="56"/>
    <x v="9"/>
    <s v="沼袋駅"/>
    <n v="3"/>
    <n v="8.67"/>
    <n v="98022.29"/>
    <n v="77692.34"/>
    <n v="323"/>
    <n v="1071"/>
    <s v="20-30"/>
    <x v="5"/>
  </r>
  <r>
    <s v="https://suumo.jp/chintai/jnc_000102837165/?bc=100484367831"/>
    <s v="ＣＩＣＡＤＡ ＲＥＳＩＤＥＮＣＥ ＮＡＫＡＮＯ"/>
    <s v="東京都中野区新井４"/>
    <n v="92000"/>
    <n v="18000"/>
    <n v="92000"/>
    <m/>
    <n v="2"/>
    <x v="0"/>
    <n v="19.8"/>
    <n v="3"/>
    <x v="4"/>
    <s v="沼袋駅"/>
    <n v="6"/>
    <n v="10.33"/>
    <n v="98022.29"/>
    <n v="77692.34"/>
    <n v="323"/>
    <n v="1071"/>
    <s v="10-20"/>
    <x v="0"/>
  </r>
  <r>
    <s v="https://suumo.jp/chintai/jnc_000104433303/?bc=100485741519"/>
    <s v="ＣＩＣＡＤＡ ＲＥＳＩＤＥＮＣＥ ＮＡＫＡＮＯ"/>
    <s v="東京都中野区新井４"/>
    <n v="80000"/>
    <n v="15000"/>
    <n v="80000"/>
    <m/>
    <n v="3"/>
    <x v="0"/>
    <n v="15.86"/>
    <n v="3"/>
    <x v="4"/>
    <s v="沼袋駅"/>
    <n v="6"/>
    <n v="10.33"/>
    <n v="98022.29"/>
    <n v="77692.34"/>
    <n v="323"/>
    <n v="1071"/>
    <s v="10-20"/>
    <x v="0"/>
  </r>
  <r>
    <s v="https://suumo.jp/chintai/jnc_000103118216/?bc=100484367723"/>
    <s v="ＣＩＣＡＤＡ ＲＥＳＩＤＥＮＣＥ ＮＡＫＡＮＯ"/>
    <s v="東京都中野区新井４"/>
    <n v="80000"/>
    <n v="18000"/>
    <n v="80000"/>
    <m/>
    <n v="4"/>
    <x v="0"/>
    <n v="17.309999999999999"/>
    <n v="3"/>
    <x v="4"/>
    <s v="沼袋駅"/>
    <n v="6"/>
    <n v="10.33"/>
    <n v="98022.29"/>
    <n v="77692.34"/>
    <n v="323"/>
    <n v="1071"/>
    <s v="10-20"/>
    <x v="0"/>
  </r>
  <r>
    <s v="https://suumo.jp/chintai/jnc_000103357983/?bc=100453215697"/>
    <s v="ｃｅｎｔ４ｃｅ"/>
    <s v="東京都中野区沼袋４"/>
    <n v="98000"/>
    <n v="5000"/>
    <n v="98000"/>
    <n v="98000"/>
    <n v="2"/>
    <x v="0"/>
    <n v="23.76"/>
    <n v="0"/>
    <x v="4"/>
    <s v="沼袋駅"/>
    <n v="4"/>
    <n v="12"/>
    <n v="98022.29"/>
    <n v="77692.34"/>
    <n v="323"/>
    <n v="1071"/>
    <s v="20-30"/>
    <x v="6"/>
  </r>
  <r>
    <s v="https://suumo.jp/chintai/jnc_000103357984/?bc=100453215692"/>
    <s v="ｃｅｎｔ４ｃｅ"/>
    <s v="東京都中野区沼袋４"/>
    <n v="98000"/>
    <n v="5000"/>
    <n v="98000"/>
    <n v="98000"/>
    <n v="3"/>
    <x v="0"/>
    <n v="23.76"/>
    <n v="0"/>
    <x v="4"/>
    <s v="沼袋駅"/>
    <n v="4"/>
    <n v="12"/>
    <n v="98022.29"/>
    <n v="77692.34"/>
    <n v="323"/>
    <n v="1071"/>
    <s v="20-30"/>
    <x v="6"/>
  </r>
  <r>
    <s v="https://suumo.jp/chintai/jnc_000103743370/?bc=100480244105"/>
    <s v="ベルトリー沼袋"/>
    <s v="東京都中野区沼袋４"/>
    <n v="72000"/>
    <n v="2000"/>
    <n v="72000"/>
    <n v="36000"/>
    <n v="2"/>
    <x v="16"/>
    <n v="20.25"/>
    <n v="7"/>
    <x v="0"/>
    <s v="沼袋駅"/>
    <n v="6"/>
    <n v="11.67"/>
    <n v="98022.29"/>
    <n v="92000"/>
    <n v="323"/>
    <n v="9"/>
    <s v="20-30"/>
    <x v="0"/>
  </r>
  <r>
    <s v="https://suumo.jp/chintai/jnc_000104179490/?bc=100481771462"/>
    <s v="メゾンクレドール"/>
    <s v="東京都中野区沼袋２"/>
    <n v="51000"/>
    <n v="3000"/>
    <n v="51000"/>
    <m/>
    <n v="1"/>
    <x v="16"/>
    <n v="24.3"/>
    <n v="40"/>
    <x v="0"/>
    <s v="沼袋駅"/>
    <n v="9"/>
    <n v="13.67"/>
    <n v="98022.29"/>
    <n v="92000"/>
    <n v="323"/>
    <n v="9"/>
    <s v="20-30"/>
    <x v="4"/>
  </r>
  <r>
    <s v="https://suumo.jp/chintai/jnc_000103913721/?bc=100482564814"/>
    <s v="メゾネット沼袋駅前"/>
    <s v="東京都中野区沼袋１"/>
    <n v="185000"/>
    <m/>
    <n v="185000"/>
    <n v="185000"/>
    <n v="1"/>
    <x v="5"/>
    <n v="44.9"/>
    <n v="0"/>
    <x v="0"/>
    <s v="沼袋駅"/>
    <n v="3"/>
    <n v="10.33"/>
    <n v="98022.29"/>
    <n v="207063.41"/>
    <n v="323"/>
    <n v="41"/>
    <s v="40-50"/>
    <x v="6"/>
  </r>
  <r>
    <s v="https://suumo.jp/chintai/jnc_000103913720/?bc=100482564815"/>
    <s v="メゾネット沼袋駅前"/>
    <s v="東京都中野区沼袋１"/>
    <n v="180000"/>
    <m/>
    <n v="180000"/>
    <n v="180000"/>
    <n v="1"/>
    <x v="5"/>
    <n v="46.7"/>
    <n v="0"/>
    <x v="0"/>
    <s v="沼袋駅"/>
    <n v="3"/>
    <n v="10.33"/>
    <n v="98022.29"/>
    <n v="207063.41"/>
    <n v="323"/>
    <n v="41"/>
    <s v="40-50"/>
    <x v="6"/>
  </r>
  <r>
    <s v="https://suumo.jp/chintai/jnc_000104399666/?bc=100482565067"/>
    <s v="西武新宿線 沼袋駅 2階建 新築"/>
    <s v="東京都中野区沼袋１"/>
    <n v="185000"/>
    <m/>
    <n v="185000"/>
    <n v="185000"/>
    <n v="1"/>
    <x v="5"/>
    <n v="44.9"/>
    <n v="0"/>
    <x v="0"/>
    <s v="沼袋駅"/>
    <n v="3"/>
    <n v="10.33"/>
    <n v="98022.29"/>
    <n v="207063.41"/>
    <n v="323"/>
    <n v="41"/>
    <s v="40-50"/>
    <x v="6"/>
  </r>
  <r>
    <s v="https://suumo.jp/chintai/jnc_000104101588/?bc=100482565064"/>
    <s v="西武新宿線 沼袋駅 2階建 新築"/>
    <s v="東京都中野区沼袋１"/>
    <n v="180000"/>
    <m/>
    <n v="180000"/>
    <n v="180000"/>
    <n v="1"/>
    <x v="5"/>
    <n v="46.7"/>
    <n v="0"/>
    <x v="0"/>
    <s v="沼袋駅"/>
    <n v="3"/>
    <n v="10.33"/>
    <n v="98022.29"/>
    <n v="207063.41"/>
    <n v="323"/>
    <n v="41"/>
    <s v="40-50"/>
    <x v="6"/>
  </r>
  <r>
    <s v="https://suumo.jp/chintai/jnc_000104202947/?bc=100441687212"/>
    <s v="サンシャイン・レジデンス松が丘"/>
    <s v="東京都中野区松が丘２"/>
    <n v="135000"/>
    <m/>
    <n v="135000"/>
    <n v="135000"/>
    <n v="2"/>
    <x v="6"/>
    <n v="42.3"/>
    <n v="31"/>
    <x v="0"/>
    <s v="沼袋駅"/>
    <n v="7"/>
    <n v="11.67"/>
    <n v="98022.29"/>
    <n v="141491.45000000001"/>
    <n v="323"/>
    <n v="117"/>
    <s v="40-50"/>
    <x v="4"/>
  </r>
  <r>
    <s v="https://suumo.jp/chintai/jnc_000104179493/?bc=100483713325"/>
    <s v="ルーブル中野沼袋"/>
    <s v="東京都中野区沼袋４"/>
    <n v="128000"/>
    <n v="10000"/>
    <n v="128000"/>
    <n v="128000"/>
    <n v="7"/>
    <x v="6"/>
    <n v="40.5"/>
    <n v="20"/>
    <x v="6"/>
    <s v="沼袋駅"/>
    <n v="8"/>
    <n v="14"/>
    <n v="98022.29"/>
    <n v="141491.45000000001"/>
    <n v="323"/>
    <n v="117"/>
    <s v="40-50"/>
    <x v="7"/>
  </r>
  <r>
    <s v="https://suumo.jp/chintai/jnc_000087683780/?bc=100484880534"/>
    <s v="ロアール江古田"/>
    <s v="東京都中野区江古田４"/>
    <n v="132000"/>
    <m/>
    <m/>
    <n v="132000"/>
    <n v="5"/>
    <x v="6"/>
    <n v="39.520000000000003"/>
    <n v="20"/>
    <x v="5"/>
    <s v="沼袋駅"/>
    <n v="9"/>
    <n v="13.67"/>
    <n v="98022.29"/>
    <n v="141491.45000000001"/>
    <n v="323"/>
    <n v="117"/>
    <s v="30-40"/>
    <x v="7"/>
  </r>
  <r>
    <s v="https://suumo.jp/chintai/jnc_000103702518/?bc=100478214576"/>
    <s v="三田沼袋コーポ"/>
    <s v="東京都中野区沼袋３"/>
    <n v="89000"/>
    <n v="3000"/>
    <n v="89000"/>
    <n v="44500"/>
    <n v="2"/>
    <x v="6"/>
    <n v="37.6"/>
    <n v="57"/>
    <x v="4"/>
    <s v="沼袋駅"/>
    <n v="5"/>
    <n v="14.67"/>
    <n v="98022.29"/>
    <n v="141491.45000000001"/>
    <n v="323"/>
    <n v="117"/>
    <s v="30-40"/>
    <x v="5"/>
  </r>
  <r>
    <s v="https://suumo.jp/chintai/jnc_000103546915/?bc=100478639779"/>
    <s v="小作ビル"/>
    <s v="東京都中野区江古田２"/>
    <n v="67000"/>
    <n v="2000"/>
    <n v="67000"/>
    <m/>
    <n v="3"/>
    <x v="6"/>
    <n v="32"/>
    <n v="43"/>
    <x v="4"/>
    <s v="沼袋駅"/>
    <n v="12"/>
    <n v="15.33"/>
    <n v="98022.29"/>
    <n v="141491.45000000001"/>
    <n v="323"/>
    <n v="117"/>
    <s v="30-40"/>
    <x v="3"/>
  </r>
  <r>
    <s v="https://suumo.jp/chintai/jnc_000079086900/?bc=100476627631"/>
    <s v="箭内マンション"/>
    <s v="東京都中野区沼袋３"/>
    <n v="95000"/>
    <m/>
    <n v="95000"/>
    <n v="95000"/>
    <n v="3"/>
    <x v="6"/>
    <n v="35"/>
    <n v="57"/>
    <x v="4"/>
    <s v="沼袋駅"/>
    <n v="3"/>
    <n v="9.33"/>
    <n v="98022.29"/>
    <n v="141491.45000000001"/>
    <n v="323"/>
    <n v="117"/>
    <s v="30-40"/>
    <x v="5"/>
  </r>
  <r>
    <s v="https://suumo.jp/chintai/jnc_000104202948/?bc=100453843698"/>
    <s v="西武新宿線 沼袋駅 2階建 築31年"/>
    <s v="東京都中野区松が丘２"/>
    <n v="135000"/>
    <m/>
    <n v="135000"/>
    <n v="135000"/>
    <n v="2"/>
    <x v="6"/>
    <n v="42.3"/>
    <n v="31"/>
    <x v="0"/>
    <s v="沼袋駅"/>
    <n v="7"/>
    <n v="11.67"/>
    <n v="98022.29"/>
    <n v="141491.45000000001"/>
    <n v="323"/>
    <n v="117"/>
    <s v="40-50"/>
    <x v="4"/>
  </r>
  <r>
    <s v="https://suumo.jp/chintai/jnc_000104335096/?bc=100484881599"/>
    <s v="西武新宿線 沼袋駅 6階建 築19年"/>
    <s v="東京都中野区江古田４"/>
    <n v="132000"/>
    <n v="10000"/>
    <m/>
    <n v="132000"/>
    <n v="5"/>
    <x v="6"/>
    <n v="39.520000000000003"/>
    <n v="19"/>
    <x v="5"/>
    <s v="沼袋駅"/>
    <n v="9"/>
    <n v="13.33"/>
    <n v="98022.29"/>
    <n v="141491.45000000001"/>
    <n v="323"/>
    <n v="117"/>
    <s v="30-40"/>
    <x v="7"/>
  </r>
  <r>
    <s v="https://suumo.jp/chintai/jnc_000103317169/?bc=100477508119"/>
    <s v="西武新宿線 沼袋駅 地下1地上4階建 築4年"/>
    <s v="東京都中野区沼袋１"/>
    <n v="145000"/>
    <n v="5000"/>
    <n v="145000"/>
    <n v="145000"/>
    <n v="3"/>
    <x v="6"/>
    <n v="35.92"/>
    <n v="4"/>
    <x v="7"/>
    <s v="沼袋駅"/>
    <n v="2"/>
    <n v="8.67"/>
    <n v="98022.29"/>
    <n v="141491.45000000001"/>
    <n v="323"/>
    <n v="117"/>
    <s v="30-40"/>
    <x v="0"/>
  </r>
  <r>
    <s v="https://suumo.jp/chintai/jnc_000103317169/?bc=100477508119"/>
    <s v="西武新宿線 沼袋駅 地下1地上4階建 築4年"/>
    <s v="東京都中野区沼袋１"/>
    <n v="145000"/>
    <n v="5000"/>
    <n v="145000"/>
    <n v="145000"/>
    <n v="4"/>
    <x v="6"/>
    <n v="35.92"/>
    <n v="4"/>
    <x v="7"/>
    <s v="沼袋駅"/>
    <n v="2"/>
    <n v="8.67"/>
    <n v="98022.29"/>
    <n v="141491.45000000001"/>
    <n v="323"/>
    <n v="117"/>
    <s v="30-40"/>
    <x v="0"/>
  </r>
  <r>
    <s v="https://suumo.jp/chintai/jnc_000103873783/?bc=100481308986"/>
    <s v="グラシア沼袋"/>
    <s v="東京都中野区新井４"/>
    <n v="113000"/>
    <n v="5000"/>
    <n v="113000"/>
    <n v="113000"/>
    <n v="1"/>
    <x v="7"/>
    <n v="38"/>
    <n v="21"/>
    <x v="2"/>
    <s v="沼袋駅"/>
    <n v="3"/>
    <n v="10.33"/>
    <n v="98022.29"/>
    <n v="117441.44"/>
    <n v="323"/>
    <n v="111"/>
    <s v="30-40"/>
    <x v="1"/>
  </r>
  <r>
    <s v="https://suumo.jp/chintai/jnc_000104117674/?bc=100483107891"/>
    <s v="グリーンハイム"/>
    <s v="東京都中野区新井４"/>
    <n v="120000"/>
    <n v="5000"/>
    <n v="120000"/>
    <n v="120000"/>
    <n v="5"/>
    <x v="7"/>
    <n v="46.27"/>
    <n v="35"/>
    <x v="7"/>
    <s v="沼袋駅"/>
    <n v="5"/>
    <n v="9.67"/>
    <n v="98022.29"/>
    <n v="117441.44"/>
    <n v="323"/>
    <n v="111"/>
    <s v="40-50"/>
    <x v="4"/>
  </r>
  <r>
    <s v="https://suumo.jp/chintai/jnc_000101505688/?bc=100460251051"/>
    <s v="ルミエール"/>
    <s v="東京都中野区松が丘２"/>
    <n v="79000"/>
    <n v="3000"/>
    <n v="79000"/>
    <n v="79000"/>
    <n v="2"/>
    <x v="7"/>
    <n v="29.81"/>
    <n v="34"/>
    <x v="0"/>
    <s v="沼袋駅"/>
    <n v="10"/>
    <n v="12.67"/>
    <n v="98022.29"/>
    <n v="117441.44"/>
    <n v="323"/>
    <n v="111"/>
    <s v="20-30"/>
    <x v="4"/>
  </r>
  <r>
    <s v="https://suumo.jp/chintai/jnc_000102324390/?bc=100481742861"/>
    <s v="ヴェラＳＫ"/>
    <s v="東京都中野区江古田２"/>
    <n v="70000"/>
    <n v="3000"/>
    <n v="70000"/>
    <n v="70000"/>
    <n v="1"/>
    <x v="7"/>
    <n v="27"/>
    <n v="31"/>
    <x v="0"/>
    <s v="沼袋駅"/>
    <n v="10"/>
    <n v="12.67"/>
    <n v="98022.29"/>
    <n v="117441.44"/>
    <n v="323"/>
    <n v="111"/>
    <s v="20-30"/>
    <x v="4"/>
  </r>
  <r>
    <s v="https://suumo.jp/chintai/jnc_000038176940/?bc=100208398879"/>
    <s v="翠雲荘"/>
    <s v="東京都中野区江古田１"/>
    <n v="44000"/>
    <n v="2000"/>
    <n v="44000"/>
    <n v="44000"/>
    <n v="2"/>
    <x v="7"/>
    <n v="22.7"/>
    <n v="52"/>
    <x v="0"/>
    <s v="沼袋駅"/>
    <n v="10"/>
    <n v="11"/>
    <n v="98022.29"/>
    <n v="117441.44"/>
    <n v="323"/>
    <n v="111"/>
    <s v="20-30"/>
    <x v="5"/>
  </r>
  <r>
    <s v="https://suumo.jp/chintai/jnc_000103558030/?bc=100478805464"/>
    <s v="西武新宿線 沼袋駅 4階建 築43年"/>
    <s v="東京都中野区江古田２"/>
    <n v="67000"/>
    <n v="2000"/>
    <n v="67000"/>
    <m/>
    <n v="3"/>
    <x v="7"/>
    <n v="32"/>
    <n v="43"/>
    <x v="4"/>
    <s v="沼袋駅"/>
    <n v="12"/>
    <n v="14.67"/>
    <n v="98022.29"/>
    <n v="117441.44"/>
    <n v="323"/>
    <n v="111"/>
    <s v="30-40"/>
    <x v="3"/>
  </r>
  <r>
    <s v="https://suumo.jp/chintai/jnc_000056339611/?bc=100337970233"/>
    <s v="都営大江戸線 新江古田駅 4階建 築54年"/>
    <s v="東京都中野区江古田２"/>
    <n v="63000"/>
    <n v="3000"/>
    <n v="63000"/>
    <n v="63000"/>
    <n v="4"/>
    <x v="7"/>
    <n v="25.58"/>
    <n v="54"/>
    <x v="4"/>
    <s v="沼袋駅"/>
    <n v="10"/>
    <n v="12.67"/>
    <n v="98022.29"/>
    <n v="117441.44"/>
    <n v="323"/>
    <n v="111"/>
    <s v="20-30"/>
    <x v="5"/>
  </r>
  <r>
    <s v="https://suumo.jp/chintai/jnc_000102986868/?bc=100474017634"/>
    <s v="the trias205"/>
    <s v="東京都中野区沼袋２"/>
    <n v="147000"/>
    <n v="18000"/>
    <m/>
    <m/>
    <n v="-1"/>
    <x v="8"/>
    <n v="39.479999999999997"/>
    <n v="0"/>
    <x v="4"/>
    <s v="沼袋駅"/>
    <n v="4"/>
    <n v="12.67"/>
    <n v="98022.29"/>
    <n v="232352.65"/>
    <n v="323"/>
    <n v="359"/>
    <s v="30-40"/>
    <x v="6"/>
  </r>
  <r>
    <s v="https://suumo.jp/chintai/jnc_000104286400/?bc=100484413783"/>
    <s v="the trias205"/>
    <s v="東京都中野区沼袋２"/>
    <n v="150000"/>
    <n v="18000"/>
    <m/>
    <m/>
    <n v="-1"/>
    <x v="8"/>
    <n v="40.24"/>
    <n v="0"/>
    <x v="4"/>
    <s v="沼袋駅"/>
    <n v="4"/>
    <n v="12.67"/>
    <n v="98022.29"/>
    <n v="232352.65"/>
    <n v="323"/>
    <n v="359"/>
    <s v="40-50"/>
    <x v="6"/>
  </r>
  <r>
    <s v="https://suumo.jp/chintai/jnc_000103095172/?bc=100474895414"/>
    <s v="グレイシャス沼袋"/>
    <s v="東京都中野区沼袋１"/>
    <n v="170000"/>
    <n v="7000"/>
    <n v="170000"/>
    <n v="170000"/>
    <n v="4"/>
    <x v="8"/>
    <n v="41.52"/>
    <n v="5"/>
    <x v="7"/>
    <s v="沼袋駅"/>
    <n v="2"/>
    <n v="11"/>
    <n v="98022.29"/>
    <n v="232352.65"/>
    <n v="323"/>
    <n v="359"/>
    <s v="40-50"/>
    <x v="0"/>
  </r>
  <r>
    <s v="https://suumo.jp/chintai/jnc_000102936795/?bc=100473570361"/>
    <s v="パークフロント中野新井薬師"/>
    <s v="東京都中野区新井５"/>
    <n v="222000"/>
    <n v="8000"/>
    <n v="222000"/>
    <n v="222000"/>
    <n v="14"/>
    <x v="8"/>
    <n v="57.26"/>
    <n v="25"/>
    <x v="12"/>
    <s v="沼袋駅"/>
    <n v="6"/>
    <n v="9.33"/>
    <n v="98022.29"/>
    <n v="232352.65"/>
    <n v="323"/>
    <n v="359"/>
    <s v="50-60"/>
    <x v="1"/>
  </r>
  <r>
    <s v="https://suumo.jp/chintai/jnc_000103771405/?bc=100480429967"/>
    <s v="ファームシャトーII"/>
    <s v="東京都中野区新井４"/>
    <n v="180000"/>
    <m/>
    <n v="180000"/>
    <n v="180000"/>
    <n v="3"/>
    <x v="8"/>
    <n v="62.7"/>
    <n v="29"/>
    <x v="2"/>
    <s v="沼袋駅"/>
    <n v="4"/>
    <n v="9.67"/>
    <n v="98022.29"/>
    <n v="232352.65"/>
    <n v="323"/>
    <n v="359"/>
    <s v="60-70"/>
    <x v="1"/>
  </r>
  <r>
    <s v="https://suumo.jp/chintai/jnc_000103804706/?bc=100482565095"/>
    <s v="ライオンズマンション中野平和の森公園"/>
    <s v="東京都中野区新井３"/>
    <n v="190000"/>
    <n v="10000"/>
    <n v="190000"/>
    <n v="190000"/>
    <n v="5"/>
    <x v="8"/>
    <n v="56.32"/>
    <n v="24"/>
    <x v="9"/>
    <s v="沼袋駅"/>
    <n v="4"/>
    <n v="11"/>
    <n v="98022.29"/>
    <n v="232352.65"/>
    <n v="323"/>
    <n v="359"/>
    <s v="50-60"/>
    <x v="1"/>
  </r>
  <r>
    <s v="https://suumo.jp/chintai/jnc_000104341747/?bc=100484885280"/>
    <s v="ロアール江古田"/>
    <s v="東京都中野区江古田４"/>
    <n v="132000"/>
    <n v="10000"/>
    <m/>
    <n v="132000"/>
    <n v="5"/>
    <x v="8"/>
    <n v="39.520000000000003"/>
    <n v="20"/>
    <x v="5"/>
    <s v="沼袋駅"/>
    <n v="9"/>
    <n v="13.67"/>
    <n v="98022.29"/>
    <n v="232352.65"/>
    <n v="323"/>
    <n v="359"/>
    <s v="30-40"/>
    <x v="7"/>
  </r>
  <r>
    <s v="https://suumo.jp/chintai/jnc_000103536673/?bc=100478318341"/>
    <s v="沼袋へーベルハウス"/>
    <s v="東京都中野区沼袋３"/>
    <n v="220000"/>
    <m/>
    <n v="220000"/>
    <n v="220000"/>
    <n v="1"/>
    <x v="8"/>
    <n v="72.34"/>
    <n v="19"/>
    <x v="0"/>
    <s v="沼袋駅"/>
    <n v="7"/>
    <n v="10.33"/>
    <n v="98022.29"/>
    <n v="232352.65"/>
    <n v="323"/>
    <n v="359"/>
    <s v="70-80"/>
    <x v="7"/>
  </r>
  <r>
    <s v="https://suumo.jp/chintai/jnc_000103536673/?bc=100478318341"/>
    <s v="沼袋へーベルハウス"/>
    <s v="東京都中野区沼袋３"/>
    <n v="220000"/>
    <m/>
    <n v="220000"/>
    <n v="220000"/>
    <n v="2"/>
    <x v="8"/>
    <n v="72.34"/>
    <n v="19"/>
    <x v="0"/>
    <s v="沼袋駅"/>
    <n v="7"/>
    <n v="10.33"/>
    <n v="98022.29"/>
    <n v="232352.65"/>
    <n v="323"/>
    <n v="359"/>
    <s v="70-80"/>
    <x v="7"/>
  </r>
  <r>
    <s v="https://suumo.jp/chintai/jnc_000102928294/?bc=100476744337"/>
    <s v="西武新宿線 新井薬師前駅 14階建 築25年"/>
    <s v="東京都中野区新井５"/>
    <n v="222000"/>
    <n v="8000"/>
    <n v="222000"/>
    <n v="222000"/>
    <n v="14"/>
    <x v="8"/>
    <n v="57.26"/>
    <n v="25"/>
    <x v="12"/>
    <s v="沼袋駅"/>
    <n v="6"/>
    <n v="9.33"/>
    <n v="98022.29"/>
    <n v="232352.65"/>
    <n v="323"/>
    <n v="359"/>
    <s v="50-60"/>
    <x v="1"/>
  </r>
  <r>
    <s v="https://suumo.jp/chintai/jnc_000102473328/?bc=100477354121"/>
    <s v="西武新宿線 沼袋駅 3階建 新築"/>
    <s v="東京都中野区沼袋１"/>
    <n v="225000"/>
    <n v="7000"/>
    <n v="225000"/>
    <n v="225000"/>
    <n v="1"/>
    <x v="8"/>
    <n v="74.599999999999994"/>
    <n v="0"/>
    <x v="2"/>
    <s v="沼袋駅"/>
    <n v="4"/>
    <n v="10.67"/>
    <n v="98022.29"/>
    <n v="232352.65"/>
    <n v="323"/>
    <n v="359"/>
    <s v="70-80"/>
    <x v="6"/>
  </r>
  <r>
    <s v="https://suumo.jp/chintai/jnc_000102473328/?bc=100477354121"/>
    <s v="西武新宿線 沼袋駅 3階建 新築"/>
    <s v="東京都中野区沼袋１"/>
    <n v="225000"/>
    <n v="7000"/>
    <n v="225000"/>
    <n v="225000"/>
    <n v="2"/>
    <x v="8"/>
    <n v="74.599999999999994"/>
    <n v="0"/>
    <x v="2"/>
    <s v="沼袋駅"/>
    <n v="4"/>
    <n v="10.67"/>
    <n v="98022.29"/>
    <n v="232352.65"/>
    <n v="323"/>
    <n v="359"/>
    <s v="70-80"/>
    <x v="6"/>
  </r>
  <r>
    <s v="https://suumo.jp/chintai/jnc_000102328207/?bc=100465983182"/>
    <s v="西武新宿線 沼袋駅 3階建 新築"/>
    <s v="東京都中野区沼袋２"/>
    <n v="210000"/>
    <n v="18000"/>
    <m/>
    <m/>
    <n v="1"/>
    <x v="8"/>
    <n v="49.62"/>
    <n v="0"/>
    <x v="2"/>
    <s v="沼袋駅"/>
    <n v="8"/>
    <n v="13.67"/>
    <n v="98022.29"/>
    <n v="232352.65"/>
    <n v="323"/>
    <n v="359"/>
    <s v="40-50"/>
    <x v="6"/>
  </r>
  <r>
    <s v="https://suumo.jp/chintai/jnc_000104215463/?bc=100484248649"/>
    <s v="西武新宿線 沼袋駅 3階建 新築"/>
    <s v="東京都中野区沼袋１"/>
    <n v="216000"/>
    <n v="7000"/>
    <n v="216000"/>
    <n v="216000"/>
    <n v="1"/>
    <x v="8"/>
    <n v="55.92"/>
    <n v="0"/>
    <x v="2"/>
    <s v="沼袋駅"/>
    <n v="4"/>
    <n v="10.67"/>
    <n v="98022.29"/>
    <n v="232352.65"/>
    <n v="323"/>
    <n v="359"/>
    <s v="50-60"/>
    <x v="6"/>
  </r>
  <r>
    <s v="https://suumo.jp/chintai/jnc_000104474396/?bc=100485947750"/>
    <s v="西武新宿線 沼袋駅 3階建 新築"/>
    <s v="東京都中野区沼袋２"/>
    <n v="161000"/>
    <n v="18000"/>
    <m/>
    <m/>
    <n v="2"/>
    <x v="8"/>
    <n v="41.78"/>
    <n v="0"/>
    <x v="2"/>
    <s v="沼袋駅"/>
    <n v="4"/>
    <n v="8"/>
    <n v="98022.29"/>
    <n v="232352.65"/>
    <n v="323"/>
    <n v="359"/>
    <s v="40-50"/>
    <x v="6"/>
  </r>
  <r>
    <s v="https://suumo.jp/chintai/jnc_000102328209/?bc=100467956816"/>
    <s v="西武新宿線 沼袋駅 3階建 新築"/>
    <s v="東京都中野区沼袋２"/>
    <n v="215000"/>
    <n v="18000"/>
    <m/>
    <m/>
    <n v="2"/>
    <x v="8"/>
    <n v="49.62"/>
    <n v="0"/>
    <x v="2"/>
    <s v="沼袋駅"/>
    <n v="8"/>
    <n v="13.67"/>
    <n v="98022.29"/>
    <n v="232352.65"/>
    <n v="323"/>
    <n v="359"/>
    <s v="40-50"/>
    <x v="6"/>
  </r>
  <r>
    <s v="https://suumo.jp/chintai/jnc_000098732791/?bc=100442846058"/>
    <s v="西武新宿線 沼袋駅 3階建 築20年"/>
    <s v="東京都中野区沼袋３"/>
    <n v="215000"/>
    <n v="3000"/>
    <n v="215000"/>
    <n v="215000"/>
    <n v="3"/>
    <x v="8"/>
    <n v="61.4"/>
    <n v="20"/>
    <x v="2"/>
    <s v="沼袋駅"/>
    <n v="8"/>
    <n v="12"/>
    <n v="98022.29"/>
    <n v="232352.65"/>
    <n v="323"/>
    <n v="359"/>
    <s v="60-70"/>
    <x v="7"/>
  </r>
  <r>
    <s v="https://suumo.jp/chintai/jnc_000103111357/?bc=100474931845"/>
    <s v="西武新宿線 沼袋駅 5階建 築5年"/>
    <s v="東京都中野区沼袋１"/>
    <n v="170000"/>
    <n v="7000"/>
    <n v="170000"/>
    <n v="170000"/>
    <n v="4"/>
    <x v="8"/>
    <n v="41.52"/>
    <n v="5"/>
    <x v="7"/>
    <s v="沼袋駅"/>
    <n v="2"/>
    <n v="11"/>
    <n v="98022.29"/>
    <n v="232352.65"/>
    <n v="323"/>
    <n v="359"/>
    <s v="40-50"/>
    <x v="0"/>
  </r>
  <r>
    <s v="https://suumo.jp/chintai/jnc_000104373030/?bc=100485134360"/>
    <s v="西武新宿線 沼袋駅 6階建 築19年"/>
    <s v="東京都中野区江古田４"/>
    <n v="132000"/>
    <n v="10000"/>
    <m/>
    <n v="132000"/>
    <n v="3"/>
    <x v="8"/>
    <n v="39.520000000000003"/>
    <n v="19"/>
    <x v="5"/>
    <s v="沼袋駅"/>
    <n v="9"/>
    <n v="13.33"/>
    <n v="98022.29"/>
    <n v="232352.65"/>
    <n v="323"/>
    <n v="359"/>
    <s v="30-40"/>
    <x v="7"/>
  </r>
  <r>
    <s v="https://suumo.jp/chintai/jnc_000104310654/?bc=100483900046"/>
    <s v="ＪＲ中央線 中野駅 3階建 新築"/>
    <s v="東京都中野区新井３"/>
    <n v="263000"/>
    <n v="12000"/>
    <n v="131500"/>
    <m/>
    <n v="1"/>
    <x v="8"/>
    <n v="67.84"/>
    <n v="0"/>
    <x v="2"/>
    <s v="沼袋駅"/>
    <n v="9"/>
    <n v="11.33"/>
    <n v="98022.29"/>
    <n v="232352.65"/>
    <n v="323"/>
    <n v="359"/>
    <s v="60-70"/>
    <x v="6"/>
  </r>
  <r>
    <s v="https://suumo.jp/chintai/jnc_000030648763/?bc=100477977486"/>
    <s v="ＪＲ中央線 中野駅 3階建 築24年"/>
    <s v="東京都中野区新井３"/>
    <n v="145000"/>
    <n v="5000"/>
    <n v="145000"/>
    <n v="145000"/>
    <n v="1"/>
    <x v="8"/>
    <n v="46.74"/>
    <n v="24"/>
    <x v="2"/>
    <s v="沼袋駅"/>
    <n v="8"/>
    <n v="9"/>
    <n v="98022.29"/>
    <n v="232352.65"/>
    <n v="323"/>
    <n v="359"/>
    <s v="40-50"/>
    <x v="1"/>
  </r>
  <r>
    <s v="https://suumo.jp/chintai/jnc_000103809269/?bc=100480781788"/>
    <s v="ＪＲ中央線 中野駅 地下1地上7階建 築24年"/>
    <s v="東京都中野区新井３"/>
    <n v="190000"/>
    <n v="10000"/>
    <n v="190000"/>
    <n v="190000"/>
    <n v="5"/>
    <x v="8"/>
    <n v="56.32"/>
    <n v="24"/>
    <x v="9"/>
    <s v="沼袋駅"/>
    <n v="4"/>
    <n v="10"/>
    <n v="98022.29"/>
    <n v="232352.65"/>
    <n v="323"/>
    <n v="359"/>
    <s v="50-60"/>
    <x v="1"/>
  </r>
  <r>
    <s v="https://suumo.jp/chintai/jnc_000104295939/?bc=100486339863"/>
    <s v="ＬｅＢｏｉｓ中野"/>
    <s v="東京都中野区新井３"/>
    <n v="263000"/>
    <n v="12000"/>
    <n v="131500"/>
    <m/>
    <n v="1"/>
    <x v="8"/>
    <n v="67.84"/>
    <n v="0"/>
    <x v="2"/>
    <s v="沼袋駅"/>
    <n v="9"/>
    <n v="11.33"/>
    <n v="98022.29"/>
    <n v="232352.65"/>
    <n v="323"/>
    <n v="359"/>
    <s v="60-70"/>
    <x v="6"/>
  </r>
  <r>
    <s v="https://suumo.jp/chintai/jnc_000102328204/?bc=100453259077"/>
    <s v="Ｌｉｂｅｒｔｅ沼袋"/>
    <s v="東京都中野区沼袋２"/>
    <n v="210000"/>
    <n v="18000"/>
    <m/>
    <m/>
    <n v="1"/>
    <x v="8"/>
    <n v="49.62"/>
    <n v="1"/>
    <x v="2"/>
    <s v="沼袋駅"/>
    <n v="8"/>
    <n v="12.33"/>
    <n v="98022.29"/>
    <n v="232352.65"/>
    <n v="323"/>
    <n v="359"/>
    <s v="40-50"/>
    <x v="0"/>
  </r>
  <r>
    <s v="https://suumo.jp/chintai/jnc_000102328206/?bc=100453477429"/>
    <s v="Ｌｉｂｅｒｔｅ沼袋"/>
    <s v="東京都中野区沼袋２"/>
    <n v="215000"/>
    <n v="18000"/>
    <m/>
    <m/>
    <n v="2"/>
    <x v="8"/>
    <n v="49.62"/>
    <n v="1"/>
    <x v="2"/>
    <s v="沼袋駅"/>
    <n v="8"/>
    <n v="12.33"/>
    <n v="98022.29"/>
    <n v="232352.65"/>
    <n v="323"/>
    <n v="359"/>
    <s v="40-50"/>
    <x v="0"/>
  </r>
  <r>
    <s v="https://suumo.jp/chintai/jnc_000102469318/?bc=100472538829"/>
    <s v="ＷＡＬＤ Ｎ"/>
    <s v="東京都中野区沼袋１"/>
    <n v="225000"/>
    <n v="7000"/>
    <n v="225000"/>
    <n v="225000"/>
    <n v="1"/>
    <x v="8"/>
    <n v="74.599999999999994"/>
    <n v="0"/>
    <x v="2"/>
    <s v="沼袋駅"/>
    <n v="4"/>
    <n v="10.67"/>
    <n v="98022.29"/>
    <n v="232352.65"/>
    <n v="323"/>
    <n v="359"/>
    <s v="70-80"/>
    <x v="6"/>
  </r>
  <r>
    <s v="https://suumo.jp/chintai/jnc_000102469318/?bc=100472538829"/>
    <s v="ＷＡＬＤ Ｎ"/>
    <s v="東京都中野区沼袋１"/>
    <n v="225000"/>
    <n v="7000"/>
    <n v="225000"/>
    <n v="225000"/>
    <n v="2"/>
    <x v="8"/>
    <n v="74.599999999999994"/>
    <n v="0"/>
    <x v="2"/>
    <s v="沼袋駅"/>
    <n v="4"/>
    <n v="10.67"/>
    <n v="98022.29"/>
    <n v="232352.65"/>
    <n v="323"/>
    <n v="359"/>
    <s v="70-80"/>
    <x v="6"/>
  </r>
  <r>
    <s v="https://suumo.jp/chintai/jnc_000102469319/?bc=100472538773"/>
    <s v="ＷＡＬＤ Ｎ"/>
    <s v="東京都中野区沼袋１"/>
    <n v="216000"/>
    <n v="7000"/>
    <n v="216000"/>
    <n v="216000"/>
    <n v="1"/>
    <x v="8"/>
    <n v="55.92"/>
    <n v="0"/>
    <x v="2"/>
    <s v="沼袋駅"/>
    <n v="4"/>
    <n v="10.67"/>
    <n v="98022.29"/>
    <n v="232352.65"/>
    <n v="323"/>
    <n v="359"/>
    <s v="50-60"/>
    <x v="6"/>
  </r>
  <r>
    <s v="https://suumo.jp/chintai/jnc_000103144280/?bc=100475186150"/>
    <s v="エクセル中野"/>
    <s v="東京都中野区新井４"/>
    <n v="215000"/>
    <n v="10000"/>
    <m/>
    <n v="430000"/>
    <n v="3"/>
    <x v="13"/>
    <n v="66.06"/>
    <n v="30"/>
    <x v="4"/>
    <s v="沼袋駅"/>
    <n v="8"/>
    <n v="10.33"/>
    <n v="98022.29"/>
    <n v="288705.81"/>
    <n v="323"/>
    <n v="155"/>
    <s v="60-70"/>
    <x v="1"/>
  </r>
  <r>
    <s v="https://suumo.jp/chintai/jnc_000103524032/?bc=100486301319"/>
    <s v="シティハウス中野テラス"/>
    <s v="東京都中野区新井４"/>
    <n v="260000"/>
    <n v="20000"/>
    <n v="260000"/>
    <n v="260000"/>
    <n v="3"/>
    <x v="13"/>
    <n v="70.03"/>
    <n v="8"/>
    <x v="10"/>
    <s v="沼袋駅"/>
    <n v="6"/>
    <n v="16.670000000000002"/>
    <n v="98022.29"/>
    <n v="288705.81"/>
    <n v="323"/>
    <n v="155"/>
    <s v="70-80"/>
    <x v="0"/>
  </r>
  <r>
    <s v="https://suumo.jp/chintai/jnc_000104326811/?bc=100479202055"/>
    <s v="タチマンション沼袋"/>
    <s v="東京都中野区沼袋１"/>
    <n v="170000"/>
    <n v="5000"/>
    <n v="170000"/>
    <n v="170000"/>
    <n v="2"/>
    <x v="13"/>
    <n v="64.03"/>
    <n v="36"/>
    <x v="2"/>
    <s v="沼袋駅"/>
    <n v="5"/>
    <n v="11"/>
    <n v="98022.29"/>
    <n v="288705.81"/>
    <n v="323"/>
    <n v="155"/>
    <s v="60-70"/>
    <x v="4"/>
  </r>
  <r>
    <s v="https://suumo.jp/chintai/jnc_000101390410/?bc=100457511415"/>
    <s v="朝日クレスパリオ中野新井薬師"/>
    <s v="東京都中野区新井４"/>
    <n v="245000"/>
    <n v="15000"/>
    <n v="245000"/>
    <n v="245000"/>
    <n v="7"/>
    <x v="13"/>
    <n v="72.69"/>
    <n v="30"/>
    <x v="10"/>
    <s v="沼袋駅"/>
    <n v="7"/>
    <n v="10.67"/>
    <n v="98022.29"/>
    <n v="288705.81"/>
    <n v="323"/>
    <n v="155"/>
    <s v="70-80"/>
    <x v="1"/>
  </r>
  <r>
    <s v="https://suumo.jp/chintai/jnc_000098502264/?bc=100465929423"/>
    <s v="西武新宿線 沼袋駅 2階建 新築"/>
    <s v="東京都中野区松が丘２"/>
    <n v="239000"/>
    <n v="6000"/>
    <m/>
    <m/>
    <n v="1"/>
    <x v="13"/>
    <n v="58.64"/>
    <n v="0"/>
    <x v="0"/>
    <s v="沼袋駅"/>
    <n v="7"/>
    <n v="12"/>
    <n v="98022.29"/>
    <n v="288705.81"/>
    <n v="323"/>
    <n v="155"/>
    <s v="50-60"/>
    <x v="6"/>
  </r>
  <r>
    <s v="https://suumo.jp/chintai/jnc_000098502263/?bc=100445422415"/>
    <s v="西武新宿線 沼袋駅 2階建 新築"/>
    <s v="東京都中野区松が丘２"/>
    <n v="247000"/>
    <n v="6000"/>
    <m/>
    <m/>
    <n v="1"/>
    <x v="13"/>
    <n v="59.02"/>
    <n v="0"/>
    <x v="0"/>
    <s v="沼袋駅"/>
    <n v="7"/>
    <n v="12"/>
    <n v="98022.29"/>
    <n v="288705.81"/>
    <n v="323"/>
    <n v="155"/>
    <s v="50-60"/>
    <x v="6"/>
  </r>
  <r>
    <s v="https://suumo.jp/chintai/jnc_000098502266/?bc=100454560551"/>
    <s v="西武新宿線 沼袋駅 2階建 新築"/>
    <s v="東京都中野区松が丘２"/>
    <n v="260000"/>
    <n v="6000"/>
    <m/>
    <m/>
    <n v="2"/>
    <x v="13"/>
    <n v="74.45"/>
    <n v="0"/>
    <x v="0"/>
    <s v="沼袋駅"/>
    <n v="7"/>
    <n v="12"/>
    <n v="98022.29"/>
    <n v="288705.81"/>
    <n v="323"/>
    <n v="155"/>
    <s v="70-80"/>
    <x v="6"/>
  </r>
  <r>
    <s v="https://suumo.jp/chintai/jnc_000104326813/?bc=100480750784"/>
    <s v="西武新宿線 沼袋駅 3階建 築36年"/>
    <s v="東京都中野区沼袋１"/>
    <n v="170000"/>
    <n v="5000"/>
    <n v="170000"/>
    <n v="170000"/>
    <n v="2"/>
    <x v="13"/>
    <n v="64.03"/>
    <n v="36"/>
    <x v="2"/>
    <s v="沼袋駅"/>
    <n v="5"/>
    <n v="11"/>
    <n v="98022.29"/>
    <n v="288705.81"/>
    <n v="323"/>
    <n v="155"/>
    <s v="60-70"/>
    <x v="4"/>
  </r>
  <r>
    <s v="https://suumo.jp/chintai/jnc_000099029398/?bc=100475147580"/>
    <s v="西武新宿線 沼袋駅 7階建 築30年"/>
    <s v="東京都中野区新井４"/>
    <n v="250000"/>
    <n v="15000"/>
    <n v="250000"/>
    <n v="250000"/>
    <n v="7"/>
    <x v="13"/>
    <n v="72.69"/>
    <n v="30"/>
    <x v="10"/>
    <s v="沼袋駅"/>
    <n v="7"/>
    <n v="10.67"/>
    <n v="98022.29"/>
    <n v="288705.81"/>
    <n v="323"/>
    <n v="155"/>
    <s v="70-80"/>
    <x v="1"/>
  </r>
  <r>
    <s v="https://suumo.jp/chintai/jnc_000099029397/?bc=100440964736"/>
    <s v="西武新宿線 沼袋駅 7階建 築30年"/>
    <s v="東京都中野区新井４"/>
    <n v="245000"/>
    <n v="15000"/>
    <n v="245000"/>
    <n v="245000"/>
    <n v="7"/>
    <x v="13"/>
    <n v="72.599999999999994"/>
    <n v="30"/>
    <x v="10"/>
    <s v="沼袋駅"/>
    <n v="7"/>
    <n v="10.67"/>
    <n v="98022.29"/>
    <n v="288705.81"/>
    <n v="323"/>
    <n v="155"/>
    <s v="70-80"/>
    <x v="1"/>
  </r>
  <r>
    <s v="https://suumo.jp/chintai/jnc_000103558028/?bc=100485447965"/>
    <s v="西武新宿線 沼袋駅 7階建 築8年"/>
    <s v="東京都中野区新井４"/>
    <n v="260000"/>
    <n v="20000"/>
    <n v="260000"/>
    <n v="260000"/>
    <n v="3"/>
    <x v="13"/>
    <n v="70.03"/>
    <n v="8"/>
    <x v="10"/>
    <s v="沼袋駅"/>
    <n v="6"/>
    <n v="9.67"/>
    <n v="98022.29"/>
    <n v="288705.81"/>
    <n v="323"/>
    <n v="155"/>
    <s v="70-80"/>
    <x v="0"/>
  </r>
  <r>
    <s v="https://suumo.jp/chintai/jnc_000104310655/?bc=100483266386"/>
    <s v="ＪＲ中央線 中野駅 3階建 新築"/>
    <s v="東京都中野区新井３"/>
    <n v="315000"/>
    <n v="12000"/>
    <n v="157500"/>
    <m/>
    <n v="2"/>
    <x v="13"/>
    <n v="78.61"/>
    <n v="0"/>
    <x v="2"/>
    <s v="沼袋駅"/>
    <n v="9"/>
    <n v="11.33"/>
    <n v="98022.29"/>
    <n v="288705.81"/>
    <n v="323"/>
    <n v="155"/>
    <s v="70-80"/>
    <x v="6"/>
  </r>
  <r>
    <s v="https://suumo.jp/chintai/jnc_000104295940/?bc=100486339846"/>
    <s v="ＬｅＢｏｉｓ中野"/>
    <s v="東京都中野区新井３"/>
    <n v="315000"/>
    <n v="12000"/>
    <n v="157500"/>
    <m/>
    <n v="2"/>
    <x v="13"/>
    <n v="78.61"/>
    <n v="0"/>
    <x v="2"/>
    <s v="沼袋駅"/>
    <n v="9"/>
    <n v="11.33"/>
    <n v="98022.29"/>
    <n v="288705.81"/>
    <n v="323"/>
    <n v="155"/>
    <s v="70-80"/>
    <x v="6"/>
  </r>
  <r>
    <s v="https://suumo.jp/chintai/jnc_000077276484/?bc=100424402184"/>
    <s v="松ヶ丘2丁目19戸建"/>
    <s v="東京都中野区松が丘２"/>
    <n v="260000"/>
    <m/>
    <n v="260000"/>
    <n v="260000"/>
    <n v="1"/>
    <x v="15"/>
    <n v="90.02"/>
    <n v="26"/>
    <x v="2"/>
    <s v="沼袋駅"/>
    <n v="9"/>
    <n v="15"/>
    <n v="98022.29"/>
    <n v="388200"/>
    <n v="323"/>
    <n v="20"/>
    <s v="90-100"/>
    <x v="1"/>
  </r>
  <r>
    <s v="https://suumo.jp/chintai/jnc_000104304033/?bc=100484572578"/>
    <s v="西武新宿線 沼袋駅 地上3階建 築12年"/>
    <s v="東京都中野区沼袋４"/>
    <n v="260000"/>
    <m/>
    <n v="260000"/>
    <n v="260000"/>
    <n v="1"/>
    <x v="15"/>
    <n v="90"/>
    <n v="12"/>
    <x v="2"/>
    <s v="沼袋駅"/>
    <n v="5"/>
    <n v="12"/>
    <n v="98022.29"/>
    <n v="388200"/>
    <n v="323"/>
    <n v="20"/>
    <s v="90-100"/>
    <x v="7"/>
  </r>
  <r>
    <s v="https://suumo.jp/chintai/jnc_000104304033/?bc=100484572578"/>
    <s v="西武新宿線 沼袋駅 地上3階建 築12年"/>
    <s v="東京都中野区沼袋４"/>
    <n v="260000"/>
    <m/>
    <n v="260000"/>
    <n v="260000"/>
    <n v="2"/>
    <x v="15"/>
    <n v="90"/>
    <n v="12"/>
    <x v="2"/>
    <s v="沼袋駅"/>
    <n v="5"/>
    <n v="12"/>
    <n v="98022.29"/>
    <n v="388200"/>
    <n v="323"/>
    <n v="20"/>
    <s v="90-100"/>
    <x v="7"/>
  </r>
  <r>
    <s v="https://suumo.jp/chintai/jnc_000104304033/?bc=100484572578"/>
    <s v="西武新宿線 沼袋駅 地上3階建 築12年"/>
    <s v="東京都中野区沼袋４"/>
    <n v="260000"/>
    <m/>
    <n v="260000"/>
    <n v="260000"/>
    <n v="3"/>
    <x v="15"/>
    <n v="90"/>
    <n v="12"/>
    <x v="2"/>
    <s v="沼袋駅"/>
    <n v="5"/>
    <n v="12"/>
    <n v="98022.29"/>
    <n v="388200"/>
    <n v="323"/>
    <n v="20"/>
    <s v="90-100"/>
    <x v="7"/>
  </r>
  <r>
    <s v="https://suumo.jp/chintai/jnc_000103352692/?bc=100476804549"/>
    <s v="クロスコート目白Ｂ"/>
    <s v="東京都新宿区下落合３"/>
    <n v="125000"/>
    <m/>
    <n v="125000"/>
    <n v="125000"/>
    <n v="2"/>
    <x v="1"/>
    <n v="30"/>
    <n v="6"/>
    <x v="0"/>
    <s v="目白駅"/>
    <n v="10"/>
    <n v="12"/>
    <n v="147283.01999999999"/>
    <n v="123325.96"/>
    <n v="53"/>
    <n v="339"/>
    <s v="30-40"/>
    <x v="0"/>
  </r>
  <r>
    <s v="https://suumo.jp/chintai/jnc_000103352693/?bc=100478725893"/>
    <s v="ＪＲ山手線 目白駅 2階建 築6年"/>
    <s v="東京都新宿区下落合３"/>
    <n v="125000"/>
    <m/>
    <n v="125000"/>
    <n v="125000"/>
    <n v="2"/>
    <x v="1"/>
    <n v="30"/>
    <n v="6"/>
    <x v="0"/>
    <s v="目白駅"/>
    <n v="10"/>
    <n v="12"/>
    <n v="147283.01999999999"/>
    <n v="123325.96"/>
    <n v="53"/>
    <n v="339"/>
    <s v="30-40"/>
    <x v="0"/>
  </r>
  <r>
    <s v="https://suumo.jp/chintai/jnc_000104132241/?bc=100483215555"/>
    <s v="The　Well　Mejiro"/>
    <s v="東京都新宿区下落合２"/>
    <n v="130000"/>
    <n v="8000"/>
    <n v="130000"/>
    <n v="130000"/>
    <n v="1"/>
    <x v="2"/>
    <n v="25.65"/>
    <n v="8"/>
    <x v="4"/>
    <s v="目白駅"/>
    <n v="9"/>
    <n v="10.67"/>
    <n v="147283.01999999999"/>
    <n v="95329.65"/>
    <n v="53"/>
    <n v="1622"/>
    <s v="20-30"/>
    <x v="0"/>
  </r>
  <r>
    <s v="https://suumo.jp/chintai/jnc_000104449287/?bc=100485724194"/>
    <s v="The　Well　Mejiro"/>
    <s v="東京都新宿区下落合２"/>
    <n v="119000"/>
    <n v="8000"/>
    <n v="119000"/>
    <n v="119000"/>
    <n v="-1"/>
    <x v="2"/>
    <n v="25.65"/>
    <n v="8"/>
    <x v="4"/>
    <s v="目白駅"/>
    <n v="9"/>
    <n v="10.67"/>
    <n v="147283.01999999999"/>
    <n v="95329.65"/>
    <n v="53"/>
    <n v="1622"/>
    <s v="20-30"/>
    <x v="0"/>
  </r>
  <r>
    <s v="https://suumo.jp/chintai/jnc_000103575236/?bc=100478629210"/>
    <s v="アネックス・メグ"/>
    <s v="東京都新宿区下落合２"/>
    <n v="74000"/>
    <n v="6500"/>
    <m/>
    <n v="74000"/>
    <n v="1"/>
    <x v="2"/>
    <n v="21.8"/>
    <n v="28"/>
    <x v="0"/>
    <s v="目白駅"/>
    <n v="10"/>
    <n v="11"/>
    <n v="147283.01999999999"/>
    <n v="95329.65"/>
    <n v="53"/>
    <n v="1622"/>
    <s v="20-30"/>
    <x v="1"/>
  </r>
  <r>
    <s v="https://suumo.jp/chintai/jnc_000101694595/?bc=100462098041"/>
    <s v="アネックス・メグ"/>
    <s v="東京都新宿区下落合２"/>
    <n v="89000"/>
    <n v="6500"/>
    <m/>
    <n v="89000"/>
    <n v="2"/>
    <x v="2"/>
    <n v="21.8"/>
    <n v="28"/>
    <x v="0"/>
    <s v="目白駅"/>
    <n v="10"/>
    <n v="11"/>
    <n v="147283.01999999999"/>
    <n v="95329.65"/>
    <n v="53"/>
    <n v="1622"/>
    <s v="20-30"/>
    <x v="1"/>
  </r>
  <r>
    <s v="https://suumo.jp/chintai/jnc_000095471946/?bc=100415751340"/>
    <s v="グリーンコート"/>
    <s v="東京都新宿区下落合３"/>
    <n v="50000"/>
    <n v="2000"/>
    <n v="50000"/>
    <n v="50000"/>
    <n v="1"/>
    <x v="2"/>
    <n v="19"/>
    <n v="56"/>
    <x v="0"/>
    <s v="目白駅"/>
    <n v="10"/>
    <n v="12.33"/>
    <n v="147283.01999999999"/>
    <n v="95329.65"/>
    <n v="53"/>
    <n v="1622"/>
    <s v="10-20"/>
    <x v="5"/>
  </r>
  <r>
    <s v="https://suumo.jp/chintai/jnc_000104049653/?bc=100482505783"/>
    <s v="チェリッシュ目白Ａ"/>
    <s v="東京都新宿区下落合３"/>
    <n v="72000"/>
    <m/>
    <n v="72000"/>
    <m/>
    <n v="1"/>
    <x v="2"/>
    <n v="20"/>
    <n v="28"/>
    <x v="0"/>
    <s v="目白駅"/>
    <n v="9"/>
    <n v="12.33"/>
    <n v="147283.01999999999"/>
    <n v="95329.65"/>
    <n v="53"/>
    <n v="1622"/>
    <s v="20-30"/>
    <x v="1"/>
  </r>
  <r>
    <s v="https://suumo.jp/chintai/jnc_000103976362/?bc=100482133075"/>
    <s v="プライムアーバン目白"/>
    <s v="東京都新宿区下落合３"/>
    <n v="113000"/>
    <n v="8000"/>
    <n v="113000"/>
    <n v="113000"/>
    <n v="6"/>
    <x v="2"/>
    <n v="25.34"/>
    <n v="21"/>
    <x v="12"/>
    <s v="目白駅"/>
    <n v="10"/>
    <n v="12.33"/>
    <n v="147283.01999999999"/>
    <n v="95329.65"/>
    <n v="53"/>
    <n v="1622"/>
    <s v="20-30"/>
    <x v="1"/>
  </r>
  <r>
    <s v="https://suumo.jp/chintai/jnc_000103178947/?bc=100484521200"/>
    <s v="ラフォンテ目白"/>
    <s v="東京都新宿区下落合３"/>
    <n v="116000"/>
    <n v="3000"/>
    <n v="116000"/>
    <n v="116000"/>
    <n v="1"/>
    <x v="2"/>
    <n v="29.91"/>
    <n v="4"/>
    <x v="0"/>
    <s v="目白駅"/>
    <n v="10"/>
    <n v="12"/>
    <n v="147283.01999999999"/>
    <n v="95329.65"/>
    <n v="53"/>
    <n v="1622"/>
    <s v="20-30"/>
    <x v="0"/>
  </r>
  <r>
    <s v="https://suumo.jp/chintai/jnc_000103742504/?bc=100486338015"/>
    <s v="リリエンベルグ目白壱番館"/>
    <s v="東京都新宿区下落合３"/>
    <n v="159000"/>
    <n v="12000"/>
    <m/>
    <m/>
    <n v="11"/>
    <x v="2"/>
    <n v="32.4"/>
    <n v="21"/>
    <x v="8"/>
    <s v="目白駅"/>
    <n v="10"/>
    <n v="10.67"/>
    <n v="147283.01999999999"/>
    <n v="95329.65"/>
    <n v="53"/>
    <n v="1622"/>
    <s v="30-40"/>
    <x v="1"/>
  </r>
  <r>
    <s v="https://suumo.jp/chintai/jnc_000096945820/?bc=100462385357"/>
    <s v="リリエンベルグ目白壱番館"/>
    <s v="東京都新宿区下落合３"/>
    <n v="154000"/>
    <n v="12000"/>
    <m/>
    <m/>
    <n v="2"/>
    <x v="2"/>
    <n v="32.4"/>
    <n v="21"/>
    <x v="8"/>
    <s v="目白駅"/>
    <n v="10"/>
    <n v="10.67"/>
    <n v="147283.01999999999"/>
    <n v="95329.65"/>
    <n v="53"/>
    <n v="1622"/>
    <s v="30-40"/>
    <x v="1"/>
  </r>
  <r>
    <s v="https://suumo.jp/chintai/jnc_000103742505/?bc=100485550946"/>
    <s v="リリエンベルグ目白壱番館"/>
    <s v="東京都新宿区下落合３"/>
    <n v="156000"/>
    <n v="12000"/>
    <m/>
    <m/>
    <n v="6"/>
    <x v="2"/>
    <n v="30.12"/>
    <n v="21"/>
    <x v="8"/>
    <s v="目白駅"/>
    <n v="10"/>
    <n v="10.67"/>
    <n v="147283.01999999999"/>
    <n v="95329.65"/>
    <n v="53"/>
    <n v="1622"/>
    <s v="30-40"/>
    <x v="1"/>
  </r>
  <r>
    <s v="https://suumo.jp/chintai/jnc_000104280007/?bc=100484476011"/>
    <s v="ル　ヴァンヴェール　目白"/>
    <s v="東京都新宿区下落合３"/>
    <n v="102000"/>
    <n v="3000"/>
    <n v="102000"/>
    <n v="102000"/>
    <n v="1"/>
    <x v="2"/>
    <n v="29.36"/>
    <n v="23"/>
    <x v="2"/>
    <s v="目白駅"/>
    <n v="8"/>
    <n v="12.33"/>
    <n v="147283.01999999999"/>
    <n v="95329.65"/>
    <n v="53"/>
    <n v="1622"/>
    <s v="20-30"/>
    <x v="1"/>
  </r>
  <r>
    <s v="https://suumo.jp/chintai/jnc_000102961719/?bc=100473889407"/>
    <s v="ル　ヴァンヴェール　目白"/>
    <s v="東京都新宿区下落合３"/>
    <n v="103000"/>
    <n v="3000"/>
    <n v="103000"/>
    <n v="103000"/>
    <n v="2"/>
    <x v="2"/>
    <n v="25.6"/>
    <n v="23"/>
    <x v="2"/>
    <s v="目白駅"/>
    <n v="8"/>
    <n v="12.33"/>
    <n v="147283.01999999999"/>
    <n v="95329.65"/>
    <n v="53"/>
    <n v="1622"/>
    <s v="20-30"/>
    <x v="1"/>
  </r>
  <r>
    <s v="https://suumo.jp/chintai/jnc_000098223974/?bc=100423125985"/>
    <s v="レクシード目白"/>
    <s v="東京都新宿区下落合３"/>
    <n v="164000"/>
    <n v="12000"/>
    <m/>
    <n v="164000"/>
    <n v="1"/>
    <x v="2"/>
    <n v="25.11"/>
    <n v="2"/>
    <x v="4"/>
    <s v="目白駅"/>
    <n v="7"/>
    <n v="12.33"/>
    <n v="147283.01999999999"/>
    <n v="95329.65"/>
    <n v="53"/>
    <n v="1622"/>
    <s v="20-30"/>
    <x v="0"/>
  </r>
  <r>
    <s v="https://suumo.jp/chintai/jnc_000104202525/?bc=100486399427"/>
    <s v="レクシード目白"/>
    <s v="東京都新宿区下落合３"/>
    <n v="169000"/>
    <n v="12000"/>
    <m/>
    <n v="169000"/>
    <n v="4"/>
    <x v="2"/>
    <n v="25.11"/>
    <n v="2"/>
    <x v="4"/>
    <s v="目白駅"/>
    <n v="7"/>
    <n v="12.33"/>
    <n v="147283.01999999999"/>
    <n v="95329.65"/>
    <n v="53"/>
    <n v="1622"/>
    <s v="20-30"/>
    <x v="0"/>
  </r>
  <r>
    <s v="https://suumo.jp/chintai/jnc_000104442186/?bc=100486337827"/>
    <s v="レクシード目白"/>
    <s v="東京都新宿区下落合３"/>
    <n v="170000"/>
    <n v="12000"/>
    <m/>
    <n v="170000"/>
    <n v="4"/>
    <x v="2"/>
    <n v="26.33"/>
    <n v="2"/>
    <x v="4"/>
    <s v="目白駅"/>
    <n v="7"/>
    <n v="12.33"/>
    <n v="147283.01999999999"/>
    <n v="95329.65"/>
    <n v="53"/>
    <n v="1622"/>
    <s v="20-30"/>
    <x v="0"/>
  </r>
  <r>
    <s v="https://suumo.jp/chintai/jnc_000104391714/?bc=100477692132"/>
    <s v="御留山アパートメント"/>
    <s v="東京都新宿区下落合２"/>
    <n v="85000"/>
    <n v="3000"/>
    <n v="85000"/>
    <n v="85000"/>
    <n v="1"/>
    <x v="2"/>
    <n v="27.2"/>
    <n v="17"/>
    <x v="0"/>
    <s v="目白駅"/>
    <n v="10"/>
    <n v="13"/>
    <n v="147283.01999999999"/>
    <n v="95329.65"/>
    <n v="53"/>
    <n v="1622"/>
    <s v="20-30"/>
    <x v="7"/>
  </r>
  <r>
    <s v="https://suumo.jp/chintai/jnc_000104372521/?bc=100448111132"/>
    <s v="ＡＤＸ目白"/>
    <s v="東京都新宿区下落合２"/>
    <n v="75000"/>
    <n v="5000"/>
    <m/>
    <m/>
    <n v="5"/>
    <x v="2"/>
    <n v="18.88"/>
    <n v="38"/>
    <x v="7"/>
    <s v="目白駅"/>
    <n v="4"/>
    <n v="8.67"/>
    <n v="147283.01999999999"/>
    <n v="95329.65"/>
    <n v="53"/>
    <n v="1622"/>
    <s v="10-20"/>
    <x v="4"/>
  </r>
  <r>
    <s v="https://suumo.jp/chintai/jnc_000103802177/?bc=100482975268"/>
    <s v="ＪＲ山手線 目白駅 11階建 築21年"/>
    <s v="東京都新宿区下落合３"/>
    <n v="159000"/>
    <n v="12000"/>
    <m/>
    <m/>
    <n v="11"/>
    <x v="2"/>
    <n v="32.4"/>
    <n v="21"/>
    <x v="8"/>
    <s v="目白駅"/>
    <n v="10"/>
    <n v="13"/>
    <n v="147283.01999999999"/>
    <n v="95329.65"/>
    <n v="53"/>
    <n v="1622"/>
    <s v="30-40"/>
    <x v="1"/>
  </r>
  <r>
    <s v="https://suumo.jp/chintai/jnc_000096937202/?bc=100476886858"/>
    <s v="ＪＲ山手線 目白駅 11階建 築21年"/>
    <s v="東京都新宿区下落合３"/>
    <n v="154000"/>
    <n v="12000"/>
    <m/>
    <m/>
    <n v="2"/>
    <x v="2"/>
    <n v="32.4"/>
    <n v="21"/>
    <x v="8"/>
    <s v="目白駅"/>
    <n v="10"/>
    <n v="13"/>
    <n v="147283.01999999999"/>
    <n v="95329.65"/>
    <n v="53"/>
    <n v="1622"/>
    <s v="30-40"/>
    <x v="1"/>
  </r>
  <r>
    <s v="https://suumo.jp/chintai/jnc_000104207493/?bc=100483781547"/>
    <s v="ＪＲ山手線 目白駅 2階建 築4年"/>
    <s v="東京都新宿区下落合３"/>
    <n v="116000"/>
    <n v="3000"/>
    <n v="116000"/>
    <n v="116000"/>
    <n v="1"/>
    <x v="2"/>
    <n v="29.91"/>
    <n v="4"/>
    <x v="0"/>
    <s v="目白駅"/>
    <n v="10"/>
    <n v="12.33"/>
    <n v="147283.01999999999"/>
    <n v="95329.65"/>
    <n v="53"/>
    <n v="1622"/>
    <s v="20-30"/>
    <x v="0"/>
  </r>
  <r>
    <s v="https://suumo.jp/chintai/jnc_000104285640/?bc=100484942374"/>
    <s v="ＪＲ山手線 目白駅 3階建 築22年"/>
    <s v="東京都新宿区下落合３"/>
    <n v="102000"/>
    <n v="3000"/>
    <n v="102000"/>
    <n v="102000"/>
    <n v="1"/>
    <x v="2"/>
    <n v="29.36"/>
    <n v="22"/>
    <x v="2"/>
    <s v="目白駅"/>
    <n v="8"/>
    <n v="12.67"/>
    <n v="147283.01999999999"/>
    <n v="95329.65"/>
    <n v="53"/>
    <n v="1622"/>
    <s v="20-30"/>
    <x v="1"/>
  </r>
  <r>
    <s v="https://suumo.jp/chintai/jnc_000102751110/?bc=100472256677"/>
    <s v="ＪＲ山手線 目白駅 4階建 築40年"/>
    <s v="東京都新宿区下落合３"/>
    <n v="62000"/>
    <n v="3000"/>
    <n v="62000"/>
    <n v="62000"/>
    <n v="4"/>
    <x v="2"/>
    <n v="15.69"/>
    <n v="40"/>
    <x v="4"/>
    <s v="目白駅"/>
    <n v="5"/>
    <n v="11.67"/>
    <n v="147283.01999999999"/>
    <n v="95329.65"/>
    <n v="53"/>
    <n v="1622"/>
    <s v="10-20"/>
    <x v="4"/>
  </r>
  <r>
    <s v="https://suumo.jp/chintai/jnc_000103750106/?bc=100423199252"/>
    <s v="ＪＲ山手線 目白駅 地下1地上3階建 築8年"/>
    <s v="東京都新宿区下落合２"/>
    <n v="119000"/>
    <n v="8000"/>
    <n v="119000"/>
    <n v="119000"/>
    <n v="1"/>
    <x v="2"/>
    <n v="25.65"/>
    <n v="8"/>
    <x v="4"/>
    <s v="目白駅"/>
    <n v="8"/>
    <n v="10"/>
    <n v="147283.01999999999"/>
    <n v="95329.65"/>
    <n v="53"/>
    <n v="1622"/>
    <s v="20-30"/>
    <x v="0"/>
  </r>
  <r>
    <s v="https://suumo.jp/chintai/jnc_000103268875/?bc=100478186453"/>
    <s v="ＪＲ山手線 目白駅 地下1地上3階建 築8年"/>
    <s v="東京都新宿区下落合２"/>
    <n v="122000"/>
    <n v="8000"/>
    <n v="122000"/>
    <n v="122000"/>
    <n v="2"/>
    <x v="2"/>
    <n v="25.65"/>
    <n v="8"/>
    <x v="4"/>
    <s v="目白駅"/>
    <n v="8"/>
    <n v="10"/>
    <n v="147283.01999999999"/>
    <n v="95329.65"/>
    <n v="53"/>
    <n v="1622"/>
    <s v="20-30"/>
    <x v="0"/>
  </r>
  <r>
    <s v="https://suumo.jp/chintai/jnc_000104107314/?bc=100483079787"/>
    <s v="ダイナシティ目白"/>
    <s v="東京都新宿区下落合３"/>
    <n v="193000"/>
    <m/>
    <n v="193000"/>
    <n v="193000"/>
    <n v="9"/>
    <x v="3"/>
    <n v="42.57"/>
    <n v="22"/>
    <x v="1"/>
    <s v="目白駅"/>
    <n v="6"/>
    <n v="11.67"/>
    <n v="147283.01999999999"/>
    <n v="168453.81"/>
    <n v="53"/>
    <n v="788"/>
    <s v="40-50"/>
    <x v="1"/>
  </r>
  <r>
    <s v="https://suumo.jp/chintai/jnc_000103330327/?bc=100482282502"/>
    <s v="リリエンベルグ目白壱番館"/>
    <s v="東京都新宿区下落合３"/>
    <n v="158000"/>
    <n v="12000"/>
    <m/>
    <m/>
    <n v="8"/>
    <x v="3"/>
    <n v="30.12"/>
    <n v="21"/>
    <x v="8"/>
    <s v="目白駅"/>
    <n v="10"/>
    <n v="10.67"/>
    <n v="147283.01999999999"/>
    <n v="168453.81"/>
    <n v="53"/>
    <n v="788"/>
    <s v="30-40"/>
    <x v="1"/>
  </r>
  <r>
    <s v="https://suumo.jp/chintai/jnc_000093435755/?bc=100480258646"/>
    <s v="ルミエール目白"/>
    <s v="東京都新宿区下落合２"/>
    <n v="143000"/>
    <m/>
    <n v="286000"/>
    <n v="143000"/>
    <n v="2"/>
    <x v="3"/>
    <n v="47.65"/>
    <n v="36"/>
    <x v="2"/>
    <s v="目白駅"/>
    <n v="12"/>
    <n v="13"/>
    <n v="147283.01999999999"/>
    <n v="168453.81"/>
    <n v="53"/>
    <n v="788"/>
    <s v="40-50"/>
    <x v="4"/>
  </r>
  <r>
    <s v="https://suumo.jp/chintai/jnc_000103734404/?bc=100481714195"/>
    <s v="レクシード目白"/>
    <s v="東京都新宿区下落合３"/>
    <n v="232000"/>
    <n v="15000"/>
    <m/>
    <n v="232000"/>
    <n v="2"/>
    <x v="3"/>
    <n v="40"/>
    <n v="2"/>
    <x v="4"/>
    <s v="目白駅"/>
    <n v="7"/>
    <n v="12.33"/>
    <n v="147283.01999999999"/>
    <n v="168453.81"/>
    <n v="53"/>
    <n v="788"/>
    <s v="40-50"/>
    <x v="0"/>
  </r>
  <r>
    <s v="https://suumo.jp/chintai/jnc_000103947312/?bc=100481795589"/>
    <s v="目白パークヒルズ"/>
    <s v="東京都新宿区下落合２"/>
    <n v="270000"/>
    <m/>
    <n v="540000"/>
    <m/>
    <n v="1"/>
    <x v="3"/>
    <n v="74.099999999999994"/>
    <n v="33"/>
    <x v="2"/>
    <s v="目白駅"/>
    <n v="8"/>
    <n v="9.33"/>
    <n v="147283.01999999999"/>
    <n v="168453.81"/>
    <n v="53"/>
    <n v="788"/>
    <s v="70-80"/>
    <x v="4"/>
  </r>
  <r>
    <s v="https://suumo.jp/chintai/jnc_000103346182/?bc=100480409757"/>
    <s v="ＪＲ山手線 目白駅 11階建 築21年"/>
    <s v="東京都新宿区下落合３"/>
    <n v="158000"/>
    <n v="12000"/>
    <m/>
    <m/>
    <n v="8"/>
    <x v="3"/>
    <n v="30.12"/>
    <n v="21"/>
    <x v="8"/>
    <s v="目白駅"/>
    <n v="10"/>
    <n v="13"/>
    <n v="147283.01999999999"/>
    <n v="168453.81"/>
    <n v="53"/>
    <n v="788"/>
    <s v="30-40"/>
    <x v="1"/>
  </r>
  <r>
    <s v="https://suumo.jp/chintai/jnc_000102086906/?bc=100470260463"/>
    <s v="ＪＲ山手線 目白駅 6階建 築9年"/>
    <s v="東京都新宿区下落合２"/>
    <n v="153000"/>
    <n v="11000"/>
    <n v="153000"/>
    <n v="153000"/>
    <n v="6"/>
    <x v="3"/>
    <n v="30.25"/>
    <n v="9"/>
    <x v="5"/>
    <s v="目白駅"/>
    <n v="7"/>
    <n v="9.67"/>
    <n v="147283.01999999999"/>
    <n v="168453.81"/>
    <n v="53"/>
    <n v="788"/>
    <s v="30-40"/>
    <x v="0"/>
  </r>
  <r>
    <s v="https://suumo.jp/chintai/jnc_000100331589/?bc=100432487552"/>
    <s v="サンライズ目白"/>
    <s v="東京都新宿区下落合３"/>
    <n v="84000"/>
    <n v="5000"/>
    <n v="84000"/>
    <m/>
    <n v="4"/>
    <x v="0"/>
    <n v="28.88"/>
    <n v="41"/>
    <x v="4"/>
    <s v="目白駅"/>
    <n v="8"/>
    <n v="12.33"/>
    <n v="147283.01999999999"/>
    <n v="77692.34"/>
    <n v="53"/>
    <n v="1071"/>
    <s v="20-30"/>
    <x v="3"/>
  </r>
  <r>
    <s v="https://suumo.jp/chintai/jnc_000061658147/?bc=100482265750"/>
    <s v="メゾン・ド・パラディ"/>
    <s v="東京都新宿区下落合２"/>
    <n v="58000"/>
    <m/>
    <n v="58000"/>
    <n v="58000"/>
    <n v="2"/>
    <x v="0"/>
    <n v="13.25"/>
    <n v="42"/>
    <x v="7"/>
    <s v="目白駅"/>
    <n v="5"/>
    <n v="11"/>
    <n v="147283.01999999999"/>
    <n v="77692.34"/>
    <n v="53"/>
    <n v="1071"/>
    <s v="10-20"/>
    <x v="3"/>
  </r>
  <r>
    <s v="https://suumo.jp/chintai/jnc_000103969747/?bc=100481886774"/>
    <s v="メゾン・フェリエ"/>
    <s v="東京都豊島区目白４"/>
    <n v="107000"/>
    <n v="6000"/>
    <n v="107000"/>
    <n v="107000"/>
    <n v="1"/>
    <x v="0"/>
    <n v="32.83"/>
    <n v="17"/>
    <x v="0"/>
    <s v="目白駅"/>
    <n v="9"/>
    <n v="12.67"/>
    <n v="147283.01999999999"/>
    <n v="77692.34"/>
    <n v="53"/>
    <n v="1071"/>
    <s v="30-40"/>
    <x v="7"/>
  </r>
  <r>
    <s v="https://suumo.jp/chintai/jnc_000103734403/?bc=100486337749"/>
    <s v="レクシード目白"/>
    <s v="東京都新宿区下落合３"/>
    <n v="166000"/>
    <n v="12000"/>
    <m/>
    <m/>
    <n v="1"/>
    <x v="0"/>
    <n v="25.73"/>
    <n v="2"/>
    <x v="4"/>
    <s v="目白駅"/>
    <n v="7"/>
    <n v="12.33"/>
    <n v="147283.01999999999"/>
    <n v="77692.34"/>
    <n v="53"/>
    <n v="1071"/>
    <s v="20-30"/>
    <x v="0"/>
  </r>
  <r>
    <s v="https://suumo.jp/chintai/jnc_000103937420/?bc=100481734178"/>
    <s v="レクシード目白"/>
    <s v="東京都新宿区下落合３"/>
    <n v="164000"/>
    <n v="12000"/>
    <m/>
    <n v="164000"/>
    <n v="4"/>
    <x v="0"/>
    <n v="25.23"/>
    <n v="2"/>
    <x v="4"/>
    <s v="目白駅"/>
    <n v="7"/>
    <n v="12.33"/>
    <n v="147283.01999999999"/>
    <n v="77692.34"/>
    <n v="53"/>
    <n v="1071"/>
    <s v="20-30"/>
    <x v="0"/>
  </r>
  <r>
    <s v="https://suumo.jp/chintai/jnc_000103734405/?bc=100480850893"/>
    <s v="レクシード目白"/>
    <s v="東京都新宿区下落合３"/>
    <n v="172000"/>
    <n v="12000"/>
    <m/>
    <m/>
    <n v="4"/>
    <x v="0"/>
    <n v="25.23"/>
    <n v="2"/>
    <x v="4"/>
    <s v="目白駅"/>
    <n v="7"/>
    <n v="12.33"/>
    <n v="147283.01999999999"/>
    <n v="77692.34"/>
    <n v="53"/>
    <n v="1071"/>
    <s v="20-30"/>
    <x v="0"/>
  </r>
  <r>
    <s v="https://suumo.jp/chintai/jnc_000104015687/?bc=100486399734"/>
    <s v="レクシード目白"/>
    <s v="東京都新宿区下落合３"/>
    <n v="172000"/>
    <n v="12000"/>
    <m/>
    <m/>
    <n v="4"/>
    <x v="0"/>
    <n v="25"/>
    <n v="2"/>
    <x v="4"/>
    <s v="目白駅"/>
    <n v="7"/>
    <n v="12.33"/>
    <n v="147283.01999999999"/>
    <n v="77692.34"/>
    <n v="53"/>
    <n v="1071"/>
    <s v="20-30"/>
    <x v="0"/>
  </r>
  <r>
    <s v="https://suumo.jp/chintai/jnc_000104069538/?bc=100483534150"/>
    <s v="目白ニコルハウス"/>
    <s v="東京都新宿区下落合２"/>
    <n v="77000"/>
    <n v="3000"/>
    <n v="77000"/>
    <n v="77000"/>
    <n v="1"/>
    <x v="0"/>
    <n v="18.27"/>
    <n v="16"/>
    <x v="2"/>
    <s v="目白駅"/>
    <n v="8"/>
    <n v="9.67"/>
    <n v="147283.01999999999"/>
    <n v="77692.34"/>
    <n v="53"/>
    <n v="1071"/>
    <s v="10-20"/>
    <x v="7"/>
  </r>
  <r>
    <s v="https://suumo.jp/chintai/jnc_000104255988/?bc=100484881536"/>
    <s v="ＪＲ山手線 目白駅 4階建 築1年"/>
    <s v="東京都新宿区下落合３"/>
    <n v="172000"/>
    <n v="12000"/>
    <m/>
    <n v="172000"/>
    <n v="4"/>
    <x v="0"/>
    <n v="25.23"/>
    <n v="1"/>
    <x v="4"/>
    <s v="目白駅"/>
    <n v="7"/>
    <n v="12"/>
    <n v="147283.01999999999"/>
    <n v="77692.34"/>
    <n v="53"/>
    <n v="1071"/>
    <s v="20-30"/>
    <x v="0"/>
  </r>
  <r>
    <s v="https://suumo.jp/chintai/jnc_000103791979/?bc=100480445949"/>
    <s v="Kens’  目白"/>
    <s v="東京都新宿区下落合３"/>
    <n v="133000"/>
    <n v="5000"/>
    <m/>
    <n v="133000"/>
    <n v="2"/>
    <x v="16"/>
    <n v="36.72"/>
    <n v="36"/>
    <x v="2"/>
    <s v="目白駅"/>
    <n v="10"/>
    <n v="10.33"/>
    <n v="147283.01999999999"/>
    <n v="92000"/>
    <n v="53"/>
    <n v="9"/>
    <s v="30-40"/>
    <x v="4"/>
  </r>
  <r>
    <s v="https://suumo.jp/chintai/jnc_000096014710/?bc=100475620419"/>
    <s v="リトルズトーン目白下落合"/>
    <s v="東京都新宿区下落合３"/>
    <n v="185000"/>
    <m/>
    <m/>
    <m/>
    <n v="1"/>
    <x v="6"/>
    <n v="44"/>
    <n v="10"/>
    <x v="1"/>
    <s v="目白駅"/>
    <n v="9"/>
    <n v="11.67"/>
    <n v="147283.01999999999"/>
    <n v="141491.45000000001"/>
    <n v="53"/>
    <n v="117"/>
    <s v="40-50"/>
    <x v="0"/>
  </r>
  <r>
    <s v="https://suumo.jp/chintai/jnc_000096014710/?bc=100475620419"/>
    <s v="リトルズトーン目白下落合"/>
    <s v="東京都新宿区下落合３"/>
    <n v="185000"/>
    <m/>
    <m/>
    <m/>
    <n v="2"/>
    <x v="6"/>
    <n v="44"/>
    <n v="10"/>
    <x v="1"/>
    <s v="目白駅"/>
    <n v="9"/>
    <n v="11.67"/>
    <n v="147283.01999999999"/>
    <n v="141491.45000000001"/>
    <n v="53"/>
    <n v="117"/>
    <s v="40-50"/>
    <x v="0"/>
  </r>
  <r>
    <s v="https://suumo.jp/chintai/jnc_000104483113/?bc=100486098146"/>
    <s v="アーバンライフ目白駅前"/>
    <s v="東京都豊島区目白１"/>
    <n v="230000"/>
    <n v="15000"/>
    <n v="230000"/>
    <n v="230000"/>
    <n v="5"/>
    <x v="8"/>
    <n v="63.07"/>
    <n v="29"/>
    <x v="10"/>
    <s v="目白駅"/>
    <n v="5"/>
    <n v="11.67"/>
    <n v="147283.01999999999"/>
    <n v="232352.65"/>
    <n v="53"/>
    <n v="359"/>
    <s v="60-70"/>
    <x v="1"/>
  </r>
  <r>
    <s v="https://suumo.jp/chintai/jnc_000104271768/?bc=100485267895"/>
    <s v="ラクラス目白"/>
    <s v="東京都新宿区下落合３"/>
    <n v="260000"/>
    <n v="10000"/>
    <n v="260000"/>
    <n v="260000"/>
    <n v="5"/>
    <x v="8"/>
    <n v="53"/>
    <n v="20"/>
    <x v="3"/>
    <s v="目白駅"/>
    <n v="10"/>
    <n v="11.33"/>
    <n v="147283.01999999999"/>
    <n v="232352.65"/>
    <n v="53"/>
    <n v="359"/>
    <s v="50-60"/>
    <x v="7"/>
  </r>
  <r>
    <s v="https://suumo.jp/chintai/jnc_000104076249/?bc=100457007226"/>
    <s v="ルミエール目白"/>
    <s v="東京都新宿区下落合２"/>
    <n v="180000"/>
    <m/>
    <n v="360000"/>
    <n v="180000"/>
    <n v="1"/>
    <x v="8"/>
    <n v="61.67"/>
    <n v="36"/>
    <x v="2"/>
    <s v="目白駅"/>
    <n v="12"/>
    <n v="13"/>
    <n v="147283.01999999999"/>
    <n v="232352.65"/>
    <n v="53"/>
    <n v="359"/>
    <s v="60-70"/>
    <x v="4"/>
  </r>
  <r>
    <s v="https://suumo.jp/chintai/jnc_000104276179/?bc=100484340796"/>
    <s v="ＪＲ山手線 目白駅 11階建 築20年"/>
    <s v="東京都新宿区下落合３"/>
    <n v="260000"/>
    <n v="10000"/>
    <n v="260000"/>
    <n v="260000"/>
    <n v="5"/>
    <x v="8"/>
    <n v="53"/>
    <n v="20"/>
    <x v="8"/>
    <s v="目白駅"/>
    <n v="10"/>
    <n v="11.33"/>
    <n v="147283.01999999999"/>
    <n v="232352.65"/>
    <n v="53"/>
    <n v="359"/>
    <s v="50-60"/>
    <x v="7"/>
  </r>
  <r>
    <s v="https://suumo.jp/chintai/jnc_000103717076/?bc=100484682994"/>
    <s v="ＪＲ山手線 目白駅 3階建 築37年"/>
    <s v="東京都新宿区下落合４"/>
    <n v="175000"/>
    <n v="10000"/>
    <m/>
    <m/>
    <n v="3"/>
    <x v="8"/>
    <n v="59.06"/>
    <n v="37"/>
    <x v="2"/>
    <s v="目白駅"/>
    <n v="12"/>
    <n v="12"/>
    <n v="147283.01999999999"/>
    <n v="232352.65"/>
    <n v="53"/>
    <n v="359"/>
    <s v="50-60"/>
    <x v="4"/>
  </r>
  <r>
    <s v="https://suumo.jp/chintai/jnc_000103969225/?bc=100483071509"/>
    <s v="ＪＲ山手線 目白駅 3階建 築5年"/>
    <s v="東京都新宿区下落合３"/>
    <n v="230000"/>
    <n v="5000"/>
    <n v="460000"/>
    <n v="230000"/>
    <n v="1"/>
    <x v="8"/>
    <n v="60.78"/>
    <n v="5"/>
    <x v="2"/>
    <s v="目白駅"/>
    <n v="7"/>
    <n v="12.33"/>
    <n v="147283.01999999999"/>
    <n v="232352.65"/>
    <n v="53"/>
    <n v="359"/>
    <s v="60-70"/>
    <x v="0"/>
  </r>
  <r>
    <s v="https://suumo.jp/chintai/jnc_000104303519/?bc=100484767248"/>
    <s v="ＪＲ山手線 目白駅 地下1地上11階建 築20年"/>
    <s v="東京都新宿区下落合３"/>
    <n v="260000"/>
    <n v="10000"/>
    <n v="260000"/>
    <n v="260000"/>
    <n v="9"/>
    <x v="8"/>
    <n v="53"/>
    <n v="20"/>
    <x v="3"/>
    <s v="目白駅"/>
    <n v="10"/>
    <n v="12"/>
    <n v="147283.01999999999"/>
    <n v="232352.65"/>
    <n v="53"/>
    <n v="359"/>
    <s v="50-60"/>
    <x v="7"/>
  </r>
  <r>
    <s v="https://suumo.jp/chintai/jnc_000097306566/?bc=100483995839"/>
    <s v="ＮＳ　Ｍｅｊｉｒｏ"/>
    <s v="東京都新宿区下落合３"/>
    <n v="230000"/>
    <n v="5000"/>
    <n v="460000"/>
    <n v="230000"/>
    <n v="1"/>
    <x v="8"/>
    <n v="60.78"/>
    <n v="5"/>
    <x v="2"/>
    <s v="目白駅"/>
    <n v="7"/>
    <n v="12.33"/>
    <n v="147283.01999999999"/>
    <n v="232352.65"/>
    <n v="53"/>
    <n v="359"/>
    <s v="60-70"/>
    <x v="0"/>
  </r>
  <r>
    <s v="https://suumo.jp/chintai/jnc_000101574800/?bc=100460758973"/>
    <s v="Apartment惣"/>
    <s v="東京都豊島区南長崎２"/>
    <n v="110000"/>
    <n v="3000"/>
    <n v="110000"/>
    <n v="110000"/>
    <n v="1"/>
    <x v="0"/>
    <n v="31.06"/>
    <n v="13"/>
    <x v="2"/>
    <s v="目白駅 バス6分 (バス停)練馬車庫前行き"/>
    <n v="6"/>
    <n v="8"/>
    <n v="110000"/>
    <n v="77692.34"/>
    <n v="1"/>
    <n v="1071"/>
    <s v="30-40"/>
    <x v="7"/>
  </r>
  <r>
    <s v="https://suumo.jp/chintai/jnc_000103756343/?bc=100480814804"/>
    <s v="ARKMARK新宿西落合"/>
    <s v="東京都新宿区西落合２"/>
    <n v="123000"/>
    <n v="12000"/>
    <n v="123000"/>
    <n v="123000"/>
    <n v="6"/>
    <x v="1"/>
    <n v="25.26"/>
    <n v="2"/>
    <x v="5"/>
    <s v="落合南長崎駅"/>
    <n v="9"/>
    <n v="13"/>
    <n v="122997.85"/>
    <n v="123325.96"/>
    <n v="512"/>
    <n v="339"/>
    <s v="20-30"/>
    <x v="0"/>
  </r>
  <r>
    <s v="https://suumo.jp/chintai/jnc_000103069490/?bc=100474707354"/>
    <s v="CASTIA南長崎B号棟"/>
    <s v="東京都豊島区南長崎２"/>
    <n v="116000"/>
    <n v="5000"/>
    <m/>
    <m/>
    <n v="2"/>
    <x v="1"/>
    <n v="35"/>
    <n v="8"/>
    <x v="2"/>
    <s v="落合南長崎駅"/>
    <n v="8"/>
    <n v="10.67"/>
    <n v="122997.85"/>
    <n v="123325.96"/>
    <n v="512"/>
    <n v="339"/>
    <s v="30-40"/>
    <x v="0"/>
  </r>
  <r>
    <s v="https://suumo.jp/chintai/jnc_000102951705/?bc=100475445474"/>
    <s v="LUCENTCOURT西落合"/>
    <s v="東京都新宿区西落合３"/>
    <n v="104000"/>
    <n v="5000"/>
    <n v="104000"/>
    <n v="104000"/>
    <n v="1"/>
    <x v="1"/>
    <n v="32.5"/>
    <n v="37"/>
    <x v="2"/>
    <s v="落合南長崎駅"/>
    <n v="5"/>
    <n v="11.67"/>
    <n v="122997.85"/>
    <n v="123325.96"/>
    <n v="512"/>
    <n v="339"/>
    <s v="30-40"/>
    <x v="4"/>
  </r>
  <r>
    <s v="https://suumo.jp/chintai/jnc_000104108243/?bc=100483286926"/>
    <s v="T‘s Cuore MUSE落合南長崎"/>
    <s v="東京都豊島区南長崎２"/>
    <n v="165000"/>
    <n v="7000"/>
    <n v="165000"/>
    <m/>
    <n v="1"/>
    <x v="1"/>
    <n v="33.79"/>
    <n v="1"/>
    <x v="2"/>
    <s v="落合南長崎駅"/>
    <n v="9"/>
    <n v="11.67"/>
    <n v="122997.85"/>
    <n v="123325.96"/>
    <n v="512"/>
    <n v="339"/>
    <s v="30-40"/>
    <x v="0"/>
  </r>
  <r>
    <s v="https://suumo.jp/chintai/jnc_000104117876/?bc=100483286970"/>
    <s v="T‘s Cuore MUSE落合南長崎"/>
    <s v="東京都豊島区南長崎２"/>
    <n v="170000"/>
    <n v="7000"/>
    <n v="170000"/>
    <m/>
    <n v="2"/>
    <x v="1"/>
    <n v="33.79"/>
    <n v="1"/>
    <x v="2"/>
    <s v="落合南長崎駅"/>
    <n v="9"/>
    <n v="11.67"/>
    <n v="122997.85"/>
    <n v="123325.96"/>
    <n v="512"/>
    <n v="339"/>
    <s v="30-40"/>
    <x v="0"/>
  </r>
  <r>
    <s v="https://suumo.jp/chintai/jnc_000104117877/?bc=100483127211"/>
    <s v="T‘s Cuore MUSE落合南長崎"/>
    <s v="東京都豊島区南長崎２"/>
    <n v="170000"/>
    <n v="7000"/>
    <n v="170000"/>
    <m/>
    <n v="3"/>
    <x v="1"/>
    <n v="33.79"/>
    <n v="1"/>
    <x v="2"/>
    <s v="落合南長崎駅"/>
    <n v="9"/>
    <n v="11.67"/>
    <n v="122997.85"/>
    <n v="123325.96"/>
    <n v="512"/>
    <n v="339"/>
    <s v="30-40"/>
    <x v="0"/>
  </r>
  <r>
    <s v="https://suumo.jp/chintai/jnc_000103873106/?bc=100483721394"/>
    <s v="ZOOM新宿西落合"/>
    <s v="東京都新宿区西落合１"/>
    <n v="130000"/>
    <n v="8000"/>
    <n v="130000"/>
    <n v="130000"/>
    <n v="1"/>
    <x v="1"/>
    <n v="30.42"/>
    <n v="7"/>
    <x v="10"/>
    <s v="落合南長崎駅"/>
    <n v="6"/>
    <n v="11.67"/>
    <n v="122997.85"/>
    <n v="123325.96"/>
    <n v="512"/>
    <n v="339"/>
    <s v="30-40"/>
    <x v="0"/>
  </r>
  <r>
    <s v="https://suumo.jp/chintai/jnc_000103481002/?bc=100477835302"/>
    <s v="アリーチェ中落合"/>
    <s v="東京都新宿区中落合３"/>
    <n v="132000"/>
    <n v="10000"/>
    <n v="132000"/>
    <n v="132000"/>
    <n v="14"/>
    <x v="1"/>
    <n v="32.61"/>
    <n v="21"/>
    <x v="11"/>
    <s v="落合南長崎駅"/>
    <n v="8"/>
    <n v="10.33"/>
    <n v="122997.85"/>
    <n v="123325.96"/>
    <n v="512"/>
    <n v="339"/>
    <s v="30-40"/>
    <x v="1"/>
  </r>
  <r>
    <s v="https://suumo.jp/chintai/jnc_000103903394/?bc=100484136536"/>
    <s v="ガリシア新宿西落合II"/>
    <s v="東京都新宿区西落合２"/>
    <n v="110000"/>
    <n v="13000"/>
    <n v="110000"/>
    <n v="110000"/>
    <n v="2"/>
    <x v="1"/>
    <n v="25.79"/>
    <n v="5"/>
    <x v="7"/>
    <s v="落合南長崎駅"/>
    <n v="11"/>
    <n v="15"/>
    <n v="122997.85"/>
    <n v="123325.96"/>
    <n v="512"/>
    <n v="339"/>
    <s v="20-30"/>
    <x v="0"/>
  </r>
  <r>
    <s v="https://suumo.jp/chintai/jnc_000102332442/?bc=100479270891"/>
    <s v="キャスティア南長崎"/>
    <s v="東京都豊島区南長崎２"/>
    <n v="116000"/>
    <n v="5000"/>
    <m/>
    <m/>
    <n v="2"/>
    <x v="1"/>
    <n v="35"/>
    <n v="8"/>
    <x v="2"/>
    <s v="落合南長崎駅"/>
    <n v="8"/>
    <n v="15.67"/>
    <n v="122997.85"/>
    <n v="123325.96"/>
    <n v="512"/>
    <n v="339"/>
    <s v="30-40"/>
    <x v="0"/>
  </r>
  <r>
    <s v="https://suumo.jp/chintai/jnc_000101032565/?bc=100471076535"/>
    <s v="クリアル落合南長崎"/>
    <s v="東京都豊島区南長崎４"/>
    <n v="115000"/>
    <n v="10000"/>
    <m/>
    <n v="57500"/>
    <n v="1"/>
    <x v="1"/>
    <n v="30.07"/>
    <n v="6"/>
    <x v="4"/>
    <s v="落合南長崎駅"/>
    <n v="7"/>
    <n v="10.33"/>
    <n v="122997.85"/>
    <n v="123325.96"/>
    <n v="512"/>
    <n v="339"/>
    <s v="30-40"/>
    <x v="0"/>
  </r>
  <r>
    <s v="https://suumo.jp/chintai/jnc_000101886071/?bc=100438147365"/>
    <s v="サウスコーラル"/>
    <s v="東京都豊島区南長崎３"/>
    <n v="115000"/>
    <m/>
    <n v="115000"/>
    <n v="115000"/>
    <n v="4"/>
    <x v="1"/>
    <n v="29.76"/>
    <n v="25"/>
    <x v="5"/>
    <s v="落合南長崎駅"/>
    <n v="8"/>
    <n v="10.33"/>
    <n v="122997.85"/>
    <n v="123325.96"/>
    <n v="512"/>
    <n v="339"/>
    <s v="20-30"/>
    <x v="1"/>
  </r>
  <r>
    <s v="https://suumo.jp/chintai/jnc_000098288573/?bc=100476099326"/>
    <s v="サウスコーラル"/>
    <s v="東京都豊島区南長崎３"/>
    <n v="120000"/>
    <m/>
    <n v="120000"/>
    <n v="120000"/>
    <n v="4"/>
    <x v="1"/>
    <n v="29.7"/>
    <n v="25"/>
    <x v="5"/>
    <s v="落合南長崎駅"/>
    <n v="8"/>
    <n v="10.33"/>
    <n v="122997.85"/>
    <n v="123325.96"/>
    <n v="512"/>
    <n v="339"/>
    <s v="20-30"/>
    <x v="1"/>
  </r>
  <r>
    <s v="https://suumo.jp/chintai/jnc_000104391734/?bc=100485195322"/>
    <s v="ザ・テラス西落合"/>
    <s v="東京都新宿区西落合１"/>
    <n v="121000"/>
    <n v="5000"/>
    <m/>
    <n v="121000"/>
    <n v="4"/>
    <x v="1"/>
    <n v="30.83"/>
    <n v="4"/>
    <x v="7"/>
    <s v="落合南長崎駅"/>
    <n v="7"/>
    <n v="12"/>
    <n v="122997.85"/>
    <n v="123325.96"/>
    <n v="512"/>
    <n v="339"/>
    <s v="30-40"/>
    <x v="0"/>
  </r>
  <r>
    <s v="https://suumo.jp/chintai/jnc_000102624536/?bc=100475532541"/>
    <s v="セザール中落合"/>
    <s v="東京都新宿区中落合３"/>
    <n v="125000"/>
    <n v="7000"/>
    <n v="125000"/>
    <m/>
    <n v="4"/>
    <x v="1"/>
    <n v="40.03"/>
    <n v="42"/>
    <x v="4"/>
    <s v="落合南長崎駅"/>
    <n v="11"/>
    <n v="11.67"/>
    <n v="122997.85"/>
    <n v="123325.96"/>
    <n v="512"/>
    <n v="339"/>
    <s v="40-50"/>
    <x v="3"/>
  </r>
  <r>
    <s v="https://suumo.jp/chintai/jnc_000102177103/?bc=100476411273"/>
    <s v="パークアクシス新宿西落合"/>
    <s v="東京都新宿区西落合２"/>
    <n v="143000"/>
    <n v="10000"/>
    <n v="143000"/>
    <m/>
    <n v="4"/>
    <x v="1"/>
    <n v="26.99"/>
    <n v="0"/>
    <x v="6"/>
    <s v="落合南長崎駅"/>
    <n v="9"/>
    <n v="13.33"/>
    <n v="122997.85"/>
    <n v="123325.96"/>
    <n v="512"/>
    <n v="339"/>
    <s v="20-30"/>
    <x v="6"/>
  </r>
  <r>
    <s v="https://suumo.jp/chintai/jnc_000100257126/?bc=100476791273"/>
    <s v="フラッフィー落合南長崎"/>
    <s v="東京都新宿区西落合１"/>
    <n v="111000"/>
    <n v="15000"/>
    <m/>
    <m/>
    <n v="1"/>
    <x v="1"/>
    <n v="25.1"/>
    <n v="4"/>
    <x v="7"/>
    <s v="落合南長崎駅"/>
    <n v="5"/>
    <n v="12.33"/>
    <n v="122997.85"/>
    <n v="123325.96"/>
    <n v="512"/>
    <n v="339"/>
    <s v="20-30"/>
    <x v="0"/>
  </r>
  <r>
    <s v="https://suumo.jp/chintai/jnc_000103481003/?bc=100478027687"/>
    <s v="フラッフィー落合南長崎"/>
    <s v="東京都新宿区西落合１"/>
    <n v="113000"/>
    <n v="15000"/>
    <m/>
    <m/>
    <n v="5"/>
    <x v="1"/>
    <n v="25.1"/>
    <n v="4"/>
    <x v="7"/>
    <s v="落合南長崎駅"/>
    <n v="5"/>
    <n v="12.33"/>
    <n v="122997.85"/>
    <n v="123325.96"/>
    <n v="512"/>
    <n v="339"/>
    <s v="20-30"/>
    <x v="0"/>
  </r>
  <r>
    <s v="https://suumo.jp/chintai/jnc_000103837334/?bc=100481466778"/>
    <s v="ミオテゾーロ哲学堂カーザ"/>
    <s v="東京都新宿区西落合２"/>
    <n v="115000"/>
    <n v="15000"/>
    <m/>
    <m/>
    <n v="2"/>
    <x v="1"/>
    <n v="29.94"/>
    <n v="2"/>
    <x v="7"/>
    <s v="落合南長崎駅"/>
    <n v="9"/>
    <n v="13"/>
    <n v="122997.85"/>
    <n v="123325.96"/>
    <n v="512"/>
    <n v="339"/>
    <s v="20-30"/>
    <x v="0"/>
  </r>
  <r>
    <s v="https://suumo.jp/chintai/jnc_000103798689/?bc=100483134803"/>
    <s v="メゾン岩崎"/>
    <s v="東京都豊島区南長崎５"/>
    <n v="75000"/>
    <n v="4000"/>
    <n v="75000"/>
    <m/>
    <n v="1"/>
    <x v="1"/>
    <n v="26.5"/>
    <n v="35"/>
    <x v="2"/>
    <s v="落合南長崎駅"/>
    <n v="5"/>
    <n v="10"/>
    <n v="122997.85"/>
    <n v="123325.96"/>
    <n v="512"/>
    <n v="339"/>
    <s v="20-30"/>
    <x v="4"/>
  </r>
  <r>
    <s v="https://suumo.jp/chintai/jnc_000103685618/?bc=100479859116"/>
    <s v="ル・クール西落合"/>
    <s v="東京都新宿区西落合３"/>
    <n v="100000"/>
    <n v="2000"/>
    <n v="100000"/>
    <n v="100000"/>
    <n v="2"/>
    <x v="1"/>
    <n v="34"/>
    <n v="33"/>
    <x v="0"/>
    <s v="落合南長崎駅"/>
    <n v="10"/>
    <n v="13"/>
    <n v="122997.85"/>
    <n v="123325.96"/>
    <n v="512"/>
    <n v="339"/>
    <s v="30-40"/>
    <x v="4"/>
  </r>
  <r>
    <s v="https://suumo.jp/chintai/jnc_000103183076/?bc=100478528399"/>
    <s v="西武池袋線 椎名町駅 3階建 築8年"/>
    <s v="東京都豊島区南長崎２"/>
    <n v="116000"/>
    <n v="5000"/>
    <m/>
    <m/>
    <n v="2"/>
    <x v="1"/>
    <n v="35"/>
    <n v="8"/>
    <x v="2"/>
    <s v="落合南長崎駅"/>
    <n v="8"/>
    <n v="15.67"/>
    <n v="122997.85"/>
    <n v="123325.96"/>
    <n v="512"/>
    <n v="339"/>
    <s v="30-40"/>
    <x v="0"/>
  </r>
  <r>
    <s v="https://suumo.jp/chintai/jnc_000072765402/?bc=100478767599"/>
    <s v="西落合ハイツ"/>
    <s v="東京都新宿区西落合２"/>
    <n v="70000"/>
    <n v="2000"/>
    <n v="70000"/>
    <n v="70000"/>
    <n v="3"/>
    <x v="1"/>
    <n v="28"/>
    <n v="47"/>
    <x v="2"/>
    <s v="落合南長崎駅"/>
    <n v="9"/>
    <n v="13.33"/>
    <n v="122997.85"/>
    <n v="123325.96"/>
    <n v="512"/>
    <n v="339"/>
    <s v="20-30"/>
    <x v="3"/>
  </r>
  <r>
    <s v="https://suumo.jp/chintai/jnc_000103694589/?bc=100484431859"/>
    <s v="都営大江戸線 落合南長崎駅 2階建 築33年"/>
    <s v="東京都新宿区西落合３"/>
    <n v="100000"/>
    <n v="2000"/>
    <n v="100000"/>
    <n v="100000"/>
    <n v="2"/>
    <x v="1"/>
    <n v="34"/>
    <n v="33"/>
    <x v="0"/>
    <s v="落合南長崎駅"/>
    <n v="10"/>
    <n v="13.33"/>
    <n v="122997.85"/>
    <n v="123325.96"/>
    <n v="512"/>
    <n v="339"/>
    <s v="30-40"/>
    <x v="4"/>
  </r>
  <r>
    <s v="https://suumo.jp/chintai/jnc_000104126286/?bc=100483169142"/>
    <s v="都営大江戸線 落合南長崎駅 3階建 新築"/>
    <s v="東京都豊島区南長崎２"/>
    <n v="170000"/>
    <n v="7000"/>
    <n v="170000"/>
    <m/>
    <n v="3"/>
    <x v="1"/>
    <n v="33.79"/>
    <n v="0"/>
    <x v="2"/>
    <s v="落合南長崎駅"/>
    <n v="9"/>
    <n v="11.33"/>
    <n v="122997.85"/>
    <n v="123325.96"/>
    <n v="512"/>
    <n v="339"/>
    <s v="30-40"/>
    <x v="6"/>
  </r>
  <r>
    <s v="https://suumo.jp/chintai/jnc_000103593456/?bc=100478767634"/>
    <s v="都営大江戸線 落合南長崎駅 3階建 築47年"/>
    <s v="東京都新宿区西落合２"/>
    <n v="70000"/>
    <n v="2000"/>
    <n v="70000"/>
    <n v="70000"/>
    <n v="3"/>
    <x v="1"/>
    <n v="28"/>
    <n v="47"/>
    <x v="2"/>
    <s v="落合南長崎駅"/>
    <n v="9"/>
    <n v="13.33"/>
    <n v="122997.85"/>
    <n v="123325.96"/>
    <n v="512"/>
    <n v="339"/>
    <s v="20-30"/>
    <x v="3"/>
  </r>
  <r>
    <s v="https://suumo.jp/chintai/jnc_000103491818/?bc=100483044417"/>
    <s v="都営大江戸線 落合南長崎駅 5階建 築3年"/>
    <s v="東京都新宿区西落合１"/>
    <n v="113000"/>
    <n v="15000"/>
    <m/>
    <m/>
    <n v="5"/>
    <x v="1"/>
    <n v="25.1"/>
    <n v="3"/>
    <x v="7"/>
    <s v="落合南長崎駅"/>
    <n v="3"/>
    <n v="11.67"/>
    <n v="122997.85"/>
    <n v="123325.96"/>
    <n v="512"/>
    <n v="339"/>
    <s v="20-30"/>
    <x v="0"/>
  </r>
  <r>
    <s v="https://suumo.jp/chintai/jnc_000103908831/?bc=100481562451"/>
    <s v="都営大江戸線 落合南長崎駅 5階建 築5年"/>
    <s v="東京都新宿区西落合２"/>
    <n v="110000"/>
    <n v="13000"/>
    <n v="110000"/>
    <n v="110000"/>
    <n v="2"/>
    <x v="1"/>
    <n v="25.79"/>
    <n v="5"/>
    <x v="7"/>
    <s v="落合南長崎駅"/>
    <n v="12"/>
    <n v="14"/>
    <n v="122997.85"/>
    <n v="123325.96"/>
    <n v="512"/>
    <n v="339"/>
    <s v="20-30"/>
    <x v="0"/>
  </r>
  <r>
    <s v="https://suumo.jp/chintai/jnc_000103809137/?bc=100480917232"/>
    <s v="都営大江戸線 落合南長崎駅 5階建 築6年"/>
    <s v="東京都新宿区中落合３"/>
    <n v="123000"/>
    <n v="15000"/>
    <m/>
    <m/>
    <n v="4"/>
    <x v="1"/>
    <n v="25.51"/>
    <n v="6"/>
    <x v="7"/>
    <s v="落合南長崎駅"/>
    <n v="10"/>
    <n v="11"/>
    <n v="122997.85"/>
    <n v="123325.96"/>
    <n v="512"/>
    <n v="339"/>
    <s v="20-30"/>
    <x v="0"/>
  </r>
  <r>
    <s v="https://suumo.jp/chintai/jnc_000098338003/?bc=100433088522"/>
    <s v="都営大江戸線 落合南長崎駅 6階建 築25年"/>
    <s v="東京都豊島区南長崎３"/>
    <n v="120000"/>
    <m/>
    <n v="120000"/>
    <n v="120000"/>
    <n v="3"/>
    <x v="1"/>
    <n v="29.76"/>
    <n v="25"/>
    <x v="5"/>
    <s v="落合南長崎駅"/>
    <n v="6"/>
    <n v="9"/>
    <n v="122997.85"/>
    <n v="123325.96"/>
    <n v="512"/>
    <n v="339"/>
    <s v="20-30"/>
    <x v="1"/>
  </r>
  <r>
    <s v="https://suumo.jp/chintai/jnc_000101886072/?bc=100450196432"/>
    <s v="都営大江戸線 落合南長崎駅 6階建 築25年"/>
    <s v="東京都豊島区南長崎３"/>
    <n v="115000"/>
    <m/>
    <n v="115000"/>
    <n v="115000"/>
    <n v="4"/>
    <x v="1"/>
    <n v="29.7"/>
    <n v="25"/>
    <x v="5"/>
    <s v="落合南長崎駅"/>
    <n v="6"/>
    <n v="9"/>
    <n v="122997.85"/>
    <n v="123325.96"/>
    <n v="512"/>
    <n v="339"/>
    <s v="20-30"/>
    <x v="1"/>
  </r>
  <r>
    <s v="https://suumo.jp/chintai/jnc_000102605720/?bc=100471030014"/>
    <s v="都営大江戸線 落合南長崎駅 6階建 築25年"/>
    <s v="東京都豊島区南長崎３"/>
    <n v="120000"/>
    <m/>
    <n v="120000"/>
    <n v="120000"/>
    <n v="4"/>
    <x v="1"/>
    <n v="34"/>
    <n v="25"/>
    <x v="5"/>
    <s v="落合南長崎駅"/>
    <n v="6"/>
    <n v="9"/>
    <n v="122997.85"/>
    <n v="123325.96"/>
    <n v="512"/>
    <n v="339"/>
    <s v="30-40"/>
    <x v="1"/>
  </r>
  <r>
    <s v="https://suumo.jp/chintai/jnc_000103843623/?bc=100481050972"/>
    <s v="都営大江戸線 落合南長崎駅 地下1地上4階建 築2年"/>
    <s v="東京都新宿区西落合２"/>
    <n v="115000"/>
    <n v="15000"/>
    <m/>
    <m/>
    <n v="2"/>
    <x v="1"/>
    <n v="29.94"/>
    <n v="2"/>
    <x v="7"/>
    <s v="落合南長崎駅"/>
    <n v="9"/>
    <n v="13"/>
    <n v="122997.85"/>
    <n v="123325.96"/>
    <n v="512"/>
    <n v="339"/>
    <s v="20-30"/>
    <x v="0"/>
  </r>
  <r>
    <s v="https://suumo.jp/chintai/jnc_000104387416/?bc=100485411221"/>
    <s v="都営大江戸線 落合南長崎駅 地下1地上4階建 築2年"/>
    <s v="東京都新宿区西落合２"/>
    <n v="100000"/>
    <n v="15000"/>
    <m/>
    <m/>
    <n v="4"/>
    <x v="1"/>
    <n v="25.27"/>
    <n v="2"/>
    <x v="7"/>
    <s v="落合南長崎駅"/>
    <n v="9"/>
    <n v="13"/>
    <n v="122997.85"/>
    <n v="123325.96"/>
    <n v="512"/>
    <n v="339"/>
    <s v="20-30"/>
    <x v="0"/>
  </r>
  <r>
    <s v="https://suumo.jp/chintai/jnc_000104391738/?bc=100485170707"/>
    <s v="都営大江戸線 落合南長崎駅 地下1地上4階建 築4年"/>
    <s v="東京都新宿区西落合１"/>
    <n v="121000"/>
    <n v="5000"/>
    <m/>
    <n v="121000"/>
    <n v="4"/>
    <x v="1"/>
    <n v="30.83"/>
    <n v="4"/>
    <x v="7"/>
    <s v="落合南長崎駅"/>
    <n v="7"/>
    <n v="12"/>
    <n v="122997.85"/>
    <n v="123325.96"/>
    <n v="512"/>
    <n v="339"/>
    <s v="30-40"/>
    <x v="0"/>
  </r>
  <r>
    <s v="https://suumo.jp/chintai/jnc_000090888356/?bc=100387895603"/>
    <s v="高田ビル"/>
    <s v="東京都豊島区南長崎３"/>
    <n v="55000"/>
    <m/>
    <n v="55000"/>
    <m/>
    <n v="3"/>
    <x v="1"/>
    <n v="19"/>
    <n v="54"/>
    <x v="4"/>
    <s v="落合南長崎駅"/>
    <n v="7"/>
    <n v="10"/>
    <n v="122997.85"/>
    <n v="123325.96"/>
    <n v="512"/>
    <n v="339"/>
    <s v="10-20"/>
    <x v="5"/>
  </r>
  <r>
    <s v="https://suumo.jp/chintai/jnc_000104265708/?bc=100480720614"/>
    <s v="Ｕ ＳＱＵＡＲＥ ２"/>
    <s v="東京都新宿区西落合４"/>
    <n v="126000"/>
    <n v="5000"/>
    <n v="126000"/>
    <n v="126000"/>
    <n v="1"/>
    <x v="1"/>
    <n v="37.68"/>
    <n v="19"/>
    <x v="0"/>
    <s v="落合南長崎駅"/>
    <n v="9"/>
    <n v="12.67"/>
    <n v="122997.85"/>
    <n v="123325.96"/>
    <n v="512"/>
    <n v="339"/>
    <s v="30-40"/>
    <x v="7"/>
  </r>
  <r>
    <s v="https://suumo.jp/chintai/jnc_000103570843/?bc=100478708186"/>
    <s v="GRANPARK西落合"/>
    <s v="東京都新宿区西落合４"/>
    <n v="92000"/>
    <n v="7000"/>
    <n v="92000"/>
    <m/>
    <n v="1"/>
    <x v="2"/>
    <n v="25.04"/>
    <n v="7"/>
    <x v="2"/>
    <s v="落合南長崎駅"/>
    <n v="12"/>
    <n v="13.33"/>
    <n v="122997.85"/>
    <n v="95329.65"/>
    <n v="512"/>
    <n v="1622"/>
    <s v="20-30"/>
    <x v="0"/>
  </r>
  <r>
    <s v="https://suumo.jp/chintai/jnc_000103610324/?bc=100427654436"/>
    <s v="KNOTS西落合"/>
    <s v="東京都新宿区西落合１"/>
    <n v="105000"/>
    <n v="10000"/>
    <m/>
    <m/>
    <n v="1"/>
    <x v="2"/>
    <n v="25.52"/>
    <n v="6"/>
    <x v="4"/>
    <s v="落合南長崎駅"/>
    <n v="7"/>
    <n v="13.67"/>
    <n v="122997.85"/>
    <n v="95329.65"/>
    <n v="512"/>
    <n v="1622"/>
    <s v="20-30"/>
    <x v="0"/>
  </r>
  <r>
    <s v="https://suumo.jp/chintai/jnc_000096532028/?bc=100484215629"/>
    <s v="KNOTS西落合"/>
    <s v="東京都新宿区西落合１"/>
    <n v="136000"/>
    <n v="11000"/>
    <m/>
    <n v="136000"/>
    <n v="2"/>
    <x v="2"/>
    <n v="25.33"/>
    <n v="6"/>
    <x v="4"/>
    <s v="落合南長崎駅"/>
    <n v="7"/>
    <n v="13.67"/>
    <n v="122997.85"/>
    <n v="95329.65"/>
    <n v="512"/>
    <n v="1622"/>
    <s v="20-30"/>
    <x v="0"/>
  </r>
  <r>
    <s v="https://suumo.jp/chintai/jnc_000104126287/?bc=100483172232"/>
    <s v="KRコーポ"/>
    <s v="東京都豊島区南長崎４"/>
    <n v="64000"/>
    <n v="2000"/>
    <n v="64000"/>
    <n v="64000"/>
    <n v="2"/>
    <x v="2"/>
    <n v="23.1"/>
    <n v="34"/>
    <x v="0"/>
    <s v="落合南長崎駅"/>
    <n v="3"/>
    <n v="8.67"/>
    <n v="122997.85"/>
    <n v="95329.65"/>
    <n v="512"/>
    <n v="1622"/>
    <s v="20-30"/>
    <x v="4"/>
  </r>
  <r>
    <s v="https://suumo.jp/chintai/jnc_000103717084/?bc=100480354533"/>
    <s v="あおばトラスト中落合"/>
    <s v="東京都新宿区中落合３"/>
    <n v="77000"/>
    <n v="3000"/>
    <m/>
    <n v="77000"/>
    <n v="2"/>
    <x v="2"/>
    <n v="16.84"/>
    <n v="13"/>
    <x v="2"/>
    <s v="落合南長崎駅"/>
    <n v="4"/>
    <n v="11"/>
    <n v="122997.85"/>
    <n v="95329.65"/>
    <n v="512"/>
    <n v="1622"/>
    <s v="10-20"/>
    <x v="7"/>
  </r>
  <r>
    <s v="https://suumo.jp/chintai/jnc_000102477304/?bc=100474745216"/>
    <s v="あおばトラスト中落合"/>
    <s v="東京都新宿区中落合３"/>
    <n v="77000"/>
    <n v="3000"/>
    <m/>
    <n v="77000"/>
    <n v="2"/>
    <x v="2"/>
    <n v="17.22"/>
    <n v="13"/>
    <x v="2"/>
    <s v="落合南長崎駅"/>
    <n v="4"/>
    <n v="11"/>
    <n v="122997.85"/>
    <n v="95329.65"/>
    <n v="512"/>
    <n v="1622"/>
    <s v="10-20"/>
    <x v="7"/>
  </r>
  <r>
    <s v="https://suumo.jp/chintai/jnc_000103813463/?bc=100485820672"/>
    <s v="あおばトラスト中落合"/>
    <s v="東京都新宿区中落合３"/>
    <n v="77000"/>
    <n v="3000"/>
    <m/>
    <n v="77000"/>
    <n v="2"/>
    <x v="2"/>
    <n v="17.760000000000002"/>
    <n v="13"/>
    <x v="2"/>
    <s v="落合南長崎駅"/>
    <n v="4"/>
    <n v="11"/>
    <n v="122997.85"/>
    <n v="95329.65"/>
    <n v="512"/>
    <n v="1622"/>
    <s v="10-20"/>
    <x v="7"/>
  </r>
  <r>
    <s v="https://suumo.jp/chintai/jnc_000103416502/?bc=100482176471"/>
    <s v="ちきゅうハウス"/>
    <s v="東京都豊島区南長崎４"/>
    <n v="89000"/>
    <n v="5000"/>
    <m/>
    <n v="89000"/>
    <n v="1"/>
    <x v="2"/>
    <n v="22.15"/>
    <n v="22"/>
    <x v="0"/>
    <s v="落合南長崎駅"/>
    <n v="2"/>
    <n v="12.67"/>
    <n v="122997.85"/>
    <n v="95329.65"/>
    <n v="512"/>
    <n v="1622"/>
    <s v="20-30"/>
    <x v="1"/>
  </r>
  <r>
    <s v="https://suumo.jp/chintai/jnc_000104091512/?bc=100484936841"/>
    <s v="アルンハイム"/>
    <s v="東京都新宿区西落合２"/>
    <n v="97000"/>
    <n v="3000"/>
    <m/>
    <n v="97000"/>
    <n v="3"/>
    <x v="2"/>
    <n v="28.98"/>
    <n v="10"/>
    <x v="2"/>
    <s v="落合南長崎駅"/>
    <n v="9"/>
    <n v="15.67"/>
    <n v="122997.85"/>
    <n v="95329.65"/>
    <n v="512"/>
    <n v="1622"/>
    <s v="20-30"/>
    <x v="0"/>
  </r>
  <r>
    <s v="https://suumo.jp/chintai/jnc_000104525352/?bc=100486334256"/>
    <s v="アヴァンティ哲学堂公園"/>
    <s v="東京都新宿区西落合１"/>
    <n v="78000"/>
    <n v="7000"/>
    <n v="78000"/>
    <n v="78000"/>
    <n v="1"/>
    <x v="2"/>
    <n v="22.32"/>
    <n v="26"/>
    <x v="4"/>
    <s v="落合南長崎駅"/>
    <n v="6"/>
    <n v="12.67"/>
    <n v="122997.85"/>
    <n v="95329.65"/>
    <n v="512"/>
    <n v="1622"/>
    <s v="20-30"/>
    <x v="1"/>
  </r>
  <r>
    <s v="https://suumo.jp/chintai/jnc_000104473680/?bc=100486328073"/>
    <s v="アーバイル新宿西落合"/>
    <s v="東京都新宿区西落合２"/>
    <n v="98000"/>
    <n v="15000"/>
    <m/>
    <m/>
    <n v="3"/>
    <x v="2"/>
    <n v="30.5"/>
    <n v="21"/>
    <x v="4"/>
    <s v="落合南長崎駅"/>
    <n v="7"/>
    <n v="10.67"/>
    <n v="122997.85"/>
    <n v="95329.65"/>
    <n v="512"/>
    <n v="1622"/>
    <s v="30-40"/>
    <x v="1"/>
  </r>
  <r>
    <s v="https://suumo.jp/chintai/jnc_000097643248/?bc=100428899991"/>
    <s v="イッツ哲学堂公園"/>
    <s v="東京都新宿区西落合２"/>
    <n v="82000"/>
    <n v="3000"/>
    <n v="82000"/>
    <n v="82000"/>
    <n v="3"/>
    <x v="2"/>
    <n v="25.83"/>
    <n v="25"/>
    <x v="2"/>
    <s v="落合南長崎駅"/>
    <n v="10"/>
    <n v="13.67"/>
    <n v="122997.85"/>
    <n v="95329.65"/>
    <n v="512"/>
    <n v="1622"/>
    <s v="20-30"/>
    <x v="1"/>
  </r>
  <r>
    <s v="https://suumo.jp/chintai/jnc_000102825177/?bc=100472830264"/>
    <s v="オアーゼ新宿西落合レジデンス"/>
    <s v="東京都新宿区西落合１"/>
    <n v="112000"/>
    <n v="8000"/>
    <n v="112000"/>
    <n v="112000"/>
    <n v="4"/>
    <x v="2"/>
    <n v="25.25"/>
    <n v="4"/>
    <x v="7"/>
    <s v="落合南長崎駅"/>
    <n v="6"/>
    <n v="13"/>
    <n v="122997.85"/>
    <n v="95329.65"/>
    <n v="512"/>
    <n v="1622"/>
    <s v="20-30"/>
    <x v="0"/>
  </r>
  <r>
    <s v="https://suumo.jp/chintai/jnc_000104473677/?bc=100485886122"/>
    <s v="カーサピアッツァ新宿西落合"/>
    <s v="東京都新宿区西落合１"/>
    <n v="97000"/>
    <n v="3000"/>
    <n v="97000"/>
    <n v="97000"/>
    <n v="2"/>
    <x v="2"/>
    <n v="18.8"/>
    <n v="5"/>
    <x v="4"/>
    <s v="落合南長崎駅"/>
    <n v="7"/>
    <n v="12.33"/>
    <n v="122997.85"/>
    <n v="95329.65"/>
    <n v="512"/>
    <n v="1622"/>
    <s v="10-20"/>
    <x v="0"/>
  </r>
  <r>
    <s v="https://suumo.jp/chintai/jnc_000104271773/?bc=100484548992"/>
    <s v="ガリシア新宿西落合"/>
    <s v="東京都新宿区西落合２"/>
    <n v="93000"/>
    <n v="10000"/>
    <n v="93000"/>
    <n v="93000"/>
    <n v="2"/>
    <x v="2"/>
    <n v="25.87"/>
    <n v="11"/>
    <x v="5"/>
    <s v="落合南長崎駅"/>
    <n v="9"/>
    <n v="11.67"/>
    <n v="122997.85"/>
    <n v="95329.65"/>
    <n v="512"/>
    <n v="1622"/>
    <s v="20-30"/>
    <x v="7"/>
  </r>
  <r>
    <s v="https://suumo.jp/chintai/jnc_000104295048/?bc=100484314058"/>
    <s v="ガリシア新宿西落合"/>
    <s v="東京都新宿区西落合２"/>
    <n v="98000"/>
    <n v="10000"/>
    <n v="98000"/>
    <n v="98000"/>
    <n v="2"/>
    <x v="2"/>
    <n v="25.87"/>
    <n v="11"/>
    <x v="5"/>
    <s v="落合南長崎駅"/>
    <n v="9"/>
    <n v="11.67"/>
    <n v="122997.85"/>
    <n v="95329.65"/>
    <n v="512"/>
    <n v="1622"/>
    <s v="20-30"/>
    <x v="7"/>
  </r>
  <r>
    <s v="https://suumo.jp/chintai/jnc_000103883465/?bc=100481667771"/>
    <s v="ガーラ新宿西落合"/>
    <s v="東京都新宿区西落合４"/>
    <n v="89000"/>
    <n v="5000"/>
    <m/>
    <n v="89000"/>
    <n v="4"/>
    <x v="2"/>
    <n v="20.89"/>
    <n v="24"/>
    <x v="5"/>
    <s v="落合南長崎駅"/>
    <n v="5"/>
    <n v="11.33"/>
    <n v="122997.85"/>
    <n v="95329.65"/>
    <n v="512"/>
    <n v="1622"/>
    <s v="20-30"/>
    <x v="1"/>
  </r>
  <r>
    <s v="https://suumo.jp/chintai/jnc_000103763011/?bc=100482747908"/>
    <s v="キャッスル小島"/>
    <s v="東京都豊島区南長崎３"/>
    <n v="58000"/>
    <m/>
    <m/>
    <n v="58000"/>
    <n v="3"/>
    <x v="2"/>
    <n v="22"/>
    <n v="40"/>
    <x v="2"/>
    <s v="落合南長崎駅"/>
    <n v="6"/>
    <n v="9.67"/>
    <n v="122997.85"/>
    <n v="95329.65"/>
    <n v="512"/>
    <n v="1622"/>
    <s v="20-30"/>
    <x v="4"/>
  </r>
  <r>
    <s v="https://suumo.jp/chintai/jnc_000102616453/?bc=100480362504"/>
    <s v="グランヴァン西落合"/>
    <s v="東京都新宿区西落合３"/>
    <n v="63000"/>
    <n v="15000"/>
    <m/>
    <m/>
    <n v="1"/>
    <x v="2"/>
    <n v="20.34"/>
    <n v="27"/>
    <x v="4"/>
    <s v="落合南長崎駅"/>
    <n v="5"/>
    <n v="11"/>
    <n v="122997.85"/>
    <n v="95329.65"/>
    <n v="512"/>
    <n v="1622"/>
    <s v="20-30"/>
    <x v="1"/>
  </r>
  <r>
    <s v="https://suumo.jp/chintai/jnc_000102809885/?bc=100477812079"/>
    <s v="グランヴァン西落合"/>
    <s v="東京都新宿区西落合３"/>
    <n v="64000"/>
    <n v="15000"/>
    <m/>
    <n v="64000"/>
    <n v="1"/>
    <x v="2"/>
    <n v="20.53"/>
    <n v="27"/>
    <x v="4"/>
    <s v="落合南長崎駅"/>
    <n v="5"/>
    <n v="11"/>
    <n v="122997.85"/>
    <n v="95329.65"/>
    <n v="512"/>
    <n v="1622"/>
    <s v="20-30"/>
    <x v="1"/>
  </r>
  <r>
    <s v="https://suumo.jp/chintai/jnc_000103680262/?bc=100481077836"/>
    <s v="グランヴァン西落合"/>
    <s v="東京都新宿区西落合３"/>
    <n v="65000"/>
    <n v="15000"/>
    <m/>
    <n v="65000"/>
    <n v="1"/>
    <x v="2"/>
    <n v="20.53"/>
    <n v="27"/>
    <x v="4"/>
    <s v="落合南長崎駅"/>
    <n v="5"/>
    <n v="11"/>
    <n v="122997.85"/>
    <n v="95329.65"/>
    <n v="512"/>
    <n v="1622"/>
    <s v="20-30"/>
    <x v="1"/>
  </r>
  <r>
    <s v="https://suumo.jp/chintai/jnc_000103843621/?bc=100481198644"/>
    <s v="グリーンヒルＶＩＩ"/>
    <s v="東京都新宿区中落合３"/>
    <n v="73000"/>
    <m/>
    <n v="73000"/>
    <m/>
    <n v="3"/>
    <x v="2"/>
    <n v="18.64"/>
    <n v="28"/>
    <x v="4"/>
    <s v="落合南長崎駅"/>
    <n v="11"/>
    <n v="13.67"/>
    <n v="122997.85"/>
    <n v="95329.65"/>
    <n v="512"/>
    <n v="1622"/>
    <s v="10-20"/>
    <x v="1"/>
  </r>
  <r>
    <s v="https://suumo.jp/chintai/jnc_000103969745/?bc=100473599855"/>
    <s v="コーポときわ"/>
    <s v="東京都豊島区南長崎５"/>
    <n v="53000"/>
    <m/>
    <n v="53000"/>
    <n v="53000"/>
    <n v="2"/>
    <x v="2"/>
    <n v="17.309999999999999"/>
    <n v="42"/>
    <x v="0"/>
    <s v="落合南長崎駅"/>
    <n v="5"/>
    <n v="5"/>
    <n v="122997.85"/>
    <n v="95329.65"/>
    <n v="512"/>
    <n v="1622"/>
    <s v="10-20"/>
    <x v="3"/>
  </r>
  <r>
    <s v="https://suumo.jp/chintai/jnc_000103969744/?bc=100473597524"/>
    <s v="コーポときわ"/>
    <s v="東京都豊島区南長崎５"/>
    <n v="53000"/>
    <m/>
    <n v="53000"/>
    <n v="53000"/>
    <n v="2"/>
    <x v="2"/>
    <n v="18.5"/>
    <n v="42"/>
    <x v="0"/>
    <s v="落合南長崎駅"/>
    <n v="5"/>
    <n v="5"/>
    <n v="122997.85"/>
    <n v="95329.65"/>
    <n v="512"/>
    <n v="1622"/>
    <s v="10-20"/>
    <x v="3"/>
  </r>
  <r>
    <s v="https://suumo.jp/chintai/jnc_000104509215/?bc=100476073687"/>
    <s v="コーポ文化村"/>
    <s v="東京都新宿区中落合４"/>
    <n v="58000"/>
    <m/>
    <n v="58000"/>
    <m/>
    <n v="1"/>
    <x v="2"/>
    <n v="18"/>
    <n v="52"/>
    <x v="0"/>
    <s v="落合南長崎駅"/>
    <n v="7"/>
    <n v="10.33"/>
    <n v="122997.85"/>
    <n v="95329.65"/>
    <n v="512"/>
    <n v="1622"/>
    <s v="10-20"/>
    <x v="5"/>
  </r>
  <r>
    <s v="https://suumo.jp/chintai/jnc_000102688217/?bc=100475051660"/>
    <s v="コーポ若松"/>
    <s v="東京都豊島区南長崎２"/>
    <n v="65000"/>
    <m/>
    <m/>
    <m/>
    <n v="2"/>
    <x v="2"/>
    <n v="15.01"/>
    <n v="59"/>
    <x v="0"/>
    <s v="落合南長崎駅"/>
    <n v="10"/>
    <n v="11.67"/>
    <n v="122997.85"/>
    <n v="95329.65"/>
    <n v="512"/>
    <n v="1622"/>
    <s v="10-20"/>
    <x v="5"/>
  </r>
  <r>
    <s v="https://suumo.jp/chintai/jnc_000102688216/?bc=100481038940"/>
    <s v="コーポ若松"/>
    <s v="東京都豊島区南長崎２"/>
    <n v="70000"/>
    <m/>
    <m/>
    <m/>
    <n v="2"/>
    <x v="2"/>
    <n v="15.01"/>
    <n v="59"/>
    <x v="0"/>
    <s v="落合南長崎駅"/>
    <n v="10"/>
    <n v="11.67"/>
    <n v="122997.85"/>
    <n v="95329.65"/>
    <n v="512"/>
    <n v="1622"/>
    <s v="10-20"/>
    <x v="5"/>
  </r>
  <r>
    <s v="https://suumo.jp/chintai/jnc_000104425547/?bc=100483897005"/>
    <s v="コーポ落合"/>
    <s v="東京都新宿区西落合１"/>
    <n v="57000"/>
    <n v="3000"/>
    <m/>
    <m/>
    <n v="2"/>
    <x v="2"/>
    <n v="17"/>
    <n v="53"/>
    <x v="0"/>
    <s v="落合南長崎駅"/>
    <n v="7"/>
    <n v="12"/>
    <n v="122997.85"/>
    <n v="95329.65"/>
    <n v="512"/>
    <n v="1622"/>
    <s v="10-20"/>
    <x v="5"/>
  </r>
  <r>
    <s v="https://suumo.jp/chintai/jnc_000101165488/?bc=100468790364"/>
    <s v="サニーマイホーム"/>
    <s v="東京都豊島区南長崎４"/>
    <n v="55000"/>
    <m/>
    <n v="55000"/>
    <m/>
    <n v="2"/>
    <x v="2"/>
    <n v="20"/>
    <n v="38"/>
    <x v="0"/>
    <s v="落合南長崎駅"/>
    <n v="2"/>
    <n v="8.67"/>
    <n v="122997.85"/>
    <n v="95329.65"/>
    <n v="512"/>
    <n v="1622"/>
    <s v="20-30"/>
    <x v="4"/>
  </r>
  <r>
    <s v="https://suumo.jp/chintai/jnc_000104509218/?bc=100486125412"/>
    <s v="シティハイム西落合"/>
    <s v="東京都新宿区西落合３"/>
    <n v="55000"/>
    <n v="3000"/>
    <n v="55000"/>
    <n v="55000"/>
    <n v="1"/>
    <x v="2"/>
    <n v="23.18"/>
    <n v="42"/>
    <x v="0"/>
    <s v="落合南長崎駅"/>
    <n v="8"/>
    <n v="10.67"/>
    <n v="122997.85"/>
    <n v="95329.65"/>
    <n v="512"/>
    <n v="1622"/>
    <s v="20-30"/>
    <x v="3"/>
  </r>
  <r>
    <s v="https://suumo.jp/chintai/jnc_000103481416/?bc=100478986414"/>
    <s v="シャトー白馬"/>
    <s v="東京都中野区江古田１"/>
    <n v="62000"/>
    <n v="2000"/>
    <m/>
    <m/>
    <n v="2"/>
    <x v="2"/>
    <n v="19.649999999999999"/>
    <n v="25"/>
    <x v="7"/>
    <s v="落合南長崎駅"/>
    <n v="12"/>
    <n v="14"/>
    <n v="122997.85"/>
    <n v="95329.65"/>
    <n v="512"/>
    <n v="1622"/>
    <s v="10-20"/>
    <x v="1"/>
  </r>
  <r>
    <s v="https://suumo.jp/chintai/jnc_000104178868/?bc=100484083136"/>
    <s v="スカイコート新宿落合南長崎駅前"/>
    <s v="東京都新宿区西落合３"/>
    <n v="80000"/>
    <n v="10000"/>
    <m/>
    <n v="80000"/>
    <n v="3"/>
    <x v="2"/>
    <n v="24.47"/>
    <n v="23"/>
    <x v="10"/>
    <s v="落合南長崎駅"/>
    <n v="3"/>
    <n v="10"/>
    <n v="122997.85"/>
    <n v="95329.65"/>
    <n v="512"/>
    <n v="1622"/>
    <s v="20-30"/>
    <x v="1"/>
  </r>
  <r>
    <s v="https://suumo.jp/chintai/jnc_000104437838/?bc=100485775455"/>
    <s v="スカイコート新宿落合南長崎駅前"/>
    <s v="東京都新宿区西落合３"/>
    <n v="78000"/>
    <n v="9000"/>
    <n v="78000"/>
    <n v="78000"/>
    <n v="7"/>
    <x v="2"/>
    <n v="19.82"/>
    <n v="23"/>
    <x v="10"/>
    <s v="落合南長崎駅"/>
    <n v="3"/>
    <n v="10"/>
    <n v="122997.85"/>
    <n v="95329.65"/>
    <n v="512"/>
    <n v="1622"/>
    <s v="10-20"/>
    <x v="1"/>
  </r>
  <r>
    <s v="https://suumo.jp/chintai/jnc_000103362631/?bc=100477030590"/>
    <s v="スカイドリーム西落合"/>
    <s v="東京都新宿区西落合１"/>
    <n v="63000"/>
    <n v="2000"/>
    <n v="63000"/>
    <m/>
    <n v="1"/>
    <x v="2"/>
    <n v="19.87"/>
    <n v="23"/>
    <x v="2"/>
    <s v="落合南長崎駅"/>
    <n v="5"/>
    <n v="12.67"/>
    <n v="122997.85"/>
    <n v="95329.65"/>
    <n v="512"/>
    <n v="1622"/>
    <s v="10-20"/>
    <x v="1"/>
  </r>
  <r>
    <s v="https://suumo.jp/chintai/jnc_000104116897/?bc=100483107171"/>
    <s v="スペース新宿中落合"/>
    <s v="東京都新宿区中落合４"/>
    <n v="90000"/>
    <n v="2000"/>
    <n v="90000"/>
    <n v="90000"/>
    <n v="3"/>
    <x v="2"/>
    <n v="30.64"/>
    <n v="8"/>
    <x v="2"/>
    <s v="落合南長崎駅"/>
    <n v="6"/>
    <n v="10"/>
    <n v="122997.85"/>
    <n v="95329.65"/>
    <n v="512"/>
    <n v="1622"/>
    <s v="30-40"/>
    <x v="0"/>
  </r>
  <r>
    <s v="https://suumo.jp/chintai/jnc_000104426446/?bc=100481584167"/>
    <s v="ティアラ目白AVENUE"/>
    <s v="東京都豊島区南長崎３"/>
    <n v="71000"/>
    <n v="10000"/>
    <m/>
    <m/>
    <n v="4"/>
    <x v="2"/>
    <n v="20.440000000000001"/>
    <n v="25"/>
    <x v="7"/>
    <s v="落合南長崎駅"/>
    <n v="5"/>
    <n v="11"/>
    <n v="122997.85"/>
    <n v="95329.65"/>
    <n v="512"/>
    <n v="1622"/>
    <s v="20-30"/>
    <x v="1"/>
  </r>
  <r>
    <s v="https://suumo.jp/chintai/jnc_000103947798/?bc=100477248340"/>
    <s v="ティアラ目白AVENUE"/>
    <s v="東京都豊島区南長崎３"/>
    <n v="89000"/>
    <n v="10000"/>
    <n v="89000"/>
    <n v="89000"/>
    <n v="4"/>
    <x v="2"/>
    <n v="24.95"/>
    <n v="25"/>
    <x v="7"/>
    <s v="落合南長崎駅"/>
    <n v="5"/>
    <n v="11"/>
    <n v="122997.85"/>
    <n v="95329.65"/>
    <n v="512"/>
    <n v="1622"/>
    <s v="20-30"/>
    <x v="1"/>
  </r>
  <r>
    <s v="https://suumo.jp/chintai/jnc_000104256663/?bc=100484575625"/>
    <s v="ティアラ目白AVENUE"/>
    <s v="東京都豊島区南長崎３"/>
    <n v="80000"/>
    <n v="7000"/>
    <n v="80000"/>
    <n v="80000"/>
    <n v="5"/>
    <x v="2"/>
    <n v="20.8"/>
    <n v="25"/>
    <x v="7"/>
    <s v="落合南長崎駅"/>
    <n v="5"/>
    <n v="11"/>
    <n v="122997.85"/>
    <n v="95329.65"/>
    <n v="512"/>
    <n v="1622"/>
    <s v="20-30"/>
    <x v="1"/>
  </r>
  <r>
    <s v="https://suumo.jp/chintai/jnc_000103929496/?bc=100481740341"/>
    <s v="ティエドゥール椎名町"/>
    <s v="東京都豊島区南長崎３"/>
    <n v="82000"/>
    <n v="3000"/>
    <n v="82000"/>
    <n v="82000"/>
    <n v="2"/>
    <x v="2"/>
    <n v="21.15"/>
    <n v="8"/>
    <x v="0"/>
    <s v="落合南長崎駅"/>
    <n v="9"/>
    <n v="10.33"/>
    <n v="122997.85"/>
    <n v="95329.65"/>
    <n v="512"/>
    <n v="1622"/>
    <s v="20-30"/>
    <x v="0"/>
  </r>
  <r>
    <s v="https://suumo.jp/chintai/jnc_000096532018/?bc=100358632295"/>
    <s v="ディアレイシャス落合南長崎"/>
    <s v="東京都新宿区西落合１"/>
    <n v="121000"/>
    <n v="11000"/>
    <m/>
    <n v="121000"/>
    <n v="2"/>
    <x v="2"/>
    <n v="25.82"/>
    <n v="8"/>
    <x v="10"/>
    <s v="落合南長崎駅"/>
    <n v="6"/>
    <n v="11.67"/>
    <n v="122997.85"/>
    <n v="95329.65"/>
    <n v="512"/>
    <n v="1622"/>
    <s v="20-30"/>
    <x v="0"/>
  </r>
  <r>
    <s v="https://suumo.jp/chintai/jnc_000096532017/?bc=100381527155"/>
    <s v="ディアレイシャス落合南長崎"/>
    <s v="東京都新宿区西落合１"/>
    <n v="124000"/>
    <n v="11000"/>
    <m/>
    <n v="124000"/>
    <n v="2"/>
    <x v="2"/>
    <n v="25.84"/>
    <n v="8"/>
    <x v="10"/>
    <s v="落合南長崎駅"/>
    <n v="6"/>
    <n v="11.67"/>
    <n v="122997.85"/>
    <n v="95329.65"/>
    <n v="512"/>
    <n v="1622"/>
    <s v="20-30"/>
    <x v="0"/>
  </r>
  <r>
    <s v="https://suumo.jp/chintai/jnc_000100821251/?bc=100454796115"/>
    <s v="ディアレイシャス落合南長崎"/>
    <s v="東京都新宿区西落合１"/>
    <n v="122000"/>
    <n v="11000"/>
    <m/>
    <n v="122000"/>
    <n v="3"/>
    <x v="2"/>
    <n v="25.82"/>
    <n v="8"/>
    <x v="10"/>
    <s v="落合南長崎駅"/>
    <n v="6"/>
    <n v="11.67"/>
    <n v="122997.85"/>
    <n v="95329.65"/>
    <n v="512"/>
    <n v="1622"/>
    <s v="20-30"/>
    <x v="0"/>
  </r>
  <r>
    <s v="https://suumo.jp/chintai/jnc_000096532020/?bc=100359133083"/>
    <s v="ディアレイシャス落合南長崎"/>
    <s v="東京都新宿区西落合１"/>
    <n v="125000"/>
    <n v="11000"/>
    <m/>
    <n v="125000"/>
    <n v="3"/>
    <x v="2"/>
    <n v="25.84"/>
    <n v="8"/>
    <x v="10"/>
    <s v="落合南長崎駅"/>
    <n v="6"/>
    <n v="11.67"/>
    <n v="122997.85"/>
    <n v="95329.65"/>
    <n v="512"/>
    <n v="1622"/>
    <s v="20-30"/>
    <x v="0"/>
  </r>
  <r>
    <s v="https://suumo.jp/chintai/jnc_000096532023/?bc=100351484409"/>
    <s v="ディアレイシャス落合南長崎"/>
    <s v="東京都新宿区西落合１"/>
    <n v="125000"/>
    <n v="11000"/>
    <m/>
    <n v="125000"/>
    <n v="4"/>
    <x v="2"/>
    <n v="25.52"/>
    <n v="8"/>
    <x v="10"/>
    <s v="落合南長崎駅"/>
    <n v="6"/>
    <n v="11.67"/>
    <n v="122997.85"/>
    <n v="95329.65"/>
    <n v="512"/>
    <n v="1622"/>
    <s v="20-30"/>
    <x v="0"/>
  </r>
  <r>
    <s v="https://suumo.jp/chintai/jnc_000096532022/?bc=100374800927"/>
    <s v="ディアレイシャス落合南長崎"/>
    <s v="東京都新宿区西落合１"/>
    <n v="125000"/>
    <n v="11000"/>
    <m/>
    <n v="125000"/>
    <n v="4"/>
    <x v="2"/>
    <n v="25.56"/>
    <n v="8"/>
    <x v="10"/>
    <s v="落合南長崎駅"/>
    <n v="6"/>
    <n v="11.67"/>
    <n v="122997.85"/>
    <n v="95329.65"/>
    <n v="512"/>
    <n v="1622"/>
    <s v="20-30"/>
    <x v="0"/>
  </r>
  <r>
    <s v="https://suumo.jp/chintai/jnc_000096532021/?bc=100359916439"/>
    <s v="ディアレイシャス落合南長崎"/>
    <s v="東京都新宿区西落合１"/>
    <n v="126000"/>
    <n v="11000"/>
    <m/>
    <n v="126000"/>
    <n v="4"/>
    <x v="2"/>
    <n v="25.82"/>
    <n v="8"/>
    <x v="10"/>
    <s v="落合南長崎駅"/>
    <n v="6"/>
    <n v="11.67"/>
    <n v="122997.85"/>
    <n v="95329.65"/>
    <n v="512"/>
    <n v="1622"/>
    <s v="20-30"/>
    <x v="0"/>
  </r>
  <r>
    <s v="https://suumo.jp/chintai/jnc_000102003067/?bc=100475903854"/>
    <s v="ディアレイシャス落合南長崎"/>
    <s v="東京都新宿区西落合１"/>
    <n v="115000"/>
    <n v="10000"/>
    <m/>
    <n v="115000"/>
    <n v="6"/>
    <x v="2"/>
    <n v="25.52"/>
    <n v="8"/>
    <x v="10"/>
    <s v="落合南長崎駅"/>
    <n v="6"/>
    <n v="11.67"/>
    <n v="122997.85"/>
    <n v="95329.65"/>
    <n v="512"/>
    <n v="1622"/>
    <s v="20-30"/>
    <x v="0"/>
  </r>
  <r>
    <s v="https://suumo.jp/chintai/jnc_000103277827/?bc=100473911086"/>
    <s v="ディアレイシャス落合南長崎"/>
    <s v="東京都新宿区西落合１"/>
    <n v="127000"/>
    <n v="11000"/>
    <m/>
    <n v="127000"/>
    <n v="6"/>
    <x v="2"/>
    <n v="25.52"/>
    <n v="8"/>
    <x v="10"/>
    <s v="落合南長崎駅"/>
    <n v="6"/>
    <n v="11.67"/>
    <n v="122997.85"/>
    <n v="95329.65"/>
    <n v="512"/>
    <n v="1622"/>
    <s v="20-30"/>
    <x v="0"/>
  </r>
  <r>
    <s v="https://suumo.jp/chintai/jnc_000096532026/?bc=100377938444"/>
    <s v="ディアレイシャス落合南長崎"/>
    <s v="東京都新宿区西落合１"/>
    <n v="137000"/>
    <n v="11000"/>
    <m/>
    <n v="137000"/>
    <n v="7"/>
    <x v="2"/>
    <n v="25.56"/>
    <n v="8"/>
    <x v="10"/>
    <s v="落合南長崎駅"/>
    <n v="6"/>
    <n v="11.67"/>
    <n v="122997.85"/>
    <n v="95329.65"/>
    <n v="512"/>
    <n v="1622"/>
    <s v="20-30"/>
    <x v="0"/>
  </r>
  <r>
    <s v="https://suumo.jp/chintai/jnc_000100588959/?bc=100452887880"/>
    <s v="ディアレイシャス落合南長崎"/>
    <s v="東京都新宿区西落合１"/>
    <n v="128000"/>
    <n v="11000"/>
    <m/>
    <n v="128000"/>
    <n v="7"/>
    <x v="2"/>
    <n v="25.82"/>
    <n v="8"/>
    <x v="10"/>
    <s v="落合南長崎駅"/>
    <n v="6"/>
    <n v="11.67"/>
    <n v="122997.85"/>
    <n v="95329.65"/>
    <n v="512"/>
    <n v="1622"/>
    <s v="20-30"/>
    <x v="0"/>
  </r>
  <r>
    <s v="https://suumo.jp/chintai/jnc_000068093410/?bc=100485038741"/>
    <s v="トア・ロード"/>
    <s v="東京都新宿区西落合１"/>
    <n v="73000"/>
    <n v="5000"/>
    <n v="73000"/>
    <n v="146000"/>
    <n v="6"/>
    <x v="2"/>
    <n v="22.79"/>
    <n v="22"/>
    <x v="10"/>
    <s v="落合南長崎駅"/>
    <n v="4"/>
    <n v="10.67"/>
    <n v="122997.85"/>
    <n v="95329.65"/>
    <n v="512"/>
    <n v="1622"/>
    <s v="20-30"/>
    <x v="1"/>
  </r>
  <r>
    <s v="https://suumo.jp/chintai/jnc_000103742527/?bc=100480564575"/>
    <s v="バーミープレイス西落合"/>
    <s v="東京都新宿区西落合１"/>
    <n v="74000"/>
    <n v="4000"/>
    <m/>
    <m/>
    <n v="2"/>
    <x v="2"/>
    <n v="20.440000000000001"/>
    <n v="14"/>
    <x v="0"/>
    <s v="落合南長崎駅"/>
    <n v="5"/>
    <n v="11.67"/>
    <n v="122997.85"/>
    <n v="95329.65"/>
    <n v="512"/>
    <n v="1622"/>
    <s v="20-30"/>
    <x v="7"/>
  </r>
  <r>
    <s v="https://suumo.jp/chintai/jnc_000102477302/?bc=100471318908"/>
    <s v="パークコート中落合"/>
    <s v="東京都新宿区中落合３"/>
    <n v="90000"/>
    <n v="2000"/>
    <m/>
    <m/>
    <n v="1"/>
    <x v="2"/>
    <n v="28.15"/>
    <n v="17"/>
    <x v="0"/>
    <s v="落合南長崎駅"/>
    <n v="8"/>
    <n v="11"/>
    <n v="122997.85"/>
    <n v="95329.65"/>
    <n v="512"/>
    <n v="1622"/>
    <s v="20-30"/>
    <x v="7"/>
  </r>
  <r>
    <s v="https://suumo.jp/chintai/jnc_000102477302/?bc=100471318908"/>
    <s v="パークコート中落合"/>
    <s v="東京都新宿区中落合３"/>
    <n v="90000"/>
    <n v="2000"/>
    <m/>
    <m/>
    <n v="2"/>
    <x v="2"/>
    <n v="28.15"/>
    <n v="17"/>
    <x v="0"/>
    <s v="落合南長崎駅"/>
    <n v="8"/>
    <n v="11"/>
    <n v="122997.85"/>
    <n v="95329.65"/>
    <n v="512"/>
    <n v="1622"/>
    <s v="20-30"/>
    <x v="7"/>
  </r>
  <r>
    <s v="https://suumo.jp/chintai/jnc_000102417194/?bc=100473033723"/>
    <s v="フラッツ西落合"/>
    <s v="東京都新宿区西落合１"/>
    <n v="89000"/>
    <n v="4000"/>
    <m/>
    <n v="89000"/>
    <n v="1"/>
    <x v="2"/>
    <n v="26.27"/>
    <n v="22"/>
    <x v="0"/>
    <s v="落合南長崎駅"/>
    <n v="5"/>
    <n v="11"/>
    <n v="122997.85"/>
    <n v="95329.65"/>
    <n v="512"/>
    <n v="1622"/>
    <s v="20-30"/>
    <x v="1"/>
  </r>
  <r>
    <s v="https://suumo.jp/chintai/jnc_000102386207/?bc=100473033720"/>
    <s v="フラッツ西落合"/>
    <s v="東京都新宿区西落合１"/>
    <n v="92000"/>
    <n v="4000"/>
    <m/>
    <n v="92000"/>
    <n v="2"/>
    <x v="2"/>
    <n v="26.27"/>
    <n v="22"/>
    <x v="0"/>
    <s v="落合南長崎駅"/>
    <n v="5"/>
    <n v="11"/>
    <n v="122997.85"/>
    <n v="95329.65"/>
    <n v="512"/>
    <n v="1622"/>
    <s v="20-30"/>
    <x v="1"/>
  </r>
  <r>
    <s v="https://suumo.jp/chintai/jnc_000067958385/?bc=100479690985"/>
    <s v="フローレンス目白"/>
    <s v="東京都新宿区中落合３"/>
    <n v="67000"/>
    <n v="3000"/>
    <m/>
    <m/>
    <n v="2"/>
    <x v="2"/>
    <n v="24.84"/>
    <n v="36"/>
    <x v="0"/>
    <s v="落合南長崎駅"/>
    <n v="5"/>
    <n v="11"/>
    <n v="122997.85"/>
    <n v="95329.65"/>
    <n v="512"/>
    <n v="1622"/>
    <s v="20-30"/>
    <x v="4"/>
  </r>
  <r>
    <s v="https://suumo.jp/chintai/jnc_000089206675/?bc=100483742897"/>
    <s v="プルミエ"/>
    <s v="東京都新宿区西落合２"/>
    <n v="86000"/>
    <n v="6000"/>
    <n v="129000"/>
    <n v="86000"/>
    <n v="6"/>
    <x v="2"/>
    <n v="23.9"/>
    <n v="28"/>
    <x v="5"/>
    <s v="落合南長崎駅"/>
    <n v="8"/>
    <n v="11.33"/>
    <n v="122997.85"/>
    <n v="95329.65"/>
    <n v="512"/>
    <n v="1622"/>
    <s v="20-30"/>
    <x v="1"/>
  </r>
  <r>
    <s v="https://suumo.jp/chintai/jnc_000103701889/?bc=100480182437"/>
    <s v="プレール・ドゥーク目白アベニュー"/>
    <s v="東京都新宿区中落合３"/>
    <n v="78000"/>
    <n v="20000"/>
    <m/>
    <n v="78000"/>
    <n v="3"/>
    <x v="2"/>
    <n v="21"/>
    <n v="23"/>
    <x v="1"/>
    <s v="落合南長崎駅"/>
    <n v="4"/>
    <n v="10.67"/>
    <n v="122997.85"/>
    <n v="95329.65"/>
    <n v="512"/>
    <n v="1622"/>
    <s v="20-30"/>
    <x v="1"/>
  </r>
  <r>
    <s v="https://suumo.jp/chintai/jnc_000104132246/?bc=100483283311"/>
    <s v="プレール・ドゥーク目白アベニュー"/>
    <s v="東京都新宿区中落合３"/>
    <n v="79000"/>
    <n v="10000"/>
    <n v="79000"/>
    <n v="79000"/>
    <n v="5"/>
    <x v="2"/>
    <n v="21.45"/>
    <n v="23"/>
    <x v="1"/>
    <s v="落合南長崎駅"/>
    <n v="4"/>
    <n v="10.67"/>
    <n v="122997.85"/>
    <n v="95329.65"/>
    <n v="512"/>
    <n v="1622"/>
    <s v="20-30"/>
    <x v="1"/>
  </r>
  <r>
    <s v="https://suumo.jp/chintai/jnc_000103686093/?bc=100479858896"/>
    <s v="プレール椎名町"/>
    <s v="東京都豊島区南長崎３"/>
    <n v="60000"/>
    <n v="7000"/>
    <n v="60000"/>
    <n v="60000"/>
    <n v="5"/>
    <x v="2"/>
    <n v="20.95"/>
    <n v="38"/>
    <x v="7"/>
    <s v="落合南長崎駅"/>
    <n v="8"/>
    <n v="11"/>
    <n v="122997.85"/>
    <n v="95329.65"/>
    <n v="512"/>
    <n v="1622"/>
    <s v="20-30"/>
    <x v="4"/>
  </r>
  <r>
    <s v="https://suumo.jp/chintai/jnc_000104034286/?bc=100482733588"/>
    <s v="ベルシード新宿中落合"/>
    <s v="東京都新宿区中落合３"/>
    <n v="111000"/>
    <n v="15000"/>
    <m/>
    <n v="222000"/>
    <n v="5"/>
    <x v="2"/>
    <n v="25.74"/>
    <n v="7"/>
    <x v="6"/>
    <s v="落合南長崎駅"/>
    <n v="7"/>
    <n v="9.33"/>
    <n v="122997.85"/>
    <n v="95329.65"/>
    <n v="512"/>
    <n v="1622"/>
    <s v="20-30"/>
    <x v="0"/>
  </r>
  <r>
    <s v="https://suumo.jp/chintai/jnc_000104049658/?bc=100482509535"/>
    <s v="ベルシード新宿中落合"/>
    <s v="東京都新宿区中落合３"/>
    <n v="110000"/>
    <n v="15000"/>
    <m/>
    <n v="222000"/>
    <n v="5"/>
    <x v="2"/>
    <n v="25.74"/>
    <n v="7"/>
    <x v="6"/>
    <s v="落合南長崎駅"/>
    <n v="7"/>
    <n v="9.33"/>
    <n v="122997.85"/>
    <n v="95329.65"/>
    <n v="512"/>
    <n v="1622"/>
    <s v="20-30"/>
    <x v="0"/>
  </r>
  <r>
    <s v="https://suumo.jp/chintai/jnc_000102404602/?bc=100471260757"/>
    <s v="ベルシード新宿中落合"/>
    <s v="東京都新宿区中落合３"/>
    <n v="101000"/>
    <n v="12000"/>
    <n v="101000"/>
    <n v="101000"/>
    <n v="6"/>
    <x v="2"/>
    <n v="25.78"/>
    <n v="7"/>
    <x v="6"/>
    <s v="落合南長崎駅"/>
    <n v="7"/>
    <n v="9.33"/>
    <n v="122997.85"/>
    <n v="95329.65"/>
    <n v="512"/>
    <n v="1622"/>
    <s v="20-30"/>
    <x v="0"/>
  </r>
  <r>
    <s v="https://suumo.jp/chintai/jnc_000104482299/?bc=100486150704"/>
    <s v="ベルジュール落合"/>
    <s v="東京都新宿区中落合３"/>
    <n v="70000"/>
    <n v="8000"/>
    <m/>
    <m/>
    <n v="4"/>
    <x v="2"/>
    <n v="16.5"/>
    <n v="32"/>
    <x v="9"/>
    <s v="落合南長崎駅"/>
    <n v="2"/>
    <n v="8.67"/>
    <n v="122997.85"/>
    <n v="95329.65"/>
    <n v="512"/>
    <n v="1622"/>
    <s v="10-20"/>
    <x v="4"/>
  </r>
  <r>
    <s v="https://suumo.jp/chintai/jnc_000104540970/?bc=100473506122"/>
    <s v="ベルペトラ"/>
    <s v="東京都新宿区西落合１"/>
    <n v="89000"/>
    <n v="5000"/>
    <n v="89000"/>
    <n v="178000"/>
    <n v="1"/>
    <x v="2"/>
    <n v="25.47"/>
    <n v="16"/>
    <x v="10"/>
    <s v="落合南長崎駅"/>
    <n v="5"/>
    <n v="11.33"/>
    <n v="122997.85"/>
    <n v="95329.65"/>
    <n v="512"/>
    <n v="1622"/>
    <s v="20-30"/>
    <x v="7"/>
  </r>
  <r>
    <s v="https://suumo.jp/chintai/jnc_000103094783/?bc=100475094586"/>
    <s v="ベルペトラ"/>
    <s v="東京都新宿区西落合１"/>
    <n v="93000"/>
    <n v="5000"/>
    <n v="93000"/>
    <n v="186000"/>
    <n v="2"/>
    <x v="2"/>
    <n v="25.47"/>
    <n v="16"/>
    <x v="10"/>
    <s v="落合南長崎駅"/>
    <n v="5"/>
    <n v="11.33"/>
    <n v="122997.85"/>
    <n v="95329.65"/>
    <n v="512"/>
    <n v="1622"/>
    <s v="20-30"/>
    <x v="7"/>
  </r>
  <r>
    <s v="https://suumo.jp/chintai/jnc_000104265706/?bc=100484336265"/>
    <s v="ベルペトラ"/>
    <s v="東京都新宿区西落合１"/>
    <n v="98000"/>
    <n v="5000"/>
    <n v="98000"/>
    <n v="196000"/>
    <n v="3"/>
    <x v="2"/>
    <n v="25.47"/>
    <n v="16"/>
    <x v="10"/>
    <s v="落合南長崎駅"/>
    <n v="5"/>
    <n v="11.33"/>
    <n v="122997.85"/>
    <n v="95329.65"/>
    <n v="512"/>
    <n v="1622"/>
    <s v="20-30"/>
    <x v="7"/>
  </r>
  <r>
    <s v="https://suumo.jp/chintai/jnc_000101722218/?bc=100477342481"/>
    <s v="ペアルージュ西落合"/>
    <s v="東京都新宿区西落合１"/>
    <n v="93000"/>
    <n v="5000"/>
    <n v="93000"/>
    <m/>
    <n v="3"/>
    <x v="2"/>
    <n v="21.4"/>
    <n v="5"/>
    <x v="4"/>
    <s v="落合南長崎駅"/>
    <n v="11"/>
    <n v="13"/>
    <n v="122997.85"/>
    <n v="95329.65"/>
    <n v="512"/>
    <n v="1622"/>
    <s v="20-30"/>
    <x v="0"/>
  </r>
  <r>
    <s v="https://suumo.jp/chintai/jnc_000104028807/?bc=100482314605"/>
    <s v="ペガサスマンション目白"/>
    <s v="東京都新宿区西落合１"/>
    <n v="68000"/>
    <m/>
    <n v="68000"/>
    <n v="68000"/>
    <n v="5"/>
    <x v="2"/>
    <n v="17.55"/>
    <n v="38"/>
    <x v="5"/>
    <s v="落合南長崎駅"/>
    <n v="7"/>
    <n v="11.67"/>
    <n v="122997.85"/>
    <n v="95329.65"/>
    <n v="512"/>
    <n v="1622"/>
    <s v="10-20"/>
    <x v="4"/>
  </r>
  <r>
    <s v="https://suumo.jp/chintai/jnc_000103727593/?bc=100480068704"/>
    <s v="ボヌール南長崎"/>
    <s v="東京都豊島区南長崎２"/>
    <n v="80000"/>
    <n v="3000"/>
    <n v="80000"/>
    <n v="80000"/>
    <n v="1"/>
    <x v="2"/>
    <n v="26.24"/>
    <n v="16"/>
    <x v="2"/>
    <s v="落合南長崎駅"/>
    <n v="8"/>
    <n v="11"/>
    <n v="122997.85"/>
    <n v="95329.65"/>
    <n v="512"/>
    <n v="1622"/>
    <s v="20-30"/>
    <x v="7"/>
  </r>
  <r>
    <s v="https://suumo.jp/chintai/jnc_000104442997/?bc=100485870102"/>
    <s v="ボヌール南長崎"/>
    <s v="東京都豊島区南長崎２"/>
    <n v="85000"/>
    <n v="3000"/>
    <n v="85000"/>
    <n v="85000"/>
    <n v="3"/>
    <x v="2"/>
    <n v="26.24"/>
    <n v="16"/>
    <x v="2"/>
    <s v="落合南長崎駅"/>
    <n v="8"/>
    <n v="11"/>
    <n v="122997.85"/>
    <n v="95329.65"/>
    <n v="512"/>
    <n v="1622"/>
    <s v="20-30"/>
    <x v="7"/>
  </r>
  <r>
    <s v="https://suumo.jp/chintai/jnc_000104085859/?bc=100483326151"/>
    <s v="マインプラッツ"/>
    <s v="東京都新宿区西落合３"/>
    <n v="62000"/>
    <n v="4000"/>
    <n v="62000"/>
    <n v="62000"/>
    <n v="3"/>
    <x v="2"/>
    <n v="18"/>
    <n v="37"/>
    <x v="4"/>
    <s v="落合南長崎駅"/>
    <n v="4"/>
    <n v="13.33"/>
    <n v="122997.85"/>
    <n v="95329.65"/>
    <n v="512"/>
    <n v="1622"/>
    <s v="10-20"/>
    <x v="4"/>
  </r>
  <r>
    <s v="https://suumo.jp/chintai/jnc_000104081726/?bc=100483159052"/>
    <s v="ミオテゾーロ哲学堂カーザ"/>
    <s v="東京都新宿区西落合２"/>
    <n v="107500"/>
    <n v="15000"/>
    <m/>
    <m/>
    <n v="2"/>
    <x v="2"/>
    <n v="30.2"/>
    <n v="2"/>
    <x v="7"/>
    <s v="落合南長崎駅"/>
    <n v="9"/>
    <n v="13"/>
    <n v="122997.85"/>
    <n v="95329.65"/>
    <n v="512"/>
    <n v="1622"/>
    <s v="30-40"/>
    <x v="0"/>
  </r>
  <r>
    <s v="https://suumo.jp/chintai/jnc_000104347544/?bc=100485290056"/>
    <s v="ミオテゾーロ哲学堂カーザ"/>
    <s v="東京都新宿区西落合２"/>
    <n v="100000"/>
    <n v="15000"/>
    <m/>
    <m/>
    <n v="4"/>
    <x v="2"/>
    <n v="25.27"/>
    <n v="2"/>
    <x v="7"/>
    <s v="落合南長崎駅"/>
    <n v="9"/>
    <n v="13"/>
    <n v="122997.85"/>
    <n v="95329.65"/>
    <n v="512"/>
    <n v="1622"/>
    <s v="20-30"/>
    <x v="0"/>
  </r>
  <r>
    <s v="https://suumo.jp/chintai/jnc_000096532030/?bc=100482849859"/>
    <s v="メイクスデザイン新宿落合"/>
    <s v="東京都新宿区西落合１"/>
    <n v="136000"/>
    <n v="11000"/>
    <m/>
    <n v="136000"/>
    <n v="2"/>
    <x v="2"/>
    <n v="26.1"/>
    <n v="9"/>
    <x v="6"/>
    <s v="落合南長崎駅"/>
    <n v="1"/>
    <n v="9.33"/>
    <n v="122997.85"/>
    <n v="95329.65"/>
    <n v="512"/>
    <n v="1622"/>
    <s v="20-30"/>
    <x v="0"/>
  </r>
  <r>
    <s v="https://suumo.jp/chintai/jnc_000096532032/?bc=100370603129"/>
    <s v="メイクスデザイン新宿落合"/>
    <s v="東京都新宿区西落合１"/>
    <n v="137000"/>
    <n v="11000"/>
    <m/>
    <n v="137000"/>
    <n v="8"/>
    <x v="2"/>
    <n v="26.1"/>
    <n v="9"/>
    <x v="6"/>
    <s v="落合南長崎駅"/>
    <n v="1"/>
    <n v="9.33"/>
    <n v="122997.85"/>
    <n v="95329.65"/>
    <n v="512"/>
    <n v="1622"/>
    <s v="20-30"/>
    <x v="0"/>
  </r>
  <r>
    <s v="https://suumo.jp/chintai/jnc_000104169966/?bc=100483481751"/>
    <s v="メゾンウィング"/>
    <s v="東京都新宿区西落合２"/>
    <n v="75000"/>
    <n v="6500"/>
    <m/>
    <n v="75000"/>
    <n v="1"/>
    <x v="2"/>
    <n v="18"/>
    <n v="38"/>
    <x v="0"/>
    <s v="落合南長崎駅"/>
    <n v="7"/>
    <n v="12.67"/>
    <n v="122997.85"/>
    <n v="95329.65"/>
    <n v="512"/>
    <n v="1622"/>
    <s v="10-20"/>
    <x v="4"/>
  </r>
  <r>
    <s v="https://suumo.jp/chintai/jnc_000102572173/?bc=100465174582"/>
    <s v="メゾン・ド・ハジメ"/>
    <s v="東京都新宿区西落合４"/>
    <n v="117000"/>
    <m/>
    <n v="117000"/>
    <n v="117000"/>
    <n v="1"/>
    <x v="2"/>
    <n v="33.29"/>
    <n v="0"/>
    <x v="0"/>
    <s v="落合南長崎駅"/>
    <n v="9"/>
    <n v="11"/>
    <n v="122997.85"/>
    <n v="95329.65"/>
    <n v="512"/>
    <n v="1622"/>
    <s v="30-40"/>
    <x v="6"/>
  </r>
  <r>
    <s v="https://suumo.jp/chintai/jnc_000102829292/?bc=100465174557"/>
    <s v="メゾン・ド・ハジメ"/>
    <s v="東京都新宿区西落合４"/>
    <n v="103000"/>
    <m/>
    <n v="103000"/>
    <n v="103000"/>
    <n v="2"/>
    <x v="2"/>
    <n v="33.369999999999997"/>
    <n v="0"/>
    <x v="0"/>
    <s v="落合南長崎駅"/>
    <n v="9"/>
    <n v="11"/>
    <n v="122997.85"/>
    <n v="95329.65"/>
    <n v="512"/>
    <n v="1622"/>
    <s v="30-40"/>
    <x v="6"/>
  </r>
  <r>
    <s v="https://suumo.jp/chintai/jnc_000103947797/?bc=100481786094"/>
    <s v="メゾン・ド・ブラン南長崎"/>
    <s v="東京都豊島区南長崎３"/>
    <n v="64000"/>
    <n v="2000"/>
    <m/>
    <m/>
    <n v="2"/>
    <x v="2"/>
    <n v="23.8"/>
    <n v="40"/>
    <x v="0"/>
    <s v="落合南長崎駅"/>
    <n v="9"/>
    <n v="11"/>
    <n v="122997.85"/>
    <n v="95329.65"/>
    <n v="512"/>
    <n v="1622"/>
    <s v="20-30"/>
    <x v="4"/>
  </r>
  <r>
    <s v="https://suumo.jp/chintai/jnc_000103903393/?bc=100482376482"/>
    <s v="ユナイテッドグロー西落合"/>
    <s v="東京都新宿区西落合１"/>
    <n v="70000"/>
    <n v="7000"/>
    <m/>
    <m/>
    <n v="1"/>
    <x v="2"/>
    <n v="21.08"/>
    <n v="22"/>
    <x v="7"/>
    <s v="落合南長崎駅"/>
    <n v="7"/>
    <n v="12.67"/>
    <n v="122997.85"/>
    <n v="95329.65"/>
    <n v="512"/>
    <n v="1622"/>
    <s v="20-30"/>
    <x v="1"/>
  </r>
  <r>
    <s v="https://suumo.jp/chintai/jnc_000103987152/?bc=100482533657"/>
    <s v="リオ　リブロ"/>
    <s v="東京都新宿区西落合１"/>
    <n v="93000"/>
    <n v="8000"/>
    <n v="93000"/>
    <n v="139500"/>
    <n v="1"/>
    <x v="2"/>
    <n v="29.04"/>
    <n v="11"/>
    <x v="2"/>
    <s v="落合南長崎駅"/>
    <n v="6"/>
    <n v="11.33"/>
    <n v="122997.85"/>
    <n v="95329.65"/>
    <n v="512"/>
    <n v="1622"/>
    <s v="20-30"/>
    <x v="7"/>
  </r>
  <r>
    <s v="https://suumo.jp/chintai/jnc_000103987153/?bc=100482533630"/>
    <s v="リオ　リブロ"/>
    <s v="東京都新宿区西落合１"/>
    <n v="93000"/>
    <n v="8000"/>
    <n v="93000"/>
    <n v="139500"/>
    <n v="1"/>
    <x v="2"/>
    <n v="29.65"/>
    <n v="11"/>
    <x v="2"/>
    <s v="落合南長崎駅"/>
    <n v="6"/>
    <n v="11.33"/>
    <n v="122997.85"/>
    <n v="95329.65"/>
    <n v="512"/>
    <n v="1622"/>
    <s v="20-30"/>
    <x v="7"/>
  </r>
  <r>
    <s v="https://suumo.jp/chintai/jnc_000098673889/?bc=100465411921"/>
    <s v="ル・クール西落合"/>
    <s v="東京都新宿区西落合３"/>
    <n v="55000"/>
    <n v="2000"/>
    <n v="55000"/>
    <m/>
    <n v="1"/>
    <x v="2"/>
    <n v="20.46"/>
    <n v="33"/>
    <x v="0"/>
    <s v="落合南長崎駅"/>
    <n v="10"/>
    <n v="13"/>
    <n v="122997.85"/>
    <n v="95329.65"/>
    <n v="512"/>
    <n v="1622"/>
    <s v="20-30"/>
    <x v="4"/>
  </r>
  <r>
    <s v="https://suumo.jp/chintai/jnc_000104368370/?bc=100485219598"/>
    <s v="ルーブル中落合"/>
    <s v="東京都新宿区中落合３"/>
    <n v="79000"/>
    <n v="6000"/>
    <n v="79000"/>
    <n v="79000"/>
    <n v="4"/>
    <x v="2"/>
    <n v="20.07"/>
    <n v="20"/>
    <x v="6"/>
    <s v="落合南長崎駅"/>
    <n v="4"/>
    <n v="11.33"/>
    <n v="122997.85"/>
    <n v="95329.65"/>
    <n v="512"/>
    <n v="1622"/>
    <s v="20-30"/>
    <x v="7"/>
  </r>
  <r>
    <s v="https://suumo.jp/chintai/jnc_000103908828/?bc=100485094527"/>
    <s v="ルーブル中落合"/>
    <s v="東京都新宿区中落合３"/>
    <n v="84000"/>
    <n v="5000"/>
    <m/>
    <n v="84000"/>
    <n v="4"/>
    <x v="2"/>
    <n v="20.07"/>
    <n v="20"/>
    <x v="6"/>
    <s v="落合南長崎駅"/>
    <n v="4"/>
    <n v="11.33"/>
    <n v="122997.85"/>
    <n v="95329.65"/>
    <n v="512"/>
    <n v="1622"/>
    <s v="20-30"/>
    <x v="7"/>
  </r>
  <r>
    <s v="https://suumo.jp/chintai/jnc_000102208603/?bc=100480204909"/>
    <s v="ルーブル中落合"/>
    <s v="東京都新宿区中落合３"/>
    <n v="79000"/>
    <n v="7000"/>
    <n v="79000"/>
    <n v="79000"/>
    <n v="6"/>
    <x v="2"/>
    <n v="20.07"/>
    <n v="20"/>
    <x v="6"/>
    <s v="落合南長崎駅"/>
    <n v="4"/>
    <n v="11.33"/>
    <n v="122997.85"/>
    <n v="95329.65"/>
    <n v="512"/>
    <n v="1622"/>
    <s v="20-30"/>
    <x v="7"/>
  </r>
  <r>
    <s v="https://suumo.jp/chintai/jnc_000102842747/?bc=100482505536"/>
    <s v="ルーブル中落合"/>
    <s v="東京都新宿区中落合３"/>
    <n v="84000"/>
    <n v="5000"/>
    <m/>
    <n v="84000"/>
    <n v="8"/>
    <x v="2"/>
    <n v="20.07"/>
    <n v="20"/>
    <x v="6"/>
    <s v="落合南長崎駅"/>
    <n v="4"/>
    <n v="11.33"/>
    <n v="122997.85"/>
    <n v="95329.65"/>
    <n v="512"/>
    <n v="1622"/>
    <s v="20-30"/>
    <x v="7"/>
  </r>
  <r>
    <s v="https://suumo.jp/chintai/jnc_000104004155/?bc=100482109159"/>
    <s v="ルーブル南長崎"/>
    <s v="東京都豊島区南長崎５"/>
    <n v="87000"/>
    <m/>
    <m/>
    <n v="87000"/>
    <n v="2"/>
    <x v="2"/>
    <n v="20.65"/>
    <n v="28"/>
    <x v="7"/>
    <s v="落合南長崎駅"/>
    <n v="5"/>
    <n v="10.33"/>
    <n v="122997.85"/>
    <n v="95329.65"/>
    <n v="512"/>
    <n v="1622"/>
    <s v="20-30"/>
    <x v="1"/>
  </r>
  <r>
    <s v="https://suumo.jp/chintai/jnc_000103742529/?bc=100480511502"/>
    <s v="ルーブル新宿西落合II"/>
    <s v="東京都新宿区西落合２"/>
    <n v="64000"/>
    <n v="6000"/>
    <n v="64000"/>
    <n v="64000"/>
    <n v="1"/>
    <x v="2"/>
    <n v="17.7"/>
    <n v="28"/>
    <x v="4"/>
    <s v="落合南長崎駅"/>
    <n v="9"/>
    <n v="12.33"/>
    <n v="122997.85"/>
    <n v="95329.65"/>
    <n v="512"/>
    <n v="1622"/>
    <s v="10-20"/>
    <x v="1"/>
  </r>
  <r>
    <s v="https://suumo.jp/chintai/jnc_000104043955/?bc=100483047072"/>
    <s v="ルーブル新宿西落合八番館"/>
    <s v="東京都新宿区西落合２"/>
    <n v="90000"/>
    <n v="10000"/>
    <m/>
    <n v="90000"/>
    <n v="4"/>
    <x v="2"/>
    <n v="25.74"/>
    <n v="12"/>
    <x v="7"/>
    <s v="落合南長崎駅"/>
    <n v="9"/>
    <n v="12.33"/>
    <n v="122997.85"/>
    <n v="95329.65"/>
    <n v="512"/>
    <n v="1622"/>
    <s v="20-30"/>
    <x v="7"/>
  </r>
  <r>
    <s v="https://suumo.jp/chintai/jnc_000103727192/?bc=100476278830"/>
    <s v="ルーブル新宿西落合参番館"/>
    <s v="東京都新宿区西落合１"/>
    <n v="90000"/>
    <n v="10000"/>
    <m/>
    <n v="90000"/>
    <n v="4"/>
    <x v="2"/>
    <n v="20.25"/>
    <n v="22"/>
    <x v="7"/>
    <s v="落合南長崎駅"/>
    <n v="7"/>
    <n v="8.67"/>
    <n v="122997.85"/>
    <n v="95329.65"/>
    <n v="512"/>
    <n v="1622"/>
    <s v="20-30"/>
    <x v="1"/>
  </r>
  <r>
    <s v="https://suumo.jp/chintai/jnc_000104235642/?bc=100486396090"/>
    <s v="レオパレス目白通"/>
    <s v="東京都新宿区西落合１"/>
    <n v="98000"/>
    <n v="5500"/>
    <m/>
    <n v="98000"/>
    <n v="2"/>
    <x v="2"/>
    <n v="19.87"/>
    <n v="21"/>
    <x v="2"/>
    <s v="落合南長崎駅"/>
    <n v="3"/>
    <n v="10.33"/>
    <n v="122997.85"/>
    <n v="95329.65"/>
    <n v="512"/>
    <n v="1622"/>
    <s v="10-20"/>
    <x v="1"/>
  </r>
  <r>
    <s v="https://suumo.jp/chintai/jnc_000102829288/?bc=100473304845"/>
    <s v="レジデンス新宿中落合"/>
    <s v="東京都新宿区中落合４"/>
    <n v="104000"/>
    <n v="7000"/>
    <m/>
    <m/>
    <n v="3"/>
    <x v="2"/>
    <n v="20.16"/>
    <n v="20"/>
    <x v="7"/>
    <s v="落合南長崎駅"/>
    <n v="7"/>
    <n v="7"/>
    <n v="122997.85"/>
    <n v="95329.65"/>
    <n v="512"/>
    <n v="1622"/>
    <s v="20-30"/>
    <x v="7"/>
  </r>
  <r>
    <s v="https://suumo.jp/chintai/jnc_000103432603/?bc=100477688773"/>
    <s v="レジデンス新宿中落合"/>
    <s v="東京都新宿区中落合４"/>
    <n v="105000"/>
    <n v="7000"/>
    <m/>
    <m/>
    <n v="3"/>
    <x v="2"/>
    <n v="20.63"/>
    <n v="20"/>
    <x v="7"/>
    <s v="落合南長崎駅"/>
    <n v="7"/>
    <n v="7"/>
    <n v="122997.85"/>
    <n v="95329.65"/>
    <n v="512"/>
    <n v="1622"/>
    <s v="20-30"/>
    <x v="7"/>
  </r>
  <r>
    <s v="https://suumo.jp/chintai/jnc_000104411712/?bc=100485555694"/>
    <s v="レジデンス新宿中落合スクエア"/>
    <s v="東京都新宿区中落合３"/>
    <n v="125000"/>
    <n v="15000"/>
    <m/>
    <m/>
    <n v="5"/>
    <x v="2"/>
    <n v="25.51"/>
    <n v="6"/>
    <x v="7"/>
    <s v="落合南長崎駅"/>
    <n v="10"/>
    <n v="11.67"/>
    <n v="122997.85"/>
    <n v="95329.65"/>
    <n v="512"/>
    <n v="1622"/>
    <s v="20-30"/>
    <x v="0"/>
  </r>
  <r>
    <s v="https://suumo.jp/chintai/jnc_000101245605/?bc=100420080050"/>
    <s v="レピュア落合南長崎駅前"/>
    <s v="東京都新宿区西落合１"/>
    <n v="123000"/>
    <n v="12000"/>
    <m/>
    <m/>
    <n v="1"/>
    <x v="2"/>
    <n v="20.329999999999998"/>
    <n v="2"/>
    <x v="7"/>
    <s v="落合南長崎駅"/>
    <n v="5"/>
    <n v="12"/>
    <n v="122997.85"/>
    <n v="95329.65"/>
    <n v="512"/>
    <n v="1622"/>
    <s v="20-30"/>
    <x v="0"/>
  </r>
  <r>
    <s v="https://suumo.jp/chintai/jnc_000103575251/?bc=100478800201"/>
    <s v="レピュア落合南長崎駅前"/>
    <s v="東京都新宿区西落合１"/>
    <n v="122000"/>
    <n v="12000"/>
    <m/>
    <m/>
    <n v="1"/>
    <x v="2"/>
    <n v="21.55"/>
    <n v="2"/>
    <x v="7"/>
    <s v="落合南長崎駅"/>
    <n v="5"/>
    <n v="12"/>
    <n v="122997.85"/>
    <n v="95329.65"/>
    <n v="512"/>
    <n v="1622"/>
    <s v="20-30"/>
    <x v="0"/>
  </r>
  <r>
    <s v="https://suumo.jp/chintai/jnc_000099810561/?bc=100484188464"/>
    <s v="レピュア落合南長崎駅前"/>
    <s v="東京都新宿区西落合１"/>
    <n v="123000"/>
    <n v="12000"/>
    <m/>
    <m/>
    <n v="3"/>
    <x v="2"/>
    <n v="20.329999999999998"/>
    <n v="2"/>
    <x v="7"/>
    <s v="落合南長崎駅"/>
    <n v="5"/>
    <n v="12"/>
    <n v="122997.85"/>
    <n v="95329.65"/>
    <n v="512"/>
    <n v="1622"/>
    <s v="20-30"/>
    <x v="0"/>
  </r>
  <r>
    <s v="https://suumo.jp/chintai/jnc_000104391732/?bc=100485279758"/>
    <s v="レピュア落合南長崎駅前"/>
    <s v="東京都新宿区西落合１"/>
    <n v="123000"/>
    <n v="12000"/>
    <m/>
    <m/>
    <n v="4"/>
    <x v="2"/>
    <n v="20.329999999999998"/>
    <n v="2"/>
    <x v="7"/>
    <s v="落合南長崎駅"/>
    <n v="5"/>
    <n v="12"/>
    <n v="122997.85"/>
    <n v="95329.65"/>
    <n v="512"/>
    <n v="1622"/>
    <s v="20-30"/>
    <x v="0"/>
  </r>
  <r>
    <s v="https://suumo.jp/chintai/jnc_000100889506/?bc=100471594397"/>
    <s v="レピュア落合南長崎駅前"/>
    <s v="東京都新宿区西落合１"/>
    <n v="123000"/>
    <n v="12000"/>
    <m/>
    <m/>
    <n v="5"/>
    <x v="2"/>
    <n v="20.329999999999998"/>
    <n v="2"/>
    <x v="7"/>
    <s v="落合南長崎駅"/>
    <n v="5"/>
    <n v="12"/>
    <n v="122997.85"/>
    <n v="95329.65"/>
    <n v="512"/>
    <n v="1622"/>
    <s v="20-30"/>
    <x v="0"/>
  </r>
  <r>
    <s v="https://suumo.jp/chintai/jnc_000088608086/?bc=100485819853"/>
    <s v="ロジュマン大裕"/>
    <s v="東京都豊島区南長崎４"/>
    <n v="80000"/>
    <m/>
    <n v="80000"/>
    <n v="80000"/>
    <n v="3"/>
    <x v="2"/>
    <n v="22.2"/>
    <n v="29"/>
    <x v="7"/>
    <s v="落合南長崎駅"/>
    <n v="1"/>
    <n v="7.67"/>
    <n v="122997.85"/>
    <n v="95329.65"/>
    <n v="512"/>
    <n v="1622"/>
    <s v="20-30"/>
    <x v="1"/>
  </r>
  <r>
    <s v="https://suumo.jp/chintai/jnc_000102125828/?bc=100466734571"/>
    <s v="ロビハウス"/>
    <s v="東京都豊島区南長崎４"/>
    <n v="58000"/>
    <m/>
    <n v="58000"/>
    <m/>
    <n v="1"/>
    <x v="2"/>
    <n v="16.5"/>
    <n v="32"/>
    <x v="0"/>
    <s v="落合南長崎駅"/>
    <n v="4"/>
    <n v="10.67"/>
    <n v="122997.85"/>
    <n v="95329.65"/>
    <n v="512"/>
    <n v="1622"/>
    <s v="10-20"/>
    <x v="4"/>
  </r>
  <r>
    <s v="https://suumo.jp/chintai/jnc_000103447309/?bc=100477628295"/>
    <s v="ヴィル中落合"/>
    <s v="東京都新宿区中落合３"/>
    <n v="76000"/>
    <n v="3000"/>
    <n v="152000"/>
    <m/>
    <n v="1"/>
    <x v="2"/>
    <n v="17.11"/>
    <n v="0"/>
    <x v="0"/>
    <s v="落合南長崎駅"/>
    <n v="8"/>
    <n v="11"/>
    <n v="122997.85"/>
    <n v="95329.65"/>
    <n v="512"/>
    <n v="1622"/>
    <s v="10-20"/>
    <x v="6"/>
  </r>
  <r>
    <s v="https://suumo.jp/chintai/jnc_000103447313/?bc=100477628299"/>
    <s v="ヴィル中落合"/>
    <s v="東京都新宿区中落合３"/>
    <n v="79000"/>
    <n v="3000"/>
    <n v="158000"/>
    <m/>
    <n v="2"/>
    <x v="2"/>
    <n v="17.11"/>
    <n v="0"/>
    <x v="0"/>
    <s v="落合南長崎駅"/>
    <n v="8"/>
    <n v="11"/>
    <n v="122997.85"/>
    <n v="95329.65"/>
    <n v="512"/>
    <n v="1622"/>
    <s v="10-20"/>
    <x v="6"/>
  </r>
  <r>
    <s v="https://suumo.jp/chintai/jnc_000103447316/?bc=100477628291"/>
    <s v="ヴィル中落合"/>
    <s v="東京都新宿区中落合３"/>
    <n v="80000"/>
    <n v="3000"/>
    <n v="160000"/>
    <m/>
    <n v="2"/>
    <x v="2"/>
    <n v="17.32"/>
    <n v="0"/>
    <x v="0"/>
    <s v="落合南長崎駅"/>
    <n v="8"/>
    <n v="11"/>
    <n v="122997.85"/>
    <n v="95329.65"/>
    <n v="512"/>
    <n v="1622"/>
    <s v="10-20"/>
    <x v="6"/>
  </r>
  <r>
    <s v="https://suumo.jp/chintai/jnc_000102390730/?bc=100476996399"/>
    <s v="三豊ビル"/>
    <s v="東京都新宿区西落合２"/>
    <n v="70000"/>
    <n v="3000"/>
    <n v="70000"/>
    <n v="70000"/>
    <n v="2"/>
    <x v="2"/>
    <n v="19.87"/>
    <n v="38"/>
    <x v="4"/>
    <s v="落合南長崎駅"/>
    <n v="9"/>
    <n v="13.33"/>
    <n v="122997.85"/>
    <n v="95329.65"/>
    <n v="512"/>
    <n v="1622"/>
    <s v="10-20"/>
    <x v="4"/>
  </r>
  <r>
    <s v="https://suumo.jp/chintai/jnc_000104356698/?bc=100484994056"/>
    <s v="仮称）西落合１丁目メゾン"/>
    <s v="東京都新宿区西落合１"/>
    <n v="105000"/>
    <n v="6000"/>
    <n v="105000"/>
    <n v="210000"/>
    <n v="1"/>
    <x v="2"/>
    <n v="28.99"/>
    <n v="0"/>
    <x v="2"/>
    <s v="落合南長崎駅"/>
    <n v="4"/>
    <n v="11.67"/>
    <n v="122997.85"/>
    <n v="95329.65"/>
    <n v="512"/>
    <n v="1622"/>
    <s v="20-30"/>
    <x v="6"/>
  </r>
  <r>
    <s v="https://suumo.jp/chintai/jnc_000104356700/?bc=100484994061"/>
    <s v="仮称）西落合１丁目メゾン"/>
    <s v="東京都新宿区西落合１"/>
    <n v="110000"/>
    <n v="6000"/>
    <n v="110000"/>
    <n v="220000"/>
    <n v="2"/>
    <x v="2"/>
    <n v="29.27"/>
    <n v="0"/>
    <x v="2"/>
    <s v="落合南長崎駅"/>
    <n v="4"/>
    <n v="11.67"/>
    <n v="122997.85"/>
    <n v="95329.65"/>
    <n v="512"/>
    <n v="1622"/>
    <s v="20-30"/>
    <x v="6"/>
  </r>
  <r>
    <s v="https://suumo.jp/chintai/jnc_000103403473/?bc=100477223816"/>
    <s v="冨士ハイム"/>
    <s v="東京都豊島区南長崎３"/>
    <n v="67000"/>
    <m/>
    <n v="67000"/>
    <n v="67000"/>
    <n v="1"/>
    <x v="2"/>
    <n v="22"/>
    <n v="37"/>
    <x v="0"/>
    <s v="落合南長崎駅"/>
    <n v="5"/>
    <n v="9"/>
    <n v="122997.85"/>
    <n v="95329.65"/>
    <n v="512"/>
    <n v="1622"/>
    <s v="20-30"/>
    <x v="4"/>
  </r>
  <r>
    <s v="https://suumo.jp/chintai/jnc_000016984217/?bc=100474562734"/>
    <s v="哲学堂フラッツ"/>
    <s v="東京都新宿区西落合３"/>
    <n v="57000"/>
    <n v="2000"/>
    <n v="57000"/>
    <m/>
    <n v="2"/>
    <x v="2"/>
    <n v="16.5"/>
    <n v="33"/>
    <x v="0"/>
    <s v="落合南長崎駅"/>
    <n v="10"/>
    <n v="13"/>
    <n v="122997.85"/>
    <n v="95329.65"/>
    <n v="512"/>
    <n v="1622"/>
    <s v="10-20"/>
    <x v="4"/>
  </r>
  <r>
    <s v="https://suumo.jp/chintai/jnc_000103987782/?bc=100482019439"/>
    <s v="第７ユービコーポ"/>
    <s v="東京都豊島区南長崎３"/>
    <n v="84000"/>
    <n v="6000"/>
    <n v="84000"/>
    <m/>
    <n v="3"/>
    <x v="2"/>
    <n v="30.94"/>
    <n v="20"/>
    <x v="2"/>
    <s v="落合南長崎駅"/>
    <n v="7"/>
    <n v="13.33"/>
    <n v="122997.85"/>
    <n v="95329.65"/>
    <n v="512"/>
    <n v="1622"/>
    <s v="30-40"/>
    <x v="7"/>
  </r>
  <r>
    <s v="https://suumo.jp/chintai/jnc_000059341805/?bc=100484001510"/>
    <s v="綾部マンション"/>
    <s v="東京都豊島区南長崎３"/>
    <n v="63000"/>
    <m/>
    <m/>
    <m/>
    <n v="2"/>
    <x v="2"/>
    <n v="25.08"/>
    <n v="53"/>
    <x v="7"/>
    <s v="落合南長崎駅"/>
    <n v="9"/>
    <n v="12.67"/>
    <n v="122997.85"/>
    <n v="95329.65"/>
    <n v="512"/>
    <n v="1622"/>
    <s v="20-30"/>
    <x v="5"/>
  </r>
  <r>
    <s v="https://suumo.jp/chintai/jnc_000103883463/?bc=100481342093"/>
    <s v="都営大江戸線 落合南長崎駅 10階建 築17年"/>
    <s v="東京都新宿区中落合３"/>
    <n v="80500"/>
    <n v="15000"/>
    <m/>
    <m/>
    <n v="5"/>
    <x v="2"/>
    <n v="21.65"/>
    <n v="17"/>
    <x v="1"/>
    <s v="落合南長崎駅"/>
    <n v="5"/>
    <n v="10.33"/>
    <n v="122997.85"/>
    <n v="95329.65"/>
    <n v="512"/>
    <n v="1622"/>
    <s v="20-30"/>
    <x v="7"/>
  </r>
  <r>
    <s v="https://suumo.jp/chintai/jnc_000103707812/?bc=100479969853"/>
    <s v="都営大江戸線 落合南長崎駅 10階建 築23年"/>
    <s v="東京都新宿区中落合３"/>
    <n v="78000"/>
    <n v="20000"/>
    <m/>
    <n v="78000"/>
    <n v="3"/>
    <x v="2"/>
    <n v="21"/>
    <n v="23"/>
    <x v="1"/>
    <s v="落合南長崎駅"/>
    <n v="4"/>
    <n v="10.67"/>
    <n v="122997.85"/>
    <n v="95329.65"/>
    <n v="512"/>
    <n v="1622"/>
    <s v="20-30"/>
    <x v="1"/>
  </r>
  <r>
    <s v="https://suumo.jp/chintai/jnc_000104138647/?bc=100483337904"/>
    <s v="都営大江戸線 落合南長崎駅 10階建 築23年"/>
    <s v="東京都新宿区中落合３"/>
    <n v="79000"/>
    <n v="10000"/>
    <n v="79000"/>
    <n v="79000"/>
    <n v="5"/>
    <x v="2"/>
    <n v="21.45"/>
    <n v="23"/>
    <x v="1"/>
    <s v="落合南長崎駅"/>
    <n v="4"/>
    <n v="10.67"/>
    <n v="122997.85"/>
    <n v="95329.65"/>
    <n v="512"/>
    <n v="1622"/>
    <s v="20-30"/>
    <x v="1"/>
  </r>
  <r>
    <s v="https://suumo.jp/chintai/jnc_000103610325/?bc=100466701731"/>
    <s v="都営大江戸線 落合南長崎駅 2階建 新築"/>
    <s v="東京都新宿区西落合４"/>
    <n v="101000"/>
    <m/>
    <n v="101000"/>
    <n v="101000"/>
    <n v="2"/>
    <x v="2"/>
    <n v="33.369999999999997"/>
    <n v="0"/>
    <x v="0"/>
    <s v="落合南長崎駅"/>
    <n v="9"/>
    <n v="11"/>
    <n v="122997.85"/>
    <n v="95329.65"/>
    <n v="512"/>
    <n v="1622"/>
    <s v="30-40"/>
    <x v="6"/>
  </r>
  <r>
    <s v="https://suumo.jp/chintai/jnc_000104398995/?bc=100485356356"/>
    <s v="都営大江戸線 落合南長崎駅 2階建 築14年"/>
    <s v="東京都新宿区西落合１"/>
    <n v="74000"/>
    <n v="4000"/>
    <m/>
    <m/>
    <n v="2"/>
    <x v="2"/>
    <n v="20.440000000000001"/>
    <n v="14"/>
    <x v="0"/>
    <s v="落合南長崎駅"/>
    <n v="6"/>
    <n v="12.33"/>
    <n v="122997.85"/>
    <n v="95329.65"/>
    <n v="512"/>
    <n v="1622"/>
    <s v="20-30"/>
    <x v="7"/>
  </r>
  <r>
    <s v="https://suumo.jp/chintai/jnc_000102595339/?bc=100477807677"/>
    <s v="都営大江戸線 落合南長崎駅 2階建 築17年"/>
    <s v="東京都新宿区中落合３"/>
    <n v="90000"/>
    <n v="2000"/>
    <m/>
    <m/>
    <n v="2"/>
    <x v="2"/>
    <n v="28.15"/>
    <n v="17"/>
    <x v="0"/>
    <s v="落合南長崎駅"/>
    <n v="8"/>
    <n v="11.33"/>
    <n v="122997.85"/>
    <n v="95329.65"/>
    <n v="512"/>
    <n v="1622"/>
    <s v="20-30"/>
    <x v="7"/>
  </r>
  <r>
    <s v="https://suumo.jp/chintai/jnc_000104442206/?bc=100485702124"/>
    <s v="都営大江戸線 落合南長崎駅 2階建 築21年"/>
    <s v="東京都新宿区西落合１"/>
    <n v="85000"/>
    <n v="2000"/>
    <n v="85000"/>
    <n v="85000"/>
    <n v="1"/>
    <x v="2"/>
    <n v="28.15"/>
    <n v="21"/>
    <x v="0"/>
    <s v="落合南長崎駅"/>
    <n v="5"/>
    <n v="11.67"/>
    <n v="122997.85"/>
    <n v="95329.65"/>
    <n v="512"/>
    <n v="1622"/>
    <s v="20-30"/>
    <x v="1"/>
  </r>
  <r>
    <s v="https://suumo.jp/chintai/jnc_000102417195/?bc=100471573888"/>
    <s v="都営大江戸線 落合南長崎駅 2階建 築24年"/>
    <s v="東京都新宿区西落合１"/>
    <n v="89000"/>
    <n v="4000"/>
    <m/>
    <n v="89000"/>
    <n v="1"/>
    <x v="2"/>
    <n v="26.27"/>
    <n v="24"/>
    <x v="0"/>
    <s v="落合南長崎駅"/>
    <n v="5"/>
    <n v="10.67"/>
    <n v="122997.85"/>
    <n v="95329.65"/>
    <n v="512"/>
    <n v="1622"/>
    <s v="20-30"/>
    <x v="1"/>
  </r>
  <r>
    <s v="https://suumo.jp/chintai/jnc_000102452189/?bc=100471573898"/>
    <s v="都営大江戸線 落合南長崎駅 2階建 築24年"/>
    <s v="東京都新宿区西落合１"/>
    <n v="92000"/>
    <n v="4000"/>
    <m/>
    <n v="92000"/>
    <n v="2"/>
    <x v="2"/>
    <n v="26.27"/>
    <n v="24"/>
    <x v="0"/>
    <s v="落合南長崎駅"/>
    <n v="5"/>
    <n v="10.67"/>
    <n v="122997.85"/>
    <n v="95329.65"/>
    <n v="512"/>
    <n v="1622"/>
    <s v="20-30"/>
    <x v="1"/>
  </r>
  <r>
    <s v="https://suumo.jp/chintai/jnc_000103223696/?bc=100474374409"/>
    <s v="都営大江戸線 落合南長崎駅 2階建 築32年"/>
    <s v="東京都豊島区南長崎４"/>
    <n v="58000"/>
    <m/>
    <n v="58000"/>
    <m/>
    <n v="1"/>
    <x v="2"/>
    <n v="17"/>
    <n v="32"/>
    <x v="0"/>
    <s v="落合南長崎駅"/>
    <n v="3"/>
    <n v="9.67"/>
    <n v="122997.85"/>
    <n v="95329.65"/>
    <n v="512"/>
    <n v="1622"/>
    <s v="10-20"/>
    <x v="4"/>
  </r>
  <r>
    <s v="https://suumo.jp/chintai/jnc_000098665082/?bc=100471576451"/>
    <s v="都営大江戸線 落合南長崎駅 2階建 築33年"/>
    <s v="東京都新宿区西落合３"/>
    <n v="55000"/>
    <n v="2000"/>
    <n v="55000"/>
    <m/>
    <n v="1"/>
    <x v="2"/>
    <n v="20.46"/>
    <n v="33"/>
    <x v="0"/>
    <s v="落合南長崎駅"/>
    <n v="10"/>
    <n v="13.33"/>
    <n v="122997.85"/>
    <n v="95329.65"/>
    <n v="512"/>
    <n v="1622"/>
    <s v="20-30"/>
    <x v="4"/>
  </r>
  <r>
    <s v="https://suumo.jp/chintai/jnc_000103938280/?bc=100481740909"/>
    <s v="都営大江戸線 落合南長崎駅 2階建 築8年"/>
    <s v="東京都豊島区南長崎３"/>
    <n v="82000"/>
    <n v="3000"/>
    <n v="82000"/>
    <n v="82000"/>
    <n v="2"/>
    <x v="2"/>
    <n v="21.15"/>
    <n v="8"/>
    <x v="0"/>
    <s v="落合南長崎駅"/>
    <n v="9"/>
    <n v="10.33"/>
    <n v="122997.85"/>
    <n v="95329.65"/>
    <n v="512"/>
    <n v="1622"/>
    <s v="20-30"/>
    <x v="0"/>
  </r>
  <r>
    <s v="https://suumo.jp/chintai/jnc_000104107337/?bc=100483171364"/>
    <s v="都営大江戸線 落合南長崎駅 3階建 築10年"/>
    <s v="東京都新宿区西落合２"/>
    <n v="97000"/>
    <n v="3000"/>
    <m/>
    <n v="97000"/>
    <n v="3"/>
    <x v="2"/>
    <n v="28.98"/>
    <n v="10"/>
    <x v="2"/>
    <s v="落合南長崎駅"/>
    <n v="9"/>
    <n v="12.33"/>
    <n v="122997.85"/>
    <n v="95329.65"/>
    <n v="512"/>
    <n v="1622"/>
    <s v="20-30"/>
    <x v="0"/>
  </r>
  <r>
    <s v="https://suumo.jp/chintai/jnc_000103987154/?bc=100483900060"/>
    <s v="都営大江戸線 落合南長崎駅 3階建 築11年"/>
    <s v="東京都新宿区西落合１"/>
    <n v="93000"/>
    <n v="8000"/>
    <n v="93000"/>
    <n v="139500"/>
    <n v="1"/>
    <x v="2"/>
    <n v="29.04"/>
    <n v="11"/>
    <x v="2"/>
    <s v="落合南長崎駅"/>
    <n v="6"/>
    <n v="11.33"/>
    <n v="122997.85"/>
    <n v="95329.65"/>
    <n v="512"/>
    <n v="1622"/>
    <s v="20-30"/>
    <x v="7"/>
  </r>
  <r>
    <s v="https://suumo.jp/chintai/jnc_000103987155/?bc=100482072296"/>
    <s v="都営大江戸線 落合南長崎駅 3階建 築11年"/>
    <s v="東京都新宿区西落合１"/>
    <n v="93000"/>
    <n v="8000"/>
    <n v="93000"/>
    <n v="139500"/>
    <n v="1"/>
    <x v="2"/>
    <n v="29.65"/>
    <n v="11"/>
    <x v="2"/>
    <s v="落合南長崎駅"/>
    <n v="6"/>
    <n v="11.33"/>
    <n v="122997.85"/>
    <n v="95329.65"/>
    <n v="512"/>
    <n v="1622"/>
    <s v="20-30"/>
    <x v="7"/>
  </r>
  <r>
    <s v="https://suumo.jp/chintai/jnc_000103756342/?bc=100480324341"/>
    <s v="都営大江戸線 落合南長崎駅 3階建 築13年"/>
    <s v="東京都新宿区中落合３"/>
    <n v="77000"/>
    <n v="3000"/>
    <m/>
    <n v="77000"/>
    <n v="2"/>
    <x v="2"/>
    <n v="16.84"/>
    <n v="13"/>
    <x v="2"/>
    <s v="落合南長崎駅"/>
    <n v="4"/>
    <n v="10.67"/>
    <n v="122997.85"/>
    <n v="95329.65"/>
    <n v="512"/>
    <n v="1622"/>
    <s v="10-20"/>
    <x v="7"/>
  </r>
  <r>
    <s v="https://suumo.jp/chintai/jnc_000102595340/?bc=100470387186"/>
    <s v="都営大江戸線 落合南長崎駅 3階建 築13年"/>
    <s v="東京都新宿区中落合３"/>
    <n v="77000"/>
    <n v="3000"/>
    <m/>
    <n v="77000"/>
    <n v="2"/>
    <x v="2"/>
    <n v="17.22"/>
    <n v="13"/>
    <x v="2"/>
    <s v="落合南長崎駅"/>
    <n v="4"/>
    <n v="10.67"/>
    <n v="122997.85"/>
    <n v="95329.65"/>
    <n v="512"/>
    <n v="1622"/>
    <s v="10-20"/>
    <x v="7"/>
  </r>
  <r>
    <s v="https://suumo.jp/chintai/jnc_000103908830/?bc=100481236943"/>
    <s v="都営大江戸線 落合南長崎駅 3階建 築13年"/>
    <s v="東京都新宿区中落合３"/>
    <n v="77000"/>
    <n v="3000"/>
    <m/>
    <n v="77000"/>
    <n v="2"/>
    <x v="2"/>
    <n v="17.760000000000002"/>
    <n v="13"/>
    <x v="2"/>
    <s v="落合南長崎駅"/>
    <n v="4"/>
    <n v="10.67"/>
    <n v="122997.85"/>
    <n v="95329.65"/>
    <n v="512"/>
    <n v="1622"/>
    <s v="10-20"/>
    <x v="7"/>
  </r>
  <r>
    <s v="https://suumo.jp/chintai/jnc_000103723461/?bc=100480257882"/>
    <s v="都営大江戸線 落合南長崎駅 3階建 築16年"/>
    <s v="東京都豊島区南長崎２"/>
    <n v="80000"/>
    <n v="3000"/>
    <n v="80000"/>
    <n v="80000"/>
    <n v="1"/>
    <x v="2"/>
    <n v="26.24"/>
    <n v="16"/>
    <x v="2"/>
    <s v="落合南長崎駅"/>
    <n v="8"/>
    <n v="11"/>
    <n v="122997.85"/>
    <n v="95329.65"/>
    <n v="512"/>
    <n v="1622"/>
    <s v="20-30"/>
    <x v="7"/>
  </r>
  <r>
    <s v="https://suumo.jp/chintai/jnc_000104442998/?bc=100485778628"/>
    <s v="都営大江戸線 落合南長崎駅 3階建 築16年"/>
    <s v="東京都豊島区南長崎２"/>
    <n v="85000"/>
    <n v="3000"/>
    <n v="85000"/>
    <n v="85000"/>
    <n v="3"/>
    <x v="2"/>
    <n v="26.24"/>
    <n v="16"/>
    <x v="2"/>
    <s v="落合南長崎駅"/>
    <n v="8"/>
    <n v="11"/>
    <n v="122997.85"/>
    <n v="95329.65"/>
    <n v="512"/>
    <n v="1622"/>
    <s v="20-30"/>
    <x v="7"/>
  </r>
  <r>
    <s v="https://suumo.jp/chintai/jnc_000102638090/?bc=100471328950"/>
    <s v="都営大江戸線 落合南長崎駅 3階建 築16年"/>
    <s v="東京都豊島区南長崎２"/>
    <n v="84000"/>
    <n v="3000"/>
    <n v="84000"/>
    <n v="84000"/>
    <n v="3"/>
    <x v="2"/>
    <n v="29.31"/>
    <n v="16"/>
    <x v="2"/>
    <s v="落合南長崎駅"/>
    <n v="8"/>
    <n v="11"/>
    <n v="122997.85"/>
    <n v="95329.65"/>
    <n v="512"/>
    <n v="1622"/>
    <s v="20-30"/>
    <x v="7"/>
  </r>
  <r>
    <s v="https://suumo.jp/chintai/jnc_000104125659/?bc=100483171372"/>
    <s v="都営大江戸線 落合南長崎駅 3階建 築8年"/>
    <s v="東京都新宿区中落合４"/>
    <n v="90000"/>
    <n v="2000"/>
    <n v="90000"/>
    <n v="90000"/>
    <n v="3"/>
    <x v="2"/>
    <n v="30.64"/>
    <n v="8"/>
    <x v="2"/>
    <s v="落合南長崎駅"/>
    <n v="6"/>
    <n v="11"/>
    <n v="122997.85"/>
    <n v="95329.65"/>
    <n v="512"/>
    <n v="1622"/>
    <s v="30-40"/>
    <x v="0"/>
  </r>
  <r>
    <s v="https://suumo.jp/chintai/jnc_000104540971/?bc=100486444080"/>
    <s v="都営大江戸線 落合南長崎駅 4階建 築26年"/>
    <s v="東京都新宿区西落合１"/>
    <n v="78000"/>
    <n v="7000"/>
    <n v="78000"/>
    <n v="78000"/>
    <n v="1"/>
    <x v="2"/>
    <n v="22.32"/>
    <n v="26"/>
    <x v="4"/>
    <s v="落合南長崎駅"/>
    <n v="6"/>
    <n v="12"/>
    <n v="122997.85"/>
    <n v="95329.65"/>
    <n v="512"/>
    <n v="1622"/>
    <s v="20-30"/>
    <x v="1"/>
  </r>
  <r>
    <s v="https://suumo.jp/chintai/jnc_000103182512/?bc=100477718223"/>
    <s v="都営大江戸線 落合南長崎駅 4階建 築27年"/>
    <s v="東京都新宿区西落合３"/>
    <n v="64000"/>
    <n v="15000"/>
    <m/>
    <n v="64000"/>
    <n v="1"/>
    <x v="2"/>
    <n v="20.53"/>
    <n v="27"/>
    <x v="4"/>
    <s v="落合南長崎駅"/>
    <n v="5"/>
    <n v="8.5"/>
    <n v="122997.85"/>
    <n v="95329.65"/>
    <n v="512"/>
    <n v="1622"/>
    <s v="20-30"/>
    <x v="1"/>
  </r>
  <r>
    <s v="https://suumo.jp/chintai/jnc_000103837335/?bc=100485173020"/>
    <s v="都営大江戸線 落合南長崎駅 4階建 築27年"/>
    <s v="東京都新宿区西落合３"/>
    <n v="65000"/>
    <n v="15000"/>
    <m/>
    <n v="65000"/>
    <n v="1"/>
    <x v="2"/>
    <n v="20.53"/>
    <n v="27"/>
    <x v="4"/>
    <s v="落合南長崎駅"/>
    <n v="5"/>
    <n v="8.5"/>
    <n v="122997.85"/>
    <n v="95329.65"/>
    <n v="512"/>
    <n v="1622"/>
    <s v="20-30"/>
    <x v="1"/>
  </r>
  <r>
    <s v="https://suumo.jp/chintai/jnc_000103770595/?bc=100480399627"/>
    <s v="都営大江戸線 落合南長崎駅 4階建 築28年"/>
    <s v="東京都新宿区西落合２"/>
    <n v="64000"/>
    <n v="6000"/>
    <n v="64000"/>
    <n v="64000"/>
    <n v="1"/>
    <x v="2"/>
    <n v="17.7"/>
    <n v="28"/>
    <x v="4"/>
    <s v="落合南長崎駅"/>
    <n v="10"/>
    <n v="12.67"/>
    <n v="122997.85"/>
    <n v="95329.65"/>
    <n v="512"/>
    <n v="1622"/>
    <s v="10-20"/>
    <x v="1"/>
  </r>
  <r>
    <s v="https://suumo.jp/chintai/jnc_000104454679/?bc=100486047319"/>
    <s v="都営大江戸線 落合南長崎駅 4階建 築5年"/>
    <s v="東京都新宿区西落合１"/>
    <n v="97000"/>
    <n v="3000"/>
    <n v="97000"/>
    <n v="97000"/>
    <n v="2"/>
    <x v="2"/>
    <n v="18.8"/>
    <n v="5"/>
    <x v="4"/>
    <s v="落合南長崎駅"/>
    <n v="7"/>
    <n v="12"/>
    <n v="122997.85"/>
    <n v="95329.65"/>
    <n v="512"/>
    <n v="1622"/>
    <s v="10-20"/>
    <x v="0"/>
  </r>
  <r>
    <s v="https://suumo.jp/chintai/jnc_000101783614/?bc=100474157848"/>
    <s v="都営大江戸線 落合南長崎駅 4階建 築5年"/>
    <s v="東京都新宿区西落合１"/>
    <n v="93000"/>
    <n v="5000"/>
    <n v="93000"/>
    <m/>
    <n v="3"/>
    <x v="2"/>
    <n v="21.4"/>
    <n v="5"/>
    <x v="4"/>
    <s v="落合南長崎駅"/>
    <n v="11"/>
    <n v="14.67"/>
    <n v="122997.85"/>
    <n v="95329.65"/>
    <n v="512"/>
    <n v="1622"/>
    <s v="20-30"/>
    <x v="0"/>
  </r>
  <r>
    <s v="https://suumo.jp/chintai/jnc_000096749298/?bc=100484306281"/>
    <s v="都営大江戸線 落合南長崎駅 4階建 築6年"/>
    <s v="東京都新宿区西落合１"/>
    <n v="136000"/>
    <n v="11000"/>
    <m/>
    <n v="136000"/>
    <n v="2"/>
    <x v="2"/>
    <n v="25.33"/>
    <n v="6"/>
    <x v="4"/>
    <s v="落合南長崎駅"/>
    <n v="7"/>
    <n v="13.67"/>
    <n v="122997.85"/>
    <n v="95329.65"/>
    <n v="512"/>
    <n v="1622"/>
    <s v="20-30"/>
    <x v="0"/>
  </r>
  <r>
    <s v="https://suumo.jp/chintai/jnc_000104043956/?bc=100482713070"/>
    <s v="都営大江戸線 落合南長崎駅 5階建 築12年"/>
    <s v="東京都新宿区西落合２"/>
    <n v="90000"/>
    <n v="10000"/>
    <m/>
    <n v="90000"/>
    <n v="4"/>
    <x v="2"/>
    <n v="25.74"/>
    <n v="12"/>
    <x v="7"/>
    <s v="落合南長崎駅"/>
    <n v="9"/>
    <n v="12.67"/>
    <n v="122997.85"/>
    <n v="95329.65"/>
    <n v="512"/>
    <n v="1622"/>
    <s v="20-30"/>
    <x v="7"/>
  </r>
  <r>
    <s v="https://suumo.jp/chintai/jnc_000102978983/?bc=100478776403"/>
    <s v="都営大江戸線 落合南長崎駅 5階建 築20年"/>
    <s v="東京都新宿区中落合４"/>
    <n v="104000"/>
    <n v="7000"/>
    <m/>
    <m/>
    <n v="3"/>
    <x v="2"/>
    <n v="20.16"/>
    <n v="20"/>
    <x v="7"/>
    <s v="落合南長崎駅"/>
    <n v="8"/>
    <n v="9.67"/>
    <n v="122997.85"/>
    <n v="95329.65"/>
    <n v="512"/>
    <n v="1622"/>
    <s v="20-30"/>
    <x v="7"/>
  </r>
  <r>
    <s v="https://suumo.jp/chintai/jnc_000103928531/?bc=100481650575"/>
    <s v="都営大江戸線 落合南長崎駅 5階建 築22年"/>
    <s v="東京都新宿区西落合１"/>
    <n v="70000"/>
    <n v="7000"/>
    <m/>
    <m/>
    <n v="1"/>
    <x v="2"/>
    <n v="21.08"/>
    <n v="22"/>
    <x v="7"/>
    <s v="落合南長崎駅"/>
    <n v="7"/>
    <n v="12.67"/>
    <n v="122997.85"/>
    <n v="95329.65"/>
    <n v="512"/>
    <n v="1622"/>
    <s v="20-30"/>
    <x v="1"/>
  </r>
  <r>
    <s v="https://suumo.jp/chintai/jnc_000103960633/?bc=100476898095"/>
    <s v="都営大江戸線 落合南長崎駅 5階建 築25年"/>
    <s v="東京都豊島区南長崎３"/>
    <n v="89000"/>
    <n v="10000"/>
    <n v="89000"/>
    <n v="89000"/>
    <n v="4"/>
    <x v="2"/>
    <n v="24.95"/>
    <n v="25"/>
    <x v="7"/>
    <s v="落合南長崎駅"/>
    <n v="5"/>
    <n v="10.33"/>
    <n v="122997.85"/>
    <n v="95329.65"/>
    <n v="512"/>
    <n v="1622"/>
    <s v="20-30"/>
    <x v="1"/>
  </r>
  <r>
    <s v="https://suumo.jp/chintai/jnc_000104039680/?bc=100485502893"/>
    <s v="都営大江戸線 落合南長崎駅 5階建 築28年"/>
    <s v="東京都豊島区南長崎５"/>
    <n v="87000"/>
    <m/>
    <m/>
    <n v="87000"/>
    <n v="2"/>
    <x v="2"/>
    <n v="20.65"/>
    <n v="28"/>
    <x v="7"/>
    <s v="落合南長崎駅"/>
    <n v="5"/>
    <n v="10.33"/>
    <n v="122997.85"/>
    <n v="95329.65"/>
    <n v="512"/>
    <n v="1622"/>
    <s v="20-30"/>
    <x v="1"/>
  </r>
  <r>
    <s v="https://suumo.jp/chintai/jnc_000101301473/?bc=100419016874"/>
    <s v="都営大江戸線 落合南長崎駅 5階建 築2年"/>
    <s v="東京都新宿区西落合１"/>
    <n v="123000"/>
    <n v="12000"/>
    <m/>
    <m/>
    <n v="1"/>
    <x v="2"/>
    <n v="20.329999999999998"/>
    <n v="2"/>
    <x v="7"/>
    <s v="落合南長崎駅"/>
    <n v="4"/>
    <n v="11"/>
    <n v="122997.85"/>
    <n v="95329.65"/>
    <n v="512"/>
    <n v="1622"/>
    <s v="20-30"/>
    <x v="0"/>
  </r>
  <r>
    <s v="https://suumo.jp/chintai/jnc_000103636284/?bc=100479181003"/>
    <s v="都営大江戸線 落合南長崎駅 5階建 築2年"/>
    <s v="東京都新宿区西落合１"/>
    <n v="122000"/>
    <n v="12000"/>
    <m/>
    <m/>
    <n v="1"/>
    <x v="2"/>
    <n v="21.55"/>
    <n v="2"/>
    <x v="7"/>
    <s v="落合南長崎駅"/>
    <n v="4"/>
    <n v="11"/>
    <n v="122997.85"/>
    <n v="95329.65"/>
    <n v="512"/>
    <n v="1622"/>
    <s v="20-30"/>
    <x v="0"/>
  </r>
  <r>
    <s v="https://suumo.jp/chintai/jnc_000103662825/?bc=100479467890"/>
    <s v="都営大江戸線 落合南長崎駅 5階建 築5年"/>
    <s v="東京都新宿区西落合１"/>
    <n v="109000"/>
    <n v="12000"/>
    <m/>
    <n v="109000"/>
    <n v="2"/>
    <x v="2"/>
    <n v="25.51"/>
    <n v="5"/>
    <x v="7"/>
    <s v="落合南長崎駅"/>
    <n v="7"/>
    <n v="11.33"/>
    <n v="122997.85"/>
    <n v="95329.65"/>
    <n v="512"/>
    <n v="1622"/>
    <s v="20-30"/>
    <x v="0"/>
  </r>
  <r>
    <s v="https://suumo.jp/chintai/jnc_000104425546/?bc=100485529449"/>
    <s v="都営大江戸線 落合南長崎駅 5階建 築6年"/>
    <s v="東京都新宿区中落合３"/>
    <n v="125000"/>
    <n v="15000"/>
    <m/>
    <m/>
    <n v="5"/>
    <x v="2"/>
    <n v="25.51"/>
    <n v="6"/>
    <x v="7"/>
    <s v="落合南長崎駅"/>
    <n v="10"/>
    <n v="11"/>
    <n v="122997.85"/>
    <n v="95329.65"/>
    <n v="512"/>
    <n v="1622"/>
    <s v="20-30"/>
    <x v="0"/>
  </r>
  <r>
    <s v="https://suumo.jp/chintai/jnc_000103083609/?bc=100476088267"/>
    <s v="都営大江戸線 落合南長崎駅 5階建 築7年"/>
    <s v="東京都新宿区西落合２"/>
    <n v="99000"/>
    <n v="6000"/>
    <n v="99000"/>
    <n v="99000"/>
    <n v="1"/>
    <x v="2"/>
    <n v="25.18"/>
    <n v="7"/>
    <x v="7"/>
    <s v="落合南長崎駅"/>
    <n v="8"/>
    <n v="12"/>
    <n v="122997.85"/>
    <n v="95329.65"/>
    <n v="512"/>
    <n v="1622"/>
    <s v="20-30"/>
    <x v="0"/>
  </r>
  <r>
    <s v="https://suumo.jp/chintai/jnc_000104107339/?bc=100483350919"/>
    <s v="都営大江戸線 落合南長崎駅 5階建 築7年"/>
    <s v="東京都新宿区西落合２"/>
    <n v="105000"/>
    <n v="7000"/>
    <n v="105000"/>
    <n v="105000"/>
    <n v="2"/>
    <x v="2"/>
    <n v="25.18"/>
    <n v="7"/>
    <x v="7"/>
    <s v="落合南長崎駅"/>
    <n v="8"/>
    <n v="12"/>
    <n v="122997.85"/>
    <n v="95329.65"/>
    <n v="512"/>
    <n v="1622"/>
    <s v="20-30"/>
    <x v="0"/>
  </r>
  <r>
    <s v="https://suumo.jp/chintai/jnc_000102231799/?bc=100472832776"/>
    <s v="都営大江戸線 落合南長崎駅 5階建 築9年"/>
    <s v="東京都新宿区西落合２"/>
    <n v="98000"/>
    <n v="8000"/>
    <m/>
    <n v="98000"/>
    <n v="2"/>
    <x v="2"/>
    <n v="25.41"/>
    <n v="9"/>
    <x v="7"/>
    <s v="落合南長崎駅"/>
    <n v="9"/>
    <n v="13"/>
    <n v="122997.85"/>
    <n v="95329.65"/>
    <n v="512"/>
    <n v="1622"/>
    <s v="20-30"/>
    <x v="0"/>
  </r>
  <r>
    <s v="https://suumo.jp/chintai/jnc_000104276186/?bc=100484348917"/>
    <s v="都営大江戸線 落合南長崎駅 6階建 築11年"/>
    <s v="東京都新宿区西落合２"/>
    <n v="93000"/>
    <n v="10000"/>
    <n v="93000"/>
    <n v="93000"/>
    <n v="2"/>
    <x v="2"/>
    <n v="25.87"/>
    <n v="11"/>
    <x v="5"/>
    <s v="落合南長崎駅"/>
    <n v="9"/>
    <n v="11.67"/>
    <n v="122997.85"/>
    <n v="95329.65"/>
    <n v="512"/>
    <n v="1622"/>
    <s v="20-30"/>
    <x v="7"/>
  </r>
  <r>
    <s v="https://suumo.jp/chintai/jnc_000104378572/?bc=100484581598"/>
    <s v="都営大江戸線 落合南長崎駅 6階建 築11年"/>
    <s v="東京都新宿区西落合２"/>
    <n v="98000"/>
    <n v="10000"/>
    <n v="98000"/>
    <n v="98000"/>
    <n v="2"/>
    <x v="2"/>
    <n v="25.87"/>
    <n v="11"/>
    <x v="5"/>
    <s v="落合南長崎駅"/>
    <n v="9"/>
    <n v="11.67"/>
    <n v="122997.85"/>
    <n v="95329.65"/>
    <n v="512"/>
    <n v="1622"/>
    <s v="20-30"/>
    <x v="7"/>
  </r>
  <r>
    <s v="https://suumo.jp/chintai/jnc_000094090925/?bc=100486175803"/>
    <s v="都営大江戸線 落合南長崎駅 6階建 築19年"/>
    <s v="東京都新宿区西落合３"/>
    <n v="71000"/>
    <n v="10000"/>
    <n v="71000"/>
    <m/>
    <n v="2"/>
    <x v="2"/>
    <n v="24.09"/>
    <n v="19"/>
    <x v="5"/>
    <s v="落合南長崎駅"/>
    <n v="1"/>
    <n v="9"/>
    <n v="122997.85"/>
    <n v="95329.65"/>
    <n v="512"/>
    <n v="1622"/>
    <s v="20-30"/>
    <x v="7"/>
  </r>
  <r>
    <s v="https://suumo.jp/chintai/jnc_000103903395/?bc=100481487663"/>
    <s v="都営大江戸線 落合南長崎駅 6階建 築24年"/>
    <s v="東京都新宿区西落合４"/>
    <n v="89000"/>
    <n v="5000"/>
    <m/>
    <n v="89000"/>
    <n v="4"/>
    <x v="2"/>
    <n v="20.89"/>
    <n v="24"/>
    <x v="5"/>
    <s v="落合南長崎駅"/>
    <n v="5"/>
    <n v="11.33"/>
    <n v="122997.85"/>
    <n v="95329.65"/>
    <n v="512"/>
    <n v="1622"/>
    <s v="20-30"/>
    <x v="1"/>
  </r>
  <r>
    <s v="https://suumo.jp/chintai/jnc_000104178867/?bc=100470973736"/>
    <s v="都営大江戸線 落合南長崎駅 6階建 築28年"/>
    <s v="東京都新宿区西落合２"/>
    <n v="80000"/>
    <n v="6000"/>
    <n v="80000"/>
    <n v="80000"/>
    <n v="3"/>
    <x v="2"/>
    <n v="23.9"/>
    <n v="28"/>
    <x v="5"/>
    <s v="落合南長崎駅"/>
    <n v="6"/>
    <n v="9.67"/>
    <n v="122997.85"/>
    <n v="95329.65"/>
    <n v="512"/>
    <n v="1622"/>
    <s v="20-30"/>
    <x v="1"/>
  </r>
  <r>
    <s v="https://suumo.jp/chintai/jnc_000101265193/?bc=100477091355"/>
    <s v="都営大江戸線 落合南長崎駅 7階建 築16年"/>
    <s v="東京都新宿区西落合１"/>
    <n v="92000"/>
    <n v="5000"/>
    <n v="92000"/>
    <n v="184000"/>
    <n v="1"/>
    <x v="2"/>
    <n v="25.47"/>
    <n v="16"/>
    <x v="10"/>
    <s v="落合南長崎駅"/>
    <n v="3"/>
    <n v="10.67"/>
    <n v="122997.85"/>
    <n v="95329.65"/>
    <n v="512"/>
    <n v="1622"/>
    <s v="20-30"/>
    <x v="7"/>
  </r>
  <r>
    <s v="https://suumo.jp/chintai/jnc_000103117896/?bc=100477822497"/>
    <s v="都営大江戸線 落合南長崎駅 7階建 築16年"/>
    <s v="東京都新宿区西落合１"/>
    <n v="93000"/>
    <n v="5000"/>
    <n v="93000"/>
    <n v="186000"/>
    <n v="2"/>
    <x v="2"/>
    <n v="25.47"/>
    <n v="16"/>
    <x v="10"/>
    <s v="落合南長崎駅"/>
    <n v="3"/>
    <n v="10.67"/>
    <n v="122997.85"/>
    <n v="95329.65"/>
    <n v="512"/>
    <n v="1622"/>
    <s v="20-30"/>
    <x v="7"/>
  </r>
  <r>
    <s v="https://suumo.jp/chintai/jnc_000104303535/?bc=100484581611"/>
    <s v="都営大江戸線 落合南長崎駅 7階建 築16年"/>
    <s v="東京都新宿区西落合１"/>
    <n v="98000"/>
    <n v="5000"/>
    <n v="98000"/>
    <n v="196000"/>
    <n v="3"/>
    <x v="2"/>
    <n v="25.47"/>
    <n v="16"/>
    <x v="10"/>
    <s v="落合南長崎駅"/>
    <n v="3"/>
    <n v="10.67"/>
    <n v="122997.85"/>
    <n v="95329.65"/>
    <n v="512"/>
    <n v="1622"/>
    <s v="20-30"/>
    <x v="7"/>
  </r>
  <r>
    <s v="https://suumo.jp/chintai/jnc_000096123631/?bc=100471341879"/>
    <s v="都営大江戸線 落合南長崎駅 7階建 築22年"/>
    <s v="東京都新宿区西落合１"/>
    <n v="84000"/>
    <n v="5000"/>
    <n v="84000"/>
    <n v="168000"/>
    <n v="4"/>
    <x v="2"/>
    <n v="23.72"/>
    <n v="22"/>
    <x v="10"/>
    <s v="落合南長崎駅"/>
    <n v="4"/>
    <n v="10.67"/>
    <n v="122997.85"/>
    <n v="95329.65"/>
    <n v="512"/>
    <n v="1622"/>
    <s v="20-30"/>
    <x v="1"/>
  </r>
  <r>
    <s v="https://suumo.jp/chintai/jnc_000070271250/?bc=100485038524"/>
    <s v="都営大江戸線 落合南長崎駅 7階建 築22年"/>
    <s v="東京都新宿区西落合１"/>
    <n v="73000"/>
    <n v="5000"/>
    <n v="73000"/>
    <n v="146000"/>
    <n v="6"/>
    <x v="2"/>
    <n v="22.79"/>
    <n v="22"/>
    <x v="10"/>
    <s v="落合南長崎駅"/>
    <n v="4"/>
    <n v="10.67"/>
    <n v="122997.85"/>
    <n v="95329.65"/>
    <n v="512"/>
    <n v="1622"/>
    <s v="20-30"/>
    <x v="1"/>
  </r>
  <r>
    <s v="https://suumo.jp/chintai/jnc_000104186398/?bc=100483612447"/>
    <s v="都営大江戸線 落合南長崎駅 7階建 築23年"/>
    <s v="東京都新宿区西落合３"/>
    <n v="80000"/>
    <n v="10000"/>
    <m/>
    <n v="80000"/>
    <n v="3"/>
    <x v="2"/>
    <n v="24.47"/>
    <n v="23"/>
    <x v="10"/>
    <s v="落合南長崎駅"/>
    <n v="3"/>
    <n v="10"/>
    <n v="122997.85"/>
    <n v="95329.65"/>
    <n v="512"/>
    <n v="1622"/>
    <s v="20-30"/>
    <x v="1"/>
  </r>
  <r>
    <s v="https://suumo.jp/chintai/jnc_000104454684/?bc=100486090094"/>
    <s v="都営大江戸線 落合南長崎駅 7階建 築23年"/>
    <s v="東京都新宿区西落合３"/>
    <n v="78000"/>
    <n v="9000"/>
    <n v="78000"/>
    <n v="78000"/>
    <n v="7"/>
    <x v="2"/>
    <n v="19.82"/>
    <n v="23"/>
    <x v="10"/>
    <s v="落合南長崎駅"/>
    <n v="3"/>
    <n v="10"/>
    <n v="122997.85"/>
    <n v="95329.65"/>
    <n v="512"/>
    <n v="1622"/>
    <s v="10-20"/>
    <x v="1"/>
  </r>
  <r>
    <s v="https://suumo.jp/chintai/jnc_000103976392/?bc=100481962100"/>
    <s v="都営大江戸線 落合南長崎駅 9階建 築20年"/>
    <s v="東京都新宿区中落合３"/>
    <n v="82000"/>
    <m/>
    <m/>
    <m/>
    <n v="3"/>
    <x v="2"/>
    <n v="20.07"/>
    <n v="20"/>
    <x v="6"/>
    <s v="落合南長崎駅"/>
    <n v="3"/>
    <n v="11.67"/>
    <n v="122997.85"/>
    <n v="95329.65"/>
    <n v="512"/>
    <n v="1622"/>
    <s v="20-30"/>
    <x v="7"/>
  </r>
  <r>
    <s v="https://suumo.jp/chintai/jnc_000104372540/?bc=100438291587"/>
    <s v="都営大江戸線 落合南長崎駅 9階建 築20年"/>
    <s v="東京都新宿区中落合３"/>
    <n v="79000"/>
    <n v="6000"/>
    <n v="79000"/>
    <n v="79000"/>
    <n v="4"/>
    <x v="2"/>
    <n v="20.07"/>
    <n v="20"/>
    <x v="6"/>
    <s v="落合南長崎駅"/>
    <n v="3"/>
    <n v="11.67"/>
    <n v="122997.85"/>
    <n v="95329.65"/>
    <n v="512"/>
    <n v="1622"/>
    <s v="20-30"/>
    <x v="7"/>
  </r>
  <r>
    <s v="https://suumo.jp/chintai/jnc_000103908829/?bc=100481972724"/>
    <s v="都営大江戸線 落合南長崎駅 9階建 築20年"/>
    <s v="東京都新宿区中落合３"/>
    <n v="84000"/>
    <n v="5000"/>
    <m/>
    <n v="84000"/>
    <n v="4"/>
    <x v="2"/>
    <n v="20.07"/>
    <n v="20"/>
    <x v="6"/>
    <s v="落合南長崎駅"/>
    <n v="3"/>
    <n v="11.67"/>
    <n v="122997.85"/>
    <n v="95329.65"/>
    <n v="512"/>
    <n v="1622"/>
    <s v="20-30"/>
    <x v="7"/>
  </r>
  <r>
    <s v="https://suumo.jp/chintai/jnc_000102208604/?bc=100478136792"/>
    <s v="都営大江戸線 落合南長崎駅 9階建 築20年"/>
    <s v="東京都新宿区中落合３"/>
    <n v="79000"/>
    <n v="7000"/>
    <n v="79000"/>
    <n v="79000"/>
    <n v="6"/>
    <x v="2"/>
    <n v="20.07"/>
    <n v="20"/>
    <x v="6"/>
    <s v="落合南長崎駅"/>
    <n v="3"/>
    <n v="11.67"/>
    <n v="122997.85"/>
    <n v="95329.65"/>
    <n v="512"/>
    <n v="1622"/>
    <s v="20-30"/>
    <x v="7"/>
  </r>
  <r>
    <s v="https://suumo.jp/chintai/jnc_000102612150/?bc=100471102773"/>
    <s v="都営大江戸線 落合南長崎駅 9階建 築21年"/>
    <s v="東京都豊島区南長崎５"/>
    <n v="83000"/>
    <n v="9000"/>
    <n v="83000"/>
    <n v="166000"/>
    <n v="7"/>
    <x v="2"/>
    <n v="22.84"/>
    <n v="21"/>
    <x v="6"/>
    <s v="落合南長崎駅"/>
    <n v="3"/>
    <n v="10.67"/>
    <n v="122997.85"/>
    <n v="95329.65"/>
    <n v="512"/>
    <n v="1622"/>
    <s v="20-30"/>
    <x v="1"/>
  </r>
  <r>
    <s v="https://suumo.jp/chintai/jnc_000104043953/?bc=100482531257"/>
    <s v="都営大江戸線 落合南長崎駅 9階建 築7年"/>
    <s v="東京都新宿区中落合３"/>
    <n v="111000"/>
    <n v="15000"/>
    <m/>
    <n v="222000"/>
    <n v="5"/>
    <x v="2"/>
    <n v="25.74"/>
    <n v="7"/>
    <x v="6"/>
    <s v="落合南長崎駅"/>
    <n v="8"/>
    <n v="11"/>
    <n v="122997.85"/>
    <n v="95329.65"/>
    <n v="512"/>
    <n v="1622"/>
    <s v="20-30"/>
    <x v="0"/>
  </r>
  <r>
    <s v="https://suumo.jp/chintai/jnc_000097587918/?bc=100462434748"/>
    <s v="都営大江戸線 落合南長崎駅 9階建 築9年"/>
    <s v="東京都新宿区西落合１"/>
    <n v="137000"/>
    <n v="11000"/>
    <m/>
    <n v="137000"/>
    <n v="8"/>
    <x v="2"/>
    <n v="26.1"/>
    <n v="9"/>
    <x v="6"/>
    <s v="落合南長崎駅"/>
    <n v="3"/>
    <n v="10"/>
    <n v="122997.85"/>
    <n v="95329.65"/>
    <n v="512"/>
    <n v="1622"/>
    <s v="20-30"/>
    <x v="0"/>
  </r>
  <r>
    <s v="https://suumo.jp/chintai/jnc_000104107338/?bc=100483179835"/>
    <s v="都営大江戸線 落合南長崎駅 地下1地上4階建 築2年"/>
    <s v="東京都新宿区西落合２"/>
    <n v="107500"/>
    <n v="15000"/>
    <m/>
    <m/>
    <n v="2"/>
    <x v="2"/>
    <n v="30.2"/>
    <n v="2"/>
    <x v="7"/>
    <s v="落合南長崎駅"/>
    <n v="9"/>
    <n v="13"/>
    <n v="122997.85"/>
    <n v="95329.65"/>
    <n v="512"/>
    <n v="1622"/>
    <s v="30-40"/>
    <x v="0"/>
  </r>
  <r>
    <s v="https://suumo.jp/chintai/jnc_000104101253/?bc=100483127178"/>
    <s v="ＡＬＩＶＩＯ西落合"/>
    <s v="東京都新宿区西落合２"/>
    <n v="105000"/>
    <n v="7000"/>
    <n v="105000"/>
    <n v="105000"/>
    <n v="2"/>
    <x v="2"/>
    <n v="25.18"/>
    <n v="7"/>
    <x v="7"/>
    <s v="落合南長崎駅"/>
    <n v="8"/>
    <n v="12"/>
    <n v="122997.85"/>
    <n v="95329.65"/>
    <n v="512"/>
    <n v="1622"/>
    <s v="20-30"/>
    <x v="0"/>
  </r>
  <r>
    <s v="https://suumo.jp/chintai/jnc_000102927965/?bc=100482118809"/>
    <s v="ＡＸＡＳ新宿中落合"/>
    <s v="東京都新宿区中落合３"/>
    <n v="80500"/>
    <n v="15000"/>
    <m/>
    <m/>
    <n v="5"/>
    <x v="2"/>
    <n v="21.65"/>
    <n v="17"/>
    <x v="3"/>
    <s v="落合南長崎駅"/>
    <n v="6"/>
    <n v="9"/>
    <n v="122997.85"/>
    <n v="95329.65"/>
    <n v="512"/>
    <n v="1622"/>
    <s v="20-30"/>
    <x v="7"/>
  </r>
  <r>
    <s v="https://suumo.jp/chintai/jnc_000102182211/?bc=100482503183"/>
    <s v="ＡＸＡＳ新宿中落合"/>
    <s v="東京都新宿区中落合３"/>
    <n v="85000"/>
    <n v="20000"/>
    <m/>
    <m/>
    <n v="8"/>
    <x v="2"/>
    <n v="21.65"/>
    <n v="17"/>
    <x v="3"/>
    <s v="落合南長崎駅"/>
    <n v="6"/>
    <n v="9"/>
    <n v="122997.85"/>
    <n v="95329.65"/>
    <n v="512"/>
    <n v="1622"/>
    <s v="20-30"/>
    <x v="7"/>
  </r>
  <r>
    <s v="https://suumo.jp/chintai/jnc_000103636285/?bc=100483884297"/>
    <s v="ＨＹｓ 新宿西落合"/>
    <s v="東京都新宿区西落合１"/>
    <n v="109000"/>
    <n v="12000"/>
    <m/>
    <n v="109000"/>
    <n v="2"/>
    <x v="2"/>
    <n v="25.51"/>
    <n v="5"/>
    <x v="7"/>
    <s v="落合南長崎駅"/>
    <n v="7"/>
    <n v="11.33"/>
    <n v="122997.85"/>
    <n v="95329.65"/>
    <n v="512"/>
    <n v="1622"/>
    <s v="20-30"/>
    <x v="0"/>
  </r>
  <r>
    <s v="https://suumo.jp/chintai/jnc_000104454677/?bc=100485942394"/>
    <s v="ＭＡＩＳＯＮ　ＮＯＡＨ"/>
    <s v="東京都新宿区西落合１"/>
    <n v="85000"/>
    <n v="2000"/>
    <n v="85000"/>
    <n v="85000"/>
    <n v="1"/>
    <x v="2"/>
    <n v="28.15"/>
    <n v="21"/>
    <x v="0"/>
    <s v="落合南長崎駅"/>
    <n v="5"/>
    <n v="11.67"/>
    <n v="122997.85"/>
    <n v="95329.65"/>
    <n v="512"/>
    <n v="1622"/>
    <s v="20-30"/>
    <x v="1"/>
  </r>
  <r>
    <s v="https://suumo.jp/chintai/jnc_000104442999/?bc=100485719378"/>
    <s v="ＯＬＩＯ南長崎"/>
    <s v="東京都豊島区南長崎４"/>
    <n v="83000"/>
    <n v="10000"/>
    <m/>
    <n v="83000"/>
    <n v="4"/>
    <x v="2"/>
    <n v="21.9"/>
    <n v="27"/>
    <x v="6"/>
    <s v="落合南長崎駅"/>
    <n v="1"/>
    <n v="8.33"/>
    <n v="122997.85"/>
    <n v="95329.65"/>
    <n v="512"/>
    <n v="1622"/>
    <s v="20-30"/>
    <x v="1"/>
  </r>
  <r>
    <s v="https://suumo.jp/chintai/jnc_000102532241/?bc=100470398363"/>
    <s v="ＶＥＲＴ中落合IＡ"/>
    <s v="東京都新宿区中落合４"/>
    <n v="75000"/>
    <n v="6000"/>
    <m/>
    <m/>
    <n v="1"/>
    <x v="2"/>
    <n v="22.66"/>
    <n v="26"/>
    <x v="2"/>
    <s v="落合南長崎駅"/>
    <n v="5"/>
    <n v="9.33"/>
    <n v="122997.85"/>
    <n v="95329.65"/>
    <n v="512"/>
    <n v="1622"/>
    <s v="20-30"/>
    <x v="1"/>
  </r>
  <r>
    <s v="https://suumo.jp/chintai/jnc_000103863968/?bc=100481229098"/>
    <s v="ＶＥＲＴ中落合IＡ"/>
    <s v="東京都新宿区中落合４"/>
    <n v="76000"/>
    <n v="6000"/>
    <m/>
    <m/>
    <n v="2"/>
    <x v="2"/>
    <n v="22.94"/>
    <n v="26"/>
    <x v="2"/>
    <s v="落合南長崎駅"/>
    <n v="5"/>
    <n v="9.33"/>
    <n v="122997.85"/>
    <n v="95329.65"/>
    <n v="512"/>
    <n v="1622"/>
    <s v="20-30"/>
    <x v="1"/>
  </r>
  <r>
    <s v="https://suumo.jp/chintai/jnc_000103779712/?bc=100481067075"/>
    <s v="ＺＥＳＴＹ西落合"/>
    <s v="東京都新宿区西落合１"/>
    <n v="76000"/>
    <n v="4000"/>
    <n v="76000"/>
    <n v="76000"/>
    <n v="2"/>
    <x v="2"/>
    <n v="20.5"/>
    <n v="22"/>
    <x v="2"/>
    <s v="落合南長崎駅"/>
    <n v="8"/>
    <n v="13.33"/>
    <n v="122997.85"/>
    <n v="95329.65"/>
    <n v="512"/>
    <n v="1622"/>
    <s v="20-30"/>
    <x v="1"/>
  </r>
  <r>
    <s v="https://suumo.jp/chintai/jnc_000104132247/?bc=100483505124"/>
    <s v="ARKMARK新宿西落合"/>
    <s v="東京都新宿区西落合２"/>
    <n v="197000"/>
    <n v="18000"/>
    <n v="197000"/>
    <n v="197000"/>
    <n v="4"/>
    <x v="3"/>
    <n v="40.29"/>
    <n v="2"/>
    <x v="5"/>
    <s v="落合南長崎駅"/>
    <n v="9"/>
    <n v="13"/>
    <n v="122997.85"/>
    <n v="168453.81"/>
    <n v="512"/>
    <n v="788"/>
    <s v="40-50"/>
    <x v="0"/>
  </r>
  <r>
    <s v="https://suumo.jp/chintai/jnc_000102997531/?bc=100474277926"/>
    <s v="アリーチェ中落合"/>
    <s v="東京都新宿区中落合３"/>
    <n v="140000"/>
    <n v="10000"/>
    <n v="140000"/>
    <n v="140000"/>
    <n v="8"/>
    <x v="3"/>
    <n v="41.94"/>
    <n v="21"/>
    <x v="11"/>
    <s v="落合南長崎駅"/>
    <n v="8"/>
    <n v="10.33"/>
    <n v="122997.85"/>
    <n v="168453.81"/>
    <n v="512"/>
    <n v="788"/>
    <s v="40-50"/>
    <x v="1"/>
  </r>
  <r>
    <s v="https://suumo.jp/chintai/jnc_000103762014/?bc=100482112711"/>
    <s v="アンジュール西落合"/>
    <s v="東京都新宿区西落合３"/>
    <n v="159000"/>
    <n v="4000"/>
    <m/>
    <n v="159000"/>
    <n v="2"/>
    <x v="3"/>
    <n v="38.21"/>
    <n v="4"/>
    <x v="0"/>
    <s v="落合南長崎駅"/>
    <n v="5"/>
    <n v="12.33"/>
    <n v="122997.85"/>
    <n v="168453.81"/>
    <n v="512"/>
    <n v="788"/>
    <s v="30-40"/>
    <x v="0"/>
  </r>
  <r>
    <s v="https://suumo.jp/chintai/jnc_000103750518/?bc=100475945811"/>
    <s v="セレスティア中野上高田"/>
    <s v="東京都中野区上高田５"/>
    <n v="154000"/>
    <n v="14000"/>
    <m/>
    <n v="308000"/>
    <n v="1"/>
    <x v="3"/>
    <n v="36.659999999999997"/>
    <n v="0"/>
    <x v="2"/>
    <s v="落合南長崎駅"/>
    <n v="11"/>
    <n v="12.67"/>
    <n v="122997.85"/>
    <n v="168453.81"/>
    <n v="512"/>
    <n v="788"/>
    <s v="30-40"/>
    <x v="6"/>
  </r>
  <r>
    <s v="https://suumo.jp/chintai/jnc_000103750515/?bc=100475945814"/>
    <s v="セレスティア中野上高田"/>
    <s v="東京都中野区上高田５"/>
    <n v="151000"/>
    <n v="14000"/>
    <m/>
    <n v="302000"/>
    <n v="1"/>
    <x v="3"/>
    <n v="36.72"/>
    <n v="0"/>
    <x v="2"/>
    <s v="落合南長崎駅"/>
    <n v="11"/>
    <n v="12.67"/>
    <n v="122997.85"/>
    <n v="168453.81"/>
    <n v="512"/>
    <n v="788"/>
    <s v="30-40"/>
    <x v="6"/>
  </r>
  <r>
    <s v="https://suumo.jp/chintai/jnc_000103750520/?bc=100475945796"/>
    <s v="セレスティア中野上高田"/>
    <s v="東京都中野区上高田５"/>
    <n v="155000"/>
    <n v="14000"/>
    <m/>
    <n v="310000"/>
    <n v="1"/>
    <x v="3"/>
    <n v="39.49"/>
    <n v="0"/>
    <x v="2"/>
    <s v="落合南長崎駅"/>
    <n v="11"/>
    <n v="12.67"/>
    <n v="122997.85"/>
    <n v="168453.81"/>
    <n v="512"/>
    <n v="788"/>
    <s v="30-40"/>
    <x v="6"/>
  </r>
  <r>
    <s v="https://suumo.jp/chintai/jnc_000103750516/?bc=100475945788"/>
    <s v="セレスティア中野上高田"/>
    <s v="東京都中野区上高田５"/>
    <n v="159000"/>
    <n v="14000"/>
    <m/>
    <n v="318000"/>
    <n v="1"/>
    <x v="3"/>
    <n v="43.3"/>
    <n v="0"/>
    <x v="2"/>
    <s v="落合南長崎駅"/>
    <n v="11"/>
    <n v="12.67"/>
    <n v="122997.85"/>
    <n v="168453.81"/>
    <n v="512"/>
    <n v="788"/>
    <s v="40-50"/>
    <x v="6"/>
  </r>
  <r>
    <s v="https://suumo.jp/chintai/jnc_000103750519/?bc=100475945823"/>
    <s v="セレスティア中野上高田"/>
    <s v="東京都中野区上高田５"/>
    <n v="159000"/>
    <n v="14000"/>
    <m/>
    <n v="318000"/>
    <n v="1"/>
    <x v="3"/>
    <n v="43.73"/>
    <n v="0"/>
    <x v="2"/>
    <s v="落合南長崎駅"/>
    <n v="11"/>
    <n v="12.67"/>
    <n v="122997.85"/>
    <n v="168453.81"/>
    <n v="512"/>
    <n v="788"/>
    <s v="40-50"/>
    <x v="6"/>
  </r>
  <r>
    <s v="https://suumo.jp/chintai/jnc_000103750521/?bc=100475945793"/>
    <s v="セレスティア中野上高田"/>
    <s v="東京都中野区上高田５"/>
    <n v="163000"/>
    <n v="14000"/>
    <m/>
    <n v="326000"/>
    <n v="1"/>
    <x v="3"/>
    <n v="48.51"/>
    <n v="0"/>
    <x v="2"/>
    <s v="落合南長崎駅"/>
    <n v="11"/>
    <n v="12.67"/>
    <n v="122997.85"/>
    <n v="168453.81"/>
    <n v="512"/>
    <n v="788"/>
    <s v="40-50"/>
    <x v="6"/>
  </r>
  <r>
    <s v="https://suumo.jp/chintai/jnc_000103750517/?bc=100475945801"/>
    <s v="セレスティア中野上高田"/>
    <s v="東京都中野区上高田５"/>
    <n v="168000"/>
    <n v="14000"/>
    <m/>
    <n v="336000"/>
    <n v="1"/>
    <x v="3"/>
    <n v="49.67"/>
    <n v="0"/>
    <x v="2"/>
    <s v="落合南長崎駅"/>
    <n v="11"/>
    <n v="12.67"/>
    <n v="122997.85"/>
    <n v="168453.81"/>
    <n v="512"/>
    <n v="788"/>
    <s v="40-50"/>
    <x v="6"/>
  </r>
  <r>
    <s v="https://suumo.jp/chintai/jnc_000103750526/?bc=100475945807"/>
    <s v="セレスティア中野上高田"/>
    <s v="東京都中野区上高田５"/>
    <n v="159000"/>
    <n v="14000"/>
    <m/>
    <n v="318000"/>
    <n v="2"/>
    <x v="3"/>
    <n v="36.659999999999997"/>
    <n v="0"/>
    <x v="2"/>
    <s v="落合南長崎駅"/>
    <n v="11"/>
    <n v="12.67"/>
    <n v="122997.85"/>
    <n v="168453.81"/>
    <n v="512"/>
    <n v="788"/>
    <s v="30-40"/>
    <x v="6"/>
  </r>
  <r>
    <s v="https://suumo.jp/chintai/jnc_000103750523/?bc=100475945792"/>
    <s v="セレスティア中野上高田"/>
    <s v="東京都中野区上高田５"/>
    <n v="156000"/>
    <n v="14000"/>
    <m/>
    <n v="312000"/>
    <n v="2"/>
    <x v="3"/>
    <n v="36.72"/>
    <n v="0"/>
    <x v="2"/>
    <s v="落合南長崎駅"/>
    <n v="11"/>
    <n v="12.67"/>
    <n v="122997.85"/>
    <n v="168453.81"/>
    <n v="512"/>
    <n v="788"/>
    <s v="30-40"/>
    <x v="6"/>
  </r>
  <r>
    <s v="https://suumo.jp/chintai/jnc_000103750528/?bc=100475945831"/>
    <s v="セレスティア中野上高田"/>
    <s v="東京都中野区上高田５"/>
    <n v="160000"/>
    <n v="14000"/>
    <m/>
    <n v="320000"/>
    <n v="2"/>
    <x v="3"/>
    <n v="39.49"/>
    <n v="0"/>
    <x v="2"/>
    <s v="落合南長崎駅"/>
    <n v="11"/>
    <n v="12.67"/>
    <n v="122997.85"/>
    <n v="168453.81"/>
    <n v="512"/>
    <n v="788"/>
    <s v="30-40"/>
    <x v="6"/>
  </r>
  <r>
    <s v="https://suumo.jp/chintai/jnc_000103750524/?bc=100475945826"/>
    <s v="セレスティア中野上高田"/>
    <s v="東京都中野区上高田５"/>
    <n v="164000"/>
    <n v="14000"/>
    <m/>
    <n v="328000"/>
    <n v="2"/>
    <x v="3"/>
    <n v="43.3"/>
    <n v="0"/>
    <x v="2"/>
    <s v="落合南長崎駅"/>
    <n v="11"/>
    <n v="12.67"/>
    <n v="122997.85"/>
    <n v="168453.81"/>
    <n v="512"/>
    <n v="788"/>
    <s v="40-50"/>
    <x v="6"/>
  </r>
  <r>
    <s v="https://suumo.jp/chintai/jnc_000103750527/?bc=100475945802"/>
    <s v="セレスティア中野上高田"/>
    <s v="東京都中野区上高田５"/>
    <n v="164000"/>
    <n v="14000"/>
    <m/>
    <n v="328000"/>
    <n v="2"/>
    <x v="3"/>
    <n v="43.73"/>
    <n v="0"/>
    <x v="2"/>
    <s v="落合南長崎駅"/>
    <n v="11"/>
    <n v="12.67"/>
    <n v="122997.85"/>
    <n v="168453.81"/>
    <n v="512"/>
    <n v="788"/>
    <s v="40-50"/>
    <x v="6"/>
  </r>
  <r>
    <s v="https://suumo.jp/chintai/jnc_000103750525/?bc=100477147726"/>
    <s v="セレスティア中野上高田"/>
    <s v="東京都中野区上高田５"/>
    <n v="173000"/>
    <n v="14000"/>
    <m/>
    <n v="346000"/>
    <n v="2"/>
    <x v="3"/>
    <n v="49.67"/>
    <n v="0"/>
    <x v="2"/>
    <s v="落合南長崎駅"/>
    <n v="11"/>
    <n v="12.67"/>
    <n v="122997.85"/>
    <n v="168453.81"/>
    <n v="512"/>
    <n v="788"/>
    <s v="40-50"/>
    <x v="6"/>
  </r>
  <r>
    <s v="https://suumo.jp/chintai/jnc_000103750529/?bc=100475945820"/>
    <s v="セレスティア中野上高田"/>
    <s v="東京都中野区上高田５"/>
    <n v="238000"/>
    <n v="14000"/>
    <m/>
    <n v="476000"/>
    <n v="2"/>
    <x v="3"/>
    <n v="55.66"/>
    <n v="0"/>
    <x v="2"/>
    <s v="落合南長崎駅"/>
    <n v="11"/>
    <n v="12.67"/>
    <n v="122997.85"/>
    <n v="168453.81"/>
    <n v="512"/>
    <n v="788"/>
    <s v="50-60"/>
    <x v="6"/>
  </r>
  <r>
    <s v="https://suumo.jp/chintai/jnc_000103750534/?bc=100475913717"/>
    <s v="セレスティア中野上高田"/>
    <s v="東京都中野区上高田５"/>
    <n v="164000"/>
    <n v="14000"/>
    <m/>
    <n v="164000"/>
    <n v="3"/>
    <x v="3"/>
    <n v="36.659999999999997"/>
    <n v="0"/>
    <x v="2"/>
    <s v="落合南長崎駅"/>
    <n v="11"/>
    <n v="12.67"/>
    <n v="122997.85"/>
    <n v="168453.81"/>
    <n v="512"/>
    <n v="788"/>
    <s v="30-40"/>
    <x v="6"/>
  </r>
  <r>
    <s v="https://suumo.jp/chintai/jnc_000103750531/?bc=100475917812"/>
    <s v="セレスティア中野上高田"/>
    <s v="東京都中野区上高田５"/>
    <n v="161000"/>
    <n v="14000"/>
    <m/>
    <n v="161000"/>
    <n v="3"/>
    <x v="3"/>
    <n v="36.72"/>
    <n v="0"/>
    <x v="2"/>
    <s v="落合南長崎駅"/>
    <n v="11"/>
    <n v="12.67"/>
    <n v="122997.85"/>
    <n v="168453.81"/>
    <n v="512"/>
    <n v="788"/>
    <s v="30-40"/>
    <x v="6"/>
  </r>
  <r>
    <s v="https://suumo.jp/chintai/jnc_000103750536/?bc=100475909684"/>
    <s v="セレスティア中野上高田"/>
    <s v="東京都中野区上高田５"/>
    <n v="165000"/>
    <n v="14000"/>
    <m/>
    <n v="165000"/>
    <n v="3"/>
    <x v="3"/>
    <n v="39.49"/>
    <n v="0"/>
    <x v="2"/>
    <s v="落合南長崎駅"/>
    <n v="11"/>
    <n v="12.67"/>
    <n v="122997.85"/>
    <n v="168453.81"/>
    <n v="512"/>
    <n v="788"/>
    <s v="30-40"/>
    <x v="6"/>
  </r>
  <r>
    <s v="https://suumo.jp/chintai/jnc_000103750532/?bc=100475915131"/>
    <s v="セレスティア中野上高田"/>
    <s v="東京都中野区上高田５"/>
    <n v="169000"/>
    <n v="14000"/>
    <m/>
    <n v="169000"/>
    <n v="3"/>
    <x v="3"/>
    <n v="43.3"/>
    <n v="0"/>
    <x v="2"/>
    <s v="落合南長崎駅"/>
    <n v="11"/>
    <n v="12.67"/>
    <n v="122997.85"/>
    <n v="168453.81"/>
    <n v="512"/>
    <n v="788"/>
    <s v="40-50"/>
    <x v="6"/>
  </r>
  <r>
    <s v="https://suumo.jp/chintai/jnc_000103750535/?bc=100475911331"/>
    <s v="セレスティア中野上高田"/>
    <s v="東京都中野区上高田５"/>
    <n v="169000"/>
    <n v="14000"/>
    <m/>
    <n v="169000"/>
    <n v="3"/>
    <x v="3"/>
    <n v="43.73"/>
    <n v="0"/>
    <x v="2"/>
    <s v="落合南長崎駅"/>
    <n v="11"/>
    <n v="12.67"/>
    <n v="122997.85"/>
    <n v="168453.81"/>
    <n v="512"/>
    <n v="788"/>
    <s v="40-50"/>
    <x v="6"/>
  </r>
  <r>
    <s v="https://suumo.jp/chintai/jnc_000103750533/?bc=100475914538"/>
    <s v="セレスティア中野上高田"/>
    <s v="東京都中野区上高田５"/>
    <n v="178000"/>
    <n v="14000"/>
    <m/>
    <n v="178000"/>
    <n v="3"/>
    <x v="3"/>
    <n v="49.67"/>
    <n v="0"/>
    <x v="2"/>
    <s v="落合南長崎駅"/>
    <n v="11"/>
    <n v="12.67"/>
    <n v="122997.85"/>
    <n v="168453.81"/>
    <n v="512"/>
    <n v="788"/>
    <s v="40-50"/>
    <x v="6"/>
  </r>
  <r>
    <s v="https://suumo.jp/chintai/jnc_000104261589/?bc=100484466037"/>
    <s v="ソフィア哲学堂"/>
    <s v="東京都新宿区西落合２"/>
    <n v="158000"/>
    <n v="10000"/>
    <n v="158000"/>
    <n v="158000"/>
    <n v="2"/>
    <x v="3"/>
    <n v="40.54"/>
    <n v="13"/>
    <x v="7"/>
    <s v="落合南長崎駅"/>
    <n v="10"/>
    <n v="13"/>
    <n v="122997.85"/>
    <n v="168453.81"/>
    <n v="512"/>
    <n v="788"/>
    <s v="40-50"/>
    <x v="7"/>
  </r>
  <r>
    <s v="https://suumo.jp/chintai/jnc_000057454791/?bc=100472130831"/>
    <s v="ディアレイシャス落合南長崎"/>
    <s v="東京都新宿区西落合１"/>
    <n v="188000"/>
    <n v="11000"/>
    <m/>
    <n v="188000"/>
    <n v="6"/>
    <x v="3"/>
    <n v="42.49"/>
    <n v="8"/>
    <x v="10"/>
    <s v="落合南長崎駅"/>
    <n v="6"/>
    <n v="11.67"/>
    <n v="122997.85"/>
    <n v="168453.81"/>
    <n v="512"/>
    <n v="788"/>
    <s v="40-50"/>
    <x v="0"/>
  </r>
  <r>
    <s v="https://suumo.jp/chintai/jnc_000104454680/?bc=100485844880"/>
    <s v="パルティーレ西落合"/>
    <s v="東京都新宿区西落合１"/>
    <n v="136000"/>
    <n v="5000"/>
    <n v="136000"/>
    <n v="163200"/>
    <n v="1"/>
    <x v="3"/>
    <n v="43.35"/>
    <n v="47"/>
    <x v="10"/>
    <s v="落合南長崎駅"/>
    <n v="5"/>
    <n v="13"/>
    <n v="122997.85"/>
    <n v="168453.81"/>
    <n v="512"/>
    <n v="788"/>
    <s v="40-50"/>
    <x v="3"/>
  </r>
  <r>
    <s v="https://suumo.jp/chintai/jnc_000103324125/?bc=100476917076"/>
    <s v="パルティーレ西落合"/>
    <s v="東京都新宿区西落合１"/>
    <n v="150000"/>
    <n v="5000"/>
    <n v="150000"/>
    <n v="225000"/>
    <n v="4"/>
    <x v="3"/>
    <n v="46.75"/>
    <n v="47"/>
    <x v="10"/>
    <s v="落合南長崎駅"/>
    <n v="5"/>
    <n v="13"/>
    <n v="122997.85"/>
    <n v="168453.81"/>
    <n v="512"/>
    <n v="788"/>
    <s v="40-50"/>
    <x v="3"/>
  </r>
  <r>
    <s v="https://suumo.jp/chintai/jnc_000103585737/?bc=100474956470"/>
    <s v="パークアクシス新宿西落合"/>
    <s v="東京都新宿区西落合２"/>
    <n v="191000"/>
    <n v="15000"/>
    <n v="191000"/>
    <m/>
    <n v="4"/>
    <x v="3"/>
    <n v="37.67"/>
    <n v="0"/>
    <x v="6"/>
    <s v="落合南長崎駅"/>
    <n v="9"/>
    <n v="13.33"/>
    <n v="122997.85"/>
    <n v="168453.81"/>
    <n v="512"/>
    <n v="788"/>
    <s v="30-40"/>
    <x v="6"/>
  </r>
  <r>
    <s v="https://suumo.jp/chintai/jnc_000102077616/?bc=100482025033"/>
    <s v="パークアクシス新宿西落合"/>
    <s v="東京都新宿区西落合２"/>
    <n v="190000"/>
    <n v="15000"/>
    <n v="190000"/>
    <m/>
    <n v="4"/>
    <x v="3"/>
    <n v="37.67"/>
    <n v="0"/>
    <x v="6"/>
    <s v="落合南長崎駅"/>
    <n v="9"/>
    <n v="13.33"/>
    <n v="122997.85"/>
    <n v="168453.81"/>
    <n v="512"/>
    <n v="788"/>
    <s v="30-40"/>
    <x v="6"/>
  </r>
  <r>
    <s v="https://suumo.jp/chintai/jnc_000104473681/?bc=100485961808"/>
    <s v="パークコート哲学堂"/>
    <s v="東京都新宿区西落合３"/>
    <n v="155000"/>
    <n v="5000"/>
    <n v="75000"/>
    <n v="310000"/>
    <n v="1"/>
    <x v="3"/>
    <n v="48.23"/>
    <n v="20"/>
    <x v="0"/>
    <s v="落合南長崎駅"/>
    <n v="8"/>
    <n v="12"/>
    <n v="122997.85"/>
    <n v="168453.81"/>
    <n v="512"/>
    <n v="788"/>
    <s v="40-50"/>
    <x v="7"/>
  </r>
  <r>
    <s v="https://suumo.jp/chintai/jnc_000104060186/?bc=100477243338"/>
    <s v="パークサイド西落合"/>
    <s v="東京都新宿区西落合１"/>
    <n v="138000"/>
    <n v="9000"/>
    <n v="138000"/>
    <n v="138000"/>
    <n v="1"/>
    <x v="3"/>
    <n v="42.05"/>
    <n v="10"/>
    <x v="7"/>
    <s v="落合南長崎駅"/>
    <n v="2"/>
    <n v="9"/>
    <n v="122997.85"/>
    <n v="168453.81"/>
    <n v="512"/>
    <n v="788"/>
    <s v="40-50"/>
    <x v="0"/>
  </r>
  <r>
    <s v="https://suumo.jp/chintai/jnc_000098337318/?bc=100476790514"/>
    <s v="フラッフィー落合南長崎"/>
    <s v="東京都新宿区西落合１"/>
    <n v="137000"/>
    <n v="15000"/>
    <m/>
    <m/>
    <n v="4"/>
    <x v="3"/>
    <n v="30.1"/>
    <n v="4"/>
    <x v="7"/>
    <s v="落合南長崎駅"/>
    <n v="5"/>
    <n v="12.33"/>
    <n v="122997.85"/>
    <n v="168453.81"/>
    <n v="512"/>
    <n v="788"/>
    <s v="30-40"/>
    <x v="0"/>
  </r>
  <r>
    <s v="https://suumo.jp/chintai/jnc_000104449309/?bc=100486040262"/>
    <s v="プライムヒル哲学堂"/>
    <s v="東京都新宿区西落合２"/>
    <n v="145000"/>
    <n v="4600"/>
    <m/>
    <n v="290000"/>
    <n v="3"/>
    <x v="3"/>
    <n v="38.47"/>
    <n v="9"/>
    <x v="4"/>
    <s v="落合南長崎駅"/>
    <n v="8"/>
    <n v="13.67"/>
    <n v="122997.85"/>
    <n v="168453.81"/>
    <n v="512"/>
    <n v="788"/>
    <s v="30-40"/>
    <x v="0"/>
  </r>
  <r>
    <s v="https://suumo.jp/chintai/jnc_000103851239/?bc=100481111877"/>
    <s v="プルームガーデンI"/>
    <s v="東京都新宿区西落合４"/>
    <n v="144000"/>
    <n v="4000"/>
    <n v="144000"/>
    <n v="144000"/>
    <n v="2"/>
    <x v="3"/>
    <n v="53.5"/>
    <n v="9"/>
    <x v="0"/>
    <s v="落合南長崎駅"/>
    <n v="8"/>
    <n v="12"/>
    <n v="122997.85"/>
    <n v="168453.81"/>
    <n v="512"/>
    <n v="788"/>
    <s v="50-60"/>
    <x v="0"/>
  </r>
  <r>
    <s v="https://suumo.jp/chintai/jnc_000103843629/?bc=100481111874"/>
    <s v="プルームガーデンII"/>
    <s v="東京都新宿区西落合４"/>
    <n v="129000"/>
    <n v="4000"/>
    <n v="129000"/>
    <n v="129000"/>
    <n v="1"/>
    <x v="3"/>
    <n v="44"/>
    <n v="9"/>
    <x v="0"/>
    <s v="落合南長崎駅"/>
    <n v="8"/>
    <n v="12"/>
    <n v="122997.85"/>
    <n v="168453.81"/>
    <n v="512"/>
    <n v="788"/>
    <s v="40-50"/>
    <x v="0"/>
  </r>
  <r>
    <s v="https://suumo.jp/chintai/jnc_000102086937/?bc=100466420686"/>
    <s v="ベルーガ"/>
    <s v="東京都新宿区西落合２"/>
    <n v="145000"/>
    <n v="7000"/>
    <n v="145000"/>
    <n v="290000"/>
    <n v="1"/>
    <x v="3"/>
    <n v="45.6"/>
    <n v="11"/>
    <x v="2"/>
    <s v="落合南長崎駅"/>
    <n v="8"/>
    <n v="12"/>
    <n v="122997.85"/>
    <n v="168453.81"/>
    <n v="512"/>
    <n v="788"/>
    <s v="40-50"/>
    <x v="7"/>
  </r>
  <r>
    <s v="https://suumo.jp/chintai/jnc_000104229488/?bc=100470372632"/>
    <s v="メゾン トレフル"/>
    <s v="東京都新宿区西落合３"/>
    <n v="160000"/>
    <n v="5000"/>
    <n v="160000"/>
    <m/>
    <n v="1"/>
    <x v="3"/>
    <n v="59.34"/>
    <n v="12"/>
    <x v="0"/>
    <s v="落合南長崎駅"/>
    <n v="4"/>
    <n v="7"/>
    <n v="122997.85"/>
    <n v="168453.81"/>
    <n v="512"/>
    <n v="788"/>
    <s v="50-60"/>
    <x v="7"/>
  </r>
  <r>
    <s v="https://suumo.jp/chintai/jnc_000104229488/?bc=100470372632"/>
    <s v="メゾン トレフル"/>
    <s v="東京都新宿区西落合３"/>
    <n v="160000"/>
    <n v="5000"/>
    <n v="160000"/>
    <m/>
    <n v="2"/>
    <x v="3"/>
    <n v="59.34"/>
    <n v="12"/>
    <x v="0"/>
    <s v="落合南長崎駅"/>
    <n v="4"/>
    <n v="7"/>
    <n v="122997.85"/>
    <n v="168453.81"/>
    <n v="512"/>
    <n v="788"/>
    <s v="50-60"/>
    <x v="7"/>
  </r>
  <r>
    <s v="https://suumo.jp/chintai/jnc_000104117880/?bc=100477031081"/>
    <s v="メゾンドゥエコー"/>
    <s v="東京都豊島区南長崎４"/>
    <n v="120000"/>
    <m/>
    <n v="120000"/>
    <n v="120000"/>
    <n v="1"/>
    <x v="3"/>
    <n v="30"/>
    <n v="24"/>
    <x v="0"/>
    <s v="落合南長崎駅"/>
    <n v="6"/>
    <n v="9.33"/>
    <n v="122997.85"/>
    <n v="168453.81"/>
    <n v="512"/>
    <n v="788"/>
    <s v="30-40"/>
    <x v="1"/>
  </r>
  <r>
    <s v="https://suumo.jp/chintai/jnc_000103513730/?bc=100477903285"/>
    <s v="ラヴィエール中落合"/>
    <s v="東京都新宿区中落合４"/>
    <n v="150000"/>
    <n v="8000"/>
    <m/>
    <n v="300000"/>
    <n v="2"/>
    <x v="3"/>
    <n v="41.4"/>
    <n v="11"/>
    <x v="4"/>
    <s v="落合南長崎駅"/>
    <n v="6"/>
    <n v="11.33"/>
    <n v="122997.85"/>
    <n v="168453.81"/>
    <n v="512"/>
    <n v="788"/>
    <s v="40-50"/>
    <x v="7"/>
  </r>
  <r>
    <s v="https://suumo.jp/chintai/jnc_000099034906/?bc=100441101629"/>
    <s v="中落合4丁目貸家"/>
    <s v="東京都新宿区中落合４"/>
    <n v="115000"/>
    <n v="5000"/>
    <n v="115000"/>
    <n v="115000"/>
    <n v="1"/>
    <x v="3"/>
    <n v="37.6"/>
    <n v="48"/>
    <x v="0"/>
    <s v="落合南長崎駅"/>
    <n v="4"/>
    <n v="9.33"/>
    <n v="122997.85"/>
    <n v="168453.81"/>
    <n v="512"/>
    <n v="788"/>
    <s v="30-40"/>
    <x v="3"/>
  </r>
  <r>
    <s v="https://suumo.jp/chintai/jnc_000104356699/?bc=100484994054"/>
    <s v="仮称）西落合１丁目メゾン"/>
    <s v="東京都新宿区西落合１"/>
    <n v="160000"/>
    <n v="6000"/>
    <n v="160000"/>
    <n v="320000"/>
    <n v="1"/>
    <x v="3"/>
    <n v="42.67"/>
    <n v="0"/>
    <x v="2"/>
    <s v="落合南長崎駅"/>
    <n v="4"/>
    <n v="11.67"/>
    <n v="122997.85"/>
    <n v="168453.81"/>
    <n v="512"/>
    <n v="788"/>
    <s v="40-50"/>
    <x v="6"/>
  </r>
  <r>
    <s v="https://suumo.jp/chintai/jnc_000104222358/?bc=100471169234"/>
    <s v="都営大江戸線 落合南長崎駅 2階建 築12年"/>
    <s v="東京都新宿区西落合３"/>
    <n v="160000"/>
    <n v="5000"/>
    <n v="160000"/>
    <m/>
    <n v="2"/>
    <x v="3"/>
    <n v="59.34"/>
    <n v="12"/>
    <x v="0"/>
    <s v="落合南長崎駅"/>
    <n v="4"/>
    <n v="12"/>
    <n v="122997.85"/>
    <n v="168453.81"/>
    <n v="512"/>
    <n v="788"/>
    <s v="50-60"/>
    <x v="7"/>
  </r>
  <r>
    <s v="https://suumo.jp/chintai/jnc_000104265709/?bc=100484461644"/>
    <s v="都営大江戸線 落合南長崎駅 2階建 築19年"/>
    <s v="東京都新宿区西落合４"/>
    <n v="126000"/>
    <n v="5000"/>
    <n v="126000"/>
    <n v="126000"/>
    <n v="1"/>
    <x v="3"/>
    <n v="37.68"/>
    <n v="19"/>
    <x v="0"/>
    <s v="落合南長崎駅"/>
    <n v="9"/>
    <n v="12.67"/>
    <n v="122997.85"/>
    <n v="168453.81"/>
    <n v="512"/>
    <n v="788"/>
    <s v="30-40"/>
    <x v="7"/>
  </r>
  <r>
    <s v="https://suumo.jp/chintai/jnc_000104498696/?bc=100486117784"/>
    <s v="都営大江戸線 落合南長崎駅 2階建 築21年"/>
    <s v="東京都新宿区西落合３"/>
    <n v="155000"/>
    <n v="5000"/>
    <n v="75000"/>
    <n v="310000"/>
    <n v="1"/>
    <x v="3"/>
    <n v="48.23"/>
    <n v="21"/>
    <x v="0"/>
    <s v="落合南長崎駅"/>
    <n v="8"/>
    <n v="12"/>
    <n v="122997.85"/>
    <n v="168453.81"/>
    <n v="512"/>
    <n v="788"/>
    <s v="40-50"/>
    <x v="1"/>
  </r>
  <r>
    <s v="https://suumo.jp/chintai/jnc_000103770598/?bc=100483192680"/>
    <s v="都営大江戸線 落合南長崎駅 2階建 築4年"/>
    <s v="東京都新宿区西落合３"/>
    <n v="159000"/>
    <n v="4000"/>
    <m/>
    <n v="159000"/>
    <n v="2"/>
    <x v="3"/>
    <n v="38.21"/>
    <n v="4"/>
    <x v="0"/>
    <s v="落合南長崎駅"/>
    <n v="6"/>
    <n v="12"/>
    <n v="122997.85"/>
    <n v="168453.81"/>
    <n v="512"/>
    <n v="788"/>
    <s v="30-40"/>
    <x v="0"/>
  </r>
  <r>
    <s v="https://suumo.jp/chintai/jnc_000103843627/?bc=100481274894"/>
    <s v="都営大江戸線 落合南長崎駅 2階建 築9年"/>
    <s v="東京都新宿区西落合４"/>
    <n v="144000"/>
    <n v="4000"/>
    <n v="144000"/>
    <n v="144000"/>
    <n v="2"/>
    <x v="3"/>
    <n v="44"/>
    <n v="9"/>
    <x v="0"/>
    <s v="落合南長崎駅"/>
    <n v="8"/>
    <n v="12.33"/>
    <n v="122997.85"/>
    <n v="168453.81"/>
    <n v="512"/>
    <n v="788"/>
    <s v="40-50"/>
    <x v="0"/>
  </r>
  <r>
    <s v="https://suumo.jp/chintai/jnc_000102165199/?bc=100467138718"/>
    <s v="都営大江戸線 落合南長崎駅 3階建 築11年"/>
    <s v="東京都新宿区西落合２"/>
    <n v="145000"/>
    <n v="7000"/>
    <n v="145000"/>
    <n v="290000"/>
    <n v="1"/>
    <x v="3"/>
    <n v="45.6"/>
    <n v="11"/>
    <x v="2"/>
    <s v="落合南長崎駅"/>
    <n v="8"/>
    <n v="12"/>
    <n v="122997.85"/>
    <n v="168453.81"/>
    <n v="512"/>
    <n v="788"/>
    <s v="40-50"/>
    <x v="7"/>
  </r>
  <r>
    <s v="https://suumo.jp/chintai/jnc_000104482302/?bc=100486004093"/>
    <s v="都営大江戸線 落合南長崎駅 3階建 築11年"/>
    <s v="東京都新宿区西落合１"/>
    <n v="168000"/>
    <n v="8000"/>
    <n v="168000"/>
    <n v="252000"/>
    <n v="2"/>
    <x v="3"/>
    <n v="49.98"/>
    <n v="11"/>
    <x v="2"/>
    <s v="落合南長崎駅"/>
    <n v="5"/>
    <n v="11.33"/>
    <n v="122997.85"/>
    <n v="168453.81"/>
    <n v="512"/>
    <n v="788"/>
    <s v="40-50"/>
    <x v="7"/>
  </r>
  <r>
    <s v="https://suumo.jp/chintai/jnc_000103750542/?bc=100479719650"/>
    <s v="都営大江戸線 落合南長崎駅 3階建 築1年"/>
    <s v="東京都中野区上高田５"/>
    <n v="154000"/>
    <n v="14000"/>
    <m/>
    <n v="154000"/>
    <n v="1"/>
    <x v="3"/>
    <n v="36.659999999999997"/>
    <n v="1"/>
    <x v="2"/>
    <s v="落合南長崎駅"/>
    <n v="11"/>
    <n v="16"/>
    <n v="122997.85"/>
    <n v="168453.81"/>
    <n v="512"/>
    <n v="788"/>
    <s v="30-40"/>
    <x v="0"/>
  </r>
  <r>
    <s v="https://suumo.jp/chintai/jnc_000103750539/?bc=100486057253"/>
    <s v="都営大江戸線 落合南長崎駅 3階建 築1年"/>
    <s v="東京都中野区上高田５"/>
    <n v="151000"/>
    <n v="14000"/>
    <m/>
    <n v="151000"/>
    <n v="1"/>
    <x v="3"/>
    <n v="36.72"/>
    <n v="1"/>
    <x v="2"/>
    <s v="落合南長崎駅"/>
    <n v="11"/>
    <n v="16"/>
    <n v="122997.85"/>
    <n v="168453.81"/>
    <n v="512"/>
    <n v="788"/>
    <s v="30-40"/>
    <x v="0"/>
  </r>
  <r>
    <s v="https://suumo.jp/chintai/jnc_000103750544/?bc=100479719640"/>
    <s v="都営大江戸線 落合南長崎駅 3階建 築1年"/>
    <s v="東京都中野区上高田５"/>
    <n v="155000"/>
    <n v="14000"/>
    <m/>
    <n v="155000"/>
    <n v="1"/>
    <x v="3"/>
    <n v="39.49"/>
    <n v="1"/>
    <x v="2"/>
    <s v="落合南長崎駅"/>
    <n v="11"/>
    <n v="16"/>
    <n v="122997.85"/>
    <n v="168453.81"/>
    <n v="512"/>
    <n v="788"/>
    <s v="30-40"/>
    <x v="0"/>
  </r>
  <r>
    <s v="https://suumo.jp/chintai/jnc_000103750540/?bc=100479719637"/>
    <s v="都営大江戸線 落合南長崎駅 3階建 築1年"/>
    <s v="東京都中野区上高田５"/>
    <n v="159000"/>
    <n v="14000"/>
    <m/>
    <n v="159000"/>
    <n v="1"/>
    <x v="3"/>
    <n v="43.3"/>
    <n v="1"/>
    <x v="2"/>
    <s v="落合南長崎駅"/>
    <n v="11"/>
    <n v="16"/>
    <n v="122997.85"/>
    <n v="168453.81"/>
    <n v="512"/>
    <n v="788"/>
    <s v="40-50"/>
    <x v="0"/>
  </r>
  <r>
    <s v="https://suumo.jp/chintai/jnc_000103750543/?bc=100479719524"/>
    <s v="都営大江戸線 落合南長崎駅 3階建 築1年"/>
    <s v="東京都中野区上高田５"/>
    <n v="159000"/>
    <n v="14000"/>
    <m/>
    <n v="159000"/>
    <n v="1"/>
    <x v="3"/>
    <n v="43.73"/>
    <n v="1"/>
    <x v="2"/>
    <s v="落合南長崎駅"/>
    <n v="11"/>
    <n v="16"/>
    <n v="122997.85"/>
    <n v="168453.81"/>
    <n v="512"/>
    <n v="788"/>
    <s v="40-50"/>
    <x v="0"/>
  </r>
  <r>
    <s v="https://suumo.jp/chintai/jnc_000103750545/?bc=100483191741"/>
    <s v="都営大江戸線 落合南長崎駅 3階建 築1年"/>
    <s v="東京都中野区上高田５"/>
    <n v="163000"/>
    <n v="14000"/>
    <m/>
    <n v="326000"/>
    <n v="1"/>
    <x v="3"/>
    <n v="48.51"/>
    <n v="1"/>
    <x v="2"/>
    <s v="落合南長崎駅"/>
    <n v="11"/>
    <n v="16"/>
    <n v="122997.85"/>
    <n v="168453.81"/>
    <n v="512"/>
    <n v="788"/>
    <s v="40-50"/>
    <x v="0"/>
  </r>
  <r>
    <s v="https://suumo.jp/chintai/jnc_000103750541/?bc=100486057285"/>
    <s v="都営大江戸線 落合南長崎駅 3階建 築1年"/>
    <s v="東京都中野区上高田５"/>
    <n v="168000"/>
    <n v="14000"/>
    <m/>
    <n v="168000"/>
    <n v="1"/>
    <x v="3"/>
    <n v="49.67"/>
    <n v="1"/>
    <x v="2"/>
    <s v="落合南長崎駅"/>
    <n v="11"/>
    <n v="16"/>
    <n v="122997.85"/>
    <n v="168453.81"/>
    <n v="512"/>
    <n v="788"/>
    <s v="40-50"/>
    <x v="0"/>
  </r>
  <r>
    <s v="https://suumo.jp/chintai/jnc_000103750550/?bc=100479719653"/>
    <s v="都営大江戸線 落合南長崎駅 3階建 築1年"/>
    <s v="東京都中野区上高田５"/>
    <n v="159000"/>
    <n v="14000"/>
    <m/>
    <n v="159000"/>
    <n v="2"/>
    <x v="3"/>
    <n v="36.659999999999997"/>
    <n v="1"/>
    <x v="2"/>
    <s v="落合南長崎駅"/>
    <n v="11"/>
    <n v="16"/>
    <n v="122997.85"/>
    <n v="168453.81"/>
    <n v="512"/>
    <n v="788"/>
    <s v="30-40"/>
    <x v="0"/>
  </r>
  <r>
    <s v="https://suumo.jp/chintai/jnc_000103750547/?bc=100483191740"/>
    <s v="都営大江戸線 落合南長崎駅 3階建 築1年"/>
    <s v="東京都中野区上高田５"/>
    <n v="156000"/>
    <n v="14000"/>
    <m/>
    <n v="312000"/>
    <n v="2"/>
    <x v="3"/>
    <n v="36.72"/>
    <n v="1"/>
    <x v="2"/>
    <s v="落合南長崎駅"/>
    <n v="11"/>
    <n v="16"/>
    <n v="122997.85"/>
    <n v="168453.81"/>
    <n v="512"/>
    <n v="788"/>
    <s v="30-40"/>
    <x v="0"/>
  </r>
  <r>
    <s v="https://suumo.jp/chintai/jnc_000103750552/?bc=100479719638"/>
    <s v="都営大江戸線 落合南長崎駅 3階建 築1年"/>
    <s v="東京都中野区上高田５"/>
    <n v="160000"/>
    <n v="14000"/>
    <m/>
    <n v="160000"/>
    <n v="2"/>
    <x v="3"/>
    <n v="39.49"/>
    <n v="1"/>
    <x v="2"/>
    <s v="落合南長崎駅"/>
    <n v="11"/>
    <n v="16"/>
    <n v="122997.85"/>
    <n v="168453.81"/>
    <n v="512"/>
    <n v="788"/>
    <s v="30-40"/>
    <x v="0"/>
  </r>
  <r>
    <s v="https://suumo.jp/chintai/jnc_000103750548/?bc=100483191693"/>
    <s v="都営大江戸線 落合南長崎駅 3階建 築1年"/>
    <s v="東京都中野区上高田５"/>
    <n v="164000"/>
    <n v="14000"/>
    <m/>
    <n v="328000"/>
    <n v="2"/>
    <x v="3"/>
    <n v="43.3"/>
    <n v="1"/>
    <x v="2"/>
    <s v="落合南長崎駅"/>
    <n v="11"/>
    <n v="16"/>
    <n v="122997.85"/>
    <n v="168453.81"/>
    <n v="512"/>
    <n v="788"/>
    <s v="40-50"/>
    <x v="0"/>
  </r>
  <r>
    <s v="https://suumo.jp/chintai/jnc_000103750551/?bc=100479719643"/>
    <s v="都営大江戸線 落合南長崎駅 3階建 築1年"/>
    <s v="東京都中野区上高田５"/>
    <n v="164000"/>
    <n v="14000"/>
    <m/>
    <n v="164000"/>
    <n v="2"/>
    <x v="3"/>
    <n v="43.73"/>
    <n v="1"/>
    <x v="2"/>
    <s v="落合南長崎駅"/>
    <n v="11"/>
    <n v="16"/>
    <n v="122997.85"/>
    <n v="168453.81"/>
    <n v="512"/>
    <n v="788"/>
    <s v="40-50"/>
    <x v="0"/>
  </r>
  <r>
    <s v="https://suumo.jp/chintai/jnc_000103750549/?bc=100483191697"/>
    <s v="都営大江戸線 落合南長崎駅 3階建 築1年"/>
    <s v="東京都中野区上高田５"/>
    <n v="173000"/>
    <n v="14000"/>
    <m/>
    <n v="346000"/>
    <n v="2"/>
    <x v="3"/>
    <n v="49.67"/>
    <n v="1"/>
    <x v="2"/>
    <s v="落合南長崎駅"/>
    <n v="11"/>
    <n v="16"/>
    <n v="122997.85"/>
    <n v="168453.81"/>
    <n v="512"/>
    <n v="788"/>
    <s v="40-50"/>
    <x v="0"/>
  </r>
  <r>
    <s v="https://suumo.jp/chintai/jnc_000103750557/?bc=100486057569"/>
    <s v="都営大江戸線 落合南長崎駅 3階建 築1年"/>
    <s v="東京都中野区上高田５"/>
    <n v="164000"/>
    <n v="14000"/>
    <m/>
    <n v="164000"/>
    <n v="3"/>
    <x v="3"/>
    <n v="36.659999999999997"/>
    <n v="1"/>
    <x v="2"/>
    <s v="落合南長崎駅"/>
    <n v="11"/>
    <n v="16"/>
    <n v="122997.85"/>
    <n v="168453.81"/>
    <n v="512"/>
    <n v="788"/>
    <s v="30-40"/>
    <x v="0"/>
  </r>
  <r>
    <s v="https://suumo.jp/chintai/jnc_000103750554/?bc=100479719651"/>
    <s v="都営大江戸線 落合南長崎駅 3階建 築1年"/>
    <s v="東京都中野区上高田５"/>
    <n v="161000"/>
    <n v="14000"/>
    <m/>
    <n v="161000"/>
    <n v="3"/>
    <x v="3"/>
    <n v="36.72"/>
    <n v="1"/>
    <x v="2"/>
    <s v="落合南長崎駅"/>
    <n v="11"/>
    <n v="16"/>
    <n v="122997.85"/>
    <n v="168453.81"/>
    <n v="512"/>
    <n v="788"/>
    <s v="30-40"/>
    <x v="0"/>
  </r>
  <r>
    <s v="https://suumo.jp/chintai/jnc_000103750559/?bc=100486057573"/>
    <s v="都営大江戸線 落合南長崎駅 3階建 築1年"/>
    <s v="東京都中野区上高田５"/>
    <n v="165000"/>
    <n v="14000"/>
    <m/>
    <n v="165000"/>
    <n v="3"/>
    <x v="3"/>
    <n v="39.49"/>
    <n v="1"/>
    <x v="2"/>
    <s v="落合南長崎駅"/>
    <n v="11"/>
    <n v="16"/>
    <n v="122997.85"/>
    <n v="168453.81"/>
    <n v="512"/>
    <n v="788"/>
    <s v="30-40"/>
    <x v="0"/>
  </r>
  <r>
    <s v="https://suumo.jp/chintai/jnc_000103750555/?bc=100479719644"/>
    <s v="都営大江戸線 落合南長崎駅 3階建 築1年"/>
    <s v="東京都中野区上高田５"/>
    <n v="169000"/>
    <n v="14000"/>
    <m/>
    <n v="169000"/>
    <n v="3"/>
    <x v="3"/>
    <n v="43.3"/>
    <n v="1"/>
    <x v="2"/>
    <s v="落合南長崎駅"/>
    <n v="11"/>
    <n v="16"/>
    <n v="122997.85"/>
    <n v="168453.81"/>
    <n v="512"/>
    <n v="788"/>
    <s v="40-50"/>
    <x v="0"/>
  </r>
  <r>
    <s v="https://suumo.jp/chintai/jnc_000103750558/?bc=100486057584"/>
    <s v="都営大江戸線 落合南長崎駅 3階建 築1年"/>
    <s v="東京都中野区上高田５"/>
    <n v="169000"/>
    <n v="14000"/>
    <m/>
    <n v="169000"/>
    <n v="3"/>
    <x v="3"/>
    <n v="43.73"/>
    <n v="1"/>
    <x v="2"/>
    <s v="落合南長崎駅"/>
    <n v="11"/>
    <n v="16"/>
    <n v="122997.85"/>
    <n v="168453.81"/>
    <n v="512"/>
    <n v="788"/>
    <s v="40-50"/>
    <x v="0"/>
  </r>
  <r>
    <s v="https://suumo.jp/chintai/jnc_000103750556/?bc=100479719664"/>
    <s v="都営大江戸線 落合南長崎駅 3階建 築1年"/>
    <s v="東京都中野区上高田５"/>
    <n v="178000"/>
    <n v="14000"/>
    <m/>
    <n v="178000"/>
    <n v="3"/>
    <x v="3"/>
    <n v="49.67"/>
    <n v="1"/>
    <x v="2"/>
    <s v="落合南長崎駅"/>
    <n v="11"/>
    <n v="16"/>
    <n v="122997.85"/>
    <n v="168453.81"/>
    <n v="512"/>
    <n v="788"/>
    <s v="40-50"/>
    <x v="0"/>
  </r>
  <r>
    <s v="https://suumo.jp/chintai/jnc_000104295050/?bc=100484490171"/>
    <s v="都営大江戸線 落合南長崎駅 4階建 築10年"/>
    <s v="東京都新宿区西落合４"/>
    <n v="135000"/>
    <n v="5000"/>
    <n v="135000"/>
    <n v="135000"/>
    <n v="2"/>
    <x v="3"/>
    <n v="35.270000000000003"/>
    <n v="10"/>
    <x v="4"/>
    <s v="落合南長崎駅"/>
    <n v="12"/>
    <n v="13.67"/>
    <n v="122997.85"/>
    <n v="168453.81"/>
    <n v="512"/>
    <n v="788"/>
    <s v="30-40"/>
    <x v="0"/>
  </r>
  <r>
    <s v="https://suumo.jp/chintai/jnc_000104261590/?bc=100484682992"/>
    <s v="都営大江戸線 落合南長崎駅 5階建 築13年"/>
    <s v="東京都新宿区西落合２"/>
    <n v="158000"/>
    <n v="10000"/>
    <n v="158000"/>
    <n v="158000"/>
    <n v="2"/>
    <x v="3"/>
    <n v="40.54"/>
    <n v="13"/>
    <x v="7"/>
    <s v="落合南長崎駅"/>
    <n v="10"/>
    <n v="13"/>
    <n v="122997.85"/>
    <n v="168453.81"/>
    <n v="512"/>
    <n v="788"/>
    <s v="40-50"/>
    <x v="7"/>
  </r>
  <r>
    <s v="https://suumo.jp/chintai/jnc_000104316382/?bc=100484683034"/>
    <s v="都営大江戸線 落合南長崎駅 5階建 築3年"/>
    <s v="東京都新宿区西落合２"/>
    <n v="160000"/>
    <n v="10500"/>
    <m/>
    <n v="160000"/>
    <n v="3"/>
    <x v="3"/>
    <n v="39.33"/>
    <n v="3"/>
    <x v="7"/>
    <s v="落合南長崎駅"/>
    <n v="9"/>
    <n v="13"/>
    <n v="122997.85"/>
    <n v="168453.81"/>
    <n v="512"/>
    <n v="788"/>
    <s v="30-40"/>
    <x v="0"/>
  </r>
  <r>
    <s v="https://suumo.jp/chintai/jnc_000104060187/?bc=100469616996"/>
    <s v="都営大江戸線 落合南長崎駅 5階建 築9年"/>
    <s v="東京都新宿区西落合１"/>
    <n v="138000"/>
    <n v="9000"/>
    <n v="138000"/>
    <n v="138000"/>
    <n v="1"/>
    <x v="3"/>
    <n v="42.05"/>
    <n v="9"/>
    <x v="7"/>
    <s v="落合南長崎駅"/>
    <n v="2"/>
    <n v="9"/>
    <n v="122997.85"/>
    <n v="168453.81"/>
    <n v="512"/>
    <n v="788"/>
    <s v="40-50"/>
    <x v="0"/>
  </r>
  <r>
    <s v="https://suumo.jp/chintai/jnc_000104156229/?bc=100483375237"/>
    <s v="都営大江戸線 落合南長崎駅 6階建 築2年"/>
    <s v="東京都新宿区西落合２"/>
    <n v="197000"/>
    <n v="18000"/>
    <n v="197000"/>
    <n v="197000"/>
    <n v="4"/>
    <x v="3"/>
    <n v="40.29"/>
    <n v="2"/>
    <x v="5"/>
    <s v="落合南長崎駅"/>
    <n v="9"/>
    <n v="12.67"/>
    <n v="122997.85"/>
    <n v="168453.81"/>
    <n v="512"/>
    <n v="788"/>
    <s v="40-50"/>
    <x v="0"/>
  </r>
  <r>
    <s v="https://suumo.jp/chintai/jnc_000102923018/?bc=100481707089"/>
    <s v="都営大江戸線 落合南長崎駅 6階建 築33年"/>
    <s v="東京都豊島区南長崎５"/>
    <n v="110000"/>
    <n v="10000"/>
    <n v="110000"/>
    <n v="110000"/>
    <n v="4"/>
    <x v="3"/>
    <n v="41.18"/>
    <n v="33"/>
    <x v="5"/>
    <s v="落合南長崎駅"/>
    <n v="5"/>
    <n v="6"/>
    <n v="122997.85"/>
    <n v="168453.81"/>
    <n v="512"/>
    <n v="788"/>
    <s v="40-50"/>
    <x v="4"/>
  </r>
  <r>
    <s v="https://suumo.jp/chintai/jnc_000103585738/?bc=100462872625"/>
    <s v="都営大江戸線 落合南長崎駅 9階建 築1年"/>
    <s v="東京都新宿区西落合２"/>
    <n v="191000"/>
    <n v="15000"/>
    <n v="191000"/>
    <m/>
    <n v="4"/>
    <x v="3"/>
    <n v="37.67"/>
    <n v="1"/>
    <x v="6"/>
    <s v="落合南長崎駅"/>
    <n v="9"/>
    <n v="11.67"/>
    <n v="122997.85"/>
    <n v="168453.81"/>
    <n v="512"/>
    <n v="788"/>
    <s v="30-40"/>
    <x v="0"/>
  </r>
  <r>
    <s v="https://suumo.jp/chintai/jnc_000102117501/?bc=100481856166"/>
    <s v="都営大江戸線 落合南長崎駅 9階建 築1年"/>
    <s v="東京都新宿区西落合２"/>
    <n v="190000"/>
    <n v="15000"/>
    <n v="190000"/>
    <m/>
    <n v="4"/>
    <x v="3"/>
    <n v="37.67"/>
    <n v="1"/>
    <x v="6"/>
    <s v="落合南長崎駅"/>
    <n v="9"/>
    <n v="11.67"/>
    <n v="122997.85"/>
    <n v="168453.81"/>
    <n v="512"/>
    <n v="788"/>
    <s v="30-40"/>
    <x v="0"/>
  </r>
  <r>
    <s v="https://suumo.jp/chintai/jnc_000104464224/?bc=100485903179"/>
    <s v="都営大江戸線 落合南長崎駅 地下1地上6階建 築47年"/>
    <s v="東京都新宿区西落合１"/>
    <n v="136000"/>
    <n v="5000"/>
    <n v="136000"/>
    <n v="163200"/>
    <n v="1"/>
    <x v="3"/>
    <n v="43.35"/>
    <n v="47"/>
    <x v="10"/>
    <s v="落合南長崎駅"/>
    <n v="5"/>
    <n v="12"/>
    <n v="122997.85"/>
    <n v="168453.81"/>
    <n v="512"/>
    <n v="788"/>
    <s v="40-50"/>
    <x v="3"/>
  </r>
  <r>
    <s v="https://suumo.jp/chintai/jnc_000103337922/?bc=100478211327"/>
    <s v="都営大江戸線 落合南長崎駅 地下1地上6階建 築47年"/>
    <s v="東京都新宿区西落合１"/>
    <n v="150000"/>
    <n v="5000"/>
    <n v="150000"/>
    <n v="180000"/>
    <n v="4"/>
    <x v="3"/>
    <n v="46.75"/>
    <n v="47"/>
    <x v="10"/>
    <s v="落合南長崎駅"/>
    <n v="5"/>
    <n v="12"/>
    <n v="122997.85"/>
    <n v="168453.81"/>
    <n v="512"/>
    <n v="788"/>
    <s v="40-50"/>
    <x v="3"/>
  </r>
  <r>
    <s v="https://suumo.jp/chintai/jnc_000104525334/?bc=100486394196"/>
    <s v="Ａｇｌａｉａ　新宿西落合"/>
    <s v="東京都新宿区西落合１"/>
    <n v="155000"/>
    <n v="10000"/>
    <n v="155000"/>
    <m/>
    <n v="1"/>
    <x v="3"/>
    <n v="30.02"/>
    <n v="0"/>
    <x v="2"/>
    <s v="落合南長崎駅"/>
    <n v="4"/>
    <n v="11.67"/>
    <n v="122997.85"/>
    <n v="168453.81"/>
    <n v="512"/>
    <n v="788"/>
    <s v="30-40"/>
    <x v="6"/>
  </r>
  <r>
    <s v="https://suumo.jp/chintai/jnc_000104525333/?bc=100486335778"/>
    <s v="Ａｇｌａｉａ　新宿西落合"/>
    <s v="東京都新宿区西落合１"/>
    <n v="156000"/>
    <n v="10000"/>
    <n v="156000"/>
    <m/>
    <n v="1"/>
    <x v="3"/>
    <n v="30.02"/>
    <n v="0"/>
    <x v="2"/>
    <s v="落合南長崎駅"/>
    <n v="4"/>
    <n v="11.67"/>
    <n v="122997.85"/>
    <n v="168453.81"/>
    <n v="512"/>
    <n v="788"/>
    <s v="30-40"/>
    <x v="6"/>
  </r>
  <r>
    <s v="https://suumo.jp/chintai/jnc_000104525336/?bc=100486335779"/>
    <s v="Ａｇｌａｉａ　新宿西落合"/>
    <s v="東京都新宿区西落合１"/>
    <n v="156000"/>
    <n v="10000"/>
    <n v="156000"/>
    <m/>
    <n v="1"/>
    <x v="3"/>
    <n v="30.6"/>
    <n v="0"/>
    <x v="2"/>
    <s v="落合南長崎駅"/>
    <n v="4"/>
    <n v="11.67"/>
    <n v="122997.85"/>
    <n v="168453.81"/>
    <n v="512"/>
    <n v="788"/>
    <s v="30-40"/>
    <x v="6"/>
  </r>
  <r>
    <s v="https://suumo.jp/chintai/jnc_000104525337/?bc=100486335823"/>
    <s v="Ａｇｌａｉａ　新宿西落合"/>
    <s v="東京都新宿区西落合１"/>
    <n v="157000"/>
    <n v="10000"/>
    <n v="157000"/>
    <m/>
    <n v="1"/>
    <x v="3"/>
    <n v="31.45"/>
    <n v="0"/>
    <x v="2"/>
    <s v="落合南長崎駅"/>
    <n v="4"/>
    <n v="11.67"/>
    <n v="122997.85"/>
    <n v="168453.81"/>
    <n v="512"/>
    <n v="788"/>
    <s v="30-40"/>
    <x v="6"/>
  </r>
  <r>
    <s v="https://suumo.jp/chintai/jnc_000104525341/?bc=100486335758"/>
    <s v="Ａｇｌａｉａ　新宿西落合"/>
    <s v="東京都新宿区西落合１"/>
    <n v="157000"/>
    <n v="10000"/>
    <n v="157000"/>
    <m/>
    <n v="2"/>
    <x v="3"/>
    <n v="30.02"/>
    <n v="0"/>
    <x v="2"/>
    <s v="落合南長崎駅"/>
    <n v="4"/>
    <n v="11.67"/>
    <n v="122997.85"/>
    <n v="168453.81"/>
    <n v="512"/>
    <n v="788"/>
    <s v="30-40"/>
    <x v="6"/>
  </r>
  <r>
    <s v="https://suumo.jp/chintai/jnc_000104525340/?bc=100486335818"/>
    <s v="Ａｇｌａｉａ　新宿西落合"/>
    <s v="東京都新宿区西落合１"/>
    <n v="158000"/>
    <n v="10000"/>
    <n v="158000"/>
    <m/>
    <n v="2"/>
    <x v="3"/>
    <n v="30.02"/>
    <n v="0"/>
    <x v="2"/>
    <s v="落合南長崎駅"/>
    <n v="4"/>
    <n v="11.67"/>
    <n v="122997.85"/>
    <n v="168453.81"/>
    <n v="512"/>
    <n v="788"/>
    <s v="30-40"/>
    <x v="6"/>
  </r>
  <r>
    <s v="https://suumo.jp/chintai/jnc_000104525343/?bc=100486335775"/>
    <s v="Ａｇｌａｉａ　新宿西落合"/>
    <s v="東京都新宿区西落合１"/>
    <n v="158000"/>
    <n v="10000"/>
    <n v="158000"/>
    <m/>
    <n v="2"/>
    <x v="3"/>
    <n v="30.6"/>
    <n v="0"/>
    <x v="2"/>
    <s v="落合南長崎駅"/>
    <n v="4"/>
    <n v="11.67"/>
    <n v="122997.85"/>
    <n v="168453.81"/>
    <n v="512"/>
    <n v="788"/>
    <s v="30-40"/>
    <x v="6"/>
  </r>
  <r>
    <s v="https://suumo.jp/chintai/jnc_000104525344/?bc=100486394239"/>
    <s v="Ａｇｌａｉａ　新宿西落合"/>
    <s v="東京都新宿区西落合１"/>
    <n v="159000"/>
    <n v="10000"/>
    <n v="159000"/>
    <m/>
    <n v="2"/>
    <x v="3"/>
    <n v="31.45"/>
    <n v="0"/>
    <x v="2"/>
    <s v="落合南長崎駅"/>
    <n v="4"/>
    <n v="11.67"/>
    <n v="122997.85"/>
    <n v="168453.81"/>
    <n v="512"/>
    <n v="788"/>
    <s v="30-40"/>
    <x v="6"/>
  </r>
  <r>
    <s v="https://suumo.jp/chintai/jnc_000104525348/?bc=100486335767"/>
    <s v="Ａｇｌａｉａ　新宿西落合"/>
    <s v="東京都新宿区西落合１"/>
    <n v="158000"/>
    <n v="10000"/>
    <n v="158000"/>
    <m/>
    <n v="3"/>
    <x v="3"/>
    <n v="30.02"/>
    <n v="0"/>
    <x v="2"/>
    <s v="落合南長崎駅"/>
    <n v="4"/>
    <n v="11.67"/>
    <n v="122997.85"/>
    <n v="168453.81"/>
    <n v="512"/>
    <n v="788"/>
    <s v="30-40"/>
    <x v="6"/>
  </r>
  <r>
    <s v="https://suumo.jp/chintai/jnc_000104525347/?bc=100486335825"/>
    <s v="Ａｇｌａｉａ　新宿西落合"/>
    <s v="東京都新宿区西落合１"/>
    <n v="159000"/>
    <n v="10000"/>
    <n v="159000"/>
    <m/>
    <n v="3"/>
    <x v="3"/>
    <n v="30.02"/>
    <n v="0"/>
    <x v="2"/>
    <s v="落合南長崎駅"/>
    <n v="4"/>
    <n v="11.67"/>
    <n v="122997.85"/>
    <n v="168453.81"/>
    <n v="512"/>
    <n v="788"/>
    <s v="30-40"/>
    <x v="6"/>
  </r>
  <r>
    <s v="https://suumo.jp/chintai/jnc_000104525350/?bc=100486335828"/>
    <s v="Ａｇｌａｉａ　新宿西落合"/>
    <s v="東京都新宿区西落合１"/>
    <n v="160000"/>
    <n v="10000"/>
    <n v="160000"/>
    <m/>
    <n v="3"/>
    <x v="3"/>
    <n v="31.45"/>
    <n v="0"/>
    <x v="2"/>
    <s v="落合南長崎駅"/>
    <n v="4"/>
    <n v="11.67"/>
    <n v="122997.85"/>
    <n v="168453.81"/>
    <n v="512"/>
    <n v="788"/>
    <s v="30-40"/>
    <x v="6"/>
  </r>
  <r>
    <s v="https://suumo.jp/chintai/jnc_000104531831/?bc=100486335789"/>
    <s v="Ａｇｌａｉａ　新宿西落合"/>
    <s v="東京都新宿区西落合１"/>
    <n v="145000"/>
    <n v="10000"/>
    <n v="145000"/>
    <m/>
    <n v="-1"/>
    <x v="3"/>
    <n v="27.26"/>
    <n v="0"/>
    <x v="2"/>
    <s v="落合南長崎駅"/>
    <n v="4"/>
    <n v="11.67"/>
    <n v="122997.85"/>
    <n v="168453.81"/>
    <n v="512"/>
    <n v="788"/>
    <s v="20-30"/>
    <x v="6"/>
  </r>
  <r>
    <s v="https://suumo.jp/chintai/jnc_000104531828/?bc=100486335801"/>
    <s v="Ａｇｌａｉａ　新宿西落合"/>
    <s v="東京都新宿区西落合１"/>
    <n v="149000"/>
    <n v="10000"/>
    <n v="149000"/>
    <m/>
    <n v="-1"/>
    <x v="3"/>
    <n v="30.02"/>
    <n v="0"/>
    <x v="2"/>
    <s v="落合南長崎駅"/>
    <n v="4"/>
    <n v="11.67"/>
    <n v="122997.85"/>
    <n v="168453.81"/>
    <n v="512"/>
    <n v="788"/>
    <s v="30-40"/>
    <x v="6"/>
  </r>
  <r>
    <s v="https://suumo.jp/chintai/jnc_000104531832/?bc=100486335786"/>
    <s v="Ａｇｌａｉａ　新宿西落合"/>
    <s v="東京都新宿区西落合１"/>
    <n v="151000"/>
    <n v="10000"/>
    <n v="151000"/>
    <m/>
    <n v="-1"/>
    <x v="3"/>
    <n v="31.45"/>
    <n v="0"/>
    <x v="2"/>
    <s v="落合南長崎駅"/>
    <n v="4"/>
    <n v="11.67"/>
    <n v="122997.85"/>
    <n v="168453.81"/>
    <n v="512"/>
    <n v="788"/>
    <s v="30-40"/>
    <x v="6"/>
  </r>
  <r>
    <s v="https://suumo.jp/chintai/jnc_000102224446/?bc=100471282394"/>
    <s v="ＣＥＲＩＳＩＥＲ"/>
    <s v="東京都新宿区西落合２"/>
    <n v="165000"/>
    <n v="10500"/>
    <n v="165000"/>
    <n v="165000"/>
    <n v="2"/>
    <x v="3"/>
    <n v="43.43"/>
    <n v="3"/>
    <x v="7"/>
    <s v="落合南長崎駅"/>
    <n v="9"/>
    <n v="13"/>
    <n v="122997.85"/>
    <n v="168453.81"/>
    <n v="512"/>
    <n v="788"/>
    <s v="40-50"/>
    <x v="0"/>
  </r>
  <r>
    <s v="https://suumo.jp/chintai/jnc_000104101252/?bc=100474923238"/>
    <s v="ＣＥＲＩＳＩＥＲ"/>
    <s v="東京都新宿区西落合２"/>
    <n v="165000"/>
    <n v="10500"/>
    <m/>
    <n v="165000"/>
    <n v="3"/>
    <x v="3"/>
    <n v="39.33"/>
    <n v="3"/>
    <x v="7"/>
    <s v="落合南長崎駅"/>
    <n v="9"/>
    <n v="13"/>
    <n v="122997.85"/>
    <n v="168453.81"/>
    <n v="512"/>
    <n v="788"/>
    <s v="30-40"/>
    <x v="0"/>
  </r>
  <r>
    <s v="https://suumo.jp/chintai/jnc_000104265707/?bc=100484648474"/>
    <s v="ＣＥＲＩＳＩＥＲ"/>
    <s v="東京都新宿区西落合２"/>
    <n v="160000"/>
    <n v="10500"/>
    <m/>
    <n v="160000"/>
    <n v="3"/>
    <x v="3"/>
    <n v="39.33"/>
    <n v="3"/>
    <x v="7"/>
    <s v="落合南長崎駅"/>
    <n v="9"/>
    <n v="13"/>
    <n v="122997.85"/>
    <n v="168453.81"/>
    <n v="512"/>
    <n v="788"/>
    <s v="30-40"/>
    <x v="0"/>
  </r>
  <r>
    <s v="https://suumo.jp/chintai/jnc_000104442207/?bc=100486001380"/>
    <s v="Ｃａｓａ　ｄｅ　Ｅｓｐｅｒａｎｚａ(カーサデエスペランサ)"/>
    <s v="東京都新宿区西落合１"/>
    <n v="168000"/>
    <n v="8000"/>
    <n v="168000"/>
    <n v="252000"/>
    <n v="2"/>
    <x v="3"/>
    <n v="49.98"/>
    <n v="11"/>
    <x v="2"/>
    <s v="落合南長崎駅"/>
    <n v="5"/>
    <n v="11.33"/>
    <n v="122997.85"/>
    <n v="168453.81"/>
    <n v="512"/>
    <n v="788"/>
    <s v="40-50"/>
    <x v="7"/>
  </r>
  <r>
    <s v="https://suumo.jp/chintai/jnc_000102251311/?bc=100354445042"/>
    <s v="Ｌａ　Ｄｏｕｃｅｕｒ西落合"/>
    <s v="東京都新宿区西落合１"/>
    <n v="130000"/>
    <n v="15000"/>
    <m/>
    <m/>
    <n v="2"/>
    <x v="3"/>
    <n v="30.69"/>
    <n v="5"/>
    <x v="4"/>
    <s v="落合南長崎駅"/>
    <n v="4"/>
    <n v="11.33"/>
    <n v="122997.85"/>
    <n v="168453.81"/>
    <n v="512"/>
    <n v="788"/>
    <s v="30-40"/>
    <x v="0"/>
  </r>
  <r>
    <s v="https://suumo.jp/chintai/jnc_000104271772/?bc=100484544378"/>
    <s v="B CITY APARTMENT SHINJUKU NW"/>
    <s v="東京都新宿区西落合１"/>
    <n v="100000"/>
    <n v="12000"/>
    <m/>
    <n v="100000"/>
    <n v="1"/>
    <x v="0"/>
    <n v="26.38"/>
    <n v="9"/>
    <x v="7"/>
    <s v="落合南長崎駅"/>
    <n v="4"/>
    <n v="11"/>
    <n v="122997.85"/>
    <n v="77692.34"/>
    <n v="512"/>
    <n v="1071"/>
    <s v="20-30"/>
    <x v="0"/>
  </r>
  <r>
    <s v="https://suumo.jp/chintai/jnc_000104222357/?bc=100484341327"/>
    <s v="B CITY APARTMENT SHINJUKU NW"/>
    <s v="東京都新宿区西落合１"/>
    <n v="110000"/>
    <n v="15000"/>
    <n v="110000"/>
    <n v="110000"/>
    <n v="3"/>
    <x v="0"/>
    <n v="25.68"/>
    <n v="9"/>
    <x v="7"/>
    <s v="落合南長崎駅"/>
    <n v="4"/>
    <n v="11"/>
    <n v="122997.85"/>
    <n v="77692.34"/>
    <n v="512"/>
    <n v="1071"/>
    <s v="20-30"/>
    <x v="0"/>
  </r>
  <r>
    <s v="https://suumo.jp/chintai/jnc_000103398381/?bc=100482028167"/>
    <s v="FUSION SHINJUKU NISHIOCHIAI"/>
    <s v="東京都新宿区西落合２"/>
    <n v="95000"/>
    <n v="8000"/>
    <n v="95000"/>
    <m/>
    <n v="3"/>
    <x v="0"/>
    <n v="25.7"/>
    <n v="10"/>
    <x v="7"/>
    <s v="落合南長崎駅"/>
    <n v="9"/>
    <n v="14"/>
    <n v="122997.85"/>
    <n v="77692.34"/>
    <n v="512"/>
    <n v="1071"/>
    <s v="20-30"/>
    <x v="0"/>
  </r>
  <r>
    <s v="https://suumo.jp/chintai/jnc_000066626929/?bc=100473317785"/>
    <s v="K-house中落合"/>
    <s v="東京都新宿区中落合４"/>
    <n v="70000"/>
    <n v="2000"/>
    <n v="70000"/>
    <n v="70000"/>
    <n v="2"/>
    <x v="0"/>
    <n v="18.809999999999999"/>
    <n v="9"/>
    <x v="0"/>
    <s v="落合南長崎駅"/>
    <n v="8"/>
    <n v="8.33"/>
    <n v="122997.85"/>
    <n v="77692.34"/>
    <n v="512"/>
    <n v="1071"/>
    <s v="10-20"/>
    <x v="0"/>
  </r>
  <r>
    <s v="https://suumo.jp/chintai/jnc_000104454682/?bc=100485779909"/>
    <s v="LAPiS西落合"/>
    <s v="東京都新宿区西落合１"/>
    <n v="105000"/>
    <n v="10000"/>
    <n v="105000"/>
    <n v="105000"/>
    <n v="1"/>
    <x v="0"/>
    <n v="27.18"/>
    <n v="9"/>
    <x v="4"/>
    <s v="落合南長崎駅"/>
    <n v="8"/>
    <n v="12.67"/>
    <n v="122997.85"/>
    <n v="77692.34"/>
    <n v="512"/>
    <n v="1071"/>
    <s v="20-30"/>
    <x v="0"/>
  </r>
  <r>
    <s v="https://suumo.jp/chintai/jnc_000103863970/?bc=100481240627"/>
    <s v="M´哲学堂公園"/>
    <s v="東京都新宿区西落合２"/>
    <n v="64000"/>
    <n v="4000"/>
    <m/>
    <n v="64000"/>
    <n v="1"/>
    <x v="0"/>
    <n v="10.15"/>
    <n v="10"/>
    <x v="0"/>
    <s v="落合南長崎駅"/>
    <n v="10"/>
    <n v="13.33"/>
    <n v="122997.85"/>
    <n v="77692.34"/>
    <n v="512"/>
    <n v="1071"/>
    <s v="10-20"/>
    <x v="0"/>
  </r>
  <r>
    <s v="https://suumo.jp/chintai/jnc_000095757373/?bc=100485369234"/>
    <s v="Parc Lux"/>
    <s v="東京都新宿区中落合３"/>
    <n v="67000"/>
    <m/>
    <m/>
    <m/>
    <n v="2"/>
    <x v="0"/>
    <n v="11.58"/>
    <n v="5"/>
    <x v="0"/>
    <s v="落合南長崎駅"/>
    <n v="7"/>
    <n v="11.33"/>
    <n v="122997.85"/>
    <n v="77692.34"/>
    <n v="512"/>
    <n v="1071"/>
    <s v="10-20"/>
    <x v="0"/>
  </r>
  <r>
    <s v="https://suumo.jp/chintai/jnc_000104156226/?bc=100483734108"/>
    <s v="Parc Lux"/>
    <s v="東京都新宿区中落合３"/>
    <n v="65000"/>
    <n v="3000"/>
    <m/>
    <m/>
    <n v="2"/>
    <x v="0"/>
    <n v="15.92"/>
    <n v="5"/>
    <x v="0"/>
    <s v="落合南長崎駅"/>
    <n v="7"/>
    <n v="11.33"/>
    <n v="122997.85"/>
    <n v="77692.34"/>
    <n v="512"/>
    <n v="1071"/>
    <s v="10-20"/>
    <x v="0"/>
  </r>
  <r>
    <s v="https://suumo.jp/chintai/jnc_000104108242/?bc=100483235249"/>
    <s v="T‘s Cuore MUSE落合南長崎"/>
    <s v="東京都豊島区南長崎２"/>
    <n v="140000"/>
    <n v="7000"/>
    <n v="140000"/>
    <m/>
    <n v="1"/>
    <x v="0"/>
    <n v="28.11"/>
    <n v="1"/>
    <x v="2"/>
    <s v="落合南長崎駅"/>
    <n v="9"/>
    <n v="11.67"/>
    <n v="122997.85"/>
    <n v="77692.34"/>
    <n v="512"/>
    <n v="1071"/>
    <s v="20-30"/>
    <x v="0"/>
  </r>
  <r>
    <s v="https://suumo.jp/chintai/jnc_000104108241/?bc=100483286975"/>
    <s v="T‘s Cuore MUSE落合南長崎"/>
    <s v="東京都豊島区南長崎２"/>
    <n v="146000"/>
    <n v="7000"/>
    <n v="146000"/>
    <m/>
    <n v="1"/>
    <x v="0"/>
    <n v="30.52"/>
    <n v="1"/>
    <x v="2"/>
    <s v="落合南長崎駅"/>
    <n v="9"/>
    <n v="11.67"/>
    <n v="122997.85"/>
    <n v="77692.34"/>
    <n v="512"/>
    <n v="1071"/>
    <s v="30-40"/>
    <x v="0"/>
  </r>
  <r>
    <s v="https://suumo.jp/chintai/jnc_000104108245/?bc=100483286995"/>
    <s v="T‘s Cuore MUSE落合南長崎"/>
    <s v="東京都豊島区南長崎２"/>
    <n v="145000"/>
    <n v="7000"/>
    <n v="145000"/>
    <m/>
    <n v="2"/>
    <x v="0"/>
    <n v="28.11"/>
    <n v="1"/>
    <x v="2"/>
    <s v="落合南長崎駅"/>
    <n v="9"/>
    <n v="11.67"/>
    <n v="122997.85"/>
    <n v="77692.34"/>
    <n v="512"/>
    <n v="1071"/>
    <s v="20-30"/>
    <x v="0"/>
  </r>
  <r>
    <s v="https://suumo.jp/chintai/jnc_000104108244/?bc=100483286940"/>
    <s v="T‘s Cuore MUSE落合南長崎"/>
    <s v="東京都豊島区南長崎２"/>
    <n v="151000"/>
    <n v="7000"/>
    <n v="151000"/>
    <m/>
    <n v="2"/>
    <x v="0"/>
    <n v="30.52"/>
    <n v="1"/>
    <x v="2"/>
    <s v="落合南長崎駅"/>
    <n v="9"/>
    <n v="11.67"/>
    <n v="122997.85"/>
    <n v="77692.34"/>
    <n v="512"/>
    <n v="1071"/>
    <s v="30-40"/>
    <x v="0"/>
  </r>
  <r>
    <s v="https://suumo.jp/chintai/jnc_000104108247/?bc=100483287065"/>
    <s v="T‘s Cuore MUSE落合南長崎"/>
    <s v="東京都豊島区南長崎２"/>
    <n v="145000"/>
    <n v="7000"/>
    <n v="145000"/>
    <m/>
    <n v="3"/>
    <x v="0"/>
    <n v="28.11"/>
    <n v="1"/>
    <x v="2"/>
    <s v="落合南長崎駅"/>
    <n v="9"/>
    <n v="11.67"/>
    <n v="122997.85"/>
    <n v="77692.34"/>
    <n v="512"/>
    <n v="1071"/>
    <s v="20-30"/>
    <x v="0"/>
  </r>
  <r>
    <s v="https://suumo.jp/chintai/jnc_000104108246/?bc=100483096068"/>
    <s v="T‘s Cuore MUSE落合南長崎"/>
    <s v="東京都豊島区南長崎２"/>
    <n v="152000"/>
    <n v="7000"/>
    <n v="152000"/>
    <m/>
    <n v="3"/>
    <x v="0"/>
    <n v="30.52"/>
    <n v="1"/>
    <x v="2"/>
    <s v="落合南長崎駅"/>
    <n v="9"/>
    <n v="11.67"/>
    <n v="122997.85"/>
    <n v="77692.34"/>
    <n v="512"/>
    <n v="1071"/>
    <s v="30-40"/>
    <x v="0"/>
  </r>
  <r>
    <s v="https://suumo.jp/chintai/jnc_000103307603/?bc=100477071979"/>
    <s v="あすかパレス南長崎"/>
    <s v="東京都豊島区南長崎４"/>
    <n v="25000"/>
    <n v="5000"/>
    <m/>
    <m/>
    <n v="2"/>
    <x v="0"/>
    <n v="11.5"/>
    <n v="51"/>
    <x v="0"/>
    <s v="落合南長崎駅"/>
    <n v="2"/>
    <n v="13.33"/>
    <n v="122997.85"/>
    <n v="77692.34"/>
    <n v="512"/>
    <n v="1071"/>
    <s v="10-20"/>
    <x v="5"/>
  </r>
  <r>
    <s v="https://suumo.jp/chintai/jnc_000100897725/?bc=100482895715"/>
    <s v="ちきゅうハウス"/>
    <s v="東京都豊島区南長崎４"/>
    <n v="92000"/>
    <n v="5000"/>
    <m/>
    <m/>
    <n v="2"/>
    <x v="0"/>
    <n v="22.15"/>
    <n v="22"/>
    <x v="0"/>
    <s v="落合南長崎駅"/>
    <n v="2"/>
    <n v="12.67"/>
    <n v="122997.85"/>
    <n v="77692.34"/>
    <n v="512"/>
    <n v="1071"/>
    <s v="20-30"/>
    <x v="1"/>
  </r>
  <r>
    <s v="https://suumo.jp/chintai/jnc_000104117874/?bc=100483392434"/>
    <s v="アーバンプレイス目白IIIA"/>
    <s v="東京都豊島区南長崎２"/>
    <n v="50000"/>
    <n v="3000"/>
    <n v="50000"/>
    <n v="50000"/>
    <n v="1"/>
    <x v="0"/>
    <n v="10.59"/>
    <n v="14"/>
    <x v="0"/>
    <s v="落合南長崎駅"/>
    <n v="7"/>
    <n v="10"/>
    <n v="122997.85"/>
    <n v="77692.34"/>
    <n v="512"/>
    <n v="1071"/>
    <s v="10-20"/>
    <x v="7"/>
  </r>
  <r>
    <s v="https://suumo.jp/chintai/jnc_000104187068/?bc=100483092272"/>
    <s v="アーバンプレイス目白IIIA"/>
    <s v="東京都豊島区南長崎２"/>
    <n v="55000"/>
    <n v="3000"/>
    <n v="55000"/>
    <n v="55000"/>
    <n v="2"/>
    <x v="0"/>
    <n v="10.59"/>
    <n v="14"/>
    <x v="0"/>
    <s v="落合南長崎駅"/>
    <n v="7"/>
    <n v="10"/>
    <n v="122997.85"/>
    <n v="77692.34"/>
    <n v="512"/>
    <n v="1071"/>
    <s v="10-20"/>
    <x v="7"/>
  </r>
  <r>
    <s v="https://suumo.jp/chintai/jnc_000098316481/?bc=100421946755"/>
    <s v="アーバンプレイス目白IIIA"/>
    <s v="東京都豊島区南長崎２"/>
    <n v="62000"/>
    <n v="3000"/>
    <m/>
    <m/>
    <n v="2"/>
    <x v="0"/>
    <n v="9.32"/>
    <n v="14"/>
    <x v="0"/>
    <s v="落合南長崎駅"/>
    <n v="7"/>
    <n v="10"/>
    <n v="122997.85"/>
    <n v="77692.34"/>
    <n v="512"/>
    <n v="1071"/>
    <s v="&lt;10"/>
    <x v="7"/>
  </r>
  <r>
    <s v="https://suumo.jp/chintai/jnc_000093271554/?bc=100399804285"/>
    <s v="アーバンプレイス目白IIIＢ"/>
    <s v="東京都豊島区南長崎２"/>
    <n v="60000"/>
    <n v="3000"/>
    <n v="60000"/>
    <n v="60000"/>
    <n v="2"/>
    <x v="0"/>
    <n v="12"/>
    <n v="14"/>
    <x v="0"/>
    <s v="落合南長崎駅"/>
    <n v="7"/>
    <n v="10.33"/>
    <n v="122997.85"/>
    <n v="77692.34"/>
    <n v="512"/>
    <n v="1071"/>
    <s v="10-20"/>
    <x v="7"/>
  </r>
  <r>
    <s v="https://suumo.jp/chintai/jnc_000085708382/?bc=100486085285"/>
    <s v="アーバンプレイス落合南長崎駅前"/>
    <s v="東京都新宿区西落合１"/>
    <n v="65000"/>
    <n v="4000"/>
    <n v="65000"/>
    <m/>
    <n v="2"/>
    <x v="0"/>
    <n v="10.85"/>
    <n v="7"/>
    <x v="0"/>
    <s v="落合南長崎駅"/>
    <n v="1"/>
    <n v="8.33"/>
    <n v="122997.85"/>
    <n v="77692.34"/>
    <n v="512"/>
    <n v="1071"/>
    <s v="10-20"/>
    <x v="0"/>
  </r>
  <r>
    <s v="https://suumo.jp/chintai/jnc_000089397489/?bc=100481715977"/>
    <s v="エコー中落合"/>
    <s v="東京都新宿区中落合４"/>
    <n v="45000"/>
    <m/>
    <n v="45000"/>
    <n v="45000"/>
    <n v="2"/>
    <x v="0"/>
    <n v="12"/>
    <n v="35"/>
    <x v="2"/>
    <s v="落合南長崎駅"/>
    <n v="4"/>
    <n v="10"/>
    <n v="122997.85"/>
    <n v="77692.34"/>
    <n v="512"/>
    <n v="1071"/>
    <s v="10-20"/>
    <x v="4"/>
  </r>
  <r>
    <s v="https://suumo.jp/chintai/jnc_000097784401/?bc=100431542916"/>
    <s v="エコー中落合"/>
    <s v="東京都新宿区中落合４"/>
    <n v="43000"/>
    <m/>
    <n v="43000"/>
    <n v="43000"/>
    <n v="3"/>
    <x v="0"/>
    <n v="12"/>
    <n v="35"/>
    <x v="2"/>
    <s v="落合南長崎駅"/>
    <n v="4"/>
    <n v="10"/>
    <n v="122997.85"/>
    <n v="77692.34"/>
    <n v="512"/>
    <n v="1071"/>
    <s v="10-20"/>
    <x v="4"/>
  </r>
  <r>
    <s v="https://suumo.jp/chintai/jnc_000103873955/?bc=100481441978"/>
    <s v="カトレア南長崎"/>
    <s v="東京都豊島区南長崎３"/>
    <n v="71000"/>
    <n v="4000"/>
    <m/>
    <n v="71000"/>
    <n v="1"/>
    <x v="0"/>
    <n v="11.76"/>
    <n v="8"/>
    <x v="0"/>
    <s v="落合南長崎駅"/>
    <n v="10"/>
    <n v="18.329999999999998"/>
    <n v="122997.85"/>
    <n v="77692.34"/>
    <n v="512"/>
    <n v="1071"/>
    <s v="10-20"/>
    <x v="0"/>
  </r>
  <r>
    <s v="https://suumo.jp/chintai/jnc_000104357368/?bc=100485000721"/>
    <s v="カトレア南長崎"/>
    <s v="東京都豊島区南長崎３"/>
    <n v="70000"/>
    <n v="4000"/>
    <m/>
    <n v="70000"/>
    <n v="1"/>
    <x v="0"/>
    <n v="11.76"/>
    <n v="8"/>
    <x v="0"/>
    <s v="落合南長崎駅"/>
    <n v="10"/>
    <n v="18.329999999999998"/>
    <n v="122997.85"/>
    <n v="77692.34"/>
    <n v="512"/>
    <n v="1071"/>
    <s v="10-20"/>
    <x v="0"/>
  </r>
  <r>
    <s v="https://suumo.jp/chintai/jnc_000102177605/?bc=100467364329"/>
    <s v="カトレア南長崎"/>
    <s v="東京都豊島区南長崎３"/>
    <n v="70000"/>
    <n v="4000"/>
    <m/>
    <m/>
    <n v="2"/>
    <x v="0"/>
    <n v="14.67"/>
    <n v="8"/>
    <x v="0"/>
    <s v="落合南長崎駅"/>
    <n v="10"/>
    <n v="18.329999999999998"/>
    <n v="122997.85"/>
    <n v="77692.34"/>
    <n v="512"/>
    <n v="1071"/>
    <s v="10-20"/>
    <x v="0"/>
  </r>
  <r>
    <s v="https://suumo.jp/chintai/jnc_000104442208/?bc=100485928930"/>
    <s v="カーサピアッツァ新宿西落合"/>
    <s v="東京都新宿区西落合１"/>
    <n v="97000"/>
    <n v="3000"/>
    <n v="97000"/>
    <n v="97000"/>
    <n v="2"/>
    <x v="0"/>
    <n v="18.8"/>
    <n v="5"/>
    <x v="4"/>
    <s v="落合南長崎駅"/>
    <n v="7"/>
    <n v="12.33"/>
    <n v="122997.85"/>
    <n v="77692.34"/>
    <n v="512"/>
    <n v="1071"/>
    <s v="10-20"/>
    <x v="0"/>
  </r>
  <r>
    <s v="https://suumo.jp/chintai/jnc_000102601507/?bc=100470983908"/>
    <s v="グランシアター ネオ トキワ"/>
    <s v="東京都豊島区南長崎３"/>
    <n v="97000"/>
    <n v="10000"/>
    <m/>
    <m/>
    <n v="-1"/>
    <x v="0"/>
    <n v="17.079999999999998"/>
    <n v="0"/>
    <x v="7"/>
    <s v="落合南長崎駅"/>
    <n v="8"/>
    <n v="11"/>
    <n v="122997.85"/>
    <n v="77692.34"/>
    <n v="512"/>
    <n v="1071"/>
    <s v="10-20"/>
    <x v="6"/>
  </r>
  <r>
    <s v="https://suumo.jp/chintai/jnc_000102601508/?bc=100470983888"/>
    <s v="グランシアター ネオ トキワ"/>
    <s v="東京都豊島区南長崎３"/>
    <n v="97000"/>
    <n v="10000"/>
    <m/>
    <m/>
    <n v="-1"/>
    <x v="0"/>
    <n v="18.12"/>
    <n v="0"/>
    <x v="7"/>
    <s v="落合南長崎駅"/>
    <n v="8"/>
    <n v="11"/>
    <n v="122997.85"/>
    <n v="77692.34"/>
    <n v="512"/>
    <n v="1071"/>
    <s v="10-20"/>
    <x v="6"/>
  </r>
  <r>
    <s v="https://suumo.jp/chintai/jnc_000102601509/?bc=100470983893"/>
    <s v="グランシアター ネオ トキワ"/>
    <s v="東京都豊島区南長崎３"/>
    <n v="97000"/>
    <n v="10000"/>
    <m/>
    <m/>
    <n v="-1"/>
    <x v="0"/>
    <n v="18.2"/>
    <n v="0"/>
    <x v="7"/>
    <s v="落合南長崎駅"/>
    <n v="8"/>
    <n v="11"/>
    <n v="122997.85"/>
    <n v="77692.34"/>
    <n v="512"/>
    <n v="1071"/>
    <s v="10-20"/>
    <x v="6"/>
  </r>
  <r>
    <s v="https://suumo.jp/chintai/jnc_000103643860/?bc=100479624037"/>
    <s v="グランテリア西落合"/>
    <s v="東京都新宿区西落合３"/>
    <n v="64000"/>
    <n v="4000"/>
    <m/>
    <n v="64000"/>
    <n v="2"/>
    <x v="0"/>
    <n v="10.32"/>
    <n v="7"/>
    <x v="0"/>
    <s v="落合南長崎駅"/>
    <n v="8"/>
    <n v="13"/>
    <n v="122997.85"/>
    <n v="77692.34"/>
    <n v="512"/>
    <n v="1071"/>
    <s v="10-20"/>
    <x v="0"/>
  </r>
  <r>
    <s v="https://suumo.jp/chintai/jnc_000103277828/?bc=100476806568"/>
    <s v="グランテリア西落合"/>
    <s v="東京都新宿区西落合３"/>
    <n v="62000"/>
    <n v="4000"/>
    <m/>
    <n v="62000"/>
    <n v="2"/>
    <x v="0"/>
    <n v="11.04"/>
    <n v="7"/>
    <x v="0"/>
    <s v="落合南長崎駅"/>
    <n v="8"/>
    <n v="13"/>
    <n v="122997.85"/>
    <n v="77692.34"/>
    <n v="512"/>
    <n v="1071"/>
    <s v="10-20"/>
    <x v="0"/>
  </r>
  <r>
    <s v="https://suumo.jp/chintai/jnc_000104509216/?bc=100482146036"/>
    <s v="ソフィアテンポ"/>
    <s v="東京都新宿区西落合３"/>
    <n v="64000"/>
    <n v="3000"/>
    <m/>
    <m/>
    <n v="1"/>
    <x v="0"/>
    <n v="10.56"/>
    <n v="6"/>
    <x v="0"/>
    <s v="落合南長崎駅"/>
    <n v="4"/>
    <n v="11"/>
    <n v="122997.85"/>
    <n v="77692.34"/>
    <n v="512"/>
    <n v="1071"/>
    <s v="10-20"/>
    <x v="0"/>
  </r>
  <r>
    <s v="https://suumo.jp/chintai/jnc_000104255999/?bc=100484521880"/>
    <s v="ソフィアユニゾン"/>
    <s v="東京都新宿区西落合３"/>
    <n v="64000"/>
    <n v="3000"/>
    <m/>
    <m/>
    <n v="1"/>
    <x v="0"/>
    <n v="10.56"/>
    <n v="6"/>
    <x v="0"/>
    <s v="落合南長崎駅"/>
    <n v="4"/>
    <n v="12"/>
    <n v="122997.85"/>
    <n v="77692.34"/>
    <n v="512"/>
    <n v="1071"/>
    <s v="10-20"/>
    <x v="0"/>
  </r>
  <r>
    <s v="https://suumo.jp/chintai/jnc_000078612942/?bc=100480567748"/>
    <s v="ソフィアリベルテ"/>
    <s v="東京都新宿区中落合３"/>
    <n v="65000"/>
    <n v="3000"/>
    <m/>
    <m/>
    <n v="2"/>
    <x v="0"/>
    <n v="10.29"/>
    <n v="6"/>
    <x v="0"/>
    <s v="落合南長崎駅"/>
    <n v="6"/>
    <n v="10.67"/>
    <n v="122997.85"/>
    <n v="77692.34"/>
    <n v="512"/>
    <n v="1071"/>
    <s v="10-20"/>
    <x v="0"/>
  </r>
  <r>
    <s v="https://suumo.jp/chintai/jnc_000104416546/?bc=100485518167"/>
    <s v="ソフィアリベルテ"/>
    <s v="東京都新宿区中落合３"/>
    <n v="69000"/>
    <n v="3000"/>
    <m/>
    <m/>
    <n v="2"/>
    <x v="0"/>
    <n v="10.29"/>
    <n v="6"/>
    <x v="0"/>
    <s v="落合南長崎駅"/>
    <n v="6"/>
    <n v="10.67"/>
    <n v="122997.85"/>
    <n v="77692.34"/>
    <n v="512"/>
    <n v="1071"/>
    <s v="10-20"/>
    <x v="0"/>
  </r>
  <r>
    <s v="https://suumo.jp/chintai/jnc_000082012615/?bc=100459098216"/>
    <s v="ドミー西落合Ａ棟"/>
    <s v="東京都新宿区西落合２"/>
    <n v="53700"/>
    <m/>
    <n v="107400"/>
    <n v="53700"/>
    <n v="1"/>
    <x v="0"/>
    <n v="15.1"/>
    <n v="44"/>
    <x v="0"/>
    <s v="落合南長崎駅"/>
    <n v="9"/>
    <n v="13.33"/>
    <n v="122997.85"/>
    <n v="77692.34"/>
    <n v="512"/>
    <n v="1071"/>
    <s v="10-20"/>
    <x v="3"/>
  </r>
  <r>
    <s v="https://suumo.jp/chintai/jnc_000097539978/?bc=100475222656"/>
    <s v="ヌーヴォープリエール"/>
    <s v="東京都豊島区南長崎３"/>
    <n v="78000"/>
    <n v="5000"/>
    <n v="78000"/>
    <n v="78000"/>
    <n v="1"/>
    <x v="0"/>
    <n v="18.34"/>
    <n v="8"/>
    <x v="2"/>
    <s v="落合南長崎駅"/>
    <n v="7"/>
    <n v="10.33"/>
    <n v="122997.85"/>
    <n v="77692.34"/>
    <n v="512"/>
    <n v="1071"/>
    <s v="10-20"/>
    <x v="0"/>
  </r>
  <r>
    <s v="https://suumo.jp/chintai/jnc_000102936942/?bc=100483950290"/>
    <s v="ヌーヴォープリエール"/>
    <s v="東京都豊島区南長崎３"/>
    <n v="80000"/>
    <n v="5000"/>
    <n v="80000"/>
    <n v="80000"/>
    <n v="3"/>
    <x v="0"/>
    <n v="18.32"/>
    <n v="8"/>
    <x v="2"/>
    <s v="落合南長崎駅"/>
    <n v="7"/>
    <n v="10.33"/>
    <n v="122997.85"/>
    <n v="77692.34"/>
    <n v="512"/>
    <n v="1071"/>
    <s v="10-20"/>
    <x v="0"/>
  </r>
  <r>
    <s v="https://suumo.jp/chintai/jnc_000104169964/?bc=100483518001"/>
    <s v="ハイツ落合"/>
    <s v="東京都新宿区西落合１"/>
    <n v="68000"/>
    <n v="3000"/>
    <m/>
    <n v="68000"/>
    <n v="3"/>
    <x v="0"/>
    <n v="18.12"/>
    <n v="37"/>
    <x v="2"/>
    <s v="落合南長崎駅"/>
    <n v="4"/>
    <n v="10.33"/>
    <n v="122997.85"/>
    <n v="77692.34"/>
    <n v="512"/>
    <n v="1071"/>
    <s v="10-20"/>
    <x v="4"/>
  </r>
  <r>
    <s v="https://suumo.jp/chintai/jnc_000101837906/?bc=100460743925"/>
    <s v="ハーモニーテラス南長崎III"/>
    <s v="東京都豊島区南長崎５"/>
    <n v="68000"/>
    <n v="4000"/>
    <m/>
    <n v="68000"/>
    <n v="2"/>
    <x v="0"/>
    <n v="10.65"/>
    <n v="8"/>
    <x v="0"/>
    <s v="落合南長崎駅"/>
    <n v="5"/>
    <n v="9.33"/>
    <n v="122997.85"/>
    <n v="77692.34"/>
    <n v="512"/>
    <n v="1071"/>
    <s v="10-20"/>
    <x v="0"/>
  </r>
  <r>
    <s v="https://suumo.jp/chintai/jnc_000103969236/?bc=100149025987"/>
    <s v="ファースト西落合"/>
    <s v="東京都新宿区西落合３"/>
    <n v="60000"/>
    <n v="5000"/>
    <n v="60000"/>
    <m/>
    <n v="2"/>
    <x v="0"/>
    <n v="15.65"/>
    <n v="10"/>
    <x v="0"/>
    <s v="落合南長崎駅"/>
    <n v="4"/>
    <n v="10.33"/>
    <n v="122997.85"/>
    <n v="77692.34"/>
    <n v="512"/>
    <n v="1071"/>
    <s v="10-20"/>
    <x v="0"/>
  </r>
  <r>
    <s v="https://suumo.jp/chintai/jnc_000103762009/?bc=100480351133"/>
    <s v="フォンテーヌ落合"/>
    <s v="東京都新宿区西落合１"/>
    <n v="85000"/>
    <n v="5000"/>
    <n v="85000"/>
    <n v="85000"/>
    <n v="4"/>
    <x v="0"/>
    <n v="25.68"/>
    <n v="24"/>
    <x v="4"/>
    <s v="落合南長崎駅"/>
    <n v="7"/>
    <n v="11.33"/>
    <n v="122997.85"/>
    <n v="77692.34"/>
    <n v="512"/>
    <n v="1071"/>
    <s v="20-30"/>
    <x v="1"/>
  </r>
  <r>
    <s v="https://suumo.jp/chintai/jnc_000104296190/?bc=100475335960"/>
    <s v="プレール椎名町"/>
    <s v="東京都豊島区南長崎３"/>
    <n v="55000"/>
    <n v="10000"/>
    <m/>
    <n v="55000"/>
    <n v="5"/>
    <x v="0"/>
    <n v="20.95"/>
    <n v="38"/>
    <x v="7"/>
    <s v="落合南長崎駅"/>
    <n v="8"/>
    <n v="11"/>
    <n v="122997.85"/>
    <n v="77692.34"/>
    <n v="512"/>
    <n v="1071"/>
    <s v="20-30"/>
    <x v="4"/>
  </r>
  <r>
    <s v="https://suumo.jp/chintai/jnc_000103123345/?bc=100475935954"/>
    <s v="プレール椎名町"/>
    <s v="東京都豊島区南長崎３"/>
    <n v="60000"/>
    <n v="7000"/>
    <n v="60000"/>
    <n v="60000"/>
    <n v="5"/>
    <x v="0"/>
    <n v="20.95"/>
    <n v="38"/>
    <x v="7"/>
    <s v="落合南長崎駅"/>
    <n v="8"/>
    <n v="11"/>
    <n v="122997.85"/>
    <n v="77692.34"/>
    <n v="512"/>
    <n v="1071"/>
    <s v="20-30"/>
    <x v="4"/>
  </r>
  <r>
    <s v="https://suumo.jp/chintai/jnc_000104326039/?bc=100485400521"/>
    <s v="ペガサスマンション目白"/>
    <s v="東京都新宿区西落合１"/>
    <n v="59000"/>
    <n v="5000"/>
    <m/>
    <m/>
    <n v="4"/>
    <x v="0"/>
    <n v="16.2"/>
    <n v="38"/>
    <x v="5"/>
    <s v="落合南長崎駅"/>
    <n v="7"/>
    <n v="11.67"/>
    <n v="122997.85"/>
    <n v="77692.34"/>
    <n v="512"/>
    <n v="1071"/>
    <s v="10-20"/>
    <x v="4"/>
  </r>
  <r>
    <s v="https://suumo.jp/chintai/jnc_000103685617/?bc=100480224079"/>
    <s v="ミルーム中落合"/>
    <s v="東京都新宿区中落合３"/>
    <n v="85000"/>
    <n v="10000"/>
    <n v="85000"/>
    <n v="85000"/>
    <n v="4"/>
    <x v="0"/>
    <n v="25.73"/>
    <n v="27"/>
    <x v="9"/>
    <s v="落合南長崎駅"/>
    <n v="3"/>
    <n v="10"/>
    <n v="122997.85"/>
    <n v="77692.34"/>
    <n v="512"/>
    <n v="1071"/>
    <s v="20-30"/>
    <x v="1"/>
  </r>
  <r>
    <s v="https://suumo.jp/chintai/jnc_000102997528/?bc=100477095844"/>
    <s v="ミルーム中落合"/>
    <s v="東京都新宿区中落合３"/>
    <n v="80000"/>
    <n v="15000"/>
    <m/>
    <n v="80000"/>
    <n v="5"/>
    <x v="0"/>
    <n v="26.07"/>
    <n v="27"/>
    <x v="9"/>
    <s v="落合南長崎駅"/>
    <n v="3"/>
    <n v="10"/>
    <n v="122997.85"/>
    <n v="77692.34"/>
    <n v="512"/>
    <n v="1071"/>
    <s v="20-30"/>
    <x v="1"/>
  </r>
  <r>
    <s v="https://suumo.jp/chintai/jnc_000096532031/?bc=100474756118"/>
    <s v="メイクスデザイン新宿落合"/>
    <s v="東京都新宿区西落合１"/>
    <n v="139000"/>
    <n v="11000"/>
    <m/>
    <n v="139000"/>
    <n v="4"/>
    <x v="0"/>
    <n v="26.44"/>
    <n v="9"/>
    <x v="6"/>
    <s v="落合南長崎駅"/>
    <n v="1"/>
    <n v="9.33"/>
    <n v="122997.85"/>
    <n v="77692.34"/>
    <n v="512"/>
    <n v="1071"/>
    <s v="20-30"/>
    <x v="0"/>
  </r>
  <r>
    <s v="https://suumo.jp/chintai/jnc_000103567403/?bc=100484572862"/>
    <s v="メゾン ド ラリエ"/>
    <s v="東京都新宿区中落合４"/>
    <n v="60000"/>
    <n v="3000"/>
    <n v="60000"/>
    <m/>
    <n v="1"/>
    <x v="0"/>
    <n v="15.38"/>
    <n v="43"/>
    <x v="4"/>
    <s v="落合南長崎駅"/>
    <n v="5"/>
    <n v="11.33"/>
    <n v="122997.85"/>
    <n v="77692.34"/>
    <n v="512"/>
    <n v="1071"/>
    <s v="10-20"/>
    <x v="3"/>
  </r>
  <r>
    <s v="https://suumo.jp/chintai/jnc_000103393353/?bc=100477147485"/>
    <s v="レジデンス南長崎"/>
    <s v="東京都豊島区南長崎４"/>
    <n v="58000"/>
    <n v="3000"/>
    <m/>
    <m/>
    <n v="1"/>
    <x v="0"/>
    <n v="18.5"/>
    <n v="28"/>
    <x v="0"/>
    <s v="落合南長崎駅"/>
    <n v="5"/>
    <n v="9.67"/>
    <n v="122997.85"/>
    <n v="77692.34"/>
    <n v="512"/>
    <n v="1071"/>
    <s v="10-20"/>
    <x v="1"/>
  </r>
  <r>
    <s v="https://suumo.jp/chintai/jnc_000104256664/?bc=100484196187"/>
    <s v="レジデンス南長崎II"/>
    <s v="東京都豊島区南長崎４"/>
    <n v="70000"/>
    <n v="3000"/>
    <m/>
    <m/>
    <n v="1"/>
    <x v="0"/>
    <n v="22"/>
    <n v="25"/>
    <x v="0"/>
    <s v="落合南長崎駅"/>
    <n v="6"/>
    <n v="10.67"/>
    <n v="122997.85"/>
    <n v="77692.34"/>
    <n v="512"/>
    <n v="1071"/>
    <s v="20-30"/>
    <x v="1"/>
  </r>
  <r>
    <s v="https://suumo.jp/chintai/jnc_000104334643/?bc=100484834738"/>
    <s v="レトアテラス西落合"/>
    <s v="東京都新宿区西落合１"/>
    <n v="77000"/>
    <n v="3000"/>
    <m/>
    <m/>
    <n v="1"/>
    <x v="0"/>
    <n v="22.32"/>
    <n v="19"/>
    <x v="0"/>
    <s v="落合南長崎駅"/>
    <n v="4"/>
    <n v="9.67"/>
    <n v="122997.85"/>
    <n v="77692.34"/>
    <n v="512"/>
    <n v="1071"/>
    <s v="20-30"/>
    <x v="7"/>
  </r>
  <r>
    <s v="https://suumo.jp/chintai/jnc_000102448284/?bc=100474793742"/>
    <s v="ロイヤルハウス"/>
    <s v="東京都新宿区西落合３"/>
    <n v="61000"/>
    <n v="3000"/>
    <m/>
    <m/>
    <n v="2"/>
    <x v="0"/>
    <n v="10.029999999999999"/>
    <n v="10"/>
    <x v="0"/>
    <s v="落合南長崎駅"/>
    <n v="4"/>
    <n v="10.33"/>
    <n v="122997.85"/>
    <n v="77692.34"/>
    <n v="512"/>
    <n v="1071"/>
    <s v="10-20"/>
    <x v="0"/>
  </r>
  <r>
    <s v="https://suumo.jp/chintai/jnc_000048606959/?bc=100484709688"/>
    <s v="ロイヤルハウス"/>
    <s v="東京都新宿区西落合３"/>
    <n v="62000"/>
    <n v="3000"/>
    <m/>
    <m/>
    <n v="2"/>
    <x v="0"/>
    <n v="12.93"/>
    <n v="10"/>
    <x v="0"/>
    <s v="落合南長崎駅"/>
    <n v="4"/>
    <n v="10.33"/>
    <n v="122997.85"/>
    <n v="77692.34"/>
    <n v="512"/>
    <n v="1071"/>
    <s v="10-20"/>
    <x v="0"/>
  </r>
  <r>
    <s v="https://suumo.jp/chintai/jnc_000104458814/?bc=100486238425"/>
    <s v="三豊ビル"/>
    <s v="東京都新宿区西落合２"/>
    <n v="72000"/>
    <n v="3000"/>
    <n v="72000"/>
    <n v="72000"/>
    <n v="2"/>
    <x v="0"/>
    <n v="20"/>
    <n v="38"/>
    <x v="4"/>
    <s v="落合南長崎駅"/>
    <n v="9"/>
    <n v="13.33"/>
    <n v="122997.85"/>
    <n v="77692.34"/>
    <n v="512"/>
    <n v="1071"/>
    <s v="20-30"/>
    <x v="4"/>
  </r>
  <r>
    <s v="https://suumo.jp/chintai/jnc_000103938279/?bc=100481709315"/>
    <s v="南長崎第２マンション"/>
    <s v="東京都豊島区南長崎３"/>
    <n v="95000"/>
    <m/>
    <n v="95000"/>
    <n v="95000"/>
    <n v="3"/>
    <x v="0"/>
    <n v="25"/>
    <n v="43"/>
    <x v="2"/>
    <s v="落合南長崎駅"/>
    <n v="7"/>
    <n v="7.67"/>
    <n v="122997.85"/>
    <n v="77692.34"/>
    <n v="512"/>
    <n v="1071"/>
    <s v="20-30"/>
    <x v="3"/>
  </r>
  <r>
    <s v="https://suumo.jp/chintai/jnc_000100609235/?bc=100452822380"/>
    <s v="山京パレス中落合"/>
    <s v="東京都新宿区中落合３"/>
    <n v="68000"/>
    <n v="7000"/>
    <n v="68000"/>
    <m/>
    <n v="2"/>
    <x v="0"/>
    <n v="32.799999999999997"/>
    <n v="55"/>
    <x v="9"/>
    <s v="落合南長崎駅"/>
    <n v="8"/>
    <n v="9.33"/>
    <n v="122997.85"/>
    <n v="77692.34"/>
    <n v="512"/>
    <n v="1071"/>
    <s v="30-40"/>
    <x v="5"/>
  </r>
  <r>
    <s v="https://suumo.jp/chintai/jnc_000103473421/?bc=100477765520"/>
    <s v="山京パレス中落合"/>
    <s v="東京都新宿区中落合３"/>
    <n v="68000"/>
    <n v="7000"/>
    <n v="68000"/>
    <m/>
    <n v="3"/>
    <x v="0"/>
    <n v="25.24"/>
    <n v="55"/>
    <x v="9"/>
    <s v="落合南長崎駅"/>
    <n v="8"/>
    <n v="9.33"/>
    <n v="122997.85"/>
    <n v="77692.34"/>
    <n v="512"/>
    <n v="1071"/>
    <s v="20-30"/>
    <x v="5"/>
  </r>
  <r>
    <s v="https://suumo.jp/chintai/jnc_000102888240/?bc=100473189045"/>
    <s v="第2江川ビル"/>
    <s v="東京都豊島区南長崎４"/>
    <n v="56000"/>
    <n v="2000"/>
    <m/>
    <m/>
    <n v="3"/>
    <x v="0"/>
    <n v="18"/>
    <n v="38"/>
    <x v="7"/>
    <s v="落合南長崎駅"/>
    <n v="3"/>
    <n v="9"/>
    <n v="122997.85"/>
    <n v="77692.34"/>
    <n v="512"/>
    <n v="1071"/>
    <s v="10-20"/>
    <x v="4"/>
  </r>
  <r>
    <s v="https://suumo.jp/chintai/jnc_000097867410/?bc=100366247807"/>
    <s v="落合ハウス"/>
    <s v="東京都新宿区中落合３"/>
    <n v="32000"/>
    <n v="2000"/>
    <m/>
    <m/>
    <n v="2"/>
    <x v="0"/>
    <n v="10"/>
    <n v="70"/>
    <x v="0"/>
    <s v="落合南長崎駅"/>
    <n v="5"/>
    <n v="8.67"/>
    <n v="122997.85"/>
    <n v="77692.34"/>
    <n v="512"/>
    <n v="1071"/>
    <s v="10-20"/>
    <x v="2"/>
  </r>
  <r>
    <s v="https://suumo.jp/chintai/jnc_000103409576/?bc=100481972743"/>
    <s v="西武新宿線 新井薬師前駅 5階建 築10年"/>
    <s v="東京都新宿区西落合２"/>
    <n v="95000"/>
    <n v="8000"/>
    <n v="95000"/>
    <m/>
    <n v="3"/>
    <x v="0"/>
    <n v="25.7"/>
    <n v="10"/>
    <x v="7"/>
    <s v="落合南長崎駅"/>
    <n v="9"/>
    <n v="14"/>
    <n v="122997.85"/>
    <n v="77692.34"/>
    <n v="512"/>
    <n v="1071"/>
    <s v="20-30"/>
    <x v="0"/>
  </r>
  <r>
    <s v="https://suumo.jp/chintai/jnc_000103873107/?bc=100481343923"/>
    <s v="都営大江戸線 落合南長崎駅 2階建 築10年"/>
    <s v="東京都新宿区西落合２"/>
    <n v="64000"/>
    <n v="4000"/>
    <m/>
    <n v="64000"/>
    <n v="1"/>
    <x v="0"/>
    <n v="10.15"/>
    <n v="10"/>
    <x v="0"/>
    <s v="落合南長崎駅"/>
    <n v="12"/>
    <n v="14"/>
    <n v="122997.85"/>
    <n v="77692.34"/>
    <n v="512"/>
    <n v="1071"/>
    <s v="10-20"/>
    <x v="0"/>
  </r>
  <r>
    <s v="https://suumo.jp/chintai/jnc_000102457937/?bc=100469769539"/>
    <s v="都営大江戸線 落合南長崎駅 2階建 築10年"/>
    <s v="東京都新宿区西落合３"/>
    <n v="61000"/>
    <n v="3000"/>
    <m/>
    <m/>
    <n v="2"/>
    <x v="0"/>
    <n v="10.029999999999999"/>
    <n v="10"/>
    <x v="0"/>
    <s v="落合南長崎駅"/>
    <n v="4"/>
    <n v="10.33"/>
    <n v="122997.85"/>
    <n v="77692.34"/>
    <n v="512"/>
    <n v="1071"/>
    <s v="10-20"/>
    <x v="0"/>
  </r>
  <r>
    <s v="https://suumo.jp/chintai/jnc_000096887854/?bc=100481344250"/>
    <s v="都営大江戸線 落合南長崎駅 2階建 築22年"/>
    <s v="東京都新宿区中落合４"/>
    <n v="82000"/>
    <n v="3000"/>
    <n v="82000"/>
    <n v="82000"/>
    <n v="1"/>
    <x v="0"/>
    <n v="18.89"/>
    <n v="22"/>
    <x v="0"/>
    <s v="落合南長崎駅"/>
    <n v="8"/>
    <n v="13.67"/>
    <n v="122997.85"/>
    <n v="77692.34"/>
    <n v="512"/>
    <n v="1071"/>
    <s v="10-20"/>
    <x v="1"/>
  </r>
  <r>
    <s v="https://suumo.jp/chintai/jnc_000103416503/?bc=100478100760"/>
    <s v="都営大江戸線 落合南長崎駅 2階建 築22年"/>
    <s v="東京都豊島区南長崎４"/>
    <n v="89000"/>
    <n v="5000"/>
    <m/>
    <n v="89000"/>
    <n v="1"/>
    <x v="0"/>
    <n v="22.15"/>
    <n v="22"/>
    <x v="0"/>
    <s v="落合南長崎駅"/>
    <n v="1"/>
    <n v="9.33"/>
    <n v="122997.85"/>
    <n v="77692.34"/>
    <n v="512"/>
    <n v="1071"/>
    <s v="20-30"/>
    <x v="1"/>
  </r>
  <r>
    <s v="https://suumo.jp/chintai/jnc_000100914322/?bc=100459049085"/>
    <s v="都営大江戸線 落合南長崎駅 2階建 築22年"/>
    <s v="東京都豊島区南長崎４"/>
    <n v="92000"/>
    <n v="5000"/>
    <m/>
    <m/>
    <n v="2"/>
    <x v="0"/>
    <n v="22.15"/>
    <n v="22"/>
    <x v="0"/>
    <s v="落合南長崎駅"/>
    <n v="1"/>
    <n v="9.33"/>
    <n v="122997.85"/>
    <n v="77692.34"/>
    <n v="512"/>
    <n v="1071"/>
    <s v="20-30"/>
    <x v="1"/>
  </r>
  <r>
    <s v="https://suumo.jp/chintai/jnc_000104186397/?bc=100483617703"/>
    <s v="都営大江戸線 落合南長崎駅 2階建 築4年"/>
    <s v="東京都新宿区中落合３"/>
    <n v="65000"/>
    <n v="3000"/>
    <m/>
    <m/>
    <n v="2"/>
    <x v="0"/>
    <n v="10.66"/>
    <n v="4"/>
    <x v="0"/>
    <s v="落合南長崎駅"/>
    <n v="7"/>
    <n v="11.67"/>
    <n v="122997.85"/>
    <n v="77692.34"/>
    <n v="512"/>
    <n v="1071"/>
    <s v="10-20"/>
    <x v="0"/>
  </r>
  <r>
    <s v="https://suumo.jp/chintai/jnc_000095757374/?bc=100485372043"/>
    <s v="都営大江戸線 落合南長崎駅 2階建 築4年"/>
    <s v="東京都新宿区中落合３"/>
    <n v="67000"/>
    <m/>
    <m/>
    <m/>
    <n v="2"/>
    <x v="0"/>
    <n v="11.58"/>
    <n v="4"/>
    <x v="0"/>
    <s v="落合南長崎駅"/>
    <n v="7"/>
    <n v="11.67"/>
    <n v="122997.85"/>
    <n v="77692.34"/>
    <n v="512"/>
    <n v="1071"/>
    <s v="10-20"/>
    <x v="0"/>
  </r>
  <r>
    <s v="https://suumo.jp/chintai/jnc_000104138646/?bc=100483510343"/>
    <s v="都営大江戸線 落合南長崎駅 2階建 築4年"/>
    <s v="東京都新宿区中落合３"/>
    <n v="69000"/>
    <n v="3000"/>
    <m/>
    <m/>
    <n v="2"/>
    <x v="0"/>
    <n v="15.99"/>
    <n v="4"/>
    <x v="0"/>
    <s v="落合南長崎駅"/>
    <n v="7"/>
    <n v="11.67"/>
    <n v="122997.85"/>
    <n v="77692.34"/>
    <n v="512"/>
    <n v="1071"/>
    <s v="10-20"/>
    <x v="0"/>
  </r>
  <r>
    <s v="https://suumo.jp/chintai/jnc_000098284159/?bc=100485343692"/>
    <s v="都営大江戸線 落合南長崎駅 2階建 築65年"/>
    <s v="東京都新宿区西落合２"/>
    <n v="53700"/>
    <n v="4300"/>
    <n v="53700"/>
    <n v="53700"/>
    <n v="1"/>
    <x v="0"/>
    <n v="16.5"/>
    <n v="65"/>
    <x v="0"/>
    <s v="落合南長崎駅"/>
    <n v="10"/>
    <n v="11.67"/>
    <n v="122997.85"/>
    <n v="77692.34"/>
    <n v="512"/>
    <n v="1071"/>
    <s v="10-20"/>
    <x v="2"/>
  </r>
  <r>
    <s v="https://suumo.jp/chintai/jnc_000104256000/?bc=100484103117"/>
    <s v="都営大江戸線 落合南長崎駅 2階建 築6年"/>
    <s v="東京都新宿区西落合３"/>
    <n v="64000"/>
    <n v="3000"/>
    <m/>
    <m/>
    <n v="1"/>
    <x v="0"/>
    <n v="10.56"/>
    <n v="6"/>
    <x v="0"/>
    <s v="落合南長崎駅"/>
    <n v="4"/>
    <n v="8.33"/>
    <n v="122997.85"/>
    <n v="77692.34"/>
    <n v="512"/>
    <n v="1071"/>
    <s v="10-20"/>
    <x v="0"/>
  </r>
  <r>
    <s v="https://suumo.jp/chintai/jnc_000083042787/?bc=100485404616"/>
    <s v="都営大江戸線 落合南長崎駅 2階建 築6年"/>
    <s v="東京都新宿区中落合３"/>
    <n v="69000"/>
    <n v="3000"/>
    <m/>
    <m/>
    <n v="2"/>
    <x v="0"/>
    <n v="10.29"/>
    <n v="6"/>
    <x v="0"/>
    <s v="落合南長崎駅"/>
    <n v="6"/>
    <n v="10.33"/>
    <n v="122997.85"/>
    <n v="77692.34"/>
    <n v="512"/>
    <n v="1071"/>
    <s v="10-20"/>
    <x v="0"/>
  </r>
  <r>
    <s v="https://suumo.jp/chintai/jnc_000100723343/?bc=100475820961"/>
    <s v="都営大江戸線 落合南長崎駅 2階建 築7年"/>
    <s v="東京都新宿区西落合３"/>
    <n v="62000"/>
    <n v="4000"/>
    <m/>
    <n v="62000"/>
    <n v="1"/>
    <x v="0"/>
    <n v="11.04"/>
    <n v="7"/>
    <x v="0"/>
    <s v="落合南長崎駅"/>
    <n v="8"/>
    <n v="13"/>
    <n v="122997.85"/>
    <n v="77692.34"/>
    <n v="512"/>
    <n v="1071"/>
    <s v="10-20"/>
    <x v="0"/>
  </r>
  <r>
    <s v="https://suumo.jp/chintai/jnc_000103680263/?bc=100479877555"/>
    <s v="都営大江戸線 落合南長崎駅 2階建 築7年"/>
    <s v="東京都新宿区西落合３"/>
    <n v="64000"/>
    <n v="4000"/>
    <m/>
    <n v="64000"/>
    <n v="2"/>
    <x v="0"/>
    <n v="10.32"/>
    <n v="7"/>
    <x v="0"/>
    <s v="落合南長崎駅"/>
    <n v="8"/>
    <n v="13"/>
    <n v="122997.85"/>
    <n v="77692.34"/>
    <n v="512"/>
    <n v="1071"/>
    <s v="10-20"/>
    <x v="0"/>
  </r>
  <r>
    <s v="https://suumo.jp/chintai/jnc_000095572160/?bc=100457561461"/>
    <s v="都営大江戸線 落合南長崎駅 2階建 築7年"/>
    <s v="東京都豊島区南長崎５"/>
    <n v="69500"/>
    <n v="4000"/>
    <m/>
    <n v="69500"/>
    <n v="2"/>
    <x v="0"/>
    <n v="10.65"/>
    <n v="7"/>
    <x v="0"/>
    <s v="落合南長崎駅"/>
    <n v="5"/>
    <n v="9.33"/>
    <n v="122997.85"/>
    <n v="77692.34"/>
    <n v="512"/>
    <n v="1071"/>
    <s v="10-20"/>
    <x v="0"/>
  </r>
  <r>
    <s v="https://suumo.jp/chintai/jnc_000101174027/?bc=100458190764"/>
    <s v="都営大江戸線 落合南長崎駅 2階建 築7年"/>
    <s v="東京都豊島区南長崎５"/>
    <n v="69000"/>
    <n v="4000"/>
    <m/>
    <n v="69000"/>
    <n v="2"/>
    <x v="0"/>
    <n v="10.65"/>
    <n v="7"/>
    <x v="0"/>
    <s v="落合南長崎駅"/>
    <n v="5"/>
    <n v="9.33"/>
    <n v="122997.85"/>
    <n v="77692.34"/>
    <n v="512"/>
    <n v="1071"/>
    <s v="10-20"/>
    <x v="0"/>
  </r>
  <r>
    <s v="https://suumo.jp/chintai/jnc_000103285469/?bc=100476776427"/>
    <s v="都営大江戸線 落合南長崎駅 2階建 築7年"/>
    <s v="東京都新宿区西落合３"/>
    <n v="62000"/>
    <n v="4000"/>
    <m/>
    <n v="62000"/>
    <n v="2"/>
    <x v="0"/>
    <n v="11.04"/>
    <n v="7"/>
    <x v="0"/>
    <s v="落合南長崎駅"/>
    <n v="8"/>
    <n v="13"/>
    <n v="122997.85"/>
    <n v="77692.34"/>
    <n v="512"/>
    <n v="1071"/>
    <s v="10-20"/>
    <x v="0"/>
  </r>
  <r>
    <s v="https://suumo.jp/chintai/jnc_000101935756/?bc=100464842050"/>
    <s v="都営大江戸線 落合南長崎駅 2階建 築8年"/>
    <s v="東京都豊島区池袋３"/>
    <n v="72000"/>
    <n v="4000"/>
    <m/>
    <n v="72000"/>
    <n v="2"/>
    <x v="0"/>
    <n v="14.67"/>
    <n v="8"/>
    <x v="0"/>
    <s v="落合南長崎駅"/>
    <n v="10"/>
    <n v="18.329999999999998"/>
    <n v="122997.85"/>
    <n v="77692.34"/>
    <n v="512"/>
    <n v="1071"/>
    <s v="10-20"/>
    <x v="0"/>
  </r>
  <r>
    <s v="https://suumo.jp/chintai/jnc_000104203071/?bc=100483758672"/>
    <s v="都営大江戸線 落合南長崎駅 2階建 築8年"/>
    <s v="東京都豊島区南長崎３"/>
    <n v="93000"/>
    <n v="4000"/>
    <n v="93000"/>
    <n v="93000"/>
    <n v="2"/>
    <x v="0"/>
    <n v="34.229999999999997"/>
    <n v="8"/>
    <x v="0"/>
    <s v="落合南長崎駅"/>
    <n v="7"/>
    <n v="8"/>
    <n v="122997.85"/>
    <n v="77692.34"/>
    <n v="512"/>
    <n v="1071"/>
    <s v="30-40"/>
    <x v="0"/>
  </r>
  <r>
    <s v="https://suumo.jp/chintai/jnc_000104044514/?bc=100482470834"/>
    <s v="都営大江戸線 落合南長崎駅 3階建 新築"/>
    <s v="東京都豊島区南長崎２"/>
    <n v="140000"/>
    <n v="7000"/>
    <n v="140000"/>
    <m/>
    <n v="1"/>
    <x v="0"/>
    <n v="28.11"/>
    <n v="0"/>
    <x v="2"/>
    <s v="落合南長崎駅"/>
    <n v="9"/>
    <n v="11.33"/>
    <n v="122997.85"/>
    <n v="77692.34"/>
    <n v="512"/>
    <n v="1071"/>
    <s v="20-30"/>
    <x v="6"/>
  </r>
  <r>
    <s v="https://suumo.jp/chintai/jnc_000104044513/?bc=100485558582"/>
    <s v="都営大江戸線 落合南長崎駅 3階建 新築"/>
    <s v="東京都豊島区南長崎２"/>
    <n v="146000"/>
    <n v="7000"/>
    <n v="146000"/>
    <m/>
    <n v="1"/>
    <x v="0"/>
    <n v="30.52"/>
    <n v="0"/>
    <x v="2"/>
    <s v="落合南長崎駅"/>
    <n v="9"/>
    <n v="11.33"/>
    <n v="122997.85"/>
    <n v="77692.34"/>
    <n v="512"/>
    <n v="1071"/>
    <s v="30-40"/>
    <x v="6"/>
  </r>
  <r>
    <s v="https://suumo.jp/chintai/jnc_000104044517/?bc=100483766339"/>
    <s v="都営大江戸線 落合南長崎駅 3階建 新築"/>
    <s v="東京都豊島区南長崎２"/>
    <n v="145000"/>
    <n v="7000"/>
    <n v="145000"/>
    <m/>
    <n v="2"/>
    <x v="0"/>
    <n v="28.11"/>
    <n v="0"/>
    <x v="2"/>
    <s v="落合南長崎駅"/>
    <n v="9"/>
    <n v="11.33"/>
    <n v="122997.85"/>
    <n v="77692.34"/>
    <n v="512"/>
    <n v="1071"/>
    <s v="20-30"/>
    <x v="6"/>
  </r>
  <r>
    <s v="https://suumo.jp/chintai/jnc_000104044516/?bc=100483766667"/>
    <s v="都営大江戸線 落合南長崎駅 3階建 新築"/>
    <s v="東京都豊島区南長崎２"/>
    <n v="151000"/>
    <n v="7000"/>
    <n v="151000"/>
    <m/>
    <n v="2"/>
    <x v="0"/>
    <n v="30.52"/>
    <n v="0"/>
    <x v="2"/>
    <s v="落合南長崎駅"/>
    <n v="9"/>
    <n v="11.33"/>
    <n v="122997.85"/>
    <n v="77692.34"/>
    <n v="512"/>
    <n v="1071"/>
    <s v="30-40"/>
    <x v="6"/>
  </r>
  <r>
    <s v="https://suumo.jp/chintai/jnc_000104126285/?bc=100483169151"/>
    <s v="都営大江戸線 落合南長崎駅 3階建 新築"/>
    <s v="東京都豊島区南長崎２"/>
    <n v="145000"/>
    <n v="7000"/>
    <n v="145000"/>
    <m/>
    <n v="3"/>
    <x v="0"/>
    <n v="28.11"/>
    <n v="0"/>
    <x v="2"/>
    <s v="落合南長崎駅"/>
    <n v="9"/>
    <n v="11.33"/>
    <n v="122997.85"/>
    <n v="77692.34"/>
    <n v="512"/>
    <n v="1071"/>
    <s v="20-30"/>
    <x v="6"/>
  </r>
  <r>
    <s v="https://suumo.jp/chintai/jnc_000104126284/?bc=100483169159"/>
    <s v="都営大江戸線 落合南長崎駅 3階建 新築"/>
    <s v="東京都豊島区南長崎２"/>
    <n v="152000"/>
    <n v="7000"/>
    <n v="152000"/>
    <m/>
    <n v="3"/>
    <x v="0"/>
    <n v="30.52"/>
    <n v="0"/>
    <x v="2"/>
    <s v="落合南長崎駅"/>
    <n v="9"/>
    <n v="11.33"/>
    <n v="122997.85"/>
    <n v="77692.34"/>
    <n v="512"/>
    <n v="1071"/>
    <s v="30-40"/>
    <x v="6"/>
  </r>
  <r>
    <s v="https://suumo.jp/chintai/jnc_000091337339/?bc=100465268300"/>
    <s v="都営大江戸線 落合南長崎駅 3階建 築35年"/>
    <s v="東京都新宿区中落合４"/>
    <n v="45000"/>
    <m/>
    <n v="45000"/>
    <n v="45000"/>
    <n v="3"/>
    <x v="0"/>
    <n v="12"/>
    <n v="35"/>
    <x v="2"/>
    <s v="落合南長崎駅"/>
    <n v="4"/>
    <n v="9.67"/>
    <n v="122997.85"/>
    <n v="77692.34"/>
    <n v="512"/>
    <n v="1071"/>
    <s v="10-20"/>
    <x v="4"/>
  </r>
  <r>
    <s v="https://suumo.jp/chintai/jnc_000103151047/?bc=100481919630"/>
    <s v="都営大江戸線 落合南長崎駅 3階建 築8年"/>
    <s v="東京都豊島区南長崎３"/>
    <n v="78000"/>
    <n v="5000"/>
    <n v="78000"/>
    <n v="78000"/>
    <n v="1"/>
    <x v="0"/>
    <n v="18.34"/>
    <n v="8"/>
    <x v="2"/>
    <s v="落合南長崎駅"/>
    <n v="7"/>
    <n v="10.33"/>
    <n v="122997.85"/>
    <n v="77692.34"/>
    <n v="512"/>
    <n v="1071"/>
    <s v="10-20"/>
    <x v="0"/>
  </r>
  <r>
    <s v="https://suumo.jp/chintai/jnc_000103013998/?bc=100484065501"/>
    <s v="都営大江戸線 落合南長崎駅 3階建 築8年"/>
    <s v="東京都豊島区南長崎３"/>
    <n v="80000"/>
    <n v="5000"/>
    <n v="80000"/>
    <n v="80000"/>
    <n v="3"/>
    <x v="0"/>
    <n v="18.32"/>
    <n v="8"/>
    <x v="2"/>
    <s v="落合南長崎駅"/>
    <n v="7"/>
    <n v="10.33"/>
    <n v="122997.85"/>
    <n v="77692.34"/>
    <n v="512"/>
    <n v="1071"/>
    <s v="10-20"/>
    <x v="0"/>
  </r>
  <r>
    <s v="https://suumo.jp/chintai/jnc_000104125660/?bc=100482938391"/>
    <s v="都営大江戸線 落合南長崎駅 4階建 築37年"/>
    <s v="東京都新宿区西落合３"/>
    <n v="62000"/>
    <n v="4000"/>
    <n v="62000"/>
    <n v="62000"/>
    <n v="3"/>
    <x v="0"/>
    <n v="18"/>
    <n v="37"/>
    <x v="4"/>
    <s v="落合南長崎駅"/>
    <n v="4"/>
    <n v="11"/>
    <n v="122997.85"/>
    <n v="77692.34"/>
    <n v="512"/>
    <n v="1071"/>
    <s v="10-20"/>
    <x v="4"/>
  </r>
  <r>
    <s v="https://suumo.jp/chintai/jnc_000103599938/?bc=100478805530"/>
    <s v="都営大江戸線 落合南長崎駅 4階建 築43年"/>
    <s v="東京都新宿区中落合４"/>
    <n v="60000"/>
    <n v="3000"/>
    <n v="60000"/>
    <m/>
    <n v="1"/>
    <x v="0"/>
    <n v="15.38"/>
    <n v="43"/>
    <x v="4"/>
    <s v="落合南長崎駅"/>
    <n v="5"/>
    <n v="11.33"/>
    <n v="122997.85"/>
    <n v="77692.34"/>
    <n v="512"/>
    <n v="1071"/>
    <s v="10-20"/>
    <x v="3"/>
  </r>
  <r>
    <s v="https://suumo.jp/chintai/jnc_000104454683/?bc=100485780025"/>
    <s v="都営大江戸線 落合南長崎駅 4階建 築9年"/>
    <s v="東京都新宿区西落合１"/>
    <n v="105000"/>
    <n v="10000"/>
    <n v="105000"/>
    <n v="105000"/>
    <n v="1"/>
    <x v="0"/>
    <n v="27.18"/>
    <n v="9"/>
    <x v="4"/>
    <s v="落合南長崎駅"/>
    <n v="8"/>
    <n v="12.67"/>
    <n v="122997.85"/>
    <n v="77692.34"/>
    <n v="512"/>
    <n v="1071"/>
    <s v="20-30"/>
    <x v="0"/>
  </r>
  <r>
    <s v="https://suumo.jp/chintai/jnc_000103316457/?bc=100476552798"/>
    <s v="都営大江戸線 落合南長崎駅 5階建 築11年"/>
    <s v="東京都新宿区西落合３"/>
    <n v="80000"/>
    <n v="5000"/>
    <n v="80000"/>
    <n v="80000"/>
    <n v="3"/>
    <x v="0"/>
    <n v="18.09"/>
    <n v="11"/>
    <x v="7"/>
    <s v="落合南長崎駅"/>
    <n v="2"/>
    <n v="9.33"/>
    <n v="122997.85"/>
    <n v="77692.34"/>
    <n v="512"/>
    <n v="1071"/>
    <s v="10-20"/>
    <x v="7"/>
  </r>
  <r>
    <s v="https://suumo.jp/chintai/jnc_000104411713/?bc=100485488976"/>
    <s v="都営大江戸線 落合南長崎駅 5階建 築2年"/>
    <s v="東京都新宿区西落合１"/>
    <n v="123000"/>
    <n v="12000"/>
    <m/>
    <m/>
    <n v="4"/>
    <x v="0"/>
    <n v="20.329999999999998"/>
    <n v="2"/>
    <x v="7"/>
    <s v="落合南長崎駅"/>
    <n v="4"/>
    <n v="11"/>
    <n v="122997.85"/>
    <n v="77692.34"/>
    <n v="512"/>
    <n v="1071"/>
    <s v="20-30"/>
    <x v="0"/>
  </r>
  <r>
    <s v="https://suumo.jp/chintai/jnc_000100916185/?bc=100479181004"/>
    <s v="都営大江戸線 落合南長崎駅 5階建 築2年"/>
    <s v="東京都新宿区西落合１"/>
    <n v="123000"/>
    <n v="12000"/>
    <m/>
    <m/>
    <n v="5"/>
    <x v="0"/>
    <n v="20.329999999999998"/>
    <n v="2"/>
    <x v="7"/>
    <s v="落合南長崎駅"/>
    <n v="4"/>
    <n v="11"/>
    <n v="122997.85"/>
    <n v="77692.34"/>
    <n v="512"/>
    <n v="1071"/>
    <s v="20-30"/>
    <x v="0"/>
  </r>
  <r>
    <s v="https://suumo.jp/chintai/jnc_000104304182/?bc=100484581603"/>
    <s v="都営大江戸線 落合南長崎駅 5階建 築38年"/>
    <s v="東京都豊島区南長崎３"/>
    <n v="55000"/>
    <n v="10000"/>
    <m/>
    <n v="55000"/>
    <n v="5"/>
    <x v="0"/>
    <n v="20.95"/>
    <n v="38"/>
    <x v="7"/>
    <s v="落合南長崎駅"/>
    <n v="8"/>
    <n v="11"/>
    <n v="122997.85"/>
    <n v="77692.34"/>
    <n v="512"/>
    <n v="1071"/>
    <s v="20-30"/>
    <x v="4"/>
  </r>
  <r>
    <s v="https://suumo.jp/chintai/jnc_000104276185/?bc=100484979907"/>
    <s v="都営大江戸線 落合南長崎駅 5階建 築9年"/>
    <s v="東京都新宿区西落合１"/>
    <n v="100000"/>
    <n v="12000"/>
    <m/>
    <n v="100000"/>
    <n v="1"/>
    <x v="0"/>
    <n v="26.38"/>
    <n v="9"/>
    <x v="7"/>
    <s v="落合南長崎駅"/>
    <n v="4"/>
    <n v="11.67"/>
    <n v="122997.85"/>
    <n v="77692.34"/>
    <n v="512"/>
    <n v="1071"/>
    <s v="20-30"/>
    <x v="0"/>
  </r>
  <r>
    <s v="https://suumo.jp/chintai/jnc_000104241045/?bc=100484065473"/>
    <s v="都営大江戸線 落合南長崎駅 5階建 築9年"/>
    <s v="東京都新宿区西落合１"/>
    <n v="110000"/>
    <n v="15000"/>
    <n v="110000"/>
    <n v="110000"/>
    <n v="3"/>
    <x v="0"/>
    <n v="25.68"/>
    <n v="9"/>
    <x v="7"/>
    <s v="落合南長崎駅"/>
    <n v="4"/>
    <n v="11.67"/>
    <n v="122997.85"/>
    <n v="77692.34"/>
    <n v="512"/>
    <n v="1071"/>
    <s v="20-30"/>
    <x v="0"/>
  </r>
  <r>
    <s v="https://suumo.jp/chintai/jnc_000103306730/?bc=100476503704"/>
    <s v="都営大江戸線 落合南長崎駅 5階建 築9年"/>
    <s v="東京都新宿区西落合１"/>
    <n v="115000"/>
    <m/>
    <n v="115000"/>
    <n v="115000"/>
    <n v="4"/>
    <x v="0"/>
    <n v="26.01"/>
    <n v="9"/>
    <x v="7"/>
    <s v="落合南長崎駅"/>
    <n v="4"/>
    <n v="11.67"/>
    <n v="122997.85"/>
    <n v="77692.34"/>
    <n v="512"/>
    <n v="1071"/>
    <s v="20-30"/>
    <x v="0"/>
  </r>
  <r>
    <s v="https://suumo.jp/chintai/jnc_000103937449/?bc=100481724299"/>
    <s v="都営大江戸線 落合南長崎駅 6階建 築11年"/>
    <s v="東京都新宿区西落合２"/>
    <n v="100000"/>
    <n v="10000"/>
    <m/>
    <n v="100000"/>
    <n v="2"/>
    <x v="0"/>
    <n v="28.77"/>
    <n v="11"/>
    <x v="5"/>
    <s v="落合南長崎駅"/>
    <n v="9"/>
    <n v="11.67"/>
    <n v="122997.85"/>
    <n v="77692.34"/>
    <n v="512"/>
    <n v="1071"/>
    <s v="20-30"/>
    <x v="7"/>
  </r>
  <r>
    <s v="https://suumo.jp/chintai/jnc_000104406527/?bc=100485228406"/>
    <s v="都営大江戸線 落合南長崎駅 6階建 築38年"/>
    <s v="東京都新宿区西落合１"/>
    <n v="59000"/>
    <n v="5000"/>
    <m/>
    <m/>
    <n v="4"/>
    <x v="0"/>
    <n v="16.2"/>
    <n v="38"/>
    <x v="5"/>
    <s v="落合南長崎駅"/>
    <n v="7"/>
    <n v="11.67"/>
    <n v="122997.85"/>
    <n v="77692.34"/>
    <n v="512"/>
    <n v="1071"/>
    <s v="10-20"/>
    <x v="4"/>
  </r>
  <r>
    <s v="https://suumo.jp/chintai/jnc_000097784403/?bc=100474756054"/>
    <s v="都営大江戸線 落合南長崎駅 9階建 築9年"/>
    <s v="東京都新宿区西落合１"/>
    <n v="139000"/>
    <n v="11000"/>
    <m/>
    <n v="139000"/>
    <n v="4"/>
    <x v="0"/>
    <n v="26.44"/>
    <n v="9"/>
    <x v="6"/>
    <s v="落合南長崎駅"/>
    <n v="3"/>
    <n v="10"/>
    <n v="122997.85"/>
    <n v="77692.34"/>
    <n v="512"/>
    <n v="1071"/>
    <s v="20-30"/>
    <x v="0"/>
  </r>
  <r>
    <s v="https://suumo.jp/chintai/jnc_000104525338/?bc=100486335812"/>
    <s v="Ａｇｌａｉａ　新宿西落合"/>
    <s v="東京都新宿区西落合１"/>
    <n v="125000"/>
    <n v="10000"/>
    <n v="125000"/>
    <m/>
    <n v="1"/>
    <x v="0"/>
    <n v="20.45"/>
    <n v="0"/>
    <x v="2"/>
    <s v="落合南長崎駅"/>
    <n v="4"/>
    <n v="11.67"/>
    <n v="122997.85"/>
    <n v="77692.34"/>
    <n v="512"/>
    <n v="1071"/>
    <s v="20-30"/>
    <x v="6"/>
  </r>
  <r>
    <s v="https://suumo.jp/chintai/jnc_000104525339/?bc=100486335811"/>
    <s v="Ａｇｌａｉａ　新宿西落合"/>
    <s v="東京都新宿区西落合１"/>
    <n v="126000"/>
    <n v="10000"/>
    <n v="126000"/>
    <m/>
    <n v="1"/>
    <x v="0"/>
    <n v="20.45"/>
    <n v="0"/>
    <x v="2"/>
    <s v="落合南長崎駅"/>
    <n v="4"/>
    <n v="11.67"/>
    <n v="122997.85"/>
    <n v="77692.34"/>
    <n v="512"/>
    <n v="1071"/>
    <s v="20-30"/>
    <x v="6"/>
  </r>
  <r>
    <s v="https://suumo.jp/chintai/jnc_000104525345/?bc=100486335814"/>
    <s v="Ａｇｌａｉａ　新宿西落合"/>
    <s v="東京都新宿区西落合１"/>
    <n v="126000"/>
    <n v="10000"/>
    <n v="126000"/>
    <m/>
    <n v="2"/>
    <x v="0"/>
    <n v="20.45"/>
    <n v="0"/>
    <x v="2"/>
    <s v="落合南長崎駅"/>
    <n v="4"/>
    <n v="11.67"/>
    <n v="122997.85"/>
    <n v="77692.34"/>
    <n v="512"/>
    <n v="1071"/>
    <s v="20-30"/>
    <x v="6"/>
  </r>
  <r>
    <s v="https://suumo.jp/chintai/jnc_000104525346/?bc=100486335817"/>
    <s v="Ａｇｌａｉａ　新宿西落合"/>
    <s v="東京都新宿区西落合１"/>
    <n v="127000"/>
    <n v="10000"/>
    <n v="127000"/>
    <m/>
    <n v="2"/>
    <x v="0"/>
    <n v="20.45"/>
    <n v="0"/>
    <x v="2"/>
    <s v="落合南長崎駅"/>
    <n v="4"/>
    <n v="11.67"/>
    <n v="122997.85"/>
    <n v="77692.34"/>
    <n v="512"/>
    <n v="1071"/>
    <s v="20-30"/>
    <x v="6"/>
  </r>
  <r>
    <s v="https://suumo.jp/chintai/jnc_000104525351/?bc=100486335809"/>
    <s v="Ａｇｌａｉａ　新宿西落合"/>
    <s v="東京都新宿区西落合１"/>
    <n v="128000"/>
    <n v="10000"/>
    <n v="128000"/>
    <m/>
    <n v="3"/>
    <x v="0"/>
    <n v="20.45"/>
    <n v="0"/>
    <x v="2"/>
    <s v="落合南長崎駅"/>
    <n v="4"/>
    <n v="11.67"/>
    <n v="122997.85"/>
    <n v="77692.34"/>
    <n v="512"/>
    <n v="1071"/>
    <s v="20-30"/>
    <x v="6"/>
  </r>
  <r>
    <s v="https://suumo.jp/chintai/jnc_000104531833/?bc=100486335790"/>
    <s v="Ａｇｌａｉａ　新宿西落合"/>
    <s v="東京都新宿区西落合１"/>
    <n v="116000"/>
    <n v="10000"/>
    <n v="116000"/>
    <m/>
    <n v="-1"/>
    <x v="0"/>
    <n v="20.45"/>
    <n v="0"/>
    <x v="2"/>
    <s v="落合南長崎駅"/>
    <n v="4"/>
    <n v="11.67"/>
    <n v="122997.85"/>
    <n v="77692.34"/>
    <n v="512"/>
    <n v="1071"/>
    <s v="20-30"/>
    <x v="6"/>
  </r>
  <r>
    <s v="https://suumo.jp/chintai/jnc_000104531834/?bc=100486335784"/>
    <s v="Ａｇｌａｉａ　新宿西落合"/>
    <s v="東京都新宿区西落合１"/>
    <n v="117000"/>
    <n v="10000"/>
    <n v="117000"/>
    <m/>
    <n v="-1"/>
    <x v="0"/>
    <n v="20.45"/>
    <n v="0"/>
    <x v="2"/>
    <s v="落合南長崎駅"/>
    <n v="4"/>
    <n v="11.67"/>
    <n v="122997.85"/>
    <n v="77692.34"/>
    <n v="512"/>
    <n v="1071"/>
    <s v="20-30"/>
    <x v="6"/>
  </r>
  <r>
    <s v="https://suumo.jp/chintai/jnc_000104044515/?bc=100482470832"/>
    <s v="都営大江戸線 落合南長崎駅 3階建 新築"/>
    <s v="東京都豊島区南長崎２"/>
    <n v="165000"/>
    <n v="7000"/>
    <n v="165000"/>
    <m/>
    <n v="1"/>
    <x v="19"/>
    <n v="33.79"/>
    <n v="0"/>
    <x v="2"/>
    <s v="落合南長崎駅"/>
    <n v="9"/>
    <n v="11.33"/>
    <n v="122997.85"/>
    <n v="167500"/>
    <n v="512"/>
    <n v="2"/>
    <s v="30-40"/>
    <x v="6"/>
  </r>
  <r>
    <s v="https://suumo.jp/chintai/jnc_000104044518/?bc=100482470835"/>
    <s v="都営大江戸線 落合南長崎駅 3階建 新築"/>
    <s v="東京都豊島区南長崎２"/>
    <n v="170000"/>
    <n v="7000"/>
    <n v="170000"/>
    <m/>
    <n v="2"/>
    <x v="19"/>
    <n v="33.79"/>
    <n v="0"/>
    <x v="2"/>
    <s v="落合南長崎駅"/>
    <n v="9"/>
    <n v="11.33"/>
    <n v="122997.85"/>
    <n v="167500"/>
    <n v="512"/>
    <n v="2"/>
    <s v="30-40"/>
    <x v="6"/>
  </r>
  <r>
    <s v="https://suumo.jp/chintai/jnc_000098617423/?bc=100457271102"/>
    <s v="メトロハイツ西落合"/>
    <s v="東京都新宿区西落合３"/>
    <n v="181000"/>
    <n v="9200"/>
    <n v="181000"/>
    <n v="181000"/>
    <n v="7"/>
    <x v="5"/>
    <n v="53.34"/>
    <n v="26"/>
    <x v="9"/>
    <s v="落合南長崎駅"/>
    <n v="1"/>
    <n v="8.67"/>
    <n v="122997.85"/>
    <n v="207063.41"/>
    <n v="512"/>
    <n v="41"/>
    <s v="50-60"/>
    <x v="1"/>
  </r>
  <r>
    <s v="https://suumo.jp/chintai/jnc_000103416021/?bc=100477320998"/>
    <s v="ウェンゲン落合"/>
    <s v="東京都新宿区中落合４"/>
    <n v="110000"/>
    <n v="5000"/>
    <n v="110000"/>
    <n v="110000"/>
    <n v="2"/>
    <x v="6"/>
    <n v="42"/>
    <n v="39"/>
    <x v="4"/>
    <s v="落合南長崎駅"/>
    <n v="10"/>
    <n v="14"/>
    <n v="122997.85"/>
    <n v="141491.45000000001"/>
    <n v="512"/>
    <n v="117"/>
    <s v="40-50"/>
    <x v="4"/>
  </r>
  <r>
    <s v="https://suumo.jp/chintai/jnc_000099879833/?bc=100447734834"/>
    <s v="グランドゥール南長崎"/>
    <s v="東京都豊島区南長崎４"/>
    <n v="142000"/>
    <n v="5000"/>
    <n v="142000"/>
    <n v="142000"/>
    <n v="4"/>
    <x v="6"/>
    <n v="44.38"/>
    <n v="31"/>
    <x v="5"/>
    <s v="落合南長崎駅"/>
    <n v="5"/>
    <n v="6.5"/>
    <n v="122997.85"/>
    <n v="141491.45000000001"/>
    <n v="512"/>
    <n v="117"/>
    <s v="40-50"/>
    <x v="4"/>
  </r>
  <r>
    <s v="https://suumo.jp/chintai/jnc_000102261454/?bc=100468207322"/>
    <s v="コスモ落合"/>
    <s v="東京都新宿区西落合１"/>
    <n v="97000"/>
    <n v="8000"/>
    <n v="97000"/>
    <m/>
    <n v="3"/>
    <x v="6"/>
    <n v="40"/>
    <n v="48"/>
    <x v="4"/>
    <s v="落合南長崎駅"/>
    <n v="7"/>
    <n v="12.33"/>
    <n v="122997.85"/>
    <n v="141491.45000000001"/>
    <n v="512"/>
    <n v="117"/>
    <s v="40-50"/>
    <x v="3"/>
  </r>
  <r>
    <s v="https://suumo.jp/chintai/jnc_000104021009/?bc=100482246154"/>
    <s v="コーポ田中"/>
    <s v="東京都新宿区中落合４"/>
    <n v="120000"/>
    <n v="5000"/>
    <n v="120000"/>
    <n v="120000"/>
    <n v="1"/>
    <x v="6"/>
    <n v="36.409999999999997"/>
    <n v="34"/>
    <x v="0"/>
    <s v="落合南長崎駅"/>
    <n v="6"/>
    <n v="10"/>
    <n v="122997.85"/>
    <n v="141491.45000000001"/>
    <n v="512"/>
    <n v="117"/>
    <s v="30-40"/>
    <x v="4"/>
  </r>
  <r>
    <s v="https://suumo.jp/chintai/jnc_000088335821/?bc=100482071409"/>
    <s v="パル・豊島館"/>
    <s v="東京都新宿区中落合３"/>
    <n v="140000"/>
    <n v="8000"/>
    <n v="140000"/>
    <n v="140000"/>
    <n v="8"/>
    <x v="6"/>
    <n v="47.26"/>
    <n v="31"/>
    <x v="9"/>
    <s v="落合南長崎駅"/>
    <n v="3"/>
    <n v="8.33"/>
    <n v="122997.85"/>
    <n v="141491.45000000001"/>
    <n v="512"/>
    <n v="117"/>
    <s v="40-50"/>
    <x v="4"/>
  </r>
  <r>
    <s v="https://suumo.jp/chintai/jnc_000102279716/?bc=100472975358"/>
    <s v="西落合ファミリーマンション"/>
    <s v="東京都新宿区西落合３"/>
    <n v="140000"/>
    <m/>
    <n v="140000"/>
    <n v="140000"/>
    <n v="2"/>
    <x v="6"/>
    <n v="37.29"/>
    <n v="53"/>
    <x v="1"/>
    <s v="落合南長崎駅"/>
    <n v="4"/>
    <n v="8.5"/>
    <n v="122997.85"/>
    <n v="141491.45000000001"/>
    <n v="512"/>
    <n v="117"/>
    <s v="30-40"/>
    <x v="5"/>
  </r>
  <r>
    <s v="https://suumo.jp/chintai/jnc_000102880390/?bc=100196985547"/>
    <s v="都営大江戸線 落合南長崎駅 2階建 築45年"/>
    <s v="東京都新宿区西落合４"/>
    <n v="80000"/>
    <n v="3000"/>
    <n v="80000"/>
    <m/>
    <n v="2"/>
    <x v="6"/>
    <n v="36.36"/>
    <n v="45"/>
    <x v="0"/>
    <s v="落合南長崎駅"/>
    <n v="10"/>
    <n v="11"/>
    <n v="122997.85"/>
    <n v="141491.45000000001"/>
    <n v="512"/>
    <n v="117"/>
    <s v="30-40"/>
    <x v="3"/>
  </r>
  <r>
    <s v="https://suumo.jp/chintai/jnc_000101885093/?bc=100472665259"/>
    <s v="都営大江戸線 落合南長崎駅 5階建 築12年"/>
    <s v="東京都新宿区西落合２"/>
    <n v="159000"/>
    <n v="10000"/>
    <n v="159000"/>
    <n v="159000"/>
    <n v="4"/>
    <x v="6"/>
    <n v="41.93"/>
    <n v="12"/>
    <x v="7"/>
    <s v="落合南長崎駅"/>
    <n v="9"/>
    <n v="12.67"/>
    <n v="122997.85"/>
    <n v="141491.45000000001"/>
    <n v="512"/>
    <n v="117"/>
    <s v="40-50"/>
    <x v="7"/>
  </r>
  <r>
    <s v="https://suumo.jp/chintai/jnc_000100439120/?bc=100451274113"/>
    <s v="都営大江戸線 落合南長崎駅 5階建 築31年"/>
    <s v="東京都豊島区南長崎４"/>
    <n v="142000"/>
    <n v="5000"/>
    <n v="142000"/>
    <n v="142000"/>
    <n v="4"/>
    <x v="6"/>
    <n v="44.38"/>
    <n v="31"/>
    <x v="7"/>
    <s v="落合南長崎駅"/>
    <n v="5"/>
    <n v="9"/>
    <n v="122997.85"/>
    <n v="141491.45000000001"/>
    <n v="512"/>
    <n v="117"/>
    <s v="40-50"/>
    <x v="4"/>
  </r>
  <r>
    <s v="https://suumo.jp/chintai/jnc_000087217639/?bc=100481609336"/>
    <s v="ZOOM新宿西落合"/>
    <s v="東京都新宿区西落合１"/>
    <n v="117000"/>
    <n v="8000"/>
    <n v="117000"/>
    <n v="117000"/>
    <n v="2"/>
    <x v="7"/>
    <n v="30.42"/>
    <n v="7"/>
    <x v="10"/>
    <s v="落合南長崎駅"/>
    <n v="6"/>
    <n v="11.67"/>
    <n v="122997.85"/>
    <n v="117441.44"/>
    <n v="512"/>
    <n v="111"/>
    <s v="30-40"/>
    <x v="0"/>
  </r>
  <r>
    <s v="https://suumo.jp/chintai/jnc_000104454681/?bc=100485779218"/>
    <s v="ZOOM新宿西落合"/>
    <s v="東京都新宿区西落合１"/>
    <n v="130000"/>
    <n v="8000"/>
    <n v="130000"/>
    <n v="130000"/>
    <n v="6"/>
    <x v="7"/>
    <n v="30.42"/>
    <n v="7"/>
    <x v="10"/>
    <s v="落合南長崎駅"/>
    <n v="6"/>
    <n v="11.67"/>
    <n v="122997.85"/>
    <n v="117441.44"/>
    <n v="512"/>
    <n v="111"/>
    <s v="30-40"/>
    <x v="0"/>
  </r>
  <r>
    <s v="https://suumo.jp/chintai/jnc_000060261485/?bc=100482414836"/>
    <s v="かたばみ苑第一棟"/>
    <s v="東京都新宿区西落合３"/>
    <n v="70000"/>
    <n v="2000"/>
    <n v="70000"/>
    <n v="70000"/>
    <n v="2"/>
    <x v="7"/>
    <n v="29.7"/>
    <n v="48"/>
    <x v="0"/>
    <s v="落合南長崎駅"/>
    <n v="5"/>
    <n v="10.67"/>
    <n v="122997.85"/>
    <n v="117441.44"/>
    <n v="512"/>
    <n v="111"/>
    <s v="20-30"/>
    <x v="3"/>
  </r>
  <r>
    <s v="https://suumo.jp/chintai/jnc_000103571145/?bc=100485331304"/>
    <s v="クレッセント江原"/>
    <s v="東京都中野区江原町３"/>
    <n v="70000"/>
    <m/>
    <n v="70000"/>
    <m/>
    <n v="1"/>
    <x v="7"/>
    <n v="32.4"/>
    <n v="50"/>
    <x v="0"/>
    <s v="落合南長崎駅"/>
    <n v="10"/>
    <n v="10.33"/>
    <n v="122997.85"/>
    <n v="117441.44"/>
    <n v="512"/>
    <n v="111"/>
    <s v="30-40"/>
    <x v="3"/>
  </r>
  <r>
    <s v="https://suumo.jp/chintai/jnc_000104039400/?bc=100482428608"/>
    <s v="コーポ田中"/>
    <s v="東京都新宿区中落合４"/>
    <n v="115000"/>
    <n v="5000"/>
    <n v="115000"/>
    <n v="115000"/>
    <n v="2"/>
    <x v="7"/>
    <n v="35.18"/>
    <n v="34"/>
    <x v="0"/>
    <s v="落合南長崎駅"/>
    <n v="6"/>
    <n v="10"/>
    <n v="122997.85"/>
    <n v="117441.44"/>
    <n v="512"/>
    <n v="111"/>
    <s v="30-40"/>
    <x v="4"/>
  </r>
  <r>
    <s v="https://suumo.jp/chintai/jnc_000103807295/?bc=100480816314"/>
    <s v="レジデンス新宿中落合スクエア"/>
    <s v="東京都新宿区中落合３"/>
    <n v="121000"/>
    <n v="15000"/>
    <m/>
    <m/>
    <n v="1"/>
    <x v="7"/>
    <n v="25.72"/>
    <n v="6"/>
    <x v="7"/>
    <s v="落合南長崎駅"/>
    <n v="10"/>
    <n v="11.67"/>
    <n v="122997.85"/>
    <n v="117441.44"/>
    <n v="512"/>
    <n v="111"/>
    <s v="20-30"/>
    <x v="0"/>
  </r>
  <r>
    <s v="https://suumo.jp/chintai/jnc_000103807296/?bc=100485555700"/>
    <s v="レジデンス新宿中落合スクエア"/>
    <s v="東京都新宿区中落合３"/>
    <n v="123000"/>
    <n v="15000"/>
    <m/>
    <m/>
    <n v="4"/>
    <x v="7"/>
    <n v="25.51"/>
    <n v="6"/>
    <x v="7"/>
    <s v="落合南長崎駅"/>
    <n v="10"/>
    <n v="11.67"/>
    <n v="122997.85"/>
    <n v="117441.44"/>
    <n v="512"/>
    <n v="111"/>
    <s v="20-30"/>
    <x v="0"/>
  </r>
  <r>
    <s v="https://suumo.jp/chintai/jnc_000101653331/?bc=100461622664"/>
    <s v="秋野ハイツ"/>
    <s v="東京都新宿区西落合２"/>
    <n v="50000"/>
    <n v="4000"/>
    <n v="50000"/>
    <m/>
    <n v="2"/>
    <x v="7"/>
    <n v="26"/>
    <n v="57"/>
    <x v="0"/>
    <s v="落合南長崎駅"/>
    <n v="10"/>
    <n v="13.33"/>
    <n v="122997.85"/>
    <n v="117441.44"/>
    <n v="512"/>
    <n v="111"/>
    <s v="20-30"/>
    <x v="5"/>
  </r>
  <r>
    <s v="https://suumo.jp/chintai/jnc_000080247170/?bc=100483419664"/>
    <s v="西落合ハウス"/>
    <s v="東京都新宿区西落合２"/>
    <n v="75000"/>
    <n v="5000"/>
    <n v="75000"/>
    <n v="75000"/>
    <n v="1"/>
    <x v="7"/>
    <n v="29.04"/>
    <n v="53"/>
    <x v="0"/>
    <s v="落合南長崎駅"/>
    <n v="10"/>
    <n v="12"/>
    <n v="122997.85"/>
    <n v="117441.44"/>
    <n v="512"/>
    <n v="111"/>
    <s v="20-30"/>
    <x v="5"/>
  </r>
  <r>
    <s v="https://suumo.jp/chintai/jnc_000103815328/?bc=100483177428"/>
    <s v="都営大江戸線 落合南長崎駅 5階建 築6年"/>
    <s v="東京都新宿区中落合３"/>
    <n v="121000"/>
    <n v="15000"/>
    <m/>
    <m/>
    <n v="1"/>
    <x v="7"/>
    <n v="25.72"/>
    <n v="6"/>
    <x v="7"/>
    <s v="落合南長崎駅"/>
    <n v="10"/>
    <n v="11"/>
    <n v="122997.85"/>
    <n v="117441.44"/>
    <n v="512"/>
    <n v="111"/>
    <s v="20-30"/>
    <x v="0"/>
  </r>
  <r>
    <s v="https://suumo.jp/chintai/jnc_000103373134/?bc=100482278078"/>
    <s v="都営大江戸線 落合南長崎駅 5階建 築6年"/>
    <s v="東京都新宿区中落合３"/>
    <n v="125000"/>
    <n v="15000"/>
    <m/>
    <m/>
    <n v="5"/>
    <x v="7"/>
    <n v="25.51"/>
    <n v="6"/>
    <x v="7"/>
    <s v="落合南長崎駅"/>
    <n v="10"/>
    <n v="11"/>
    <n v="122997.85"/>
    <n v="117441.44"/>
    <n v="512"/>
    <n v="111"/>
    <s v="20-30"/>
    <x v="0"/>
  </r>
  <r>
    <s v="https://suumo.jp/chintai/jnc_000087204644/?bc=100481637508"/>
    <s v="都営大江戸線 落合南長崎駅 7階建 築7年"/>
    <s v="東京都新宿区西落合１"/>
    <n v="117000"/>
    <n v="8000"/>
    <n v="117000"/>
    <n v="117000"/>
    <n v="2"/>
    <x v="7"/>
    <n v="30.42"/>
    <n v="7"/>
    <x v="10"/>
    <s v="落合南長崎駅"/>
    <n v="6"/>
    <n v="13.33"/>
    <n v="122997.85"/>
    <n v="117441.44"/>
    <n v="512"/>
    <n v="111"/>
    <s v="30-40"/>
    <x v="0"/>
  </r>
  <r>
    <s v="https://suumo.jp/chintai/jnc_000102182213/?bc=100469015188"/>
    <s v="都営大江戸線 落合南長崎駅 7階建 築7年"/>
    <s v="東京都新宿区西落合１"/>
    <n v="125000"/>
    <n v="8000"/>
    <n v="125000"/>
    <n v="125000"/>
    <n v="2"/>
    <x v="7"/>
    <n v="30.42"/>
    <n v="7"/>
    <x v="10"/>
    <s v="落合南長崎駅"/>
    <n v="6"/>
    <n v="13.33"/>
    <n v="122997.85"/>
    <n v="117441.44"/>
    <n v="512"/>
    <n v="111"/>
    <s v="30-40"/>
    <x v="0"/>
  </r>
  <r>
    <s v="https://suumo.jp/chintai/jnc_000100839692/?bc=100470149332"/>
    <s v="ＨＹｓ 新宿西落合"/>
    <s v="東京都新宿区西落合１"/>
    <n v="114000"/>
    <n v="12000"/>
    <m/>
    <n v="114000"/>
    <n v="2"/>
    <x v="7"/>
    <n v="25.67"/>
    <n v="5"/>
    <x v="7"/>
    <s v="落合南長崎駅"/>
    <n v="7"/>
    <n v="11.33"/>
    <n v="122997.85"/>
    <n v="117441.44"/>
    <n v="512"/>
    <n v="111"/>
    <s v="20-30"/>
    <x v="0"/>
  </r>
  <r>
    <s v="https://suumo.jp/chintai/jnc_000104326034/?bc=100484505683"/>
    <s v="Euphoria中落合（ユーフォリア中落合）"/>
    <s v="東京都新宿区中落合３"/>
    <n v="245000"/>
    <n v="10000"/>
    <n v="245000"/>
    <n v="245000"/>
    <n v="1"/>
    <x v="8"/>
    <n v="56"/>
    <n v="0"/>
    <x v="2"/>
    <s v="落合南長崎駅"/>
    <n v="9"/>
    <n v="10.67"/>
    <n v="122997.85"/>
    <n v="232352.65"/>
    <n v="512"/>
    <n v="359"/>
    <s v="50-60"/>
    <x v="6"/>
  </r>
  <r>
    <s v="https://suumo.jp/chintai/jnc_000104326035/?bc=100484509108"/>
    <s v="Euphoria中落合（ユーフォリア中落合）"/>
    <s v="東京都新宿区中落合３"/>
    <n v="235000"/>
    <n v="10000"/>
    <n v="235000"/>
    <n v="235000"/>
    <n v="1"/>
    <x v="8"/>
    <n v="57.62"/>
    <n v="0"/>
    <x v="2"/>
    <s v="落合南長崎駅"/>
    <n v="9"/>
    <n v="10.67"/>
    <n v="122997.85"/>
    <n v="232352.65"/>
    <n v="512"/>
    <n v="359"/>
    <s v="50-60"/>
    <x v="6"/>
  </r>
  <r>
    <s v="https://suumo.jp/chintai/jnc_000104326036/?bc=100484510412"/>
    <s v="Euphoria中落合（ユーフォリア中落合）"/>
    <s v="東京都新宿区中落合３"/>
    <n v="213000"/>
    <n v="10000"/>
    <n v="213000"/>
    <n v="213000"/>
    <n v="2"/>
    <x v="8"/>
    <n v="51.38"/>
    <n v="0"/>
    <x v="2"/>
    <s v="落合南長崎駅"/>
    <n v="9"/>
    <n v="10.67"/>
    <n v="122997.85"/>
    <n v="232352.65"/>
    <n v="512"/>
    <n v="359"/>
    <s v="50-60"/>
    <x v="6"/>
  </r>
  <r>
    <s v="https://suumo.jp/chintai/jnc_000104326038/?bc=100484514995"/>
    <s v="Euphoria中落合（ユーフォリア中落合）"/>
    <s v="東京都新宿区中落合３"/>
    <n v="233000"/>
    <n v="10000"/>
    <n v="233000"/>
    <n v="233000"/>
    <n v="2"/>
    <x v="8"/>
    <n v="58.5"/>
    <n v="0"/>
    <x v="2"/>
    <s v="落合南長崎駅"/>
    <n v="9"/>
    <n v="10.67"/>
    <n v="122997.85"/>
    <n v="232352.65"/>
    <n v="512"/>
    <n v="359"/>
    <s v="50-60"/>
    <x v="6"/>
  </r>
  <r>
    <s v="https://suumo.jp/chintai/jnc_000104326037/?bc=100484513102"/>
    <s v="Euphoria中落合（ユーフォリア中落合）"/>
    <s v="東京都新宿区中落合３"/>
    <n v="245000"/>
    <n v="10000"/>
    <n v="245000"/>
    <n v="245000"/>
    <n v="2"/>
    <x v="8"/>
    <n v="59.75"/>
    <n v="0"/>
    <x v="2"/>
    <s v="落合南長崎駅"/>
    <n v="9"/>
    <n v="10.67"/>
    <n v="122997.85"/>
    <n v="232352.65"/>
    <n v="512"/>
    <n v="359"/>
    <s v="50-60"/>
    <x v="6"/>
  </r>
  <r>
    <s v="https://suumo.jp/chintai/jnc_000103959572/?bc=100482105935"/>
    <s v="アビタシオン落合"/>
    <s v="東京都新宿区西落合３"/>
    <n v="135000"/>
    <n v="3000"/>
    <n v="135000"/>
    <n v="135000"/>
    <n v="2"/>
    <x v="8"/>
    <n v="51.9"/>
    <n v="51"/>
    <x v="5"/>
    <s v="落合南長崎駅"/>
    <n v="1"/>
    <n v="9.33"/>
    <n v="122997.85"/>
    <n v="232352.65"/>
    <n v="512"/>
    <n v="359"/>
    <s v="50-60"/>
    <x v="5"/>
  </r>
  <r>
    <s v="https://suumo.jp/chintai/jnc_000104116898/?bc=100483575172"/>
    <s v="オアーゼ新宿西落合レジデンス"/>
    <s v="東京都新宿区西落合１"/>
    <n v="240000"/>
    <n v="12000"/>
    <n v="240000"/>
    <n v="480000"/>
    <n v="4"/>
    <x v="8"/>
    <n v="51.71"/>
    <n v="4"/>
    <x v="7"/>
    <s v="落合南長崎駅"/>
    <n v="6"/>
    <n v="13"/>
    <n v="122997.85"/>
    <n v="232352.65"/>
    <n v="512"/>
    <n v="359"/>
    <s v="50-60"/>
    <x v="0"/>
  </r>
  <r>
    <s v="https://suumo.jp/chintai/jnc_000103316453/?bc=100478979199"/>
    <s v="オアーゼ新宿西落合レジデンス"/>
    <s v="東京都新宿区西落合１"/>
    <n v="199000"/>
    <n v="12000"/>
    <n v="199000"/>
    <n v="398000"/>
    <n v="5"/>
    <x v="8"/>
    <n v="43.52"/>
    <n v="4"/>
    <x v="7"/>
    <s v="落合南長崎駅"/>
    <n v="6"/>
    <n v="13"/>
    <n v="122997.85"/>
    <n v="232352.65"/>
    <n v="512"/>
    <n v="359"/>
    <s v="40-50"/>
    <x v="0"/>
  </r>
  <r>
    <s v="https://suumo.jp/chintai/jnc_000103750514/?bc=100475945812"/>
    <s v="セレスティア中野上高田"/>
    <s v="東京都中野区上高田５"/>
    <n v="240000"/>
    <n v="15000"/>
    <m/>
    <n v="480000"/>
    <n v="1"/>
    <x v="8"/>
    <n v="58.87"/>
    <n v="0"/>
    <x v="2"/>
    <s v="落合南長崎駅"/>
    <n v="11"/>
    <n v="12.67"/>
    <n v="122997.85"/>
    <n v="232352.65"/>
    <n v="512"/>
    <n v="359"/>
    <s v="50-60"/>
    <x v="6"/>
  </r>
  <r>
    <s v="https://suumo.jp/chintai/jnc_000103750530/?bc=100475918725"/>
    <s v="セレスティア中野上高田"/>
    <s v="東京都中野区上高田５"/>
    <n v="238000"/>
    <n v="15000"/>
    <m/>
    <n v="238000"/>
    <n v="2"/>
    <x v="8"/>
    <n v="55.66"/>
    <n v="0"/>
    <x v="2"/>
    <s v="落合南長崎駅"/>
    <n v="11"/>
    <n v="12.67"/>
    <n v="122997.85"/>
    <n v="232352.65"/>
    <n v="512"/>
    <n v="359"/>
    <s v="50-60"/>
    <x v="6"/>
  </r>
  <r>
    <s v="https://suumo.jp/chintai/jnc_000103750522/?bc=100475945809"/>
    <s v="セレスティア中野上高田"/>
    <s v="東京都中野区上高田５"/>
    <n v="255000"/>
    <n v="15000"/>
    <m/>
    <n v="510000"/>
    <n v="2"/>
    <x v="8"/>
    <n v="62.65"/>
    <n v="0"/>
    <x v="2"/>
    <s v="落合南長崎駅"/>
    <n v="11"/>
    <n v="12.67"/>
    <n v="122997.85"/>
    <n v="232352.65"/>
    <n v="512"/>
    <n v="359"/>
    <s v="60-70"/>
    <x v="6"/>
  </r>
  <r>
    <s v="https://suumo.jp/chintai/jnc_000104043954/?bc=100484712363"/>
    <s v="ソフィア中落合"/>
    <s v="東京都新宿区中落合３"/>
    <n v="240000"/>
    <n v="15000"/>
    <n v="240000"/>
    <n v="240000"/>
    <n v="1"/>
    <x v="8"/>
    <n v="70.400000000000006"/>
    <n v="33"/>
    <x v="2"/>
    <s v="落合南長崎駅"/>
    <n v="7"/>
    <n v="12.33"/>
    <n v="122997.85"/>
    <n v="232352.65"/>
    <n v="512"/>
    <n v="359"/>
    <s v="70-80"/>
    <x v="4"/>
  </r>
  <r>
    <s v="https://suumo.jp/chintai/jnc_000103959570/?bc=100482071410"/>
    <s v="パル・豊島館"/>
    <s v="東京都新宿区中落合３"/>
    <n v="132000"/>
    <n v="8000"/>
    <n v="132000"/>
    <n v="132000"/>
    <n v="2"/>
    <x v="8"/>
    <n v="47.18"/>
    <n v="31"/>
    <x v="9"/>
    <s v="落合南長崎駅"/>
    <n v="3"/>
    <n v="8.33"/>
    <n v="122997.85"/>
    <n v="232352.65"/>
    <n v="512"/>
    <n v="359"/>
    <s v="40-50"/>
    <x v="4"/>
  </r>
  <r>
    <s v="https://suumo.jp/chintai/jnc_000101864297/?bc=100472931398"/>
    <s v="パークアクシス新宿西落合"/>
    <s v="東京都新宿区西落合２"/>
    <n v="296000"/>
    <n v="20000"/>
    <n v="296000"/>
    <m/>
    <n v="8"/>
    <x v="8"/>
    <n v="53.2"/>
    <n v="0"/>
    <x v="6"/>
    <s v="落合南長崎駅"/>
    <n v="9"/>
    <n v="13.33"/>
    <n v="122997.85"/>
    <n v="232352.65"/>
    <n v="512"/>
    <n v="359"/>
    <s v="50-60"/>
    <x v="6"/>
  </r>
  <r>
    <s v="https://suumo.jp/chintai/jnc_000096616807/?bc=100423475889"/>
    <s v="パークアクシス新宿西落合"/>
    <s v="東京都新宿区西落合２"/>
    <n v="300000"/>
    <n v="20000"/>
    <n v="300000"/>
    <m/>
    <n v="8"/>
    <x v="8"/>
    <n v="53.2"/>
    <n v="0"/>
    <x v="6"/>
    <s v="落合南長崎駅"/>
    <n v="9"/>
    <n v="13.33"/>
    <n v="122997.85"/>
    <n v="232352.65"/>
    <n v="512"/>
    <n v="359"/>
    <s v="50-60"/>
    <x v="6"/>
  </r>
  <r>
    <s v="https://suumo.jp/chintai/jnc_000075130411/?bc=100468534692"/>
    <s v="メゾンドヒロオ"/>
    <s v="東京都豊島区南長崎３"/>
    <n v="120000"/>
    <n v="3000"/>
    <n v="120000"/>
    <n v="120000"/>
    <n v="1"/>
    <x v="8"/>
    <n v="48"/>
    <n v="37"/>
    <x v="2"/>
    <s v="落合南長崎駅"/>
    <n v="5"/>
    <n v="9"/>
    <n v="122997.85"/>
    <n v="232352.65"/>
    <n v="512"/>
    <n v="359"/>
    <s v="40-50"/>
    <x v="4"/>
  </r>
  <r>
    <s v="https://suumo.jp/chintai/jnc_000103694588/?bc=100480331500"/>
    <s v="メゾンＵ"/>
    <s v="東京都新宿区西落合２"/>
    <n v="195000"/>
    <n v="5000"/>
    <n v="195000"/>
    <n v="195000"/>
    <n v="1"/>
    <x v="8"/>
    <n v="55.13"/>
    <n v="14"/>
    <x v="0"/>
    <s v="落合南長崎駅"/>
    <n v="8"/>
    <n v="12.67"/>
    <n v="122997.85"/>
    <n v="232352.65"/>
    <n v="512"/>
    <n v="359"/>
    <s v="50-60"/>
    <x v="7"/>
  </r>
  <r>
    <s v="https://suumo.jp/chintai/jnc_000104261588/?bc=100484933198"/>
    <s v="中落合パーク・ホームズ"/>
    <s v="東京都新宿区中落合３"/>
    <n v="318000"/>
    <n v="8000"/>
    <n v="636000"/>
    <n v="318000"/>
    <n v="6"/>
    <x v="8"/>
    <n v="88.81"/>
    <n v="25"/>
    <x v="11"/>
    <s v="落合南長崎駅"/>
    <n v="8"/>
    <n v="8.5"/>
    <n v="122997.85"/>
    <n v="232352.65"/>
    <n v="512"/>
    <n v="359"/>
    <s v="80-90"/>
    <x v="1"/>
  </r>
  <r>
    <s v="https://suumo.jp/chintai/jnc_000098061622/?bc=100433210327"/>
    <s v="中落合戸建"/>
    <s v="東京都新宿区中落合３"/>
    <n v="175000"/>
    <m/>
    <n v="175000"/>
    <m/>
    <n v="1"/>
    <x v="8"/>
    <n v="47.1"/>
    <n v="62"/>
    <x v="0"/>
    <s v="落合南長崎駅"/>
    <n v="7"/>
    <n v="10.67"/>
    <n v="122997.85"/>
    <n v="232352.65"/>
    <n v="512"/>
    <n v="359"/>
    <s v="40-50"/>
    <x v="2"/>
  </r>
  <r>
    <s v="https://suumo.jp/chintai/jnc_000104356701/?bc=100484994059"/>
    <s v="仮称）西落合１丁目メゾン"/>
    <s v="東京都新宿区西落合１"/>
    <n v="218000"/>
    <n v="6000"/>
    <n v="218000"/>
    <n v="436000"/>
    <n v="2"/>
    <x v="8"/>
    <n v="55.27"/>
    <n v="0"/>
    <x v="2"/>
    <s v="落合南長崎駅"/>
    <n v="4"/>
    <n v="11.67"/>
    <n v="122997.85"/>
    <n v="232352.65"/>
    <n v="512"/>
    <n v="359"/>
    <s v="50-60"/>
    <x v="6"/>
  </r>
  <r>
    <s v="https://suumo.jp/chintai/jnc_000104132249/?bc=100471222744"/>
    <s v="西落合３丁目テラスハウス"/>
    <s v="東京都新宿区西落合３"/>
    <n v="270000"/>
    <m/>
    <n v="270000"/>
    <n v="270000"/>
    <n v="1"/>
    <x v="8"/>
    <n v="98.31"/>
    <n v="20"/>
    <x v="0"/>
    <s v="落合南長崎駅"/>
    <n v="5"/>
    <n v="9.67"/>
    <n v="122997.85"/>
    <n v="232352.65"/>
    <n v="512"/>
    <n v="359"/>
    <s v="90-100"/>
    <x v="7"/>
  </r>
  <r>
    <s v="https://suumo.jp/chintai/jnc_000104132249/?bc=100471222744"/>
    <s v="西落合３丁目テラスハウス"/>
    <s v="東京都新宿区西落合３"/>
    <n v="270000"/>
    <m/>
    <n v="270000"/>
    <n v="270000"/>
    <n v="2"/>
    <x v="8"/>
    <n v="98.31"/>
    <n v="20"/>
    <x v="0"/>
    <s v="落合南長崎駅"/>
    <n v="5"/>
    <n v="9.67"/>
    <n v="122997.85"/>
    <n v="232352.65"/>
    <n v="512"/>
    <n v="359"/>
    <s v="90-100"/>
    <x v="7"/>
  </r>
  <r>
    <s v="https://suumo.jp/chintai/jnc_000104347540/?bc=100484964703"/>
    <s v="都営大江戸線 落合南長崎駅 15階建 築25年"/>
    <s v="東京都新宿区中落合３"/>
    <n v="318000"/>
    <n v="8000"/>
    <n v="636000"/>
    <n v="318000"/>
    <n v="6"/>
    <x v="8"/>
    <n v="88.81"/>
    <n v="25"/>
    <x v="11"/>
    <s v="落合南長崎駅"/>
    <n v="9"/>
    <n v="9.67"/>
    <n v="122997.85"/>
    <n v="232352.65"/>
    <n v="512"/>
    <n v="359"/>
    <s v="80-90"/>
    <x v="1"/>
  </r>
  <r>
    <s v="https://suumo.jp/chintai/jnc_000103770596/?bc=100482608383"/>
    <s v="都営大江戸線 落合南長崎駅 2階建 築14年"/>
    <s v="東京都新宿区西落合２"/>
    <n v="195000"/>
    <n v="5000"/>
    <n v="195000"/>
    <n v="195000"/>
    <n v="1"/>
    <x v="8"/>
    <n v="55.13"/>
    <n v="14"/>
    <x v="0"/>
    <s v="落合南長崎駅"/>
    <n v="8"/>
    <n v="12.67"/>
    <n v="122997.85"/>
    <n v="232352.65"/>
    <n v="512"/>
    <n v="359"/>
    <s v="50-60"/>
    <x v="7"/>
  </r>
  <r>
    <s v="https://suumo.jp/chintai/jnc_000103239348/?bc=100483358868"/>
    <s v="都営大江戸線 落合南長崎駅 3階建 新築"/>
    <s v="東京都中野区上高田５"/>
    <n v="240000"/>
    <n v="15000"/>
    <m/>
    <n v="240000"/>
    <n v="1"/>
    <x v="8"/>
    <n v="58.87"/>
    <n v="0"/>
    <x v="2"/>
    <s v="落合南長崎駅"/>
    <n v="11"/>
    <n v="11.5"/>
    <n v="122997.85"/>
    <n v="232352.65"/>
    <n v="512"/>
    <n v="359"/>
    <s v="50-60"/>
    <x v="6"/>
  </r>
  <r>
    <s v="https://suumo.jp/chintai/jnc_000103239363/?bc=100483358866"/>
    <s v="都営大江戸線 落合南長崎駅 3階建 新築"/>
    <s v="東京都中野区上高田５"/>
    <n v="238000"/>
    <n v="15000"/>
    <m/>
    <n v="476000"/>
    <n v="2"/>
    <x v="8"/>
    <n v="55.66"/>
    <n v="0"/>
    <x v="2"/>
    <s v="落合南長崎駅"/>
    <n v="11"/>
    <n v="11.5"/>
    <n v="122997.85"/>
    <n v="232352.65"/>
    <n v="512"/>
    <n v="359"/>
    <s v="50-60"/>
    <x v="6"/>
  </r>
  <r>
    <s v="https://suumo.jp/chintai/jnc_000103239356/?bc=100483358867"/>
    <s v="都営大江戸線 落合南長崎駅 3階建 新築"/>
    <s v="東京都中野区上高田５"/>
    <n v="255000"/>
    <n v="15000"/>
    <m/>
    <n v="510000"/>
    <n v="2"/>
    <x v="8"/>
    <n v="62.65"/>
    <n v="0"/>
    <x v="2"/>
    <s v="落合南長崎駅"/>
    <n v="11"/>
    <n v="11.5"/>
    <n v="122997.85"/>
    <n v="232352.65"/>
    <n v="512"/>
    <n v="359"/>
    <s v="60-70"/>
    <x v="6"/>
  </r>
  <r>
    <s v="https://suumo.jp/chintai/jnc_000103239370/?bc=100483358865"/>
    <s v="都営大江戸線 落合南長崎駅 3階建 新築"/>
    <s v="東京都中野区上高田５"/>
    <n v="250000"/>
    <n v="15000"/>
    <m/>
    <n v="500000"/>
    <n v="3"/>
    <x v="8"/>
    <n v="55.66"/>
    <n v="0"/>
    <x v="2"/>
    <s v="落合南長崎駅"/>
    <n v="11"/>
    <n v="11.5"/>
    <n v="122997.85"/>
    <n v="232352.65"/>
    <n v="512"/>
    <n v="359"/>
    <s v="50-60"/>
    <x v="6"/>
  </r>
  <r>
    <s v="https://suumo.jp/chintai/jnc_000103750538/?bc=100486057245"/>
    <s v="都営大江戸線 落合南長崎駅 3階建 築1年"/>
    <s v="東京都中野区上高田５"/>
    <n v="240000"/>
    <n v="15000"/>
    <m/>
    <n v="240000"/>
    <n v="1"/>
    <x v="8"/>
    <n v="58.87"/>
    <n v="1"/>
    <x v="2"/>
    <s v="落合南長崎駅"/>
    <n v="11"/>
    <n v="16"/>
    <n v="122997.85"/>
    <n v="232352.65"/>
    <n v="512"/>
    <n v="359"/>
    <s v="50-60"/>
    <x v="0"/>
  </r>
  <r>
    <s v="https://suumo.jp/chintai/jnc_000103750553/?bc=100475989510"/>
    <s v="都営大江戸線 落合南長崎駅 3階建 築1年"/>
    <s v="東京都中野区上高田５"/>
    <n v="238000"/>
    <n v="15000"/>
    <m/>
    <n v="476000"/>
    <n v="2"/>
    <x v="8"/>
    <n v="55.66"/>
    <n v="1"/>
    <x v="2"/>
    <s v="落合南長崎駅"/>
    <n v="11"/>
    <n v="16"/>
    <n v="122997.85"/>
    <n v="232352.65"/>
    <n v="512"/>
    <n v="359"/>
    <s v="50-60"/>
    <x v="0"/>
  </r>
  <r>
    <s v="https://suumo.jp/chintai/jnc_000103994070/?bc=100485609673"/>
    <s v="都営大江戸線 落合南長崎駅 3階建 築33年"/>
    <s v="東京都新宿区中落合３"/>
    <n v="240000"/>
    <n v="15000"/>
    <n v="240000"/>
    <n v="240000"/>
    <n v="1"/>
    <x v="8"/>
    <n v="70.400000000000006"/>
    <n v="33"/>
    <x v="2"/>
    <s v="落合南長崎駅"/>
    <n v="7"/>
    <n v="12"/>
    <n v="122997.85"/>
    <n v="232352.65"/>
    <n v="512"/>
    <n v="359"/>
    <s v="70-80"/>
    <x v="4"/>
  </r>
  <r>
    <s v="https://suumo.jp/chintai/jnc_000104148255/?bc=100483350696"/>
    <s v="都営大江戸線 落合南長崎駅 5階建 築4年"/>
    <s v="東京都新宿区西落合１"/>
    <n v="240000"/>
    <n v="12000"/>
    <n v="240000"/>
    <n v="480000"/>
    <n v="4"/>
    <x v="8"/>
    <n v="51.71"/>
    <n v="4"/>
    <x v="7"/>
    <s v="落合南長崎駅"/>
    <n v="6"/>
    <n v="12.33"/>
    <n v="122997.85"/>
    <n v="232352.65"/>
    <n v="512"/>
    <n v="359"/>
    <s v="50-60"/>
    <x v="0"/>
  </r>
  <r>
    <s v="https://suumo.jp/chintai/jnc_000103575252/?bc=100478626257"/>
    <s v="都営大江戸線 落合南長崎駅 5階建 築4年"/>
    <s v="東京都新宿区西落合１"/>
    <n v="199000"/>
    <n v="10000"/>
    <n v="199000"/>
    <n v="398000"/>
    <n v="5"/>
    <x v="8"/>
    <n v="43.52"/>
    <n v="4"/>
    <x v="7"/>
    <s v="落合南長崎駅"/>
    <n v="6"/>
    <n v="12.33"/>
    <n v="122997.85"/>
    <n v="232352.65"/>
    <n v="512"/>
    <n v="359"/>
    <s v="40-50"/>
    <x v="0"/>
  </r>
  <r>
    <s v="https://suumo.jp/chintai/jnc_000103976395/?bc=100482107677"/>
    <s v="都営大江戸線 落合南長崎駅 6階建 築51年"/>
    <s v="東京都新宿区西落合３"/>
    <n v="135000"/>
    <n v="3000"/>
    <n v="135000"/>
    <n v="135000"/>
    <n v="2"/>
    <x v="8"/>
    <n v="51.9"/>
    <n v="51"/>
    <x v="5"/>
    <s v="落合南長崎駅"/>
    <n v="1"/>
    <n v="9.33"/>
    <n v="122997.85"/>
    <n v="232352.65"/>
    <n v="512"/>
    <n v="359"/>
    <s v="50-60"/>
    <x v="5"/>
  </r>
  <r>
    <s v="https://suumo.jp/chintai/jnc_000103994071/?bc=100484377136"/>
    <s v="都営大江戸線 落合南長崎駅 8階建 築31年"/>
    <s v="東京都新宿区中落合３"/>
    <n v="132000"/>
    <n v="8000"/>
    <n v="132000"/>
    <n v="132000"/>
    <n v="2"/>
    <x v="8"/>
    <n v="47.18"/>
    <n v="31"/>
    <x v="9"/>
    <s v="落合南長崎駅"/>
    <n v="3"/>
    <n v="8.33"/>
    <n v="122997.85"/>
    <n v="232352.65"/>
    <n v="512"/>
    <n v="359"/>
    <s v="40-50"/>
    <x v="4"/>
  </r>
  <r>
    <s v="https://suumo.jp/chintai/jnc_000096636887/?bc=100473491937"/>
    <s v="都営大江戸線 落合南長崎駅 9階建 築1年"/>
    <s v="東京都新宿区西落合２"/>
    <n v="300000"/>
    <n v="20000"/>
    <n v="300000"/>
    <m/>
    <n v="8"/>
    <x v="8"/>
    <n v="53.2"/>
    <n v="1"/>
    <x v="6"/>
    <s v="落合南長崎駅"/>
    <n v="9"/>
    <n v="11.67"/>
    <n v="122997.85"/>
    <n v="232352.65"/>
    <n v="512"/>
    <n v="359"/>
    <s v="50-60"/>
    <x v="0"/>
  </r>
  <r>
    <s v="https://suumo.jp/chintai/jnc_000104411714/?bc=100485460454"/>
    <s v="都営大江戸線 落合南長崎駅 地上3階建 築6年"/>
    <s v="東京都新宿区西落合２"/>
    <n v="275000"/>
    <n v="10000"/>
    <n v="275000"/>
    <n v="275000"/>
    <n v="1"/>
    <x v="8"/>
    <n v="88.44"/>
    <n v="6"/>
    <x v="2"/>
    <s v="落合南長崎駅"/>
    <n v="11"/>
    <n v="15.33"/>
    <n v="122997.85"/>
    <n v="232352.65"/>
    <n v="512"/>
    <n v="359"/>
    <s v="80-90"/>
    <x v="0"/>
  </r>
  <r>
    <s v="https://suumo.jp/chintai/jnc_000104411714/?bc=100485460454"/>
    <s v="都営大江戸線 落合南長崎駅 地上3階建 築6年"/>
    <s v="東京都新宿区西落合２"/>
    <n v="275000"/>
    <n v="10000"/>
    <n v="275000"/>
    <n v="275000"/>
    <n v="2"/>
    <x v="8"/>
    <n v="88.44"/>
    <n v="6"/>
    <x v="2"/>
    <s v="落合南長崎駅"/>
    <n v="11"/>
    <n v="15.33"/>
    <n v="122997.85"/>
    <n v="232352.65"/>
    <n v="512"/>
    <n v="359"/>
    <s v="80-90"/>
    <x v="0"/>
  </r>
  <r>
    <s v="https://suumo.jp/chintai/jnc_000104411714/?bc=100485460454"/>
    <s v="都営大江戸線 落合南長崎駅 地上3階建 築6年"/>
    <s v="東京都新宿区西落合２"/>
    <n v="275000"/>
    <n v="10000"/>
    <n v="275000"/>
    <n v="275000"/>
    <n v="3"/>
    <x v="8"/>
    <n v="88.44"/>
    <n v="6"/>
    <x v="2"/>
    <s v="落合南長崎駅"/>
    <n v="11"/>
    <n v="15.33"/>
    <n v="122997.85"/>
    <n v="232352.65"/>
    <n v="512"/>
    <n v="359"/>
    <s v="80-90"/>
    <x v="0"/>
  </r>
  <r>
    <s v="https://suumo.jp/chintai/jnc_000104132248/?bc=100471222745"/>
    <s v="西落合３丁目テラスハウス"/>
    <s v="東京都新宿区西落合３"/>
    <n v="270000"/>
    <m/>
    <n v="270000"/>
    <n v="270000"/>
    <n v="1"/>
    <x v="10"/>
    <n v="97.43"/>
    <n v="20"/>
    <x v="0"/>
    <s v="落合南長崎駅"/>
    <n v="5"/>
    <n v="9.67"/>
    <n v="122997.85"/>
    <n v="282153.84999999998"/>
    <n v="512"/>
    <n v="26"/>
    <s v="90-100"/>
    <x v="7"/>
  </r>
  <r>
    <s v="https://suumo.jp/chintai/jnc_000104132248/?bc=100471222745"/>
    <s v="西落合３丁目テラスハウス"/>
    <s v="東京都新宿区西落合３"/>
    <n v="270000"/>
    <m/>
    <n v="270000"/>
    <n v="270000"/>
    <n v="2"/>
    <x v="10"/>
    <n v="97.43"/>
    <n v="20"/>
    <x v="0"/>
    <s v="落合南長崎駅"/>
    <n v="5"/>
    <n v="9.67"/>
    <n v="122997.85"/>
    <n v="282153.84999999998"/>
    <n v="512"/>
    <n v="26"/>
    <s v="90-100"/>
    <x v="7"/>
  </r>
  <r>
    <s v="https://suumo.jp/chintai/jnc_000103465041/?bc=100478607416"/>
    <s v="アーバンヴィラ西落合"/>
    <s v="東京都新宿区西落合１"/>
    <n v="172000"/>
    <n v="6000"/>
    <n v="172000"/>
    <n v="172000"/>
    <n v="2"/>
    <x v="11"/>
    <n v="62.29"/>
    <n v="37"/>
    <x v="2"/>
    <s v="落合南長崎駅"/>
    <n v="5"/>
    <n v="11.33"/>
    <n v="122997.85"/>
    <n v="184333.33"/>
    <n v="512"/>
    <n v="18"/>
    <s v="60-70"/>
    <x v="4"/>
  </r>
  <r>
    <s v="https://suumo.jp/chintai/jnc_000045939057/?bc=100479209362"/>
    <s v="哲学堂マンション"/>
    <s v="東京都新宿区西落合２"/>
    <n v="110000"/>
    <m/>
    <n v="110000"/>
    <n v="110000"/>
    <n v="3"/>
    <x v="11"/>
    <n v="49.5"/>
    <n v="62"/>
    <x v="10"/>
    <s v="落合南長崎駅"/>
    <n v="7"/>
    <n v="8.33"/>
    <n v="122997.85"/>
    <n v="184333.33"/>
    <n v="512"/>
    <n v="18"/>
    <s v="40-50"/>
    <x v="2"/>
  </r>
  <r>
    <s v="https://suumo.jp/chintai/jnc_000103459018/?bc=100478159427"/>
    <s v="都営大江戸線 落合南長崎駅 3階建 築37年"/>
    <s v="東京都新宿区西落合１"/>
    <n v="172000"/>
    <n v="6000"/>
    <n v="172000"/>
    <n v="172000"/>
    <n v="2"/>
    <x v="11"/>
    <n v="62.29"/>
    <n v="37"/>
    <x v="2"/>
    <s v="落合南長崎駅"/>
    <n v="5"/>
    <n v="11.33"/>
    <n v="122997.85"/>
    <n v="184333.33"/>
    <n v="512"/>
    <n v="18"/>
    <s v="60-70"/>
    <x v="4"/>
  </r>
  <r>
    <s v="https://suumo.jp/chintai/jnc_000104015694/?bc=100484261407"/>
    <s v="アイレスト新宿西落合"/>
    <s v="東京都新宿区西落合１"/>
    <n v="200000"/>
    <m/>
    <n v="200000"/>
    <n v="200000"/>
    <n v="3"/>
    <x v="13"/>
    <n v="71.66"/>
    <n v="42"/>
    <x v="7"/>
    <s v="落合南長崎駅"/>
    <n v="3"/>
    <n v="10"/>
    <n v="122997.85"/>
    <n v="288705.81"/>
    <n v="512"/>
    <n v="155"/>
    <s v="70-80"/>
    <x v="3"/>
  </r>
  <r>
    <s v="https://suumo.jp/chintai/jnc_000090022925/?bc=100484995844"/>
    <s v="カステリーナ"/>
    <s v="東京都新宿区西落合３"/>
    <n v="350000"/>
    <m/>
    <n v="700000"/>
    <n v="350000"/>
    <n v="1"/>
    <x v="13"/>
    <n v="104.03"/>
    <n v="2"/>
    <x v="0"/>
    <s v="落合南長崎駅"/>
    <n v="9"/>
    <n v="11.67"/>
    <n v="122997.85"/>
    <n v="288705.81"/>
    <n v="512"/>
    <n v="155"/>
    <s v="100+"/>
    <x v="0"/>
  </r>
  <r>
    <s v="https://suumo.jp/chintai/jnc_000090022925/?bc=100484995844"/>
    <s v="カステリーナ"/>
    <s v="東京都新宿区西落合３"/>
    <n v="350000"/>
    <m/>
    <n v="700000"/>
    <n v="350000"/>
    <n v="2"/>
    <x v="13"/>
    <n v="104.03"/>
    <n v="2"/>
    <x v="0"/>
    <s v="落合南長崎駅"/>
    <n v="9"/>
    <n v="11.67"/>
    <n v="122997.85"/>
    <n v="288705.81"/>
    <n v="512"/>
    <n v="155"/>
    <s v="100+"/>
    <x v="0"/>
  </r>
  <r>
    <s v="https://suumo.jp/chintai/jnc_000098345742/?bc=100435975761"/>
    <s v="メトロハイツ西落合"/>
    <s v="東京都新宿区西落合３"/>
    <n v="200000"/>
    <n v="38000"/>
    <n v="400000"/>
    <n v="400000"/>
    <n v="5"/>
    <x v="13"/>
    <n v="64.349999999999994"/>
    <n v="26"/>
    <x v="9"/>
    <s v="落合南長崎駅"/>
    <n v="1"/>
    <n v="8.67"/>
    <n v="122997.85"/>
    <n v="288705.81"/>
    <n v="512"/>
    <n v="155"/>
    <s v="60-70"/>
    <x v="1"/>
  </r>
  <r>
    <s v="https://suumo.jp/chintai/jnc_000103402593/?bc=100477247671"/>
    <s v="中落合戸建"/>
    <s v="東京都新宿区中落合３"/>
    <n v="298000"/>
    <m/>
    <n v="596000"/>
    <n v="298000"/>
    <n v="1"/>
    <x v="13"/>
    <n v="91.91"/>
    <n v="3"/>
    <x v="2"/>
    <s v="落合南長崎駅"/>
    <n v="7"/>
    <n v="10"/>
    <n v="122997.85"/>
    <n v="288705.81"/>
    <n v="512"/>
    <n v="155"/>
    <s v="90-100"/>
    <x v="0"/>
  </r>
  <r>
    <s v="https://suumo.jp/chintai/jnc_000103402593/?bc=100477247671"/>
    <s v="中落合戸建"/>
    <s v="東京都新宿区中落合３"/>
    <n v="298000"/>
    <m/>
    <n v="596000"/>
    <n v="298000"/>
    <n v="2"/>
    <x v="13"/>
    <n v="91.91"/>
    <n v="3"/>
    <x v="2"/>
    <s v="落合南長崎駅"/>
    <n v="7"/>
    <n v="10"/>
    <n v="122997.85"/>
    <n v="288705.81"/>
    <n v="512"/>
    <n v="155"/>
    <s v="90-100"/>
    <x v="0"/>
  </r>
  <r>
    <s v="https://suumo.jp/chintai/jnc_000103402593/?bc=100477247671"/>
    <s v="中落合戸建"/>
    <s v="東京都新宿区中落合３"/>
    <n v="298000"/>
    <m/>
    <n v="596000"/>
    <n v="298000"/>
    <n v="3"/>
    <x v="13"/>
    <n v="91.91"/>
    <n v="3"/>
    <x v="2"/>
    <s v="落合南長崎駅"/>
    <n v="7"/>
    <n v="10"/>
    <n v="122997.85"/>
    <n v="288705.81"/>
    <n v="512"/>
    <n v="155"/>
    <s v="90-100"/>
    <x v="0"/>
  </r>
  <r>
    <s v="https://suumo.jp/chintai/jnc_000102071017/?bc=100470511900"/>
    <s v="中落合戸建"/>
    <s v="東京都新宿区中落合３"/>
    <n v="298000"/>
    <m/>
    <n v="596000"/>
    <n v="298000"/>
    <n v="1"/>
    <x v="13"/>
    <n v="91.91"/>
    <n v="3"/>
    <x v="2"/>
    <s v="落合南長崎駅"/>
    <n v="7"/>
    <n v="10"/>
    <n v="122997.85"/>
    <n v="288705.81"/>
    <n v="512"/>
    <n v="155"/>
    <s v="90-100"/>
    <x v="0"/>
  </r>
  <r>
    <s v="https://suumo.jp/chintai/jnc_000103599937/?bc=100478830630"/>
    <s v="中落合３２７邸（武井邸）"/>
    <s v="東京都新宿区中落合３"/>
    <n v="250000"/>
    <m/>
    <n v="250000"/>
    <n v="250000"/>
    <n v="1"/>
    <x v="13"/>
    <n v="60.45"/>
    <n v="53"/>
    <x v="0"/>
    <s v="落合南長崎駅"/>
    <n v="3"/>
    <n v="9.67"/>
    <n v="122997.85"/>
    <n v="288705.81"/>
    <n v="512"/>
    <n v="155"/>
    <s v="60-70"/>
    <x v="5"/>
  </r>
  <r>
    <s v="https://suumo.jp/chintai/jnc_000103599937/?bc=100478830630"/>
    <s v="中落合３２７邸（武井邸）"/>
    <s v="東京都新宿区中落合３"/>
    <n v="250000"/>
    <m/>
    <n v="250000"/>
    <n v="250000"/>
    <n v="2"/>
    <x v="13"/>
    <n v="60.45"/>
    <n v="53"/>
    <x v="0"/>
    <s v="落合南長崎駅"/>
    <n v="3"/>
    <n v="9.67"/>
    <n v="122997.85"/>
    <n v="288705.81"/>
    <n v="512"/>
    <n v="155"/>
    <s v="60-70"/>
    <x v="5"/>
  </r>
  <r>
    <s v="https://suumo.jp/chintai/jnc_000077021779/?bc=100486372596"/>
    <s v="新宿区"/>
    <s v="東京都新宿区中落合４"/>
    <n v="278000"/>
    <m/>
    <n v="278000"/>
    <n v="278000"/>
    <n v="1"/>
    <x v="13"/>
    <n v="67.95"/>
    <n v="10"/>
    <x v="2"/>
    <s v="落合南長崎駅"/>
    <n v="5"/>
    <n v="6"/>
    <n v="122997.85"/>
    <n v="288705.81"/>
    <n v="512"/>
    <n v="155"/>
    <s v="60-70"/>
    <x v="0"/>
  </r>
  <r>
    <s v="https://suumo.jp/chintai/jnc_000103367992/?bc=100483962511"/>
    <s v="西落合３丁目戸建"/>
    <s v="東京都新宿区西落合３"/>
    <n v="188000"/>
    <m/>
    <n v="188000"/>
    <n v="188000"/>
    <n v="2"/>
    <x v="13"/>
    <n v="63.09"/>
    <n v="27"/>
    <x v="0"/>
    <s v="落合南長崎駅"/>
    <n v="3"/>
    <n v="10.33"/>
    <n v="122997.85"/>
    <n v="288705.81"/>
    <n v="512"/>
    <n v="155"/>
    <s v="60-70"/>
    <x v="1"/>
  </r>
  <r>
    <s v="https://suumo.jp/chintai/jnc_000104003353/?bc=100482107956"/>
    <s v="都営大江戸線 落合南長崎駅 5階建 築42年"/>
    <s v="東京都新宿区西落合１"/>
    <n v="200000"/>
    <m/>
    <n v="200000"/>
    <n v="200000"/>
    <n v="3"/>
    <x v="13"/>
    <n v="71.66"/>
    <n v="42"/>
    <x v="7"/>
    <s v="落合南長崎駅"/>
    <n v="2"/>
    <n v="11"/>
    <n v="122997.85"/>
    <n v="288705.81"/>
    <n v="512"/>
    <n v="155"/>
    <s v="70-80"/>
    <x v="3"/>
  </r>
  <r>
    <s v="https://suumo.jp/chintai/jnc_000101970964/?bc=100461530246"/>
    <s v="都営大江戸線 落合南長崎駅 5階建 築9年"/>
    <s v="東京都豊島区南長崎２"/>
    <n v="328000"/>
    <n v="19890"/>
    <n v="656000"/>
    <n v="492000"/>
    <n v="2"/>
    <x v="13"/>
    <n v="68.98"/>
    <n v="9"/>
    <x v="7"/>
    <s v="落合南長崎駅"/>
    <n v="9"/>
    <n v="10"/>
    <n v="122997.85"/>
    <n v="288705.81"/>
    <n v="512"/>
    <n v="155"/>
    <s v="60-70"/>
    <x v="0"/>
  </r>
  <r>
    <s v="https://suumo.jp/chintai/jnc_000104214970/?bc=100483905868"/>
    <s v="都営大江戸線 落合南長崎駅 地上2階建 築27年"/>
    <s v="東京都新宿区西落合３"/>
    <n v="188000"/>
    <m/>
    <n v="188000"/>
    <n v="188000"/>
    <n v="2"/>
    <x v="13"/>
    <n v="63.09"/>
    <n v="27"/>
    <x v="0"/>
    <s v="落合南長崎駅"/>
    <n v="3"/>
    <n v="11"/>
    <n v="122997.85"/>
    <n v="288705.81"/>
    <n v="512"/>
    <n v="155"/>
    <s v="60-70"/>
    <x v="1"/>
  </r>
  <r>
    <s v="https://suumo.jp/chintai/jnc_000103690309/?bc=100479769336"/>
    <s v="都営大江戸線 落合南長崎駅 地上3階建 築3年"/>
    <s v="東京都新宿区中落合３"/>
    <n v="298000"/>
    <m/>
    <n v="596000"/>
    <n v="298000"/>
    <n v="1"/>
    <x v="13"/>
    <n v="91.91"/>
    <n v="3"/>
    <x v="2"/>
    <s v="落合南長崎駅"/>
    <n v="7"/>
    <n v="11.33"/>
    <n v="122997.85"/>
    <n v="288705.81"/>
    <n v="512"/>
    <n v="155"/>
    <s v="90-100"/>
    <x v="0"/>
  </r>
  <r>
    <s v="https://suumo.jp/chintai/jnc_000104464225/?bc=100485949078"/>
    <s v="ミューズハイムウエスト"/>
    <s v="東京都新宿区西落合２"/>
    <n v="384000"/>
    <n v="15000"/>
    <n v="384000"/>
    <m/>
    <n v="2"/>
    <x v="15"/>
    <n v="136"/>
    <n v="40"/>
    <x v="4"/>
    <s v="落合南長崎駅"/>
    <n v="8"/>
    <n v="14"/>
    <n v="122997.85"/>
    <n v="388200"/>
    <n v="512"/>
    <n v="20"/>
    <s v="100+"/>
    <x v="4"/>
  </r>
  <r>
    <s v="https://suumo.jp/chintai/jnc_000103864706/?bc=100481199965"/>
    <s v="アドリアーノ"/>
    <s v="東京都中野区東中野４"/>
    <n v="128000"/>
    <n v="6000"/>
    <n v="128000"/>
    <n v="128000"/>
    <n v="7"/>
    <x v="1"/>
    <n v="30.42"/>
    <n v="29"/>
    <x v="3"/>
    <s v="落合駅"/>
    <n v="1"/>
    <n v="3.67"/>
    <n v="139800.48000000001"/>
    <n v="123325.96"/>
    <n v="420"/>
    <n v="339"/>
    <s v="30-40"/>
    <x v="1"/>
  </r>
  <r>
    <s v="https://suumo.jp/chintai/jnc_000103891852/?bc=100481513672"/>
    <s v="グローリス中野"/>
    <s v="東京都中野区中野６"/>
    <n v="102000"/>
    <n v="5000"/>
    <n v="102000"/>
    <n v="102000"/>
    <n v="1"/>
    <x v="1"/>
    <n v="32.76"/>
    <n v="31"/>
    <x v="4"/>
    <s v="落合駅"/>
    <n v="9"/>
    <n v="11"/>
    <n v="139800.48000000001"/>
    <n v="123325.96"/>
    <n v="420"/>
    <n v="339"/>
    <s v="30-40"/>
    <x v="4"/>
  </r>
  <r>
    <s v="https://suumo.jp/chintai/jnc_000104304030/?bc=100484558080"/>
    <s v="グローリス中野"/>
    <s v="東京都中野区中野６"/>
    <n v="114000"/>
    <n v="5000"/>
    <n v="114000"/>
    <n v="114000"/>
    <n v="3"/>
    <x v="1"/>
    <n v="32.729999999999997"/>
    <n v="31"/>
    <x v="4"/>
    <s v="落合駅"/>
    <n v="9"/>
    <n v="11"/>
    <n v="139800.48000000001"/>
    <n v="123325.96"/>
    <n v="420"/>
    <n v="339"/>
    <s v="30-40"/>
    <x v="4"/>
  </r>
  <r>
    <s v="https://suumo.jp/chintai/jnc_000103735184/?bc=100480188186"/>
    <s v="ドミール東中野"/>
    <s v="東京都中野区東中野４"/>
    <n v="107000"/>
    <n v="10000"/>
    <n v="107000"/>
    <n v="107000"/>
    <n v="3"/>
    <x v="1"/>
    <n v="28.37"/>
    <n v="28"/>
    <x v="4"/>
    <s v="落合駅"/>
    <n v="1"/>
    <n v="4.67"/>
    <n v="139800.48000000001"/>
    <n v="123325.96"/>
    <n v="420"/>
    <n v="339"/>
    <s v="20-30"/>
    <x v="1"/>
  </r>
  <r>
    <s v="https://suumo.jp/chintai/jnc_000069752760/?bc=100258230075"/>
    <s v="ラフォーレ上高田"/>
    <s v="東京都中野区上高田１"/>
    <n v="68000"/>
    <n v="2000"/>
    <n v="68000"/>
    <m/>
    <n v="1"/>
    <x v="1"/>
    <n v="23.7"/>
    <n v="28"/>
    <x v="0"/>
    <s v="落合駅"/>
    <n v="9"/>
    <n v="9.67"/>
    <n v="139800.48000000001"/>
    <n v="123325.96"/>
    <n v="420"/>
    <n v="339"/>
    <s v="20-30"/>
    <x v="1"/>
  </r>
  <r>
    <s v="https://suumo.jp/chintai/jnc_000104392258/?bc=100485361721"/>
    <s v="上高田四丁目計画"/>
    <s v="東京都中野区上高田４"/>
    <n v="103000"/>
    <n v="5000"/>
    <n v="103000"/>
    <n v="103000"/>
    <n v="1"/>
    <x v="1"/>
    <n v="25.67"/>
    <n v="0"/>
    <x v="2"/>
    <s v="落合駅"/>
    <n v="8"/>
    <n v="10.33"/>
    <n v="139800.48000000001"/>
    <n v="123325.96"/>
    <n v="420"/>
    <n v="339"/>
    <s v="20-30"/>
    <x v="6"/>
  </r>
  <r>
    <s v="https://suumo.jp/chintai/jnc_000104392259/?bc=100485361819"/>
    <s v="上高田四丁目計画"/>
    <s v="東京都中野区上高田４"/>
    <n v="115000"/>
    <n v="5000"/>
    <n v="115000"/>
    <n v="115000"/>
    <n v="1"/>
    <x v="1"/>
    <n v="28.35"/>
    <n v="0"/>
    <x v="2"/>
    <s v="落合駅"/>
    <n v="8"/>
    <n v="10.33"/>
    <n v="139800.48000000001"/>
    <n v="123325.96"/>
    <n v="420"/>
    <n v="339"/>
    <s v="20-30"/>
    <x v="6"/>
  </r>
  <r>
    <s v="https://suumo.jp/chintai/jnc_000104392260/?bc=100484762339"/>
    <s v="上高田四丁目計画"/>
    <s v="東京都中野区上高田４"/>
    <n v="121000"/>
    <n v="5000"/>
    <n v="121000"/>
    <n v="121000"/>
    <n v="2"/>
    <x v="1"/>
    <n v="29.87"/>
    <n v="0"/>
    <x v="2"/>
    <s v="落合駅"/>
    <n v="8"/>
    <n v="10.33"/>
    <n v="139800.48000000001"/>
    <n v="123325.96"/>
    <n v="420"/>
    <n v="339"/>
    <s v="20-30"/>
    <x v="6"/>
  </r>
  <r>
    <s v="https://suumo.jp/chintai/jnc_000104392263/?bc=100484762351"/>
    <s v="上高田四丁目計画"/>
    <s v="東京都中野区上高田４"/>
    <n v="141000"/>
    <n v="5000"/>
    <n v="141000"/>
    <n v="141000"/>
    <n v="3"/>
    <x v="1"/>
    <n v="33.78"/>
    <n v="0"/>
    <x v="2"/>
    <s v="落合駅"/>
    <n v="8"/>
    <n v="10.33"/>
    <n v="139800.48000000001"/>
    <n v="123325.96"/>
    <n v="420"/>
    <n v="339"/>
    <s v="30-40"/>
    <x v="6"/>
  </r>
  <r>
    <s v="https://suumo.jp/chintai/jnc_000104392262/?bc=100484762334"/>
    <s v="上高田四丁目計画"/>
    <s v="東京都中野区上高田４"/>
    <n v="152000"/>
    <n v="5000"/>
    <n v="152000"/>
    <n v="152000"/>
    <n v="3"/>
    <x v="1"/>
    <n v="36.33"/>
    <n v="0"/>
    <x v="2"/>
    <s v="落合駅"/>
    <n v="8"/>
    <n v="10.33"/>
    <n v="139800.48000000001"/>
    <n v="123325.96"/>
    <n v="420"/>
    <n v="339"/>
    <s v="30-40"/>
    <x v="6"/>
  </r>
  <r>
    <s v="https://suumo.jp/chintai/jnc_000104392291/?bc=100485286778"/>
    <s v="和か水マンション"/>
    <s v="東京都中野区東中野３"/>
    <n v="80000"/>
    <n v="4000"/>
    <n v="80000"/>
    <n v="80000"/>
    <n v="3"/>
    <x v="1"/>
    <n v="32"/>
    <n v="55"/>
    <x v="4"/>
    <s v="落合駅"/>
    <n v="1"/>
    <n v="4.33"/>
    <n v="139800.48000000001"/>
    <n v="123325.96"/>
    <n v="420"/>
    <n v="339"/>
    <s v="30-40"/>
    <x v="5"/>
  </r>
  <r>
    <s v="https://suumo.jp/chintai/jnc_000103810812/?bc=100480709178"/>
    <s v="小滝橋ＫＫハイツ"/>
    <s v="東京都新宿区北新宿４"/>
    <n v="148000"/>
    <m/>
    <n v="148000"/>
    <n v="148000"/>
    <n v="6"/>
    <x v="1"/>
    <n v="39.130000000000003"/>
    <n v="19"/>
    <x v="9"/>
    <s v="落合駅"/>
    <n v="10"/>
    <n v="12"/>
    <n v="139800.48000000001"/>
    <n v="123325.96"/>
    <n v="420"/>
    <n v="339"/>
    <s v="30-40"/>
    <x v="7"/>
  </r>
  <r>
    <s v="https://suumo.jp/chintai/jnc_000104108059/?bc=100483006643"/>
    <s v="東京メトロ東西線 落合駅 2階建 築9年"/>
    <s v="東京都中野区上高田１"/>
    <n v="100000"/>
    <n v="5000"/>
    <n v="100000"/>
    <n v="100000"/>
    <n v="1"/>
    <x v="1"/>
    <n v="30.48"/>
    <n v="9"/>
    <x v="0"/>
    <s v="落合駅"/>
    <n v="9"/>
    <n v="11"/>
    <n v="139800.48000000001"/>
    <n v="123325.96"/>
    <n v="420"/>
    <n v="339"/>
    <s v="30-40"/>
    <x v="0"/>
  </r>
  <r>
    <s v="https://suumo.jp/chintai/jnc_000103928502/?bc=100481716404"/>
    <s v="東京メトロ東西線 落合駅 3階建 築12年"/>
    <s v="東京都新宿区上落合２"/>
    <n v="147000"/>
    <m/>
    <n v="147000"/>
    <n v="176400"/>
    <n v="1"/>
    <x v="1"/>
    <n v="33.32"/>
    <n v="12"/>
    <x v="2"/>
    <s v="落合駅"/>
    <n v="3"/>
    <n v="6.67"/>
    <n v="139800.48000000001"/>
    <n v="123325.96"/>
    <n v="420"/>
    <n v="339"/>
    <s v="30-40"/>
    <x v="7"/>
  </r>
  <r>
    <s v="https://suumo.jp/chintai/jnc_000103357784/?bc=100476556157"/>
    <s v="東京メトロ東西線 落合駅 3階建 築49年"/>
    <s v="東京都新宿区上落合２"/>
    <n v="68000"/>
    <n v="2000"/>
    <n v="68000"/>
    <n v="68000"/>
    <n v="1"/>
    <x v="1"/>
    <n v="23"/>
    <n v="49"/>
    <x v="2"/>
    <s v="落合駅"/>
    <n v="2"/>
    <n v="5.33"/>
    <n v="139800.48000000001"/>
    <n v="123325.96"/>
    <n v="420"/>
    <n v="339"/>
    <s v="20-30"/>
    <x v="3"/>
  </r>
  <r>
    <s v="https://suumo.jp/chintai/jnc_000103802423/?bc=100480618397"/>
    <s v="東京メトロ東西線 落合駅 4階建 築28年"/>
    <s v="東京都中野区東中野４"/>
    <n v="107000"/>
    <n v="10000"/>
    <n v="107000"/>
    <n v="107000"/>
    <n v="3"/>
    <x v="1"/>
    <n v="28.37"/>
    <n v="28"/>
    <x v="4"/>
    <s v="落合駅"/>
    <n v="1"/>
    <n v="4.67"/>
    <n v="139800.48000000001"/>
    <n v="123325.96"/>
    <n v="420"/>
    <n v="339"/>
    <s v="20-30"/>
    <x v="1"/>
  </r>
  <r>
    <s v="https://suumo.jp/chintai/jnc_000103032338/?bc=100484207167"/>
    <s v="東京メトロ東西線 落合駅 5階建 築3年"/>
    <s v="東京都中野区東中野５"/>
    <n v="140000"/>
    <n v="15000"/>
    <n v="140000"/>
    <n v="140000"/>
    <n v="2"/>
    <x v="1"/>
    <n v="25.98"/>
    <n v="3"/>
    <x v="7"/>
    <s v="落合駅"/>
    <n v="7"/>
    <n v="11"/>
    <n v="139800.48000000001"/>
    <n v="123325.96"/>
    <n v="420"/>
    <n v="339"/>
    <s v="20-30"/>
    <x v="0"/>
  </r>
  <r>
    <s v="https://suumo.jp/chintai/jnc_000100852545/?bc=100484207149"/>
    <s v="東京メトロ東西線 落合駅 5階建 築3年"/>
    <s v="東京都中野区東中野５"/>
    <n v="140000"/>
    <n v="15000"/>
    <n v="140000"/>
    <n v="140000"/>
    <n v="2"/>
    <x v="1"/>
    <n v="27.91"/>
    <n v="3"/>
    <x v="7"/>
    <s v="落合駅"/>
    <n v="7"/>
    <n v="11"/>
    <n v="139800.48000000001"/>
    <n v="123325.96"/>
    <n v="420"/>
    <n v="339"/>
    <s v="20-30"/>
    <x v="0"/>
  </r>
  <r>
    <s v="https://suumo.jp/chintai/jnc_000103625946/?bc=100481910857"/>
    <s v="東京メトロ東西線 落合駅 5階建 築3年"/>
    <s v="東京都中野区東中野５"/>
    <n v="140500"/>
    <n v="15000"/>
    <n v="140500"/>
    <n v="140500"/>
    <n v="3"/>
    <x v="1"/>
    <n v="26.32"/>
    <n v="3"/>
    <x v="7"/>
    <s v="落合駅"/>
    <n v="7"/>
    <n v="11"/>
    <n v="139800.48000000001"/>
    <n v="123325.96"/>
    <n v="420"/>
    <n v="339"/>
    <s v="20-30"/>
    <x v="0"/>
  </r>
  <r>
    <s v="https://suumo.jp/chintai/jnc_000104108079/?bc=100483396826"/>
    <s v="都営大江戸線 東中野駅 6階建 築5年"/>
    <s v="東京都中野区東中野３"/>
    <n v="140000"/>
    <n v="10000"/>
    <n v="140000"/>
    <n v="168000"/>
    <n v="6"/>
    <x v="1"/>
    <n v="25.12"/>
    <n v="5"/>
    <x v="5"/>
    <s v="落合駅"/>
    <n v="4"/>
    <n v="5.33"/>
    <n v="139800.48000000001"/>
    <n v="123325.96"/>
    <n v="420"/>
    <n v="339"/>
    <s v="20-30"/>
    <x v="0"/>
  </r>
  <r>
    <s v="https://suumo.jp/chintai/jnc_000103883951/?bc=100481721389"/>
    <s v="ＪＲ中央線 中野駅 4階建 築31年"/>
    <s v="東京都中野区中野６"/>
    <n v="102000"/>
    <n v="5000"/>
    <n v="102000"/>
    <n v="102000"/>
    <n v="1"/>
    <x v="1"/>
    <n v="32.76"/>
    <n v="31"/>
    <x v="4"/>
    <s v="落合駅"/>
    <n v="9"/>
    <n v="11"/>
    <n v="139800.48000000001"/>
    <n v="123325.96"/>
    <n v="420"/>
    <n v="339"/>
    <s v="30-40"/>
    <x v="4"/>
  </r>
  <r>
    <s v="https://suumo.jp/chintai/jnc_000103259872/?bc=100485044035"/>
    <s v="ＪＲ中央線 中野駅 4階建 築31年"/>
    <s v="東京都中野区中野６"/>
    <n v="114000"/>
    <n v="5000"/>
    <n v="114000"/>
    <n v="114000"/>
    <n v="3"/>
    <x v="1"/>
    <n v="28"/>
    <n v="31"/>
    <x v="4"/>
    <s v="落合駅"/>
    <n v="9"/>
    <n v="11"/>
    <n v="139800.48000000001"/>
    <n v="123325.96"/>
    <n v="420"/>
    <n v="339"/>
    <s v="20-30"/>
    <x v="4"/>
  </r>
  <r>
    <s v="https://suumo.jp/chintai/jnc_000104474402/?bc=100485929886"/>
    <s v="ＪＲ総武線 東中野駅 10階建 築30年"/>
    <s v="東京都中野区東中野３"/>
    <n v="125000"/>
    <m/>
    <n v="125000"/>
    <n v="125000"/>
    <n v="7"/>
    <x v="1"/>
    <n v="30"/>
    <n v="30"/>
    <x v="1"/>
    <s v="落合駅"/>
    <n v="3"/>
    <n v="6"/>
    <n v="139800.48000000001"/>
    <n v="123325.96"/>
    <n v="420"/>
    <n v="339"/>
    <s v="30-40"/>
    <x v="1"/>
  </r>
  <r>
    <s v="https://suumo.jp/chintai/jnc_000104348328/?bc=100485044015"/>
    <s v="ＪＲ総武線 東中野駅 2階建 築26年"/>
    <s v="東京都中野区上高田１"/>
    <n v="102000"/>
    <n v="1000"/>
    <n v="102000"/>
    <n v="204000"/>
    <n v="1"/>
    <x v="1"/>
    <n v="37.07"/>
    <n v="26"/>
    <x v="0"/>
    <s v="落合駅"/>
    <n v="9"/>
    <n v="11.33"/>
    <n v="139800.48000000001"/>
    <n v="123325.96"/>
    <n v="420"/>
    <n v="339"/>
    <s v="30-40"/>
    <x v="1"/>
  </r>
  <r>
    <s v="https://suumo.jp/chintai/jnc_000098704214/?bc=100483326411"/>
    <s v="TWEED東中野"/>
    <s v="東京都中野区上高田１"/>
    <n v="110000"/>
    <n v="5000"/>
    <n v="110000"/>
    <m/>
    <n v="2"/>
    <x v="2"/>
    <n v="23.52"/>
    <n v="1"/>
    <x v="0"/>
    <s v="落合駅"/>
    <n v="11"/>
    <n v="12.67"/>
    <n v="139800.48000000001"/>
    <n v="95329.65"/>
    <n v="420"/>
    <n v="1622"/>
    <s v="20-30"/>
    <x v="0"/>
  </r>
  <r>
    <s v="https://suumo.jp/chintai/jnc_000104107288/?bc=100483235318"/>
    <s v="T′s Cuore MUSE落合"/>
    <s v="東京都新宿区上落合１"/>
    <n v="124000"/>
    <n v="7000"/>
    <n v="124000"/>
    <m/>
    <n v="1"/>
    <x v="2"/>
    <n v="23.6"/>
    <n v="0"/>
    <x v="2"/>
    <s v="落合駅"/>
    <n v="6"/>
    <n v="8"/>
    <n v="139800.48000000001"/>
    <n v="95329.65"/>
    <n v="420"/>
    <n v="1622"/>
    <s v="20-30"/>
    <x v="6"/>
  </r>
  <r>
    <s v="https://suumo.jp/chintai/jnc_000104116873/?bc=100483329883"/>
    <s v="T′s Cuore MUSE落合"/>
    <s v="東京都新宿区上落合１"/>
    <n v="127000"/>
    <n v="7000"/>
    <n v="127000"/>
    <m/>
    <n v="1"/>
    <x v="2"/>
    <n v="23.6"/>
    <n v="0"/>
    <x v="2"/>
    <s v="落合駅"/>
    <n v="6"/>
    <n v="8"/>
    <n v="139800.48000000001"/>
    <n v="95329.65"/>
    <n v="420"/>
    <n v="1622"/>
    <s v="20-30"/>
    <x v="6"/>
  </r>
  <r>
    <s v="https://suumo.jp/chintai/jnc_000104125632/?bc=100483235315"/>
    <s v="T′s Cuore MUSE落合"/>
    <s v="東京都新宿区上落合１"/>
    <n v="137000"/>
    <n v="7000"/>
    <n v="137000"/>
    <m/>
    <n v="1"/>
    <x v="2"/>
    <n v="27.63"/>
    <n v="0"/>
    <x v="2"/>
    <s v="落合駅"/>
    <n v="6"/>
    <n v="8"/>
    <n v="139800.48000000001"/>
    <n v="95329.65"/>
    <n v="420"/>
    <n v="1622"/>
    <s v="20-30"/>
    <x v="6"/>
  </r>
  <r>
    <s v="https://suumo.jp/chintai/jnc_000104116874/?bc=100483330051"/>
    <s v="T′s Cuore MUSE落合"/>
    <s v="東京都新宿区上落合１"/>
    <n v="140000"/>
    <n v="7000"/>
    <n v="140000"/>
    <m/>
    <n v="2"/>
    <x v="2"/>
    <n v="27.46"/>
    <n v="0"/>
    <x v="2"/>
    <s v="落合駅"/>
    <n v="6"/>
    <n v="8"/>
    <n v="139800.48000000001"/>
    <n v="95329.65"/>
    <n v="420"/>
    <n v="1622"/>
    <s v="20-30"/>
    <x v="6"/>
  </r>
  <r>
    <s v="https://suumo.jp/chintai/jnc_000104107290/?bc=100483329909"/>
    <s v="T′s Cuore MUSE落合"/>
    <s v="東京都新宿区上落合１"/>
    <n v="152000"/>
    <n v="7000"/>
    <n v="152000"/>
    <m/>
    <n v="2"/>
    <x v="2"/>
    <n v="28.94"/>
    <n v="0"/>
    <x v="2"/>
    <s v="落合駅"/>
    <n v="6"/>
    <n v="8"/>
    <n v="139800.48000000001"/>
    <n v="95329.65"/>
    <n v="420"/>
    <n v="1622"/>
    <s v="20-30"/>
    <x v="6"/>
  </r>
  <r>
    <s v="https://suumo.jp/chintai/jnc_000104125633/?bc=100483235321"/>
    <s v="T′s Cuore MUSE落合"/>
    <s v="東京都新宿区上落合１"/>
    <n v="153000"/>
    <n v="7000"/>
    <n v="153000"/>
    <m/>
    <n v="2"/>
    <x v="2"/>
    <n v="30.99"/>
    <n v="0"/>
    <x v="2"/>
    <s v="落合駅"/>
    <n v="6"/>
    <n v="8"/>
    <n v="139800.48000000001"/>
    <n v="95329.65"/>
    <n v="420"/>
    <n v="1622"/>
    <s v="30-40"/>
    <x v="6"/>
  </r>
  <r>
    <s v="https://suumo.jp/chintai/jnc_000104107291/?bc=100483110311"/>
    <s v="T′s Cuore MUSE落合"/>
    <s v="東京都新宿区上落合１"/>
    <n v="124000"/>
    <n v="7000"/>
    <n v="124000"/>
    <m/>
    <n v="3"/>
    <x v="2"/>
    <n v="21.14"/>
    <n v="0"/>
    <x v="2"/>
    <s v="落合駅"/>
    <n v="6"/>
    <n v="8"/>
    <n v="139800.48000000001"/>
    <n v="95329.65"/>
    <n v="420"/>
    <n v="1622"/>
    <s v="20-30"/>
    <x v="6"/>
  </r>
  <r>
    <s v="https://suumo.jp/chintai/jnc_000104116876/?bc=100483330100"/>
    <s v="T′s Cuore MUSE落合"/>
    <s v="東京都新宿区上落合１"/>
    <n v="153000"/>
    <n v="7000"/>
    <n v="153000"/>
    <m/>
    <n v="3"/>
    <x v="2"/>
    <n v="30.96"/>
    <n v="0"/>
    <x v="2"/>
    <s v="落合駅"/>
    <n v="6"/>
    <n v="8"/>
    <n v="139800.48000000001"/>
    <n v="95329.65"/>
    <n v="420"/>
    <n v="1622"/>
    <s v="30-40"/>
    <x v="6"/>
  </r>
  <r>
    <s v="https://suumo.jp/chintai/jnc_000104303513/?bc=100484707196"/>
    <s v="bliss上落合（ブリス上落合）"/>
    <s v="東京都新宿区上落合３"/>
    <n v="95000"/>
    <n v="2000"/>
    <m/>
    <m/>
    <n v="1"/>
    <x v="2"/>
    <n v="24.84"/>
    <n v="11"/>
    <x v="2"/>
    <s v="落合駅"/>
    <n v="5"/>
    <n v="6.67"/>
    <n v="139800.48000000001"/>
    <n v="95329.65"/>
    <n v="420"/>
    <n v="1622"/>
    <s v="20-30"/>
    <x v="7"/>
  </r>
  <r>
    <s v="https://suumo.jp/chintai/jnc_000104015950/?bc=100483419773"/>
    <s v="ふる－る東中野"/>
    <s v="東京都中野区上高田１"/>
    <n v="118000"/>
    <n v="5000"/>
    <n v="118000"/>
    <n v="118000"/>
    <n v="2"/>
    <x v="2"/>
    <n v="32.78"/>
    <n v="19"/>
    <x v="0"/>
    <s v="落合駅"/>
    <n v="6"/>
    <n v="8"/>
    <n v="139800.48000000001"/>
    <n v="95329.65"/>
    <n v="420"/>
    <n v="1622"/>
    <s v="30-40"/>
    <x v="7"/>
  </r>
  <r>
    <s v="https://suumo.jp/chintai/jnc_000101543983/?bc=100479618090"/>
    <s v="アーバンタナカ"/>
    <s v="東京都新宿区上落合２"/>
    <n v="70000"/>
    <n v="3000"/>
    <n v="70000"/>
    <n v="70000"/>
    <n v="1"/>
    <x v="2"/>
    <n v="23"/>
    <n v="21"/>
    <x v="0"/>
    <s v="落合駅"/>
    <n v="7"/>
    <n v="8.33"/>
    <n v="139800.48000000001"/>
    <n v="95329.65"/>
    <n v="420"/>
    <n v="1622"/>
    <s v="20-30"/>
    <x v="1"/>
  </r>
  <r>
    <s v="https://suumo.jp/chintai/jnc_000104417268/?bc=100485549215"/>
    <s v="アーバンプレイス高田馬場＆Ｕ"/>
    <s v="東京都中野区東中野５"/>
    <n v="65000"/>
    <n v="3000"/>
    <m/>
    <n v="65000"/>
    <n v="2"/>
    <x v="2"/>
    <n v="9.77"/>
    <n v="12"/>
    <x v="0"/>
    <s v="落合駅"/>
    <n v="7"/>
    <n v="11"/>
    <n v="139800.48000000001"/>
    <n v="95329.65"/>
    <n v="420"/>
    <n v="1622"/>
    <s v="&lt;10"/>
    <x v="7"/>
  </r>
  <r>
    <s v="https://suumo.jp/chintai/jnc_000104107296/?bc=100480772624"/>
    <s v="エルミ上落合"/>
    <s v="東京都新宿区上落合３"/>
    <n v="128000"/>
    <n v="20000"/>
    <n v="128000"/>
    <n v="128000"/>
    <n v="1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2966643/?bc=100474188066"/>
    <s v="エルミ上落合"/>
    <s v="東京都新宿区上落合３"/>
    <n v="135000"/>
    <n v="10000"/>
    <n v="135000"/>
    <n v="135000"/>
    <n v="1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3089838/?bc=100485574296"/>
    <s v="エルミ上落合"/>
    <s v="東京都新宿区上落合３"/>
    <n v="145000"/>
    <n v="10000"/>
    <n v="145000"/>
    <n v="145000"/>
    <n v="1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4107299/?bc=100478031737"/>
    <s v="エルミ上落合"/>
    <s v="東京都新宿区上落合３"/>
    <n v="129000"/>
    <n v="20000"/>
    <n v="129000"/>
    <n v="129000"/>
    <n v="2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3089840/?bc=100473945073"/>
    <s v="エルミ上落合"/>
    <s v="東京都新宿区上落合３"/>
    <n v="155000"/>
    <n v="10000"/>
    <n v="155000"/>
    <n v="155000"/>
    <n v="2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4107301/?bc=100473858941"/>
    <s v="エルミ上落合"/>
    <s v="東京都新宿区上落合３"/>
    <n v="130000"/>
    <n v="20000"/>
    <n v="130000"/>
    <n v="130000"/>
    <n v="3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3089842/?bc=100474525868"/>
    <s v="エルミ上落合"/>
    <s v="東京都新宿区上落合３"/>
    <n v="155000"/>
    <n v="10000"/>
    <n v="155000"/>
    <n v="155000"/>
    <n v="3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4132235/?bc=100483838575"/>
    <s v="エルミ上落合"/>
    <s v="東京都新宿区上落合３"/>
    <n v="145000"/>
    <n v="20000"/>
    <n v="145000"/>
    <n v="145000"/>
    <n v="4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2966648/?bc=100483458626"/>
    <s v="エルミ上落合"/>
    <s v="東京都新宿区上落合３"/>
    <n v="140000"/>
    <n v="20000"/>
    <n v="140000"/>
    <n v="140000"/>
    <n v="4"/>
    <x v="2"/>
    <n v="31.68"/>
    <n v="0"/>
    <x v="4"/>
    <s v="落合駅"/>
    <n v="6"/>
    <n v="8"/>
    <n v="139800.48000000001"/>
    <n v="95329.65"/>
    <n v="420"/>
    <n v="1622"/>
    <s v="30-40"/>
    <x v="6"/>
  </r>
  <r>
    <s v="https://suumo.jp/chintai/jnc_000104387401/?bc=100485558587"/>
    <s v="ガーデンハイツ一号館"/>
    <s v="東京都新宿区上落合２"/>
    <n v="69000"/>
    <n v="5000"/>
    <n v="69000"/>
    <n v="69000"/>
    <n v="1"/>
    <x v="2"/>
    <n v="20.74"/>
    <n v="37"/>
    <x v="2"/>
    <s v="落合駅"/>
    <n v="4"/>
    <n v="7.67"/>
    <n v="139800.48000000001"/>
    <n v="95329.65"/>
    <n v="420"/>
    <n v="1622"/>
    <s v="20-30"/>
    <x v="4"/>
  </r>
  <r>
    <s v="https://suumo.jp/chintai/jnc_000102799684/?bc=100430994165"/>
    <s v="グランデ東中野"/>
    <s v="東京都中野区東中野３"/>
    <n v="75000"/>
    <n v="3000"/>
    <m/>
    <n v="75000"/>
    <n v="3"/>
    <x v="2"/>
    <n v="18"/>
    <n v="34"/>
    <x v="2"/>
    <s v="落合駅"/>
    <n v="3"/>
    <n v="4"/>
    <n v="139800.48000000001"/>
    <n v="95329.65"/>
    <n v="420"/>
    <n v="1622"/>
    <s v="10-20"/>
    <x v="4"/>
  </r>
  <r>
    <s v="https://suumo.jp/chintai/jnc_000097266986/?bc=100427468066"/>
    <s v="コーポ高橋"/>
    <s v="東京都新宿区上落合２"/>
    <n v="45000"/>
    <m/>
    <n v="45000"/>
    <n v="45000"/>
    <n v="2"/>
    <x v="2"/>
    <n v="18"/>
    <n v="46"/>
    <x v="2"/>
    <s v="落合駅"/>
    <n v="6"/>
    <n v="10"/>
    <n v="139800.48000000001"/>
    <n v="95329.65"/>
    <n v="420"/>
    <n v="1622"/>
    <s v="10-20"/>
    <x v="3"/>
  </r>
  <r>
    <s v="https://suumo.jp/chintai/jnc_000104416504/?bc=100484489073"/>
    <s v="ジョイフル落合"/>
    <s v="東京都新宿区上落合３"/>
    <n v="70000"/>
    <m/>
    <n v="70000"/>
    <m/>
    <n v="1"/>
    <x v="2"/>
    <n v="17.3"/>
    <n v="35"/>
    <x v="2"/>
    <s v="落合駅"/>
    <n v="3"/>
    <n v="6"/>
    <n v="139800.48000000001"/>
    <n v="95329.65"/>
    <n v="420"/>
    <n v="1622"/>
    <s v="10-20"/>
    <x v="4"/>
  </r>
  <r>
    <s v="https://suumo.jp/chintai/jnc_000102943144/?bc=100479193199"/>
    <s v="セリオ落合東中野"/>
    <s v="東京都中野区東中野５"/>
    <n v="107000"/>
    <m/>
    <n v="107000"/>
    <n v="107000"/>
    <n v="3"/>
    <x v="2"/>
    <n v="25.23"/>
    <n v="12"/>
    <x v="1"/>
    <s v="落合駅"/>
    <n v="8"/>
    <n v="11.67"/>
    <n v="139800.48000000001"/>
    <n v="95329.65"/>
    <n v="420"/>
    <n v="1622"/>
    <s v="20-30"/>
    <x v="7"/>
  </r>
  <r>
    <s v="https://suumo.jp/chintai/jnc_000103903872/?bc=100481853871"/>
    <s v="セリオ落合東中野"/>
    <s v="東京都中野区東中野５"/>
    <n v="107000"/>
    <m/>
    <n v="107000"/>
    <n v="107000"/>
    <n v="3"/>
    <x v="2"/>
    <n v="25.29"/>
    <n v="12"/>
    <x v="1"/>
    <s v="落合駅"/>
    <n v="8"/>
    <n v="11.67"/>
    <n v="139800.48000000001"/>
    <n v="95329.65"/>
    <n v="420"/>
    <n v="1622"/>
    <s v="20-30"/>
    <x v="7"/>
  </r>
  <r>
    <s v="https://suumo.jp/chintai/jnc_000103903874/?bc=100482038471"/>
    <s v="セリオ落合東中野"/>
    <s v="東京都中野区東中野５"/>
    <n v="108000"/>
    <m/>
    <n v="108000"/>
    <n v="108000"/>
    <n v="4"/>
    <x v="2"/>
    <n v="25.23"/>
    <n v="12"/>
    <x v="1"/>
    <s v="落合駅"/>
    <n v="8"/>
    <n v="11.67"/>
    <n v="139800.48000000001"/>
    <n v="95329.65"/>
    <n v="420"/>
    <n v="1622"/>
    <s v="20-30"/>
    <x v="7"/>
  </r>
  <r>
    <s v="https://suumo.jp/chintai/jnc_000103338527/?bc=100476713135"/>
    <s v="セーブル"/>
    <s v="東京都中野区上高田１"/>
    <n v="90000"/>
    <n v="6000"/>
    <m/>
    <n v="90000"/>
    <n v="2"/>
    <x v="2"/>
    <n v="23.59"/>
    <n v="22"/>
    <x v="0"/>
    <s v="落合駅"/>
    <n v="7"/>
    <n v="10.33"/>
    <n v="139800.48000000001"/>
    <n v="95329.65"/>
    <n v="420"/>
    <n v="1622"/>
    <s v="20-30"/>
    <x v="1"/>
  </r>
  <r>
    <s v="https://suumo.jp/chintai/jnc_000104334629/?bc=100485173680"/>
    <s v="ソレイユヤマカワ"/>
    <s v="東京都新宿区上落合１"/>
    <n v="85000"/>
    <n v="5000"/>
    <n v="85000"/>
    <n v="85000"/>
    <n v="3"/>
    <x v="2"/>
    <n v="22.15"/>
    <n v="30"/>
    <x v="4"/>
    <s v="落合駅"/>
    <n v="4"/>
    <n v="9"/>
    <n v="139800.48000000001"/>
    <n v="95329.65"/>
    <n v="420"/>
    <n v="1622"/>
    <s v="20-30"/>
    <x v="1"/>
  </r>
  <r>
    <s v="https://suumo.jp/chintai/jnc_000103278554/?bc=100476751303"/>
    <s v="ハイネスコート"/>
    <s v="東京都中野区上高田１"/>
    <n v="95000"/>
    <n v="5000"/>
    <m/>
    <n v="190000"/>
    <n v="3"/>
    <x v="2"/>
    <n v="25.6"/>
    <n v="23"/>
    <x v="4"/>
    <s v="落合駅"/>
    <n v="3"/>
    <n v="7.33"/>
    <n v="139800.48000000001"/>
    <n v="95329.65"/>
    <n v="420"/>
    <n v="1622"/>
    <s v="20-30"/>
    <x v="1"/>
  </r>
  <r>
    <s v="https://suumo.jp/chintai/jnc_000104412219/?bc=100485493688"/>
    <s v="パークハウス東中野リヴゴーシュ"/>
    <s v="東京都中野区東中野５"/>
    <n v="125000"/>
    <m/>
    <n v="125000"/>
    <n v="125000"/>
    <n v="4"/>
    <x v="2"/>
    <n v="23.64"/>
    <n v="15"/>
    <x v="6"/>
    <s v="落合駅"/>
    <n v="8"/>
    <n v="10"/>
    <n v="139800.48000000001"/>
    <n v="95329.65"/>
    <n v="420"/>
    <n v="1622"/>
    <s v="20-30"/>
    <x v="7"/>
  </r>
  <r>
    <s v="https://suumo.jp/chintai/jnc_000104285622/?bc=100486165687"/>
    <s v="ファーストシティ上落合"/>
    <s v="東京都新宿区上落合３"/>
    <n v="87000"/>
    <n v="5000"/>
    <n v="87000"/>
    <n v="87000"/>
    <n v="5"/>
    <x v="2"/>
    <n v="23.1"/>
    <n v="31"/>
    <x v="13"/>
    <s v="落合駅"/>
    <n v="4"/>
    <n v="6.67"/>
    <n v="139800.48000000001"/>
    <n v="95329.65"/>
    <n v="420"/>
    <n v="1622"/>
    <s v="20-30"/>
    <x v="4"/>
  </r>
  <r>
    <s v="https://suumo.jp/chintai/jnc_000104372517/?bc=100485105859"/>
    <s v="フォーブル落合"/>
    <s v="東京都新宿区上落合３"/>
    <n v="74000"/>
    <n v="6500"/>
    <m/>
    <n v="74000"/>
    <n v="1"/>
    <x v="2"/>
    <n v="21"/>
    <n v="40"/>
    <x v="0"/>
    <s v="落合駅"/>
    <n v="4"/>
    <n v="6.33"/>
    <n v="139800.48000000001"/>
    <n v="95329.65"/>
    <n v="420"/>
    <n v="1622"/>
    <s v="20-30"/>
    <x v="4"/>
  </r>
  <r>
    <s v="https://suumo.jp/chintai/jnc_000103625943/?bc=100483428770"/>
    <s v="プラウドフラット東中野"/>
    <s v="東京都中野区東中野５"/>
    <n v="125000"/>
    <n v="8000"/>
    <n v="125000"/>
    <n v="125000"/>
    <n v="1"/>
    <x v="2"/>
    <n v="25.1"/>
    <n v="11"/>
    <x v="1"/>
    <s v="落合駅"/>
    <n v="4"/>
    <n v="7"/>
    <n v="139800.48000000001"/>
    <n v="95329.65"/>
    <n v="420"/>
    <n v="1622"/>
    <s v="20-30"/>
    <x v="7"/>
  </r>
  <r>
    <s v="https://suumo.jp/chintai/jnc_000103625944/?bc=100479686057"/>
    <s v="プラウドフラット東中野"/>
    <s v="東京都中野区東中野５"/>
    <n v="128000"/>
    <n v="8000"/>
    <n v="128000"/>
    <n v="128000"/>
    <n v="3"/>
    <x v="2"/>
    <n v="25.1"/>
    <n v="11"/>
    <x v="1"/>
    <s v="落合駅"/>
    <n v="4"/>
    <n v="7"/>
    <n v="139800.48000000001"/>
    <n v="95329.65"/>
    <n v="420"/>
    <n v="1622"/>
    <s v="20-30"/>
    <x v="7"/>
  </r>
  <r>
    <s v="https://suumo.jp/chintai/jnc_000103487536/?bc=100483362838"/>
    <s v="プラチナフォルム東中野"/>
    <s v="東京都中野区東中野４"/>
    <n v="109000"/>
    <n v="6000"/>
    <m/>
    <n v="218000"/>
    <n v="1"/>
    <x v="2"/>
    <n v="26.6"/>
    <n v="8"/>
    <x v="2"/>
    <s v="落合駅"/>
    <n v="3"/>
    <n v="8.33"/>
    <n v="139800.48000000001"/>
    <n v="95329.65"/>
    <n v="420"/>
    <n v="1622"/>
    <s v="20-30"/>
    <x v="0"/>
  </r>
  <r>
    <s v="https://suumo.jp/chintai/jnc_000013354233/?bc=100473380044"/>
    <s v="プレステージ上落合"/>
    <s v="東京都新宿区上落合３"/>
    <n v="60000"/>
    <n v="2000"/>
    <n v="60000"/>
    <n v="60000"/>
    <n v="1"/>
    <x v="2"/>
    <n v="15.75"/>
    <n v="33"/>
    <x v="0"/>
    <s v="落合駅"/>
    <n v="7"/>
    <n v="8"/>
    <n v="139800.48000000001"/>
    <n v="95329.65"/>
    <n v="420"/>
    <n v="1622"/>
    <s v="10-20"/>
    <x v="4"/>
  </r>
  <r>
    <s v="https://suumo.jp/chintai/jnc_000101763537/?bc=100483049290"/>
    <s v="プレール高田馬場"/>
    <s v="東京都新宿区高田馬場３"/>
    <n v="77000"/>
    <n v="10000"/>
    <m/>
    <n v="77000"/>
    <n v="1"/>
    <x v="2"/>
    <n v="23.13"/>
    <n v="23"/>
    <x v="7"/>
    <s v="落合駅"/>
    <n v="9"/>
    <n v="11.33"/>
    <n v="139800.48000000001"/>
    <n v="95329.65"/>
    <n v="420"/>
    <n v="1622"/>
    <s v="20-30"/>
    <x v="1"/>
  </r>
  <r>
    <s v="https://suumo.jp/chintai/jnc_000104464188/?bc=100478209799"/>
    <s v="ヘーベル落合"/>
    <s v="東京都新宿区上落合２"/>
    <n v="70000"/>
    <n v="2000"/>
    <n v="70000"/>
    <n v="70000"/>
    <n v="1"/>
    <x v="2"/>
    <n v="20.09"/>
    <n v="30"/>
    <x v="0"/>
    <s v="落合駅"/>
    <n v="3"/>
    <n v="6.33"/>
    <n v="139800.48000000001"/>
    <n v="95329.65"/>
    <n v="420"/>
    <n v="1622"/>
    <s v="20-30"/>
    <x v="1"/>
  </r>
  <r>
    <s v="https://suumo.jp/chintai/jnc_000104383902/?bc=100485297706"/>
    <s v="メゾン ブラン"/>
    <s v="東京都中野区上高田１"/>
    <n v="75000"/>
    <n v="3000"/>
    <m/>
    <n v="75000"/>
    <n v="1"/>
    <x v="2"/>
    <n v="18.63"/>
    <n v="22"/>
    <x v="2"/>
    <s v="落合駅"/>
    <n v="5"/>
    <n v="7"/>
    <n v="139800.48000000001"/>
    <n v="95329.65"/>
    <n v="420"/>
    <n v="1622"/>
    <s v="10-20"/>
    <x v="1"/>
  </r>
  <r>
    <s v="https://suumo.jp/chintai/jnc_000104383903/?bc=100485606693"/>
    <s v="メゾン ブラン"/>
    <s v="東京都中野区上高田１"/>
    <n v="77000"/>
    <n v="3000"/>
    <m/>
    <n v="77000"/>
    <n v="2"/>
    <x v="2"/>
    <n v="18.63"/>
    <n v="22"/>
    <x v="2"/>
    <s v="落合駅"/>
    <n v="5"/>
    <n v="7"/>
    <n v="139800.48000000001"/>
    <n v="95329.65"/>
    <n v="420"/>
    <n v="1622"/>
    <s v="10-20"/>
    <x v="1"/>
  </r>
  <r>
    <s v="https://suumo.jp/chintai/jnc_000104383904/?bc=100485606664"/>
    <s v="メゾン ブラン"/>
    <s v="東京都中野区上高田１"/>
    <n v="79000"/>
    <n v="3000"/>
    <m/>
    <n v="79000"/>
    <n v="2"/>
    <x v="2"/>
    <n v="22.78"/>
    <n v="22"/>
    <x v="2"/>
    <s v="落合駅"/>
    <n v="5"/>
    <n v="7"/>
    <n v="139800.48000000001"/>
    <n v="95329.65"/>
    <n v="420"/>
    <n v="1622"/>
    <s v="20-30"/>
    <x v="1"/>
  </r>
  <r>
    <s v="https://suumo.jp/chintai/jnc_000102484779/?bc=100483576806"/>
    <s v="モン・シャトー上高田"/>
    <s v="東京都中野区上高田１"/>
    <n v="99000"/>
    <n v="4000"/>
    <n v="99000"/>
    <n v="99000"/>
    <n v="1"/>
    <x v="2"/>
    <n v="25.47"/>
    <n v="12"/>
    <x v="4"/>
    <s v="落合駅"/>
    <n v="6"/>
    <n v="9.33"/>
    <n v="139800.48000000001"/>
    <n v="95329.65"/>
    <n v="420"/>
    <n v="1622"/>
    <s v="20-30"/>
    <x v="7"/>
  </r>
  <r>
    <s v="https://suumo.jp/chintai/jnc_000103690595/?bc=100479922390"/>
    <s v="リリエンベルグ弐番館"/>
    <s v="東京都中野区東中野３"/>
    <n v="90000"/>
    <n v="8000"/>
    <n v="90000"/>
    <n v="90000"/>
    <n v="3"/>
    <x v="2"/>
    <n v="20.02"/>
    <n v="20"/>
    <x v="6"/>
    <s v="落合駅"/>
    <n v="3"/>
    <n v="5.67"/>
    <n v="139800.48000000001"/>
    <n v="95329.65"/>
    <n v="420"/>
    <n v="1622"/>
    <s v="20-30"/>
    <x v="7"/>
  </r>
  <r>
    <s v="https://suumo.jp/chintai/jnc_000104310674/?bc=100484923727"/>
    <s v="リリエンベルグ弐番館"/>
    <s v="東京都中野区東中野３"/>
    <n v="93000"/>
    <n v="8000"/>
    <n v="93000"/>
    <n v="93000"/>
    <n v="4"/>
    <x v="2"/>
    <n v="20.02"/>
    <n v="20"/>
    <x v="6"/>
    <s v="落合駅"/>
    <n v="3"/>
    <n v="5.67"/>
    <n v="139800.48000000001"/>
    <n v="95329.65"/>
    <n v="420"/>
    <n v="1622"/>
    <s v="20-30"/>
    <x v="7"/>
  </r>
  <r>
    <s v="https://suumo.jp/chintai/jnc_000103938127/?bc=100481987486"/>
    <s v="レオパレスボストンハウスIII"/>
    <s v="東京都中野区東中野４"/>
    <n v="62000"/>
    <n v="3000"/>
    <m/>
    <m/>
    <n v="2"/>
    <x v="2"/>
    <n v="12.37"/>
    <n v="39"/>
    <x v="0"/>
    <s v="落合駅"/>
    <n v="1"/>
    <n v="5.33"/>
    <n v="139800.48000000001"/>
    <n v="95329.65"/>
    <n v="420"/>
    <n v="1622"/>
    <s v="10-20"/>
    <x v="4"/>
  </r>
  <r>
    <s v="https://suumo.jp/chintai/jnc_000104492010/?bc=100486131078"/>
    <s v="レオパレス落合"/>
    <s v="東京都中野区東中野４"/>
    <n v="80000"/>
    <n v="5500"/>
    <m/>
    <n v="80000"/>
    <n v="1"/>
    <x v="2"/>
    <n v="13.86"/>
    <n v="37"/>
    <x v="0"/>
    <s v="落合駅"/>
    <n v="5"/>
    <n v="7.67"/>
    <n v="139800.48000000001"/>
    <n v="95329.65"/>
    <n v="420"/>
    <n v="1622"/>
    <s v="10-20"/>
    <x v="4"/>
  </r>
  <r>
    <s v="https://suumo.jp/chintai/jnc_000102274406/?bc=100441874128"/>
    <s v="レオパレス落合"/>
    <s v="東京都中野区東中野４"/>
    <n v="85000"/>
    <n v="5500"/>
    <m/>
    <n v="85000"/>
    <n v="2"/>
    <x v="2"/>
    <n v="15.09"/>
    <n v="37"/>
    <x v="0"/>
    <s v="落合駅"/>
    <n v="5"/>
    <n v="7.67"/>
    <n v="139800.48000000001"/>
    <n v="95329.65"/>
    <n v="420"/>
    <n v="1622"/>
    <s v="10-20"/>
    <x v="4"/>
  </r>
  <r>
    <s v="https://suumo.jp/chintai/jnc_000103610285/?bc=100481294648"/>
    <s v="レジディア上落合"/>
    <s v="東京都新宿区上落合３"/>
    <n v="92000"/>
    <n v="15000"/>
    <m/>
    <m/>
    <n v="1"/>
    <x v="2"/>
    <n v="20.7"/>
    <n v="20"/>
    <x v="5"/>
    <s v="落合駅"/>
    <n v="3"/>
    <n v="5"/>
    <n v="139800.48000000001"/>
    <n v="95329.65"/>
    <n v="420"/>
    <n v="1622"/>
    <s v="20-30"/>
    <x v="7"/>
  </r>
  <r>
    <s v="https://suumo.jp/chintai/jnc_000103969218/?bc=100481966336"/>
    <s v="レジディア上落合"/>
    <s v="東京都新宿区上落合３"/>
    <n v="98000"/>
    <n v="15000"/>
    <m/>
    <m/>
    <n v="1"/>
    <x v="2"/>
    <n v="20.7"/>
    <n v="20"/>
    <x v="5"/>
    <s v="落合駅"/>
    <n v="3"/>
    <n v="5"/>
    <n v="139800.48000000001"/>
    <n v="95329.65"/>
    <n v="420"/>
    <n v="1622"/>
    <s v="20-30"/>
    <x v="7"/>
  </r>
  <r>
    <s v="https://suumo.jp/chintai/jnc_000102818423/?bc=100478552835"/>
    <s v="レジディア上落合"/>
    <s v="東京都新宿区上落合３"/>
    <n v="99000"/>
    <n v="10000"/>
    <m/>
    <m/>
    <n v="1"/>
    <x v="2"/>
    <n v="20.7"/>
    <n v="20"/>
    <x v="5"/>
    <s v="落合駅"/>
    <n v="3"/>
    <n v="5"/>
    <n v="139800.48000000001"/>
    <n v="95329.65"/>
    <n v="420"/>
    <n v="1622"/>
    <s v="20-30"/>
    <x v="7"/>
  </r>
  <r>
    <s v="https://suumo.jp/chintai/jnc_000104186374/?bc=100483890523"/>
    <s v="レジディア上落合"/>
    <s v="東京都新宿区上落合３"/>
    <n v="107000"/>
    <n v="15000"/>
    <m/>
    <m/>
    <n v="3"/>
    <x v="2"/>
    <n v="23.5"/>
    <n v="20"/>
    <x v="5"/>
    <s v="落合駅"/>
    <n v="3"/>
    <n v="5"/>
    <n v="139800.48000000001"/>
    <n v="95329.65"/>
    <n v="420"/>
    <n v="1622"/>
    <s v="20-30"/>
    <x v="7"/>
  </r>
  <r>
    <s v="https://suumo.jp/chintai/jnc_000103487232/?bc=100484457849"/>
    <s v="レジディア上落合"/>
    <s v="東京都新宿区上落合３"/>
    <n v="109000"/>
    <n v="15000"/>
    <m/>
    <m/>
    <n v="3"/>
    <x v="2"/>
    <n v="23.5"/>
    <n v="20"/>
    <x v="5"/>
    <s v="落合駅"/>
    <n v="3"/>
    <n v="5"/>
    <n v="139800.48000000001"/>
    <n v="95329.65"/>
    <n v="420"/>
    <n v="1622"/>
    <s v="20-30"/>
    <x v="7"/>
  </r>
  <r>
    <s v="https://suumo.jp/chintai/jnc_000087364398/?bc=100358544297"/>
    <s v="伊藤ビル"/>
    <s v="東京都新宿区上落合２"/>
    <n v="82000"/>
    <m/>
    <n v="82000"/>
    <n v="82000"/>
    <n v="3"/>
    <x v="2"/>
    <n v="21"/>
    <n v="46"/>
    <x v="4"/>
    <s v="落合駅"/>
    <n v="1"/>
    <n v="6.33"/>
    <n v="139800.48000000001"/>
    <n v="95329.65"/>
    <n v="420"/>
    <n v="1622"/>
    <s v="20-30"/>
    <x v="3"/>
  </r>
  <r>
    <s v="https://suumo.jp/chintai/jnc_000102951932/?bc=100479370215"/>
    <s v="東京メトロ東西線 落合駅 10階建 築12年"/>
    <s v="東京都中野区東中野５"/>
    <n v="107000"/>
    <m/>
    <n v="107000"/>
    <n v="107000"/>
    <n v="3"/>
    <x v="2"/>
    <n v="25.23"/>
    <n v="12"/>
    <x v="1"/>
    <s v="落合駅"/>
    <n v="7"/>
    <n v="10"/>
    <n v="139800.48000000001"/>
    <n v="95329.65"/>
    <n v="420"/>
    <n v="1622"/>
    <s v="20-30"/>
    <x v="7"/>
  </r>
  <r>
    <s v="https://suumo.jp/chintai/jnc_000103913725/?bc=100481829590"/>
    <s v="東京メトロ東西線 落合駅 10階建 築12年"/>
    <s v="東京都中野区東中野５"/>
    <n v="107000"/>
    <m/>
    <n v="107000"/>
    <n v="107000"/>
    <n v="3"/>
    <x v="2"/>
    <n v="25.29"/>
    <n v="12"/>
    <x v="1"/>
    <s v="落合駅"/>
    <n v="7"/>
    <n v="10"/>
    <n v="139800.48000000001"/>
    <n v="95329.65"/>
    <n v="420"/>
    <n v="1622"/>
    <s v="20-30"/>
    <x v="7"/>
  </r>
  <r>
    <s v="https://suumo.jp/chintai/jnc_000103929297/?bc=100481736422"/>
    <s v="東京メトロ東西線 落合駅 10階建 築12年"/>
    <s v="東京都中野区東中野５"/>
    <n v="108000"/>
    <m/>
    <n v="108000"/>
    <n v="108000"/>
    <n v="4"/>
    <x v="2"/>
    <n v="25.23"/>
    <n v="12"/>
    <x v="1"/>
    <s v="落合駅"/>
    <n v="7"/>
    <n v="10"/>
    <n v="139800.48000000001"/>
    <n v="95329.65"/>
    <n v="420"/>
    <n v="1622"/>
    <s v="20-30"/>
    <x v="7"/>
  </r>
  <r>
    <s v="https://suumo.jp/chintai/jnc_000103798073/?bc=100480649745"/>
    <s v="東京メトロ東西線 落合駅 10階建 築17年"/>
    <s v="東京都新宿区北新宿４"/>
    <n v="134000"/>
    <n v="8000"/>
    <n v="134000"/>
    <n v="134000"/>
    <n v="10"/>
    <x v="2"/>
    <n v="25.64"/>
    <n v="17"/>
    <x v="1"/>
    <s v="落合駅"/>
    <n v="9"/>
    <n v="10.33"/>
    <n v="139800.48000000001"/>
    <n v="95329.65"/>
    <n v="420"/>
    <n v="1622"/>
    <s v="20-30"/>
    <x v="7"/>
  </r>
  <r>
    <s v="https://suumo.jp/chintai/jnc_000103994054/?bc=100484342440"/>
    <s v="東京メトロ東西線 落合駅 10階建 築17年"/>
    <s v="東京都新宿区北新宿４"/>
    <n v="142000"/>
    <n v="8000"/>
    <n v="142000"/>
    <n v="142000"/>
    <n v="7"/>
    <x v="2"/>
    <n v="27.67"/>
    <n v="17"/>
    <x v="1"/>
    <s v="落合駅"/>
    <n v="9"/>
    <n v="10.33"/>
    <n v="139800.48000000001"/>
    <n v="95329.65"/>
    <n v="420"/>
    <n v="1622"/>
    <s v="20-30"/>
    <x v="7"/>
  </r>
  <r>
    <s v="https://suumo.jp/chintai/jnc_000104412221/?bc=100485958153"/>
    <s v="東京メトロ東西線 落合駅 2階建 築12年"/>
    <s v="東京都中野区東中野５"/>
    <n v="65000"/>
    <n v="3000"/>
    <m/>
    <n v="65000"/>
    <n v="2"/>
    <x v="2"/>
    <n v="9.77"/>
    <n v="12"/>
    <x v="0"/>
    <s v="落合駅"/>
    <n v="7"/>
    <n v="11"/>
    <n v="139800.48000000001"/>
    <n v="95329.65"/>
    <n v="420"/>
    <n v="1622"/>
    <s v="&lt;10"/>
    <x v="7"/>
  </r>
  <r>
    <s v="https://suumo.jp/chintai/jnc_000103873072/?bc=100481261600"/>
    <s v="東京メトロ東西線 落合駅 2階建 築16年"/>
    <s v="東京都新宿区上落合１"/>
    <n v="82000"/>
    <n v="5000"/>
    <n v="82000"/>
    <n v="82000"/>
    <n v="2"/>
    <x v="2"/>
    <n v="20.58"/>
    <n v="16"/>
    <x v="0"/>
    <s v="落合駅"/>
    <n v="7"/>
    <n v="9.67"/>
    <n v="139800.48000000001"/>
    <n v="95329.65"/>
    <n v="420"/>
    <n v="1622"/>
    <s v="20-30"/>
    <x v="7"/>
  </r>
  <r>
    <s v="https://suumo.jp/chintai/jnc_000101548724/?bc=100479877565"/>
    <s v="東京メトロ東西線 落合駅 2階建 築21年"/>
    <s v="東京都新宿区上落合２"/>
    <n v="70000"/>
    <n v="3000"/>
    <n v="70000"/>
    <n v="70000"/>
    <n v="1"/>
    <x v="2"/>
    <n v="23"/>
    <n v="21"/>
    <x v="0"/>
    <s v="落合駅"/>
    <n v="4"/>
    <n v="6.33"/>
    <n v="139800.48000000001"/>
    <n v="95329.65"/>
    <n v="420"/>
    <n v="1622"/>
    <s v="20-30"/>
    <x v="1"/>
  </r>
  <r>
    <s v="https://suumo.jp/chintai/jnc_000103368385/?bc=100482656123"/>
    <s v="東京メトロ東西線 落合駅 2階建 築22年"/>
    <s v="東京都中野区上高田１"/>
    <n v="90000"/>
    <n v="6000"/>
    <m/>
    <n v="90000"/>
    <n v="2"/>
    <x v="2"/>
    <n v="23.59"/>
    <n v="22"/>
    <x v="0"/>
    <s v="落合駅"/>
    <n v="7"/>
    <n v="9.67"/>
    <n v="139800.48000000001"/>
    <n v="95329.65"/>
    <n v="420"/>
    <n v="1622"/>
    <s v="20-30"/>
    <x v="1"/>
  </r>
  <r>
    <s v="https://suumo.jp/chintai/jnc_000104464189/?bc=100478179371"/>
    <s v="東京メトロ東西線 落合駅 2階建 築30年"/>
    <s v="東京都新宿区上落合２"/>
    <n v="70000"/>
    <n v="2000"/>
    <n v="70000"/>
    <n v="70000"/>
    <n v="1"/>
    <x v="2"/>
    <n v="20.09"/>
    <n v="30"/>
    <x v="0"/>
    <s v="落合駅"/>
    <n v="3"/>
    <n v="5"/>
    <n v="139800.48000000001"/>
    <n v="95329.65"/>
    <n v="420"/>
    <n v="1622"/>
    <s v="20-30"/>
    <x v="1"/>
  </r>
  <r>
    <s v="https://suumo.jp/chintai/jnc_000104525311/?bc=100345727598"/>
    <s v="東京メトロ東西線 落合駅 2階建 築38年"/>
    <s v="東京都新宿区上落合２"/>
    <n v="65000"/>
    <n v="2000"/>
    <m/>
    <m/>
    <n v="2"/>
    <x v="2"/>
    <n v="21.18"/>
    <n v="38"/>
    <x v="0"/>
    <s v="落合駅"/>
    <n v="3"/>
    <n v="5.33"/>
    <n v="139800.48000000001"/>
    <n v="95329.65"/>
    <n v="420"/>
    <n v="1622"/>
    <s v="20-30"/>
    <x v="4"/>
  </r>
  <r>
    <s v="https://suumo.jp/chintai/jnc_000086655418/?bc=100483179572"/>
    <s v="東京メトロ東西線 落合駅 2階建 築3年"/>
    <s v="東京都中野区東中野５"/>
    <n v="100000"/>
    <n v="5000"/>
    <n v="100000"/>
    <n v="100000"/>
    <n v="1"/>
    <x v="2"/>
    <n v="25.01"/>
    <n v="3"/>
    <x v="0"/>
    <s v="落合駅"/>
    <n v="6"/>
    <n v="8.67"/>
    <n v="139800.48000000001"/>
    <n v="95329.65"/>
    <n v="420"/>
    <n v="1622"/>
    <s v="20-30"/>
    <x v="0"/>
  </r>
  <r>
    <s v="https://suumo.jp/chintai/jnc_000102512986/?bc=100470285064"/>
    <s v="東京メトロ東西線 落合駅 2階建 築48年"/>
    <s v="東京都中野区東中野４"/>
    <n v="82000"/>
    <m/>
    <n v="164000"/>
    <n v="82000"/>
    <n v="2"/>
    <x v="2"/>
    <n v="20"/>
    <n v="48"/>
    <x v="0"/>
    <s v="落合駅"/>
    <n v="3"/>
    <n v="7.33"/>
    <n v="139800.48000000001"/>
    <n v="95329.65"/>
    <n v="420"/>
    <n v="1622"/>
    <s v="20-30"/>
    <x v="3"/>
  </r>
  <r>
    <s v="https://suumo.jp/chintai/jnc_000104156184/?bc=100483370381"/>
    <s v="東京メトロ東西線 落合駅 3階建 新築"/>
    <s v="東京都新宿区上落合１"/>
    <n v="124000"/>
    <n v="7000"/>
    <n v="124000"/>
    <m/>
    <n v="1"/>
    <x v="2"/>
    <n v="23.6"/>
    <n v="0"/>
    <x v="2"/>
    <s v="落合駅"/>
    <n v="6"/>
    <n v="8"/>
    <n v="139800.48000000001"/>
    <n v="95329.65"/>
    <n v="420"/>
    <n v="1622"/>
    <s v="20-30"/>
    <x v="6"/>
  </r>
  <r>
    <s v="https://suumo.jp/chintai/jnc_000104156186/?bc=100483370378"/>
    <s v="東京メトロ東西線 落合駅 3階建 新築"/>
    <s v="東京都新宿区上落合１"/>
    <n v="127000"/>
    <n v="7000"/>
    <n v="127000"/>
    <m/>
    <n v="1"/>
    <x v="2"/>
    <n v="23.6"/>
    <n v="0"/>
    <x v="2"/>
    <s v="落合駅"/>
    <n v="6"/>
    <n v="8"/>
    <n v="139800.48000000001"/>
    <n v="95329.65"/>
    <n v="420"/>
    <n v="1622"/>
    <s v="20-30"/>
    <x v="6"/>
  </r>
  <r>
    <s v="https://suumo.jp/chintai/jnc_000104156183/?bc=100483370561"/>
    <s v="東京メトロ東西線 落合駅 3階建 新築"/>
    <s v="東京都新宿区上落合１"/>
    <n v="137000"/>
    <n v="7000"/>
    <n v="137000"/>
    <m/>
    <n v="1"/>
    <x v="2"/>
    <n v="27.63"/>
    <n v="0"/>
    <x v="2"/>
    <s v="落合駅"/>
    <n v="6"/>
    <n v="8"/>
    <n v="139800.48000000001"/>
    <n v="95329.65"/>
    <n v="420"/>
    <n v="1622"/>
    <s v="20-30"/>
    <x v="6"/>
  </r>
  <r>
    <s v="https://suumo.jp/chintai/jnc_000104156187/?bc=100483370566"/>
    <s v="東京メトロ東西線 落合駅 3階建 新築"/>
    <s v="東京都新宿区上落合１"/>
    <n v="152000"/>
    <n v="7000"/>
    <n v="152000"/>
    <m/>
    <n v="2"/>
    <x v="2"/>
    <n v="28.94"/>
    <n v="0"/>
    <x v="2"/>
    <s v="落合駅"/>
    <n v="6"/>
    <n v="8"/>
    <n v="139800.48000000001"/>
    <n v="95329.65"/>
    <n v="420"/>
    <n v="1622"/>
    <s v="20-30"/>
    <x v="6"/>
  </r>
  <r>
    <s v="https://suumo.jp/chintai/jnc_000104156188/?bc=100483370305"/>
    <s v="東京メトロ東西線 落合駅 3階建 新築"/>
    <s v="東京都新宿区上落合１"/>
    <n v="153000"/>
    <n v="7000"/>
    <n v="153000"/>
    <m/>
    <n v="2"/>
    <x v="2"/>
    <n v="30.99"/>
    <n v="0"/>
    <x v="2"/>
    <s v="落合駅"/>
    <n v="6"/>
    <n v="8"/>
    <n v="139800.48000000001"/>
    <n v="95329.65"/>
    <n v="420"/>
    <n v="1622"/>
    <s v="30-40"/>
    <x v="6"/>
  </r>
  <r>
    <s v="https://suumo.jp/chintai/jnc_000104138603/?bc=100483272059"/>
    <s v="東京メトロ東西線 落合駅 3階建 新築"/>
    <s v="東京都新宿区上落合１"/>
    <n v="124000"/>
    <n v="7000"/>
    <n v="124000"/>
    <m/>
    <n v="3"/>
    <x v="2"/>
    <n v="21.14"/>
    <n v="0"/>
    <x v="2"/>
    <s v="落合駅"/>
    <n v="6"/>
    <n v="8"/>
    <n v="139800.48000000001"/>
    <n v="95329.65"/>
    <n v="420"/>
    <n v="1622"/>
    <s v="20-30"/>
    <x v="6"/>
  </r>
  <r>
    <s v="https://suumo.jp/chintai/jnc_000104156190/?bc=100483370298"/>
    <s v="東京メトロ東西線 落合駅 3階建 新築"/>
    <s v="東京都新宿区上落合１"/>
    <n v="153000"/>
    <n v="7000"/>
    <n v="153000"/>
    <m/>
    <n v="3"/>
    <x v="2"/>
    <n v="30.96"/>
    <n v="0"/>
    <x v="2"/>
    <s v="落合駅"/>
    <n v="6"/>
    <n v="8"/>
    <n v="139800.48000000001"/>
    <n v="95329.65"/>
    <n v="420"/>
    <n v="1622"/>
    <s v="30-40"/>
    <x v="6"/>
  </r>
  <r>
    <s v="https://suumo.jp/chintai/jnc_000104316349/?bc=100484700226"/>
    <s v="東京メトロ東西線 落合駅 3階建 築11年"/>
    <s v="東京都新宿区上落合３"/>
    <n v="95000"/>
    <n v="2000"/>
    <m/>
    <m/>
    <n v="1"/>
    <x v="2"/>
    <n v="24.84"/>
    <n v="11"/>
    <x v="2"/>
    <s v="落合駅"/>
    <n v="5"/>
    <n v="6"/>
    <n v="139800.48000000001"/>
    <n v="95329.65"/>
    <n v="420"/>
    <n v="1622"/>
    <s v="20-30"/>
    <x v="7"/>
  </r>
  <r>
    <s v="https://suumo.jp/chintai/jnc_000103464996/?bc=100477948695"/>
    <s v="東京メトロ東西線 落合駅 3階建 築15年"/>
    <s v="東京都新宿区上落合３"/>
    <n v="97000"/>
    <n v="2000"/>
    <n v="48500"/>
    <n v="145500"/>
    <n v="1"/>
    <x v="2"/>
    <n v="26"/>
    <n v="15"/>
    <x v="2"/>
    <s v="落合駅"/>
    <n v="7"/>
    <n v="9.33"/>
    <n v="139800.48000000001"/>
    <n v="95329.65"/>
    <n v="420"/>
    <n v="1622"/>
    <s v="20-30"/>
    <x v="7"/>
  </r>
  <r>
    <s v="https://suumo.jp/chintai/jnc_000104241699/?bc=100484273557"/>
    <s v="東京メトロ東西線 落合駅 3階建 築15年"/>
    <s v="東京都中野区上高田１"/>
    <n v="89000"/>
    <n v="3000"/>
    <n v="89000"/>
    <n v="89000"/>
    <n v="1"/>
    <x v="2"/>
    <n v="29.5"/>
    <n v="15"/>
    <x v="2"/>
    <s v="落合駅"/>
    <n v="12"/>
    <n v="13.67"/>
    <n v="139800.48000000001"/>
    <n v="95329.65"/>
    <n v="420"/>
    <n v="1622"/>
    <s v="20-30"/>
    <x v="7"/>
  </r>
  <r>
    <s v="https://suumo.jp/chintai/jnc_000104399640/?bc=100485358895"/>
    <s v="東京メトロ東西線 落合駅 3階建 築22年"/>
    <s v="東京都中野区上高田１"/>
    <n v="75000"/>
    <n v="3000"/>
    <m/>
    <n v="75000"/>
    <n v="1"/>
    <x v="2"/>
    <n v="18.63"/>
    <n v="22"/>
    <x v="2"/>
    <s v="落合駅"/>
    <n v="5"/>
    <n v="7"/>
    <n v="139800.48000000001"/>
    <n v="95329.65"/>
    <n v="420"/>
    <n v="1622"/>
    <s v="10-20"/>
    <x v="1"/>
  </r>
  <r>
    <s v="https://suumo.jp/chintai/jnc_000104399641/?bc=100485358906"/>
    <s v="東京メトロ東西線 落合駅 3階建 築22年"/>
    <s v="東京都中野区上高田１"/>
    <n v="77000"/>
    <n v="3000"/>
    <m/>
    <n v="77000"/>
    <n v="2"/>
    <x v="2"/>
    <n v="18.63"/>
    <n v="22"/>
    <x v="2"/>
    <s v="落合駅"/>
    <n v="5"/>
    <n v="7"/>
    <n v="139800.48000000001"/>
    <n v="95329.65"/>
    <n v="420"/>
    <n v="1622"/>
    <s v="10-20"/>
    <x v="1"/>
  </r>
  <r>
    <s v="https://suumo.jp/chintai/jnc_000104399642/?bc=100485357899"/>
    <s v="東京メトロ東西線 落合駅 3階建 築22年"/>
    <s v="東京都中野区上高田１"/>
    <n v="79000"/>
    <n v="3000"/>
    <m/>
    <n v="79000"/>
    <n v="2"/>
    <x v="2"/>
    <n v="22.78"/>
    <n v="22"/>
    <x v="2"/>
    <s v="落合駅"/>
    <n v="5"/>
    <n v="7"/>
    <n v="139800.48000000001"/>
    <n v="95329.65"/>
    <n v="420"/>
    <n v="1622"/>
    <s v="20-30"/>
    <x v="1"/>
  </r>
  <r>
    <s v="https://suumo.jp/chintai/jnc_000103031792/?bc=100474626750"/>
    <s v="東京メトロ東西線 落合駅 3階建 築28年"/>
    <s v="東京都新宿区上落合２"/>
    <n v="67000"/>
    <n v="3000"/>
    <n v="67000"/>
    <n v="67000"/>
    <n v="1"/>
    <x v="2"/>
    <n v="20.399999999999999"/>
    <n v="28"/>
    <x v="2"/>
    <s v="落合駅"/>
    <n v="1"/>
    <n v="6.67"/>
    <n v="139800.48000000001"/>
    <n v="95329.65"/>
    <n v="420"/>
    <n v="1622"/>
    <s v="20-30"/>
    <x v="1"/>
  </r>
  <r>
    <s v="https://suumo.jp/chintai/jnc_000104473638/?bc=100485929885"/>
    <s v="東京メトロ東西線 落合駅 3階建 築2年"/>
    <s v="東京都新宿区上落合３"/>
    <n v="107000"/>
    <n v="12000"/>
    <n v="107000"/>
    <n v="107000"/>
    <n v="1"/>
    <x v="2"/>
    <n v="23.12"/>
    <n v="2"/>
    <x v="2"/>
    <s v="落合駅"/>
    <n v="6"/>
    <n v="9.67"/>
    <n v="139800.48000000001"/>
    <n v="95329.65"/>
    <n v="420"/>
    <n v="1622"/>
    <s v="20-30"/>
    <x v="0"/>
  </r>
  <r>
    <s v="https://suumo.jp/chintai/jnc_000104416500/?bc=100485511744"/>
    <s v="東京メトロ東西線 落合駅 3階建 築37年"/>
    <s v="東京都新宿区上落合２"/>
    <n v="69000"/>
    <n v="5000"/>
    <n v="69000"/>
    <n v="69000"/>
    <n v="1"/>
    <x v="2"/>
    <n v="20.74"/>
    <n v="37"/>
    <x v="2"/>
    <s v="落合駅"/>
    <n v="3"/>
    <n v="7.33"/>
    <n v="139800.48000000001"/>
    <n v="95329.65"/>
    <n v="420"/>
    <n v="1622"/>
    <s v="20-30"/>
    <x v="4"/>
  </r>
  <r>
    <s v="https://suumo.jp/chintai/jnc_000101425179/?bc=100459372823"/>
    <s v="東京メトロ東西線 落合駅 3階建 築7年"/>
    <s v="東京都新宿区上落合３"/>
    <n v="84000"/>
    <n v="3000"/>
    <n v="84000"/>
    <n v="84000"/>
    <n v="1"/>
    <x v="2"/>
    <n v="20.5"/>
    <n v="7"/>
    <x v="2"/>
    <s v="落合駅"/>
    <n v="2"/>
    <n v="6.33"/>
    <n v="139800.48000000001"/>
    <n v="95329.65"/>
    <n v="420"/>
    <n v="1622"/>
    <s v="20-30"/>
    <x v="0"/>
  </r>
  <r>
    <s v="https://suumo.jp/chintai/jnc_000104107303/?bc=100482169245"/>
    <s v="東京メトロ東西線 落合駅 4階建 新築"/>
    <s v="東京都新宿区上落合３"/>
    <n v="128000"/>
    <n v="20000"/>
    <n v="128000"/>
    <n v="128000"/>
    <n v="1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2970909/?bc=100482934567"/>
    <s v="東京メトロ東西線 落合駅 4階建 新築"/>
    <s v="東京都新宿区上落合３"/>
    <n v="135000"/>
    <n v="10000"/>
    <n v="135000"/>
    <n v="135000"/>
    <n v="1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3094752/?bc=100480356585"/>
    <s v="東京メトロ東西線 落合駅 4階建 新築"/>
    <s v="東京都新宿区上落合３"/>
    <n v="145000"/>
    <n v="10000"/>
    <n v="145000"/>
    <n v="145000"/>
    <n v="1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3863928/?bc=100481736426"/>
    <s v="東京メトロ東西線 落合駅 4階建 新築"/>
    <s v="東京都新宿区上落合３"/>
    <n v="129000"/>
    <n v="20000"/>
    <n v="129000"/>
    <n v="129000"/>
    <n v="2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2970911/?bc=100473923461"/>
    <s v="東京メトロ東西線 落合駅 4階建 新築"/>
    <s v="東京都新宿区上落合３"/>
    <n v="145000"/>
    <n v="10000"/>
    <n v="145000"/>
    <n v="145000"/>
    <n v="2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3094754/?bc=100480372564"/>
    <s v="東京メトロ東西線 落合駅 4階建 新築"/>
    <s v="東京都新宿区上落合３"/>
    <n v="155000"/>
    <n v="10000"/>
    <n v="155000"/>
    <n v="155000"/>
    <n v="2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4132238/?bc=100483625246"/>
    <s v="東京メトロ東西線 落合駅 4階建 新築"/>
    <s v="東京都新宿区上落合３"/>
    <n v="130000"/>
    <n v="20000"/>
    <n v="130000"/>
    <n v="130000"/>
    <n v="3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3094756/?bc=100480373250"/>
    <s v="東京メトロ東西線 落合駅 4階建 新築"/>
    <s v="東京都新宿区上落合３"/>
    <n v="155000"/>
    <n v="10000"/>
    <n v="155000"/>
    <n v="155000"/>
    <n v="3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3094757/?bc=100480376697"/>
    <s v="東京メトロ東西線 落合駅 4階建 新築"/>
    <s v="東京都新宿区上落合３"/>
    <n v="158000"/>
    <n v="10000"/>
    <n v="158000"/>
    <n v="158000"/>
    <n v="3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4186373/?bc=100485338050"/>
    <s v="東京メトロ東西線 落合駅 4階建 新築"/>
    <s v="東京都新宿区上落合３"/>
    <n v="145000"/>
    <n v="20000"/>
    <n v="145000"/>
    <n v="145000"/>
    <n v="4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2970913/?bc=100485338374"/>
    <s v="東京メトロ東西線 落合駅 4階建 新築"/>
    <s v="東京都新宿区上落合３"/>
    <n v="140000"/>
    <n v="20000"/>
    <n v="140000"/>
    <n v="140000"/>
    <n v="4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103094758/?bc=100480374640"/>
    <s v="東京メトロ東西線 落合駅 4階建 新築"/>
    <s v="東京都新宿区上落合３"/>
    <n v="160000"/>
    <n v="10000"/>
    <n v="160000"/>
    <n v="160000"/>
    <n v="4"/>
    <x v="2"/>
    <n v="31.68"/>
    <n v="0"/>
    <x v="4"/>
    <s v="落合駅"/>
    <n v="3"/>
    <n v="7.67"/>
    <n v="139800.48000000001"/>
    <n v="95329.65"/>
    <n v="420"/>
    <n v="1622"/>
    <s v="30-40"/>
    <x v="6"/>
  </r>
  <r>
    <s v="https://suumo.jp/chintai/jnc_000062076133/?bc=100486123565"/>
    <s v="東京メトロ東西線 落合駅 4階建 築23年"/>
    <s v="東京都中野区上高田１"/>
    <n v="75000"/>
    <n v="3000"/>
    <n v="75000"/>
    <m/>
    <n v="2"/>
    <x v="2"/>
    <n v="18.579999999999998"/>
    <n v="23"/>
    <x v="4"/>
    <s v="落合駅"/>
    <n v="12"/>
    <n v="13"/>
    <n v="139800.48000000001"/>
    <n v="95329.65"/>
    <n v="420"/>
    <n v="1622"/>
    <s v="10-20"/>
    <x v="1"/>
  </r>
  <r>
    <s v="https://suumo.jp/chintai/jnc_000099610767/?bc=100440613365"/>
    <s v="東京メトロ東西線 落合駅 4階建 築38年"/>
    <s v="東京都新宿区上落合３"/>
    <n v="60000"/>
    <n v="5000"/>
    <n v="60000"/>
    <n v="60000"/>
    <n v="2"/>
    <x v="2"/>
    <n v="18.760000000000002"/>
    <n v="38"/>
    <x v="4"/>
    <s v="落合駅"/>
    <n v="3"/>
    <n v="6.67"/>
    <n v="139800.48000000001"/>
    <n v="95329.65"/>
    <n v="420"/>
    <n v="1622"/>
    <s v="10-20"/>
    <x v="4"/>
  </r>
  <r>
    <s v="https://suumo.jp/chintai/jnc_000096031898/?bc=100466478029"/>
    <s v="東京メトロ東西線 落合駅 4階建 築38年"/>
    <s v="東京都新宿区上落合３"/>
    <n v="68000"/>
    <n v="5000"/>
    <m/>
    <m/>
    <n v="4"/>
    <x v="2"/>
    <n v="18.760000000000002"/>
    <n v="38"/>
    <x v="4"/>
    <s v="落合駅"/>
    <n v="3"/>
    <n v="6.67"/>
    <n v="139800.48000000001"/>
    <n v="95329.65"/>
    <n v="420"/>
    <n v="1622"/>
    <s v="10-20"/>
    <x v="4"/>
  </r>
  <r>
    <s v="https://suumo.jp/chintai/jnc_000103977449/?bc=100482022299"/>
    <s v="東京メトロ東西線 落合駅 5階建 築21年"/>
    <s v="東京都中野区上高田１"/>
    <n v="78000"/>
    <n v="10000"/>
    <n v="70000"/>
    <m/>
    <n v="4"/>
    <x v="2"/>
    <n v="25.01"/>
    <n v="21"/>
    <x v="7"/>
    <s v="落合駅"/>
    <n v="6"/>
    <n v="9.33"/>
    <n v="139800.48000000001"/>
    <n v="95329.65"/>
    <n v="420"/>
    <n v="1622"/>
    <s v="20-30"/>
    <x v="1"/>
  </r>
  <r>
    <s v="https://suumo.jp/chintai/jnc_000104126160/?bc=100482450590"/>
    <s v="東京メトロ東西線 落合駅 5階建 築3年"/>
    <s v="東京都中野区東中野５"/>
    <n v="130000"/>
    <n v="15000"/>
    <n v="130000"/>
    <n v="130000"/>
    <n v="1"/>
    <x v="2"/>
    <n v="25.5"/>
    <n v="3"/>
    <x v="7"/>
    <s v="落合駅"/>
    <n v="7"/>
    <n v="11"/>
    <n v="139800.48000000001"/>
    <n v="95329.65"/>
    <n v="420"/>
    <n v="1622"/>
    <s v="20-30"/>
    <x v="0"/>
  </r>
  <r>
    <s v="https://suumo.jp/chintai/jnc_000104387667/?bc=100485272872"/>
    <s v="東京メトロ東西線 落合駅 5階建 築3年"/>
    <s v="東京都中野区東中野５"/>
    <n v="142000"/>
    <n v="15000"/>
    <n v="142000"/>
    <n v="142000"/>
    <n v="1"/>
    <x v="2"/>
    <n v="28.87"/>
    <n v="3"/>
    <x v="7"/>
    <s v="落合駅"/>
    <n v="7"/>
    <n v="11"/>
    <n v="139800.48000000001"/>
    <n v="95329.65"/>
    <n v="420"/>
    <n v="1622"/>
    <s v="20-30"/>
    <x v="0"/>
  </r>
  <r>
    <s v="https://suumo.jp/chintai/jnc_000103625945/?bc=100479322274"/>
    <s v="東京メトロ東西線 落合駅 5階建 築3年"/>
    <s v="東京都中野区東中野５"/>
    <n v="144000"/>
    <n v="15000"/>
    <n v="144000"/>
    <n v="144000"/>
    <n v="1"/>
    <x v="2"/>
    <n v="31.35"/>
    <n v="3"/>
    <x v="7"/>
    <s v="落合駅"/>
    <n v="7"/>
    <n v="11"/>
    <n v="139800.48000000001"/>
    <n v="95329.65"/>
    <n v="420"/>
    <n v="1622"/>
    <s v="30-40"/>
    <x v="0"/>
  </r>
  <r>
    <s v="https://suumo.jp/chintai/jnc_000103762850/?bc=100480359421"/>
    <s v="東京メトロ東西線 落合駅 5階建 築3年"/>
    <s v="東京都中野区東中野５"/>
    <n v="145000"/>
    <n v="15000"/>
    <n v="145000"/>
    <n v="145000"/>
    <n v="3"/>
    <x v="2"/>
    <n v="28.87"/>
    <n v="3"/>
    <x v="7"/>
    <s v="落合駅"/>
    <n v="7"/>
    <n v="11"/>
    <n v="139800.48000000001"/>
    <n v="95329.65"/>
    <n v="420"/>
    <n v="1622"/>
    <s v="20-30"/>
    <x v="0"/>
  </r>
  <r>
    <s v="https://suumo.jp/chintai/jnc_000103558035/?bc=100478503274"/>
    <s v="東京メトロ東西線 落合駅 5階建 築7年"/>
    <s v="東京都中野区上高田１"/>
    <n v="95000"/>
    <n v="5000"/>
    <n v="95000"/>
    <n v="95000"/>
    <n v="5"/>
    <x v="2"/>
    <n v="25.34"/>
    <n v="7"/>
    <x v="7"/>
    <s v="落合駅"/>
    <n v="11"/>
    <n v="12.33"/>
    <n v="139800.48000000001"/>
    <n v="95329.65"/>
    <n v="420"/>
    <n v="1622"/>
    <s v="20-30"/>
    <x v="0"/>
  </r>
  <r>
    <s v="https://suumo.jp/chintai/jnc_000103695178/?bc=100479877415"/>
    <s v="東京メトロ東西線 落合駅 9階建 築20年"/>
    <s v="東京都中野区東中野３"/>
    <n v="90000"/>
    <n v="8000"/>
    <n v="90000"/>
    <n v="90000"/>
    <n v="3"/>
    <x v="2"/>
    <n v="20.02"/>
    <n v="20"/>
    <x v="6"/>
    <s v="落合駅"/>
    <n v="3"/>
    <n v="5.67"/>
    <n v="139800.48000000001"/>
    <n v="95329.65"/>
    <n v="420"/>
    <n v="1622"/>
    <s v="20-30"/>
    <x v="7"/>
  </r>
  <r>
    <s v="https://suumo.jp/chintai/jnc_000104317210/?bc=100484718382"/>
    <s v="東京メトロ東西線 落合駅 9階建 築20年"/>
    <s v="東京都中野区東中野３"/>
    <n v="93000"/>
    <n v="8000"/>
    <n v="93000"/>
    <n v="93000"/>
    <n v="4"/>
    <x v="2"/>
    <n v="20.02"/>
    <n v="20"/>
    <x v="6"/>
    <s v="落合駅"/>
    <n v="3"/>
    <n v="5.67"/>
    <n v="139800.48000000001"/>
    <n v="95329.65"/>
    <n v="420"/>
    <n v="1622"/>
    <s v="20-30"/>
    <x v="7"/>
  </r>
  <r>
    <s v="https://suumo.jp/chintai/jnc_000095379461/?bc=100412089703"/>
    <s v="梅田荘"/>
    <s v="東京都新宿区上落合２"/>
    <n v="40000"/>
    <m/>
    <m/>
    <m/>
    <n v="2"/>
    <x v="2"/>
    <n v="15"/>
    <n v="53"/>
    <x v="0"/>
    <s v="落合駅"/>
    <n v="3"/>
    <n v="5"/>
    <n v="139800.48000000001"/>
    <n v="95329.65"/>
    <n v="420"/>
    <n v="1622"/>
    <s v="10-20"/>
    <x v="5"/>
  </r>
  <r>
    <s v="https://suumo.jp/chintai/jnc_000104186378/?bc=100483593554"/>
    <s v="Ｂｅレジデンス北新宿"/>
    <s v="東京都新宿区北新宿４"/>
    <n v="126000"/>
    <n v="10000"/>
    <n v="126000"/>
    <n v="126000"/>
    <n v="3"/>
    <x v="2"/>
    <n v="25.36"/>
    <n v="1"/>
    <x v="4"/>
    <s v="落合駅"/>
    <n v="7"/>
    <n v="8"/>
    <n v="139800.48000000001"/>
    <n v="95329.65"/>
    <n v="420"/>
    <n v="1622"/>
    <s v="20-30"/>
    <x v="0"/>
  </r>
  <r>
    <s v="https://suumo.jp/chintai/jnc_000104050103/?bc=100482970014"/>
    <s v="Ｈｉｌｌｔｏｐ　Ａ"/>
    <s v="東京都中野区東中野５"/>
    <n v="100000"/>
    <n v="5000"/>
    <n v="100000"/>
    <n v="100000"/>
    <n v="2"/>
    <x v="2"/>
    <n v="22.52"/>
    <n v="3"/>
    <x v="0"/>
    <s v="落合駅"/>
    <n v="6"/>
    <n v="8.67"/>
    <n v="139800.48000000001"/>
    <n v="95329.65"/>
    <n v="420"/>
    <n v="1622"/>
    <s v="20-30"/>
    <x v="0"/>
  </r>
  <r>
    <s v="https://suumo.jp/chintai/jnc_000086430437/?bc=100482203089"/>
    <s v="Ｈｉｌｌｔｏｐ　Ｂ"/>
    <s v="東京都中野区東中野５"/>
    <n v="87000"/>
    <n v="3000"/>
    <n v="87000"/>
    <n v="87000"/>
    <n v="1"/>
    <x v="2"/>
    <n v="18.760000000000002"/>
    <n v="3"/>
    <x v="0"/>
    <s v="落合駅"/>
    <n v="6"/>
    <n v="8.67"/>
    <n v="139800.48000000001"/>
    <n v="95329.65"/>
    <n v="420"/>
    <n v="1622"/>
    <s v="10-20"/>
    <x v="0"/>
  </r>
  <r>
    <s v="https://suumo.jp/chintai/jnc_000086672516/?bc=100482161770"/>
    <s v="Ｈｉｌｌｔｏｐ　Ｂ"/>
    <s v="東京都中野区東中野５"/>
    <n v="100000"/>
    <n v="5000"/>
    <n v="100000"/>
    <n v="100000"/>
    <n v="1"/>
    <x v="2"/>
    <n v="25.01"/>
    <n v="3"/>
    <x v="0"/>
    <s v="落合駅"/>
    <n v="6"/>
    <n v="8.67"/>
    <n v="139800.48000000001"/>
    <n v="95329.65"/>
    <n v="420"/>
    <n v="1622"/>
    <s v="20-30"/>
    <x v="0"/>
  </r>
  <r>
    <s v="https://suumo.jp/chintai/jnc_000098665781/?bc=100483294509"/>
    <s v="ＪＲ中央線 中野駅 2階建 築1年"/>
    <s v="東京都中野区上高田１"/>
    <n v="110000"/>
    <n v="5000"/>
    <n v="110000"/>
    <m/>
    <n v="2"/>
    <x v="2"/>
    <n v="23.52"/>
    <n v="1"/>
    <x v="0"/>
    <s v="落合駅"/>
    <n v="11"/>
    <n v="13.33"/>
    <n v="139800.48000000001"/>
    <n v="95329.65"/>
    <n v="420"/>
    <n v="1622"/>
    <s v="20-30"/>
    <x v="0"/>
  </r>
  <r>
    <s v="https://suumo.jp/chintai/jnc_000103770544/?bc=100480479420"/>
    <s v="ＪＲ中央線 東中野駅 2階建 築7年"/>
    <s v="東京都新宿区上落合３"/>
    <n v="63000"/>
    <n v="5000"/>
    <m/>
    <m/>
    <n v="1"/>
    <x v="2"/>
    <n v="12.94"/>
    <n v="7"/>
    <x v="0"/>
    <s v="落合駅"/>
    <n v="4"/>
    <n v="6.33"/>
    <n v="139800.48000000001"/>
    <n v="95329.65"/>
    <n v="420"/>
    <n v="1622"/>
    <s v="10-20"/>
    <x v="0"/>
  </r>
  <r>
    <s v="https://suumo.jp/chintai/jnc_000104276449/?bc=100474653513"/>
    <s v="ＪＲ中央線 東中野駅 3階建 築32年"/>
    <s v="東京都中野区上高田１"/>
    <n v="74000"/>
    <n v="2000"/>
    <n v="74000"/>
    <n v="74000"/>
    <n v="1"/>
    <x v="2"/>
    <n v="17.600000000000001"/>
    <n v="32"/>
    <x v="2"/>
    <s v="落合駅"/>
    <n v="11"/>
    <n v="13.33"/>
    <n v="139800.48000000001"/>
    <n v="95329.65"/>
    <n v="420"/>
    <n v="1622"/>
    <s v="10-20"/>
    <x v="4"/>
  </r>
  <r>
    <s v="https://suumo.jp/chintai/jnc_000103750513/?bc=100468886168"/>
    <s v="ＪＲ中央線 東中野駅 3階建 築32年"/>
    <s v="東京都中野区上高田１"/>
    <n v="73000"/>
    <n v="2000"/>
    <n v="73000"/>
    <n v="73000"/>
    <n v="1"/>
    <x v="2"/>
    <n v="18.7"/>
    <n v="32"/>
    <x v="2"/>
    <s v="落合駅"/>
    <n v="11"/>
    <n v="13.33"/>
    <n v="139800.48000000001"/>
    <n v="95329.65"/>
    <n v="420"/>
    <n v="1622"/>
    <s v="10-20"/>
    <x v="4"/>
  </r>
  <r>
    <s v="https://suumo.jp/chintai/jnc_000103837766/?bc=100480833328"/>
    <s v="ＪＲ中央線 東中野駅 3階建 築32年"/>
    <s v="東京都中野区上高田１"/>
    <n v="77000"/>
    <n v="2000"/>
    <n v="77000"/>
    <n v="77000"/>
    <n v="2"/>
    <x v="2"/>
    <n v="18.7"/>
    <n v="32"/>
    <x v="2"/>
    <s v="落合駅"/>
    <n v="11"/>
    <n v="13.33"/>
    <n v="139800.48000000001"/>
    <n v="95329.65"/>
    <n v="420"/>
    <n v="1622"/>
    <s v="10-20"/>
    <x v="4"/>
  </r>
  <r>
    <s v="https://suumo.jp/chintai/jnc_000099509797/?bc=100467253761"/>
    <s v="ＪＲ中央線 東中野駅 4階建 築18年"/>
    <s v="東京都新宿区北新宿４"/>
    <n v="101000"/>
    <n v="7500"/>
    <m/>
    <n v="101000"/>
    <n v="1"/>
    <x v="2"/>
    <n v="18.5"/>
    <n v="18"/>
    <x v="4"/>
    <s v="落合駅"/>
    <n v="10"/>
    <n v="11.33"/>
    <n v="139800.48000000001"/>
    <n v="95329.65"/>
    <n v="420"/>
    <n v="1622"/>
    <s v="10-20"/>
    <x v="7"/>
  </r>
  <r>
    <s v="https://suumo.jp/chintai/jnc_000102039287/?bc=100465919394"/>
    <s v="ＪＲ中央線 東中野駅 4階建 築18年"/>
    <s v="東京都新宿区北新宿４"/>
    <n v="110000"/>
    <n v="7500"/>
    <m/>
    <n v="110000"/>
    <n v="4"/>
    <x v="2"/>
    <n v="18.5"/>
    <n v="18"/>
    <x v="4"/>
    <s v="落合駅"/>
    <n v="10"/>
    <n v="11.33"/>
    <n v="139800.48000000001"/>
    <n v="95329.65"/>
    <n v="420"/>
    <n v="1622"/>
    <s v="10-20"/>
    <x v="7"/>
  </r>
  <r>
    <s v="https://suumo.jp/chintai/jnc_000103969587/?bc=100482330626"/>
    <s v="ＪＲ中央線 東中野駅 4階建 築23年"/>
    <s v="東京都中野区上高田４"/>
    <n v="73000"/>
    <n v="5000"/>
    <m/>
    <m/>
    <n v="1"/>
    <x v="2"/>
    <n v="21.46"/>
    <n v="23"/>
    <x v="4"/>
    <s v="落合駅"/>
    <n v="8"/>
    <n v="9.33"/>
    <n v="139800.48000000001"/>
    <n v="95329.65"/>
    <n v="420"/>
    <n v="1622"/>
    <s v="20-30"/>
    <x v="1"/>
  </r>
  <r>
    <s v="https://suumo.jp/chintai/jnc_000103307433/?bc=100484152041"/>
    <s v="ＪＲ中央線 東中野駅 4階建 築23年"/>
    <s v="東京都中野区上高田１"/>
    <n v="95000"/>
    <n v="5000"/>
    <m/>
    <n v="190000"/>
    <n v="3"/>
    <x v="2"/>
    <n v="25.6"/>
    <n v="23"/>
    <x v="4"/>
    <s v="落合駅"/>
    <n v="3"/>
    <n v="7.33"/>
    <n v="139800.48000000001"/>
    <n v="95329.65"/>
    <n v="420"/>
    <n v="1622"/>
    <s v="20-30"/>
    <x v="1"/>
  </r>
  <r>
    <s v="https://suumo.jp/chintai/jnc_000104464979/?bc=100485897341"/>
    <s v="ＪＲ中央線 東中野駅 9階建 築15年"/>
    <s v="東京都中野区東中野５"/>
    <n v="125000"/>
    <m/>
    <n v="125000"/>
    <n v="125000"/>
    <n v="4"/>
    <x v="2"/>
    <n v="23.64"/>
    <n v="15"/>
    <x v="6"/>
    <s v="落合駅"/>
    <n v="7"/>
    <n v="11.33"/>
    <n v="139800.48000000001"/>
    <n v="95329.65"/>
    <n v="420"/>
    <n v="1622"/>
    <s v="20-30"/>
    <x v="7"/>
  </r>
  <r>
    <s v="https://suumo.jp/chintai/jnc_000103031802/?bc=100481829421"/>
    <s v="ＪＲ山手線 高田馬場駅 5階建 築10年"/>
    <s v="東京都新宿区高田馬場３"/>
    <n v="100000"/>
    <n v="10000"/>
    <m/>
    <m/>
    <n v="3"/>
    <x v="2"/>
    <n v="25.58"/>
    <n v="10"/>
    <x v="7"/>
    <s v="落合駅"/>
    <n v="8"/>
    <n v="8.67"/>
    <n v="139800.48000000001"/>
    <n v="95329.65"/>
    <n v="420"/>
    <n v="1622"/>
    <s v="20-30"/>
    <x v="0"/>
  </r>
  <r>
    <s v="https://suumo.jp/chintai/jnc_000103500336/?bc=100482777278"/>
    <s v="ＪＲ総武線 東中野駅 3階建 築8年"/>
    <s v="東京都中野区東中野４"/>
    <n v="109000"/>
    <n v="6000"/>
    <m/>
    <n v="218000"/>
    <n v="1"/>
    <x v="2"/>
    <n v="26.6"/>
    <n v="8"/>
    <x v="2"/>
    <s v="落合駅"/>
    <n v="3"/>
    <n v="7.67"/>
    <n v="139800.48000000001"/>
    <n v="95329.65"/>
    <n v="420"/>
    <n v="1622"/>
    <s v="20-30"/>
    <x v="0"/>
  </r>
  <r>
    <s v="https://suumo.jp/chintai/jnc_000104417267/?bc=100485488973"/>
    <s v="ＪＲ総武線 東中野駅 9階建 築15年"/>
    <s v="東京都中野区東中野５"/>
    <n v="125000"/>
    <m/>
    <n v="125000"/>
    <n v="125000"/>
    <n v="4"/>
    <x v="2"/>
    <n v="23.64"/>
    <n v="15"/>
    <x v="6"/>
    <s v="落合駅"/>
    <n v="7"/>
    <n v="8.67"/>
    <n v="139800.48000000001"/>
    <n v="95329.65"/>
    <n v="420"/>
    <n v="1622"/>
    <s v="20-30"/>
    <x v="7"/>
  </r>
  <r>
    <s v="https://suumo.jp/chintai/jnc_000103786799/?bc=100482442988"/>
    <s v="ＰＲＩＭＥ　ＵＲＢＡＮ　東中野　ＣＯＵＲＴ"/>
    <s v="東京都新宿区北新宿４"/>
    <n v="134000"/>
    <n v="8000"/>
    <n v="134000"/>
    <n v="134000"/>
    <n v="10"/>
    <x v="2"/>
    <n v="25.64"/>
    <n v="17"/>
    <x v="8"/>
    <s v="落合駅"/>
    <n v="8"/>
    <n v="10.67"/>
    <n v="139800.48000000001"/>
    <n v="95329.65"/>
    <n v="420"/>
    <n v="1622"/>
    <s v="20-30"/>
    <x v="7"/>
  </r>
  <r>
    <s v="https://suumo.jp/chintai/jnc_000103987143/?bc=100483050605"/>
    <s v="ＰＲＩＭＥ　ＵＲＢＡＮ　東中野　ＣＯＵＲＴ"/>
    <s v="東京都新宿区北新宿４"/>
    <n v="142000"/>
    <n v="8000"/>
    <n v="142000"/>
    <n v="142000"/>
    <n v="2"/>
    <x v="2"/>
    <n v="27.67"/>
    <n v="17"/>
    <x v="8"/>
    <s v="落合駅"/>
    <n v="8"/>
    <n v="10.67"/>
    <n v="139800.48000000001"/>
    <n v="95329.65"/>
    <n v="420"/>
    <n v="1622"/>
    <s v="20-30"/>
    <x v="7"/>
  </r>
  <r>
    <s v="https://suumo.jp/chintai/jnc_000062337772/?bc=100486092117"/>
    <s v="Ｔ’ｓ　ｇａｒｄｅｎ中野"/>
    <s v="東京都中野区上高田１"/>
    <n v="75000"/>
    <n v="3000"/>
    <n v="75000"/>
    <m/>
    <n v="2"/>
    <x v="2"/>
    <n v="18.579999999999998"/>
    <n v="23"/>
    <x v="4"/>
    <s v="落合駅"/>
    <n v="12"/>
    <n v="13"/>
    <n v="139800.48000000001"/>
    <n v="95329.65"/>
    <n v="420"/>
    <n v="1622"/>
    <s v="10-20"/>
    <x v="1"/>
  </r>
  <r>
    <s v="https://suumo.jp/chintai/jnc_000103536055/?bc=100478467155"/>
    <s v="GRANT HOMES 上落合"/>
    <s v="東京都新宿区上落合３"/>
    <n v="105000"/>
    <n v="3000"/>
    <n v="105000"/>
    <n v="105000"/>
    <n v="2"/>
    <x v="3"/>
    <n v="31.7"/>
    <n v="8"/>
    <x v="2"/>
    <s v="落合駅"/>
    <n v="2"/>
    <n v="6.33"/>
    <n v="139800.48000000001"/>
    <n v="168453.81"/>
    <n v="420"/>
    <n v="788"/>
    <s v="30-40"/>
    <x v="0"/>
  </r>
  <r>
    <s v="https://suumo.jp/chintai/jnc_000103771414/?bc=100480429962"/>
    <s v="Tテラス"/>
    <s v="東京都中野区上高田１"/>
    <n v="123000"/>
    <m/>
    <n v="123000"/>
    <n v="123000"/>
    <n v="1"/>
    <x v="3"/>
    <n v="31.97"/>
    <n v="3"/>
    <x v="0"/>
    <s v="落合駅"/>
    <n v="8"/>
    <n v="9.33"/>
    <n v="139800.48000000001"/>
    <n v="168453.81"/>
    <n v="420"/>
    <n v="788"/>
    <s v="30-40"/>
    <x v="0"/>
  </r>
  <r>
    <s v="https://suumo.jp/chintai/jnc_000104149215/?bc=100479824950"/>
    <s v="アールレジデンス東中野"/>
    <s v="東京都中野区東中野４"/>
    <n v="160000"/>
    <n v="10000"/>
    <n v="160000"/>
    <n v="160000"/>
    <n v="10"/>
    <x v="3"/>
    <n v="41.31"/>
    <n v="17"/>
    <x v="8"/>
    <s v="落合駅"/>
    <n v="1"/>
    <n v="4"/>
    <n v="139800.48000000001"/>
    <n v="168453.81"/>
    <n v="420"/>
    <n v="788"/>
    <s v="40-50"/>
    <x v="7"/>
  </r>
  <r>
    <s v="https://suumo.jp/chintai/jnc_000104107297/?bc=100473945140"/>
    <s v="エルミ上落合"/>
    <s v="東京都新宿区上落合３"/>
    <n v="170000"/>
    <n v="20000"/>
    <n v="170000"/>
    <n v="170000"/>
    <n v="1"/>
    <x v="3"/>
    <n v="39.06"/>
    <n v="0"/>
    <x v="4"/>
    <s v="落合駅"/>
    <n v="6"/>
    <n v="8"/>
    <n v="139800.48000000001"/>
    <n v="168453.81"/>
    <n v="420"/>
    <n v="788"/>
    <s v="30-40"/>
    <x v="6"/>
  </r>
  <r>
    <s v="https://suumo.jp/chintai/jnc_000103089839/?bc=100473945072"/>
    <s v="エルミ上落合"/>
    <s v="東京都新宿区上落合３"/>
    <n v="183000"/>
    <n v="15000"/>
    <n v="183000"/>
    <n v="183000"/>
    <n v="1"/>
    <x v="3"/>
    <n v="39.06"/>
    <n v="0"/>
    <x v="4"/>
    <s v="落合駅"/>
    <n v="6"/>
    <n v="8"/>
    <n v="139800.48000000001"/>
    <n v="168453.81"/>
    <n v="420"/>
    <n v="788"/>
    <s v="30-40"/>
    <x v="6"/>
  </r>
  <r>
    <s v="https://suumo.jp/chintai/jnc_000104132233/?bc=100483398042"/>
    <s v="エルミ上落合"/>
    <s v="東京都新宿区上落合３"/>
    <n v="178000"/>
    <n v="20000"/>
    <n v="178000"/>
    <n v="178000"/>
    <n v="2"/>
    <x v="3"/>
    <n v="39.06"/>
    <n v="0"/>
    <x v="4"/>
    <s v="落合駅"/>
    <n v="6"/>
    <n v="8"/>
    <n v="139800.48000000001"/>
    <n v="168453.81"/>
    <n v="420"/>
    <n v="788"/>
    <s v="30-40"/>
    <x v="6"/>
  </r>
  <r>
    <s v="https://suumo.jp/chintai/jnc_000102887598/?bc=100485047850"/>
    <s v="オークレール上落合"/>
    <s v="東京都新宿区上落合２"/>
    <n v="148000"/>
    <n v="6000"/>
    <n v="148000"/>
    <n v="148000"/>
    <n v="2"/>
    <x v="3"/>
    <n v="37.53"/>
    <n v="2"/>
    <x v="4"/>
    <s v="落合駅"/>
    <n v="4"/>
    <n v="7"/>
    <n v="139800.48000000001"/>
    <n v="168453.81"/>
    <n v="420"/>
    <n v="788"/>
    <s v="30-40"/>
    <x v="0"/>
  </r>
  <r>
    <s v="https://suumo.jp/chintai/jnc_000103903345/?bc=100482088928"/>
    <s v="ガーデンコートアネックス"/>
    <s v="東京都新宿区上落合２"/>
    <n v="147000"/>
    <m/>
    <n v="147000"/>
    <n v="176400"/>
    <n v="1"/>
    <x v="3"/>
    <n v="33.32"/>
    <n v="12"/>
    <x v="2"/>
    <s v="落合駅"/>
    <n v="3"/>
    <n v="6.33"/>
    <n v="139800.48000000001"/>
    <n v="168453.81"/>
    <n v="420"/>
    <n v="788"/>
    <s v="30-40"/>
    <x v="7"/>
  </r>
  <r>
    <s v="https://suumo.jp/chintai/jnc_000103947307/?bc=100475235462"/>
    <s v="ガーデンコートアネックス"/>
    <s v="東京都新宿区上落合２"/>
    <n v="187000"/>
    <m/>
    <n v="187000"/>
    <m/>
    <n v="3"/>
    <x v="3"/>
    <n v="42.36"/>
    <n v="12"/>
    <x v="2"/>
    <s v="落合駅"/>
    <n v="3"/>
    <n v="6.33"/>
    <n v="139800.48000000001"/>
    <n v="168453.81"/>
    <n v="420"/>
    <n v="788"/>
    <s v="40-50"/>
    <x v="7"/>
  </r>
  <r>
    <s v="https://suumo.jp/chintai/jnc_000103416002/?bc=100480860497"/>
    <s v="ガーデンコートアネックス"/>
    <s v="東京都新宿区上落合２"/>
    <n v="190000"/>
    <m/>
    <n v="190000"/>
    <n v="228000"/>
    <n v="3"/>
    <x v="3"/>
    <n v="42.36"/>
    <n v="12"/>
    <x v="2"/>
    <s v="落合駅"/>
    <n v="3"/>
    <n v="6.33"/>
    <n v="139800.48000000001"/>
    <n v="168453.81"/>
    <n v="420"/>
    <n v="788"/>
    <s v="40-50"/>
    <x v="7"/>
  </r>
  <r>
    <s v="https://suumo.jp/chintai/jnc_000102108491/?bc=100472252027"/>
    <s v="クレール上落合"/>
    <s v="東京都新宿区上落合２"/>
    <n v="153000"/>
    <n v="7000"/>
    <m/>
    <n v="229500"/>
    <n v="1"/>
    <x v="3"/>
    <n v="41.53"/>
    <n v="15"/>
    <x v="0"/>
    <s v="落合駅"/>
    <n v="3"/>
    <n v="5.67"/>
    <n v="139800.48000000001"/>
    <n v="168453.81"/>
    <n v="420"/>
    <n v="788"/>
    <s v="40-50"/>
    <x v="7"/>
  </r>
  <r>
    <s v="https://suumo.jp/chintai/jnc_000101104879/?bc=100456895160"/>
    <s v="コンフォリア・リヴ東中野"/>
    <s v="東京都中野区上高田１"/>
    <n v="226000"/>
    <n v="15000"/>
    <n v="226000"/>
    <m/>
    <n v="1"/>
    <x v="3"/>
    <n v="40.32"/>
    <n v="0"/>
    <x v="4"/>
    <s v="落合駅"/>
    <n v="9"/>
    <n v="9.67"/>
    <n v="139800.48000000001"/>
    <n v="168453.81"/>
    <n v="420"/>
    <n v="788"/>
    <s v="40-50"/>
    <x v="6"/>
  </r>
  <r>
    <s v="https://suumo.jp/chintai/jnc_000103690577/?bc=100484531199"/>
    <s v="コンフォリア・リヴ東中野"/>
    <s v="東京都中野区上高田１"/>
    <n v="220000"/>
    <n v="15000"/>
    <n v="220000"/>
    <m/>
    <n v="2"/>
    <x v="3"/>
    <n v="40.32"/>
    <n v="0"/>
    <x v="4"/>
    <s v="落合駅"/>
    <n v="9"/>
    <n v="9.67"/>
    <n v="139800.48000000001"/>
    <n v="168453.81"/>
    <n v="420"/>
    <n v="788"/>
    <s v="40-50"/>
    <x v="6"/>
  </r>
  <r>
    <s v="https://suumo.jp/chintai/jnc_000101180685/?bc=100479800306"/>
    <s v="コンフォリア・リヴ東中野"/>
    <s v="東京都中野区上高田１"/>
    <n v="222000"/>
    <n v="15000"/>
    <n v="222000"/>
    <m/>
    <n v="2"/>
    <x v="3"/>
    <n v="40.6"/>
    <n v="0"/>
    <x v="4"/>
    <s v="落合駅"/>
    <n v="9"/>
    <n v="9.67"/>
    <n v="139800.48000000001"/>
    <n v="168453.81"/>
    <n v="420"/>
    <n v="788"/>
    <s v="40-50"/>
    <x v="6"/>
  </r>
  <r>
    <s v="https://suumo.jp/chintai/jnc_000101851830/?bc=100478343105"/>
    <s v="コンフォリア・リヴ東中野"/>
    <s v="東京都中野区上高田１"/>
    <n v="183000"/>
    <n v="10000"/>
    <n v="183000"/>
    <m/>
    <n v="3"/>
    <x v="3"/>
    <n v="32.479999999999997"/>
    <n v="0"/>
    <x v="4"/>
    <s v="落合駅"/>
    <n v="9"/>
    <n v="9.67"/>
    <n v="139800.48000000001"/>
    <n v="168453.81"/>
    <n v="420"/>
    <n v="788"/>
    <s v="30-40"/>
    <x v="6"/>
  </r>
  <r>
    <s v="https://suumo.jp/chintai/jnc_000103690578/?bc=100479906644"/>
    <s v="コンフォリア・リヴ東中野"/>
    <s v="東京都中野区上高田１"/>
    <n v="220000"/>
    <n v="15000"/>
    <n v="220000"/>
    <m/>
    <n v="3"/>
    <x v="3"/>
    <n v="40.32"/>
    <n v="0"/>
    <x v="4"/>
    <s v="落合駅"/>
    <n v="9"/>
    <n v="9.67"/>
    <n v="139800.48000000001"/>
    <n v="168453.81"/>
    <n v="420"/>
    <n v="788"/>
    <s v="40-50"/>
    <x v="6"/>
  </r>
  <r>
    <s v="https://suumo.jp/chintai/jnc_000101851828/?bc=100478114361"/>
    <s v="コンフォリア・リヴ東中野"/>
    <s v="東京都中野区上高田１"/>
    <n v="222000"/>
    <n v="15000"/>
    <n v="222000"/>
    <m/>
    <n v="3"/>
    <x v="3"/>
    <n v="40.6"/>
    <n v="0"/>
    <x v="4"/>
    <s v="落合駅"/>
    <n v="9"/>
    <n v="9.67"/>
    <n v="139800.48000000001"/>
    <n v="168453.81"/>
    <n v="420"/>
    <n v="788"/>
    <s v="40-50"/>
    <x v="6"/>
  </r>
  <r>
    <s v="https://suumo.jp/chintai/jnc_000103680780/?bc=100479022049"/>
    <s v="コンフォリア・リヴ東中野"/>
    <s v="東京都中野区上高田１"/>
    <n v="225000"/>
    <n v="15000"/>
    <n v="225000"/>
    <m/>
    <n v="3"/>
    <x v="3"/>
    <n v="40.6"/>
    <n v="0"/>
    <x v="4"/>
    <s v="落合駅"/>
    <n v="9"/>
    <n v="9.67"/>
    <n v="139800.48000000001"/>
    <n v="168453.81"/>
    <n v="420"/>
    <n v="788"/>
    <s v="40-50"/>
    <x v="6"/>
  </r>
  <r>
    <s v="https://suumo.jp/chintai/jnc_000101837761/?bc=100457499434"/>
    <s v="コンフォリア・リヴ東中野"/>
    <s v="東京都中野区上高田１"/>
    <n v="211000"/>
    <n v="15000"/>
    <n v="211000"/>
    <m/>
    <n v="-1"/>
    <x v="3"/>
    <n v="37.76"/>
    <n v="0"/>
    <x v="4"/>
    <s v="落合駅"/>
    <n v="9"/>
    <n v="9.67"/>
    <n v="139800.48000000001"/>
    <n v="168453.81"/>
    <n v="420"/>
    <n v="788"/>
    <s v="30-40"/>
    <x v="6"/>
  </r>
  <r>
    <s v="https://suumo.jp/chintai/jnc_000101104881/?bc=100473675904"/>
    <s v="コンフォリア・リヴ東中野"/>
    <s v="東京都中野区上高田１"/>
    <n v="213000"/>
    <n v="15000"/>
    <n v="213000"/>
    <m/>
    <n v="-1"/>
    <x v="3"/>
    <n v="37.76"/>
    <n v="0"/>
    <x v="4"/>
    <s v="落合駅"/>
    <n v="9"/>
    <n v="9.67"/>
    <n v="139800.48000000001"/>
    <n v="168453.81"/>
    <n v="420"/>
    <n v="788"/>
    <s v="30-40"/>
    <x v="6"/>
  </r>
  <r>
    <s v="https://suumo.jp/chintai/jnc_000101837760/?bc=100471514060"/>
    <s v="コンフォリア・リヴ東中野"/>
    <s v="東京都中野区上高田１"/>
    <n v="213000"/>
    <n v="15000"/>
    <n v="213000"/>
    <m/>
    <n v="-1"/>
    <x v="3"/>
    <n v="38.01"/>
    <n v="0"/>
    <x v="4"/>
    <s v="落合駅"/>
    <n v="9"/>
    <n v="9.67"/>
    <n v="139800.48000000001"/>
    <n v="168453.81"/>
    <n v="420"/>
    <n v="788"/>
    <s v="30-40"/>
    <x v="6"/>
  </r>
  <r>
    <s v="https://suumo.jp/chintai/jnc_000101837759/?bc=100457499432"/>
    <s v="コンフォリア・リヴ東中野"/>
    <s v="東京都中野区上高田１"/>
    <n v="224000"/>
    <n v="15000"/>
    <n v="224000"/>
    <m/>
    <n v="-1"/>
    <x v="3"/>
    <n v="40.32"/>
    <n v="0"/>
    <x v="4"/>
    <s v="落合駅"/>
    <n v="9"/>
    <n v="9.67"/>
    <n v="139800.48000000001"/>
    <n v="168453.81"/>
    <n v="420"/>
    <n v="788"/>
    <s v="40-50"/>
    <x v="6"/>
  </r>
  <r>
    <s v="https://suumo.jp/chintai/jnc_000103690572/?bc=100479877215"/>
    <s v="コンフォリア・リヴ東中野"/>
    <s v="東京都中野区上高田１"/>
    <n v="226000"/>
    <n v="15000"/>
    <n v="226000"/>
    <m/>
    <n v="-1"/>
    <x v="3"/>
    <n v="40.6"/>
    <n v="0"/>
    <x v="4"/>
    <s v="落合駅"/>
    <n v="9"/>
    <n v="9.67"/>
    <n v="139800.48000000001"/>
    <n v="168453.81"/>
    <n v="420"/>
    <n v="788"/>
    <s v="40-50"/>
    <x v="6"/>
  </r>
  <r>
    <s v="https://suumo.jp/chintai/jnc_000102312126/?bc=100481018692"/>
    <s v="サンファスト東中野"/>
    <s v="東京都新宿区上落合２"/>
    <n v="220000"/>
    <n v="8000"/>
    <n v="220000"/>
    <m/>
    <n v="1"/>
    <x v="3"/>
    <n v="47.7"/>
    <n v="59"/>
    <x v="7"/>
    <s v="落合駅"/>
    <n v="1"/>
    <n v="5"/>
    <n v="139800.48000000001"/>
    <n v="168453.81"/>
    <n v="420"/>
    <n v="788"/>
    <s v="40-50"/>
    <x v="5"/>
  </r>
  <r>
    <s v="https://suumo.jp/chintai/jnc_000103285440/?bc=100479401723"/>
    <s v="ステージファースト上落合"/>
    <s v="東京都新宿区上落合１"/>
    <n v="178000"/>
    <n v="10000"/>
    <n v="178000"/>
    <n v="356000"/>
    <n v="5"/>
    <x v="3"/>
    <n v="44.68"/>
    <n v="20"/>
    <x v="7"/>
    <s v="落合駅"/>
    <n v="5"/>
    <n v="9"/>
    <n v="139800.48000000001"/>
    <n v="168453.81"/>
    <n v="420"/>
    <n v="788"/>
    <s v="40-50"/>
    <x v="7"/>
  </r>
  <r>
    <s v="https://suumo.jp/chintai/jnc_000104474404/?bc=100485953928"/>
    <s v="セリオ落合東中野"/>
    <s v="東京都中野区東中野５"/>
    <n v="163000"/>
    <m/>
    <n v="163000"/>
    <n v="163000"/>
    <n v="4"/>
    <x v="3"/>
    <n v="39.85"/>
    <n v="12"/>
    <x v="1"/>
    <s v="落合駅"/>
    <n v="8"/>
    <n v="11.67"/>
    <n v="139800.48000000001"/>
    <n v="168453.81"/>
    <n v="420"/>
    <n v="788"/>
    <s v="30-40"/>
    <x v="7"/>
  </r>
  <r>
    <s v="https://suumo.jp/chintai/jnc_000098158435/?bc=100434675541"/>
    <s v="ノアズフラット"/>
    <s v="東京都新宿区上落合１"/>
    <n v="114000"/>
    <n v="3000"/>
    <n v="114000"/>
    <n v="114000"/>
    <n v="2"/>
    <x v="3"/>
    <n v="35.369999999999997"/>
    <n v="36"/>
    <x v="2"/>
    <s v="落合駅"/>
    <n v="5"/>
    <n v="7.33"/>
    <n v="139800.48000000001"/>
    <n v="168453.81"/>
    <n v="420"/>
    <n v="788"/>
    <s v="30-40"/>
    <x v="4"/>
  </r>
  <r>
    <s v="https://suumo.jp/chintai/jnc_000100517279/?bc=100465172962"/>
    <s v="フロレスタ"/>
    <s v="東京都中野区東中野５"/>
    <n v="160000"/>
    <n v="5000"/>
    <n v="160000"/>
    <n v="160000"/>
    <n v="1"/>
    <x v="3"/>
    <n v="46.47"/>
    <n v="27"/>
    <x v="2"/>
    <s v="落合駅"/>
    <n v="6"/>
    <n v="8.33"/>
    <n v="139800.48000000001"/>
    <n v="168453.81"/>
    <n v="420"/>
    <n v="788"/>
    <s v="40-50"/>
    <x v="1"/>
  </r>
  <r>
    <s v="https://suumo.jp/chintai/jnc_000100517279/?bc=100465172962"/>
    <s v="フロレスタ"/>
    <s v="東京都中野区東中野５"/>
    <n v="160000"/>
    <n v="5000"/>
    <n v="160000"/>
    <n v="160000"/>
    <n v="2"/>
    <x v="3"/>
    <n v="46.47"/>
    <n v="27"/>
    <x v="2"/>
    <s v="落合駅"/>
    <n v="6"/>
    <n v="8.33"/>
    <n v="139800.48000000001"/>
    <n v="168453.81"/>
    <n v="420"/>
    <n v="788"/>
    <s v="40-50"/>
    <x v="1"/>
  </r>
  <r>
    <s v="https://suumo.jp/chintai/jnc_000104499539/?bc=100486395291"/>
    <s v="プラウドフラット東中野"/>
    <s v="東京都中野区東中野５"/>
    <n v="199000"/>
    <n v="12000"/>
    <n v="199000"/>
    <n v="199000"/>
    <n v="8"/>
    <x v="3"/>
    <n v="40.61"/>
    <n v="11"/>
    <x v="1"/>
    <s v="落合駅"/>
    <n v="4"/>
    <n v="7"/>
    <n v="139800.48000000001"/>
    <n v="168453.81"/>
    <n v="420"/>
    <n v="788"/>
    <s v="40-50"/>
    <x v="7"/>
  </r>
  <r>
    <s v="https://suumo.jp/chintai/jnc_000102951930/?bc=100474786793"/>
    <s v="プラチナフォルム東中野"/>
    <s v="東京都中野区東中野４"/>
    <n v="179000"/>
    <n v="6000"/>
    <m/>
    <n v="268500"/>
    <n v="2"/>
    <x v="3"/>
    <n v="47.6"/>
    <n v="8"/>
    <x v="2"/>
    <s v="落合駅"/>
    <n v="3"/>
    <n v="8.33"/>
    <n v="139800.48000000001"/>
    <n v="168453.81"/>
    <n v="420"/>
    <n v="788"/>
    <s v="40-50"/>
    <x v="0"/>
  </r>
  <r>
    <s v="https://suumo.jp/chintai/jnc_000104492009/?bc=100441841151"/>
    <s v="ラ・テラス落合"/>
    <s v="東京都中野区東中野４"/>
    <n v="140000"/>
    <n v="6000"/>
    <n v="140000"/>
    <n v="140000"/>
    <n v="9"/>
    <x v="3"/>
    <n v="33.6"/>
    <n v="8"/>
    <x v="1"/>
    <s v="落合駅"/>
    <n v="1"/>
    <n v="5.33"/>
    <n v="139800.48000000001"/>
    <n v="168453.81"/>
    <n v="420"/>
    <n v="788"/>
    <s v="30-40"/>
    <x v="0"/>
  </r>
  <r>
    <s v="https://suumo.jp/chintai/jnc_000100870014/?bc=100477517871"/>
    <s v="リリエンベルグ弐番館"/>
    <s v="東京都中野区東中野３"/>
    <n v="168000"/>
    <n v="12000"/>
    <m/>
    <m/>
    <n v="7"/>
    <x v="3"/>
    <n v="40.26"/>
    <n v="20"/>
    <x v="6"/>
    <s v="落合駅"/>
    <n v="3"/>
    <n v="5.67"/>
    <n v="139800.48000000001"/>
    <n v="168453.81"/>
    <n v="420"/>
    <n v="788"/>
    <s v="40-50"/>
    <x v="7"/>
  </r>
  <r>
    <s v="https://suumo.jp/chintai/jnc_000096826749/?bc=100477342475"/>
    <s v="ルーアン"/>
    <s v="東京都中野区上高田１"/>
    <n v="145000"/>
    <n v="9000"/>
    <m/>
    <n v="80000"/>
    <n v="1"/>
    <x v="3"/>
    <n v="37.770000000000003"/>
    <n v="16"/>
    <x v="0"/>
    <s v="落合駅"/>
    <n v="9"/>
    <n v="9.67"/>
    <n v="139800.48000000001"/>
    <n v="168453.81"/>
    <n v="420"/>
    <n v="788"/>
    <s v="30-40"/>
    <x v="7"/>
  </r>
  <r>
    <s v="https://suumo.jp/chintai/jnc_000083638213/?bc=100480902524"/>
    <s v="レガリア東中野レジデンスWEST"/>
    <s v="東京都中野区東中野５"/>
    <n v="149000"/>
    <n v="16000"/>
    <n v="149000"/>
    <n v="149000"/>
    <n v="1"/>
    <x v="3"/>
    <n v="46"/>
    <n v="18"/>
    <x v="7"/>
    <s v="落合駅"/>
    <n v="6"/>
    <n v="8"/>
    <n v="139800.48000000001"/>
    <n v="168453.81"/>
    <n v="420"/>
    <n v="788"/>
    <s v="40-50"/>
    <x v="7"/>
  </r>
  <r>
    <s v="https://suumo.jp/chintai/jnc_000104162762/?bc=100483542948"/>
    <s v="レジディア高田馬場"/>
    <s v="東京都新宿区高田馬場４"/>
    <n v="170000"/>
    <n v="20000"/>
    <m/>
    <m/>
    <n v="2"/>
    <x v="3"/>
    <n v="30.96"/>
    <n v="2"/>
    <x v="5"/>
    <s v="落合駅"/>
    <n v="11"/>
    <n v="11.67"/>
    <n v="139800.48000000001"/>
    <n v="168453.81"/>
    <n v="420"/>
    <n v="788"/>
    <s v="30-40"/>
    <x v="0"/>
  </r>
  <r>
    <s v="https://suumo.jp/chintai/jnc_000103459016/?bc=100481593353"/>
    <s v="レジディア高田馬場"/>
    <s v="東京都新宿区高田馬場４"/>
    <n v="172000"/>
    <n v="20000"/>
    <m/>
    <m/>
    <n v="3"/>
    <x v="3"/>
    <n v="31.14"/>
    <n v="2"/>
    <x v="5"/>
    <s v="落合駅"/>
    <n v="11"/>
    <n v="11.67"/>
    <n v="139800.48000000001"/>
    <n v="168453.81"/>
    <n v="420"/>
    <n v="788"/>
    <s v="30-40"/>
    <x v="0"/>
  </r>
  <r>
    <s v="https://suumo.jp/chintai/jnc_000104316377/?bc=100484750983"/>
    <s v="レジディア高田馬場"/>
    <s v="東京都新宿区高田馬場４"/>
    <n v="173000"/>
    <n v="20000"/>
    <m/>
    <m/>
    <n v="5"/>
    <x v="3"/>
    <n v="31.11"/>
    <n v="2"/>
    <x v="5"/>
    <s v="落合駅"/>
    <n v="11"/>
    <n v="11.67"/>
    <n v="139800.48000000001"/>
    <n v="168453.81"/>
    <n v="420"/>
    <n v="788"/>
    <s v="30-40"/>
    <x v="0"/>
  </r>
  <r>
    <s v="https://suumo.jp/chintai/jnc_000103761998/?bc=100480421695"/>
    <s v="レジディア高田馬場"/>
    <s v="東京都新宿区高田馬場４"/>
    <n v="173000"/>
    <n v="20000"/>
    <m/>
    <m/>
    <n v="6"/>
    <x v="3"/>
    <n v="31.17"/>
    <n v="2"/>
    <x v="5"/>
    <s v="落合駅"/>
    <n v="11"/>
    <n v="11.67"/>
    <n v="139800.48000000001"/>
    <n v="168453.81"/>
    <n v="420"/>
    <n v="788"/>
    <s v="30-40"/>
    <x v="0"/>
  </r>
  <r>
    <s v="https://suumo.jp/chintai/jnc_000104261933/?bc=100484234149"/>
    <s v="上高田戸建"/>
    <s v="東京都中野区上高田１"/>
    <n v="135000"/>
    <m/>
    <n v="135000"/>
    <n v="135000"/>
    <n v="1"/>
    <x v="3"/>
    <n v="40.96"/>
    <n v="33"/>
    <x v="0"/>
    <s v="落合駅"/>
    <n v="8"/>
    <n v="9"/>
    <n v="139800.48000000001"/>
    <n v="168453.81"/>
    <n v="420"/>
    <n v="788"/>
    <s v="40-50"/>
    <x v="4"/>
  </r>
  <r>
    <s v="https://suumo.jp/chintai/jnc_000104261933/?bc=100484234149"/>
    <s v="上高田戸建"/>
    <s v="東京都中野区上高田１"/>
    <n v="135000"/>
    <m/>
    <n v="135000"/>
    <n v="135000"/>
    <n v="2"/>
    <x v="3"/>
    <n v="40.96"/>
    <n v="33"/>
    <x v="0"/>
    <s v="落合駅"/>
    <n v="8"/>
    <n v="9"/>
    <n v="139800.48000000001"/>
    <n v="168453.81"/>
    <n v="420"/>
    <n v="788"/>
    <s v="40-50"/>
    <x v="4"/>
  </r>
  <r>
    <s v="https://suumo.jp/chintai/jnc_000104398960/?bc=100485332143"/>
    <s v="村上邸"/>
    <s v="東京都新宿区上落合３"/>
    <n v="120000"/>
    <n v="5000"/>
    <n v="120000"/>
    <n v="120000"/>
    <n v="2"/>
    <x v="3"/>
    <n v="49.24"/>
    <n v="36"/>
    <x v="0"/>
    <s v="落合駅"/>
    <n v="4"/>
    <n v="6"/>
    <n v="139800.48000000001"/>
    <n v="168453.81"/>
    <n v="420"/>
    <n v="788"/>
    <s v="40-50"/>
    <x v="4"/>
  </r>
  <r>
    <s v="https://suumo.jp/chintai/jnc_000104499541/?bc=100486325940"/>
    <s v="東京メトロ東西線 落合駅 10階建 築12年"/>
    <s v="東京都中野区東中野５"/>
    <n v="163000"/>
    <m/>
    <n v="163000"/>
    <n v="163000"/>
    <n v="4"/>
    <x v="3"/>
    <n v="39.85"/>
    <n v="12"/>
    <x v="1"/>
    <s v="落合駅"/>
    <n v="7"/>
    <n v="10"/>
    <n v="139800.48000000001"/>
    <n v="168453.81"/>
    <n v="420"/>
    <n v="788"/>
    <s v="30-40"/>
    <x v="7"/>
  </r>
  <r>
    <s v="https://suumo.jp/chintai/jnc_000104525911/?bc=100486370990"/>
    <s v="東京メトロ東西線 落合駅 10階建 築12年"/>
    <s v="東京都中野区東中野５"/>
    <n v="199000"/>
    <n v="12000"/>
    <n v="199000"/>
    <n v="199000"/>
    <n v="8"/>
    <x v="3"/>
    <n v="40.61"/>
    <n v="12"/>
    <x v="1"/>
    <s v="落合駅"/>
    <n v="5"/>
    <n v="7.67"/>
    <n v="139800.48000000001"/>
    <n v="168453.81"/>
    <n v="420"/>
    <n v="788"/>
    <s v="40-50"/>
    <x v="7"/>
  </r>
  <r>
    <s v="https://suumo.jp/chintai/jnc_000103791976/?bc=100465929327"/>
    <s v="東京メトロ東西線 落合駅 10階建 築17年"/>
    <s v="東京都新宿区北新宿４"/>
    <n v="206000"/>
    <n v="13000"/>
    <n v="206000"/>
    <m/>
    <n v="1"/>
    <x v="3"/>
    <n v="44.31"/>
    <n v="17"/>
    <x v="1"/>
    <s v="落合駅"/>
    <n v="9"/>
    <n v="10.33"/>
    <n v="139800.48000000001"/>
    <n v="168453.81"/>
    <n v="420"/>
    <n v="788"/>
    <s v="40-50"/>
    <x v="7"/>
  </r>
  <r>
    <s v="https://suumo.jp/chintai/jnc_000102049928/?bc=100454606818"/>
    <s v="東京メトロ東西線 落合駅 10階建 築17年"/>
    <s v="東京都新宿区北新宿４"/>
    <n v="216000"/>
    <n v="13000"/>
    <n v="216000"/>
    <m/>
    <n v="1"/>
    <x v="3"/>
    <n v="44.31"/>
    <n v="17"/>
    <x v="1"/>
    <s v="落合駅"/>
    <n v="9"/>
    <n v="10.33"/>
    <n v="139800.48000000001"/>
    <n v="168453.81"/>
    <n v="420"/>
    <n v="788"/>
    <s v="40-50"/>
    <x v="7"/>
  </r>
  <r>
    <s v="https://suumo.jp/chintai/jnc_000104003325/?bc=100482100060"/>
    <s v="東京メトロ東西線 落合駅 10階建 築17年"/>
    <s v="東京都新宿区北新宿４"/>
    <n v="197000"/>
    <n v="13000"/>
    <n v="197000"/>
    <n v="197000"/>
    <n v="1"/>
    <x v="3"/>
    <n v="44.85"/>
    <n v="17"/>
    <x v="1"/>
    <s v="落合駅"/>
    <n v="9"/>
    <n v="10.33"/>
    <n v="139800.48000000001"/>
    <n v="168453.81"/>
    <n v="420"/>
    <n v="788"/>
    <s v="40-50"/>
    <x v="7"/>
  </r>
  <r>
    <s v="https://suumo.jp/chintai/jnc_000103791977/?bc=100465929360"/>
    <s v="東京メトロ東西線 落合駅 10階建 築17年"/>
    <s v="東京都新宿区北新宿４"/>
    <n v="212000"/>
    <n v="13000"/>
    <n v="212000"/>
    <m/>
    <n v="2"/>
    <x v="3"/>
    <n v="44.85"/>
    <n v="17"/>
    <x v="1"/>
    <s v="落合駅"/>
    <n v="9"/>
    <n v="10.33"/>
    <n v="139800.48000000001"/>
    <n v="168453.81"/>
    <n v="420"/>
    <n v="788"/>
    <s v="40-50"/>
    <x v="7"/>
  </r>
  <r>
    <s v="https://suumo.jp/chintai/jnc_000101358301/?bc=100459037153"/>
    <s v="東京メトロ東西線 落合駅 10階建 築17年"/>
    <s v="東京都新宿区北新宿４"/>
    <n v="228000"/>
    <n v="13000"/>
    <n v="228000"/>
    <m/>
    <n v="5"/>
    <x v="3"/>
    <n v="44.31"/>
    <n v="17"/>
    <x v="1"/>
    <s v="落合駅"/>
    <n v="9"/>
    <n v="10.33"/>
    <n v="139800.48000000001"/>
    <n v="168453.81"/>
    <n v="420"/>
    <n v="788"/>
    <s v="40-50"/>
    <x v="7"/>
  </r>
  <r>
    <s v="https://suumo.jp/chintai/jnc_000104149220/?bc=100480409760"/>
    <s v="東京メトロ東西線 落合駅 11階建 築19年"/>
    <s v="東京都中野区東中野４"/>
    <n v="160000"/>
    <n v="10000"/>
    <n v="160000"/>
    <n v="160000"/>
    <n v="10"/>
    <x v="3"/>
    <n v="41.31"/>
    <n v="19"/>
    <x v="8"/>
    <s v="落合駅"/>
    <n v="1"/>
    <n v="4"/>
    <n v="139800.48000000001"/>
    <n v="168453.81"/>
    <n v="420"/>
    <n v="788"/>
    <s v="40-50"/>
    <x v="7"/>
  </r>
  <r>
    <s v="https://suumo.jp/chintai/jnc_000103454481/?bc=100477725920"/>
    <s v="東京メトロ東西線 落合駅 13階建 築16年"/>
    <s v="東京都中野区東中野５"/>
    <n v="148000"/>
    <n v="15000"/>
    <n v="148000"/>
    <n v="148000"/>
    <n v="11"/>
    <x v="3"/>
    <n v="35.909999999999997"/>
    <n v="16"/>
    <x v="13"/>
    <s v="落合駅"/>
    <n v="3"/>
    <n v="8"/>
    <n v="139800.48000000001"/>
    <n v="168453.81"/>
    <n v="420"/>
    <n v="788"/>
    <s v="30-40"/>
    <x v="7"/>
  </r>
  <r>
    <s v="https://suumo.jp/chintai/jnc_000102186691/?bc=100472407520"/>
    <s v="東京メトロ東西線 落合駅 2階建 築15年"/>
    <s v="東京都新宿区上落合２"/>
    <n v="153000"/>
    <n v="7000"/>
    <m/>
    <n v="229500"/>
    <n v="1"/>
    <x v="3"/>
    <n v="41.53"/>
    <n v="15"/>
    <x v="0"/>
    <s v="落合駅"/>
    <n v="3"/>
    <n v="7"/>
    <n v="139800.48000000001"/>
    <n v="168453.81"/>
    <n v="420"/>
    <n v="788"/>
    <s v="40-50"/>
    <x v="7"/>
  </r>
  <r>
    <s v="https://suumo.jp/chintai/jnc_000101224221/?bc=100482679244"/>
    <s v="東京メトロ東西線 落合駅 3階建 新築"/>
    <s v="東京都中野区上高田１"/>
    <n v="213000"/>
    <n v="15000"/>
    <n v="213000"/>
    <m/>
    <n v="1"/>
    <x v="3"/>
    <n v="37.76"/>
    <n v="0"/>
    <x v="2"/>
    <s v="落合駅"/>
    <n v="9"/>
    <n v="11"/>
    <n v="139800.48000000001"/>
    <n v="168453.81"/>
    <n v="420"/>
    <n v="788"/>
    <s v="30-40"/>
    <x v="6"/>
  </r>
  <r>
    <s v="https://suumo.jp/chintai/jnc_000104125637/?bc=100484139488"/>
    <s v="東京メトロ東西線 落合駅 3階建 新築"/>
    <s v="東京都新宿区上落合３"/>
    <n v="139000"/>
    <n v="8000"/>
    <n v="139000"/>
    <n v="139000"/>
    <n v="1"/>
    <x v="3"/>
    <n v="40.229999999999997"/>
    <n v="0"/>
    <x v="2"/>
    <s v="落合駅"/>
    <n v="4"/>
    <n v="7"/>
    <n v="139800.48000000001"/>
    <n v="168453.81"/>
    <n v="420"/>
    <n v="788"/>
    <s v="40-50"/>
    <x v="6"/>
  </r>
  <r>
    <s v="https://suumo.jp/chintai/jnc_000104125638/?bc=100484139499"/>
    <s v="東京メトロ東西線 落合駅 3階建 新築"/>
    <s v="東京都新宿区上落合３"/>
    <n v="142000"/>
    <n v="8000"/>
    <n v="142000"/>
    <n v="142000"/>
    <n v="2"/>
    <x v="3"/>
    <n v="38.950000000000003"/>
    <n v="0"/>
    <x v="2"/>
    <s v="落合駅"/>
    <n v="4"/>
    <n v="7"/>
    <n v="139800.48000000001"/>
    <n v="168453.81"/>
    <n v="420"/>
    <n v="788"/>
    <s v="30-40"/>
    <x v="6"/>
  </r>
  <r>
    <s v="https://suumo.jp/chintai/jnc_000103695153/?bc=100479799207"/>
    <s v="東京メトロ東西線 落合駅 3階建 新築"/>
    <s v="東京都中野区上高田１"/>
    <n v="220000"/>
    <n v="15000"/>
    <n v="220000"/>
    <m/>
    <n v="2"/>
    <x v="3"/>
    <n v="40.32"/>
    <n v="0"/>
    <x v="2"/>
    <s v="落合駅"/>
    <n v="9"/>
    <n v="11"/>
    <n v="139800.48000000001"/>
    <n v="168453.81"/>
    <n v="420"/>
    <n v="788"/>
    <s v="40-50"/>
    <x v="6"/>
  </r>
  <r>
    <s v="https://suumo.jp/chintai/jnc_000101224223/?bc=100466221927"/>
    <s v="東京メトロ東西線 落合駅 3階建 新築"/>
    <s v="東京都中野区上高田１"/>
    <n v="222000"/>
    <n v="15000"/>
    <n v="222000"/>
    <m/>
    <n v="2"/>
    <x v="3"/>
    <n v="40.6"/>
    <n v="0"/>
    <x v="2"/>
    <s v="落合駅"/>
    <n v="9"/>
    <n v="11"/>
    <n v="139800.48000000001"/>
    <n v="168453.81"/>
    <n v="420"/>
    <n v="788"/>
    <s v="40-50"/>
    <x v="6"/>
  </r>
  <r>
    <s v="https://suumo.jp/chintai/jnc_000101917038/?bc=100477154755"/>
    <s v="東京メトロ東西線 落合駅 3階建 新築"/>
    <s v="東京都中野区上高田１"/>
    <n v="183000"/>
    <n v="10000"/>
    <n v="183000"/>
    <m/>
    <n v="3"/>
    <x v="3"/>
    <n v="32.479999999999997"/>
    <n v="0"/>
    <x v="2"/>
    <s v="落合駅"/>
    <n v="9"/>
    <n v="11"/>
    <n v="139800.48000000001"/>
    <n v="168453.81"/>
    <n v="420"/>
    <n v="788"/>
    <s v="30-40"/>
    <x v="6"/>
  </r>
  <r>
    <s v="https://suumo.jp/chintai/jnc_000104125639/?bc=100483490688"/>
    <s v="東京メトロ東西線 落合駅 3階建 新築"/>
    <s v="東京都新宿区上落合３"/>
    <n v="142000"/>
    <n v="8000"/>
    <n v="142000"/>
    <n v="142000"/>
    <n v="3"/>
    <x v="3"/>
    <n v="37.07"/>
    <n v="0"/>
    <x v="2"/>
    <s v="落合駅"/>
    <n v="4"/>
    <n v="7"/>
    <n v="139800.48000000001"/>
    <n v="168453.81"/>
    <n v="420"/>
    <n v="788"/>
    <s v="30-40"/>
    <x v="6"/>
  </r>
  <r>
    <s v="https://suumo.jp/chintai/jnc_000103695154/?bc=100479799206"/>
    <s v="東京メトロ東西線 落合駅 3階建 新築"/>
    <s v="東京都中野区上高田１"/>
    <n v="220000"/>
    <n v="15000"/>
    <n v="220000"/>
    <m/>
    <n v="3"/>
    <x v="3"/>
    <n v="40.32"/>
    <n v="0"/>
    <x v="2"/>
    <s v="落合駅"/>
    <n v="9"/>
    <n v="11"/>
    <n v="139800.48000000001"/>
    <n v="168453.81"/>
    <n v="420"/>
    <n v="788"/>
    <s v="40-50"/>
    <x v="6"/>
  </r>
  <r>
    <s v="https://suumo.jp/chintai/jnc_000103695155/?bc=100472260496"/>
    <s v="東京メトロ東西線 落合駅 3階建 新築"/>
    <s v="東京都中野区上高田１"/>
    <n v="225000"/>
    <n v="15000"/>
    <n v="225000"/>
    <m/>
    <n v="3"/>
    <x v="3"/>
    <n v="40.6"/>
    <n v="0"/>
    <x v="2"/>
    <s v="落合駅"/>
    <n v="9"/>
    <n v="11"/>
    <n v="139800.48000000001"/>
    <n v="168453.81"/>
    <n v="420"/>
    <n v="788"/>
    <s v="40-50"/>
    <x v="6"/>
  </r>
  <r>
    <s v="https://suumo.jp/chintai/jnc_000101864564/?bc=100478218356"/>
    <s v="東京メトロ東西線 落合駅 3階建 新築"/>
    <s v="東京都中野区上高田１"/>
    <n v="213000"/>
    <n v="15000"/>
    <n v="213000"/>
    <m/>
    <n v="-1"/>
    <x v="3"/>
    <n v="38.01"/>
    <n v="0"/>
    <x v="2"/>
    <s v="落合駅"/>
    <n v="9"/>
    <n v="11"/>
    <n v="139800.48000000001"/>
    <n v="168453.81"/>
    <n v="420"/>
    <n v="788"/>
    <s v="30-40"/>
    <x v="6"/>
  </r>
  <r>
    <s v="https://suumo.jp/chintai/jnc_000101224219/?bc=100473972814"/>
    <s v="東京メトロ東西線 落合駅 3階建 新築"/>
    <s v="東京都中野区上高田１"/>
    <n v="226000"/>
    <n v="15000"/>
    <n v="226000"/>
    <m/>
    <n v="-1"/>
    <x v="3"/>
    <n v="40.32"/>
    <n v="0"/>
    <x v="2"/>
    <s v="落合駅"/>
    <n v="9"/>
    <n v="11"/>
    <n v="139800.48000000001"/>
    <n v="168453.81"/>
    <n v="420"/>
    <n v="788"/>
    <s v="40-50"/>
    <x v="6"/>
  </r>
  <r>
    <s v="https://suumo.jp/chintai/jnc_000104028791/?bc=100480992981"/>
    <s v="東京メトロ東西線 落合駅 3階建 築12年"/>
    <s v="東京都新宿区上落合２"/>
    <n v="187000"/>
    <m/>
    <n v="187000"/>
    <n v="187000"/>
    <n v="3"/>
    <x v="3"/>
    <n v="42.36"/>
    <n v="12"/>
    <x v="2"/>
    <s v="落合駅"/>
    <n v="3"/>
    <n v="6.67"/>
    <n v="139800.48000000001"/>
    <n v="168453.81"/>
    <n v="420"/>
    <n v="788"/>
    <s v="40-50"/>
    <x v="7"/>
  </r>
  <r>
    <s v="https://suumo.jp/chintai/jnc_000103424079/?bc=100480789676"/>
    <s v="東京メトロ東西線 落合駅 3階建 築12年"/>
    <s v="東京都新宿区上落合２"/>
    <n v="190000"/>
    <m/>
    <n v="190000"/>
    <n v="228000"/>
    <n v="3"/>
    <x v="3"/>
    <n v="42.36"/>
    <n v="12"/>
    <x v="2"/>
    <s v="落合駅"/>
    <n v="3"/>
    <n v="6.67"/>
    <n v="139800.48000000001"/>
    <n v="168453.81"/>
    <n v="420"/>
    <n v="788"/>
    <s v="40-50"/>
    <x v="7"/>
  </r>
  <r>
    <s v="https://suumo.jp/chintai/jnc_000098164902/?bc=100486282120"/>
    <s v="東京メトロ東西線 落合駅 3階建 築35年"/>
    <s v="東京都新宿区上落合１"/>
    <n v="114000"/>
    <n v="3000"/>
    <n v="114000"/>
    <n v="114000"/>
    <n v="2"/>
    <x v="3"/>
    <n v="35.369999999999997"/>
    <n v="35"/>
    <x v="2"/>
    <s v="落合駅"/>
    <n v="5"/>
    <n v="7.33"/>
    <n v="139800.48000000001"/>
    <n v="168453.81"/>
    <n v="420"/>
    <n v="788"/>
    <s v="30-40"/>
    <x v="4"/>
  </r>
  <r>
    <s v="https://suumo.jp/chintai/jnc_000103530295/?bc=100479032289"/>
    <s v="東京メトロ東西線 落合駅 3階建 築7年"/>
    <s v="東京都新宿区上落合３"/>
    <n v="105000"/>
    <n v="3000"/>
    <n v="105000"/>
    <n v="105000"/>
    <n v="2"/>
    <x v="3"/>
    <n v="31.7"/>
    <n v="7"/>
    <x v="2"/>
    <s v="落合駅"/>
    <n v="2"/>
    <n v="6.33"/>
    <n v="139800.48000000001"/>
    <n v="168453.81"/>
    <n v="420"/>
    <n v="788"/>
    <s v="30-40"/>
    <x v="0"/>
  </r>
  <r>
    <s v="https://suumo.jp/chintai/jnc_000102966649/?bc=100482934598"/>
    <s v="東京メトロ東西線 落合駅 4階建 新築"/>
    <s v="東京都新宿区上落合３"/>
    <n v="168000"/>
    <n v="15000"/>
    <n v="168000"/>
    <n v="168000"/>
    <n v="1"/>
    <x v="3"/>
    <n v="39.06"/>
    <n v="0"/>
    <x v="4"/>
    <s v="落合駅"/>
    <n v="3"/>
    <n v="7.67"/>
    <n v="139800.48000000001"/>
    <n v="168453.81"/>
    <n v="420"/>
    <n v="788"/>
    <s v="30-40"/>
    <x v="6"/>
  </r>
  <r>
    <s v="https://suumo.jp/chintai/jnc_000104138607/?bc=100473921622"/>
    <s v="東京メトロ東西線 落合駅 4階建 新築"/>
    <s v="東京都新宿区上落合３"/>
    <n v="170000"/>
    <n v="20000"/>
    <n v="170000"/>
    <n v="170000"/>
    <n v="1"/>
    <x v="3"/>
    <n v="39.06"/>
    <n v="0"/>
    <x v="4"/>
    <s v="落合駅"/>
    <n v="3"/>
    <n v="7.67"/>
    <n v="139800.48000000001"/>
    <n v="168453.81"/>
    <n v="420"/>
    <n v="788"/>
    <s v="30-40"/>
    <x v="6"/>
  </r>
  <r>
    <s v="https://suumo.jp/chintai/jnc_000103094751/?bc=100473948592"/>
    <s v="東京メトロ東西線 落合駅 4階建 新築"/>
    <s v="東京都新宿区上落合３"/>
    <n v="183000"/>
    <n v="15000"/>
    <n v="183000"/>
    <n v="183000"/>
    <n v="1"/>
    <x v="3"/>
    <n v="39.06"/>
    <n v="0"/>
    <x v="4"/>
    <s v="落合駅"/>
    <n v="3"/>
    <n v="7.67"/>
    <n v="139800.48000000001"/>
    <n v="168453.81"/>
    <n v="420"/>
    <n v="788"/>
    <s v="30-40"/>
    <x v="6"/>
  </r>
  <r>
    <s v="https://suumo.jp/chintai/jnc_000104169943/?bc=100483949366"/>
    <s v="東京メトロ東西線 落合駅 4階建 新築"/>
    <s v="東京都新宿区上落合３"/>
    <n v="178000"/>
    <n v="20000"/>
    <n v="178000"/>
    <n v="178000"/>
    <n v="2"/>
    <x v="3"/>
    <n v="39.06"/>
    <n v="0"/>
    <x v="4"/>
    <s v="落合駅"/>
    <n v="3"/>
    <n v="7.67"/>
    <n v="139800.48000000001"/>
    <n v="168453.81"/>
    <n v="420"/>
    <n v="788"/>
    <s v="30-40"/>
    <x v="6"/>
  </r>
  <r>
    <s v="https://suumo.jp/chintai/jnc_000102887599/?bc=100483284115"/>
    <s v="東京メトロ東西線 落合駅 4階建 築2年"/>
    <s v="東京都新宿区上落合２"/>
    <n v="148000"/>
    <n v="6000"/>
    <n v="148000"/>
    <n v="148000"/>
    <n v="2"/>
    <x v="3"/>
    <n v="37.53"/>
    <n v="2"/>
    <x v="4"/>
    <s v="落合駅"/>
    <n v="4"/>
    <n v="7"/>
    <n v="139800.48000000001"/>
    <n v="168453.81"/>
    <n v="420"/>
    <n v="788"/>
    <s v="30-40"/>
    <x v="0"/>
  </r>
  <r>
    <s v="https://suumo.jp/chintai/jnc_000103938129/?bc=100481742385"/>
    <s v="東京メトロ東西線 落合駅 5階建 築20年"/>
    <s v="東京都中野区東中野５"/>
    <n v="148000"/>
    <n v="5000"/>
    <n v="148000"/>
    <n v="148000"/>
    <n v="4"/>
    <x v="3"/>
    <n v="47.65"/>
    <n v="20"/>
    <x v="7"/>
    <s v="落合駅"/>
    <n v="8"/>
    <n v="9.67"/>
    <n v="139800.48000000001"/>
    <n v="168453.81"/>
    <n v="420"/>
    <n v="788"/>
    <s v="40-50"/>
    <x v="7"/>
  </r>
  <r>
    <s v="https://suumo.jp/chintai/jnc_000103938129/?bc=100481742385"/>
    <s v="東京メトロ東西線 落合駅 5階建 築20年"/>
    <s v="東京都中野区東中野５"/>
    <n v="148000"/>
    <n v="5000"/>
    <n v="148000"/>
    <n v="148000"/>
    <n v="5"/>
    <x v="3"/>
    <n v="47.65"/>
    <n v="20"/>
    <x v="7"/>
    <s v="落合駅"/>
    <n v="8"/>
    <n v="9.67"/>
    <n v="139800.48000000001"/>
    <n v="168453.81"/>
    <n v="420"/>
    <n v="788"/>
    <s v="40-50"/>
    <x v="7"/>
  </r>
  <r>
    <s v="https://suumo.jp/chintai/jnc_000102627531/?bc=100469632395"/>
    <s v="東京メトロ東西線 落合駅 5階建 築20年"/>
    <s v="東京都中野区東中野５"/>
    <n v="148000"/>
    <n v="5000"/>
    <n v="148000"/>
    <n v="148000"/>
    <n v="4"/>
    <x v="3"/>
    <n v="45.03"/>
    <n v="20"/>
    <x v="7"/>
    <s v="落合駅"/>
    <n v="8"/>
    <n v="9.67"/>
    <n v="139800.48000000001"/>
    <n v="168453.81"/>
    <n v="420"/>
    <n v="788"/>
    <s v="40-50"/>
    <x v="7"/>
  </r>
  <r>
    <s v="https://suumo.jp/chintai/jnc_000103306697/?bc=100480028205"/>
    <s v="東京メトロ東西線 落合駅 5階建 築20年"/>
    <s v="東京都新宿区上落合１"/>
    <n v="178000"/>
    <n v="10000"/>
    <n v="178000"/>
    <n v="356000"/>
    <n v="5"/>
    <x v="3"/>
    <n v="44.68"/>
    <n v="20"/>
    <x v="7"/>
    <s v="落合駅"/>
    <n v="5"/>
    <n v="7.33"/>
    <n v="139800.48000000001"/>
    <n v="168453.81"/>
    <n v="420"/>
    <n v="788"/>
    <s v="40-50"/>
    <x v="7"/>
  </r>
  <r>
    <s v="https://suumo.jp/chintai/jnc_000102312127/?bc=100481190313"/>
    <s v="東京メトロ東西線 落合駅 5階建 築59年"/>
    <s v="東京都新宿区上落合２"/>
    <n v="220000"/>
    <n v="8000"/>
    <n v="220000"/>
    <m/>
    <n v="1"/>
    <x v="3"/>
    <n v="47.7"/>
    <n v="59"/>
    <x v="7"/>
    <s v="落合駅"/>
    <n v="4"/>
    <n v="7"/>
    <n v="139800.48000000001"/>
    <n v="168453.81"/>
    <n v="420"/>
    <n v="788"/>
    <s v="40-50"/>
    <x v="5"/>
  </r>
  <r>
    <s v="https://suumo.jp/chintai/jnc_000104178864/?bc=100483768086"/>
    <s v="東京メトロ東西線 落合駅 6階建 築3年"/>
    <s v="東京都新宿区高田馬場４"/>
    <n v="170000"/>
    <n v="20000"/>
    <m/>
    <m/>
    <n v="2"/>
    <x v="3"/>
    <n v="30.96"/>
    <n v="3"/>
    <x v="5"/>
    <s v="落合駅"/>
    <n v="11"/>
    <n v="11.67"/>
    <n v="139800.48000000001"/>
    <n v="168453.81"/>
    <n v="420"/>
    <n v="788"/>
    <s v="30-40"/>
    <x v="0"/>
  </r>
  <r>
    <s v="https://suumo.jp/chintai/jnc_000103473418/?bc=100477772063"/>
    <s v="東京メトロ東西線 落合駅 6階建 築3年"/>
    <s v="東京都新宿区高田馬場４"/>
    <n v="172000"/>
    <n v="20000"/>
    <m/>
    <m/>
    <n v="3"/>
    <x v="3"/>
    <n v="31.14"/>
    <n v="3"/>
    <x v="5"/>
    <s v="落合駅"/>
    <n v="11"/>
    <n v="11.67"/>
    <n v="139800.48000000001"/>
    <n v="168453.81"/>
    <n v="420"/>
    <n v="788"/>
    <s v="30-40"/>
    <x v="0"/>
  </r>
  <r>
    <s v="https://suumo.jp/chintai/jnc_000104326029/?bc=100484921725"/>
    <s v="東京メトロ東西線 落合駅 6階建 築3年"/>
    <s v="東京都新宿区高田馬場４"/>
    <n v="173000"/>
    <n v="20000"/>
    <m/>
    <m/>
    <n v="5"/>
    <x v="3"/>
    <n v="31.11"/>
    <n v="3"/>
    <x v="5"/>
    <s v="落合駅"/>
    <n v="11"/>
    <n v="11.67"/>
    <n v="139800.48000000001"/>
    <n v="168453.81"/>
    <n v="420"/>
    <n v="788"/>
    <s v="30-40"/>
    <x v="0"/>
  </r>
  <r>
    <s v="https://suumo.jp/chintai/jnc_000103791988/?bc=100480564564"/>
    <s v="東京メトロ東西線 落合駅 6階建 築3年"/>
    <s v="東京都新宿区高田馬場４"/>
    <n v="173000"/>
    <n v="20000"/>
    <m/>
    <m/>
    <n v="6"/>
    <x v="3"/>
    <n v="31.17"/>
    <n v="3"/>
    <x v="5"/>
    <s v="落合駅"/>
    <n v="11"/>
    <n v="11.67"/>
    <n v="139800.48000000001"/>
    <n v="168453.81"/>
    <n v="420"/>
    <n v="788"/>
    <s v="30-40"/>
    <x v="0"/>
  </r>
  <r>
    <s v="https://suumo.jp/chintai/jnc_000100872906/?bc=100481489892"/>
    <s v="東京メトロ東西線 落合駅 9階建 築20年"/>
    <s v="東京都中野区東中野３"/>
    <n v="168000"/>
    <n v="12000"/>
    <m/>
    <m/>
    <n v="7"/>
    <x v="3"/>
    <n v="40.26"/>
    <n v="20"/>
    <x v="6"/>
    <s v="落合駅"/>
    <n v="3"/>
    <n v="5.67"/>
    <n v="139800.48000000001"/>
    <n v="168453.81"/>
    <n v="420"/>
    <n v="788"/>
    <s v="40-50"/>
    <x v="7"/>
  </r>
  <r>
    <s v="https://suumo.jp/chintai/jnc_000083638214/?bc=100475328300"/>
    <s v="東京メトロ東西線 落合駅 地下1地上3階建 築18年"/>
    <s v="東京都中野区東中野５"/>
    <n v="149000"/>
    <n v="16000"/>
    <n v="149000"/>
    <n v="149000"/>
    <n v="1"/>
    <x v="3"/>
    <n v="46"/>
    <n v="18"/>
    <x v="4"/>
    <s v="落合駅"/>
    <n v="6"/>
    <n v="8"/>
    <n v="139800.48000000001"/>
    <n v="168453.81"/>
    <n v="420"/>
    <n v="788"/>
    <s v="40-50"/>
    <x v="7"/>
  </r>
  <r>
    <s v="https://suumo.jp/chintai/jnc_000103771450/?bc=100483968396"/>
    <s v="石井ガーデンマンションI"/>
    <s v="東京都中野区東中野３"/>
    <n v="149000"/>
    <n v="2000"/>
    <n v="149000"/>
    <n v="149000"/>
    <n v="2"/>
    <x v="3"/>
    <n v="40"/>
    <n v="43"/>
    <x v="4"/>
    <s v="落合駅"/>
    <n v="2"/>
    <n v="4.33"/>
    <n v="139800.48000000001"/>
    <n v="168453.81"/>
    <n v="420"/>
    <n v="788"/>
    <s v="40-50"/>
    <x v="3"/>
  </r>
  <r>
    <s v="https://suumo.jp/chintai/jnc_000104265677/?bc=100480568380"/>
    <s v="ＪＲ中央線 東中野駅 3階建 築12年"/>
    <s v="東京都新宿区上落合２"/>
    <n v="187000"/>
    <m/>
    <n v="187000"/>
    <n v="187000"/>
    <n v="3"/>
    <x v="3"/>
    <n v="42.36"/>
    <n v="12"/>
    <x v="2"/>
    <s v="落合駅"/>
    <n v="3"/>
    <n v="6.33"/>
    <n v="139800.48000000001"/>
    <n v="168453.81"/>
    <n v="420"/>
    <n v="788"/>
    <s v="40-50"/>
    <x v="7"/>
  </r>
  <r>
    <s v="https://suumo.jp/chintai/jnc_000103644384/?bc=100447602402"/>
    <s v="ＪＲ総武線 東中野駅 1階建 築15年"/>
    <s v="東京都中野区上高田１"/>
    <n v="140000"/>
    <n v="8000"/>
    <m/>
    <n v="80000"/>
    <n v="1"/>
    <x v="3"/>
    <n v="37.770000000000003"/>
    <n v="15"/>
    <x v="16"/>
    <s v="落合駅"/>
    <n v="9"/>
    <n v="9.33"/>
    <n v="139800.48000000001"/>
    <n v="168453.81"/>
    <n v="420"/>
    <n v="788"/>
    <s v="30-40"/>
    <x v="7"/>
  </r>
  <r>
    <s v="https://suumo.jp/chintai/jnc_000102979684/?bc=100473931854"/>
    <s v="ＪＲ総武線 東中野駅 3階建 築8年"/>
    <s v="東京都中野区東中野４"/>
    <n v="179000"/>
    <n v="6000"/>
    <m/>
    <n v="268500"/>
    <n v="1"/>
    <x v="3"/>
    <n v="47.6"/>
    <n v="8"/>
    <x v="2"/>
    <s v="落合駅"/>
    <n v="3"/>
    <n v="7.67"/>
    <n v="139800.48000000001"/>
    <n v="168453.81"/>
    <n v="420"/>
    <n v="788"/>
    <s v="40-50"/>
    <x v="0"/>
  </r>
  <r>
    <s v="https://suumo.jp/chintai/jnc_000102979684/?bc=100473931854"/>
    <s v="ＪＲ総武線 東中野駅 3階建 築8年"/>
    <s v="東京都中野区東中野４"/>
    <n v="179000"/>
    <n v="6000"/>
    <m/>
    <n v="268500"/>
    <n v="2"/>
    <x v="3"/>
    <n v="47.6"/>
    <n v="8"/>
    <x v="2"/>
    <s v="落合駅"/>
    <n v="3"/>
    <n v="7.67"/>
    <n v="139800.48000000001"/>
    <n v="168453.81"/>
    <n v="420"/>
    <n v="788"/>
    <s v="40-50"/>
    <x v="0"/>
  </r>
  <r>
    <s v="https://suumo.jp/chintai/jnc_000102979684/?bc=100473931854"/>
    <s v="ＪＲ総武線 東中野駅 3階建 築8年"/>
    <s v="東京都中野区東中野４"/>
    <n v="179000"/>
    <n v="6000"/>
    <m/>
    <n v="268500"/>
    <n v="3"/>
    <x v="3"/>
    <n v="47.6"/>
    <n v="8"/>
    <x v="2"/>
    <s v="落合駅"/>
    <n v="3"/>
    <n v="7.67"/>
    <n v="139800.48000000001"/>
    <n v="168453.81"/>
    <n v="420"/>
    <n v="788"/>
    <s v="40-50"/>
    <x v="0"/>
  </r>
  <r>
    <s v="https://suumo.jp/chintai/jnc_000104214951/?bc=100483888211"/>
    <s v="Ｌａｇｕｎａ　Ｓｅｃａ　（ラグナセカ）"/>
    <s v="東京都新宿区上落合３"/>
    <n v="139000"/>
    <n v="8000"/>
    <n v="139000"/>
    <n v="139000"/>
    <n v="1"/>
    <x v="3"/>
    <n v="40.229999999999997"/>
    <n v="0"/>
    <x v="2"/>
    <s v="落合駅"/>
    <n v="5"/>
    <n v="7.33"/>
    <n v="139800.48000000001"/>
    <n v="168453.81"/>
    <n v="420"/>
    <n v="788"/>
    <s v="40-50"/>
    <x v="6"/>
  </r>
  <r>
    <s v="https://suumo.jp/chintai/jnc_000104214952/?bc=100483888215"/>
    <s v="Ｌａｇｕｎａ　Ｓｅｃａ　（ラグナセカ）"/>
    <s v="東京都新宿区上落合３"/>
    <n v="142000"/>
    <n v="8000"/>
    <n v="142000"/>
    <n v="142000"/>
    <n v="2"/>
    <x v="3"/>
    <n v="38.950000000000003"/>
    <n v="0"/>
    <x v="2"/>
    <s v="落合駅"/>
    <n v="5"/>
    <n v="7.33"/>
    <n v="139800.48000000001"/>
    <n v="168453.81"/>
    <n v="420"/>
    <n v="788"/>
    <s v="30-40"/>
    <x v="6"/>
  </r>
  <r>
    <s v="https://suumo.jp/chintai/jnc_000104214953/?bc=100483888209"/>
    <s v="Ｌａｇｕｎａ　Ｓｅｃａ　（ラグナセカ）"/>
    <s v="東京都新宿区上落合３"/>
    <n v="142000"/>
    <n v="8000"/>
    <n v="142000"/>
    <n v="142000"/>
    <n v="3"/>
    <x v="3"/>
    <n v="37.07"/>
    <n v="0"/>
    <x v="2"/>
    <s v="落合駅"/>
    <n v="5"/>
    <n v="7.33"/>
    <n v="139800.48000000001"/>
    <n v="168453.81"/>
    <n v="420"/>
    <n v="788"/>
    <s v="30-40"/>
    <x v="6"/>
  </r>
  <r>
    <s v="https://suumo.jp/chintai/jnc_000103786800/?bc=100485875044"/>
    <s v="ＰＲＩＭＥ　ＵＲＢＡＮ　東中野　ＣＯＵＲＴ"/>
    <s v="東京都新宿区北新宿４"/>
    <n v="206000"/>
    <n v="13000"/>
    <n v="206000"/>
    <m/>
    <n v="1"/>
    <x v="3"/>
    <n v="44.31"/>
    <n v="17"/>
    <x v="8"/>
    <s v="落合駅"/>
    <n v="8"/>
    <n v="10.67"/>
    <n v="139800.48000000001"/>
    <n v="168453.81"/>
    <n v="420"/>
    <n v="788"/>
    <s v="40-50"/>
    <x v="7"/>
  </r>
  <r>
    <s v="https://suumo.jp/chintai/jnc_000102017116/?bc=100446137282"/>
    <s v="ＰＲＩＭＥ　ＵＲＢＡＮ　東中野　ＣＯＵＲＴ"/>
    <s v="東京都新宿区北新宿４"/>
    <n v="216000"/>
    <n v="13000"/>
    <n v="216000"/>
    <m/>
    <n v="1"/>
    <x v="3"/>
    <n v="44.31"/>
    <n v="17"/>
    <x v="8"/>
    <s v="落合駅"/>
    <n v="8"/>
    <n v="10.67"/>
    <n v="139800.48000000001"/>
    <n v="168453.81"/>
    <n v="420"/>
    <n v="788"/>
    <s v="40-50"/>
    <x v="7"/>
  </r>
  <r>
    <s v="https://suumo.jp/chintai/jnc_000103987140/?bc=100482165523"/>
    <s v="ＰＲＩＭＥ　ＵＲＢＡＮ　東中野　ＣＯＵＲＴ"/>
    <s v="東京都新宿区北新宿４"/>
    <n v="197000"/>
    <n v="13000"/>
    <n v="197000"/>
    <n v="197000"/>
    <n v="1"/>
    <x v="3"/>
    <n v="44.85"/>
    <n v="17"/>
    <x v="8"/>
    <s v="落合駅"/>
    <n v="8"/>
    <n v="10.67"/>
    <n v="139800.48000000001"/>
    <n v="168453.81"/>
    <n v="420"/>
    <n v="788"/>
    <s v="40-50"/>
    <x v="7"/>
  </r>
  <r>
    <s v="https://suumo.jp/chintai/jnc_000103786802/?bc=100459324115"/>
    <s v="ＰＲＩＭＥ　ＵＲＢＡＮ　東中野　ＣＯＵＲＴ"/>
    <s v="東京都新宿区北新宿４"/>
    <n v="212000"/>
    <n v="13000"/>
    <n v="212000"/>
    <m/>
    <n v="2"/>
    <x v="3"/>
    <n v="44.85"/>
    <n v="17"/>
    <x v="8"/>
    <s v="落合駅"/>
    <n v="8"/>
    <n v="10.67"/>
    <n v="139800.48000000001"/>
    <n v="168453.81"/>
    <n v="420"/>
    <n v="788"/>
    <s v="40-50"/>
    <x v="7"/>
  </r>
  <r>
    <s v="https://suumo.jp/chintai/jnc_000101344197/?bc=100459050273"/>
    <s v="ＰＲＩＭＥ　ＵＲＢＡＮ　東中野　ＣＯＵＲＴ"/>
    <s v="東京都新宿区北新宿４"/>
    <n v="228000"/>
    <n v="13000"/>
    <n v="228000"/>
    <m/>
    <n v="5"/>
    <x v="3"/>
    <n v="44.31"/>
    <n v="17"/>
    <x v="8"/>
    <s v="落合駅"/>
    <n v="8"/>
    <n v="10.67"/>
    <n v="139800.48000000001"/>
    <n v="168453.81"/>
    <n v="420"/>
    <n v="788"/>
    <s v="40-50"/>
    <x v="7"/>
  </r>
  <r>
    <s v="https://suumo.jp/chintai/jnc_000103929296/?bc=100481659038"/>
    <s v="ＲＥＳＩＤＥＮＣＥ東中野(レジデンス東中野)"/>
    <s v="東京都中野区東中野５"/>
    <n v="148000"/>
    <n v="5000"/>
    <n v="148000"/>
    <n v="148000"/>
    <n v="4"/>
    <x v="3"/>
    <n v="47.65"/>
    <n v="20"/>
    <x v="7"/>
    <s v="落合駅"/>
    <n v="8"/>
    <n v="9.67"/>
    <n v="139800.48000000001"/>
    <n v="168453.81"/>
    <n v="420"/>
    <n v="788"/>
    <s v="40-50"/>
    <x v="7"/>
  </r>
  <r>
    <s v="https://suumo.jp/chintai/jnc_000103929296/?bc=100481659038"/>
    <s v="ＲＥＳＩＤＥＮＣＥ東中野(レジデンス東中野)"/>
    <s v="東京都中野区東中野５"/>
    <n v="148000"/>
    <n v="5000"/>
    <n v="148000"/>
    <n v="148000"/>
    <n v="5"/>
    <x v="3"/>
    <n v="47.65"/>
    <n v="20"/>
    <x v="7"/>
    <s v="落合駅"/>
    <n v="8"/>
    <n v="9.67"/>
    <n v="139800.48000000001"/>
    <n v="168453.81"/>
    <n v="420"/>
    <n v="788"/>
    <s v="40-50"/>
    <x v="7"/>
  </r>
  <r>
    <s v="https://suumo.jp/chintai/jnc_000102405268/?bc=100469209458"/>
    <s v="ＲＥＳＩＤＥＮＣＥ東中野(レジデンス東中野)"/>
    <s v="東京都中野区東中野５"/>
    <n v="148000"/>
    <n v="5000"/>
    <n v="148000"/>
    <n v="148000"/>
    <n v="4"/>
    <x v="3"/>
    <n v="45.03"/>
    <n v="20"/>
    <x v="7"/>
    <s v="落合駅"/>
    <n v="8"/>
    <n v="9.67"/>
    <n v="139800.48000000001"/>
    <n v="168453.81"/>
    <n v="420"/>
    <n v="788"/>
    <s v="40-50"/>
    <x v="7"/>
  </r>
  <r>
    <s v="https://suumo.jp/chintai/jnc_000104117716/?bc=100483145830"/>
    <s v="FLORA東中野"/>
    <s v="東京都中野区東中野４"/>
    <n v="125000"/>
    <n v="10000"/>
    <n v="125000"/>
    <n v="125000"/>
    <n v="1"/>
    <x v="0"/>
    <n v="32.54"/>
    <n v="2"/>
    <x v="2"/>
    <s v="落合駅"/>
    <n v="2"/>
    <n v="5.67"/>
    <n v="139800.48000000001"/>
    <n v="77692.34"/>
    <n v="420"/>
    <n v="1071"/>
    <s v="30-40"/>
    <x v="0"/>
  </r>
  <r>
    <s v="https://suumo.jp/chintai/jnc_000102287542/?bc=100479306599"/>
    <s v="GRANT HOMES 上落合"/>
    <s v="東京都新宿区上落合３"/>
    <n v="89000"/>
    <n v="3000"/>
    <n v="89000"/>
    <n v="89000"/>
    <n v="3"/>
    <x v="0"/>
    <n v="30.26"/>
    <n v="8"/>
    <x v="2"/>
    <s v="落合駅"/>
    <n v="2"/>
    <n v="6.33"/>
    <n v="139800.48000000001"/>
    <n v="77692.34"/>
    <n v="420"/>
    <n v="1071"/>
    <s v="30-40"/>
    <x v="0"/>
  </r>
  <r>
    <s v="https://suumo.jp/chintai/jnc_000103994041/?bc=100482495139"/>
    <s v="MIURA-I"/>
    <s v="東京都新宿区上落合２"/>
    <n v="71000"/>
    <n v="4000"/>
    <m/>
    <n v="71000"/>
    <n v="1"/>
    <x v="0"/>
    <n v="14.52"/>
    <n v="11"/>
    <x v="0"/>
    <s v="落合駅"/>
    <n v="3"/>
    <n v="6.33"/>
    <n v="139800.48000000001"/>
    <n v="77692.34"/>
    <n v="420"/>
    <n v="1071"/>
    <s v="10-20"/>
    <x v="7"/>
  </r>
  <r>
    <s v="https://suumo.jp/chintai/jnc_000103994042/?bc=100482222526"/>
    <s v="MIURA-I"/>
    <s v="東京都新宿区上落合２"/>
    <n v="72000"/>
    <n v="4000"/>
    <m/>
    <n v="72000"/>
    <n v="2"/>
    <x v="0"/>
    <n v="19.18"/>
    <n v="11"/>
    <x v="0"/>
    <s v="落合駅"/>
    <n v="3"/>
    <n v="6.33"/>
    <n v="139800.48000000001"/>
    <n v="77692.34"/>
    <n v="420"/>
    <n v="1071"/>
    <s v="10-20"/>
    <x v="7"/>
  </r>
  <r>
    <s v="https://suumo.jp/chintai/jnc_000102710510/?bc=100471827100"/>
    <s v="RIOILHA"/>
    <s v="東京都中野区東中野４"/>
    <n v="111000"/>
    <n v="5000"/>
    <n v="222000"/>
    <n v="111000"/>
    <n v="9"/>
    <x v="0"/>
    <n v="26.37"/>
    <n v="10"/>
    <x v="1"/>
    <s v="落合駅"/>
    <n v="1"/>
    <n v="4.33"/>
    <n v="139800.48000000001"/>
    <n v="77692.34"/>
    <n v="420"/>
    <n v="1071"/>
    <s v="20-30"/>
    <x v="0"/>
  </r>
  <r>
    <s v="https://suumo.jp/chintai/jnc_000104116875/?bc=100483235326"/>
    <s v="T′s Cuore MUSE落合"/>
    <s v="東京都新宿区上落合１"/>
    <n v="153000"/>
    <n v="7000"/>
    <n v="153000"/>
    <m/>
    <n v="2"/>
    <x v="0"/>
    <n v="30.47"/>
    <n v="0"/>
    <x v="2"/>
    <s v="落合駅"/>
    <n v="6"/>
    <n v="8"/>
    <n v="139800.48000000001"/>
    <n v="77692.34"/>
    <n v="420"/>
    <n v="1071"/>
    <s v="30-40"/>
    <x v="6"/>
  </r>
  <r>
    <s v="https://suumo.jp/chintai/jnc_000104107292/?bc=100483110177"/>
    <s v="T′s Cuore MUSE落合"/>
    <s v="東京都新宿区上落合１"/>
    <n v="123000"/>
    <n v="7000"/>
    <n v="123000"/>
    <m/>
    <n v="3"/>
    <x v="0"/>
    <n v="21.17"/>
    <n v="0"/>
    <x v="2"/>
    <s v="落合駅"/>
    <n v="6"/>
    <n v="8"/>
    <n v="139800.48000000001"/>
    <n v="77692.34"/>
    <n v="420"/>
    <n v="1071"/>
    <s v="20-30"/>
    <x v="6"/>
  </r>
  <r>
    <s v="https://suumo.jp/chintai/jnc_000104116877/?bc=100483330230"/>
    <s v="T′s Cuore MUSE落合"/>
    <s v="東京都新宿区上落合１"/>
    <n v="154000"/>
    <n v="7000"/>
    <n v="154000"/>
    <m/>
    <n v="3"/>
    <x v="0"/>
    <n v="30.47"/>
    <n v="0"/>
    <x v="2"/>
    <s v="落合駅"/>
    <n v="6"/>
    <n v="8"/>
    <n v="139800.48000000001"/>
    <n v="77692.34"/>
    <n v="420"/>
    <n v="1071"/>
    <s v="30-40"/>
    <x v="6"/>
  </r>
  <r>
    <s v="https://suumo.jp/chintai/jnc_000103730188/?bc=100480277316"/>
    <s v="かつらマンション"/>
    <s v="東京都新宿区上落合２"/>
    <n v="82000"/>
    <m/>
    <n v="82000"/>
    <n v="82000"/>
    <n v="2"/>
    <x v="0"/>
    <n v="26.4"/>
    <n v="61"/>
    <x v="0"/>
    <s v="落合駅"/>
    <n v="3"/>
    <n v="5.33"/>
    <n v="139800.48000000001"/>
    <n v="77692.34"/>
    <n v="420"/>
    <n v="1071"/>
    <s v="20-30"/>
    <x v="2"/>
  </r>
  <r>
    <s v="https://suumo.jp/chintai/jnc_000101629609/?bc=100461284889"/>
    <s v="アドリアーノ"/>
    <s v="東京都中野区東中野４"/>
    <n v="134000"/>
    <n v="6000"/>
    <n v="134000"/>
    <n v="134000"/>
    <n v="10"/>
    <x v="0"/>
    <n v="30.81"/>
    <n v="29"/>
    <x v="3"/>
    <s v="落合駅"/>
    <n v="1"/>
    <n v="3.67"/>
    <n v="139800.48000000001"/>
    <n v="77692.34"/>
    <n v="420"/>
    <n v="1071"/>
    <s v="30-40"/>
    <x v="1"/>
  </r>
  <r>
    <s v="https://suumo.jp/chintai/jnc_000102837173/?bc=100475994521"/>
    <s v="アミューズ上高田II"/>
    <s v="東京都中野区上高田４"/>
    <n v="57000"/>
    <n v="6000"/>
    <m/>
    <m/>
    <n v="1"/>
    <x v="0"/>
    <n v="12.49"/>
    <n v="21"/>
    <x v="0"/>
    <s v="落合駅"/>
    <n v="7"/>
    <n v="8.33"/>
    <n v="139800.48000000001"/>
    <n v="77692.34"/>
    <n v="420"/>
    <n v="1071"/>
    <s v="10-20"/>
    <x v="1"/>
  </r>
  <r>
    <s v="https://suumo.jp/chintai/jnc_000103780342/?bc=100481599540"/>
    <s v="アーバンプレイス中野EAST"/>
    <s v="東京都中野区上高田１"/>
    <n v="65000"/>
    <n v="3000"/>
    <m/>
    <m/>
    <n v="2"/>
    <x v="0"/>
    <n v="10.199999999999999"/>
    <n v="11"/>
    <x v="0"/>
    <s v="落合駅"/>
    <n v="13"/>
    <n v="14"/>
    <n v="139800.48000000001"/>
    <n v="77692.34"/>
    <n v="420"/>
    <n v="1071"/>
    <s v="10-20"/>
    <x v="7"/>
  </r>
  <r>
    <s v="https://suumo.jp/chintai/jnc_000103929264/?bc=100482071401"/>
    <s v="アーバンプレイス東中野II"/>
    <s v="東京都中野区上高田１"/>
    <n v="51000"/>
    <n v="4000"/>
    <m/>
    <m/>
    <n v="1"/>
    <x v="0"/>
    <n v="13"/>
    <n v="15"/>
    <x v="0"/>
    <s v="落合駅"/>
    <n v="7"/>
    <n v="8.67"/>
    <n v="139800.48000000001"/>
    <n v="77692.34"/>
    <n v="420"/>
    <n v="1071"/>
    <s v="10-20"/>
    <x v="7"/>
  </r>
  <r>
    <s v="https://suumo.jp/chintai/jnc_000104060456/?bc=100482832203"/>
    <s v="アーバンプレイス東中野IV"/>
    <s v="東京都中野区東中野４"/>
    <n v="60000"/>
    <n v="5000"/>
    <m/>
    <m/>
    <n v="1"/>
    <x v="0"/>
    <n v="12.18"/>
    <n v="14"/>
    <x v="0"/>
    <s v="落合駅"/>
    <n v="3"/>
    <n v="6.67"/>
    <n v="139800.48000000001"/>
    <n v="77692.34"/>
    <n v="420"/>
    <n v="1071"/>
    <s v="10-20"/>
    <x v="7"/>
  </r>
  <r>
    <s v="https://suumo.jp/chintai/jnc_000103278574/?bc=100480184009"/>
    <s v="アーバンプレイス東中野IV"/>
    <s v="東京都中野区東中野４"/>
    <n v="65000"/>
    <n v="5000"/>
    <m/>
    <m/>
    <n v="2"/>
    <x v="0"/>
    <n v="16.010000000000002"/>
    <n v="14"/>
    <x v="0"/>
    <s v="落合駅"/>
    <n v="3"/>
    <n v="6.67"/>
    <n v="139800.48000000001"/>
    <n v="77692.34"/>
    <n v="420"/>
    <n v="1071"/>
    <s v="10-20"/>
    <x v="7"/>
  </r>
  <r>
    <s v="https://suumo.jp/chintai/jnc_000104442897/?bc=100485276893"/>
    <s v="アーバンプレイス落合VI"/>
    <s v="東京都中野区上高田４"/>
    <n v="58000"/>
    <n v="2000"/>
    <m/>
    <m/>
    <n v="2"/>
    <x v="0"/>
    <n v="11.16"/>
    <n v="17"/>
    <x v="0"/>
    <s v="落合駅"/>
    <n v="9"/>
    <n v="10.67"/>
    <n v="139800.48000000001"/>
    <n v="77692.34"/>
    <n v="420"/>
    <n v="1071"/>
    <s v="10-20"/>
    <x v="7"/>
  </r>
  <r>
    <s v="https://suumo.jp/chintai/jnc_000103205276/?bc=100475782610"/>
    <s v="アーバンプレイス高田馬場X"/>
    <s v="東京都中野区東中野５"/>
    <n v="64000"/>
    <n v="4000"/>
    <m/>
    <m/>
    <n v="2"/>
    <x v="0"/>
    <n v="10.199999999999999"/>
    <n v="12"/>
    <x v="0"/>
    <s v="落合駅"/>
    <n v="6"/>
    <n v="10.33"/>
    <n v="139800.48000000001"/>
    <n v="77692.34"/>
    <n v="420"/>
    <n v="1071"/>
    <s v="10-20"/>
    <x v="7"/>
  </r>
  <r>
    <s v="https://suumo.jp/chintai/jnc_000104412220/?bc=100485561723"/>
    <s v="アーバンプレイス高田馬場＆Ｕ"/>
    <s v="東京都中野区東中野５"/>
    <n v="61000"/>
    <n v="3000"/>
    <m/>
    <n v="61000"/>
    <n v="1"/>
    <x v="0"/>
    <n v="10.26"/>
    <n v="12"/>
    <x v="0"/>
    <s v="落合駅"/>
    <n v="7"/>
    <n v="11"/>
    <n v="139800.48000000001"/>
    <n v="77692.34"/>
    <n v="420"/>
    <n v="1071"/>
    <s v="10-20"/>
    <x v="7"/>
  </r>
  <r>
    <s v="https://suumo.jp/chintai/jnc_000103393231/?bc=100477145544"/>
    <s v="アーバンプレス高田馬場X"/>
    <s v="東京都中野区中野５"/>
    <n v="64000"/>
    <n v="4000"/>
    <m/>
    <m/>
    <n v="2"/>
    <x v="0"/>
    <n v="12"/>
    <n v="12"/>
    <x v="0"/>
    <s v="落合駅"/>
    <n v="6"/>
    <n v="8"/>
    <n v="139800.48000000001"/>
    <n v="77692.34"/>
    <n v="420"/>
    <n v="1071"/>
    <s v="10-20"/>
    <x v="7"/>
  </r>
  <r>
    <s v="https://suumo.jp/chintai/jnc_000103658001/?bc=100469485048"/>
    <s v="エトワール落合"/>
    <s v="東京都新宿区上落合３"/>
    <n v="65000"/>
    <n v="2000"/>
    <n v="65000"/>
    <n v="65000"/>
    <n v="2"/>
    <x v="0"/>
    <n v="18.510000000000002"/>
    <n v="27"/>
    <x v="0"/>
    <s v="落合駅"/>
    <n v="4"/>
    <n v="6"/>
    <n v="139800.48000000001"/>
    <n v="77692.34"/>
    <n v="420"/>
    <n v="1071"/>
    <s v="10-20"/>
    <x v="1"/>
  </r>
  <r>
    <s v="https://suumo.jp/chintai/jnc_000102436344/?bc=100469619338"/>
    <s v="エトワール落合"/>
    <s v="東京都新宿区上落合３"/>
    <n v="66000"/>
    <n v="2000"/>
    <n v="66000"/>
    <n v="66000"/>
    <n v="2"/>
    <x v="0"/>
    <n v="18.510000000000002"/>
    <n v="27"/>
    <x v="0"/>
    <s v="落合駅"/>
    <n v="4"/>
    <n v="6"/>
    <n v="139800.48000000001"/>
    <n v="77692.34"/>
    <n v="420"/>
    <n v="1071"/>
    <s v="10-20"/>
    <x v="1"/>
  </r>
  <r>
    <s v="https://suumo.jp/chintai/jnc_000103908813/?bc=100481784065"/>
    <s v="エルシオンＴＡＫＥＤＡ"/>
    <s v="東京都新宿区上落合３"/>
    <n v="87000"/>
    <n v="3000"/>
    <n v="87000"/>
    <n v="87000"/>
    <n v="2"/>
    <x v="0"/>
    <n v="21.15"/>
    <n v="35"/>
    <x v="2"/>
    <s v="落合駅"/>
    <n v="3"/>
    <n v="6.67"/>
    <n v="139800.48000000001"/>
    <n v="77692.34"/>
    <n v="420"/>
    <n v="1071"/>
    <s v="20-30"/>
    <x v="4"/>
  </r>
  <r>
    <s v="https://suumo.jp/chintai/jnc_000103770543/?bc=100480389982"/>
    <s v="カーサマグノリア"/>
    <s v="東京都新宿区上落合３"/>
    <n v="63000"/>
    <n v="6000"/>
    <m/>
    <m/>
    <n v="1"/>
    <x v="0"/>
    <n v="12.94"/>
    <n v="7"/>
    <x v="2"/>
    <s v="落合駅"/>
    <n v="8"/>
    <n v="11"/>
    <n v="139800.48000000001"/>
    <n v="77692.34"/>
    <n v="420"/>
    <n v="1071"/>
    <s v="10-20"/>
    <x v="0"/>
  </r>
  <r>
    <s v="https://suumo.jp/chintai/jnc_000103761964/?bc=100484163342"/>
    <s v="カーサマグノリア"/>
    <s v="東京都新宿区上落合３"/>
    <n v="63000"/>
    <n v="5000"/>
    <m/>
    <m/>
    <n v="-1"/>
    <x v="0"/>
    <n v="9.06"/>
    <n v="7"/>
    <x v="2"/>
    <s v="落合駅"/>
    <n v="8"/>
    <n v="11"/>
    <n v="139800.48000000001"/>
    <n v="77692.34"/>
    <n v="420"/>
    <n v="1071"/>
    <s v="&lt;10"/>
    <x v="0"/>
  </r>
  <r>
    <s v="https://suumo.jp/chintai/jnc_000103362602/?bc=100314284596"/>
    <s v="グランツT2"/>
    <s v="東京都新宿区上落合２"/>
    <n v="110000"/>
    <n v="7000"/>
    <n v="110000"/>
    <n v="110000"/>
    <n v="1"/>
    <x v="0"/>
    <n v="27.43"/>
    <n v="7"/>
    <x v="0"/>
    <s v="落合駅"/>
    <n v="2"/>
    <n v="5.67"/>
    <n v="139800.48000000001"/>
    <n v="77692.34"/>
    <n v="420"/>
    <n v="1071"/>
    <s v="20-30"/>
    <x v="0"/>
  </r>
  <r>
    <s v="https://suumo.jp/chintai/jnc_000104215475/?bc=100480423872"/>
    <s v="グランリュクス"/>
    <s v="東京都中野区東中野５"/>
    <n v="71000"/>
    <n v="4000"/>
    <m/>
    <n v="71000"/>
    <n v="1"/>
    <x v="0"/>
    <n v="12.01"/>
    <n v="11"/>
    <x v="0"/>
    <s v="落合駅"/>
    <n v="6"/>
    <n v="9"/>
    <n v="139800.48000000001"/>
    <n v="77692.34"/>
    <n v="420"/>
    <n v="1071"/>
    <s v="10-20"/>
    <x v="7"/>
  </r>
  <r>
    <s v="https://suumo.jp/chintai/jnc_000104215450/?bc=100474702728"/>
    <s v="コンフォート石田"/>
    <s v="東京都中野区上高田３"/>
    <n v="90000"/>
    <n v="3000"/>
    <n v="90000"/>
    <n v="90000"/>
    <n v="3"/>
    <x v="0"/>
    <n v="23.14"/>
    <n v="34"/>
    <x v="2"/>
    <s v="落合駅"/>
    <n v="8"/>
    <n v="9"/>
    <n v="139800.48000000001"/>
    <n v="77692.34"/>
    <n v="420"/>
    <n v="1071"/>
    <s v="20-30"/>
    <x v="4"/>
  </r>
  <r>
    <s v="https://suumo.jp/chintai/jnc_000103631800/?bc=100479124782"/>
    <s v="コーポ偕和１"/>
    <s v="東京都中野区東中野３"/>
    <n v="72000"/>
    <m/>
    <n v="72000"/>
    <n v="72000"/>
    <n v="2"/>
    <x v="0"/>
    <n v="19.8"/>
    <n v="34"/>
    <x v="0"/>
    <s v="落合駅"/>
    <n v="4"/>
    <n v="6.33"/>
    <n v="139800.48000000001"/>
    <n v="77692.34"/>
    <n v="420"/>
    <n v="1071"/>
    <s v="10-20"/>
    <x v="4"/>
  </r>
  <r>
    <s v="https://suumo.jp/chintai/jnc_000023585828/?bc=100486453589"/>
    <s v="コーポ新宿"/>
    <s v="東京都新宿区上落合３"/>
    <n v="60000"/>
    <n v="3000"/>
    <m/>
    <m/>
    <n v="1"/>
    <x v="0"/>
    <n v="15.32"/>
    <n v="23"/>
    <x v="0"/>
    <s v="落合駅"/>
    <n v="5"/>
    <n v="7.67"/>
    <n v="139800.48000000001"/>
    <n v="77692.34"/>
    <n v="420"/>
    <n v="1071"/>
    <s v="10-20"/>
    <x v="1"/>
  </r>
  <r>
    <s v="https://suumo.jp/chintai/jnc_000103828362/?bc=100480890738"/>
    <s v="サンハイツ"/>
    <s v="東京都新宿区下落合２"/>
    <n v="60000"/>
    <n v="2000"/>
    <n v="60000"/>
    <n v="60000"/>
    <n v="2"/>
    <x v="0"/>
    <n v="16"/>
    <n v="38"/>
    <x v="0"/>
    <s v="落合駅"/>
    <n v="7"/>
    <n v="9"/>
    <n v="139800.48000000001"/>
    <n v="77692.34"/>
    <n v="420"/>
    <n v="1071"/>
    <s v="10-20"/>
    <x v="4"/>
  </r>
  <r>
    <s v="https://suumo.jp/chintai/jnc_000044982764/?bc=100485549705"/>
    <s v="サンファスト東中野"/>
    <s v="東京都新宿区上落合２"/>
    <n v="115000"/>
    <n v="5000"/>
    <n v="115000"/>
    <m/>
    <n v="4"/>
    <x v="0"/>
    <n v="32.9"/>
    <n v="59"/>
    <x v="7"/>
    <s v="落合駅"/>
    <n v="1"/>
    <n v="5"/>
    <n v="139800.48000000001"/>
    <n v="77692.34"/>
    <n v="420"/>
    <n v="1071"/>
    <s v="30-40"/>
    <x v="5"/>
  </r>
  <r>
    <s v="https://suumo.jp/chintai/jnc_000104540914/?bc=100486412301"/>
    <s v="スカイコート新宿落合第４"/>
    <s v="東京都新宿区上落合３"/>
    <n v="65000"/>
    <n v="7000"/>
    <n v="65000"/>
    <n v="65000"/>
    <n v="4"/>
    <x v="0"/>
    <n v="16.2"/>
    <n v="34"/>
    <x v="4"/>
    <s v="落合駅"/>
    <n v="2"/>
    <n v="6"/>
    <n v="139800.48000000001"/>
    <n v="77692.34"/>
    <n v="420"/>
    <n v="1071"/>
    <s v="10-20"/>
    <x v="4"/>
  </r>
  <r>
    <s v="https://suumo.jp/chintai/jnc_000086640712/?bc=100483721422"/>
    <s v="セザール東中野"/>
    <s v="東京都中野区東中野３"/>
    <n v="68000"/>
    <n v="5000"/>
    <n v="68000"/>
    <n v="68000"/>
    <n v="5"/>
    <x v="0"/>
    <n v="16.809999999999999"/>
    <n v="35"/>
    <x v="8"/>
    <s v="落合駅"/>
    <n v="1"/>
    <n v="4.67"/>
    <n v="139800.48000000001"/>
    <n v="77692.34"/>
    <n v="420"/>
    <n v="1071"/>
    <s v="10-20"/>
    <x v="4"/>
  </r>
  <r>
    <s v="https://suumo.jp/chintai/jnc_000062556787/?bc=100481521649"/>
    <s v="ソフィアアスター"/>
    <s v="東京都中野区東中野４"/>
    <n v="71000"/>
    <n v="3000"/>
    <m/>
    <m/>
    <n v="2"/>
    <x v="0"/>
    <n v="10.82"/>
    <n v="6"/>
    <x v="0"/>
    <s v="落合駅"/>
    <n v="2"/>
    <n v="4.33"/>
    <n v="139800.48000000001"/>
    <n v="77692.34"/>
    <n v="420"/>
    <n v="1071"/>
    <s v="10-20"/>
    <x v="0"/>
  </r>
  <r>
    <s v="https://suumo.jp/chintai/jnc_000062556789/?bc=100484932974"/>
    <s v="ソフィアアスター"/>
    <s v="東京都中野区東中野４"/>
    <n v="70000"/>
    <n v="3000"/>
    <m/>
    <m/>
    <n v="2"/>
    <x v="0"/>
    <n v="10.82"/>
    <n v="6"/>
    <x v="0"/>
    <s v="落合駅"/>
    <n v="2"/>
    <n v="4.33"/>
    <n v="139800.48000000001"/>
    <n v="77692.34"/>
    <n v="420"/>
    <n v="1071"/>
    <s v="10-20"/>
    <x v="0"/>
  </r>
  <r>
    <s v="https://suumo.jp/chintai/jnc_000102039271/?bc=100482523837"/>
    <s v="トーシンフェニックス落合駅前"/>
    <s v="東京都新宿区上落合３"/>
    <n v="77000"/>
    <n v="6000"/>
    <n v="77000"/>
    <m/>
    <n v="4"/>
    <x v="0"/>
    <n v="18.559999999999999"/>
    <n v="22"/>
    <x v="6"/>
    <s v="落合駅"/>
    <n v="1"/>
    <n v="5"/>
    <n v="139800.48000000001"/>
    <n v="77692.34"/>
    <n v="420"/>
    <n v="1071"/>
    <s v="10-20"/>
    <x v="1"/>
  </r>
  <r>
    <s v="https://suumo.jp/chintai/jnc_000038239799/?bc=100475935757"/>
    <s v="ハイツイマイ"/>
    <s v="東京都新宿区上落合３"/>
    <n v="60000"/>
    <n v="3000"/>
    <n v="60000"/>
    <n v="60000"/>
    <n v="2"/>
    <x v="0"/>
    <n v="18.5"/>
    <n v="36"/>
    <x v="0"/>
    <s v="落合駅"/>
    <n v="4"/>
    <n v="7"/>
    <n v="139800.48000000001"/>
    <n v="77692.34"/>
    <n v="420"/>
    <n v="1071"/>
    <s v="10-20"/>
    <x v="4"/>
  </r>
  <r>
    <s v="https://suumo.jp/chintai/jnc_000103610286/?bc=100479031816"/>
    <s v="ハーモニーテラス上落合"/>
    <s v="東京都新宿区上落合３"/>
    <n v="69000"/>
    <n v="4000"/>
    <m/>
    <n v="69000"/>
    <n v="1"/>
    <x v="0"/>
    <n v="10.06"/>
    <n v="9"/>
    <x v="0"/>
    <s v="落合駅"/>
    <n v="1"/>
    <n v="5.33"/>
    <n v="139800.48000000001"/>
    <n v="77692.34"/>
    <n v="420"/>
    <n v="1071"/>
    <s v="10-20"/>
    <x v="0"/>
  </r>
  <r>
    <s v="https://suumo.jp/chintai/jnc_000104044391/?bc=100482489520"/>
    <s v="ハーモニーテラス落合"/>
    <s v="東京都中野区上高田１"/>
    <n v="65000"/>
    <n v="4000"/>
    <m/>
    <n v="65000"/>
    <n v="2"/>
    <x v="0"/>
    <n v="11.88"/>
    <n v="4"/>
    <x v="0"/>
    <s v="落合駅"/>
    <n v="3"/>
    <n v="11.33"/>
    <n v="139800.48000000001"/>
    <n v="77692.34"/>
    <n v="420"/>
    <n v="1071"/>
    <s v="10-20"/>
    <x v="0"/>
  </r>
  <r>
    <s v="https://suumo.jp/chintai/jnc_000103987130/?bc=100483501753"/>
    <s v="パークヒルズ落合"/>
    <s v="東京都新宿区上落合１"/>
    <n v="92000"/>
    <n v="7000"/>
    <n v="92000"/>
    <n v="92000"/>
    <n v="4"/>
    <x v="0"/>
    <n v="20.38"/>
    <n v="27"/>
    <x v="3"/>
    <s v="落合駅"/>
    <n v="5"/>
    <n v="7.67"/>
    <n v="139800.48000000001"/>
    <n v="77692.34"/>
    <n v="420"/>
    <n v="1071"/>
    <s v="20-30"/>
    <x v="1"/>
  </r>
  <r>
    <s v="https://suumo.jp/chintai/jnc_000104509149/?bc=100486346968"/>
    <s v="パークヒルズ落合"/>
    <s v="東京都新宿区上落合１"/>
    <n v="92000"/>
    <n v="7000"/>
    <n v="92000"/>
    <n v="92000"/>
    <n v="4"/>
    <x v="0"/>
    <n v="21.25"/>
    <n v="27"/>
    <x v="3"/>
    <s v="落合駅"/>
    <n v="5"/>
    <n v="7.67"/>
    <n v="139800.48000000001"/>
    <n v="77692.34"/>
    <n v="420"/>
    <n v="1071"/>
    <s v="20-30"/>
    <x v="1"/>
  </r>
  <r>
    <s v="https://suumo.jp/chintai/jnc_000104326793/?bc=100484859016"/>
    <s v="メゾンパ－クサイド"/>
    <s v="東京都中野区上高田１"/>
    <n v="57000"/>
    <n v="2000"/>
    <n v="57000"/>
    <n v="57000"/>
    <n v="1"/>
    <x v="0"/>
    <n v="15"/>
    <n v="37"/>
    <x v="2"/>
    <s v="落合駅"/>
    <n v="10"/>
    <n v="11"/>
    <n v="139800.48000000001"/>
    <n v="77692.34"/>
    <n v="420"/>
    <n v="1071"/>
    <s v="10-20"/>
    <x v="4"/>
  </r>
  <r>
    <s v="https://suumo.jp/chintai/jnc_000104261945/?bc=100484277343"/>
    <s v="メゾン・ド・レクトゥール"/>
    <s v="東京都中野区東中野５"/>
    <n v="55000"/>
    <n v="4500"/>
    <m/>
    <m/>
    <n v="4"/>
    <x v="0"/>
    <n v="15.36"/>
    <n v="40"/>
    <x v="4"/>
    <s v="落合駅"/>
    <n v="7"/>
    <n v="9.33"/>
    <n v="139800.48000000001"/>
    <n v="77692.34"/>
    <n v="420"/>
    <n v="1071"/>
    <s v="10-20"/>
    <x v="4"/>
  </r>
  <r>
    <s v="https://suumo.jp/chintai/jnc_000104050102/?bc=100485529759"/>
    <s v="ライオンズマンション中野東"/>
    <s v="東京都中野区東中野４"/>
    <n v="74000"/>
    <n v="10000"/>
    <n v="74000"/>
    <n v="74000"/>
    <n v="2"/>
    <x v="0"/>
    <n v="17.87"/>
    <n v="40"/>
    <x v="6"/>
    <s v="落合駅"/>
    <n v="3"/>
    <n v="6.33"/>
    <n v="139800.48000000001"/>
    <n v="77692.34"/>
    <n v="420"/>
    <n v="1071"/>
    <s v="10-20"/>
    <x v="4"/>
  </r>
  <r>
    <s v="https://suumo.jp/chintai/jnc_000102078265/?bc=100474742517"/>
    <s v="ライオンズマンション中野東"/>
    <s v="東京都中野区東中野４"/>
    <n v="85000"/>
    <n v="3000"/>
    <n v="85000"/>
    <n v="85000"/>
    <n v="3"/>
    <x v="0"/>
    <n v="19.25"/>
    <n v="40"/>
    <x v="6"/>
    <s v="落合駅"/>
    <n v="3"/>
    <n v="6.33"/>
    <n v="139800.48000000001"/>
    <n v="77692.34"/>
    <n v="420"/>
    <n v="1071"/>
    <s v="10-20"/>
    <x v="4"/>
  </r>
  <r>
    <s v="https://suumo.jp/chintai/jnc_000104192466/?bc=100483775381"/>
    <s v="ライオンズマンション中野東"/>
    <s v="東京都中野区東中野４"/>
    <n v="68000"/>
    <n v="4000"/>
    <n v="68000"/>
    <n v="68000"/>
    <n v="3"/>
    <x v="0"/>
    <n v="20.7"/>
    <n v="40"/>
    <x v="6"/>
    <s v="落合駅"/>
    <n v="3"/>
    <n v="6.33"/>
    <n v="139800.48000000001"/>
    <n v="77692.34"/>
    <n v="420"/>
    <n v="1071"/>
    <s v="20-30"/>
    <x v="4"/>
  </r>
  <r>
    <s v="https://suumo.jp/chintai/jnc_000103756773/?bc=100480323878"/>
    <s v="ラ・フォレスタ"/>
    <s v="東京都中野区上高田１"/>
    <n v="75000"/>
    <n v="3000"/>
    <n v="75000"/>
    <n v="75000"/>
    <n v="2"/>
    <x v="0"/>
    <n v="24.48"/>
    <n v="29"/>
    <x v="0"/>
    <s v="落合駅"/>
    <n v="7"/>
    <n v="9.33"/>
    <n v="139800.48000000001"/>
    <n v="77692.34"/>
    <n v="420"/>
    <n v="1071"/>
    <s v="20-30"/>
    <x v="1"/>
  </r>
  <r>
    <s v="https://suumo.jp/chintai/jnc_000103231718/?bc=100476795476"/>
    <s v="三越東中野マンション"/>
    <s v="東京都中野区東中野４"/>
    <n v="82000"/>
    <n v="5000"/>
    <m/>
    <m/>
    <n v="3"/>
    <x v="0"/>
    <n v="18.41"/>
    <n v="49"/>
    <x v="6"/>
    <s v="落合駅"/>
    <n v="4"/>
    <n v="8"/>
    <n v="139800.48000000001"/>
    <n v="77692.34"/>
    <n v="420"/>
    <n v="1071"/>
    <s v="10-20"/>
    <x v="3"/>
  </r>
  <r>
    <s v="https://suumo.jp/chintai/jnc_000104454990/?bc=100485770152"/>
    <s v="三越東中野マンション"/>
    <s v="東京都中野区東中野４"/>
    <n v="87000"/>
    <n v="5000"/>
    <m/>
    <m/>
    <n v="4"/>
    <x v="0"/>
    <n v="18.41"/>
    <n v="49"/>
    <x v="6"/>
    <s v="落合駅"/>
    <n v="4"/>
    <n v="8"/>
    <n v="139800.48000000001"/>
    <n v="77692.34"/>
    <n v="420"/>
    <n v="1071"/>
    <s v="10-20"/>
    <x v="3"/>
  </r>
  <r>
    <s v="https://suumo.jp/chintai/jnc_000102332252/?bc=100479899029"/>
    <s v="三越東中野マンション"/>
    <s v="東京都中野区東中野４"/>
    <n v="85000"/>
    <n v="5000"/>
    <m/>
    <m/>
    <n v="6"/>
    <x v="0"/>
    <n v="18.41"/>
    <n v="49"/>
    <x v="6"/>
    <s v="落合駅"/>
    <n v="4"/>
    <n v="8"/>
    <n v="139800.48000000001"/>
    <n v="77692.34"/>
    <n v="420"/>
    <n v="1071"/>
    <s v="10-20"/>
    <x v="3"/>
  </r>
  <r>
    <s v="https://suumo.jp/chintai/jnc_000104438132/?bc=100485770197"/>
    <s v="三越東中野マンション"/>
    <s v="東京都中野区東中野４"/>
    <n v="87000"/>
    <n v="5000"/>
    <m/>
    <m/>
    <n v="7"/>
    <x v="0"/>
    <n v="18.41"/>
    <n v="49"/>
    <x v="6"/>
    <s v="落合駅"/>
    <n v="4"/>
    <n v="8"/>
    <n v="139800.48000000001"/>
    <n v="77692.34"/>
    <n v="420"/>
    <n v="1071"/>
    <s v="10-20"/>
    <x v="3"/>
  </r>
  <r>
    <s v="https://suumo.jp/chintai/jnc_000104368673/?bc=100485076425"/>
    <s v="上高田四丁目計画"/>
    <s v="東京都中野区上高田４"/>
    <n v="89000"/>
    <n v="5000"/>
    <n v="89000"/>
    <n v="89000"/>
    <n v="1"/>
    <x v="0"/>
    <n v="22.28"/>
    <n v="0"/>
    <x v="2"/>
    <s v="落合駅"/>
    <n v="8"/>
    <n v="10.33"/>
    <n v="139800.48000000001"/>
    <n v="77692.34"/>
    <n v="420"/>
    <n v="1071"/>
    <s v="20-30"/>
    <x v="6"/>
  </r>
  <r>
    <s v="https://suumo.jp/chintai/jnc_000104368674/?bc=100484762314"/>
    <s v="上高田四丁目計画"/>
    <s v="東京都中野区上高田４"/>
    <n v="93000"/>
    <n v="5000"/>
    <n v="93000"/>
    <n v="93000"/>
    <n v="2"/>
    <x v="0"/>
    <n v="23.24"/>
    <n v="0"/>
    <x v="2"/>
    <s v="落合駅"/>
    <n v="8"/>
    <n v="10.33"/>
    <n v="139800.48000000001"/>
    <n v="77692.34"/>
    <n v="420"/>
    <n v="1071"/>
    <s v="20-30"/>
    <x v="6"/>
  </r>
  <r>
    <s v="https://suumo.jp/chintai/jnc_000104392261/?bc=100484762322"/>
    <s v="上高田四丁目計画"/>
    <s v="東京都中野区上高田４"/>
    <n v="104000"/>
    <n v="5000"/>
    <n v="104000"/>
    <n v="104000"/>
    <n v="2"/>
    <x v="0"/>
    <n v="25.81"/>
    <n v="0"/>
    <x v="2"/>
    <s v="落合駅"/>
    <n v="8"/>
    <n v="10.33"/>
    <n v="139800.48000000001"/>
    <n v="77692.34"/>
    <n v="420"/>
    <n v="1071"/>
    <s v="20-30"/>
    <x v="6"/>
  </r>
  <r>
    <s v="https://suumo.jp/chintai/jnc_000103465740/?bc=100477737226"/>
    <s v="大渕荘"/>
    <s v="東京都中野区上高田１"/>
    <n v="40000"/>
    <n v="2000"/>
    <n v="40000"/>
    <n v="40000"/>
    <n v="2"/>
    <x v="0"/>
    <n v="18"/>
    <n v="58"/>
    <x v="0"/>
    <s v="落合駅"/>
    <n v="9"/>
    <n v="11.33"/>
    <n v="139800.48000000001"/>
    <n v="77692.34"/>
    <n v="420"/>
    <n v="1071"/>
    <s v="10-20"/>
    <x v="5"/>
  </r>
  <r>
    <s v="https://suumo.jp/chintai/jnc_000103994039/?bc=100486341552"/>
    <s v="東京メトロ東西線 落合駅 12階建 築27年"/>
    <s v="東京都新宿区上落合１"/>
    <n v="92000"/>
    <n v="7000"/>
    <n v="92000"/>
    <n v="92000"/>
    <n v="4"/>
    <x v="0"/>
    <n v="20.38"/>
    <n v="27"/>
    <x v="3"/>
    <s v="落合駅"/>
    <n v="5"/>
    <n v="7.67"/>
    <n v="139800.48000000001"/>
    <n v="77692.34"/>
    <n v="420"/>
    <n v="1071"/>
    <s v="20-30"/>
    <x v="1"/>
  </r>
  <r>
    <s v="https://suumo.jp/chintai/jnc_000104518509/?bc=100486405815"/>
    <s v="東京メトロ東西線 落合駅 12階建 築27年"/>
    <s v="東京都新宿区上落合１"/>
    <n v="92000"/>
    <n v="7000"/>
    <n v="92000"/>
    <n v="92000"/>
    <n v="4"/>
    <x v="0"/>
    <n v="21.25"/>
    <n v="27"/>
    <x v="3"/>
    <s v="落合駅"/>
    <n v="5"/>
    <n v="7.67"/>
    <n v="139800.48000000001"/>
    <n v="77692.34"/>
    <n v="420"/>
    <n v="1071"/>
    <s v="20-30"/>
    <x v="1"/>
  </r>
  <r>
    <s v="https://suumo.jp/chintai/jnc_000103987132/?bc=100482587022"/>
    <s v="東京メトロ東西線 落合駅 2階建 築11年"/>
    <s v="東京都新宿区上落合２"/>
    <n v="71000"/>
    <n v="4000"/>
    <m/>
    <n v="71000"/>
    <n v="1"/>
    <x v="0"/>
    <n v="14.52"/>
    <n v="11"/>
    <x v="0"/>
    <s v="落合駅"/>
    <n v="3"/>
    <n v="6.33"/>
    <n v="139800.48000000001"/>
    <n v="77692.34"/>
    <n v="420"/>
    <n v="1071"/>
    <s v="10-20"/>
    <x v="7"/>
  </r>
  <r>
    <s v="https://suumo.jp/chintai/jnc_000104417269/?bc=100485544561"/>
    <s v="東京メトロ東西線 落合駅 2階建 築12年"/>
    <s v="東京都中野区東中野５"/>
    <n v="61000"/>
    <n v="3000"/>
    <m/>
    <n v="61000"/>
    <n v="1"/>
    <x v="0"/>
    <n v="10.26"/>
    <n v="12"/>
    <x v="0"/>
    <s v="落合駅"/>
    <n v="7"/>
    <n v="11"/>
    <n v="139800.48000000001"/>
    <n v="77692.34"/>
    <n v="420"/>
    <n v="1071"/>
    <s v="10-20"/>
    <x v="7"/>
  </r>
  <r>
    <s v="https://suumo.jp/chintai/jnc_000102854378/?bc=100473971777"/>
    <s v="東京メトロ東西線 落合駅 2階建 築22年"/>
    <s v="東京都中野区上高田４"/>
    <n v="57000"/>
    <n v="6000"/>
    <m/>
    <m/>
    <n v="1"/>
    <x v="0"/>
    <n v="12.49"/>
    <n v="22"/>
    <x v="0"/>
    <s v="落合駅"/>
    <n v="7"/>
    <n v="8.33"/>
    <n v="139800.48000000001"/>
    <n v="77692.34"/>
    <n v="420"/>
    <n v="1071"/>
    <s v="10-20"/>
    <x v="1"/>
  </r>
  <r>
    <s v="https://suumo.jp/chintai/jnc_000092128316/?bc=100479877752"/>
    <s v="東京メトロ東西線 落合駅 2階建 築2年"/>
    <s v="東京都中野区上高田１"/>
    <n v="70000"/>
    <n v="4000"/>
    <m/>
    <n v="70000"/>
    <n v="1"/>
    <x v="0"/>
    <n v="13.58"/>
    <n v="2"/>
    <x v="0"/>
    <s v="落合駅"/>
    <n v="12"/>
    <n v="13.33"/>
    <n v="139800.48000000001"/>
    <n v="77692.34"/>
    <n v="420"/>
    <n v="1071"/>
    <s v="10-20"/>
    <x v="0"/>
  </r>
  <r>
    <s v="https://suumo.jp/chintai/jnc_000103750094/?bc=100484544183"/>
    <s v="東京メトロ東西線 落合駅 2階建 築61年"/>
    <s v="東京都新宿区上落合２"/>
    <n v="82000"/>
    <m/>
    <n v="82000"/>
    <n v="82000"/>
    <n v="2"/>
    <x v="0"/>
    <n v="26.4"/>
    <n v="61"/>
    <x v="0"/>
    <s v="落合駅"/>
    <n v="3"/>
    <n v="5.67"/>
    <n v="139800.48000000001"/>
    <n v="77692.34"/>
    <n v="420"/>
    <n v="1071"/>
    <s v="20-30"/>
    <x v="2"/>
  </r>
  <r>
    <s v="https://suumo.jp/chintai/jnc_000103610287/?bc=100481562164"/>
    <s v="東京メトロ東西線 落合駅 2階建 築9年"/>
    <s v="東京都新宿区上落合３"/>
    <n v="69000"/>
    <n v="4000"/>
    <m/>
    <n v="69000"/>
    <n v="1"/>
    <x v="0"/>
    <n v="10.06"/>
    <n v="9"/>
    <x v="0"/>
    <s v="落合駅"/>
    <n v="1"/>
    <n v="4.67"/>
    <n v="139800.48000000001"/>
    <n v="77692.34"/>
    <n v="420"/>
    <n v="1071"/>
    <s v="10-20"/>
    <x v="0"/>
  </r>
  <r>
    <s v="https://suumo.jp/chintai/jnc_000101319442/?bc=100377522750"/>
    <s v="東京メトロ東西線 落合駅 2階建 築9年"/>
    <s v="東京都新宿区上落合３"/>
    <n v="69000"/>
    <n v="4000"/>
    <m/>
    <m/>
    <n v="2"/>
    <x v="0"/>
    <n v="10.06"/>
    <n v="9"/>
    <x v="0"/>
    <s v="落合駅"/>
    <n v="1"/>
    <n v="4.67"/>
    <n v="139800.48000000001"/>
    <n v="77692.34"/>
    <n v="420"/>
    <n v="1071"/>
    <s v="10-20"/>
    <x v="0"/>
  </r>
  <r>
    <s v="https://suumo.jp/chintai/jnc_000104392265/?bc=100485222609"/>
    <s v="東京メトロ東西線 落合駅 3階建 新築"/>
    <s v="東京都中野区上高田４"/>
    <n v="93000"/>
    <n v="5000"/>
    <n v="93000"/>
    <n v="93000"/>
    <n v="2"/>
    <x v="0"/>
    <n v="23.24"/>
    <n v="0"/>
    <x v="2"/>
    <s v="落合駅"/>
    <n v="8"/>
    <n v="11"/>
    <n v="139800.48000000001"/>
    <n v="77692.34"/>
    <n v="420"/>
    <n v="1071"/>
    <s v="20-30"/>
    <x v="6"/>
  </r>
  <r>
    <s v="https://suumo.jp/chintai/jnc_000104138604/?bc=100483271934"/>
    <s v="東京メトロ東西線 落合駅 3階建 新築"/>
    <s v="東京都新宿区上落合１"/>
    <n v="123000"/>
    <n v="7000"/>
    <n v="123000"/>
    <m/>
    <n v="3"/>
    <x v="0"/>
    <n v="21.17"/>
    <n v="0"/>
    <x v="2"/>
    <s v="落合駅"/>
    <n v="6"/>
    <n v="8"/>
    <n v="139800.48000000001"/>
    <n v="77692.34"/>
    <n v="420"/>
    <n v="1071"/>
    <s v="20-30"/>
    <x v="6"/>
  </r>
  <r>
    <s v="https://suumo.jp/chintai/jnc_000104139475/?bc=100483268297"/>
    <s v="東京メトロ東西線 落合駅 3階建 築2年"/>
    <s v="東京都中野区東中野４"/>
    <n v="125000"/>
    <n v="10000"/>
    <n v="125000"/>
    <n v="125000"/>
    <n v="1"/>
    <x v="0"/>
    <n v="32.54"/>
    <n v="2"/>
    <x v="2"/>
    <s v="落合駅"/>
    <n v="2"/>
    <n v="5.67"/>
    <n v="139800.48000000001"/>
    <n v="77692.34"/>
    <n v="420"/>
    <n v="1071"/>
    <s v="30-40"/>
    <x v="0"/>
  </r>
  <r>
    <s v="https://suumo.jp/chintai/jnc_000104049638/?bc=100482535027"/>
    <s v="東京メトロ東西線 落合駅 3階建 築35年"/>
    <s v="東京都新宿区上落合３"/>
    <n v="87000"/>
    <n v="3000"/>
    <n v="87000"/>
    <n v="87000"/>
    <n v="2"/>
    <x v="0"/>
    <n v="21.15"/>
    <n v="35"/>
    <x v="2"/>
    <s v="落合駅"/>
    <n v="3"/>
    <n v="7"/>
    <n v="139800.48000000001"/>
    <n v="77692.34"/>
    <n v="420"/>
    <n v="1071"/>
    <s v="20-30"/>
    <x v="4"/>
  </r>
  <r>
    <s v="https://suumo.jp/chintai/jnc_000104437823/?bc=100485572309"/>
    <s v="東京メトロ東西線 落合駅 3階建 築39年"/>
    <s v="東京都新宿区上落合２"/>
    <n v="62000"/>
    <n v="3000"/>
    <n v="62000"/>
    <m/>
    <n v="3"/>
    <x v="0"/>
    <n v="16.84"/>
    <n v="39"/>
    <x v="2"/>
    <s v="落合駅"/>
    <n v="2"/>
    <n v="6"/>
    <n v="139800.48000000001"/>
    <n v="77692.34"/>
    <n v="420"/>
    <n v="1071"/>
    <s v="10-20"/>
    <x v="4"/>
  </r>
  <r>
    <s v="https://suumo.jp/chintai/jnc_000102118144/?bc=100484207151"/>
    <s v="東京メトロ東西線 落合駅 5階建 築3年"/>
    <s v="東京都中野区東中野５"/>
    <n v="129000"/>
    <n v="15000"/>
    <n v="129000"/>
    <n v="129000"/>
    <n v="4"/>
    <x v="0"/>
    <n v="25.5"/>
    <n v="3"/>
    <x v="7"/>
    <s v="落合駅"/>
    <n v="7"/>
    <n v="11"/>
    <n v="139800.48000000001"/>
    <n v="77692.34"/>
    <n v="420"/>
    <n v="1071"/>
    <s v="20-30"/>
    <x v="0"/>
  </r>
  <r>
    <s v="https://suumo.jp/chintai/jnc_000104398959/?bc=100485358910"/>
    <s v="東京メトロ東西線 落合駅 5階建 築59年"/>
    <s v="東京都新宿区上落合２"/>
    <n v="115000"/>
    <n v="5000"/>
    <n v="115000"/>
    <m/>
    <n v="4"/>
    <x v="0"/>
    <n v="32.9"/>
    <n v="59"/>
    <x v="7"/>
    <s v="落合駅"/>
    <n v="4"/>
    <n v="7"/>
    <n v="139800.48000000001"/>
    <n v="77692.34"/>
    <n v="420"/>
    <n v="1071"/>
    <s v="30-40"/>
    <x v="5"/>
  </r>
  <r>
    <s v="https://suumo.jp/chintai/jnc_000102718689/?bc=100473972179"/>
    <s v="東京メトロ東西線 落合駅 9階建 築22年"/>
    <s v="東京都新宿区上落合３"/>
    <n v="77000"/>
    <n v="6000"/>
    <n v="77000"/>
    <n v="77000"/>
    <n v="4"/>
    <x v="0"/>
    <n v="18.559999999999999"/>
    <n v="22"/>
    <x v="6"/>
    <s v="落合駅"/>
    <n v="1"/>
    <n v="6.33"/>
    <n v="139800.48000000001"/>
    <n v="77692.34"/>
    <n v="420"/>
    <n v="1071"/>
    <s v="10-20"/>
    <x v="1"/>
  </r>
  <r>
    <s v="https://suumo.jp/chintai/jnc_000104417265/?bc=100485470900"/>
    <s v="東京メトロ東西線 落合駅 地下1地上8階建 築40年"/>
    <s v="東京都中野区東中野４"/>
    <n v="74000"/>
    <n v="10000"/>
    <n v="74000"/>
    <n v="74000"/>
    <n v="2"/>
    <x v="0"/>
    <n v="17.87"/>
    <n v="40"/>
    <x v="6"/>
    <s v="落合駅"/>
    <n v="2"/>
    <n v="5.67"/>
    <n v="139800.48000000001"/>
    <n v="77692.34"/>
    <n v="420"/>
    <n v="1071"/>
    <s v="10-20"/>
    <x v="4"/>
  </r>
  <r>
    <s v="https://suumo.jp/chintai/jnc_000096582670/?bc=100480184001"/>
    <s v="東京メトロ東西線 落合駅 地下1地上8階建 築40年"/>
    <s v="東京都中野区東中野４"/>
    <n v="85000"/>
    <n v="3000"/>
    <n v="85000"/>
    <n v="85000"/>
    <n v="3"/>
    <x v="0"/>
    <n v="19.25"/>
    <n v="40"/>
    <x v="6"/>
    <s v="落合駅"/>
    <n v="2"/>
    <n v="5.67"/>
    <n v="139800.48000000001"/>
    <n v="77692.34"/>
    <n v="420"/>
    <n v="1071"/>
    <s v="10-20"/>
    <x v="4"/>
  </r>
  <r>
    <s v="https://suumo.jp/chintai/jnc_000104215473/?bc=100483885724"/>
    <s v="東京メトロ東西線 落合駅 地下1地上8階建 築40年"/>
    <s v="東京都中野区東中野４"/>
    <n v="68000"/>
    <n v="4000"/>
    <n v="68000"/>
    <n v="68000"/>
    <n v="3"/>
    <x v="0"/>
    <n v="20.7"/>
    <n v="40"/>
    <x v="6"/>
    <s v="落合駅"/>
    <n v="2"/>
    <n v="5.67"/>
    <n v="139800.48000000001"/>
    <n v="77692.34"/>
    <n v="420"/>
    <n v="1071"/>
    <s v="20-30"/>
    <x v="4"/>
  </r>
  <r>
    <s v="https://suumo.jp/chintai/jnc_000104454667/?bc=100485766855"/>
    <s v="美宝ハイツ"/>
    <s v="東京都新宿区上落合２"/>
    <n v="62000"/>
    <n v="3000"/>
    <n v="62000"/>
    <m/>
    <n v="2"/>
    <x v="0"/>
    <n v="16.84"/>
    <n v="39"/>
    <x v="2"/>
    <s v="落合駅"/>
    <n v="3"/>
    <n v="6.33"/>
    <n v="139800.48000000001"/>
    <n v="77692.34"/>
    <n v="420"/>
    <n v="1071"/>
    <s v="10-20"/>
    <x v="4"/>
  </r>
  <r>
    <s v="https://suumo.jp/chintai/jnc_000104416503/?bc=100486453596"/>
    <s v="美宝ハイツ落合"/>
    <s v="東京都新宿区上落合２"/>
    <n v="62000"/>
    <n v="3000"/>
    <n v="62000"/>
    <m/>
    <n v="2"/>
    <x v="0"/>
    <n v="16.84"/>
    <n v="39"/>
    <x v="2"/>
    <s v="落合駅"/>
    <n v="2"/>
    <n v="6"/>
    <n v="139800.48000000001"/>
    <n v="77692.34"/>
    <n v="420"/>
    <n v="1071"/>
    <s v="10-20"/>
    <x v="4"/>
  </r>
  <r>
    <s v="https://suumo.jp/chintai/jnc_000089984798/?bc=100486237920"/>
    <s v="都営大江戸線 東中野駅 2階建 築6年"/>
    <s v="東京都中野区東中野４"/>
    <n v="71000"/>
    <n v="3000"/>
    <m/>
    <m/>
    <n v="2"/>
    <x v="0"/>
    <n v="10.82"/>
    <n v="6"/>
    <x v="0"/>
    <s v="落合駅"/>
    <n v="2"/>
    <n v="4.33"/>
    <n v="139800.48000000001"/>
    <n v="77692.34"/>
    <n v="420"/>
    <n v="1071"/>
    <s v="10-20"/>
    <x v="0"/>
  </r>
  <r>
    <s v="https://suumo.jp/chintai/jnc_000087802241/?bc=100484600771"/>
    <s v="都営大江戸線 東中野駅 2階建 築6年"/>
    <s v="東京都中野区東中野４"/>
    <n v="70000"/>
    <n v="3000"/>
    <m/>
    <m/>
    <n v="2"/>
    <x v="0"/>
    <n v="10.82"/>
    <n v="6"/>
    <x v="0"/>
    <s v="落合駅"/>
    <n v="2"/>
    <n v="4.33"/>
    <n v="139800.48000000001"/>
    <n v="77692.34"/>
    <n v="420"/>
    <n v="1071"/>
    <s v="10-20"/>
    <x v="0"/>
  </r>
  <r>
    <s v="https://suumo.jp/chintai/jnc_000103006526/?bc=100475945461"/>
    <s v="８７ｈｏｕｓｅ０２"/>
    <s v="東京都中野区東中野４"/>
    <n v="67000"/>
    <n v="3000"/>
    <m/>
    <n v="67000"/>
    <n v="1"/>
    <x v="0"/>
    <n v="11.53"/>
    <n v="17"/>
    <x v="0"/>
    <s v="落合駅"/>
    <n v="5"/>
    <n v="7.67"/>
    <n v="139800.48000000001"/>
    <n v="77692.34"/>
    <n v="420"/>
    <n v="1071"/>
    <s v="10-20"/>
    <x v="7"/>
  </r>
  <r>
    <s v="https://suumo.jp/chintai/jnc_000103897223/?bc=100481428979"/>
    <s v="ＪＲ中央線 中野駅 2階建 築11年"/>
    <s v="東京都中野区上高田１"/>
    <n v="65000"/>
    <n v="3000"/>
    <m/>
    <m/>
    <n v="2"/>
    <x v="0"/>
    <n v="10.199999999999999"/>
    <n v="11"/>
    <x v="0"/>
    <s v="落合駅"/>
    <n v="13"/>
    <n v="14"/>
    <n v="139800.48000000001"/>
    <n v="77692.34"/>
    <n v="420"/>
    <n v="1071"/>
    <s v="10-20"/>
    <x v="7"/>
  </r>
  <r>
    <s v="https://suumo.jp/chintai/jnc_000103346723/?bc=100476907137"/>
    <s v="ＪＲ中央線 東中野駅 2階建 築11年"/>
    <s v="東京都中野区東中野５"/>
    <n v="71000"/>
    <n v="4000"/>
    <m/>
    <n v="71000"/>
    <n v="2"/>
    <x v="0"/>
    <n v="12.01"/>
    <n v="11"/>
    <x v="0"/>
    <s v="落合駅"/>
    <n v="6"/>
    <n v="8.67"/>
    <n v="139800.48000000001"/>
    <n v="77692.34"/>
    <n v="420"/>
    <n v="1071"/>
    <s v="10-20"/>
    <x v="7"/>
  </r>
  <r>
    <s v="https://suumo.jp/chintai/jnc_000103285872/?bc=100481346322"/>
    <s v="ＪＲ中央線 東中野駅 2階建 築14年"/>
    <s v="東京都中野区東中野４"/>
    <n v="65000"/>
    <n v="5000"/>
    <m/>
    <m/>
    <n v="2"/>
    <x v="0"/>
    <n v="16.010000000000002"/>
    <n v="14"/>
    <x v="0"/>
    <s v="落合駅"/>
    <n v="3"/>
    <n v="10"/>
    <n v="139800.48000000001"/>
    <n v="77692.34"/>
    <n v="420"/>
    <n v="1071"/>
    <s v="10-20"/>
    <x v="7"/>
  </r>
  <r>
    <s v="https://suumo.jp/chintai/jnc_000103919950/?bc=100390774078"/>
    <s v="ＪＲ中央線 東中野駅 2階建 築15年"/>
    <s v="東京都中野区上高田１"/>
    <n v="51000"/>
    <n v="4000"/>
    <m/>
    <m/>
    <n v="1"/>
    <x v="0"/>
    <n v="12"/>
    <n v="15"/>
    <x v="0"/>
    <s v="落合駅"/>
    <n v="7"/>
    <n v="9.33"/>
    <n v="139800.48000000001"/>
    <n v="77692.34"/>
    <n v="420"/>
    <n v="1071"/>
    <s v="10-20"/>
    <x v="7"/>
  </r>
  <r>
    <s v="https://suumo.jp/chintai/jnc_000102484806/?bc=100470322223"/>
    <s v="ＪＲ中央線 東中野駅 3階建 築2年"/>
    <s v="東京都中野区東中野３"/>
    <n v="79000"/>
    <n v="10000"/>
    <n v="79000"/>
    <n v="79000"/>
    <n v="1"/>
    <x v="0"/>
    <n v="15.29"/>
    <n v="2"/>
    <x v="2"/>
    <s v="落合駅"/>
    <n v="3"/>
    <n v="7"/>
    <n v="139800.48000000001"/>
    <n v="77692.34"/>
    <n v="420"/>
    <n v="1071"/>
    <s v="10-20"/>
    <x v="0"/>
  </r>
  <r>
    <s v="https://suumo.jp/chintai/jnc_000103195238/?bc=100475678011"/>
    <s v="Ｌｅｓ，Ｓｏｒｂｉｅｒｓ東中野"/>
    <s v="東京都中野区東中野４"/>
    <n v="90000"/>
    <m/>
    <n v="90000"/>
    <m/>
    <n v="1"/>
    <x v="0"/>
    <n v="22.17"/>
    <n v="20"/>
    <x v="4"/>
    <s v="落合駅"/>
    <n v="3"/>
    <n v="10"/>
    <n v="139800.48000000001"/>
    <n v="77692.34"/>
    <n v="420"/>
    <n v="1071"/>
    <s v="20-30"/>
    <x v="7"/>
  </r>
  <r>
    <s v="https://suumo.jp/chintai/jnc_000104138605/?bc=100483716487"/>
    <s v="Lino Ochiai"/>
    <s v="東京都新宿区上落合３"/>
    <n v="180000"/>
    <n v="5000"/>
    <m/>
    <m/>
    <n v="4"/>
    <x v="5"/>
    <n v="40.58"/>
    <n v="6"/>
    <x v="7"/>
    <s v="落合駅"/>
    <n v="2"/>
    <n v="5.67"/>
    <n v="139800.48000000001"/>
    <n v="207063.41"/>
    <n v="420"/>
    <n v="41"/>
    <s v="40-50"/>
    <x v="0"/>
  </r>
  <r>
    <s v="https://suumo.jp/chintai/jnc_000103987642/?bc=100481994582"/>
    <s v="ラ・テラス落合"/>
    <s v="東京都中野区東中野４"/>
    <n v="193000"/>
    <n v="10000"/>
    <n v="193000"/>
    <n v="193000"/>
    <n v="3"/>
    <x v="5"/>
    <n v="51.35"/>
    <n v="8"/>
    <x v="1"/>
    <s v="落合駅"/>
    <n v="1"/>
    <n v="5.33"/>
    <n v="139800.48000000001"/>
    <n v="207063.41"/>
    <n v="420"/>
    <n v="41"/>
    <s v="50-60"/>
    <x v="0"/>
  </r>
  <r>
    <s v="https://suumo.jp/chintai/jnc_000104169941/?bc=100483852539"/>
    <s v="東京メトロ東西線 落合駅 5階建 築6年"/>
    <s v="東京都新宿区上落合３"/>
    <n v="180000"/>
    <n v="5000"/>
    <m/>
    <m/>
    <n v="5"/>
    <x v="5"/>
    <n v="40.58"/>
    <n v="6"/>
    <x v="7"/>
    <s v="落合駅"/>
    <n v="2"/>
    <n v="5.67"/>
    <n v="139800.48000000001"/>
    <n v="207063.41"/>
    <n v="420"/>
    <n v="41"/>
    <s v="40-50"/>
    <x v="0"/>
  </r>
  <r>
    <s v="https://suumo.jp/chintai/jnc_000103994045/?bc=100482033750"/>
    <s v="東京メトロ東西線 落合駅 地下2地上14階建 築20年"/>
    <s v="東京都新宿区上落合３"/>
    <n v="195799.99999999901"/>
    <n v="13000"/>
    <n v="195799.99999999901"/>
    <n v="195799.99999999901"/>
    <n v="11"/>
    <x v="5"/>
    <n v="45.07"/>
    <n v="20"/>
    <x v="18"/>
    <s v="落合駅"/>
    <n v="2"/>
    <n v="5.67"/>
    <n v="139800.48000000001"/>
    <n v="207063.41"/>
    <n v="420"/>
    <n v="41"/>
    <s v="40-50"/>
    <x v="7"/>
  </r>
  <r>
    <s v="https://suumo.jp/chintai/jnc_000104303514/?bc=100484573844"/>
    <s v="東京メトロ東西線 落合駅 地下2地上14階建 築20年"/>
    <s v="東京都新宿区上落合３"/>
    <n v="154000"/>
    <n v="12000"/>
    <n v="154000"/>
    <n v="154000"/>
    <n v="5"/>
    <x v="5"/>
    <n v="40.340000000000003"/>
    <n v="20"/>
    <x v="18"/>
    <s v="落合駅"/>
    <n v="2"/>
    <n v="5.67"/>
    <n v="139800.48000000001"/>
    <n v="207063.41"/>
    <n v="420"/>
    <n v="41"/>
    <s v="40-50"/>
    <x v="7"/>
  </r>
  <r>
    <s v="https://suumo.jp/chintai/jnc_000103976342/?bc=100483771701"/>
    <s v="ＦＬＡＭＰ"/>
    <s v="東京都新宿区上落合３"/>
    <n v="195799.99999999901"/>
    <n v="13000"/>
    <n v="195799.99999999901"/>
    <n v="195799.99999999901"/>
    <n v="11"/>
    <x v="5"/>
    <n v="45.07"/>
    <n v="20"/>
    <x v="18"/>
    <s v="落合駅"/>
    <n v="2"/>
    <n v="6"/>
    <n v="139800.48000000001"/>
    <n v="207063.41"/>
    <n v="420"/>
    <n v="41"/>
    <s v="40-50"/>
    <x v="7"/>
  </r>
  <r>
    <s v="https://suumo.jp/chintai/jnc_000104271763/?bc=100485362701"/>
    <s v="ＦＬＡＭＰ"/>
    <s v="東京都新宿区上落合３"/>
    <n v="154000"/>
    <n v="12000"/>
    <n v="154000"/>
    <n v="154000"/>
    <n v="5"/>
    <x v="5"/>
    <n v="40.340000000000003"/>
    <n v="20"/>
    <x v="18"/>
    <s v="落合駅"/>
    <n v="2"/>
    <n v="6"/>
    <n v="139800.48000000001"/>
    <n v="207063.41"/>
    <n v="420"/>
    <n v="41"/>
    <s v="40-50"/>
    <x v="7"/>
  </r>
  <r>
    <s v="https://suumo.jp/chintai/jnc_000104214949/?bc=100483910602"/>
    <s v="ＪＲ中央線 東中野駅 地下1地上5階建 築6年"/>
    <s v="東京都新宿区上落合３"/>
    <n v="180000"/>
    <n v="5000"/>
    <m/>
    <m/>
    <n v="4"/>
    <x v="5"/>
    <n v="40.58"/>
    <n v="6"/>
    <x v="5"/>
    <s v="落合駅"/>
    <n v="1"/>
    <n v="5"/>
    <n v="139800.48000000001"/>
    <n v="207063.41"/>
    <n v="420"/>
    <n v="41"/>
    <s v="40-50"/>
    <x v="0"/>
  </r>
  <r>
    <s v="https://suumo.jp/chintai/jnc_000104492008/?bc=100486041506"/>
    <s v="アーサメイジャー"/>
    <s v="東京都中野区東中野３"/>
    <n v="124000"/>
    <n v="6000"/>
    <n v="124000"/>
    <n v="124000"/>
    <n v="5"/>
    <x v="6"/>
    <n v="36.799999999999997"/>
    <n v="36"/>
    <x v="9"/>
    <s v="落合駅"/>
    <n v="1"/>
    <n v="8.33"/>
    <n v="139800.48000000001"/>
    <n v="141491.45000000001"/>
    <n v="420"/>
    <n v="117"/>
    <s v="30-40"/>
    <x v="4"/>
  </r>
  <r>
    <s v="https://suumo.jp/chintai/jnc_000104149209/?bc=100483757594"/>
    <s v="グローリス中野"/>
    <s v="東京都中野区中野６"/>
    <n v="160000"/>
    <n v="5000"/>
    <n v="160000"/>
    <n v="160000"/>
    <n v="3"/>
    <x v="6"/>
    <n v="44.56"/>
    <n v="31"/>
    <x v="4"/>
    <s v="落合駅"/>
    <n v="9"/>
    <n v="11"/>
    <n v="139800.48000000001"/>
    <n v="141491.45000000001"/>
    <n v="420"/>
    <n v="117"/>
    <s v="40-50"/>
    <x v="4"/>
  </r>
  <r>
    <s v="https://suumo.jp/chintai/jnc_000100822017/?bc=100483724323"/>
    <s v="サンハイツ落合"/>
    <s v="東京都中野区東中野３"/>
    <n v="125000"/>
    <m/>
    <m/>
    <n v="125000"/>
    <n v="8"/>
    <x v="6"/>
    <n v="27.79"/>
    <n v="60"/>
    <x v="9"/>
    <s v="落合駅"/>
    <n v="4"/>
    <n v="10"/>
    <n v="139800.48000000001"/>
    <n v="141491.45000000001"/>
    <n v="420"/>
    <n v="117"/>
    <s v="20-30"/>
    <x v="5"/>
  </r>
  <r>
    <s v="https://suumo.jp/chintai/jnc_000103717066/?bc=100480013436"/>
    <s v="宮越マンション"/>
    <s v="東京都新宿区上落合３"/>
    <n v="130000"/>
    <m/>
    <n v="130000"/>
    <n v="130000"/>
    <n v="2"/>
    <x v="6"/>
    <n v="38"/>
    <n v="47"/>
    <x v="4"/>
    <s v="落合駅"/>
    <n v="4"/>
    <n v="8"/>
    <n v="139800.48000000001"/>
    <n v="141491.45000000001"/>
    <n v="420"/>
    <n v="117"/>
    <s v="30-40"/>
    <x v="3"/>
  </r>
  <r>
    <s v="https://suumo.jp/chintai/jnc_000103717065/?bc=100479981027"/>
    <s v="東京メトロ東西線 落合駅 4階建 築47年"/>
    <s v="東京都新宿区上落合３"/>
    <n v="130000"/>
    <m/>
    <n v="130000"/>
    <n v="130000"/>
    <n v="2"/>
    <x v="6"/>
    <n v="36"/>
    <n v="47"/>
    <x v="4"/>
    <s v="落合駅"/>
    <n v="1"/>
    <n v="5"/>
    <n v="139800.48000000001"/>
    <n v="141491.45000000001"/>
    <n v="420"/>
    <n v="117"/>
    <s v="30-40"/>
    <x v="3"/>
  </r>
  <r>
    <s v="https://suumo.jp/chintai/jnc_000103742496/?bc=100485413492"/>
    <s v="東京メトロ東西線 落合駅 4階建 築47年"/>
    <s v="東京都新宿区上落合３"/>
    <n v="130000"/>
    <m/>
    <n v="130000"/>
    <n v="130000"/>
    <n v="2"/>
    <x v="6"/>
    <n v="38"/>
    <n v="47"/>
    <x v="4"/>
    <s v="落合駅"/>
    <n v="1"/>
    <n v="5.67"/>
    <n v="139800.48000000001"/>
    <n v="141491.45000000001"/>
    <n v="420"/>
    <n v="117"/>
    <s v="30-40"/>
    <x v="3"/>
  </r>
  <r>
    <s v="https://suumo.jp/chintai/jnc_000103459326/?bc=100477650183"/>
    <s v="藤和東中野コープ"/>
    <s v="東京都中野区東中野３"/>
    <n v="110000"/>
    <m/>
    <n v="110000"/>
    <n v="110000"/>
    <n v="8"/>
    <x v="6"/>
    <n v="45"/>
    <n v="58"/>
    <x v="3"/>
    <s v="落合駅"/>
    <n v="3"/>
    <n v="5.33"/>
    <n v="139800.48000000001"/>
    <n v="141491.45000000001"/>
    <n v="420"/>
    <n v="117"/>
    <s v="40-50"/>
    <x v="5"/>
  </r>
  <r>
    <s v="https://suumo.jp/chintai/jnc_000104170651/?bc=100483809068"/>
    <s v="ＪＲ中央線 中野駅 4階建 築31年"/>
    <s v="東京都中野区中野６"/>
    <n v="160000"/>
    <n v="5000"/>
    <n v="160000"/>
    <n v="160000"/>
    <n v="3"/>
    <x v="6"/>
    <n v="44"/>
    <n v="31"/>
    <x v="4"/>
    <s v="落合駅"/>
    <n v="9"/>
    <n v="11"/>
    <n v="139800.48000000001"/>
    <n v="141491.45000000001"/>
    <n v="420"/>
    <n v="117"/>
    <s v="40-50"/>
    <x v="4"/>
  </r>
  <r>
    <s v="https://suumo.jp/chintai/jnc_000104499538/?bc=100486084725"/>
    <s v="ＪＲ総武線 東中野駅 8階建 築36年"/>
    <s v="東京都中野区東中野３"/>
    <n v="124000"/>
    <n v="6000"/>
    <n v="124000"/>
    <n v="124000"/>
    <n v="5"/>
    <x v="6"/>
    <n v="36.799999999999997"/>
    <n v="36"/>
    <x v="9"/>
    <s v="落合駅"/>
    <n v="1"/>
    <n v="8.33"/>
    <n v="139800.48000000001"/>
    <n v="141491.45000000001"/>
    <n v="420"/>
    <n v="117"/>
    <s v="30-40"/>
    <x v="4"/>
  </r>
  <r>
    <s v="https://suumo.jp/chintai/jnc_000101817873/?bc=100470224002"/>
    <s v="LEGALAND東中野"/>
    <s v="東京都中野区東中野５"/>
    <n v="135000"/>
    <n v="10000"/>
    <m/>
    <n v="135000"/>
    <n v="2"/>
    <x v="7"/>
    <n v="26.16"/>
    <n v="2"/>
    <x v="7"/>
    <s v="落合駅"/>
    <n v="8"/>
    <n v="10.33"/>
    <n v="139800.48000000001"/>
    <n v="117441.44"/>
    <n v="420"/>
    <n v="111"/>
    <s v="20-30"/>
    <x v="0"/>
  </r>
  <r>
    <s v="https://suumo.jp/chintai/jnc_000103690574/?bc=100479872698"/>
    <s v="コンフォリア・リヴ東中野"/>
    <s v="東京都中野区上高田１"/>
    <n v="140000"/>
    <n v="10000"/>
    <n v="140000"/>
    <m/>
    <n v="1"/>
    <x v="7"/>
    <n v="25.37"/>
    <n v="0"/>
    <x v="4"/>
    <s v="落合駅"/>
    <n v="9"/>
    <n v="9.67"/>
    <n v="139800.48000000001"/>
    <n v="117441.44"/>
    <n v="420"/>
    <n v="111"/>
    <s v="20-30"/>
    <x v="6"/>
  </r>
  <r>
    <s v="https://suumo.jp/chintai/jnc_000103690575/?bc=100485052096"/>
    <s v="コンフォリア・リヴ東中野"/>
    <s v="東京都中野区上高田１"/>
    <n v="142000"/>
    <n v="10000"/>
    <n v="142000"/>
    <m/>
    <n v="1"/>
    <x v="7"/>
    <n v="25.68"/>
    <n v="0"/>
    <x v="4"/>
    <s v="落合駅"/>
    <n v="9"/>
    <n v="9.67"/>
    <n v="139800.48000000001"/>
    <n v="117441.44"/>
    <n v="420"/>
    <n v="111"/>
    <s v="20-30"/>
    <x v="6"/>
  </r>
  <r>
    <s v="https://suumo.jp/chintai/jnc_000103690576/?bc=100479799771"/>
    <s v="コンフォリア・リヴ東中野"/>
    <s v="東京都中野区上高田１"/>
    <n v="143000"/>
    <n v="10000"/>
    <n v="143000"/>
    <m/>
    <n v="1"/>
    <x v="7"/>
    <n v="25.68"/>
    <n v="0"/>
    <x v="4"/>
    <s v="落合駅"/>
    <n v="9"/>
    <n v="9.67"/>
    <n v="139800.48000000001"/>
    <n v="117441.44"/>
    <n v="420"/>
    <n v="111"/>
    <s v="20-30"/>
    <x v="6"/>
  </r>
  <r>
    <s v="https://suumo.jp/chintai/jnc_000103144290/?bc=100473250616"/>
    <s v="コンフォリア・リヴ東中野"/>
    <s v="東京都中野区上高田１"/>
    <n v="142000"/>
    <n v="10000"/>
    <n v="142000"/>
    <m/>
    <n v="2"/>
    <x v="7"/>
    <n v="25.68"/>
    <n v="0"/>
    <x v="4"/>
    <s v="落合駅"/>
    <n v="9"/>
    <n v="9.67"/>
    <n v="139800.48000000001"/>
    <n v="117441.44"/>
    <n v="420"/>
    <n v="111"/>
    <s v="20-30"/>
    <x v="6"/>
  </r>
  <r>
    <s v="https://suumo.jp/chintai/jnc_000101851827/?bc=100480866765"/>
    <s v="コンフォリア・リヴ東中野"/>
    <s v="東京都中野区上高田１"/>
    <n v="144000"/>
    <n v="10000"/>
    <n v="144000"/>
    <m/>
    <n v="3"/>
    <x v="7"/>
    <n v="25.37"/>
    <n v="0"/>
    <x v="4"/>
    <s v="落合駅"/>
    <n v="9"/>
    <n v="9.67"/>
    <n v="139800.48000000001"/>
    <n v="117441.44"/>
    <n v="420"/>
    <n v="111"/>
    <s v="20-30"/>
    <x v="6"/>
  </r>
  <r>
    <s v="https://suumo.jp/chintai/jnc_000102777660/?bc=100482841900"/>
    <s v="コンフォリア・リヴ東中野"/>
    <s v="東京都中野区上高田１"/>
    <n v="143000"/>
    <n v="10000"/>
    <n v="143000"/>
    <m/>
    <n v="3"/>
    <x v="7"/>
    <n v="25.68"/>
    <n v="0"/>
    <x v="4"/>
    <s v="落合駅"/>
    <n v="9"/>
    <n v="9.67"/>
    <n v="139800.48000000001"/>
    <n v="117441.44"/>
    <n v="420"/>
    <n v="111"/>
    <s v="20-30"/>
    <x v="6"/>
  </r>
  <r>
    <s v="https://suumo.jp/chintai/jnc_000104464968/?bc=100364224730"/>
    <s v="コンフォート中野"/>
    <s v="東京都中野区中野６"/>
    <n v="100000"/>
    <n v="3000"/>
    <n v="100000"/>
    <m/>
    <n v="1"/>
    <x v="7"/>
    <n v="33"/>
    <n v="21"/>
    <x v="4"/>
    <s v="落合駅"/>
    <n v="5"/>
    <n v="6.33"/>
    <n v="139800.48000000001"/>
    <n v="117441.44"/>
    <n v="420"/>
    <n v="111"/>
    <s v="30-40"/>
    <x v="1"/>
  </r>
  <r>
    <s v="https://suumo.jp/chintai/jnc_000103695151/?bc=100479880055"/>
    <s v="東京メトロ東西線 落合駅 3階建 新築"/>
    <s v="東京都中野区上高田１"/>
    <n v="140000"/>
    <n v="10000"/>
    <n v="140000"/>
    <m/>
    <n v="1"/>
    <x v="7"/>
    <n v="25.37"/>
    <n v="0"/>
    <x v="2"/>
    <s v="落合駅"/>
    <n v="9"/>
    <n v="11"/>
    <n v="139800.48000000001"/>
    <n v="117441.44"/>
    <n v="420"/>
    <n v="111"/>
    <s v="20-30"/>
    <x v="6"/>
  </r>
  <r>
    <s v="https://suumo.jp/chintai/jnc_000103161981/?bc=100477119630"/>
    <s v="東京メトロ東西線 落合駅 3階建 新築"/>
    <s v="東京都中野区上高田１"/>
    <n v="142000"/>
    <n v="10000"/>
    <n v="142000"/>
    <m/>
    <n v="1"/>
    <x v="7"/>
    <n v="25.68"/>
    <n v="0"/>
    <x v="2"/>
    <s v="落合駅"/>
    <n v="9"/>
    <n v="11"/>
    <n v="139800.48000000001"/>
    <n v="117441.44"/>
    <n v="420"/>
    <n v="111"/>
    <s v="20-30"/>
    <x v="6"/>
  </r>
  <r>
    <s v="https://suumo.jp/chintai/jnc_000103702508/?bc=100479852009"/>
    <s v="東京メトロ東西線 落合駅 3階建 新築"/>
    <s v="東京都中野区上高田１"/>
    <n v="143000"/>
    <n v="10000"/>
    <n v="143000"/>
    <m/>
    <n v="1"/>
    <x v="7"/>
    <n v="25.68"/>
    <n v="0"/>
    <x v="2"/>
    <s v="落合駅"/>
    <n v="9"/>
    <n v="11"/>
    <n v="139800.48000000001"/>
    <n v="117441.44"/>
    <n v="420"/>
    <n v="111"/>
    <s v="20-30"/>
    <x v="6"/>
  </r>
  <r>
    <s v="https://suumo.jp/chintai/jnc_000101917036/?bc=100473970312"/>
    <s v="東京メトロ東西線 落合駅 3階建 新築"/>
    <s v="東京都中野区上高田１"/>
    <n v="144000"/>
    <n v="10000"/>
    <n v="144000"/>
    <m/>
    <n v="3"/>
    <x v="7"/>
    <n v="25.37"/>
    <n v="0"/>
    <x v="2"/>
    <s v="落合駅"/>
    <n v="9"/>
    <n v="11"/>
    <n v="139800.48000000001"/>
    <n v="117441.44"/>
    <n v="420"/>
    <n v="111"/>
    <s v="20-30"/>
    <x v="6"/>
  </r>
  <r>
    <s v="https://suumo.jp/chintai/jnc_000102109244/?bc=100484207148"/>
    <s v="東京メトロ東西線 落合駅 5階建 築3年"/>
    <s v="東京都中野区東中野５"/>
    <n v="138000"/>
    <n v="15000"/>
    <n v="138000"/>
    <n v="138000"/>
    <n v="1"/>
    <x v="7"/>
    <n v="25.98"/>
    <n v="3"/>
    <x v="7"/>
    <s v="落合駅"/>
    <n v="7"/>
    <n v="11"/>
    <n v="139800.48000000001"/>
    <n v="117441.44"/>
    <n v="420"/>
    <n v="111"/>
    <s v="20-30"/>
    <x v="0"/>
  </r>
  <r>
    <s v="https://suumo.jp/chintai/jnc_000103324587/?bc=100485411220"/>
    <s v="東京メトロ東西線 落合駅 5階建 築3年"/>
    <s v="東京都中野区東中野５"/>
    <n v="140000"/>
    <n v="15000"/>
    <n v="140000"/>
    <n v="140000"/>
    <n v="3"/>
    <x v="7"/>
    <n v="25.5"/>
    <n v="3"/>
    <x v="7"/>
    <s v="落合駅"/>
    <n v="7"/>
    <n v="11"/>
    <n v="139800.48000000001"/>
    <n v="117441.44"/>
    <n v="420"/>
    <n v="111"/>
    <s v="20-30"/>
    <x v="0"/>
  </r>
  <r>
    <s v="https://suumo.jp/chintai/jnc_000103459327/?bc=100477688376"/>
    <s v="田島ハウス"/>
    <s v="東京都中野区東中野５"/>
    <n v="70000"/>
    <n v="1000"/>
    <n v="70000"/>
    <n v="70000"/>
    <n v="2"/>
    <x v="7"/>
    <n v="26.4"/>
    <n v="49"/>
    <x v="0"/>
    <s v="落合駅"/>
    <n v="6"/>
    <n v="8.67"/>
    <n v="139800.48000000001"/>
    <n v="117441.44"/>
    <n v="420"/>
    <n v="111"/>
    <s v="20-30"/>
    <x v="3"/>
  </r>
  <r>
    <s v="https://suumo.jp/chintai/jnc_000103844276/?bc=100477976278"/>
    <s v="田島ハウス"/>
    <s v="東京都中野区東中野５"/>
    <n v="64000"/>
    <n v="1000"/>
    <n v="64000"/>
    <n v="64000"/>
    <n v="2"/>
    <x v="7"/>
    <n v="26.64"/>
    <n v="49"/>
    <x v="0"/>
    <s v="落合駅"/>
    <n v="6"/>
    <n v="8.67"/>
    <n v="139800.48000000001"/>
    <n v="117441.44"/>
    <n v="420"/>
    <n v="111"/>
    <s v="20-30"/>
    <x v="3"/>
  </r>
  <r>
    <s v="https://suumo.jp/chintai/jnc_000103373365/?bc=100478053702"/>
    <s v="田島ハウス"/>
    <s v="東京都中野区東中野５"/>
    <n v="69000"/>
    <n v="1000"/>
    <n v="69000"/>
    <n v="69000"/>
    <n v="2"/>
    <x v="7"/>
    <n v="26"/>
    <n v="49"/>
    <x v="0"/>
    <s v="落合駅"/>
    <n v="6"/>
    <n v="8.67"/>
    <n v="139800.48000000001"/>
    <n v="117441.44"/>
    <n v="420"/>
    <n v="111"/>
    <s v="20-30"/>
    <x v="3"/>
  </r>
  <r>
    <s v="https://suumo.jp/chintai/jnc_000103440564/?bc=100482930993"/>
    <s v="田島ハウス"/>
    <s v="東京都中野区東中野５"/>
    <n v="74000"/>
    <n v="1000"/>
    <n v="74000"/>
    <n v="74000"/>
    <n v="2"/>
    <x v="7"/>
    <n v="26"/>
    <n v="49"/>
    <x v="0"/>
    <s v="落合駅"/>
    <n v="6"/>
    <n v="8.67"/>
    <n v="139800.48000000001"/>
    <n v="117441.44"/>
    <n v="420"/>
    <n v="111"/>
    <s v="20-30"/>
    <x v="3"/>
  </r>
  <r>
    <s v="https://suumo.jp/chintai/jnc_000104432895/?bc=100471894784"/>
    <s v="ＪＲ山手線 高田馬場駅 11階建 築5年"/>
    <s v="東京都新宿区北新宿４"/>
    <n v="126000"/>
    <n v="15000"/>
    <m/>
    <n v="126000"/>
    <n v="7"/>
    <x v="7"/>
    <n v="25.68"/>
    <n v="5"/>
    <x v="8"/>
    <s v="落合駅"/>
    <n v="10"/>
    <n v="12.33"/>
    <n v="139800.48000000001"/>
    <n v="117441.44"/>
    <n v="420"/>
    <n v="111"/>
    <s v="20-30"/>
    <x v="0"/>
  </r>
  <r>
    <s v="https://suumo.jp/chintai/jnc_000104432892/?bc=100478447831"/>
    <s v="ＸＥＢＥＣ北新宿（ジーベックキタシンジュク）"/>
    <s v="東京都新宿区北新宿４"/>
    <n v="130000"/>
    <n v="15000"/>
    <m/>
    <n v="130000"/>
    <n v="11"/>
    <x v="7"/>
    <n v="25.68"/>
    <n v="5"/>
    <x v="8"/>
    <s v="落合駅"/>
    <n v="10"/>
    <n v="12.33"/>
    <n v="139800.48000000001"/>
    <n v="117441.44"/>
    <n v="420"/>
    <n v="111"/>
    <s v="20-30"/>
    <x v="0"/>
  </r>
  <r>
    <s v="https://suumo.jp/chintai/jnc_000104432893/?bc=100478447840"/>
    <s v="ＸＥＢＥＣ北新宿（ジーベックキタシンジュク）"/>
    <s v="東京都新宿区北新宿４"/>
    <n v="124000"/>
    <n v="15000"/>
    <m/>
    <n v="124000"/>
    <n v="5"/>
    <x v="7"/>
    <n v="25.68"/>
    <n v="5"/>
    <x v="8"/>
    <s v="落合駅"/>
    <n v="10"/>
    <n v="12.33"/>
    <n v="139800.48000000001"/>
    <n v="117441.44"/>
    <n v="420"/>
    <n v="111"/>
    <s v="20-30"/>
    <x v="0"/>
  </r>
  <r>
    <s v="https://suumo.jp/chintai/jnc_000104432894/?bc=100471888113"/>
    <s v="ＸＥＢＥＣ北新宿（ジーベックキタシンジュク）"/>
    <s v="東京都新宿区北新宿４"/>
    <n v="126000"/>
    <n v="15000"/>
    <m/>
    <n v="126000"/>
    <n v="7"/>
    <x v="7"/>
    <n v="25.68"/>
    <n v="5"/>
    <x v="8"/>
    <s v="落合駅"/>
    <n v="10"/>
    <n v="12.33"/>
    <n v="139800.48000000001"/>
    <n v="117441.44"/>
    <n v="420"/>
    <n v="111"/>
    <s v="20-30"/>
    <x v="0"/>
  </r>
  <r>
    <s v="https://suumo.jp/chintai/jnc_000104464974/?bc=100483550073"/>
    <s v="アイレックス"/>
    <s v="東京都中野区東中野３"/>
    <n v="298000"/>
    <m/>
    <n v="298000"/>
    <n v="298000"/>
    <n v="2"/>
    <x v="8"/>
    <n v="80.02"/>
    <n v="29"/>
    <x v="5"/>
    <s v="落合駅"/>
    <n v="2"/>
    <n v="3.33"/>
    <n v="139800.48000000001"/>
    <n v="232352.65"/>
    <n v="420"/>
    <n v="359"/>
    <s v="80-90"/>
    <x v="1"/>
  </r>
  <r>
    <s v="https://suumo.jp/chintai/jnc_000104107298/?bc=100483101529"/>
    <s v="エルミ上落合"/>
    <s v="東京都新宿区上落合３"/>
    <n v="245000"/>
    <n v="20000"/>
    <n v="245000"/>
    <n v="245000"/>
    <n v="2"/>
    <x v="8"/>
    <n v="52.47"/>
    <n v="0"/>
    <x v="4"/>
    <s v="落合駅"/>
    <n v="6"/>
    <n v="8"/>
    <n v="139800.48000000001"/>
    <n v="232352.65"/>
    <n v="420"/>
    <n v="359"/>
    <s v="50-60"/>
    <x v="6"/>
  </r>
  <r>
    <s v="https://suumo.jp/chintai/jnc_000103585710/?bc=100478856029"/>
    <s v="エルミ上落合"/>
    <s v="東京都新宿区上落合３"/>
    <n v="250000"/>
    <n v="20000"/>
    <n v="250000"/>
    <n v="250000"/>
    <n v="2"/>
    <x v="8"/>
    <n v="52.47"/>
    <n v="0"/>
    <x v="4"/>
    <s v="落合駅"/>
    <n v="6"/>
    <n v="8"/>
    <n v="139800.48000000001"/>
    <n v="232352.65"/>
    <n v="420"/>
    <n v="359"/>
    <s v="50-60"/>
    <x v="6"/>
  </r>
  <r>
    <s v="https://suumo.jp/chintai/jnc_000104107302/?bc=100478845717"/>
    <s v="エルミ上落合"/>
    <s v="東京都新宿区上落合３"/>
    <n v="255000"/>
    <n v="20000"/>
    <n v="255000"/>
    <n v="255000"/>
    <n v="4"/>
    <x v="8"/>
    <n v="52.47"/>
    <n v="0"/>
    <x v="4"/>
    <s v="落合駅"/>
    <n v="6"/>
    <n v="8"/>
    <n v="139800.48000000001"/>
    <n v="232352.65"/>
    <n v="420"/>
    <n v="359"/>
    <s v="50-60"/>
    <x v="6"/>
  </r>
  <r>
    <s v="https://suumo.jp/chintai/jnc_000103585711/?bc=100479821765"/>
    <s v="エルミ上落合"/>
    <s v="東京都新宿区上落合３"/>
    <n v="265000"/>
    <n v="20000"/>
    <n v="265000"/>
    <n v="265000"/>
    <n v="4"/>
    <x v="8"/>
    <n v="52.47"/>
    <n v="0"/>
    <x v="4"/>
    <s v="落合駅"/>
    <n v="6"/>
    <n v="8"/>
    <n v="139800.48000000001"/>
    <n v="232352.65"/>
    <n v="420"/>
    <n v="359"/>
    <s v="50-60"/>
    <x v="6"/>
  </r>
  <r>
    <s v="https://suumo.jp/chintai/jnc_000103144289/?bc=100463132633"/>
    <s v="コンフォリア・リヴ東中野"/>
    <s v="東京都中野区上高田１"/>
    <n v="293000"/>
    <n v="15000"/>
    <n v="293000"/>
    <m/>
    <n v="1"/>
    <x v="8"/>
    <n v="53.28"/>
    <n v="0"/>
    <x v="4"/>
    <s v="落合駅"/>
    <n v="9"/>
    <n v="9.67"/>
    <n v="139800.48000000001"/>
    <n v="232352.65"/>
    <n v="420"/>
    <n v="359"/>
    <s v="50-60"/>
    <x v="6"/>
  </r>
  <r>
    <s v="https://suumo.jp/chintai/jnc_000103144291/?bc=100473220214"/>
    <s v="コンフォリア・リヴ東中野"/>
    <s v="東京都中野区上高田１"/>
    <n v="296000"/>
    <n v="15000"/>
    <n v="296000"/>
    <m/>
    <n v="3"/>
    <x v="8"/>
    <n v="53.28"/>
    <n v="0"/>
    <x v="4"/>
    <s v="落合駅"/>
    <n v="9"/>
    <n v="9.67"/>
    <n v="139800.48000000001"/>
    <n v="232352.65"/>
    <n v="420"/>
    <n v="359"/>
    <s v="50-60"/>
    <x v="6"/>
  </r>
  <r>
    <s v="https://suumo.jp/chintai/jnc_000103690573/?bc=100479877886"/>
    <s v="コンフォリア・リヴ東中野"/>
    <s v="東京都中野区上高田１"/>
    <n v="298000"/>
    <n v="15000"/>
    <n v="298000"/>
    <m/>
    <n v="-1"/>
    <x v="8"/>
    <n v="53.28"/>
    <n v="0"/>
    <x v="4"/>
    <s v="落合駅"/>
    <n v="9"/>
    <n v="9.67"/>
    <n v="139800.48000000001"/>
    <n v="232352.65"/>
    <n v="420"/>
    <n v="359"/>
    <s v="50-60"/>
    <x v="6"/>
  </r>
  <r>
    <s v="https://suumo.jp/chintai/jnc_000104163317/?bc=100486421623"/>
    <s v="シーアイマンション東中野パークサイド"/>
    <s v="東京都中野区東中野５"/>
    <n v="258000"/>
    <m/>
    <n v="516000"/>
    <n v="258000"/>
    <n v="2"/>
    <x v="8"/>
    <n v="55.26"/>
    <n v="31"/>
    <x v="5"/>
    <s v="落合駅"/>
    <n v="6"/>
    <n v="7.33"/>
    <n v="139800.48000000001"/>
    <n v="232352.65"/>
    <n v="420"/>
    <n v="359"/>
    <s v="50-60"/>
    <x v="4"/>
  </r>
  <r>
    <s v="https://suumo.jp/chintai/jnc_000104482963/?bc=100486406543"/>
    <s v="セリオ落合東中野"/>
    <s v="東京都中野区東中野５"/>
    <n v="250000"/>
    <m/>
    <n v="250000"/>
    <n v="500000"/>
    <n v="7"/>
    <x v="8"/>
    <n v="65.25"/>
    <n v="12"/>
    <x v="1"/>
    <s v="落合駅"/>
    <n v="8"/>
    <n v="11.67"/>
    <n v="139800.48000000001"/>
    <n v="232352.65"/>
    <n v="420"/>
    <n v="359"/>
    <s v="60-70"/>
    <x v="7"/>
  </r>
  <r>
    <s v="https://suumo.jp/chintai/jnc_000103903875/?bc=100481501428"/>
    <s v="セリオ落合東中野"/>
    <s v="東京都中野区東中野５"/>
    <n v="200000"/>
    <m/>
    <n v="200000"/>
    <n v="300000"/>
    <n v="8"/>
    <x v="8"/>
    <n v="50.58"/>
    <n v="12"/>
    <x v="1"/>
    <s v="落合駅"/>
    <n v="8"/>
    <n v="11.67"/>
    <n v="139800.48000000001"/>
    <n v="232352.65"/>
    <n v="420"/>
    <n v="359"/>
    <s v="50-60"/>
    <x v="7"/>
  </r>
  <r>
    <s v="https://suumo.jp/chintai/jnc_000104249119/?bc=100435691076"/>
    <s v="ファミーユメゾン"/>
    <s v="東京都新宿区上落合２"/>
    <n v="170000"/>
    <n v="5000"/>
    <n v="170000"/>
    <n v="170000"/>
    <n v="2"/>
    <x v="8"/>
    <n v="59.1"/>
    <n v="27"/>
    <x v="2"/>
    <s v="落合駅"/>
    <n v="1"/>
    <n v="4"/>
    <n v="139800.48000000001"/>
    <n v="232352.65"/>
    <n v="420"/>
    <n v="359"/>
    <s v="50-60"/>
    <x v="1"/>
  </r>
  <r>
    <s v="https://suumo.jp/chintai/jnc_000101961762/?bc=100465062790"/>
    <s v="北新宿サマリアマンション"/>
    <s v="東京都新宿区北新宿４"/>
    <n v="245000"/>
    <n v="5000"/>
    <n v="245000"/>
    <n v="245000"/>
    <n v="8"/>
    <x v="8"/>
    <n v="63.2"/>
    <n v="51"/>
    <x v="3"/>
    <s v="落合駅"/>
    <n v="11"/>
    <n v="12"/>
    <n v="139800.48000000001"/>
    <n v="232352.65"/>
    <n v="420"/>
    <n v="359"/>
    <s v="60-70"/>
    <x v="5"/>
  </r>
  <r>
    <s v="https://suumo.jp/chintai/jnc_000104482964/?bc=100485988840"/>
    <s v="東京メトロ東西線 落合駅 10階建 築12年"/>
    <s v="東京都中野区東中野５"/>
    <n v="250000"/>
    <m/>
    <n v="250000"/>
    <n v="500000"/>
    <n v="7"/>
    <x v="8"/>
    <n v="65.25"/>
    <n v="12"/>
    <x v="1"/>
    <s v="落合駅"/>
    <n v="7"/>
    <n v="10"/>
    <n v="139800.48000000001"/>
    <n v="232352.65"/>
    <n v="420"/>
    <n v="359"/>
    <s v="60-70"/>
    <x v="7"/>
  </r>
  <r>
    <s v="https://suumo.jp/chintai/jnc_000103913726/?bc=100481651187"/>
    <s v="東京メトロ東西線 落合駅 10階建 築12年"/>
    <s v="東京都中野区東中野５"/>
    <n v="200000"/>
    <m/>
    <n v="200000"/>
    <n v="300000"/>
    <n v="8"/>
    <x v="8"/>
    <n v="50.58"/>
    <n v="12"/>
    <x v="1"/>
    <s v="落合駅"/>
    <n v="7"/>
    <n v="10"/>
    <n v="139800.48000000001"/>
    <n v="232352.65"/>
    <n v="420"/>
    <n v="359"/>
    <s v="50-60"/>
    <x v="7"/>
  </r>
  <r>
    <s v="https://suumo.jp/chintai/jnc_000103994052/?bc=100483236718"/>
    <s v="東京メトロ東西線 落合駅 10階建 築17年"/>
    <s v="東京都新宿区北新宿４"/>
    <n v="304000"/>
    <n v="15000"/>
    <n v="304000"/>
    <m/>
    <n v="1"/>
    <x v="8"/>
    <n v="68.83"/>
    <n v="17"/>
    <x v="1"/>
    <s v="落合駅"/>
    <n v="9"/>
    <n v="10.33"/>
    <n v="139800.48000000001"/>
    <n v="232352.65"/>
    <n v="420"/>
    <n v="359"/>
    <s v="60-70"/>
    <x v="7"/>
  </r>
  <r>
    <s v="https://suumo.jp/chintai/jnc_000103161980/?bc=100466962105"/>
    <s v="東京メトロ東西線 落合駅 3階建 新築"/>
    <s v="東京都中野区上高田１"/>
    <n v="293000"/>
    <n v="15000"/>
    <n v="293000"/>
    <m/>
    <n v="1"/>
    <x v="8"/>
    <n v="53.28"/>
    <n v="0"/>
    <x v="2"/>
    <s v="落合駅"/>
    <n v="9"/>
    <n v="11"/>
    <n v="139800.48000000001"/>
    <n v="232352.65"/>
    <n v="420"/>
    <n v="359"/>
    <s v="50-60"/>
    <x v="6"/>
  </r>
  <r>
    <s v="https://suumo.jp/chintai/jnc_000100847082/?bc=100463345017"/>
    <s v="東京メトロ東西線 落合駅 3階建 新築"/>
    <s v="東京都中野区上高田１"/>
    <n v="291000"/>
    <n v="15000"/>
    <n v="291000"/>
    <m/>
    <n v="2"/>
    <x v="8"/>
    <n v="53.28"/>
    <n v="0"/>
    <x v="2"/>
    <s v="落合駅"/>
    <n v="9"/>
    <n v="11"/>
    <n v="139800.48000000001"/>
    <n v="232352.65"/>
    <n v="420"/>
    <n v="359"/>
    <s v="50-60"/>
    <x v="6"/>
  </r>
  <r>
    <s v="https://suumo.jp/chintai/jnc_000103161982/?bc=100473033970"/>
    <s v="東京メトロ東西線 落合駅 3階建 新築"/>
    <s v="東京都中野区上高田１"/>
    <n v="296000"/>
    <n v="15000"/>
    <n v="296000"/>
    <m/>
    <n v="3"/>
    <x v="8"/>
    <n v="53.28"/>
    <n v="0"/>
    <x v="2"/>
    <s v="落合駅"/>
    <n v="9"/>
    <n v="11"/>
    <n v="139800.48000000001"/>
    <n v="232352.65"/>
    <n v="420"/>
    <n v="359"/>
    <s v="50-60"/>
    <x v="6"/>
  </r>
  <r>
    <s v="https://suumo.jp/chintai/jnc_000104138608/?bc=100479138814"/>
    <s v="東京メトロ東西線 落合駅 4階建 新築"/>
    <s v="東京都新宿区上落合３"/>
    <n v="245000"/>
    <n v="20000"/>
    <n v="245000"/>
    <n v="245000"/>
    <n v="2"/>
    <x v="8"/>
    <n v="52.47"/>
    <n v="0"/>
    <x v="4"/>
    <s v="落合駅"/>
    <n v="3"/>
    <n v="7.67"/>
    <n v="139800.48000000001"/>
    <n v="232352.65"/>
    <n v="420"/>
    <n v="359"/>
    <s v="50-60"/>
    <x v="6"/>
  </r>
  <r>
    <s v="https://suumo.jp/chintai/jnc_000103585712/?bc=100480375698"/>
    <s v="東京メトロ東西線 落合駅 4階建 新築"/>
    <s v="東京都新宿区上落合３"/>
    <n v="250000"/>
    <n v="20000"/>
    <n v="250000"/>
    <n v="250000"/>
    <n v="2"/>
    <x v="8"/>
    <n v="52.47"/>
    <n v="0"/>
    <x v="4"/>
    <s v="落合駅"/>
    <n v="3"/>
    <n v="7.67"/>
    <n v="139800.48000000001"/>
    <n v="232352.65"/>
    <n v="420"/>
    <n v="359"/>
    <s v="50-60"/>
    <x v="6"/>
  </r>
  <r>
    <s v="https://suumo.jp/chintai/jnc_000104138609/?bc=100485338502"/>
    <s v="東京メトロ東西線 落合駅 4階建 新築"/>
    <s v="東京都新宿区上落合３"/>
    <n v="255000"/>
    <n v="20000"/>
    <n v="255000"/>
    <n v="255000"/>
    <n v="4"/>
    <x v="8"/>
    <n v="52.47"/>
    <n v="0"/>
    <x v="4"/>
    <s v="落合駅"/>
    <n v="3"/>
    <n v="7.67"/>
    <n v="139800.48000000001"/>
    <n v="232352.65"/>
    <n v="420"/>
    <n v="359"/>
    <s v="50-60"/>
    <x v="6"/>
  </r>
  <r>
    <s v="https://suumo.jp/chintai/jnc_000103585713/?bc=100480376345"/>
    <s v="東京メトロ東西線 落合駅 4階建 新築"/>
    <s v="東京都新宿区上落合３"/>
    <n v="265000"/>
    <n v="20000"/>
    <n v="265000"/>
    <n v="265000"/>
    <n v="4"/>
    <x v="8"/>
    <n v="52.47"/>
    <n v="0"/>
    <x v="4"/>
    <s v="落合駅"/>
    <n v="3"/>
    <n v="7.67"/>
    <n v="139800.48000000001"/>
    <n v="232352.65"/>
    <n v="420"/>
    <n v="359"/>
    <s v="50-60"/>
    <x v="6"/>
  </r>
  <r>
    <s v="https://suumo.jp/chintai/jnc_000104163318/?bc=100483547027"/>
    <s v="東京メトロ東西線 落合駅 6階建 築31年"/>
    <s v="東京都中野区東中野５"/>
    <n v="258000"/>
    <n v="10000"/>
    <n v="516000"/>
    <n v="258000"/>
    <n v="2"/>
    <x v="8"/>
    <n v="55.26"/>
    <n v="31"/>
    <x v="5"/>
    <s v="落合駅"/>
    <n v="6"/>
    <n v="8"/>
    <n v="139800.48000000001"/>
    <n v="232352.65"/>
    <n v="420"/>
    <n v="359"/>
    <s v="50-60"/>
    <x v="4"/>
  </r>
  <r>
    <s v="https://suumo.jp/chintai/jnc_000102777016/?bc=100472353041"/>
    <s v="東建柏木マンション"/>
    <s v="東京都新宿区北新宿４"/>
    <n v="170000"/>
    <n v="5000"/>
    <m/>
    <n v="170000"/>
    <n v="8"/>
    <x v="8"/>
    <n v="55"/>
    <n v="55"/>
    <x v="11"/>
    <s v="落合駅"/>
    <n v="10"/>
    <n v="10.67"/>
    <n v="139800.48000000001"/>
    <n v="232352.65"/>
    <n v="420"/>
    <n v="359"/>
    <s v="50-60"/>
    <x v="5"/>
  </r>
  <r>
    <s v="https://suumo.jp/chintai/jnc_000103386568/?bc=100483968389"/>
    <s v="石井ガーデンマンションII"/>
    <s v="東京都中野区東中野３"/>
    <n v="210000"/>
    <n v="2000"/>
    <n v="210000"/>
    <n v="210000"/>
    <n v="2"/>
    <x v="8"/>
    <n v="61.1"/>
    <n v="38"/>
    <x v="2"/>
    <s v="落合駅"/>
    <n v="2"/>
    <n v="4.33"/>
    <n v="139800.48000000001"/>
    <n v="232352.65"/>
    <n v="420"/>
    <n v="359"/>
    <s v="60-70"/>
    <x v="4"/>
  </r>
  <r>
    <s v="https://suumo.jp/chintai/jnc_000104519170/?bc=100486349399"/>
    <s v="ＪＲ中央線 中野駅 12階建 築24年"/>
    <s v="東京都中野区中野６"/>
    <n v="175000"/>
    <n v="5000"/>
    <n v="175000"/>
    <n v="175000"/>
    <n v="10"/>
    <x v="8"/>
    <n v="51.02"/>
    <n v="24"/>
    <x v="3"/>
    <s v="落合駅"/>
    <n v="11"/>
    <n v="13.67"/>
    <n v="139800.48000000001"/>
    <n v="232352.65"/>
    <n v="420"/>
    <n v="359"/>
    <s v="50-60"/>
    <x v="1"/>
  </r>
  <r>
    <s v="https://suumo.jp/chintai/jnc_000103987141/?bc=100462943122"/>
    <s v="ＰＲＩＭＥ　ＵＲＢＡＮ　東中野　ＣＯＵＲＴ"/>
    <s v="東京都新宿区北新宿４"/>
    <n v="304000"/>
    <n v="15000"/>
    <n v="304000"/>
    <m/>
    <n v="1"/>
    <x v="8"/>
    <n v="68.83"/>
    <n v="17"/>
    <x v="8"/>
    <s v="落合駅"/>
    <n v="8"/>
    <n v="10.67"/>
    <n v="139800.48000000001"/>
    <n v="232352.65"/>
    <n v="420"/>
    <n v="359"/>
    <s v="60-70"/>
    <x v="7"/>
  </r>
  <r>
    <s v="https://suumo.jp/chintai/jnc_000101757993/?bc=100479337024"/>
    <s v="ＰＲＩＭＥ　ＵＲＢＡＮ　東中野　ＣＯＵＲＴ"/>
    <s v="東京都新宿区北新宿４"/>
    <n v="307000"/>
    <n v="15000"/>
    <n v="307000"/>
    <n v="307000"/>
    <n v="1"/>
    <x v="8"/>
    <n v="68.83"/>
    <n v="17"/>
    <x v="8"/>
    <s v="落合駅"/>
    <n v="8"/>
    <n v="10.67"/>
    <n v="139800.48000000001"/>
    <n v="232352.65"/>
    <n v="420"/>
    <n v="359"/>
    <s v="60-70"/>
    <x v="7"/>
  </r>
  <r>
    <s v="https://suumo.jp/chintai/jnc_000103987142/?bc=100482009731"/>
    <s v="ＰＲＩＭＥ　ＵＲＢＡＮ　東中野　ＣＯＵＲＴ"/>
    <s v="東京都新宿区北新宿４"/>
    <n v="229000"/>
    <n v="17000"/>
    <n v="229000"/>
    <n v="229000"/>
    <n v="4"/>
    <x v="8"/>
    <n v="56.71"/>
    <n v="17"/>
    <x v="8"/>
    <s v="落合駅"/>
    <n v="8"/>
    <n v="10.67"/>
    <n v="139800.48000000001"/>
    <n v="232352.65"/>
    <n v="420"/>
    <n v="359"/>
    <s v="50-60"/>
    <x v="7"/>
  </r>
  <r>
    <s v="https://suumo.jp/chintai/jnc_000101344198/?bc=100480609078"/>
    <s v="ＰＲＩＭＥ　ＵＲＢＡＮ　東中野　ＣＯＵＲＴ"/>
    <s v="東京都新宿区北新宿４"/>
    <n v="310000"/>
    <n v="17000"/>
    <n v="310000"/>
    <m/>
    <n v="5"/>
    <x v="8"/>
    <n v="66.39"/>
    <n v="17"/>
    <x v="8"/>
    <s v="落合駅"/>
    <n v="8"/>
    <n v="10.67"/>
    <n v="139800.48000000001"/>
    <n v="232352.65"/>
    <n v="420"/>
    <n v="359"/>
    <s v="60-70"/>
    <x v="7"/>
  </r>
  <r>
    <s v="https://suumo.jp/chintai/jnc_000103843587/?bc=100486111237"/>
    <s v="ＦＬＡＭＰ"/>
    <s v="東京都新宿区上落合３"/>
    <n v="364099.99999999901"/>
    <n v="25000"/>
    <n v="364099.99999999901"/>
    <n v="364099.99999999901"/>
    <n v="13"/>
    <x v="20"/>
    <n v="84.86"/>
    <n v="20"/>
    <x v="18"/>
    <s v="落合駅"/>
    <n v="2"/>
    <n v="6"/>
    <n v="139800.48000000001"/>
    <n v="364100"/>
    <n v="420"/>
    <n v="1"/>
    <s v="80-90"/>
    <x v="7"/>
  </r>
  <r>
    <s v="https://suumo.jp/chintai/jnc_000103798066/?bc=100480601399"/>
    <s v="東京メトロ東西線 落合駅 地上3階建 築4年"/>
    <s v="東京都新宿区上落合２"/>
    <n v="390000"/>
    <m/>
    <n v="390000"/>
    <n v="390000"/>
    <n v="1"/>
    <x v="10"/>
    <n v="78.55"/>
    <n v="4"/>
    <x v="2"/>
    <s v="落合駅"/>
    <n v="3"/>
    <n v="6.67"/>
    <n v="139800.48000000001"/>
    <n v="282153.84999999998"/>
    <n v="420"/>
    <n v="26"/>
    <s v="70-80"/>
    <x v="0"/>
  </r>
  <r>
    <s v="https://suumo.jp/chintai/jnc_000103798065/?bc=100480585166"/>
    <s v="Ｋｏｌｅｔ落合０２"/>
    <s v="東京都新宿区上落合２"/>
    <n v="390000"/>
    <m/>
    <n v="390000"/>
    <n v="390000"/>
    <n v="1"/>
    <x v="10"/>
    <n v="78.55"/>
    <n v="4"/>
    <x v="2"/>
    <s v="落合駅"/>
    <n v="3"/>
    <n v="6.67"/>
    <n v="139800.48000000001"/>
    <n v="282153.84999999998"/>
    <n v="420"/>
    <n v="26"/>
    <s v="70-80"/>
    <x v="0"/>
  </r>
  <r>
    <s v="https://suumo.jp/chintai/jnc_000090261203/?bc=100482444116"/>
    <s v="東京メトロ東西線 落合駅 10階建 築17年"/>
    <s v="東京都新宿区北新宿４"/>
    <n v="433000"/>
    <n v="17000"/>
    <n v="433000"/>
    <n v="433000"/>
    <n v="6"/>
    <x v="13"/>
    <n v="82.92"/>
    <n v="17"/>
    <x v="1"/>
    <s v="落合駅"/>
    <n v="9"/>
    <n v="10.33"/>
    <n v="139800.48000000001"/>
    <n v="288705.81"/>
    <n v="420"/>
    <n v="155"/>
    <s v="80-90"/>
    <x v="7"/>
  </r>
  <r>
    <s v="https://suumo.jp/chintai/jnc_000102197472/?bc=100475470678"/>
    <s v="東京メトロ東西線 落合駅 8階建 築6年"/>
    <s v="東京都中野区東中野５"/>
    <n v="350000"/>
    <n v="20000"/>
    <n v="350000"/>
    <n v="350000"/>
    <n v="5"/>
    <x v="13"/>
    <n v="73.14"/>
    <n v="6"/>
    <x v="9"/>
    <s v="落合駅"/>
    <n v="5"/>
    <n v="8"/>
    <n v="139800.48000000001"/>
    <n v="288705.81"/>
    <n v="420"/>
    <n v="155"/>
    <s v="70-80"/>
    <x v="0"/>
  </r>
  <r>
    <s v="https://suumo.jp/chintai/jnc_000104241724/?bc=100484082174"/>
    <s v="東京メトロ東西線 落合駅 8階建 築6年"/>
    <s v="東京都中野区東中野５"/>
    <n v="340000"/>
    <n v="10000"/>
    <n v="340000"/>
    <n v="340000"/>
    <n v="6"/>
    <x v="13"/>
    <n v="75.13"/>
    <n v="6"/>
    <x v="9"/>
    <s v="落合駅"/>
    <n v="5"/>
    <n v="8"/>
    <n v="139800.48000000001"/>
    <n v="288705.81"/>
    <n v="420"/>
    <n v="155"/>
    <s v="70-80"/>
    <x v="0"/>
  </r>
  <r>
    <s v="https://suumo.jp/chintai/jnc_000082648797/?bc=100472480181"/>
    <s v="東建柏木マンション"/>
    <s v="東京都新宿区北新宿４"/>
    <n v="200000"/>
    <m/>
    <n v="400000"/>
    <n v="200000"/>
    <n v="13"/>
    <x v="13"/>
    <n v="55"/>
    <n v="55"/>
    <x v="11"/>
    <s v="落合駅"/>
    <n v="10"/>
    <n v="10.67"/>
    <n v="139800.48000000001"/>
    <n v="288705.81"/>
    <n v="420"/>
    <n v="155"/>
    <s v="50-60"/>
    <x v="5"/>
  </r>
  <r>
    <s v="https://suumo.jp/chintai/jnc_000104148219/?bc=100484528378"/>
    <s v="東建柏木マンション"/>
    <s v="東京都新宿区北新宿４"/>
    <n v="220000"/>
    <n v="10000"/>
    <n v="220000"/>
    <n v="220000"/>
    <n v="13"/>
    <x v="13"/>
    <n v="59.65"/>
    <n v="55"/>
    <x v="11"/>
    <s v="落合駅"/>
    <n v="10"/>
    <n v="10.67"/>
    <n v="139800.48000000001"/>
    <n v="288705.81"/>
    <n v="420"/>
    <n v="155"/>
    <s v="50-60"/>
    <x v="5"/>
  </r>
  <r>
    <s v="https://suumo.jp/chintai/jnc_000104229988/?bc=100484117051"/>
    <s v="Ｂｒｉｌｌｉａ東中野Ｐａｒｋｓｉｄｅ　Ｈｉｌｌｓ"/>
    <s v="東京都中野区東中野５"/>
    <n v="340000"/>
    <n v="10000"/>
    <n v="340000"/>
    <n v="340000"/>
    <n v="6"/>
    <x v="13"/>
    <n v="75.13"/>
    <n v="6"/>
    <x v="9"/>
    <s v="落合駅"/>
    <n v="7"/>
    <n v="8"/>
    <n v="139800.48000000001"/>
    <n v="288705.81"/>
    <n v="420"/>
    <n v="155"/>
    <s v="70-80"/>
    <x v="0"/>
  </r>
  <r>
    <s v="https://suumo.jp/chintai/jnc_000104178841/?bc=100486088062"/>
    <s v="ＪＲ総武線 東中野駅 14階建 築54年"/>
    <s v="東京都新宿区北新宿４"/>
    <n v="220000"/>
    <n v="10000"/>
    <n v="220000"/>
    <n v="220000"/>
    <n v="13"/>
    <x v="13"/>
    <n v="59.65"/>
    <n v="54"/>
    <x v="12"/>
    <s v="落合駅"/>
    <n v="9"/>
    <n v="11.33"/>
    <n v="139800.48000000001"/>
    <n v="288705.81"/>
    <n v="420"/>
    <n v="155"/>
    <s v="50-60"/>
    <x v="5"/>
  </r>
  <r>
    <s v="https://suumo.jp/chintai/jnc_000090251430/?bc=100482511199"/>
    <s v="ＰＲＩＭＥ　ＵＲＢＡＮ　東中野　ＣＯＵＲＴ"/>
    <s v="東京都新宿区北新宿４"/>
    <n v="433000"/>
    <n v="17000"/>
    <n v="433000"/>
    <n v="433000"/>
    <n v="6"/>
    <x v="13"/>
    <n v="82.92"/>
    <n v="17"/>
    <x v="8"/>
    <s v="落合駅"/>
    <n v="8"/>
    <n v="10.67"/>
    <n v="139800.48000000001"/>
    <n v="288705.81"/>
    <n v="420"/>
    <n v="155"/>
    <s v="80-90"/>
    <x v="7"/>
  </r>
  <r>
    <s v="https://suumo.jp/chintai/jnc_000104186916/?bc=100483629168"/>
    <s v="上高田１丁目戸建"/>
    <s v="東京都中野区上高田１"/>
    <n v="230000"/>
    <m/>
    <n v="230000"/>
    <n v="230000"/>
    <n v="1"/>
    <x v="14"/>
    <n v="71.2"/>
    <n v="47"/>
    <x v="0"/>
    <s v="落合駅"/>
    <n v="10"/>
    <n v="12"/>
    <n v="139800.48000000001"/>
    <n v="226000"/>
    <n v="420"/>
    <n v="5"/>
    <s v="70-80"/>
    <x v="3"/>
  </r>
  <r>
    <s v="https://suumo.jp/chintai/jnc_000104186916/?bc=100483629168"/>
    <s v="上高田１丁目戸建"/>
    <s v="東京都中野区上高田１"/>
    <n v="230000"/>
    <m/>
    <n v="230000"/>
    <n v="230000"/>
    <n v="2"/>
    <x v="14"/>
    <n v="71.2"/>
    <n v="47"/>
    <x v="0"/>
    <s v="落合駅"/>
    <n v="10"/>
    <n v="12"/>
    <n v="139800.48000000001"/>
    <n v="226000"/>
    <n v="420"/>
    <n v="5"/>
    <s v="70-80"/>
    <x v="3"/>
  </r>
  <r>
    <s v="https://suumo.jp/chintai/jnc_000104070293/?bc=100485786170"/>
    <s v="K・メゾン"/>
    <s v="東京都豊島区千早２"/>
    <n v="76000"/>
    <n v="3000"/>
    <n v="76000"/>
    <n v="76000"/>
    <n v="1"/>
    <x v="2"/>
    <n v="22.77"/>
    <n v="23"/>
    <x v="0"/>
    <s v="要町駅"/>
    <n v="7"/>
    <n v="12"/>
    <n v="75333.33"/>
    <n v="95329.65"/>
    <n v="3"/>
    <n v="1622"/>
    <s v="20-30"/>
    <x v="1"/>
  </r>
  <r>
    <s v="https://suumo.jp/chintai/jnc_000104076818/?bc=100485497924"/>
    <s v="東京メトロ有楽町線 要町駅 2階建 築23年"/>
    <s v="東京都豊島区千早２"/>
    <n v="76000"/>
    <n v="3000"/>
    <n v="76000"/>
    <n v="76000"/>
    <n v="1"/>
    <x v="2"/>
    <n v="22.77"/>
    <n v="23"/>
    <x v="0"/>
    <s v="要町駅"/>
    <n v="7"/>
    <n v="12"/>
    <n v="75333.33"/>
    <n v="95329.65"/>
    <n v="3"/>
    <n v="1622"/>
    <s v="20-30"/>
    <x v="1"/>
  </r>
  <r>
    <s v="https://suumo.jp/chintai/jnc_000104412324/?bc=100485514527"/>
    <s v="ベネボレンス千早"/>
    <s v="東京都豊島区千早２"/>
    <n v="74000"/>
    <n v="3000"/>
    <m/>
    <m/>
    <n v="2"/>
    <x v="0"/>
    <n v="18.47"/>
    <n v="11"/>
    <x v="2"/>
    <s v="要町駅"/>
    <n v="8"/>
    <n v="13.33"/>
    <n v="75333.33"/>
    <n v="77692.34"/>
    <n v="3"/>
    <n v="1071"/>
    <s v="10-20"/>
    <x v="7"/>
  </r>
  <r>
    <s v="https://suumo.jp/chintai/jnc_000104438135/?bc=100485652600"/>
    <s v="アイフェリーク中野"/>
    <s v="東京都中野区丸山１"/>
    <n v="74000"/>
    <n v="8000"/>
    <n v="74000"/>
    <n v="74000"/>
    <n v="4"/>
    <x v="2"/>
    <n v="21"/>
    <n v="23"/>
    <x v="10"/>
    <s v="野方駅"/>
    <n v="8"/>
    <n v="17"/>
    <n v="64000"/>
    <n v="95329.65"/>
    <n v="5"/>
    <n v="1622"/>
    <s v="20-30"/>
    <x v="1"/>
  </r>
  <r>
    <s v="https://suumo.jp/chintai/jnc_000080180080/?bc=100480367560"/>
    <s v="ルーブル野方"/>
    <s v="東京都中野区野方３"/>
    <n v="65000"/>
    <n v="6000"/>
    <n v="65000"/>
    <n v="65000"/>
    <n v="3"/>
    <x v="2"/>
    <n v="21.33"/>
    <n v="29"/>
    <x v="10"/>
    <s v="野方駅"/>
    <n v="4"/>
    <n v="14"/>
    <n v="64000"/>
    <n v="95329.65"/>
    <n v="5"/>
    <n v="1622"/>
    <s v="20-30"/>
    <x v="1"/>
  </r>
  <r>
    <s v="https://suumo.jp/chintai/jnc_000102725774/?bc=100483308094"/>
    <s v="my　plan　R"/>
    <s v="東京都中野区野方３"/>
    <n v="55000"/>
    <n v="3000"/>
    <m/>
    <n v="55000"/>
    <n v="2"/>
    <x v="0"/>
    <n v="12.23"/>
    <n v="18"/>
    <x v="0"/>
    <s v="野方駅"/>
    <n v="9"/>
    <n v="12"/>
    <n v="64000"/>
    <n v="77692.34"/>
    <n v="5"/>
    <n v="1071"/>
    <s v="10-20"/>
    <x v="7"/>
  </r>
  <r>
    <s v="https://suumo.jp/chintai/jnc_000102725771/?bc=100482931530"/>
    <s v="アイ中野"/>
    <s v="東京都中野区野方３"/>
    <n v="72000"/>
    <n v="2000"/>
    <n v="72000"/>
    <n v="72000"/>
    <n v="1"/>
    <x v="0"/>
    <n v="16.260000000000002"/>
    <n v="10"/>
    <x v="2"/>
    <s v="野方駅"/>
    <n v="11"/>
    <n v="13"/>
    <n v="64000"/>
    <n v="77692.34"/>
    <n v="5"/>
    <n v="1071"/>
    <s v="10-20"/>
    <x v="0"/>
  </r>
  <r>
    <s v="https://suumo.jp/chintai/jnc_000103649670/?bc=100483270997"/>
    <s v="パンセＡ"/>
    <s v="東京都中野区野方４"/>
    <n v="54000"/>
    <n v="3000"/>
    <n v="54000"/>
    <m/>
    <n v="1"/>
    <x v="0"/>
    <n v="20"/>
    <n v="48"/>
    <x v="0"/>
    <s v="野方駅"/>
    <n v="3"/>
    <n v="17.670000000000002"/>
    <n v="64000"/>
    <n v="77692.34"/>
    <n v="5"/>
    <n v="1071"/>
    <s v="20-30"/>
    <x v="3"/>
  </r>
  <r>
    <s v="https://suumo.jp/chintai/jnc_000103513725/?bc=100478087113"/>
    <s v="エスカイア高田馬場"/>
    <s v="東京都新宿区高田馬場４"/>
    <n v="85000"/>
    <m/>
    <n v="85000"/>
    <m/>
    <n v="2"/>
    <x v="1"/>
    <n v="28.77"/>
    <n v="47"/>
    <x v="4"/>
    <s v="高田馬場駅"/>
    <n v="7"/>
    <n v="12.67"/>
    <n v="154556.70000000001"/>
    <n v="123325.96"/>
    <n v="261"/>
    <n v="339"/>
    <s v="20-30"/>
    <x v="3"/>
  </r>
  <r>
    <s v="https://suumo.jp/chintai/jnc_000104156216/?bc=100484529706"/>
    <s v="グランハイツ高田馬場"/>
    <s v="東京都新宿区高田馬場３"/>
    <n v="155000"/>
    <n v="15000"/>
    <n v="155000"/>
    <n v="310000"/>
    <n v="6"/>
    <x v="1"/>
    <n v="32.770000000000003"/>
    <n v="17"/>
    <x v="11"/>
    <s v="高田馬場駅"/>
    <n v="3"/>
    <n v="6"/>
    <n v="154556.70000000001"/>
    <n v="123325.96"/>
    <n v="261"/>
    <n v="339"/>
    <s v="30-40"/>
    <x v="7"/>
  </r>
  <r>
    <s v="https://suumo.jp/chintai/jnc_000101395776/?bc=100464825694"/>
    <s v="グランハイツ高田馬場"/>
    <s v="東京都新宿区高田馬場３"/>
    <n v="149000"/>
    <n v="15000"/>
    <n v="149000"/>
    <n v="149000"/>
    <n v="7"/>
    <x v="1"/>
    <n v="32.770000000000003"/>
    <n v="17"/>
    <x v="11"/>
    <s v="高田馬場駅"/>
    <n v="3"/>
    <n v="6"/>
    <n v="154556.70000000001"/>
    <n v="123325.96"/>
    <n v="261"/>
    <n v="339"/>
    <s v="30-40"/>
    <x v="7"/>
  </r>
  <r>
    <s v="https://suumo.jp/chintai/jnc_000103198561/?bc=100474121148"/>
    <s v="グローリオシェルト高田馬場"/>
    <s v="東京都新宿区高田馬場４"/>
    <n v="139000"/>
    <n v="7000"/>
    <m/>
    <n v="139000"/>
    <n v="1"/>
    <x v="1"/>
    <n v="25.36"/>
    <n v="0"/>
    <x v="4"/>
    <s v="高田馬場駅"/>
    <n v="10"/>
    <n v="11"/>
    <n v="154556.70000000001"/>
    <n v="123325.96"/>
    <n v="261"/>
    <n v="339"/>
    <s v="20-30"/>
    <x v="6"/>
  </r>
  <r>
    <s v="https://suumo.jp/chintai/jnc_000101291922/?bc=100348528086"/>
    <s v="テラス高田馬場"/>
    <s v="東京都新宿区高田馬場４"/>
    <n v="130000"/>
    <n v="5000"/>
    <n v="130000"/>
    <n v="130000"/>
    <n v="4"/>
    <x v="1"/>
    <n v="33.6"/>
    <n v="36"/>
    <x v="7"/>
    <s v="高田馬場駅"/>
    <n v="7"/>
    <n v="8.67"/>
    <n v="154556.70000000001"/>
    <n v="123325.96"/>
    <n v="261"/>
    <n v="339"/>
    <s v="30-40"/>
    <x v="4"/>
  </r>
  <r>
    <s v="https://suumo.jp/chintai/jnc_000104411705/?bc=100485487294"/>
    <s v="ハーモニーレジデンス高田馬場"/>
    <s v="東京都新宿区高田馬場２"/>
    <n v="142000"/>
    <n v="15000"/>
    <m/>
    <n v="142000"/>
    <n v="4"/>
    <x v="1"/>
    <n v="25.05"/>
    <n v="4"/>
    <x v="5"/>
    <s v="高田馬場駅"/>
    <n v="3"/>
    <n v="10.33"/>
    <n v="154556.70000000001"/>
    <n v="123325.96"/>
    <n v="261"/>
    <n v="339"/>
    <s v="20-30"/>
    <x v="0"/>
  </r>
  <r>
    <s v="https://suumo.jp/chintai/jnc_000102039297/?bc=100476394381"/>
    <s v="パルフェ・ド・ステージ"/>
    <s v="東京都新宿区高田馬場３"/>
    <n v="95000"/>
    <n v="3000"/>
    <n v="95000"/>
    <n v="95000"/>
    <n v="3"/>
    <x v="1"/>
    <n v="21.91"/>
    <n v="38"/>
    <x v="2"/>
    <s v="高田馬場駅"/>
    <n v="6"/>
    <n v="8"/>
    <n v="154556.70000000001"/>
    <n v="123325.96"/>
    <n v="261"/>
    <n v="339"/>
    <s v="20-30"/>
    <x v="4"/>
  </r>
  <r>
    <s v="https://suumo.jp/chintai/jnc_000102108524/?bc=100467066092"/>
    <s v="高野荘"/>
    <s v="東京都新宿区高田馬場３"/>
    <n v="73000"/>
    <m/>
    <n v="73000"/>
    <m/>
    <n v="1"/>
    <x v="1"/>
    <n v="26.5"/>
    <n v="54"/>
    <x v="0"/>
    <s v="高田馬場駅"/>
    <n v="6"/>
    <n v="12"/>
    <n v="154556.70000000001"/>
    <n v="123325.96"/>
    <n v="261"/>
    <n v="339"/>
    <s v="20-30"/>
    <x v="5"/>
  </r>
  <r>
    <s v="https://suumo.jp/chintai/jnc_000104178858/?bc=100483580595"/>
    <s v="ＪＲ山手線 目白駅 3階建 築47年"/>
    <s v="東京都新宿区高田馬場３"/>
    <n v="85000"/>
    <n v="4000"/>
    <n v="85000"/>
    <m/>
    <n v="3"/>
    <x v="1"/>
    <n v="27"/>
    <n v="47"/>
    <x v="2"/>
    <s v="高田馬場駅"/>
    <n v="1"/>
    <n v="9.67"/>
    <n v="154556.70000000001"/>
    <n v="123325.96"/>
    <n v="261"/>
    <n v="339"/>
    <s v="20-30"/>
    <x v="3"/>
  </r>
  <r>
    <s v="https://suumo.jp/chintai/jnc_000104169961/?bc=100483750271"/>
    <s v="ＪＲ山手線 高田馬場駅 15階建 築16年"/>
    <s v="東京都新宿区高田馬場３"/>
    <n v="155000"/>
    <n v="15000"/>
    <n v="155000"/>
    <n v="310000"/>
    <n v="6"/>
    <x v="1"/>
    <n v="32.770000000000003"/>
    <n v="16"/>
    <x v="11"/>
    <s v="高田馬場駅"/>
    <n v="4"/>
    <n v="6.67"/>
    <n v="154556.70000000001"/>
    <n v="123325.96"/>
    <n v="261"/>
    <n v="339"/>
    <s v="30-40"/>
    <x v="7"/>
  </r>
  <r>
    <s v="https://suumo.jp/chintai/jnc_000102182203/?bc=100475667881"/>
    <s v="ＪＲ山手線 高田馬場駅 3階建 築38年"/>
    <s v="東京都新宿区高田馬場３"/>
    <n v="95000"/>
    <n v="3000"/>
    <n v="95000"/>
    <n v="95000"/>
    <n v="3"/>
    <x v="1"/>
    <n v="21.91"/>
    <n v="38"/>
    <x v="2"/>
    <s v="高田馬場駅"/>
    <n v="6"/>
    <n v="7.33"/>
    <n v="154556.70000000001"/>
    <n v="123325.96"/>
    <n v="261"/>
    <n v="339"/>
    <s v="20-30"/>
    <x v="4"/>
  </r>
  <r>
    <s v="https://suumo.jp/chintai/jnc_000103376429/?bc=100482407654"/>
    <s v="ＪＲ山手線 高田馬場駅 4階建 新築"/>
    <s v="東京都新宿区高田馬場４"/>
    <n v="139000"/>
    <n v="7000"/>
    <m/>
    <n v="139000"/>
    <n v="1"/>
    <x v="1"/>
    <n v="25.36"/>
    <n v="0"/>
    <x v="4"/>
    <s v="高田馬場駅"/>
    <n v="10"/>
    <n v="11"/>
    <n v="154556.70000000001"/>
    <n v="123325.96"/>
    <n v="261"/>
    <n v="339"/>
    <s v="20-30"/>
    <x v="6"/>
  </r>
  <r>
    <s v="https://suumo.jp/chintai/jnc_000102055817/?bc=100481182004"/>
    <s v="GranDuo高田馬場クレスト"/>
    <s v="東京都新宿区高田馬場４"/>
    <n v="174000"/>
    <n v="11000"/>
    <n v="174000"/>
    <m/>
    <n v="5"/>
    <x v="2"/>
    <n v="26.14"/>
    <n v="4"/>
    <x v="7"/>
    <s v="高田馬場駅"/>
    <n v="11"/>
    <n v="11.67"/>
    <n v="154556.70000000001"/>
    <n v="95329.65"/>
    <n v="261"/>
    <n v="1622"/>
    <s v="20-30"/>
    <x v="0"/>
  </r>
  <r>
    <s v="https://suumo.jp/chintai/jnc_000102062868/?bc=100467813244"/>
    <s v="GranDuo高田馬場クレスト"/>
    <s v="東京都新宿区高田馬場４"/>
    <n v="170000"/>
    <n v="11000"/>
    <n v="170000"/>
    <m/>
    <n v="5"/>
    <x v="2"/>
    <n v="28.64"/>
    <n v="4"/>
    <x v="7"/>
    <s v="高田馬場駅"/>
    <n v="11"/>
    <n v="11.67"/>
    <n v="154556.70000000001"/>
    <n v="95329.65"/>
    <n v="261"/>
    <n v="1622"/>
    <s v="20-30"/>
    <x v="0"/>
  </r>
  <r>
    <s v="https://suumo.jp/chintai/jnc_000104107313/?bc=100483272202"/>
    <s v="UYO高田馬場ザレジデンス"/>
    <s v="東京都新宿区下落合２"/>
    <n v="82000"/>
    <n v="8000"/>
    <n v="82000"/>
    <n v="82000"/>
    <n v="1"/>
    <x v="2"/>
    <n v="20.8"/>
    <n v="21"/>
    <x v="4"/>
    <s v="高田馬場駅"/>
    <n v="7"/>
    <n v="8.33"/>
    <n v="154556.70000000001"/>
    <n v="95329.65"/>
    <n v="261"/>
    <n v="1622"/>
    <s v="20-30"/>
    <x v="1"/>
  </r>
  <r>
    <s v="https://suumo.jp/chintai/jnc_000032113219/?bc=100481670830"/>
    <s v="アリーチェ高田馬場"/>
    <s v="東京都新宿区高田馬場３"/>
    <n v="84000"/>
    <n v="6000"/>
    <n v="84000"/>
    <n v="84000"/>
    <n v="1"/>
    <x v="2"/>
    <n v="19.62"/>
    <n v="18"/>
    <x v="7"/>
    <s v="高田馬場駅"/>
    <n v="9"/>
    <n v="13"/>
    <n v="154556.70000000001"/>
    <n v="95329.65"/>
    <n v="261"/>
    <n v="1622"/>
    <s v="10-20"/>
    <x v="7"/>
  </r>
  <r>
    <s v="https://suumo.jp/chintai/jnc_000104148224/?bc=100483308502"/>
    <s v="アリーチェ高田馬場"/>
    <s v="東京都新宿区高田馬場３"/>
    <n v="88000"/>
    <n v="6000"/>
    <n v="88000"/>
    <n v="88000"/>
    <n v="3"/>
    <x v="2"/>
    <n v="19.62"/>
    <n v="18"/>
    <x v="7"/>
    <s v="高田馬場駅"/>
    <n v="9"/>
    <n v="13"/>
    <n v="154556.70000000001"/>
    <n v="95329.65"/>
    <n v="261"/>
    <n v="1622"/>
    <s v="10-20"/>
    <x v="7"/>
  </r>
  <r>
    <s v="https://suumo.jp/chintai/jnc_000103959530/?bc=100482378142"/>
    <s v="ウィステリア高田馬場"/>
    <s v="東京都新宿区高田馬場３"/>
    <n v="97000"/>
    <n v="3000"/>
    <n v="97000"/>
    <m/>
    <n v="3"/>
    <x v="2"/>
    <n v="23.79"/>
    <n v="13"/>
    <x v="4"/>
    <s v="高田馬場駅"/>
    <n v="2"/>
    <n v="9.33"/>
    <n v="154556.70000000001"/>
    <n v="95329.65"/>
    <n v="261"/>
    <n v="1622"/>
    <s v="20-30"/>
    <x v="7"/>
  </r>
  <r>
    <s v="https://suumo.jp/chintai/jnc_000101402332/?bc=100473303083"/>
    <s v="グランハイツ高田馬場"/>
    <s v="東京都新宿区高田馬場３"/>
    <n v="129000"/>
    <n v="15000"/>
    <n v="129000"/>
    <n v="129000"/>
    <n v="11"/>
    <x v="2"/>
    <n v="30.13"/>
    <n v="17"/>
    <x v="11"/>
    <s v="高田馬場駅"/>
    <n v="3"/>
    <n v="6"/>
    <n v="154556.70000000001"/>
    <n v="95329.65"/>
    <n v="261"/>
    <n v="1622"/>
    <s v="30-40"/>
    <x v="7"/>
  </r>
  <r>
    <s v="https://suumo.jp/chintai/jnc_000104303529/?bc=100485624127"/>
    <s v="グランハイツ高田馬場"/>
    <s v="東京都新宿区高田馬場３"/>
    <n v="145000"/>
    <n v="15000"/>
    <n v="145000"/>
    <n v="217500"/>
    <n v="11"/>
    <x v="2"/>
    <n v="30.26"/>
    <n v="17"/>
    <x v="11"/>
    <s v="高田馬場駅"/>
    <n v="3"/>
    <n v="6"/>
    <n v="154556.70000000001"/>
    <n v="95329.65"/>
    <n v="261"/>
    <n v="1622"/>
    <s v="30-40"/>
    <x v="7"/>
  </r>
  <r>
    <s v="https://suumo.jp/chintai/jnc_000104138639/?bc=100485192828"/>
    <s v="グランハイツ高田馬場"/>
    <s v="東京都新宿区高田馬場３"/>
    <n v="152000"/>
    <n v="15000"/>
    <n v="152000"/>
    <n v="304000"/>
    <n v="3"/>
    <x v="2"/>
    <n v="32.770000000000003"/>
    <n v="17"/>
    <x v="11"/>
    <s v="高田馬場駅"/>
    <n v="3"/>
    <n v="6"/>
    <n v="154556.70000000001"/>
    <n v="95329.65"/>
    <n v="261"/>
    <n v="1622"/>
    <s v="30-40"/>
    <x v="7"/>
  </r>
  <r>
    <s v="https://suumo.jp/chintai/jnc_000104525326/?bc=100474261348"/>
    <s v="グランハイツ高田馬場"/>
    <s v="東京都新宿区高田馬場３"/>
    <n v="152000"/>
    <n v="15000"/>
    <n v="152000"/>
    <n v="152000"/>
    <n v="5"/>
    <x v="2"/>
    <n v="32.770000000000003"/>
    <n v="17"/>
    <x v="11"/>
    <s v="高田馬場駅"/>
    <n v="3"/>
    <n v="6"/>
    <n v="154556.70000000001"/>
    <n v="95329.65"/>
    <n v="261"/>
    <n v="1622"/>
    <s v="30-40"/>
    <x v="7"/>
  </r>
  <r>
    <s v="https://suumo.jp/chintai/jnc_000103385922/?bc=100482841693"/>
    <s v="グランハイツ高田馬場"/>
    <s v="東京都新宿区高田馬場３"/>
    <n v="154000"/>
    <n v="15000"/>
    <n v="154000"/>
    <n v="231000"/>
    <n v="5"/>
    <x v="2"/>
    <n v="32.770000000000003"/>
    <n v="17"/>
    <x v="11"/>
    <s v="高田馬場駅"/>
    <n v="3"/>
    <n v="6"/>
    <n v="154556.70000000001"/>
    <n v="95329.65"/>
    <n v="261"/>
    <n v="1622"/>
    <s v="30-40"/>
    <x v="7"/>
  </r>
  <r>
    <s v="https://suumo.jp/chintai/jnc_000102364703/?bc=100471342032"/>
    <s v="グランハイツ高田馬場"/>
    <s v="東京都新宿区高田馬場３"/>
    <n v="148000"/>
    <n v="15000"/>
    <n v="148000"/>
    <m/>
    <n v="6"/>
    <x v="2"/>
    <n v="32.770000000000003"/>
    <n v="17"/>
    <x v="11"/>
    <s v="高田馬場駅"/>
    <n v="3"/>
    <n v="6"/>
    <n v="154556.70000000001"/>
    <n v="95329.65"/>
    <n v="261"/>
    <n v="1622"/>
    <s v="30-40"/>
    <x v="7"/>
  </r>
  <r>
    <s v="https://suumo.jp/chintai/jnc_000104138640/?bc=100483350560"/>
    <s v="グランハイツ高田馬場"/>
    <s v="東京都新宿区高田馬場３"/>
    <n v="141000"/>
    <n v="15000"/>
    <n v="141000"/>
    <n v="282000"/>
    <n v="8"/>
    <x v="2"/>
    <n v="30.26"/>
    <n v="17"/>
    <x v="11"/>
    <s v="高田馬場駅"/>
    <n v="3"/>
    <n v="6"/>
    <n v="154556.70000000001"/>
    <n v="95329.65"/>
    <n v="261"/>
    <n v="1622"/>
    <s v="30-40"/>
    <x v="7"/>
  </r>
  <r>
    <s v="https://suumo.jp/chintai/jnc_000104531821/?bc=100486345036"/>
    <s v="グローリオシェルト高田馬場"/>
    <s v="東京都新宿区高田馬場４"/>
    <n v="110000"/>
    <n v="5000"/>
    <m/>
    <n v="110000"/>
    <n v="3"/>
    <x v="2"/>
    <n v="20.02"/>
    <n v="0"/>
    <x v="4"/>
    <s v="高田馬場駅"/>
    <n v="10"/>
    <n v="11"/>
    <n v="154556.70000000001"/>
    <n v="95329.65"/>
    <n v="261"/>
    <n v="1622"/>
    <s v="20-30"/>
    <x v="6"/>
  </r>
  <r>
    <s v="https://suumo.jp/chintai/jnc_000102783384/?bc=100483997362"/>
    <s v="ケーオーメゾン高田馬場"/>
    <s v="東京都新宿区高田馬場４"/>
    <n v="89000"/>
    <n v="4500"/>
    <n v="89000"/>
    <n v="89000"/>
    <n v="1"/>
    <x v="2"/>
    <n v="19.2"/>
    <n v="0"/>
    <x v="0"/>
    <s v="高田馬場駅"/>
    <n v="10"/>
    <n v="11"/>
    <n v="154556.70000000001"/>
    <n v="95329.65"/>
    <n v="261"/>
    <n v="1622"/>
    <s v="10-20"/>
    <x v="6"/>
  </r>
  <r>
    <s v="https://suumo.jp/chintai/jnc_000102783383/?bc=100475721259"/>
    <s v="ケーオーメゾン高田馬場"/>
    <s v="東京都新宿区高田馬場４"/>
    <n v="90000"/>
    <n v="4500"/>
    <n v="90000"/>
    <n v="90000"/>
    <n v="1"/>
    <x v="2"/>
    <n v="19.2"/>
    <n v="0"/>
    <x v="0"/>
    <s v="高田馬場駅"/>
    <n v="10"/>
    <n v="11"/>
    <n v="154556.70000000001"/>
    <n v="95329.65"/>
    <n v="261"/>
    <n v="1622"/>
    <s v="10-20"/>
    <x v="6"/>
  </r>
  <r>
    <s v="https://suumo.jp/chintai/jnc_000104196091/?bc=100483731261"/>
    <s v="コーポ太田"/>
    <s v="東京都新宿区高田馬場４"/>
    <n v="33000"/>
    <n v="5000"/>
    <n v="33000"/>
    <m/>
    <n v="1"/>
    <x v="2"/>
    <n v="18"/>
    <n v="48"/>
    <x v="0"/>
    <s v="高田馬場駅"/>
    <n v="5"/>
    <n v="7.67"/>
    <n v="154556.70000000001"/>
    <n v="95329.65"/>
    <n v="261"/>
    <n v="1622"/>
    <s v="10-20"/>
    <x v="3"/>
  </r>
  <r>
    <s v="https://suumo.jp/chintai/jnc_000103903370/?bc=100486139208"/>
    <s v="サニースポット"/>
    <s v="東京都新宿区高田馬場４"/>
    <n v="72000"/>
    <n v="2000"/>
    <n v="72000"/>
    <n v="72000"/>
    <n v="1"/>
    <x v="2"/>
    <n v="17.010000000000002"/>
    <n v="39"/>
    <x v="0"/>
    <s v="高田馬場駅"/>
    <n v="7"/>
    <n v="11.67"/>
    <n v="154556.70000000001"/>
    <n v="95329.65"/>
    <n v="261"/>
    <n v="1622"/>
    <s v="10-20"/>
    <x v="4"/>
  </r>
  <r>
    <s v="https://suumo.jp/chintai/jnc_000055370400/?bc=100463453102"/>
    <s v="サニースポット"/>
    <s v="東京都新宿区高田馬場４"/>
    <n v="72000"/>
    <n v="2000"/>
    <n v="72000"/>
    <n v="72000"/>
    <n v="1"/>
    <x v="2"/>
    <n v="17"/>
    <n v="39"/>
    <x v="0"/>
    <s v="高田馬場駅"/>
    <n v="7"/>
    <n v="11.67"/>
    <n v="154556.70000000001"/>
    <n v="95329.65"/>
    <n v="261"/>
    <n v="1622"/>
    <s v="10-20"/>
    <x v="4"/>
  </r>
  <r>
    <s v="https://suumo.jp/chintai/jnc_000096590571/?bc=100484024874"/>
    <s v="サニースポット"/>
    <s v="東京都新宿区高田馬場４"/>
    <n v="71000"/>
    <n v="2000"/>
    <n v="71000"/>
    <n v="71000"/>
    <n v="1"/>
    <x v="2"/>
    <n v="19"/>
    <n v="39"/>
    <x v="0"/>
    <s v="高田馬場駅"/>
    <n v="7"/>
    <n v="11.67"/>
    <n v="154556.70000000001"/>
    <n v="95329.65"/>
    <n v="261"/>
    <n v="1622"/>
    <s v="10-20"/>
    <x v="4"/>
  </r>
  <r>
    <s v="https://suumo.jp/chintai/jnc_000065422479/?bc=100473983266"/>
    <s v="サニースポット"/>
    <s v="東京都新宿区高田馬場４"/>
    <n v="74000"/>
    <n v="2000"/>
    <n v="74000"/>
    <n v="74000"/>
    <n v="2"/>
    <x v="2"/>
    <n v="19"/>
    <n v="39"/>
    <x v="0"/>
    <s v="高田馬場駅"/>
    <n v="7"/>
    <n v="11.67"/>
    <n v="154556.70000000001"/>
    <n v="95329.65"/>
    <n v="261"/>
    <n v="1622"/>
    <s v="10-20"/>
    <x v="4"/>
  </r>
  <r>
    <s v="https://suumo.jp/chintai/jnc_000104255994/?bc=100484984814"/>
    <s v="サンパティオ高田馬場"/>
    <s v="東京都新宿区高田馬場３"/>
    <n v="115000"/>
    <n v="5000"/>
    <m/>
    <n v="115000"/>
    <n v="4"/>
    <x v="2"/>
    <n v="20.059999999999999"/>
    <n v="46"/>
    <x v="7"/>
    <s v="高田馬場駅"/>
    <n v="2"/>
    <n v="10.33"/>
    <n v="154556.70000000001"/>
    <n v="95329.65"/>
    <n v="261"/>
    <n v="1622"/>
    <s v="20-30"/>
    <x v="3"/>
  </r>
  <r>
    <s v="https://suumo.jp/chintai/jnc_000101329200/?bc=100478460898"/>
    <s v="スカイコート高田馬場第２"/>
    <s v="東京都新宿区下落合２"/>
    <n v="82300"/>
    <n v="10700"/>
    <n v="82300"/>
    <n v="82300"/>
    <n v="4"/>
    <x v="2"/>
    <n v="25.45"/>
    <n v="29"/>
    <x v="10"/>
    <s v="高田馬場駅"/>
    <n v="6"/>
    <n v="9"/>
    <n v="154556.70000000001"/>
    <n v="95329.65"/>
    <n v="261"/>
    <n v="1622"/>
    <s v="20-30"/>
    <x v="1"/>
  </r>
  <r>
    <s v="https://suumo.jp/chintai/jnc_000103843607/?bc=100481155489"/>
    <s v="ドゥ・オランジュ"/>
    <s v="東京都新宿区高田馬場３"/>
    <n v="73000"/>
    <m/>
    <n v="73000"/>
    <n v="73000"/>
    <n v="2"/>
    <x v="2"/>
    <n v="16.600000000000001"/>
    <n v="25"/>
    <x v="0"/>
    <s v="高田馬場駅"/>
    <n v="8"/>
    <n v="11"/>
    <n v="154556.70000000001"/>
    <n v="95329.65"/>
    <n v="261"/>
    <n v="1622"/>
    <s v="10-20"/>
    <x v="1"/>
  </r>
  <r>
    <s v="https://suumo.jp/chintai/jnc_000103454069/?bc=100477631038"/>
    <s v="ドムス・スタイル高田馬場"/>
    <s v="東京都新宿区高田馬場３"/>
    <n v="146000"/>
    <n v="12000"/>
    <m/>
    <n v="146000"/>
    <n v="3"/>
    <x v="2"/>
    <n v="26.47"/>
    <n v="6"/>
    <x v="1"/>
    <s v="高田馬場駅"/>
    <n v="3"/>
    <n v="5.67"/>
    <n v="154556.70000000001"/>
    <n v="95329.65"/>
    <n v="261"/>
    <n v="1622"/>
    <s v="20-30"/>
    <x v="0"/>
  </r>
  <r>
    <s v="https://suumo.jp/chintai/jnc_000103928521/?bc=100481840062"/>
    <s v="ドムス・スタイル高田馬場"/>
    <s v="東京都新宿区高田馬場３"/>
    <n v="148000"/>
    <n v="12000"/>
    <m/>
    <n v="148000"/>
    <n v="9"/>
    <x v="2"/>
    <n v="26.47"/>
    <n v="6"/>
    <x v="1"/>
    <s v="高田馬場駅"/>
    <n v="3"/>
    <n v="5.67"/>
    <n v="154556.70000000001"/>
    <n v="95329.65"/>
    <n v="261"/>
    <n v="1622"/>
    <s v="20-30"/>
    <x v="0"/>
  </r>
  <r>
    <s v="https://suumo.jp/chintai/jnc_000104178856/?bc=100474307704"/>
    <s v="ハイム白雲"/>
    <s v="東京都新宿区高田馬場１"/>
    <n v="90000"/>
    <n v="2000"/>
    <n v="90000"/>
    <m/>
    <n v="3"/>
    <x v="2"/>
    <n v="23"/>
    <n v="41"/>
    <x v="7"/>
    <s v="高田馬場駅"/>
    <n v="2"/>
    <n v="11"/>
    <n v="154556.70000000001"/>
    <n v="95329.65"/>
    <n v="261"/>
    <n v="1622"/>
    <s v="20-30"/>
    <x v="3"/>
  </r>
  <r>
    <s v="https://suumo.jp/chintai/jnc_000103454073/?bc=100477743299"/>
    <s v="バウスステージ高田馬場"/>
    <s v="東京都新宿区高田馬場４"/>
    <n v="117000"/>
    <n v="15000"/>
    <n v="117000"/>
    <n v="175500"/>
    <n v="3"/>
    <x v="2"/>
    <n v="25.08"/>
    <n v="5"/>
    <x v="2"/>
    <s v="高田馬場駅"/>
    <n v="6"/>
    <n v="11.33"/>
    <n v="154556.70000000001"/>
    <n v="95329.65"/>
    <n v="261"/>
    <n v="1622"/>
    <s v="20-30"/>
    <x v="0"/>
  </r>
  <r>
    <s v="https://suumo.jp/chintai/jnc_000103238940/?bc=100482840677"/>
    <s v="フェニックス高田馬場弐番館"/>
    <s v="東京都新宿区高田馬場４"/>
    <n v="106000"/>
    <n v="11000"/>
    <m/>
    <n v="106000"/>
    <n v="2"/>
    <x v="2"/>
    <n v="21"/>
    <n v="19"/>
    <x v="5"/>
    <s v="高田馬場駅"/>
    <n v="10"/>
    <n v="11.67"/>
    <n v="154556.70000000001"/>
    <n v="95329.65"/>
    <n v="261"/>
    <n v="1622"/>
    <s v="20-30"/>
    <x v="7"/>
  </r>
  <r>
    <s v="https://suumo.jp/chintai/jnc_000104326028/?bc=100486150214"/>
    <s v="フェニックス高田馬場弐番館"/>
    <s v="東京都新宿区高田馬場４"/>
    <n v="84000"/>
    <n v="9000"/>
    <n v="84000"/>
    <n v="84000"/>
    <n v="3"/>
    <x v="2"/>
    <n v="20.69"/>
    <n v="19"/>
    <x v="5"/>
    <s v="高田馬場駅"/>
    <n v="10"/>
    <n v="11.67"/>
    <n v="154556.70000000001"/>
    <n v="95329.65"/>
    <n v="261"/>
    <n v="1622"/>
    <s v="20-30"/>
    <x v="7"/>
  </r>
  <r>
    <s v="https://suumo.jp/chintai/jnc_000104363183/?bc=100483038093"/>
    <s v="フラット新宿1"/>
    <s v="東京都新宿区下落合１"/>
    <n v="73000"/>
    <n v="2000"/>
    <m/>
    <m/>
    <n v="2"/>
    <x v="2"/>
    <n v="13.5"/>
    <n v="24"/>
    <x v="0"/>
    <s v="高田馬場駅"/>
    <n v="5"/>
    <n v="7.67"/>
    <n v="154556.70000000001"/>
    <n v="95329.65"/>
    <n v="261"/>
    <n v="1622"/>
    <s v="10-20"/>
    <x v="1"/>
  </r>
  <r>
    <s v="https://suumo.jp/chintai/jnc_000103324121/?bc=100476791241"/>
    <s v="プラムハウス"/>
    <s v="東京都新宿区高田馬場３"/>
    <n v="69000"/>
    <n v="3000"/>
    <n v="69000"/>
    <n v="69000"/>
    <n v="1"/>
    <x v="2"/>
    <n v="20.100000000000001"/>
    <n v="38"/>
    <x v="0"/>
    <s v="高田馬場駅"/>
    <n v="4"/>
    <n v="11.67"/>
    <n v="154556.70000000001"/>
    <n v="95329.65"/>
    <n v="261"/>
    <n v="1622"/>
    <s v="20-30"/>
    <x v="4"/>
  </r>
  <r>
    <s v="https://suumo.jp/chintai/jnc_000067914924/?bc=100483715896"/>
    <s v="マンションプリエール"/>
    <s v="東京都新宿区高田馬場４"/>
    <n v="70000"/>
    <m/>
    <m/>
    <m/>
    <n v="2"/>
    <x v="2"/>
    <n v="17"/>
    <n v="42"/>
    <x v="2"/>
    <s v="高田馬場駅"/>
    <n v="4"/>
    <n v="10.33"/>
    <n v="154556.70000000001"/>
    <n v="95329.65"/>
    <n v="261"/>
    <n v="1622"/>
    <s v="10-20"/>
    <x v="3"/>
  </r>
  <r>
    <s v="https://suumo.jp/chintai/jnc_000085731212/?bc=100484153957"/>
    <s v="マンションプリエール"/>
    <s v="東京都新宿区高田馬場４"/>
    <n v="65000"/>
    <m/>
    <m/>
    <m/>
    <n v="3"/>
    <x v="2"/>
    <n v="17"/>
    <n v="42"/>
    <x v="2"/>
    <s v="高田馬場駅"/>
    <n v="4"/>
    <n v="10.33"/>
    <n v="154556.70000000001"/>
    <n v="95329.65"/>
    <n v="261"/>
    <n v="1622"/>
    <s v="10-20"/>
    <x v="3"/>
  </r>
  <r>
    <s v="https://suumo.jp/chintai/jnc_000104229484/?bc=100483715921"/>
    <s v="マンションプリエール"/>
    <s v="東京都新宿区高田馬場４"/>
    <n v="70000"/>
    <m/>
    <m/>
    <m/>
    <n v="3"/>
    <x v="2"/>
    <n v="17"/>
    <n v="42"/>
    <x v="2"/>
    <s v="高田馬場駅"/>
    <n v="4"/>
    <n v="10.33"/>
    <n v="154556.70000000001"/>
    <n v="95329.65"/>
    <n v="261"/>
    <n v="1622"/>
    <s v="10-20"/>
    <x v="3"/>
  </r>
  <r>
    <s v="https://suumo.jp/chintai/jnc_000104265695/?bc=100484277280"/>
    <s v="メゾンフジサワ(メゾンフジサワ)"/>
    <s v="東京都新宿区高田馬場４"/>
    <n v="76000"/>
    <n v="3000"/>
    <n v="76000"/>
    <n v="76000"/>
    <n v="1"/>
    <x v="2"/>
    <n v="19.350000000000001"/>
    <n v="25"/>
    <x v="0"/>
    <s v="高田馬場駅"/>
    <n v="6"/>
    <n v="12"/>
    <n v="154556.70000000001"/>
    <n v="95329.65"/>
    <n v="261"/>
    <n v="1622"/>
    <s v="10-20"/>
    <x v="1"/>
  </r>
  <r>
    <s v="https://suumo.jp/chintai/jnc_000104363192/?bc=100485058767"/>
    <s v="メゾン高田馬場"/>
    <s v="東京都新宿区高田馬場４"/>
    <n v="71000"/>
    <n v="5000"/>
    <n v="71000"/>
    <n v="71000"/>
    <n v="1"/>
    <x v="2"/>
    <n v="19.100000000000001"/>
    <n v="34"/>
    <x v="2"/>
    <s v="高田馬場駅"/>
    <n v="1"/>
    <n v="10.67"/>
    <n v="154556.70000000001"/>
    <n v="95329.65"/>
    <n v="261"/>
    <n v="1622"/>
    <s v="10-20"/>
    <x v="4"/>
  </r>
  <r>
    <s v="https://suumo.jp/chintai/jnc_000103851228/?bc=100481330548"/>
    <s v="ユナイテッドグロー高田馬場"/>
    <s v="東京都新宿区高田馬場４"/>
    <n v="87000"/>
    <n v="11000"/>
    <m/>
    <m/>
    <n v="2"/>
    <x v="2"/>
    <n v="22.63"/>
    <n v="21"/>
    <x v="7"/>
    <s v="高田馬場駅"/>
    <n v="8"/>
    <n v="10.33"/>
    <n v="154556.70000000001"/>
    <n v="95329.65"/>
    <n v="261"/>
    <n v="1622"/>
    <s v="20-30"/>
    <x v="1"/>
  </r>
  <r>
    <s v="https://suumo.jp/chintai/jnc_000101204772/?bc=100460440027"/>
    <s v="ルクレ高田馬場"/>
    <s v="東京都新宿区高田馬場３"/>
    <n v="164000"/>
    <n v="15000"/>
    <m/>
    <n v="164000"/>
    <n v="3"/>
    <x v="2"/>
    <n v="30.38"/>
    <n v="6"/>
    <x v="5"/>
    <s v="高田馬場駅"/>
    <n v="6"/>
    <n v="12"/>
    <n v="154556.70000000001"/>
    <n v="95329.65"/>
    <n v="261"/>
    <n v="1622"/>
    <s v="30-40"/>
    <x v="0"/>
  </r>
  <r>
    <s v="https://suumo.jp/chintai/jnc_000104107325/?bc=100486293218"/>
    <s v="ルネサンスコート高田馬場Patria"/>
    <s v="東京都新宿区高田馬場３"/>
    <n v="114000"/>
    <n v="10000"/>
    <m/>
    <m/>
    <n v="1"/>
    <x v="2"/>
    <n v="20.51"/>
    <n v="3"/>
    <x v="4"/>
    <s v="高田馬場駅"/>
    <n v="7"/>
    <n v="7.67"/>
    <n v="154556.70000000001"/>
    <n v="95329.65"/>
    <n v="261"/>
    <n v="1622"/>
    <s v="20-30"/>
    <x v="0"/>
  </r>
  <r>
    <s v="https://suumo.jp/chintai/jnc_000103316439/?bc=100481125357"/>
    <s v="ルネサンスコート高田馬場Ｃａｌｍｅ"/>
    <s v="東京都新宿区高田馬場４"/>
    <n v="116000"/>
    <n v="20000"/>
    <n v="116000"/>
    <m/>
    <n v="2"/>
    <x v="2"/>
    <n v="25.64"/>
    <n v="3"/>
    <x v="4"/>
    <s v="高田馬場駅"/>
    <n v="8"/>
    <n v="9"/>
    <n v="154556.70000000001"/>
    <n v="95329.65"/>
    <n v="261"/>
    <n v="1622"/>
    <s v="20-30"/>
    <x v="0"/>
  </r>
  <r>
    <s v="https://suumo.jp/chintai/jnc_000103169318/?bc=100473538879"/>
    <s v="ルネサンスコート高田馬場Ｃａｌｍｅ"/>
    <s v="東京都新宿区高田馬場４"/>
    <n v="116000"/>
    <n v="20000"/>
    <n v="116000"/>
    <m/>
    <n v="3"/>
    <x v="2"/>
    <n v="25.64"/>
    <n v="3"/>
    <x v="4"/>
    <s v="高田馬場駅"/>
    <n v="8"/>
    <n v="9"/>
    <n v="154556.70000000001"/>
    <n v="95329.65"/>
    <n v="261"/>
    <n v="1622"/>
    <s v="20-30"/>
    <x v="0"/>
  </r>
  <r>
    <s v="https://suumo.jp/chintai/jnc_000103316440/?bc=100485403152"/>
    <s v="ルネサンスコート高田馬場Ｃａｌｍｅ"/>
    <s v="東京都新宿区高田馬場４"/>
    <n v="116000"/>
    <n v="20000"/>
    <n v="116000"/>
    <m/>
    <n v="4"/>
    <x v="2"/>
    <n v="25.56"/>
    <n v="3"/>
    <x v="4"/>
    <s v="高田馬場駅"/>
    <n v="8"/>
    <n v="9"/>
    <n v="154556.70000000001"/>
    <n v="95329.65"/>
    <n v="261"/>
    <n v="1622"/>
    <s v="20-30"/>
    <x v="0"/>
  </r>
  <r>
    <s v="https://suumo.jp/chintai/jnc_000104303530/?bc=100476429633"/>
    <s v="ヴェルデュール高田馬場"/>
    <s v="東京都新宿区高田馬場４"/>
    <n v="146000"/>
    <n v="8000"/>
    <n v="146000"/>
    <n v="219000"/>
    <n v="10"/>
    <x v="2"/>
    <n v="29.14"/>
    <n v="10"/>
    <x v="13"/>
    <s v="高田馬場駅"/>
    <n v="8"/>
    <n v="12"/>
    <n v="154556.70000000001"/>
    <n v="95329.65"/>
    <n v="261"/>
    <n v="1622"/>
    <s v="20-30"/>
    <x v="0"/>
  </r>
  <r>
    <s v="https://suumo.jp/chintai/jnc_000104096801/?bc=100482480937"/>
    <s v="ヴェルデュール高田馬場"/>
    <s v="東京都新宿区高田馬場４"/>
    <n v="149000"/>
    <n v="8000"/>
    <n v="149000"/>
    <n v="223500"/>
    <n v="10"/>
    <x v="2"/>
    <n v="29.14"/>
    <n v="10"/>
    <x v="13"/>
    <s v="高田馬場駅"/>
    <n v="8"/>
    <n v="12"/>
    <n v="154556.70000000001"/>
    <n v="95329.65"/>
    <n v="261"/>
    <n v="1622"/>
    <s v="20-30"/>
    <x v="0"/>
  </r>
  <r>
    <s v="https://suumo.jp/chintai/jnc_000103294282/?bc=100476706009"/>
    <s v="ヴェルデュール高田馬場"/>
    <s v="東京都新宿区高田馬場４"/>
    <n v="150000"/>
    <n v="8000"/>
    <n v="150000"/>
    <n v="150000"/>
    <n v="10"/>
    <x v="2"/>
    <n v="29.14"/>
    <n v="10"/>
    <x v="13"/>
    <s v="高田馬場駅"/>
    <n v="8"/>
    <n v="12"/>
    <n v="154556.70000000001"/>
    <n v="95329.65"/>
    <n v="261"/>
    <n v="1622"/>
    <s v="20-30"/>
    <x v="0"/>
  </r>
  <r>
    <s v="https://suumo.jp/chintai/jnc_000103987149/?bc=100475331386"/>
    <s v="ヴェルデュール高田馬場"/>
    <s v="東京都新宿区高田馬場４"/>
    <n v="130000"/>
    <n v="8000"/>
    <n v="130000"/>
    <n v="130000"/>
    <n v="10"/>
    <x v="2"/>
    <n v="29.61"/>
    <n v="10"/>
    <x v="13"/>
    <s v="高田馬場駅"/>
    <n v="8"/>
    <n v="12"/>
    <n v="154556.70000000001"/>
    <n v="95329.65"/>
    <n v="261"/>
    <n v="1622"/>
    <s v="20-30"/>
    <x v="0"/>
  </r>
  <r>
    <s v="https://suumo.jp/chintai/jnc_000103294283/?bc=100476005179"/>
    <s v="ヴェルデュール高田馬場"/>
    <s v="東京都新宿区高田馬場４"/>
    <n v="150000"/>
    <n v="8000"/>
    <n v="150000"/>
    <n v="150000"/>
    <n v="10"/>
    <x v="2"/>
    <n v="29.61"/>
    <n v="10"/>
    <x v="13"/>
    <s v="高田馬場駅"/>
    <n v="8"/>
    <n v="12"/>
    <n v="154556.70000000001"/>
    <n v="95329.65"/>
    <n v="261"/>
    <n v="1622"/>
    <s v="20-30"/>
    <x v="0"/>
  </r>
  <r>
    <s v="https://suumo.jp/chintai/jnc_000103727189/?bc=100485105149"/>
    <s v="ヴェルデュール高田馬場"/>
    <s v="東京都新宿区高田馬場４"/>
    <n v="152000"/>
    <n v="8000"/>
    <n v="152000"/>
    <n v="228000"/>
    <n v="12"/>
    <x v="2"/>
    <n v="29.14"/>
    <n v="10"/>
    <x v="13"/>
    <s v="高田馬場駅"/>
    <n v="8"/>
    <n v="12"/>
    <n v="154556.70000000001"/>
    <n v="95329.65"/>
    <n v="261"/>
    <n v="1622"/>
    <s v="20-30"/>
    <x v="0"/>
  </r>
  <r>
    <s v="https://suumo.jp/chintai/jnc_000103294284/?bc=100478385999"/>
    <s v="ヴェルデュール高田馬場"/>
    <s v="東京都新宿区高田馬場４"/>
    <n v="122000"/>
    <n v="8000"/>
    <n v="122000"/>
    <n v="122000"/>
    <n v="4"/>
    <x v="2"/>
    <n v="25.41"/>
    <n v="10"/>
    <x v="13"/>
    <s v="高田馬場駅"/>
    <n v="8"/>
    <n v="12"/>
    <n v="154556.70000000001"/>
    <n v="95329.65"/>
    <n v="261"/>
    <n v="1622"/>
    <s v="20-30"/>
    <x v="0"/>
  </r>
  <r>
    <s v="https://suumo.jp/chintai/jnc_000103891511/?bc=100481941251"/>
    <s v="ヴェルデュール高田馬場"/>
    <s v="東京都新宿区高田馬場４"/>
    <n v="148000"/>
    <n v="8000"/>
    <n v="148000"/>
    <n v="222000"/>
    <n v="8"/>
    <x v="2"/>
    <n v="29.14"/>
    <n v="10"/>
    <x v="13"/>
    <s v="高田馬場駅"/>
    <n v="8"/>
    <n v="12"/>
    <n v="154556.70000000001"/>
    <n v="95329.65"/>
    <n v="261"/>
    <n v="1622"/>
    <s v="20-30"/>
    <x v="0"/>
  </r>
  <r>
    <s v="https://suumo.jp/chintai/jnc_000053059970/?bc=100478797012"/>
    <s v="北川荘"/>
    <s v="東京都新宿区高田馬場３"/>
    <n v="50199.999999999898"/>
    <m/>
    <n v="50199.999999999898"/>
    <n v="50199.999999999898"/>
    <n v="1"/>
    <x v="2"/>
    <n v="16"/>
    <n v="48"/>
    <x v="0"/>
    <s v="高田馬場駅"/>
    <n v="6"/>
    <n v="7.5"/>
    <n v="154556.70000000001"/>
    <n v="95329.65"/>
    <n v="261"/>
    <n v="1622"/>
    <s v="10-20"/>
    <x v="3"/>
  </r>
  <r>
    <s v="https://suumo.jp/chintai/jnc_000104295038/?bc=100484686326"/>
    <s v="寿ハイツ"/>
    <s v="東京都新宿区高田馬場４"/>
    <n v="68000"/>
    <n v="1000"/>
    <n v="68000"/>
    <n v="68000"/>
    <n v="1"/>
    <x v="2"/>
    <n v="21.25"/>
    <n v="34"/>
    <x v="0"/>
    <s v="高田馬場駅"/>
    <n v="5"/>
    <n v="10"/>
    <n v="154556.70000000001"/>
    <n v="95329.65"/>
    <n v="261"/>
    <n v="1622"/>
    <s v="20-30"/>
    <x v="4"/>
  </r>
  <r>
    <s v="https://suumo.jp/chintai/jnc_000103883457/?bc=100481358916"/>
    <s v="戸塚ハイム"/>
    <s v="東京都新宿区高田馬場４"/>
    <n v="82000"/>
    <n v="3000"/>
    <n v="82000"/>
    <m/>
    <n v="1"/>
    <x v="2"/>
    <n v="20.88"/>
    <n v="44"/>
    <x v="2"/>
    <s v="高田馬場駅"/>
    <n v="2"/>
    <n v="8.67"/>
    <n v="154556.70000000001"/>
    <n v="95329.65"/>
    <n v="261"/>
    <n v="1622"/>
    <s v="20-30"/>
    <x v="3"/>
  </r>
  <r>
    <s v="https://suumo.jp/chintai/jnc_000104473665/?bc=100486324841"/>
    <s v="第2青美ハイツ"/>
    <s v="東京都新宿区高田馬場３"/>
    <n v="65000"/>
    <m/>
    <n v="65000"/>
    <n v="65000"/>
    <n v="2"/>
    <x v="2"/>
    <n v="20.7"/>
    <n v="40"/>
    <x v="0"/>
    <s v="高田馬場駅"/>
    <n v="7"/>
    <n v="7"/>
    <n v="154556.70000000001"/>
    <n v="95329.65"/>
    <n v="261"/>
    <n v="1622"/>
    <s v="20-30"/>
    <x v="4"/>
  </r>
  <r>
    <s v="https://suumo.jp/chintai/jnc_000103198555/?bc=100475733384"/>
    <s v="金井荘"/>
    <s v="東京都新宿区高田馬場３"/>
    <n v="63000"/>
    <m/>
    <n v="63000"/>
    <m/>
    <n v="2"/>
    <x v="2"/>
    <n v="16"/>
    <n v="55"/>
    <x v="0"/>
    <s v="高田馬場駅"/>
    <n v="5"/>
    <n v="12"/>
    <n v="154556.70000000001"/>
    <n v="95329.65"/>
    <n v="261"/>
    <n v="1622"/>
    <s v="10-20"/>
    <x v="5"/>
  </r>
  <r>
    <s v="https://suumo.jp/chintai/jnc_000103454070/?bc=100478380424"/>
    <s v="ＪＲ山手線 高田馬場駅 10階建 築6年"/>
    <s v="東京都新宿区高田馬場３"/>
    <n v="146000"/>
    <n v="12000"/>
    <m/>
    <n v="146000"/>
    <n v="3"/>
    <x v="2"/>
    <n v="26.47"/>
    <n v="6"/>
    <x v="1"/>
    <s v="高田馬場駅"/>
    <n v="3"/>
    <n v="5.67"/>
    <n v="154556.70000000001"/>
    <n v="95329.65"/>
    <n v="261"/>
    <n v="1622"/>
    <s v="20-30"/>
    <x v="0"/>
  </r>
  <r>
    <s v="https://suumo.jp/chintai/jnc_000103976381/?bc=100481932629"/>
    <s v="ＪＲ山手線 高田馬場駅 10階建 築6年"/>
    <s v="東京都新宿区高田馬場３"/>
    <n v="148000"/>
    <n v="12000"/>
    <m/>
    <n v="148000"/>
    <n v="9"/>
    <x v="2"/>
    <n v="26.47"/>
    <n v="6"/>
    <x v="1"/>
    <s v="高田馬場駅"/>
    <n v="3"/>
    <n v="5.67"/>
    <n v="154556.70000000001"/>
    <n v="95329.65"/>
    <n v="261"/>
    <n v="1622"/>
    <s v="20-30"/>
    <x v="0"/>
  </r>
  <r>
    <s v="https://suumo.jp/chintai/jnc_000104276178/?bc=100484336509"/>
    <s v="ＪＲ山手線 高田馬場駅 12階建 築24年"/>
    <s v="東京都新宿区下落合２"/>
    <n v="80000"/>
    <n v="9000"/>
    <n v="80000"/>
    <n v="160000"/>
    <n v="3"/>
    <x v="2"/>
    <n v="23.08"/>
    <n v="24"/>
    <x v="3"/>
    <s v="高田馬場駅"/>
    <n v="7"/>
    <n v="7"/>
    <n v="154556.70000000001"/>
    <n v="95329.65"/>
    <n v="261"/>
    <n v="1622"/>
    <s v="20-30"/>
    <x v="1"/>
  </r>
  <r>
    <s v="https://suumo.jp/chintai/jnc_000104310252/?bc=100476727163"/>
    <s v="ＪＲ山手線 高田馬場駅 13階建 築10年"/>
    <s v="東京都新宿区高田馬場４"/>
    <n v="146000"/>
    <n v="8000"/>
    <n v="146000"/>
    <n v="219000"/>
    <n v="10"/>
    <x v="2"/>
    <n v="29.14"/>
    <n v="10"/>
    <x v="13"/>
    <s v="高田馬場駅"/>
    <n v="8"/>
    <n v="8.67"/>
    <n v="154556.70000000001"/>
    <n v="95329.65"/>
    <n v="261"/>
    <n v="1622"/>
    <s v="20-30"/>
    <x v="0"/>
  </r>
  <r>
    <s v="https://suumo.jp/chintai/jnc_000104003340/?bc=100482133550"/>
    <s v="ＪＲ山手線 高田馬場駅 13階建 築10年"/>
    <s v="東京都新宿区高田馬場４"/>
    <n v="130000"/>
    <n v="8000"/>
    <n v="130000"/>
    <n v="130000"/>
    <n v="10"/>
    <x v="2"/>
    <n v="29.61"/>
    <n v="10"/>
    <x v="13"/>
    <s v="高田馬場駅"/>
    <n v="8"/>
    <n v="8.67"/>
    <n v="154556.70000000001"/>
    <n v="95329.65"/>
    <n v="261"/>
    <n v="1622"/>
    <s v="20-30"/>
    <x v="0"/>
  </r>
  <r>
    <s v="https://suumo.jp/chintai/jnc_000103734414/?bc=100480146709"/>
    <s v="ＪＲ山手線 高田馬場駅 13階建 築10年"/>
    <s v="東京都新宿区高田馬場４"/>
    <n v="152000"/>
    <n v="8000"/>
    <n v="152000"/>
    <n v="228000"/>
    <n v="12"/>
    <x v="2"/>
    <n v="29.14"/>
    <n v="10"/>
    <x v="13"/>
    <s v="高田馬場駅"/>
    <n v="8"/>
    <n v="8.67"/>
    <n v="154556.70000000001"/>
    <n v="95329.65"/>
    <n v="261"/>
    <n v="1622"/>
    <s v="20-30"/>
    <x v="0"/>
  </r>
  <r>
    <s v="https://suumo.jp/chintai/jnc_000103316443/?bc=100481067236"/>
    <s v="ＪＲ山手線 高田馬場駅 13階建 築10年"/>
    <s v="東京都新宿区高田馬場４"/>
    <n v="122000"/>
    <n v="8000"/>
    <n v="122000"/>
    <n v="122000"/>
    <n v="4"/>
    <x v="2"/>
    <n v="25.41"/>
    <n v="10"/>
    <x v="13"/>
    <s v="高田馬場駅"/>
    <n v="8"/>
    <n v="8.67"/>
    <n v="154556.70000000001"/>
    <n v="95329.65"/>
    <n v="261"/>
    <n v="1622"/>
    <s v="20-30"/>
    <x v="0"/>
  </r>
  <r>
    <s v="https://suumo.jp/chintai/jnc_000103928522/?bc=100482224050"/>
    <s v="ＪＲ山手線 高田馬場駅 13階建 築10年"/>
    <s v="東京都新宿区高田馬場４"/>
    <n v="148000"/>
    <n v="8000"/>
    <n v="148000"/>
    <n v="222000"/>
    <n v="8"/>
    <x v="2"/>
    <n v="29.14"/>
    <n v="10"/>
    <x v="13"/>
    <s v="高田馬場駅"/>
    <n v="8"/>
    <n v="8.67"/>
    <n v="154556.70000000001"/>
    <n v="95329.65"/>
    <n v="261"/>
    <n v="1622"/>
    <s v="20-30"/>
    <x v="0"/>
  </r>
  <r>
    <s v="https://suumo.jp/chintai/jnc_000104326024/?bc=100484742122"/>
    <s v="ＪＲ山手線 高田馬場駅 15階建 築16年"/>
    <s v="東京都新宿区高田馬場３"/>
    <n v="145000"/>
    <n v="15000"/>
    <n v="145000"/>
    <n v="217500"/>
    <n v="11"/>
    <x v="2"/>
    <n v="30.26"/>
    <n v="16"/>
    <x v="11"/>
    <s v="高田馬場駅"/>
    <n v="4"/>
    <n v="6.67"/>
    <n v="154556.70000000001"/>
    <n v="95329.65"/>
    <n v="261"/>
    <n v="1622"/>
    <s v="30-40"/>
    <x v="7"/>
  </r>
  <r>
    <s v="https://suumo.jp/chintai/jnc_000104178861/?bc=100483750034"/>
    <s v="ＪＲ山手線 高田馬場駅 15階建 築16年"/>
    <s v="東京都新宿区高田馬場３"/>
    <n v="152000"/>
    <n v="15000"/>
    <n v="152000"/>
    <n v="304000"/>
    <n v="3"/>
    <x v="2"/>
    <n v="32.770000000000003"/>
    <n v="16"/>
    <x v="11"/>
    <s v="高田馬場駅"/>
    <n v="4"/>
    <n v="6.67"/>
    <n v="154556.70000000001"/>
    <n v="95329.65"/>
    <n v="261"/>
    <n v="1622"/>
    <s v="30-40"/>
    <x v="7"/>
  </r>
  <r>
    <s v="https://suumo.jp/chintai/jnc_000103402592/?bc=100485498273"/>
    <s v="ＪＲ山手線 高田馬場駅 15階建 築16年"/>
    <s v="東京都新宿区高田馬場３"/>
    <n v="154000"/>
    <n v="15000"/>
    <n v="154000"/>
    <n v="231000"/>
    <n v="5"/>
    <x v="2"/>
    <n v="32.770000000000003"/>
    <n v="16"/>
    <x v="11"/>
    <s v="高田馬場駅"/>
    <n v="4"/>
    <n v="6.67"/>
    <n v="154556.70000000001"/>
    <n v="95329.65"/>
    <n v="261"/>
    <n v="1622"/>
    <s v="30-40"/>
    <x v="7"/>
  </r>
  <r>
    <s v="https://suumo.jp/chintai/jnc_000102379472/?bc=100476618523"/>
    <s v="ＪＲ山手線 高田馬場駅 15階建 築16年"/>
    <s v="東京都新宿区高田馬場３"/>
    <n v="148000"/>
    <n v="15000"/>
    <n v="148000"/>
    <m/>
    <n v="6"/>
    <x v="2"/>
    <n v="32.770000000000003"/>
    <n v="16"/>
    <x v="11"/>
    <s v="高田馬場駅"/>
    <n v="4"/>
    <n v="6.67"/>
    <n v="154556.70000000001"/>
    <n v="95329.65"/>
    <n v="261"/>
    <n v="1622"/>
    <s v="30-40"/>
    <x v="7"/>
  </r>
  <r>
    <s v="https://suumo.jp/chintai/jnc_000104178862/?bc=100483536200"/>
    <s v="ＪＲ山手線 高田馬場駅 15階建 築16年"/>
    <s v="東京都新宿区高田馬場３"/>
    <n v="141000"/>
    <n v="15000"/>
    <n v="141000"/>
    <n v="282000"/>
    <n v="8"/>
    <x v="2"/>
    <n v="30.26"/>
    <n v="16"/>
    <x v="11"/>
    <s v="高田馬場駅"/>
    <n v="4"/>
    <n v="6.67"/>
    <n v="154556.70000000001"/>
    <n v="95329.65"/>
    <n v="261"/>
    <n v="1622"/>
    <s v="30-40"/>
    <x v="7"/>
  </r>
  <r>
    <s v="https://suumo.jp/chintai/jnc_000103779707/?bc=100480258090"/>
    <s v="ＪＲ山手線 高田馬場駅 2階建 新築"/>
    <s v="東京都新宿区高田馬場４"/>
    <n v="93000"/>
    <n v="4500"/>
    <n v="93000"/>
    <n v="93000"/>
    <n v="2"/>
    <x v="2"/>
    <n v="19.2"/>
    <n v="0"/>
    <x v="0"/>
    <s v="高田馬場駅"/>
    <n v="10"/>
    <n v="11"/>
    <n v="154556.70000000001"/>
    <n v="95329.65"/>
    <n v="261"/>
    <n v="1622"/>
    <s v="10-20"/>
    <x v="6"/>
  </r>
  <r>
    <s v="https://suumo.jp/chintai/jnc_000104372531/?bc=100485141353"/>
    <s v="ＪＲ山手線 高田馬場駅 2階建 築25年"/>
    <s v="東京都新宿区高田馬場４"/>
    <n v="76000"/>
    <n v="3000"/>
    <n v="76000"/>
    <n v="76000"/>
    <n v="1"/>
    <x v="2"/>
    <n v="19.350000000000001"/>
    <n v="25"/>
    <x v="0"/>
    <s v="高田馬場駅"/>
    <n v="5"/>
    <n v="10.67"/>
    <n v="154556.70000000001"/>
    <n v="95329.65"/>
    <n v="261"/>
    <n v="1622"/>
    <s v="10-20"/>
    <x v="1"/>
  </r>
  <r>
    <s v="https://suumo.jp/chintai/jnc_000104316376/?bc=100485777744"/>
    <s v="ＪＲ山手線 高田馬場駅 2階建 築34年"/>
    <s v="東京都新宿区高田馬場４"/>
    <n v="68000"/>
    <n v="1000"/>
    <n v="68000"/>
    <n v="68000"/>
    <n v="1"/>
    <x v="2"/>
    <n v="21.25"/>
    <n v="34"/>
    <x v="0"/>
    <s v="高田馬場駅"/>
    <n v="5"/>
    <n v="10"/>
    <n v="154556.70000000001"/>
    <n v="95329.65"/>
    <n v="261"/>
    <n v="1622"/>
    <s v="20-30"/>
    <x v="4"/>
  </r>
  <r>
    <s v="https://suumo.jp/chintai/jnc_000075691645/?bc=100480566285"/>
    <s v="ＪＲ山手線 高田馬場駅 2階建 築39年"/>
    <s v="東京都新宿区高田馬場４"/>
    <n v="74000"/>
    <n v="2000"/>
    <n v="74000"/>
    <n v="74000"/>
    <n v="2"/>
    <x v="2"/>
    <n v="18.5"/>
    <n v="39"/>
    <x v="0"/>
    <s v="高田馬場駅"/>
    <n v="9"/>
    <n v="12.33"/>
    <n v="154556.70000000001"/>
    <n v="95329.65"/>
    <n v="261"/>
    <n v="1622"/>
    <s v="10-20"/>
    <x v="4"/>
  </r>
  <r>
    <s v="https://suumo.jp/chintai/jnc_000053059971/?bc=100478797079"/>
    <s v="ＪＲ山手線 高田馬場駅 2階建 築48年"/>
    <s v="東京都新宿区高田馬場３"/>
    <n v="50199.999999999898"/>
    <m/>
    <n v="50199.999999999898"/>
    <n v="50199.999999999898"/>
    <n v="1"/>
    <x v="2"/>
    <n v="16"/>
    <n v="48"/>
    <x v="0"/>
    <s v="高田馬場駅"/>
    <n v="6"/>
    <n v="7.5"/>
    <n v="154556.70000000001"/>
    <n v="95329.65"/>
    <n v="261"/>
    <n v="1622"/>
    <s v="10-20"/>
    <x v="3"/>
  </r>
  <r>
    <s v="https://suumo.jp/chintai/jnc_000104378565/?bc=100485197362"/>
    <s v="ＪＲ山手線 高田馬場駅 3階建 築34年"/>
    <s v="東京都新宿区高田馬場４"/>
    <n v="71000"/>
    <n v="5000"/>
    <n v="71000"/>
    <n v="71000"/>
    <n v="1"/>
    <x v="2"/>
    <n v="19.100000000000001"/>
    <n v="34"/>
    <x v="2"/>
    <s v="高田馬場駅"/>
    <n v="1"/>
    <n v="10.67"/>
    <n v="154556.70000000001"/>
    <n v="95329.65"/>
    <n v="261"/>
    <n v="1622"/>
    <s v="10-20"/>
    <x v="4"/>
  </r>
  <r>
    <s v="https://suumo.jp/chintai/jnc_000103459015/?bc=100480789910"/>
    <s v="ＪＲ山手線 高田馬場駅 3階建 築6年"/>
    <s v="東京都新宿区高田馬場４"/>
    <n v="117000"/>
    <n v="15000"/>
    <n v="117000"/>
    <n v="175500"/>
    <n v="3"/>
    <x v="2"/>
    <n v="25.08"/>
    <n v="6"/>
    <x v="2"/>
    <s v="高田馬場駅"/>
    <n v="5"/>
    <n v="11"/>
    <n v="154556.70000000001"/>
    <n v="95329.65"/>
    <n v="261"/>
    <n v="1622"/>
    <s v="20-30"/>
    <x v="0"/>
  </r>
  <r>
    <s v="https://suumo.jp/chintai/jnc_000097912874/?bc=100483271944"/>
    <s v="ＪＲ山手線 高田馬場駅 4階建 築21年"/>
    <s v="東京都新宿区下落合２"/>
    <n v="82000"/>
    <n v="8000"/>
    <n v="82000"/>
    <n v="82000"/>
    <n v="1"/>
    <x v="2"/>
    <n v="20.8"/>
    <n v="21"/>
    <x v="4"/>
    <s v="高田馬場駅"/>
    <n v="7"/>
    <n v="8.33"/>
    <n v="154556.70000000001"/>
    <n v="95329.65"/>
    <n v="261"/>
    <n v="1622"/>
    <s v="20-30"/>
    <x v="1"/>
  </r>
  <r>
    <s v="https://suumo.jp/chintai/jnc_000104138637/?bc=100483274225"/>
    <s v="ＪＲ山手線 高田馬場駅 4階建 築3年"/>
    <s v="東京都新宿区高田馬場３"/>
    <n v="114000"/>
    <n v="10000"/>
    <m/>
    <m/>
    <n v="1"/>
    <x v="2"/>
    <n v="20.51"/>
    <n v="3"/>
    <x v="4"/>
    <s v="高田馬場駅"/>
    <n v="7"/>
    <n v="12"/>
    <n v="154556.70000000001"/>
    <n v="95329.65"/>
    <n v="261"/>
    <n v="1622"/>
    <s v="20-30"/>
    <x v="0"/>
  </r>
  <r>
    <s v="https://suumo.jp/chintai/jnc_000103316442/?bc=100478517893"/>
    <s v="ＪＲ山手線 高田馬場駅 4階建 築3年"/>
    <s v="東京都新宿区高田馬場４"/>
    <n v="116000"/>
    <n v="20000"/>
    <n v="116000"/>
    <m/>
    <n v="4"/>
    <x v="2"/>
    <n v="25.56"/>
    <n v="3"/>
    <x v="4"/>
    <s v="高田馬場駅"/>
    <n v="9"/>
    <n v="12.33"/>
    <n v="154556.70000000001"/>
    <n v="95329.65"/>
    <n v="261"/>
    <n v="1622"/>
    <s v="20-30"/>
    <x v="0"/>
  </r>
  <r>
    <s v="https://suumo.jp/chintai/jnc_000103843609/?bc=100481096918"/>
    <s v="ＪＲ山手線 高田馬場駅 5階建 築18年"/>
    <s v="東京都新宿区高田馬場３"/>
    <n v="84000"/>
    <n v="6000"/>
    <n v="84000"/>
    <n v="84000"/>
    <n v="1"/>
    <x v="2"/>
    <n v="19.62"/>
    <n v="18"/>
    <x v="7"/>
    <s v="高田馬場駅"/>
    <n v="6"/>
    <n v="11.67"/>
    <n v="154556.70000000001"/>
    <n v="95329.65"/>
    <n v="261"/>
    <n v="1622"/>
    <s v="10-20"/>
    <x v="7"/>
  </r>
  <r>
    <s v="https://suumo.jp/chintai/jnc_000104156217/?bc=100483674129"/>
    <s v="ＪＲ山手線 高田馬場駅 5階建 築18年"/>
    <s v="東京都新宿区高田馬場３"/>
    <n v="88000"/>
    <n v="6000"/>
    <n v="88000"/>
    <n v="88000"/>
    <n v="3"/>
    <x v="2"/>
    <n v="19.62"/>
    <n v="18"/>
    <x v="7"/>
    <s v="高田馬場駅"/>
    <n v="6"/>
    <n v="11.67"/>
    <n v="154556.70000000001"/>
    <n v="95329.65"/>
    <n v="261"/>
    <n v="1622"/>
    <s v="10-20"/>
    <x v="7"/>
  </r>
  <r>
    <s v="https://suumo.jp/chintai/jnc_000104509212/?bc=100486213775"/>
    <s v="ＪＲ山手線 高田馬場駅 5階建 築19年"/>
    <s v="東京都新宿区高田馬場４"/>
    <n v="84000"/>
    <n v="9000"/>
    <n v="84000"/>
    <n v="84000"/>
    <n v="3"/>
    <x v="2"/>
    <n v="20.69"/>
    <n v="19"/>
    <x v="7"/>
    <s v="高田馬場駅"/>
    <n v="10"/>
    <n v="10.67"/>
    <n v="154556.70000000001"/>
    <n v="95329.65"/>
    <n v="261"/>
    <n v="1622"/>
    <s v="20-30"/>
    <x v="7"/>
  </r>
  <r>
    <s v="https://suumo.jp/chintai/jnc_000101180172/?bc=100475152002"/>
    <s v="ＪＲ山手線 高田馬場駅 5階建 築6年"/>
    <s v="東京都新宿区高田馬場３"/>
    <n v="164000"/>
    <n v="15000"/>
    <m/>
    <n v="164000"/>
    <n v="3"/>
    <x v="2"/>
    <n v="30.38"/>
    <n v="6"/>
    <x v="7"/>
    <s v="高田馬場駅"/>
    <n v="5"/>
    <n v="7.67"/>
    <n v="154556.70000000001"/>
    <n v="95329.65"/>
    <n v="261"/>
    <n v="1622"/>
    <s v="30-40"/>
    <x v="0"/>
  </r>
  <r>
    <s v="https://suumo.jp/chintai/jnc_000103447306/?bc=100480789585"/>
    <s v="ＪＲ山手線 高田馬場駅 6階建 築14年"/>
    <s v="東京都新宿区高田馬場４"/>
    <n v="117000"/>
    <n v="12000"/>
    <n v="117000"/>
    <n v="117000"/>
    <n v="2"/>
    <x v="2"/>
    <n v="30.06"/>
    <n v="14"/>
    <x v="5"/>
    <s v="高田馬場駅"/>
    <n v="5"/>
    <n v="10.67"/>
    <n v="154556.70000000001"/>
    <n v="95329.65"/>
    <n v="261"/>
    <n v="1622"/>
    <s v="30-40"/>
    <x v="7"/>
  </r>
  <r>
    <s v="https://suumo.jp/chintai/jnc_000101358304/?bc=100480789839"/>
    <s v="ＪＲ山手線 高田馬場駅 7階建 築29年"/>
    <s v="東京都新宿区下落合２"/>
    <n v="82300"/>
    <n v="10700"/>
    <n v="82300"/>
    <n v="82300"/>
    <n v="4"/>
    <x v="2"/>
    <n v="25.45"/>
    <n v="29"/>
    <x v="10"/>
    <s v="高田馬場駅"/>
    <n v="5"/>
    <n v="8.67"/>
    <n v="154556.70000000001"/>
    <n v="95329.65"/>
    <n v="261"/>
    <n v="1622"/>
    <s v="20-30"/>
    <x v="1"/>
  </r>
  <r>
    <s v="https://suumo.jp/chintai/jnc_000103667865/?bc=100481346293"/>
    <s v="ＪＲ山手線 高田馬場駅 地下1地上11階建 築25年"/>
    <s v="東京都新宿区下落合２"/>
    <n v="74000"/>
    <n v="8000"/>
    <m/>
    <n v="74000"/>
    <n v="2"/>
    <x v="2"/>
    <n v="18.04"/>
    <n v="25"/>
    <x v="3"/>
    <s v="高田馬場駅"/>
    <n v="7"/>
    <n v="9"/>
    <n v="154556.70000000001"/>
    <n v="95329.65"/>
    <n v="261"/>
    <n v="1622"/>
    <s v="10-20"/>
    <x v="1"/>
  </r>
  <r>
    <s v="https://suumo.jp/chintai/jnc_000104148223/?bc=100483485623"/>
    <s v="ASTILE高田馬場"/>
    <s v="東京都新宿区高田馬場３"/>
    <n v="210000"/>
    <n v="20000"/>
    <n v="210000"/>
    <m/>
    <n v="4"/>
    <x v="3"/>
    <n v="41.4"/>
    <n v="1"/>
    <x v="7"/>
    <s v="高田馬場駅"/>
    <n v="7"/>
    <n v="7.67"/>
    <n v="154556.70000000001"/>
    <n v="168453.81"/>
    <n v="261"/>
    <n v="788"/>
    <s v="40-50"/>
    <x v="0"/>
  </r>
  <r>
    <s v="https://suumo.jp/chintai/jnc_000098443330/?bc=100483486519"/>
    <s v="ASTILE高田馬場"/>
    <s v="東京都新宿区高田馬場３"/>
    <n v="206000"/>
    <n v="20000"/>
    <n v="206000"/>
    <m/>
    <n v="4"/>
    <x v="3"/>
    <n v="42.48"/>
    <n v="1"/>
    <x v="7"/>
    <s v="高田馬場駅"/>
    <n v="7"/>
    <n v="7.67"/>
    <n v="154556.70000000001"/>
    <n v="168453.81"/>
    <n v="261"/>
    <n v="788"/>
    <s v="40-50"/>
    <x v="0"/>
  </r>
  <r>
    <s v="https://suumo.jp/chintai/jnc_000102678958/?bc=100471644321"/>
    <s v="GranDuo高田馬場クレスト"/>
    <s v="東京都新宿区高田馬場４"/>
    <n v="157000"/>
    <n v="9000"/>
    <n v="157000"/>
    <n v="157000"/>
    <n v="3"/>
    <x v="3"/>
    <n v="31.87"/>
    <n v="4"/>
    <x v="7"/>
    <s v="高田馬場駅"/>
    <n v="11"/>
    <n v="11.67"/>
    <n v="154556.70000000001"/>
    <n v="168453.81"/>
    <n v="261"/>
    <n v="788"/>
    <s v="30-40"/>
    <x v="0"/>
  </r>
  <r>
    <s v="https://suumo.jp/chintai/jnc_000102055816/?bc=100466048918"/>
    <s v="GranDuo高田馬場クレスト"/>
    <s v="東京都新宿区高田馬場４"/>
    <n v="205000"/>
    <n v="14000"/>
    <n v="205000"/>
    <m/>
    <n v="3"/>
    <x v="3"/>
    <n v="37.200000000000003"/>
    <n v="4"/>
    <x v="7"/>
    <s v="高田馬場駅"/>
    <n v="11"/>
    <n v="11.67"/>
    <n v="154556.70000000001"/>
    <n v="168453.81"/>
    <n v="261"/>
    <n v="788"/>
    <s v="30-40"/>
    <x v="0"/>
  </r>
  <r>
    <s v="https://suumo.jp/chintai/jnc_000104356697/?bc=100485007958"/>
    <s v="M&amp;M"/>
    <s v="東京都新宿区高田馬場３"/>
    <n v="150000"/>
    <m/>
    <n v="150000"/>
    <n v="150000"/>
    <n v="2"/>
    <x v="3"/>
    <n v="40"/>
    <n v="12"/>
    <x v="2"/>
    <s v="高田馬場駅"/>
    <n v="7"/>
    <n v="11"/>
    <n v="154556.70000000001"/>
    <n v="168453.81"/>
    <n v="261"/>
    <n v="788"/>
    <s v="40-50"/>
    <x v="7"/>
  </r>
  <r>
    <s v="https://suumo.jp/chintai/jnc_000103994066/?bc=100458528159"/>
    <s v="My Style 高田馬場壱番館"/>
    <s v="東京都新宿区高田馬場４"/>
    <n v="152000"/>
    <n v="3000"/>
    <m/>
    <n v="152000"/>
    <n v="3"/>
    <x v="3"/>
    <n v="32.14"/>
    <n v="4"/>
    <x v="2"/>
    <s v="高田馬場駅"/>
    <n v="6"/>
    <n v="12.33"/>
    <n v="154556.70000000001"/>
    <n v="168453.81"/>
    <n v="261"/>
    <n v="788"/>
    <s v="30-40"/>
    <x v="0"/>
  </r>
  <r>
    <s v="https://suumo.jp/chintai/jnc_000104202530/?bc=100483742200"/>
    <s v="PRIME　HILLS　SHINJUKU"/>
    <s v="東京都新宿区高田馬場４"/>
    <n v="139000"/>
    <n v="6000"/>
    <n v="139000"/>
    <n v="139000"/>
    <n v="3"/>
    <x v="3"/>
    <n v="30.75"/>
    <n v="7"/>
    <x v="7"/>
    <s v="高田馬場駅"/>
    <n v="7"/>
    <n v="11"/>
    <n v="154556.70000000001"/>
    <n v="168453.81"/>
    <n v="261"/>
    <n v="788"/>
    <s v="30-40"/>
    <x v="0"/>
  </r>
  <r>
    <s v="https://suumo.jp/chintai/jnc_000103742523/?bc=100481544097"/>
    <s v="WHARF　bo-on　高田馬場"/>
    <s v="東京都新宿区高田馬場３"/>
    <n v="301000"/>
    <n v="20000"/>
    <m/>
    <m/>
    <n v="10"/>
    <x v="3"/>
    <n v="53.2"/>
    <n v="0"/>
    <x v="12"/>
    <s v="高田馬場駅"/>
    <n v="9"/>
    <n v="10.67"/>
    <n v="154556.70000000001"/>
    <n v="168453.81"/>
    <n v="261"/>
    <n v="788"/>
    <s v="50-60"/>
    <x v="6"/>
  </r>
  <r>
    <s v="https://suumo.jp/chintai/jnc_000103643840/?bc=100481544380"/>
    <s v="WHARF　bo-on　高田馬場"/>
    <s v="東京都新宿区高田馬場３"/>
    <n v="305000"/>
    <n v="20000"/>
    <m/>
    <m/>
    <n v="12"/>
    <x v="3"/>
    <n v="53.2"/>
    <n v="0"/>
    <x v="12"/>
    <s v="高田馬場駅"/>
    <n v="9"/>
    <n v="10.67"/>
    <n v="154556.70000000001"/>
    <n v="168453.81"/>
    <n v="261"/>
    <n v="788"/>
    <s v="50-60"/>
    <x v="6"/>
  </r>
  <r>
    <s v="https://suumo.jp/chintai/jnc_000103643842/?bc=100480313203"/>
    <s v="WHARF　bo-on　高田馬場"/>
    <s v="東京都新宿区高田馬場３"/>
    <n v="308000"/>
    <n v="20000"/>
    <m/>
    <m/>
    <n v="14"/>
    <x v="3"/>
    <n v="53.2"/>
    <n v="0"/>
    <x v="12"/>
    <s v="高田馬場駅"/>
    <n v="9"/>
    <n v="10.67"/>
    <n v="154556.70000000001"/>
    <n v="168453.81"/>
    <n v="261"/>
    <n v="788"/>
    <s v="50-60"/>
    <x v="6"/>
  </r>
  <r>
    <s v="https://suumo.jp/chintai/jnc_000103643849/?bc=100481544409"/>
    <s v="WHARF　bo-on　高田馬場"/>
    <s v="東京都新宿区高田馬場３"/>
    <n v="295000"/>
    <n v="20000"/>
    <m/>
    <m/>
    <n v="8"/>
    <x v="3"/>
    <n v="53.2"/>
    <n v="0"/>
    <x v="12"/>
    <s v="高田馬場駅"/>
    <n v="9"/>
    <n v="10.67"/>
    <n v="154556.70000000001"/>
    <n v="168453.81"/>
    <n v="261"/>
    <n v="788"/>
    <s v="50-60"/>
    <x v="6"/>
  </r>
  <r>
    <s v="https://suumo.jp/chintai/jnc_000104076256/?bc=100482802664"/>
    <s v="アルムヨシダ"/>
    <s v="東京都新宿区高田馬場３"/>
    <n v="210000"/>
    <n v="10000"/>
    <n v="210000"/>
    <n v="420000"/>
    <n v="3"/>
    <x v="3"/>
    <n v="44.61"/>
    <n v="3"/>
    <x v="4"/>
    <s v="高田馬場駅"/>
    <n v="4"/>
    <n v="10"/>
    <n v="154556.70000000001"/>
    <n v="168453.81"/>
    <n v="261"/>
    <n v="788"/>
    <s v="40-50"/>
    <x v="0"/>
  </r>
  <r>
    <s v="https://suumo.jp/chintai/jnc_000104021004/?bc=100349553004"/>
    <s v="クロノス高田馬場"/>
    <s v="東京都新宿区高田馬場３"/>
    <n v="170000"/>
    <n v="5000"/>
    <n v="170000"/>
    <n v="170000"/>
    <n v="1"/>
    <x v="3"/>
    <n v="41.06"/>
    <n v="3"/>
    <x v="2"/>
    <s v="高田馬場駅"/>
    <n v="8"/>
    <n v="11.67"/>
    <n v="154556.70000000001"/>
    <n v="168453.81"/>
    <n v="261"/>
    <n v="788"/>
    <s v="40-50"/>
    <x v="0"/>
  </r>
  <r>
    <s v="https://suumo.jp/chintai/jnc_000100389824/?bc=100450991649"/>
    <s v="グランハイツ高田馬場"/>
    <s v="東京都新宿区高田馬場３"/>
    <n v="186000"/>
    <n v="15000"/>
    <n v="186000"/>
    <n v="186000"/>
    <n v="9"/>
    <x v="3"/>
    <n v="47.4"/>
    <n v="17"/>
    <x v="11"/>
    <s v="高田馬場駅"/>
    <n v="3"/>
    <n v="6"/>
    <n v="154556.70000000001"/>
    <n v="168453.81"/>
    <n v="261"/>
    <n v="788"/>
    <s v="40-50"/>
    <x v="7"/>
  </r>
  <r>
    <s v="https://suumo.jp/chintai/jnc_000103198559/?bc=100474121163"/>
    <s v="グローリオシェルト高田馬場"/>
    <s v="東京都新宿区高田馬場４"/>
    <n v="158000"/>
    <n v="8000"/>
    <m/>
    <n v="158000"/>
    <n v="1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3198562/?bc=100474121188"/>
    <s v="グローリオシェルト高田馬場"/>
    <s v="東京都新宿区高田馬場４"/>
    <n v="170000"/>
    <n v="8000"/>
    <m/>
    <n v="170000"/>
    <n v="1"/>
    <x v="3"/>
    <n v="32.520000000000003"/>
    <n v="0"/>
    <x v="4"/>
    <s v="高田馬場駅"/>
    <n v="10"/>
    <n v="11"/>
    <n v="154556.70000000001"/>
    <n v="168453.81"/>
    <n v="261"/>
    <n v="788"/>
    <s v="30-40"/>
    <x v="6"/>
  </r>
  <r>
    <s v="https://suumo.jp/chintai/jnc_000103198558/?bc=100474121182"/>
    <s v="グローリオシェルト高田馬場"/>
    <s v="東京都新宿区高田馬場４"/>
    <n v="171000"/>
    <n v="8000"/>
    <m/>
    <n v="171000"/>
    <n v="1"/>
    <x v="3"/>
    <n v="32.630000000000003"/>
    <n v="0"/>
    <x v="4"/>
    <s v="高田馬場駅"/>
    <n v="10"/>
    <n v="11"/>
    <n v="154556.70000000001"/>
    <n v="168453.81"/>
    <n v="261"/>
    <n v="788"/>
    <s v="30-40"/>
    <x v="6"/>
  </r>
  <r>
    <s v="https://suumo.jp/chintai/jnc_000103198563/?bc=100474121171"/>
    <s v="グローリオシェルト高田馬場"/>
    <s v="東京都新宿区高田馬場４"/>
    <n v="156000"/>
    <n v="8000"/>
    <m/>
    <n v="156000"/>
    <n v="2"/>
    <x v="3"/>
    <n v="28.88"/>
    <n v="0"/>
    <x v="4"/>
    <s v="高田馬場駅"/>
    <n v="10"/>
    <n v="11"/>
    <n v="154556.70000000001"/>
    <n v="168453.81"/>
    <n v="261"/>
    <n v="788"/>
    <s v="20-30"/>
    <x v="6"/>
  </r>
  <r>
    <s v="https://suumo.jp/chintai/jnc_000103198565/?bc=100474121151"/>
    <s v="グローリオシェルト高田馬場"/>
    <s v="東京都新宿区高田馬場４"/>
    <n v="162000"/>
    <n v="8000"/>
    <m/>
    <n v="162000"/>
    <n v="3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3198567/?bc=100474121162"/>
    <s v="グローリオシェルト高田馬場"/>
    <s v="東京都新宿区高田馬場４"/>
    <n v="175000"/>
    <n v="8000"/>
    <m/>
    <n v="175000"/>
    <n v="3"/>
    <x v="3"/>
    <n v="32.520000000000003"/>
    <n v="0"/>
    <x v="4"/>
    <s v="高田馬場駅"/>
    <n v="10"/>
    <n v="11"/>
    <n v="154556.70000000001"/>
    <n v="168453.81"/>
    <n v="261"/>
    <n v="788"/>
    <s v="30-40"/>
    <x v="6"/>
  </r>
  <r>
    <s v="https://suumo.jp/chintai/jnc_000103198568/?bc=100474121155"/>
    <s v="グローリオシェルト高田馬場"/>
    <s v="東京都新宿区高田馬場４"/>
    <n v="155000"/>
    <n v="8000"/>
    <m/>
    <n v="155000"/>
    <n v="4"/>
    <x v="3"/>
    <n v="28.88"/>
    <n v="0"/>
    <x v="4"/>
    <s v="高田馬場駅"/>
    <n v="10"/>
    <n v="11"/>
    <n v="154556.70000000001"/>
    <n v="168453.81"/>
    <n v="261"/>
    <n v="788"/>
    <s v="20-30"/>
    <x v="6"/>
  </r>
  <r>
    <s v="https://suumo.jp/chintai/jnc_000103198571/?bc=100474121166"/>
    <s v="グローリオシェルト高田馬場"/>
    <s v="東京都新宿区高田馬場４"/>
    <n v="167000"/>
    <n v="8000"/>
    <m/>
    <n v="167000"/>
    <n v="4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3198570/?bc=100474121184"/>
    <s v="グローリオシェルト高田馬場"/>
    <s v="東京都新宿区高田馬場４"/>
    <n v="160000"/>
    <n v="8000"/>
    <m/>
    <n v="160000"/>
    <n v="4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3843610/?bc=100483574933"/>
    <s v="パークシティ高田馬場"/>
    <s v="東京都新宿区高田馬場４"/>
    <n v="190000"/>
    <n v="20000"/>
    <n v="190000"/>
    <n v="190000"/>
    <n v="3"/>
    <x v="3"/>
    <n v="36.28"/>
    <n v="0"/>
    <x v="12"/>
    <s v="高田馬場駅"/>
    <n v="7"/>
    <n v="7.67"/>
    <n v="154556.70000000001"/>
    <n v="168453.81"/>
    <n v="261"/>
    <n v="788"/>
    <s v="30-40"/>
    <x v="6"/>
  </r>
  <r>
    <s v="https://suumo.jp/chintai/jnc_000103825115/?bc=100476100518"/>
    <s v="パークシティ高田馬場"/>
    <s v="東京都新宿区高田馬場４"/>
    <n v="260000"/>
    <n v="20000"/>
    <n v="130000"/>
    <n v="260000"/>
    <n v="7"/>
    <x v="3"/>
    <n v="47.34"/>
    <n v="0"/>
    <x v="12"/>
    <s v="高田馬場駅"/>
    <n v="7"/>
    <n v="7.67"/>
    <n v="154556.70000000001"/>
    <n v="168453.81"/>
    <n v="261"/>
    <n v="788"/>
    <s v="40-50"/>
    <x v="6"/>
  </r>
  <r>
    <s v="https://suumo.jp/chintai/jnc_000103734415/?bc=100481264514"/>
    <s v="フェニックス高田馬場弐番館"/>
    <s v="東京都新宿区高田馬場４"/>
    <n v="132000"/>
    <n v="16000"/>
    <n v="132000"/>
    <n v="132000"/>
    <n v="3"/>
    <x v="3"/>
    <n v="39.770000000000003"/>
    <n v="19"/>
    <x v="5"/>
    <s v="高田馬場駅"/>
    <n v="10"/>
    <n v="11.67"/>
    <n v="154556.70000000001"/>
    <n v="168453.81"/>
    <n v="261"/>
    <n v="788"/>
    <s v="30-40"/>
    <x v="7"/>
  </r>
  <r>
    <s v="https://suumo.jp/chintai/jnc_000103837319/?bc=100484774878"/>
    <s v="ブランシエラおとめ山公園"/>
    <s v="東京都新宿区下落合２"/>
    <n v="175000"/>
    <m/>
    <n v="350000"/>
    <n v="175000"/>
    <n v="3"/>
    <x v="3"/>
    <n v="35.71"/>
    <n v="13"/>
    <x v="10"/>
    <s v="高田馬場駅"/>
    <n v="7"/>
    <n v="10.33"/>
    <n v="154556.70000000001"/>
    <n v="168453.81"/>
    <n v="261"/>
    <n v="788"/>
    <s v="30-40"/>
    <x v="7"/>
  </r>
  <r>
    <s v="https://suumo.jp/chintai/jnc_000104473656/?bc=100475629930"/>
    <s v="ル　マノアール"/>
    <s v="東京都新宿区下落合１"/>
    <n v="190000"/>
    <n v="14000"/>
    <n v="190000"/>
    <n v="190000"/>
    <n v="5"/>
    <x v="3"/>
    <n v="45.88"/>
    <n v="10"/>
    <x v="1"/>
    <s v="高田馬場駅"/>
    <n v="5"/>
    <n v="11"/>
    <n v="154556.70000000001"/>
    <n v="168453.81"/>
    <n v="261"/>
    <n v="788"/>
    <s v="40-50"/>
    <x v="0"/>
  </r>
  <r>
    <s v="https://suumo.jp/chintai/jnc_000104261575/?bc=100474925845"/>
    <s v="ル　マノアール"/>
    <s v="東京都新宿区下落合１"/>
    <n v="200000"/>
    <n v="14000"/>
    <n v="200000"/>
    <n v="200000"/>
    <n v="5"/>
    <x v="3"/>
    <n v="45.88"/>
    <n v="10"/>
    <x v="1"/>
    <s v="高田馬場駅"/>
    <n v="5"/>
    <n v="11"/>
    <n v="154556.70000000001"/>
    <n v="168453.81"/>
    <n v="261"/>
    <n v="788"/>
    <s v="40-50"/>
    <x v="0"/>
  </r>
  <r>
    <s v="https://suumo.jp/chintai/jnc_000102829269/?bc=100484683043"/>
    <s v="ル　マノアール"/>
    <s v="東京都新宿区下落合１"/>
    <n v="210000"/>
    <n v="14000"/>
    <n v="210000"/>
    <n v="210000"/>
    <n v="5"/>
    <x v="3"/>
    <n v="45.88"/>
    <n v="10"/>
    <x v="1"/>
    <s v="高田馬場駅"/>
    <n v="5"/>
    <n v="11"/>
    <n v="154556.70000000001"/>
    <n v="168453.81"/>
    <n v="261"/>
    <n v="788"/>
    <s v="40-50"/>
    <x v="0"/>
  </r>
  <r>
    <s v="https://suumo.jp/chintai/jnc_000103717081/?bc=100480080386"/>
    <s v="ルクレ高田馬場"/>
    <s v="東京都新宿区高田馬場３"/>
    <n v="167000"/>
    <n v="15000"/>
    <m/>
    <n v="167000"/>
    <n v="1"/>
    <x v="3"/>
    <n v="30.04"/>
    <n v="6"/>
    <x v="5"/>
    <s v="高田馬場駅"/>
    <n v="6"/>
    <n v="12"/>
    <n v="154556.70000000001"/>
    <n v="168453.81"/>
    <n v="261"/>
    <n v="788"/>
    <s v="30-40"/>
    <x v="0"/>
  </r>
  <r>
    <s v="https://suumo.jp/chintai/jnc_000103727188/?bc=100482485512"/>
    <s v="ルクレ高田馬場"/>
    <s v="東京都新宿区高田馬場３"/>
    <n v="175000"/>
    <n v="15000"/>
    <m/>
    <n v="175000"/>
    <n v="4"/>
    <x v="3"/>
    <n v="34.619999999999997"/>
    <n v="6"/>
    <x v="5"/>
    <s v="高田馬場駅"/>
    <n v="6"/>
    <n v="12"/>
    <n v="154556.70000000001"/>
    <n v="168453.81"/>
    <n v="261"/>
    <n v="788"/>
    <s v="30-40"/>
    <x v="0"/>
  </r>
  <r>
    <s v="https://suumo.jp/chintai/jnc_000101753098/?bc=100462862082"/>
    <s v="ヴェルデュール高田馬場"/>
    <s v="東京都新宿区高田馬場４"/>
    <n v="188000"/>
    <n v="8000"/>
    <n v="188000"/>
    <n v="188000"/>
    <n v="9"/>
    <x v="3"/>
    <n v="40.98"/>
    <n v="10"/>
    <x v="13"/>
    <s v="高田馬場駅"/>
    <n v="8"/>
    <n v="12"/>
    <n v="154556.70000000001"/>
    <n v="168453.81"/>
    <n v="261"/>
    <n v="788"/>
    <s v="40-50"/>
    <x v="0"/>
  </r>
  <r>
    <s v="https://suumo.jp/chintai/jnc_000103459007/?bc=100477650182"/>
    <s v="三葉ビル"/>
    <s v="東京都新宿区下落合２"/>
    <n v="120000"/>
    <m/>
    <n v="120000"/>
    <n v="120000"/>
    <n v="2"/>
    <x v="3"/>
    <n v="34.130000000000003"/>
    <n v="33"/>
    <x v="2"/>
    <s v="高田馬場駅"/>
    <n v="8"/>
    <n v="8"/>
    <n v="154556.70000000001"/>
    <n v="168453.81"/>
    <n v="261"/>
    <n v="788"/>
    <s v="30-40"/>
    <x v="4"/>
  </r>
  <r>
    <s v="https://suumo.jp/chintai/jnc_000103550610/?bc=100478804401"/>
    <s v="ＡＬＥＲＯ　Ｔａｋａｄａｎｏｂａｂａ　アレーロ高田馬場"/>
    <s v="東京都新宿区下落合１"/>
    <n v="155000"/>
    <n v="12000"/>
    <n v="155000"/>
    <n v="155000"/>
    <n v="4"/>
    <x v="3"/>
    <n v="36.06"/>
    <n v="10"/>
    <x v="7"/>
    <s v="高田馬場駅"/>
    <n v="5"/>
    <n v="7.67"/>
    <n v="154556.70000000001"/>
    <n v="168453.81"/>
    <n v="261"/>
    <n v="788"/>
    <s v="30-40"/>
    <x v="0"/>
  </r>
  <r>
    <s v="https://suumo.jp/chintai/jnc_000103094763/?bc=100484683033"/>
    <s v="ＪＲ山手線 高田馬場駅 10階建 築10年"/>
    <s v="東京都新宿区下落合１"/>
    <n v="210000"/>
    <n v="14000"/>
    <n v="210000"/>
    <n v="210000"/>
    <n v="5"/>
    <x v="3"/>
    <n v="45.88"/>
    <n v="10"/>
    <x v="1"/>
    <s v="高田馬場駅"/>
    <n v="5"/>
    <n v="10.33"/>
    <n v="154556.70000000001"/>
    <n v="168453.81"/>
    <n v="261"/>
    <n v="788"/>
    <s v="40-50"/>
    <x v="0"/>
  </r>
  <r>
    <s v="https://suumo.jp/chintai/jnc_000095595255/?bc=100484878362"/>
    <s v="ＪＲ山手線 高田馬場駅 12階建 築24年"/>
    <s v="東京都新宿区下落合２"/>
    <n v="145000"/>
    <n v="5000"/>
    <n v="145000"/>
    <n v="145000"/>
    <n v="12"/>
    <x v="3"/>
    <n v="35"/>
    <n v="24"/>
    <x v="3"/>
    <s v="高田馬場駅"/>
    <n v="7"/>
    <n v="7"/>
    <n v="154556.70000000001"/>
    <n v="168453.81"/>
    <n v="261"/>
    <n v="788"/>
    <s v="30-40"/>
    <x v="1"/>
  </r>
  <r>
    <s v="https://suumo.jp/chintai/jnc_000104398984/?bc=100485881185"/>
    <s v="ＪＲ山手線 高田馬場駅 12階建 築57年"/>
    <s v="東京都新宿区高田馬場３"/>
    <n v="115000"/>
    <n v="7000"/>
    <n v="230000"/>
    <n v="57500"/>
    <n v="4"/>
    <x v="3"/>
    <n v="35.590000000000003"/>
    <n v="57"/>
    <x v="3"/>
    <s v="高田馬場駅"/>
    <n v="8"/>
    <n v="11.33"/>
    <n v="154556.70000000001"/>
    <n v="168453.81"/>
    <n v="261"/>
    <n v="788"/>
    <s v="30-40"/>
    <x v="5"/>
  </r>
  <r>
    <s v="https://suumo.jp/chintai/jnc_000103756334/?bc=100485923557"/>
    <s v="ＪＲ山手線 高田馬場駅 12階建 築57年"/>
    <s v="東京都新宿区高田馬場３"/>
    <n v="115000"/>
    <n v="7000"/>
    <n v="230000"/>
    <n v="57500"/>
    <n v="9"/>
    <x v="3"/>
    <n v="35.590000000000003"/>
    <n v="57"/>
    <x v="3"/>
    <s v="高田馬場駅"/>
    <n v="8"/>
    <n v="11.33"/>
    <n v="154556.70000000001"/>
    <n v="168453.81"/>
    <n v="261"/>
    <n v="788"/>
    <s v="30-40"/>
    <x v="5"/>
  </r>
  <r>
    <s v="https://suumo.jp/chintai/jnc_000103376427/?bc=100480923657"/>
    <s v="ＪＲ山手線 高田馬場駅 4階建 新築"/>
    <s v="東京都新宿区高田馬場４"/>
    <n v="158000"/>
    <n v="8000"/>
    <m/>
    <n v="158000"/>
    <n v="1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4211349/?bc=100485065461"/>
    <s v="ＪＲ山手線 高田馬場駅 4階建 新築"/>
    <s v="東京都新宿区高田馬場４"/>
    <n v="170000"/>
    <n v="8000"/>
    <m/>
    <n v="170000"/>
    <n v="1"/>
    <x v="3"/>
    <n v="32.520000000000003"/>
    <n v="0"/>
    <x v="4"/>
    <s v="高田馬場駅"/>
    <n v="10"/>
    <n v="11"/>
    <n v="154556.70000000001"/>
    <n v="168453.81"/>
    <n v="261"/>
    <n v="788"/>
    <s v="30-40"/>
    <x v="6"/>
  </r>
  <r>
    <s v="https://suumo.jp/chintai/jnc_000103376426/?bc=100480923631"/>
    <s v="ＪＲ山手線 高田馬場駅 4階建 新築"/>
    <s v="東京都新宿区高田馬場４"/>
    <n v="171000"/>
    <n v="8000"/>
    <m/>
    <n v="171000"/>
    <n v="1"/>
    <x v="3"/>
    <n v="32.630000000000003"/>
    <n v="0"/>
    <x v="4"/>
    <s v="高田馬場駅"/>
    <n v="10"/>
    <n v="11"/>
    <n v="154556.70000000001"/>
    <n v="168453.81"/>
    <n v="261"/>
    <n v="788"/>
    <s v="30-40"/>
    <x v="6"/>
  </r>
  <r>
    <s v="https://suumo.jp/chintai/jnc_000103519525/?bc=100483287636"/>
    <s v="ＪＲ山手線 高田馬場駅 4階建 新築"/>
    <s v="東京都新宿区高田馬場４"/>
    <n v="156000"/>
    <n v="8000"/>
    <m/>
    <n v="156000"/>
    <n v="2"/>
    <x v="3"/>
    <n v="28.88"/>
    <n v="0"/>
    <x v="4"/>
    <s v="高田馬場駅"/>
    <n v="10"/>
    <n v="11"/>
    <n v="154556.70000000001"/>
    <n v="168453.81"/>
    <n v="261"/>
    <n v="788"/>
    <s v="20-30"/>
    <x v="6"/>
  </r>
  <r>
    <s v="https://suumo.jp/chintai/jnc_000103376430/?bc=100480923682"/>
    <s v="ＪＲ山手線 高田馬場駅 4階建 新築"/>
    <s v="東京都新宿区高田馬場４"/>
    <n v="162000"/>
    <n v="8000"/>
    <m/>
    <n v="162000"/>
    <n v="3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3527001/?bc=100480923609"/>
    <s v="ＪＲ山手線 高田馬場駅 4階建 新築"/>
    <s v="東京都新宿区高田馬場４"/>
    <n v="175000"/>
    <n v="8000"/>
    <m/>
    <n v="175000"/>
    <n v="3"/>
    <x v="3"/>
    <n v="32.520000000000003"/>
    <n v="0"/>
    <x v="4"/>
    <s v="高田馬場駅"/>
    <n v="10"/>
    <n v="11"/>
    <n v="154556.70000000001"/>
    <n v="168453.81"/>
    <n v="261"/>
    <n v="788"/>
    <s v="30-40"/>
    <x v="6"/>
  </r>
  <r>
    <s v="https://suumo.jp/chintai/jnc_000103527002/?bc=100482407672"/>
    <s v="ＪＲ山手線 高田馬場駅 4階建 新築"/>
    <s v="東京都新宿区高田馬場４"/>
    <n v="155000"/>
    <n v="8000"/>
    <m/>
    <n v="155000"/>
    <n v="4"/>
    <x v="3"/>
    <n v="28.88"/>
    <n v="0"/>
    <x v="4"/>
    <s v="高田馬場駅"/>
    <n v="10"/>
    <n v="11"/>
    <n v="154556.70000000001"/>
    <n v="168453.81"/>
    <n v="261"/>
    <n v="788"/>
    <s v="20-30"/>
    <x v="6"/>
  </r>
  <r>
    <s v="https://suumo.jp/chintai/jnc_000103527004/?bc=100480923644"/>
    <s v="ＪＲ山手線 高田馬場駅 4階建 新築"/>
    <s v="東京都新宿区高田馬場４"/>
    <n v="167000"/>
    <n v="8000"/>
    <m/>
    <n v="167000"/>
    <n v="4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3527003/?bc=100480923620"/>
    <s v="ＪＲ山手線 高田馬場駅 4階建 新築"/>
    <s v="東京都新宿区高田馬場４"/>
    <n v="160000"/>
    <n v="8000"/>
    <m/>
    <n v="160000"/>
    <n v="4"/>
    <x v="3"/>
    <n v="30.09"/>
    <n v="0"/>
    <x v="4"/>
    <s v="高田馬場駅"/>
    <n v="10"/>
    <n v="11"/>
    <n v="154556.70000000001"/>
    <n v="168453.81"/>
    <n v="261"/>
    <n v="788"/>
    <s v="30-40"/>
    <x v="6"/>
  </r>
  <r>
    <s v="https://suumo.jp/chintai/jnc_000103863953/?bc=100481249016"/>
    <s v="ＪＲ山手線 高田馬場駅 4階建 築3年"/>
    <s v="東京都新宿区高田馬場４"/>
    <n v="165000"/>
    <n v="15000"/>
    <n v="165000"/>
    <m/>
    <n v="1"/>
    <x v="3"/>
    <n v="30.48"/>
    <n v="3"/>
    <x v="4"/>
    <s v="高田馬場駅"/>
    <n v="8"/>
    <n v="12"/>
    <n v="154556.70000000001"/>
    <n v="168453.81"/>
    <n v="261"/>
    <n v="788"/>
    <s v="30-40"/>
    <x v="0"/>
  </r>
  <r>
    <s v="https://suumo.jp/chintai/jnc_000104107328/?bc=100483143231"/>
    <s v="ＪＲ山手線 高田馬場駅 4階建 築3年"/>
    <s v="東京都新宿区高田馬場３"/>
    <n v="210000"/>
    <n v="10000"/>
    <n v="210000"/>
    <n v="420000"/>
    <n v="3"/>
    <x v="3"/>
    <n v="44.61"/>
    <n v="3"/>
    <x v="4"/>
    <s v="高田馬場駅"/>
    <n v="4"/>
    <n v="10"/>
    <n v="154556.70000000001"/>
    <n v="168453.81"/>
    <n v="261"/>
    <n v="788"/>
    <s v="40-50"/>
    <x v="0"/>
  </r>
  <r>
    <s v="https://suumo.jp/chintai/jnc_000103863954/?bc=100481249032"/>
    <s v="ＪＲ山手線 高田馬場駅 4階建 築3年"/>
    <s v="東京都新宿区高田馬場４"/>
    <n v="235000"/>
    <n v="15000"/>
    <n v="235000"/>
    <m/>
    <n v="4"/>
    <x v="3"/>
    <n v="42.36"/>
    <n v="3"/>
    <x v="4"/>
    <s v="高田馬場駅"/>
    <n v="8"/>
    <n v="12"/>
    <n v="154556.70000000001"/>
    <n v="168453.81"/>
    <n v="261"/>
    <n v="788"/>
    <s v="40-50"/>
    <x v="0"/>
  </r>
  <r>
    <s v="https://suumo.jp/chintai/jnc_000103563259/?bc=100479251748"/>
    <s v="ＪＲ山手線 高田馬場駅 5階建 築10年"/>
    <s v="東京都新宿区下落合１"/>
    <n v="155000"/>
    <n v="12000"/>
    <n v="155000"/>
    <n v="155000"/>
    <n v="4"/>
    <x v="3"/>
    <n v="36.06"/>
    <n v="10"/>
    <x v="7"/>
    <s v="高田馬場駅"/>
    <n v="7"/>
    <n v="9.67"/>
    <n v="154556.70000000001"/>
    <n v="168453.81"/>
    <n v="261"/>
    <n v="788"/>
    <s v="30-40"/>
    <x v="0"/>
  </r>
  <r>
    <s v="https://suumo.jp/chintai/jnc_000103863955/?bc=100481362257"/>
    <s v="ＪＲ山手線 高田馬場駅 5階建 築19年"/>
    <s v="東京都新宿区高田馬場４"/>
    <n v="132000"/>
    <n v="16000"/>
    <n v="132000"/>
    <n v="132000"/>
    <n v="3"/>
    <x v="3"/>
    <n v="39.770000000000003"/>
    <n v="19"/>
    <x v="7"/>
    <s v="高田馬場駅"/>
    <n v="10"/>
    <n v="10.67"/>
    <n v="154556.70000000001"/>
    <n v="168453.81"/>
    <n v="261"/>
    <n v="788"/>
    <s v="30-40"/>
    <x v="7"/>
  </r>
  <r>
    <s v="https://suumo.jp/chintai/jnc_000103742515/?bc=100473556501"/>
    <s v="Ｊｏ’ｓ　Ｒｅｓｉｄｅｎｃｅ　高田馬場"/>
    <s v="東京都新宿区高田馬場１"/>
    <n v="192000"/>
    <n v="10000"/>
    <n v="192000"/>
    <n v="192000"/>
    <n v="2"/>
    <x v="3"/>
    <n v="36.21"/>
    <n v="2"/>
    <x v="4"/>
    <s v="高田馬場駅"/>
    <n v="4"/>
    <n v="11"/>
    <n v="154556.70000000001"/>
    <n v="168453.81"/>
    <n v="261"/>
    <n v="788"/>
    <s v="30-40"/>
    <x v="0"/>
  </r>
  <r>
    <s v="https://suumo.jp/chintai/jnc_000103742516/?bc=100473556475"/>
    <s v="Ｊｏ’ｓ　Ｒｅｓｉｄｅｎｃｅ　高田馬場"/>
    <s v="東京都新宿区高田馬場１"/>
    <n v="226400"/>
    <n v="10000"/>
    <n v="226400"/>
    <n v="226400"/>
    <n v="2"/>
    <x v="3"/>
    <n v="43.53"/>
    <n v="2"/>
    <x v="4"/>
    <s v="高田馬場駅"/>
    <n v="4"/>
    <n v="11"/>
    <n v="154556.70000000001"/>
    <n v="168453.81"/>
    <n v="261"/>
    <n v="788"/>
    <s v="40-50"/>
    <x v="0"/>
  </r>
  <r>
    <s v="https://suumo.jp/chintai/jnc_000103742521/?bc=100473703512"/>
    <s v="Ｊｏ’ｓ　Ｒｅｓｉｄｅｎｃｅ　高田馬場"/>
    <s v="東京都新宿区高田馬場１"/>
    <n v="198500"/>
    <n v="9000"/>
    <n v="198500"/>
    <n v="198500"/>
    <n v="3"/>
    <x v="3"/>
    <n v="35.43"/>
    <n v="2"/>
    <x v="4"/>
    <s v="高田馬場駅"/>
    <n v="4"/>
    <n v="11"/>
    <n v="154556.70000000001"/>
    <n v="168453.81"/>
    <n v="261"/>
    <n v="788"/>
    <s v="30-40"/>
    <x v="0"/>
  </r>
  <r>
    <s v="https://suumo.jp/chintai/jnc_000103873096/?bc=100482729387"/>
    <s v="Ｐａｌｗａｙｓ高田馬場"/>
    <s v="東京都新宿区高田馬場４"/>
    <n v="165000"/>
    <n v="15000"/>
    <n v="165000"/>
    <m/>
    <n v="1"/>
    <x v="3"/>
    <n v="30.48"/>
    <n v="3"/>
    <x v="4"/>
    <s v="高田馬場駅"/>
    <n v="8"/>
    <n v="11.67"/>
    <n v="154556.70000000001"/>
    <n v="168453.81"/>
    <n v="261"/>
    <n v="788"/>
    <s v="30-40"/>
    <x v="0"/>
  </r>
  <r>
    <s v="https://suumo.jp/chintai/jnc_000103873097/?bc=100481360313"/>
    <s v="Ｐａｌｗａｙｓ高田馬場"/>
    <s v="東京都新宿区高田馬場４"/>
    <n v="235000"/>
    <n v="15000"/>
    <n v="235000"/>
    <m/>
    <n v="4"/>
    <x v="3"/>
    <n v="46.48"/>
    <n v="3"/>
    <x v="4"/>
    <s v="高田馬場駅"/>
    <n v="8"/>
    <n v="11.67"/>
    <n v="154556.70000000001"/>
    <n v="168453.81"/>
    <n v="261"/>
    <n v="788"/>
    <s v="40-50"/>
    <x v="0"/>
  </r>
  <r>
    <s v="https://suumo.jp/chintai/jnc_000104491576/?bc=100486067703"/>
    <s v="ＳＹＦＯＲＭＥ　ＴＡＫＡＤＡＮＯＢＡＢＡ２"/>
    <s v="東京都新宿区下落合１"/>
    <n v="215000"/>
    <n v="15000"/>
    <n v="215000"/>
    <n v="215000"/>
    <n v="8"/>
    <x v="3"/>
    <n v="30.75"/>
    <n v="2"/>
    <x v="9"/>
    <s v="高田馬場駅"/>
    <n v="3"/>
    <n v="8.33"/>
    <n v="154556.70000000001"/>
    <n v="168453.81"/>
    <n v="261"/>
    <n v="788"/>
    <s v="30-40"/>
    <x v="0"/>
  </r>
  <r>
    <s v="https://suumo.jp/chintai/jnc_000104116890/?bc=100483509150"/>
    <s v="Cozy 高田馬場"/>
    <s v="東京都新宿区高田馬場３"/>
    <n v="75000"/>
    <n v="4000"/>
    <m/>
    <n v="75000"/>
    <n v="1"/>
    <x v="0"/>
    <n v="10.45"/>
    <n v="9"/>
    <x v="0"/>
    <s v="高田馬場駅"/>
    <n v="8"/>
    <n v="11"/>
    <n v="154556.70000000001"/>
    <n v="77692.34"/>
    <n v="261"/>
    <n v="1071"/>
    <s v="10-20"/>
    <x v="0"/>
  </r>
  <r>
    <s v="https://suumo.jp/chintai/jnc_000104464216/?bc=100486088514"/>
    <s v="Cozy 高田馬場"/>
    <s v="東京都新宿区高田馬場３"/>
    <n v="75000"/>
    <n v="4000"/>
    <m/>
    <n v="75000"/>
    <n v="1"/>
    <x v="0"/>
    <n v="10.56"/>
    <n v="9"/>
    <x v="0"/>
    <s v="高田馬場駅"/>
    <n v="8"/>
    <n v="11"/>
    <n v="154556.70000000001"/>
    <n v="77692.34"/>
    <n v="261"/>
    <n v="1071"/>
    <s v="10-20"/>
    <x v="0"/>
  </r>
  <r>
    <s v="https://suumo.jp/chintai/jnc_000103134547/?bc=100354554139"/>
    <s v="Tレジデンス"/>
    <s v="東京都新宿区高田馬場３"/>
    <n v="130000"/>
    <n v="10000"/>
    <m/>
    <n v="195000"/>
    <n v="6"/>
    <x v="0"/>
    <n v="31.93"/>
    <n v="17"/>
    <x v="5"/>
    <s v="高田馬場駅"/>
    <n v="7"/>
    <n v="12.33"/>
    <n v="154556.70000000001"/>
    <n v="77692.34"/>
    <n v="261"/>
    <n v="1071"/>
    <s v="30-40"/>
    <x v="7"/>
  </r>
  <r>
    <s v="https://suumo.jp/chintai/jnc_000099914660/?bc=100451693741"/>
    <s v="みらいえ高田馬場"/>
    <s v="東京都新宿区高田馬場３"/>
    <n v="95000"/>
    <n v="10000"/>
    <n v="95000"/>
    <m/>
    <n v="2"/>
    <x v="0"/>
    <n v="23.24"/>
    <n v="9"/>
    <x v="0"/>
    <s v="高田馬場駅"/>
    <n v="7"/>
    <n v="12"/>
    <n v="154556.70000000001"/>
    <n v="77692.34"/>
    <n v="261"/>
    <n v="1071"/>
    <s v="20-30"/>
    <x v="0"/>
  </r>
  <r>
    <s v="https://suumo.jp/chintai/jnc_000104021003/?bc=100484927499"/>
    <s v="みらいえ高田馬場"/>
    <s v="東京都新宿区高田馬場３"/>
    <n v="95000"/>
    <n v="5000"/>
    <n v="95000"/>
    <m/>
    <n v="2"/>
    <x v="0"/>
    <n v="23.88"/>
    <n v="9"/>
    <x v="0"/>
    <s v="高田馬場駅"/>
    <n v="7"/>
    <n v="12"/>
    <n v="154556.70000000001"/>
    <n v="77692.34"/>
    <n v="261"/>
    <n v="1071"/>
    <s v="20-30"/>
    <x v="0"/>
  </r>
  <r>
    <s v="https://suumo.jp/chintai/jnc_000103928519/?bc=100481670833"/>
    <s v="アドバンス高田馬場"/>
    <s v="東京都新宿区高田馬場３"/>
    <n v="85000"/>
    <m/>
    <m/>
    <m/>
    <n v="3"/>
    <x v="0"/>
    <n v="20.309999999999999"/>
    <n v="21"/>
    <x v="2"/>
    <s v="高田馬場駅"/>
    <n v="9"/>
    <n v="9"/>
    <n v="154556.70000000001"/>
    <n v="77692.34"/>
    <n v="261"/>
    <n v="1071"/>
    <s v="20-30"/>
    <x v="1"/>
  </r>
  <r>
    <s v="https://suumo.jp/chintai/jnc_000104132245/?bc=100483308216"/>
    <s v="アビテヒデミ"/>
    <s v="東京都新宿区高田馬場３"/>
    <n v="82000"/>
    <n v="5000"/>
    <n v="82000"/>
    <m/>
    <n v="4"/>
    <x v="0"/>
    <n v="20.73"/>
    <n v="21"/>
    <x v="7"/>
    <s v="高田馬場駅"/>
    <n v="8"/>
    <n v="13"/>
    <n v="154556.70000000001"/>
    <n v="77692.34"/>
    <n v="261"/>
    <n v="1071"/>
    <s v="20-30"/>
    <x v="1"/>
  </r>
  <r>
    <s v="https://suumo.jp/chintai/jnc_000102611557/?bc=100471139602"/>
    <s v="アーバンプレイス高田馬場α"/>
    <s v="東京都新宿区高田馬場４"/>
    <n v="64000"/>
    <n v="4000"/>
    <n v="64000"/>
    <m/>
    <n v="1"/>
    <x v="0"/>
    <n v="11.12"/>
    <n v="6"/>
    <x v="0"/>
    <s v="高田馬場駅"/>
    <n v="10"/>
    <n v="12.33"/>
    <n v="154556.70000000001"/>
    <n v="77692.34"/>
    <n v="261"/>
    <n v="1071"/>
    <s v="10-20"/>
    <x v="0"/>
  </r>
  <r>
    <s v="https://suumo.jp/chintai/jnc_000104069550/?bc=100483914684"/>
    <s v="アーバンプレイス高田馬場Ｗｅｓｔ"/>
    <s v="東京都新宿区高田馬場３"/>
    <n v="62000"/>
    <n v="3000"/>
    <m/>
    <m/>
    <n v="1"/>
    <x v="0"/>
    <n v="11.7"/>
    <n v="11"/>
    <x v="0"/>
    <s v="高田馬場駅"/>
    <n v="8"/>
    <n v="11.33"/>
    <n v="154556.70000000001"/>
    <n v="77692.34"/>
    <n v="261"/>
    <n v="1071"/>
    <s v="10-20"/>
    <x v="7"/>
  </r>
  <r>
    <s v="https://suumo.jp/chintai/jnc_000067225720/?bc=100479067817"/>
    <s v="カーサ戸辺"/>
    <s v="東京都新宿区高田馬場４"/>
    <n v="75000"/>
    <n v="2000"/>
    <n v="75000"/>
    <n v="75000"/>
    <n v="3"/>
    <x v="0"/>
    <n v="19.440000000000001"/>
    <n v="36"/>
    <x v="2"/>
    <s v="高田馬場駅"/>
    <n v="7"/>
    <n v="10.67"/>
    <n v="154556.70000000001"/>
    <n v="77692.34"/>
    <n v="261"/>
    <n v="1071"/>
    <s v="10-20"/>
    <x v="4"/>
  </r>
  <r>
    <s v="https://suumo.jp/chintai/jnc_000075464630/?bc=100288992313"/>
    <s v="クレフ　プレステージ"/>
    <s v="東京都新宿区高田馬場４"/>
    <n v="70000"/>
    <m/>
    <n v="70000"/>
    <n v="70000"/>
    <n v="3"/>
    <x v="0"/>
    <n v="20.52"/>
    <n v="32"/>
    <x v="2"/>
    <s v="高田馬場駅"/>
    <n v="8"/>
    <n v="10"/>
    <n v="154556.70000000001"/>
    <n v="77692.34"/>
    <n v="261"/>
    <n v="1071"/>
    <s v="20-30"/>
    <x v="4"/>
  </r>
  <r>
    <s v="https://suumo.jp/chintai/jnc_000104211350/?bc=100472472848"/>
    <s v="コーポアルプ"/>
    <s v="東京都新宿区高田馬場４"/>
    <n v="74000"/>
    <n v="6500"/>
    <n v="74000"/>
    <m/>
    <n v="3"/>
    <x v="0"/>
    <n v="19.23"/>
    <n v="39"/>
    <x v="7"/>
    <s v="高田馬場駅"/>
    <n v="2"/>
    <n v="7.33"/>
    <n v="154556.70000000001"/>
    <n v="77692.34"/>
    <n v="261"/>
    <n v="1071"/>
    <s v="10-20"/>
    <x v="4"/>
  </r>
  <r>
    <s v="https://suumo.jp/chintai/jnc_000104449304/?bc=100477500251"/>
    <s v="コーポアルプ"/>
    <s v="東京都新宿区高田馬場４"/>
    <n v="70000"/>
    <n v="6500"/>
    <n v="70000"/>
    <m/>
    <n v="3"/>
    <x v="0"/>
    <n v="19.23"/>
    <n v="39"/>
    <x v="7"/>
    <s v="高田馬場駅"/>
    <n v="2"/>
    <n v="7.33"/>
    <n v="154556.70000000001"/>
    <n v="77692.34"/>
    <n v="261"/>
    <n v="1071"/>
    <s v="10-20"/>
    <x v="4"/>
  </r>
  <r>
    <s v="https://suumo.jp/chintai/jnc_000102725422/?bc=100481126549"/>
    <s v="コーポアルプ"/>
    <s v="東京都新宿区高田馬場４"/>
    <n v="80000"/>
    <n v="6500"/>
    <n v="80000"/>
    <m/>
    <n v="3"/>
    <x v="0"/>
    <n v="19.23"/>
    <n v="39"/>
    <x v="7"/>
    <s v="高田馬場駅"/>
    <n v="2"/>
    <n v="7.33"/>
    <n v="154556.70000000001"/>
    <n v="77692.34"/>
    <n v="261"/>
    <n v="1071"/>
    <s v="10-20"/>
    <x v="4"/>
  </r>
  <r>
    <s v="https://suumo.jp/chintai/jnc_000103542043/?bc=100486005132"/>
    <s v="サニーサイドヒル"/>
    <s v="東京都新宿区高田馬場４"/>
    <n v="115000"/>
    <n v="7000"/>
    <n v="115000"/>
    <n v="115000"/>
    <n v="3"/>
    <x v="0"/>
    <n v="30.33"/>
    <n v="23"/>
    <x v="2"/>
    <s v="高田馬場駅"/>
    <n v="5"/>
    <n v="10.33"/>
    <n v="154556.70000000001"/>
    <n v="77692.34"/>
    <n v="261"/>
    <n v="1071"/>
    <s v="30-40"/>
    <x v="1"/>
  </r>
  <r>
    <s v="https://suumo.jp/chintai/jnc_000104458805/?bc=100486166428"/>
    <s v="ハイシティ高田馬場"/>
    <s v="東京都新宿区下落合１"/>
    <n v="65000"/>
    <n v="6000"/>
    <n v="65000"/>
    <n v="65000"/>
    <n v="4"/>
    <x v="0"/>
    <n v="15.82"/>
    <n v="43"/>
    <x v="7"/>
    <s v="高田馬場駅"/>
    <n v="3"/>
    <n v="9"/>
    <n v="154556.70000000001"/>
    <n v="77692.34"/>
    <n v="261"/>
    <n v="1071"/>
    <s v="10-20"/>
    <x v="3"/>
  </r>
  <r>
    <s v="https://suumo.jp/chintai/jnc_000104310245/?bc=100484764101"/>
    <s v="ハイシティ高田馬場"/>
    <s v="東京都新宿区下落合１"/>
    <n v="68000"/>
    <n v="4000"/>
    <n v="68000"/>
    <n v="68000"/>
    <n v="4"/>
    <x v="0"/>
    <n v="18.53"/>
    <n v="43"/>
    <x v="7"/>
    <s v="高田馬場駅"/>
    <n v="3"/>
    <n v="9"/>
    <n v="154556.70000000001"/>
    <n v="77692.34"/>
    <n v="261"/>
    <n v="1071"/>
    <s v="10-20"/>
    <x v="3"/>
  </r>
  <r>
    <s v="https://suumo.jp/chintai/jnc_000103439942/?bc=100477585612"/>
    <s v="ハイシティ高田馬場"/>
    <s v="東京都新宿区下落合１"/>
    <n v="68000"/>
    <n v="3000"/>
    <n v="68000"/>
    <n v="68000"/>
    <n v="5"/>
    <x v="0"/>
    <n v="15.55"/>
    <n v="43"/>
    <x v="7"/>
    <s v="高田馬場駅"/>
    <n v="3"/>
    <n v="9"/>
    <n v="154556.70000000001"/>
    <n v="77692.34"/>
    <n v="261"/>
    <n v="1071"/>
    <s v="10-20"/>
    <x v="3"/>
  </r>
  <r>
    <s v="https://suumo.jp/chintai/jnc_000104222354/?bc=100485216871"/>
    <s v="ハーモニーテラス高田馬場"/>
    <s v="東京都新宿区高田馬場４"/>
    <n v="66000"/>
    <n v="6000"/>
    <m/>
    <m/>
    <n v="2"/>
    <x v="0"/>
    <n v="11.93"/>
    <n v="8"/>
    <x v="0"/>
    <s v="高田馬場駅"/>
    <n v="10"/>
    <n v="13.33"/>
    <n v="154556.70000000001"/>
    <n v="77692.34"/>
    <n v="261"/>
    <n v="1071"/>
    <s v="10-20"/>
    <x v="0"/>
  </r>
  <r>
    <s v="https://suumo.jp/chintai/jnc_000104442201/?bc=100473343217"/>
    <s v="パークシティ高田馬場"/>
    <s v="東京都新宿区高田馬場４"/>
    <n v="180000"/>
    <n v="15000"/>
    <n v="180000"/>
    <n v="180000"/>
    <n v="2"/>
    <x v="0"/>
    <n v="36.01"/>
    <n v="0"/>
    <x v="12"/>
    <s v="高田馬場駅"/>
    <n v="7"/>
    <n v="7.67"/>
    <n v="154556.70000000001"/>
    <n v="77692.34"/>
    <n v="261"/>
    <n v="1071"/>
    <s v="30-40"/>
    <x v="6"/>
  </r>
  <r>
    <s v="https://suumo.jp/chintai/jnc_000103825105/?bc=100473940542"/>
    <s v="パークシティ高田馬場"/>
    <s v="東京都新宿区高田馬場４"/>
    <n v="290000"/>
    <n v="20000"/>
    <n v="290000"/>
    <m/>
    <n v="2"/>
    <x v="0"/>
    <n v="47.34"/>
    <n v="0"/>
    <x v="12"/>
    <s v="高田馬場駅"/>
    <n v="7"/>
    <n v="7.67"/>
    <n v="154556.70000000001"/>
    <n v="77692.34"/>
    <n v="261"/>
    <n v="1071"/>
    <s v="40-50"/>
    <x v="6"/>
  </r>
  <r>
    <s v="https://suumo.jp/chintai/jnc_000104464221/?bc=100486088804"/>
    <s v="ビクタス高田馬場"/>
    <s v="東京都新宿区高田馬場４"/>
    <n v="67000"/>
    <n v="3000"/>
    <m/>
    <m/>
    <n v="2"/>
    <x v="0"/>
    <n v="10.199999999999999"/>
    <n v="14"/>
    <x v="0"/>
    <s v="高田馬場駅"/>
    <n v="5"/>
    <n v="9.67"/>
    <n v="154556.70000000001"/>
    <n v="77692.34"/>
    <n v="261"/>
    <n v="1071"/>
    <s v="10-20"/>
    <x v="7"/>
  </r>
  <r>
    <s v="https://suumo.jp/chintai/jnc_000104391725/?bc=100485547825"/>
    <s v="メゾンヒルズ４２８"/>
    <s v="東京都新宿区高田馬場４"/>
    <n v="110000"/>
    <n v="15000"/>
    <m/>
    <m/>
    <n v="4"/>
    <x v="0"/>
    <n v="21.67"/>
    <n v="8"/>
    <x v="4"/>
    <s v="高田馬場駅"/>
    <n v="6"/>
    <n v="11"/>
    <n v="154556.70000000001"/>
    <n v="77692.34"/>
    <n v="261"/>
    <n v="1071"/>
    <s v="20-30"/>
    <x v="0"/>
  </r>
  <r>
    <s v="https://suumo.jp/chintai/jnc_000104391726/?bc=100485316393"/>
    <s v="メゾンヒルズ４２８"/>
    <s v="東京都新宿区高田馬場４"/>
    <n v="120000"/>
    <n v="15000"/>
    <m/>
    <m/>
    <n v="4"/>
    <x v="0"/>
    <n v="21.67"/>
    <n v="8"/>
    <x v="4"/>
    <s v="高田馬場駅"/>
    <n v="6"/>
    <n v="11"/>
    <n v="154556.70000000001"/>
    <n v="77692.34"/>
    <n v="261"/>
    <n v="1071"/>
    <s v="20-30"/>
    <x v="0"/>
  </r>
  <r>
    <s v="https://suumo.jp/chintai/jnc_000100975170/?bc=100482112261"/>
    <s v="ユーコート高田馬場"/>
    <s v="東京都新宿区高田馬場３"/>
    <n v="75000"/>
    <n v="5000"/>
    <n v="75000"/>
    <m/>
    <n v="2"/>
    <x v="0"/>
    <n v="16.11"/>
    <n v="29"/>
    <x v="2"/>
    <s v="高田馬場駅"/>
    <n v="8"/>
    <n v="12"/>
    <n v="154556.70000000001"/>
    <n v="77692.34"/>
    <n v="261"/>
    <n v="1071"/>
    <s v="10-20"/>
    <x v="1"/>
  </r>
  <r>
    <s v="https://suumo.jp/chintai/jnc_000104280016/?bc=100485546141"/>
    <s v="ユーコート高田馬場"/>
    <s v="東京都新宿区高田馬場３"/>
    <n v="80000"/>
    <n v="4000"/>
    <n v="80000"/>
    <m/>
    <n v="2"/>
    <x v="0"/>
    <n v="24.33"/>
    <n v="29"/>
    <x v="2"/>
    <s v="高田馬場駅"/>
    <n v="8"/>
    <n v="12"/>
    <n v="154556.70000000001"/>
    <n v="77692.34"/>
    <n v="261"/>
    <n v="1071"/>
    <s v="20-30"/>
    <x v="1"/>
  </r>
  <r>
    <s v="https://suumo.jp/chintai/jnc_000103722913/?bc=100482875534"/>
    <s v="ルクレ高田馬場"/>
    <s v="東京都新宿区高田馬場３"/>
    <n v="124000"/>
    <n v="15000"/>
    <m/>
    <n v="124000"/>
    <n v="1"/>
    <x v="0"/>
    <n v="24.75"/>
    <n v="6"/>
    <x v="5"/>
    <s v="高田馬場駅"/>
    <n v="6"/>
    <n v="12"/>
    <n v="154556.70000000001"/>
    <n v="77692.34"/>
    <n v="261"/>
    <n v="1071"/>
    <s v="20-30"/>
    <x v="0"/>
  </r>
  <r>
    <s v="https://suumo.jp/chintai/jnc_000070994419/?bc=100481913903"/>
    <s v="レジデンス高田馬場"/>
    <s v="東京都新宿区高田馬場４"/>
    <n v="65000"/>
    <n v="5000"/>
    <n v="65000"/>
    <n v="65000"/>
    <n v="2"/>
    <x v="0"/>
    <n v="12.75"/>
    <n v="15"/>
    <x v="0"/>
    <s v="高田馬場駅"/>
    <n v="4"/>
    <n v="11.33"/>
    <n v="154556.70000000001"/>
    <n v="77692.34"/>
    <n v="261"/>
    <n v="1071"/>
    <s v="10-20"/>
    <x v="7"/>
  </r>
  <r>
    <s v="https://suumo.jp/chintai/jnc_000103473412/?bc=100461778894"/>
    <s v="大島ハイツ"/>
    <s v="東京都新宿区高田馬場３"/>
    <n v="60000"/>
    <m/>
    <n v="60000"/>
    <n v="60000"/>
    <n v="2"/>
    <x v="0"/>
    <n v="12.38"/>
    <n v="39"/>
    <x v="2"/>
    <s v="高田馬場駅"/>
    <n v="7"/>
    <n v="8"/>
    <n v="154556.70000000001"/>
    <n v="77692.34"/>
    <n v="261"/>
    <n v="1071"/>
    <s v="10-20"/>
    <x v="4"/>
  </r>
  <r>
    <s v="https://suumo.jp/chintai/jnc_000050501802/?bc=100471683870"/>
    <s v="東京メトロ東西線 高田馬場駅 2階建 築14年"/>
    <s v="東京都新宿区高田馬場４"/>
    <n v="67000"/>
    <n v="3000"/>
    <m/>
    <m/>
    <n v="2"/>
    <x v="0"/>
    <n v="12"/>
    <n v="14"/>
    <x v="0"/>
    <s v="高田馬場駅"/>
    <n v="5"/>
    <n v="9"/>
    <n v="154556.70000000001"/>
    <n v="77692.34"/>
    <n v="261"/>
    <n v="1071"/>
    <s v="10-20"/>
    <x v="7"/>
  </r>
  <r>
    <s v="https://suumo.jp/chintai/jnc_000103268894/?bc=100482930921"/>
    <s v="東陽ビルディング"/>
    <s v="東京都新宿区高田馬場４"/>
    <n v="100000"/>
    <n v="5000"/>
    <n v="100000"/>
    <n v="100000"/>
    <n v="8"/>
    <x v="0"/>
    <n v="19.53"/>
    <n v="41"/>
    <x v="6"/>
    <s v="高田馬場駅"/>
    <n v="6"/>
    <n v="10.67"/>
    <n v="154556.70000000001"/>
    <n v="77692.34"/>
    <n v="261"/>
    <n v="1071"/>
    <s v="10-20"/>
    <x v="3"/>
  </r>
  <r>
    <s v="https://suumo.jp/chintai/jnc_000102829280/?bc=100472811430"/>
    <s v="松井アパート"/>
    <s v="東京都新宿区高田馬場３"/>
    <n v="68000"/>
    <m/>
    <n v="68000"/>
    <m/>
    <n v="2"/>
    <x v="0"/>
    <n v="21"/>
    <n v="29"/>
    <x v="0"/>
    <s v="高田馬場駅"/>
    <n v="7"/>
    <n v="10.33"/>
    <n v="154556.70000000001"/>
    <n v="77692.34"/>
    <n v="261"/>
    <n v="1071"/>
    <s v="20-30"/>
    <x v="1"/>
  </r>
  <r>
    <s v="https://suumo.jp/chintai/jnc_000082069184/?bc=100333930387"/>
    <s v="第３青美ハイツ"/>
    <s v="東京都新宿区高田馬場３"/>
    <n v="60000"/>
    <m/>
    <n v="60000"/>
    <n v="60000"/>
    <n v="2"/>
    <x v="0"/>
    <n v="16.5"/>
    <n v="33"/>
    <x v="0"/>
    <s v="高田馬場駅"/>
    <n v="7"/>
    <n v="8.5"/>
    <n v="154556.70000000001"/>
    <n v="77692.34"/>
    <n v="261"/>
    <n v="1071"/>
    <s v="10-20"/>
    <x v="4"/>
  </r>
  <r>
    <s v="https://suumo.jp/chintai/jnc_000104214964/?bc=100483864957"/>
    <s v="鬼澤荘"/>
    <s v="東京都新宿区高田馬場４"/>
    <n v="43000"/>
    <n v="2000"/>
    <n v="43000"/>
    <n v="43000"/>
    <n v="1"/>
    <x v="0"/>
    <n v="12.2"/>
    <n v="60"/>
    <x v="0"/>
    <s v="高田馬場駅"/>
    <n v="9"/>
    <n v="13.33"/>
    <n v="154556.70000000001"/>
    <n v="77692.34"/>
    <n v="261"/>
    <n v="1071"/>
    <s v="10-20"/>
    <x v="5"/>
  </r>
  <r>
    <s v="https://suumo.jp/chintai/jnc_000101737525/?bc=100462648946"/>
    <s v="ＡＬＥＲＯ　Ｔａｋａｄａｎｏｂａｂａ　アレーロ高田馬場"/>
    <s v="東京都新宿区下落合１"/>
    <n v="120000"/>
    <n v="10000"/>
    <n v="120000"/>
    <n v="120000"/>
    <n v="3"/>
    <x v="0"/>
    <n v="25"/>
    <n v="10"/>
    <x v="7"/>
    <s v="高田馬場駅"/>
    <n v="5"/>
    <n v="7.67"/>
    <n v="154556.70000000001"/>
    <n v="77692.34"/>
    <n v="261"/>
    <n v="1071"/>
    <s v="20-30"/>
    <x v="0"/>
  </r>
  <r>
    <s v="https://suumo.jp/chintai/jnc_000103402591/?bc=100477350260"/>
    <s v="ＪＲ山手線 高田馬場駅 15階建 築16年"/>
    <s v="東京都新宿区高田馬場３"/>
    <n v="124000"/>
    <n v="15000"/>
    <n v="124000"/>
    <n v="124000"/>
    <n v="10"/>
    <x v="0"/>
    <n v="27.57"/>
    <n v="16"/>
    <x v="11"/>
    <s v="高田馬場駅"/>
    <n v="4"/>
    <n v="6.67"/>
    <n v="154556.70000000001"/>
    <n v="77692.34"/>
    <n v="261"/>
    <n v="1071"/>
    <s v="20-30"/>
    <x v="7"/>
  </r>
  <r>
    <s v="https://suumo.jp/chintai/jnc_000104076257/?bc=100483135379"/>
    <s v="ＪＲ山手線 高田馬場駅 2階建 築11年"/>
    <s v="東京都新宿区高田馬場３"/>
    <n v="62000"/>
    <n v="3000"/>
    <m/>
    <m/>
    <n v="1"/>
    <x v="0"/>
    <n v="11.7"/>
    <n v="11"/>
    <x v="0"/>
    <s v="高田馬場駅"/>
    <n v="8"/>
    <n v="11.33"/>
    <n v="154556.70000000001"/>
    <n v="77692.34"/>
    <n v="261"/>
    <n v="1071"/>
    <s v="10-20"/>
    <x v="7"/>
  </r>
  <r>
    <s v="https://suumo.jp/chintai/jnc_000104437834/?bc=100486087982"/>
    <s v="ＪＲ山手線 高田馬場駅 2階建 築14年"/>
    <s v="東京都新宿区高田馬場４"/>
    <n v="67000"/>
    <n v="3000"/>
    <m/>
    <m/>
    <n v="2"/>
    <x v="0"/>
    <n v="10.199999999999999"/>
    <n v="14"/>
    <x v="0"/>
    <s v="高田馬場駅"/>
    <n v="5"/>
    <n v="10.67"/>
    <n v="154556.70000000001"/>
    <n v="77692.34"/>
    <n v="261"/>
    <n v="1071"/>
    <s v="10-20"/>
    <x v="7"/>
  </r>
  <r>
    <s v="https://suumo.jp/chintai/jnc_000102922319/?bc=100473496428"/>
    <s v="ＪＲ山手線 高田馬場駅 2階建 築40年"/>
    <s v="東京都新宿区高田馬場３"/>
    <n v="55000"/>
    <m/>
    <n v="55000"/>
    <m/>
    <n v="1"/>
    <x v="0"/>
    <n v="15"/>
    <n v="40"/>
    <x v="0"/>
    <s v="高田馬場駅"/>
    <n v="8"/>
    <n v="11.67"/>
    <n v="154556.70000000001"/>
    <n v="77692.34"/>
    <n v="261"/>
    <n v="1071"/>
    <s v="10-20"/>
    <x v="4"/>
  </r>
  <r>
    <s v="https://suumo.jp/chintai/jnc_000103337911/?bc=100483888606"/>
    <s v="ＪＲ山手線 高田馬場駅 2階建 築6年"/>
    <s v="東京都新宿区高田馬場４"/>
    <n v="64000"/>
    <n v="4000"/>
    <n v="64000"/>
    <m/>
    <n v="1"/>
    <x v="0"/>
    <n v="11.12"/>
    <n v="6"/>
    <x v="0"/>
    <s v="高田馬場駅"/>
    <n v="10"/>
    <n v="10"/>
    <n v="154556.70000000001"/>
    <n v="77692.34"/>
    <n v="261"/>
    <n v="1071"/>
    <s v="10-20"/>
    <x v="0"/>
  </r>
  <r>
    <s v="https://suumo.jp/chintai/jnc_000104116891/?bc=100483458289"/>
    <s v="ＪＲ山手線 高田馬場駅 2階建 築9年"/>
    <s v="東京都新宿区高田馬場３"/>
    <n v="75000"/>
    <n v="4000"/>
    <m/>
    <m/>
    <n v="1"/>
    <x v="0"/>
    <n v="10.45"/>
    <n v="9"/>
    <x v="0"/>
    <s v="高田馬場駅"/>
    <n v="8"/>
    <n v="11.67"/>
    <n v="154556.70000000001"/>
    <n v="77692.34"/>
    <n v="261"/>
    <n v="1071"/>
    <s v="10-20"/>
    <x v="0"/>
  </r>
  <r>
    <s v="https://suumo.jp/chintai/jnc_000104464217/?bc=100486106425"/>
    <s v="ＪＲ山手線 高田馬場駅 2階建 築9年"/>
    <s v="東京都新宿区高田馬場３"/>
    <n v="75000"/>
    <n v="4000"/>
    <m/>
    <n v="75000"/>
    <n v="1"/>
    <x v="0"/>
    <n v="10.56"/>
    <n v="9"/>
    <x v="0"/>
    <s v="高田馬場駅"/>
    <n v="8"/>
    <n v="11.67"/>
    <n v="154556.70000000001"/>
    <n v="77692.34"/>
    <n v="261"/>
    <n v="1071"/>
    <s v="10-20"/>
    <x v="0"/>
  </r>
  <r>
    <s v="https://suumo.jp/chintai/jnc_000104378566/?bc=100485160621"/>
    <s v="ＪＲ山手線 高田馬場駅 4階建 築40年"/>
    <s v="東京都新宿区高田馬場４"/>
    <n v="66000"/>
    <n v="6000"/>
    <n v="66000"/>
    <m/>
    <n v="4"/>
    <x v="0"/>
    <n v="18.47"/>
    <n v="40"/>
    <x v="4"/>
    <s v="高田馬場駅"/>
    <n v="12"/>
    <n v="12.33"/>
    <n v="154556.70000000001"/>
    <n v="77692.34"/>
    <n v="261"/>
    <n v="1071"/>
    <s v="10-20"/>
    <x v="4"/>
  </r>
  <r>
    <s v="https://suumo.jp/chintai/jnc_000104138638/?bc=100483612531"/>
    <s v="ＪＲ山手線 高田馬場駅 5階建 築21年"/>
    <s v="東京都新宿区高田馬場３"/>
    <n v="82000"/>
    <n v="5000"/>
    <n v="82000"/>
    <m/>
    <n v="4"/>
    <x v="0"/>
    <n v="20.73"/>
    <n v="21"/>
    <x v="7"/>
    <s v="高田馬場駅"/>
    <n v="6"/>
    <n v="10.33"/>
    <n v="154556.70000000001"/>
    <n v="77692.34"/>
    <n v="261"/>
    <n v="1071"/>
    <s v="20-30"/>
    <x v="1"/>
  </r>
  <r>
    <s v="https://suumo.jp/chintai/jnc_000104458809/?bc=100471991522"/>
    <s v="ＪＲ山手線 高田馬場駅 5階建 築39年"/>
    <s v="東京都新宿区高田馬場４"/>
    <n v="70000"/>
    <n v="6500"/>
    <n v="70000"/>
    <m/>
    <n v="3"/>
    <x v="0"/>
    <n v="19.23"/>
    <n v="39"/>
    <x v="7"/>
    <s v="高田馬場駅"/>
    <n v="2"/>
    <n v="6"/>
    <n v="154556.70000000001"/>
    <n v="77692.34"/>
    <n v="261"/>
    <n v="1071"/>
    <s v="10-20"/>
    <x v="4"/>
  </r>
  <r>
    <s v="https://suumo.jp/chintai/jnc_000104498674/?bc=100486113135"/>
    <s v="ＪＲ山手線 高田馬場駅 5階建 築43年"/>
    <s v="東京都新宿区下落合１"/>
    <n v="65000"/>
    <n v="6000"/>
    <n v="65000"/>
    <n v="65000"/>
    <n v="4"/>
    <x v="0"/>
    <n v="15.82"/>
    <n v="43"/>
    <x v="7"/>
    <s v="高田馬場駅"/>
    <n v="3"/>
    <n v="9"/>
    <n v="154556.70000000001"/>
    <n v="77692.34"/>
    <n v="261"/>
    <n v="1071"/>
    <s v="10-20"/>
    <x v="3"/>
  </r>
  <r>
    <s v="https://suumo.jp/chintai/jnc_000104363182/?bc=100485310179"/>
    <s v="ＪＲ山手線 高田馬場駅 5階建 築43年"/>
    <s v="東京都新宿区下落合１"/>
    <n v="68000"/>
    <n v="4000"/>
    <n v="68000"/>
    <n v="68000"/>
    <n v="4"/>
    <x v="0"/>
    <n v="18.53"/>
    <n v="43"/>
    <x v="7"/>
    <s v="高田馬場駅"/>
    <n v="3"/>
    <n v="9"/>
    <n v="154556.70000000001"/>
    <n v="77692.34"/>
    <n v="261"/>
    <n v="1071"/>
    <s v="10-20"/>
    <x v="3"/>
  </r>
  <r>
    <s v="https://suumo.jp/chintai/jnc_000103439943/?bc=100478289216"/>
    <s v="ＪＲ山手線 高田馬場駅 5階建 築43年"/>
    <s v="東京都新宿区下落合１"/>
    <n v="68000"/>
    <n v="3000"/>
    <n v="68000"/>
    <n v="68000"/>
    <n v="5"/>
    <x v="0"/>
    <n v="15.55"/>
    <n v="43"/>
    <x v="7"/>
    <s v="高田馬場駅"/>
    <n v="3"/>
    <n v="9"/>
    <n v="154556.70000000001"/>
    <n v="77692.34"/>
    <n v="261"/>
    <n v="1071"/>
    <s v="10-20"/>
    <x v="3"/>
  </r>
  <r>
    <s v="https://suumo.jp/chintai/jnc_000104116889/?bc=100483199543"/>
    <s v="ＪＲ山手線 高田馬場駅 5階建 築46年"/>
    <s v="東京都新宿区高田馬場３"/>
    <n v="135000"/>
    <n v="7000"/>
    <n v="135000"/>
    <n v="135000"/>
    <n v="5"/>
    <x v="0"/>
    <n v="27.68"/>
    <n v="46"/>
    <x v="7"/>
    <s v="高田馬場駅"/>
    <n v="1"/>
    <n v="9.33"/>
    <n v="154556.70000000001"/>
    <n v="77692.34"/>
    <n v="261"/>
    <n v="1071"/>
    <s v="20-30"/>
    <x v="3"/>
  </r>
  <r>
    <s v="https://suumo.jp/chintai/jnc_000102927956/?bc=100473703455"/>
    <s v="Ｊｏ’ｓ　Ｒｅｓｉｄｅｎｃｅ　高田馬場"/>
    <s v="東京都新宿区高田馬場１"/>
    <n v="163500"/>
    <n v="8000"/>
    <n v="163500"/>
    <n v="163500"/>
    <n v="3"/>
    <x v="0"/>
    <n v="29.72"/>
    <n v="2"/>
    <x v="4"/>
    <s v="高田馬場駅"/>
    <n v="4"/>
    <n v="11"/>
    <n v="154556.70000000001"/>
    <n v="77692.34"/>
    <n v="261"/>
    <n v="1071"/>
    <s v="20-30"/>
    <x v="0"/>
  </r>
  <r>
    <s v="https://suumo.jp/chintai/jnc_000073589653/?bc=100484194369"/>
    <s v="Ｎ・Ｙ・ＴＯＲＴＵＧＡ(エヌ・ワイ・トルトゥーガ)"/>
    <s v="東京都新宿区百人町３"/>
    <n v="73500"/>
    <n v="6000"/>
    <m/>
    <m/>
    <n v="4"/>
    <x v="0"/>
    <n v="15.16"/>
    <n v="5"/>
    <x v="4"/>
    <s v="高田馬場駅"/>
    <n v="10"/>
    <n v="10.67"/>
    <n v="154556.70000000001"/>
    <n v="77692.34"/>
    <n v="261"/>
    <n v="1071"/>
    <s v="10-20"/>
    <x v="0"/>
  </r>
  <r>
    <s v="https://suumo.jp/chintai/jnc_000104525325/?bc=100486351436"/>
    <s v="東京メトロ東西線 高田馬場駅 地上3階建 築4年"/>
    <s v="東京都新宿区高田馬場３"/>
    <n v="390000"/>
    <m/>
    <n v="390000"/>
    <n v="390000"/>
    <n v="1"/>
    <x v="5"/>
    <n v="75.959999999999994"/>
    <n v="4"/>
    <x v="2"/>
    <s v="高田馬場駅"/>
    <n v="8"/>
    <n v="8.33"/>
    <n v="154556.70000000001"/>
    <n v="207063.41"/>
    <n v="261"/>
    <n v="41"/>
    <s v="70-80"/>
    <x v="0"/>
  </r>
  <r>
    <s v="https://suumo.jp/chintai/jnc_000104525325/?bc=100486351436"/>
    <s v="東京メトロ東西線 高田馬場駅 地上3階建 築4年"/>
    <s v="東京都新宿区高田馬場３"/>
    <n v="390000"/>
    <m/>
    <n v="390000"/>
    <n v="390000"/>
    <n v="2"/>
    <x v="5"/>
    <n v="75.959999999999994"/>
    <n v="4"/>
    <x v="2"/>
    <s v="高田馬場駅"/>
    <n v="8"/>
    <n v="8.33"/>
    <n v="154556.70000000001"/>
    <n v="207063.41"/>
    <n v="261"/>
    <n v="41"/>
    <s v="70-80"/>
    <x v="0"/>
  </r>
  <r>
    <s v="https://suumo.jp/chintai/jnc_000104525325/?bc=100486351436"/>
    <s v="東京メトロ東西線 高田馬場駅 地上3階建 築4年"/>
    <s v="東京都新宿区高田馬場３"/>
    <n v="390000"/>
    <m/>
    <n v="390000"/>
    <n v="390000"/>
    <n v="3"/>
    <x v="5"/>
    <n v="75.959999999999994"/>
    <n v="4"/>
    <x v="2"/>
    <s v="高田馬場駅"/>
    <n v="8"/>
    <n v="8.33"/>
    <n v="154556.70000000001"/>
    <n v="207063.41"/>
    <n v="261"/>
    <n v="41"/>
    <s v="70-80"/>
    <x v="0"/>
  </r>
  <r>
    <s v="https://suumo.jp/chintai/jnc_000103843595/?bc=100478872473"/>
    <s v="SYFORME　TAKADANOBABAII"/>
    <s v="東京都新宿区下落合１"/>
    <n v="241000"/>
    <n v="18000"/>
    <n v="241000"/>
    <n v="241000"/>
    <n v="3"/>
    <x v="6"/>
    <n v="40.35"/>
    <n v="2"/>
    <x v="9"/>
    <s v="高田馬場駅"/>
    <n v="3"/>
    <n v="8.33"/>
    <n v="154556.70000000001"/>
    <n v="141491.45000000001"/>
    <n v="261"/>
    <n v="117"/>
    <s v="40-50"/>
    <x v="0"/>
  </r>
  <r>
    <s v="https://suumo.jp/chintai/jnc_000103599924/?bc=100474714677"/>
    <s v="SYFORME　TAKADANOBABAII"/>
    <s v="東京都新宿区下落合１"/>
    <n v="252000"/>
    <n v="18000"/>
    <n v="252000"/>
    <n v="252000"/>
    <n v="3"/>
    <x v="6"/>
    <n v="40.35"/>
    <n v="2"/>
    <x v="9"/>
    <s v="高田馬場駅"/>
    <n v="3"/>
    <n v="8.33"/>
    <n v="154556.70000000001"/>
    <n v="141491.45000000001"/>
    <n v="261"/>
    <n v="117"/>
    <s v="40-50"/>
    <x v="0"/>
  </r>
  <r>
    <s v="https://suumo.jp/chintai/jnc_000104526005/?bc=100484183672"/>
    <s v="レジデンス星野"/>
    <s v="東京都豊島区高田３"/>
    <n v="160000"/>
    <n v="7000"/>
    <n v="160000"/>
    <n v="160000"/>
    <n v="1"/>
    <x v="6"/>
    <n v="47.6"/>
    <n v="31"/>
    <x v="2"/>
    <s v="高田馬場駅"/>
    <n v="3"/>
    <n v="9.67"/>
    <n v="154556.70000000001"/>
    <n v="141491.45000000001"/>
    <n v="261"/>
    <n v="117"/>
    <s v="40-50"/>
    <x v="4"/>
  </r>
  <r>
    <s v="https://suumo.jp/chintai/jnc_000072641299/?bc=100485160023"/>
    <s v="村上コーポ　　日本人のみ"/>
    <s v="東京都新宿区下落合１"/>
    <n v="112500"/>
    <n v="2500"/>
    <n v="112500"/>
    <n v="112500"/>
    <n v="2"/>
    <x v="6"/>
    <n v="41"/>
    <n v="48"/>
    <x v="4"/>
    <s v="高田馬場駅"/>
    <n v="5"/>
    <n v="9.33"/>
    <n v="154556.70000000001"/>
    <n v="141491.45000000001"/>
    <n v="261"/>
    <n v="117"/>
    <s v="40-50"/>
    <x v="3"/>
  </r>
  <r>
    <s v="https://suumo.jp/chintai/jnc_000103712580/?bc=100479967577"/>
    <s v="防音部屋完備】SYFORME TAKADANOBABAII"/>
    <s v="東京都新宿区下落合１"/>
    <n v="252000"/>
    <n v="18000"/>
    <n v="252000"/>
    <n v="252000"/>
    <n v="3"/>
    <x v="6"/>
    <n v="40.35"/>
    <n v="2"/>
    <x v="9"/>
    <s v="高田馬場駅"/>
    <n v="3"/>
    <n v="8.33"/>
    <n v="154556.70000000001"/>
    <n v="141491.45000000001"/>
    <n v="261"/>
    <n v="117"/>
    <s v="40-50"/>
    <x v="0"/>
  </r>
  <r>
    <s v="https://suumo.jp/chintai/jnc_000103416019/?bc=100479102199"/>
    <s v="馬場ハウス"/>
    <s v="東京都新宿区高田馬場４"/>
    <n v="183000"/>
    <n v="10000"/>
    <n v="183000"/>
    <n v="274500"/>
    <n v="2"/>
    <x v="6"/>
    <n v="44.72"/>
    <n v="16"/>
    <x v="2"/>
    <s v="高田馬場駅"/>
    <n v="9"/>
    <n v="12"/>
    <n v="154556.70000000001"/>
    <n v="141491.45000000001"/>
    <n v="261"/>
    <n v="117"/>
    <s v="40-50"/>
    <x v="7"/>
  </r>
  <r>
    <s v="https://suumo.jp/chintai/jnc_000103204674/?bc=100475904162"/>
    <s v="高田馬場住宅"/>
    <s v="東京都新宿区下落合２"/>
    <n v="158000"/>
    <n v="17000"/>
    <n v="158000"/>
    <m/>
    <n v="6"/>
    <x v="6"/>
    <n v="44.04"/>
    <n v="57"/>
    <x v="12"/>
    <s v="高田馬場駅"/>
    <n v="5"/>
    <n v="9.67"/>
    <n v="154556.70000000001"/>
    <n v="141491.45000000001"/>
    <n v="261"/>
    <n v="117"/>
    <s v="40-50"/>
    <x v="5"/>
  </r>
  <r>
    <s v="https://suumo.jp/chintai/jnc_000103110649/?bc=100471598481"/>
    <s v="ＪＲ山手線 高田馬場駅 3階建 築56年"/>
    <s v="東京都新宿区高田馬場３"/>
    <n v="108000"/>
    <n v="3000"/>
    <n v="108000"/>
    <n v="108000"/>
    <n v="3"/>
    <x v="6"/>
    <n v="35"/>
    <n v="56"/>
    <x v="2"/>
    <s v="高田馬場駅"/>
    <n v="7"/>
    <n v="9"/>
    <n v="154556.70000000001"/>
    <n v="141491.45000000001"/>
    <n v="261"/>
    <n v="117"/>
    <s v="30-40"/>
    <x v="5"/>
  </r>
  <r>
    <s v="https://suumo.jp/chintai/jnc_000072950668/?bc=100462883637"/>
    <s v="ＪＲ山手線 高田馬場駅 4階建 築48年"/>
    <s v="東京都新宿区下落合１"/>
    <n v="112500"/>
    <n v="2500"/>
    <n v="112500"/>
    <n v="112500"/>
    <n v="2"/>
    <x v="6"/>
    <n v="30"/>
    <n v="48"/>
    <x v="4"/>
    <s v="高田馬場駅"/>
    <n v="4"/>
    <n v="9.67"/>
    <n v="154556.70000000001"/>
    <n v="141491.45000000001"/>
    <n v="261"/>
    <n v="117"/>
    <s v="30-40"/>
    <x v="3"/>
  </r>
  <r>
    <s v="https://suumo.jp/chintai/jnc_000103643843/?bc=100480313160"/>
    <s v="WHARF　bo-on　高田馬場"/>
    <s v="東京都新宿区高田馬場３"/>
    <n v="232000"/>
    <n v="20000"/>
    <m/>
    <m/>
    <n v="2"/>
    <x v="7"/>
    <n v="41.9"/>
    <n v="0"/>
    <x v="12"/>
    <s v="高田馬場駅"/>
    <n v="9"/>
    <n v="10.67"/>
    <n v="154556.70000000001"/>
    <n v="117441.44"/>
    <n v="261"/>
    <n v="111"/>
    <s v="40-50"/>
    <x v="6"/>
  </r>
  <r>
    <s v="https://suumo.jp/chintai/jnc_000103643847/?bc=100480313256"/>
    <s v="WHARF　bo-on　高田馬場"/>
    <s v="東京都新宿区高田馬場３"/>
    <n v="240000"/>
    <n v="20000"/>
    <m/>
    <m/>
    <n v="6"/>
    <x v="7"/>
    <n v="41.98"/>
    <n v="0"/>
    <x v="12"/>
    <s v="高田馬場駅"/>
    <n v="9"/>
    <n v="10.67"/>
    <n v="154556.70000000001"/>
    <n v="117441.44"/>
    <n v="261"/>
    <n v="111"/>
    <s v="40-50"/>
    <x v="6"/>
  </r>
  <r>
    <s v="https://suumo.jp/chintai/jnc_000103023776/?bc=100413684873"/>
    <s v="SYFORME　TAKADANOBABAII"/>
    <s v="東京都新宿区下落合１"/>
    <n v="274000"/>
    <n v="18000"/>
    <n v="274000"/>
    <n v="274000"/>
    <n v="3"/>
    <x v="8"/>
    <n v="40.35"/>
    <n v="2"/>
    <x v="9"/>
    <s v="高田馬場駅"/>
    <n v="3"/>
    <n v="8.33"/>
    <n v="154556.70000000001"/>
    <n v="232352.65"/>
    <n v="261"/>
    <n v="359"/>
    <s v="40-50"/>
    <x v="0"/>
  </r>
  <r>
    <s v="https://suumo.jp/chintai/jnc_000104028821/?bc=100482378380"/>
    <s v="SoKo PARCO"/>
    <s v="東京都新宿区百人町３"/>
    <n v="240000"/>
    <n v="12000"/>
    <m/>
    <n v="240000"/>
    <n v="5"/>
    <x v="8"/>
    <n v="48.3"/>
    <n v="3"/>
    <x v="7"/>
    <s v="高田馬場駅"/>
    <n v="12"/>
    <n v="15"/>
    <n v="154556.70000000001"/>
    <n v="232352.65"/>
    <n v="261"/>
    <n v="359"/>
    <s v="40-50"/>
    <x v="0"/>
  </r>
  <r>
    <s v="https://suumo.jp/chintai/jnc_000104442202/?bc=100483778665"/>
    <s v="パークシティ高田馬場"/>
    <s v="東京都新宿区高田馬場４"/>
    <n v="320000"/>
    <m/>
    <n v="320000"/>
    <n v="320000"/>
    <n v="5"/>
    <x v="8"/>
    <n v="58.04"/>
    <n v="0"/>
    <x v="12"/>
    <s v="高田馬場駅"/>
    <n v="7"/>
    <n v="7.67"/>
    <n v="154556.70000000001"/>
    <n v="232352.65"/>
    <n v="261"/>
    <n v="359"/>
    <s v="50-60"/>
    <x v="6"/>
  </r>
  <r>
    <s v="https://suumo.jp/chintai/jnc_000104398969/?bc=100475299052"/>
    <s v="プラウド高田馬場"/>
    <s v="東京都新宿区下落合１"/>
    <n v="280000"/>
    <n v="10000"/>
    <n v="280000"/>
    <n v="280000"/>
    <n v="1"/>
    <x v="8"/>
    <n v="55.01"/>
    <n v="5"/>
    <x v="6"/>
    <s v="高田馬場駅"/>
    <n v="4"/>
    <n v="6"/>
    <n v="154556.70000000001"/>
    <n v="232352.65"/>
    <n v="261"/>
    <n v="359"/>
    <s v="50-60"/>
    <x v="0"/>
  </r>
  <r>
    <s v="https://suumo.jp/chintai/jnc_000104509211/?bc=100486361302"/>
    <s v="ヴェルデュール高田馬場"/>
    <s v="東京都新宿区高田馬場４"/>
    <n v="273000"/>
    <n v="12000"/>
    <n v="273000"/>
    <n v="409500"/>
    <n v="11"/>
    <x v="8"/>
    <n v="55.46"/>
    <n v="10"/>
    <x v="13"/>
    <s v="高田馬場駅"/>
    <n v="8"/>
    <n v="12"/>
    <n v="154556.70000000001"/>
    <n v="232352.65"/>
    <n v="261"/>
    <n v="359"/>
    <s v="50-60"/>
    <x v="0"/>
  </r>
  <r>
    <s v="https://suumo.jp/chintai/jnc_000103976385/?bc=100484844986"/>
    <s v="ヴェルデュール高田馬場"/>
    <s v="東京都新宿区高田馬場４"/>
    <n v="238000"/>
    <n v="12000"/>
    <n v="238000"/>
    <n v="238000"/>
    <n v="4"/>
    <x v="8"/>
    <n v="56.56"/>
    <n v="10"/>
    <x v="13"/>
    <s v="高田馬場駅"/>
    <n v="8"/>
    <n v="12"/>
    <n v="154556.70000000001"/>
    <n v="232352.65"/>
    <n v="261"/>
    <n v="359"/>
    <s v="50-60"/>
    <x v="0"/>
  </r>
  <r>
    <s v="https://suumo.jp/chintai/jnc_000103756336/?bc=100481925821"/>
    <s v="ヴェルデュール高田馬場"/>
    <s v="東京都新宿区高田馬場４"/>
    <n v="239000"/>
    <n v="12000"/>
    <n v="239000"/>
    <n v="239000"/>
    <n v="4"/>
    <x v="8"/>
    <n v="56.56"/>
    <n v="10"/>
    <x v="13"/>
    <s v="高田馬場駅"/>
    <n v="8"/>
    <n v="12"/>
    <n v="154556.70000000001"/>
    <n v="232352.65"/>
    <n v="261"/>
    <n v="359"/>
    <s v="50-60"/>
    <x v="0"/>
  </r>
  <r>
    <s v="https://suumo.jp/chintai/jnc_000102792257/?bc=100477694253"/>
    <s v="ヴェルデュール高田馬場"/>
    <s v="東京都新宿区高田馬場４"/>
    <n v="262000"/>
    <n v="12000"/>
    <n v="262000"/>
    <n v="262000"/>
    <n v="4"/>
    <x v="8"/>
    <n v="56.56"/>
    <n v="10"/>
    <x v="13"/>
    <s v="高田馬場駅"/>
    <n v="8"/>
    <n v="12"/>
    <n v="154556.70000000001"/>
    <n v="232352.65"/>
    <n v="261"/>
    <n v="359"/>
    <s v="50-60"/>
    <x v="0"/>
  </r>
  <r>
    <s v="https://suumo.jp/chintai/jnc_000102792258/?bc=100475322321"/>
    <s v="ヴェルデュール高田馬場"/>
    <s v="東京都新宿区高田馬場４"/>
    <n v="267000"/>
    <n v="12000"/>
    <n v="267000"/>
    <n v="267000"/>
    <n v="9"/>
    <x v="8"/>
    <n v="56.56"/>
    <n v="10"/>
    <x v="13"/>
    <s v="高田馬場駅"/>
    <n v="8"/>
    <n v="12"/>
    <n v="154556.70000000001"/>
    <n v="232352.65"/>
    <n v="261"/>
    <n v="359"/>
    <s v="50-60"/>
    <x v="0"/>
  </r>
  <r>
    <s v="https://suumo.jp/chintai/jnc_000103078043/?bc=100458687194"/>
    <s v="高田馬場三丁目戸建"/>
    <s v="東京都新宿区高田馬場３"/>
    <n v="248000"/>
    <m/>
    <n v="496000"/>
    <n v="248000"/>
    <n v="1"/>
    <x v="8"/>
    <n v="63.38"/>
    <n v="5"/>
    <x v="2"/>
    <s v="高田馬場駅"/>
    <n v="8"/>
    <n v="12.33"/>
    <n v="154556.70000000001"/>
    <n v="232352.65"/>
    <n v="261"/>
    <n v="359"/>
    <s v="60-70"/>
    <x v="0"/>
  </r>
  <r>
    <s v="https://suumo.jp/chintai/jnc_000103078043/?bc=100458687194"/>
    <s v="高田馬場三丁目戸建"/>
    <s v="東京都新宿区高田馬場３"/>
    <n v="248000"/>
    <m/>
    <n v="496000"/>
    <n v="248000"/>
    <n v="2"/>
    <x v="8"/>
    <n v="63.38"/>
    <n v="5"/>
    <x v="2"/>
    <s v="高田馬場駅"/>
    <n v="8"/>
    <n v="12.33"/>
    <n v="154556.70000000001"/>
    <n v="232352.65"/>
    <n v="261"/>
    <n v="359"/>
    <s v="60-70"/>
    <x v="0"/>
  </r>
  <r>
    <s v="https://suumo.jp/chintai/jnc_000103078043/?bc=100458687194"/>
    <s v="高田馬場三丁目戸建"/>
    <s v="東京都新宿区高田馬場３"/>
    <n v="248000"/>
    <m/>
    <n v="496000"/>
    <n v="248000"/>
    <n v="3"/>
    <x v="8"/>
    <n v="63.38"/>
    <n v="5"/>
    <x v="2"/>
    <s v="高田馬場駅"/>
    <n v="8"/>
    <n v="12.33"/>
    <n v="154556.70000000001"/>
    <n v="232352.65"/>
    <n v="261"/>
    <n v="359"/>
    <s v="60-70"/>
    <x v="0"/>
  </r>
  <r>
    <s v="https://suumo.jp/chintai/jnc_000103064950/?bc=100454216025"/>
    <s v="高田馬場戸建"/>
    <s v="東京都新宿区高田馬場３"/>
    <n v="248000"/>
    <m/>
    <n v="496000"/>
    <n v="248000"/>
    <n v="1"/>
    <x v="8"/>
    <n v="63.38"/>
    <n v="5"/>
    <x v="2"/>
    <s v="高田馬場駅"/>
    <n v="8"/>
    <n v="12.33"/>
    <n v="154556.70000000001"/>
    <n v="232352.65"/>
    <n v="261"/>
    <n v="359"/>
    <s v="60-70"/>
    <x v="0"/>
  </r>
  <r>
    <s v="https://suumo.jp/chintai/jnc_000103064950/?bc=100454216025"/>
    <s v="高田馬場戸建"/>
    <s v="東京都新宿区高田馬場３"/>
    <n v="248000"/>
    <m/>
    <n v="496000"/>
    <n v="248000"/>
    <n v="2"/>
    <x v="8"/>
    <n v="63.38"/>
    <n v="5"/>
    <x v="2"/>
    <s v="高田馬場駅"/>
    <n v="8"/>
    <n v="12.33"/>
    <n v="154556.70000000001"/>
    <n v="232352.65"/>
    <n v="261"/>
    <n v="359"/>
    <s v="60-70"/>
    <x v="0"/>
  </r>
  <r>
    <s v="https://suumo.jp/chintai/jnc_000103064950/?bc=100454216025"/>
    <s v="高田馬場戸建"/>
    <s v="東京都新宿区高田馬場３"/>
    <n v="248000"/>
    <m/>
    <n v="496000"/>
    <n v="248000"/>
    <n v="3"/>
    <x v="8"/>
    <n v="63.38"/>
    <n v="5"/>
    <x v="2"/>
    <s v="高田馬場駅"/>
    <n v="8"/>
    <n v="12.33"/>
    <n v="154556.70000000001"/>
    <n v="232352.65"/>
    <n v="261"/>
    <n v="359"/>
    <s v="60-70"/>
    <x v="0"/>
  </r>
  <r>
    <s v="https://suumo.jp/chintai/jnc_000103057429/?bc=100455481633"/>
    <s v="高田馬場戸建"/>
    <s v="東京都新宿区高田馬場３"/>
    <n v="248000"/>
    <m/>
    <n v="496000"/>
    <n v="248000"/>
    <n v="1"/>
    <x v="8"/>
    <n v="63.38"/>
    <n v="5"/>
    <x v="2"/>
    <s v="高田馬場駅"/>
    <n v="9"/>
    <n v="12.67"/>
    <n v="154556.70000000001"/>
    <n v="232352.65"/>
    <n v="261"/>
    <n v="359"/>
    <s v="60-70"/>
    <x v="0"/>
  </r>
  <r>
    <s v="https://suumo.jp/chintai/jnc_000104518522/?bc=100486411809"/>
    <s v="ＪＲ山手線 高田馬場駅 13階建 築10年"/>
    <s v="東京都新宿区高田馬場４"/>
    <n v="273000"/>
    <n v="12000"/>
    <n v="273000"/>
    <n v="409500"/>
    <n v="11"/>
    <x v="8"/>
    <n v="55.46"/>
    <n v="10"/>
    <x v="13"/>
    <s v="高田馬場駅"/>
    <n v="8"/>
    <n v="8.67"/>
    <n v="154556.70000000001"/>
    <n v="232352.65"/>
    <n v="261"/>
    <n v="359"/>
    <s v="50-60"/>
    <x v="0"/>
  </r>
  <r>
    <s v="https://suumo.jp/chintai/jnc_000103987150/?bc=100484713767"/>
    <s v="ＪＲ山手線 高田馬場駅 13階建 築10年"/>
    <s v="東京都新宿区高田馬場４"/>
    <n v="238000"/>
    <n v="12000"/>
    <n v="238000"/>
    <n v="238000"/>
    <n v="4"/>
    <x v="8"/>
    <n v="56.56"/>
    <n v="10"/>
    <x v="13"/>
    <s v="高田馬場駅"/>
    <n v="8"/>
    <n v="8.67"/>
    <n v="154556.70000000001"/>
    <n v="232352.65"/>
    <n v="261"/>
    <n v="359"/>
    <s v="50-60"/>
    <x v="0"/>
  </r>
  <r>
    <s v="https://suumo.jp/chintai/jnc_000103756337/?bc=100482139948"/>
    <s v="ＪＲ山手線 高田馬場駅 13階建 築10年"/>
    <s v="東京都新宿区高田馬場４"/>
    <n v="239000"/>
    <n v="12000"/>
    <n v="239000"/>
    <n v="239000"/>
    <n v="4"/>
    <x v="8"/>
    <n v="56.56"/>
    <n v="10"/>
    <x v="13"/>
    <s v="高田馬場駅"/>
    <n v="8"/>
    <n v="8.67"/>
    <n v="154556.70000000001"/>
    <n v="232352.65"/>
    <n v="261"/>
    <n v="359"/>
    <s v="50-60"/>
    <x v="0"/>
  </r>
  <r>
    <s v="https://suumo.jp/chintai/jnc_000103742517/?bc=100473694098"/>
    <s v="Ｊｏ’ｓ　Ｒｅｓｉｄｅｎｃｅ　高田馬場"/>
    <s v="東京都新宿区高田馬場１"/>
    <n v="325800"/>
    <n v="13000"/>
    <n v="325800"/>
    <n v="325800"/>
    <n v="2"/>
    <x v="8"/>
    <n v="61.47"/>
    <n v="2"/>
    <x v="4"/>
    <s v="高田馬場駅"/>
    <n v="4"/>
    <n v="11"/>
    <n v="154556.70000000001"/>
    <n v="232352.65"/>
    <n v="261"/>
    <n v="359"/>
    <s v="60-70"/>
    <x v="0"/>
  </r>
  <r>
    <s v="https://suumo.jp/chintai/jnc_000103742519/?bc=100473694091"/>
    <s v="Ｊｏ’ｓ　Ｒｅｓｉｄｅｎｃｅ　高田馬場"/>
    <s v="東京都新宿区高田馬場１"/>
    <n v="296400"/>
    <n v="12000"/>
    <n v="296400"/>
    <n v="296400"/>
    <n v="3"/>
    <x v="8"/>
    <n v="52.92"/>
    <n v="2"/>
    <x v="4"/>
    <s v="高田馬場駅"/>
    <n v="4"/>
    <n v="11"/>
    <n v="154556.70000000001"/>
    <n v="232352.65"/>
    <n v="261"/>
    <n v="359"/>
    <s v="50-60"/>
    <x v="0"/>
  </r>
  <r>
    <s v="https://suumo.jp/chintai/jnc_000103742520/?bc=100473694039"/>
    <s v="Ｊｏ’ｓ　Ｒｅｓｉｄｅｎｃｅ　高田馬場"/>
    <s v="東京都新宿区高田馬場１"/>
    <n v="313800"/>
    <n v="12000"/>
    <n v="313800"/>
    <n v="313800"/>
    <n v="3"/>
    <x v="8"/>
    <n v="55.04"/>
    <n v="2"/>
    <x v="4"/>
    <s v="高田馬場駅"/>
    <n v="4"/>
    <n v="11"/>
    <n v="154556.70000000001"/>
    <n v="232352.65"/>
    <n v="261"/>
    <n v="359"/>
    <s v="50-60"/>
    <x v="0"/>
  </r>
  <r>
    <s v="https://suumo.jp/chintai/jnc_000104432904/?bc=100486218402"/>
    <s v="Ｊｏ’ｓ　Ｒｅｓｉｄｅｎｃｅ　高田馬場"/>
    <s v="東京都新宿区高田馬場１"/>
    <n v="566100"/>
    <n v="30000"/>
    <n v="566100"/>
    <n v="849200"/>
    <n v="4"/>
    <x v="8"/>
    <n v="62.89"/>
    <n v="2"/>
    <x v="4"/>
    <s v="高田馬場駅"/>
    <n v="4"/>
    <n v="11"/>
    <n v="154556.70000000001"/>
    <n v="232352.65"/>
    <n v="261"/>
    <n v="359"/>
    <s v="60-70"/>
    <x v="0"/>
  </r>
  <r>
    <s v="https://suumo.jp/chintai/jnc_000103324105/?bc=100477594421"/>
    <s v="プラウド高田馬場"/>
    <s v="東京都新宿区下落合１"/>
    <n v="400000"/>
    <m/>
    <n v="400000"/>
    <n v="400000"/>
    <n v="8"/>
    <x v="10"/>
    <n v="65.81"/>
    <n v="5"/>
    <x v="6"/>
    <s v="高田馬場駅"/>
    <n v="4"/>
    <n v="6"/>
    <n v="154556.70000000001"/>
    <n v="282153.84999999998"/>
    <n v="261"/>
    <n v="26"/>
    <s v="60-70"/>
    <x v="0"/>
  </r>
  <r>
    <s v="https://suumo.jp/chintai/jnc_000104295039/?bc=100484570464"/>
    <s v="ヴェルフォーレ・W"/>
    <s v="東京都新宿区高田馬場４"/>
    <n v="160000"/>
    <n v="10000"/>
    <n v="160000"/>
    <n v="160000"/>
    <n v="2"/>
    <x v="11"/>
    <n v="60"/>
    <n v="37"/>
    <x v="4"/>
    <s v="高田馬場駅"/>
    <n v="8"/>
    <n v="12.67"/>
    <n v="154556.70000000001"/>
    <n v="184333.33"/>
    <n v="261"/>
    <n v="18"/>
    <s v="60-70"/>
    <x v="4"/>
  </r>
  <r>
    <s v="https://suumo.jp/chintai/jnc_000104303531/?bc=100485224985"/>
    <s v="ＪＲ山手線 高田馬場駅 地下1地上4階建 築37年"/>
    <s v="東京都新宿区高田馬場４"/>
    <n v="160000"/>
    <n v="10000"/>
    <n v="160000"/>
    <n v="160000"/>
    <n v="2"/>
    <x v="11"/>
    <n v="60"/>
    <n v="37"/>
    <x v="7"/>
    <s v="高田馬場駅"/>
    <n v="8"/>
    <n v="12.67"/>
    <n v="154556.70000000001"/>
    <n v="184333.33"/>
    <n v="261"/>
    <n v="18"/>
    <s v="60-70"/>
    <x v="4"/>
  </r>
  <r>
    <s v="https://suumo.jp/chintai/jnc_000103416006/?bc=100480790588"/>
    <s v="高田馬場住宅"/>
    <s v="東京都新宿区下落合２"/>
    <n v="175000"/>
    <n v="10000"/>
    <n v="175000"/>
    <n v="175000"/>
    <n v="13"/>
    <x v="12"/>
    <n v="56.79"/>
    <n v="57"/>
    <x v="12"/>
    <s v="高田馬場駅"/>
    <n v="5"/>
    <n v="9.67"/>
    <n v="154556.70000000001"/>
    <n v="163600"/>
    <n v="261"/>
    <n v="5"/>
    <s v="50-60"/>
    <x v="5"/>
  </r>
  <r>
    <s v="https://suumo.jp/chintai/jnc_000103424093/?bc=100480329436"/>
    <s v="ＪＲ山手線 高田馬場駅 14階建 築57年"/>
    <s v="東京都新宿区下落合２"/>
    <n v="175000"/>
    <n v="10000"/>
    <n v="175000"/>
    <n v="175000"/>
    <n v="13"/>
    <x v="12"/>
    <n v="56.79"/>
    <n v="57"/>
    <x v="12"/>
    <s v="高田馬場駅"/>
    <n v="6"/>
    <n v="11"/>
    <n v="154556.70000000001"/>
    <n v="163600"/>
    <n v="261"/>
    <n v="5"/>
    <s v="50-60"/>
    <x v="5"/>
  </r>
  <r>
    <s v="https://suumo.jp/chintai/jnc_000104531817/?bc=100486323513"/>
    <s v="Kolet高田馬場"/>
    <s v="東京都新宿区高田馬場３"/>
    <n v="390000"/>
    <m/>
    <n v="390000"/>
    <n v="390000"/>
    <n v="1"/>
    <x v="13"/>
    <n v="75.959999999999994"/>
    <n v="4"/>
    <x v="2"/>
    <s v="高田馬場駅"/>
    <n v="9"/>
    <n v="13"/>
    <n v="154556.70000000001"/>
    <n v="288705.81"/>
    <n v="261"/>
    <n v="155"/>
    <s v="70-80"/>
    <x v="0"/>
  </r>
  <r>
    <s v="https://suumo.jp/chintai/jnc_000104531817/?bc=100486323513"/>
    <s v="Kolet高田馬場"/>
    <s v="東京都新宿区高田馬場３"/>
    <n v="390000"/>
    <m/>
    <n v="390000"/>
    <n v="390000"/>
    <n v="2"/>
    <x v="13"/>
    <n v="75.959999999999994"/>
    <n v="4"/>
    <x v="2"/>
    <s v="高田馬場駅"/>
    <n v="9"/>
    <n v="13"/>
    <n v="154556.70000000001"/>
    <n v="288705.81"/>
    <n v="261"/>
    <n v="155"/>
    <s v="70-80"/>
    <x v="0"/>
  </r>
  <r>
    <s v="https://suumo.jp/chintai/jnc_000104531817/?bc=100486323513"/>
    <s v="Kolet高田馬場"/>
    <s v="東京都新宿区高田馬場３"/>
    <n v="390000"/>
    <m/>
    <n v="390000"/>
    <n v="390000"/>
    <n v="3"/>
    <x v="13"/>
    <n v="75.959999999999994"/>
    <n v="4"/>
    <x v="2"/>
    <s v="高田馬場駅"/>
    <n v="9"/>
    <n v="13"/>
    <n v="154556.70000000001"/>
    <n v="288705.81"/>
    <n v="261"/>
    <n v="155"/>
    <s v="70-80"/>
    <x v="0"/>
  </r>
  <r>
    <s v="https://suumo.jp/chintai/jnc_000104442199/?bc=100479445922"/>
    <s v="パークシティ高田馬場"/>
    <s v="東京都新宿区高田馬場４"/>
    <n v="299000"/>
    <n v="29000"/>
    <n v="149500"/>
    <n v="299000"/>
    <n v="2"/>
    <x v="13"/>
    <n v="64.64"/>
    <n v="0"/>
    <x v="12"/>
    <s v="高田馬場駅"/>
    <n v="7"/>
    <n v="7.67"/>
    <n v="154556.70000000001"/>
    <n v="288705.81"/>
    <n v="261"/>
    <n v="155"/>
    <s v="60-70"/>
    <x v="6"/>
  </r>
  <r>
    <s v="https://suumo.jp/chintai/jnc_000104442197/?bc=100458003702"/>
    <s v="パークシティ高田馬場"/>
    <s v="東京都新宿区高田馬場４"/>
    <n v="290000"/>
    <n v="19000"/>
    <n v="145000"/>
    <n v="145000"/>
    <n v="2"/>
    <x v="13"/>
    <n v="64.64"/>
    <n v="0"/>
    <x v="12"/>
    <s v="高田馬場駅"/>
    <n v="7"/>
    <n v="7.67"/>
    <n v="154556.70000000001"/>
    <n v="288705.81"/>
    <n v="261"/>
    <n v="155"/>
    <s v="60-70"/>
    <x v="6"/>
  </r>
  <r>
    <s v="https://suumo.jp/chintai/jnc_000104442200/?bc=100479445923"/>
    <s v="パークシティ高田馬場"/>
    <s v="東京都新宿区高田馬場４"/>
    <n v="315000"/>
    <n v="29000"/>
    <n v="315000"/>
    <n v="346500"/>
    <n v="2"/>
    <x v="13"/>
    <n v="64.64"/>
    <n v="0"/>
    <x v="12"/>
    <s v="高田馬場駅"/>
    <n v="7"/>
    <n v="7.67"/>
    <n v="154556.70000000001"/>
    <n v="288705.81"/>
    <n v="261"/>
    <n v="155"/>
    <s v="60-70"/>
    <x v="6"/>
  </r>
  <r>
    <s v="https://suumo.jp/chintai/jnc_000103825112/?bc=100483345296"/>
    <s v="パークシティ高田馬場"/>
    <s v="東京都新宿区高田馬場４"/>
    <n v="380000"/>
    <n v="20000"/>
    <n v="380000"/>
    <n v="380000"/>
    <n v="6"/>
    <x v="13"/>
    <n v="70.03"/>
    <n v="0"/>
    <x v="12"/>
    <s v="高田馬場駅"/>
    <n v="7"/>
    <n v="7.67"/>
    <n v="154556.70000000001"/>
    <n v="288705.81"/>
    <n v="261"/>
    <n v="155"/>
    <s v="70-80"/>
    <x v="6"/>
  </r>
  <r>
    <s v="https://suumo.jp/chintai/jnc_000103825113/?bc=100475677791"/>
    <s v="パークシティ高田馬場"/>
    <s v="東京都新宿区高田馬場４"/>
    <n v="420000"/>
    <n v="30000"/>
    <n v="840000"/>
    <n v="420000"/>
    <n v="6"/>
    <x v="13"/>
    <n v="70.83"/>
    <n v="0"/>
    <x v="12"/>
    <s v="高田馬場駅"/>
    <n v="7"/>
    <n v="7.67"/>
    <n v="154556.70000000001"/>
    <n v="288705.81"/>
    <n v="261"/>
    <n v="155"/>
    <s v="70-80"/>
    <x v="6"/>
  </r>
  <r>
    <s v="https://suumo.jp/chintai/jnc_000104425526/?bc=100485536278"/>
    <s v="高田馬場住宅"/>
    <s v="東京都新宿区下落合２"/>
    <n v="170000"/>
    <n v="10000"/>
    <n v="170000"/>
    <n v="170000"/>
    <n v="5"/>
    <x v="13"/>
    <n v="64"/>
    <n v="57"/>
    <x v="12"/>
    <s v="高田馬場駅"/>
    <n v="5"/>
    <n v="9.67"/>
    <n v="154556.70000000001"/>
    <n v="288705.81"/>
    <n v="261"/>
    <n v="155"/>
    <s v="60-70"/>
    <x v="5"/>
  </r>
  <r>
    <s v="https://suumo.jp/chintai/jnc_000104125655/?bc=100483185506"/>
    <s v="ＪＲ山手線 高田馬場駅 7階建 築1年"/>
    <s v="東京都新宿区高田馬場４"/>
    <n v="380000"/>
    <n v="20000"/>
    <n v="380000"/>
    <n v="380000"/>
    <n v="6"/>
    <x v="13"/>
    <n v="70.03"/>
    <n v="1"/>
    <x v="10"/>
    <s v="高田馬場駅"/>
    <n v="7"/>
    <n v="8"/>
    <n v="154556.70000000001"/>
    <n v="288705.81"/>
    <n v="261"/>
    <n v="155"/>
    <s v="70-80"/>
    <x v="0"/>
  </r>
  <r>
    <s v="https://suumo.jp/chintai/jnc_000103825119/?bc=100481024223"/>
    <s v="ＪＲ山手線 高田馬場駅 7階建 築1年"/>
    <s v="東京都新宿区高田馬場４"/>
    <n v="460000"/>
    <n v="20000"/>
    <n v="920000"/>
    <n v="460000"/>
    <n v="6"/>
    <x v="13"/>
    <n v="70.83"/>
    <n v="1"/>
    <x v="10"/>
    <s v="高田馬場駅"/>
    <n v="7"/>
    <n v="8"/>
    <n v="154556.70000000001"/>
    <n v="288705.81"/>
    <n v="261"/>
    <n v="155"/>
    <s v="70-80"/>
    <x v="0"/>
  </r>
  <r>
    <s v="https://suumo.jp/chintai/jnc_000103833400/?bc=100473644465"/>
    <s v="Ｊｏ’ｓ　Ｒｅｓｉｄｅｎｃｅ　高田馬場"/>
    <s v="東京都新宿区高田馬場１"/>
    <n v="283000"/>
    <n v="14000"/>
    <n v="283000"/>
    <n v="283000"/>
    <n v="1"/>
    <x v="13"/>
    <n v="62.32"/>
    <n v="2"/>
    <x v="4"/>
    <s v="高田馬場駅"/>
    <n v="4"/>
    <n v="11"/>
    <n v="154556.70000000001"/>
    <n v="288705.81"/>
    <n v="261"/>
    <n v="155"/>
    <s v="60-70"/>
    <x v="0"/>
  </r>
  <r>
    <s v="https://suumo.jp/chintai/jnc_000103833401/?bc=100473694007"/>
    <s v="Ｊｏ’ｓ　Ｒｅｓｉｄｅｎｃｅ　高田馬場"/>
    <s v="東京都新宿区高田馬場１"/>
    <n v="339300"/>
    <n v="14000"/>
    <n v="339300"/>
    <n v="339300"/>
    <n v="2"/>
    <x v="13"/>
    <n v="65.239999999999995"/>
    <n v="2"/>
    <x v="4"/>
    <s v="高田馬場駅"/>
    <n v="4"/>
    <n v="11"/>
    <n v="154556.70000000001"/>
    <n v="288705.81"/>
    <n v="261"/>
    <n v="155"/>
    <s v="60-70"/>
    <x v="0"/>
  </r>
  <r>
    <s v="https://suumo.jp/chintai/jnc_000101737526/?bc=100471404734"/>
    <s v="下落合戸建"/>
    <s v="東京都新宿区下落合２"/>
    <n v="270000"/>
    <n v="5000"/>
    <n v="270000"/>
    <m/>
    <n v="1"/>
    <x v="17"/>
    <n v="120"/>
    <n v="45"/>
    <x v="0"/>
    <s v="高田馬場駅"/>
    <n v="7"/>
    <n v="9.67"/>
    <n v="154556.70000000001"/>
    <n v="384285.71"/>
    <n v="261"/>
    <n v="7"/>
    <s v="100+"/>
    <x v="3"/>
  </r>
  <r>
    <s v="https://suumo.jp/chintai/jnc_000102783380/?bc=100463911383"/>
    <s v="千成ビル"/>
    <s v="東京都新宿区下落合２"/>
    <n v="250000"/>
    <m/>
    <n v="250000"/>
    <m/>
    <n v="5"/>
    <x v="15"/>
    <n v="72.09"/>
    <n v="51"/>
    <x v="10"/>
    <s v="高田馬場駅"/>
    <n v="6"/>
    <n v="9.67"/>
    <n v="154556.70000000001"/>
    <n v="388200"/>
    <n v="261"/>
    <n v="20"/>
    <s v="70-80"/>
    <x v="5"/>
  </r>
  <r>
    <s v="https://suumo.jp/chintai/jnc_000101433619/?bc=100459404301"/>
    <s v="千成ビル"/>
    <s v="東京都新宿区下落合２"/>
    <n v="260000"/>
    <m/>
    <n v="260000"/>
    <m/>
    <n v="5"/>
    <x v="15"/>
    <n v="72.09"/>
    <n v="51"/>
    <x v="10"/>
    <s v="高田馬場駅"/>
    <n v="6"/>
    <n v="9.67"/>
    <n v="154556.70000000001"/>
    <n v="388200"/>
    <n v="261"/>
    <n v="20"/>
    <s v="70-80"/>
    <x v="5"/>
  </r>
  <r>
    <s v="https://suumo.jp/chintai/jnc_000103618818/?bc=100464340465"/>
    <s v="ＪＲ山手線 高田馬場駅 6階建 築51年"/>
    <s v="東京都新宿区下落合２"/>
    <n v="240000"/>
    <m/>
    <n v="240000"/>
    <m/>
    <n v="5"/>
    <x v="15"/>
    <n v="72.09"/>
    <n v="51"/>
    <x v="5"/>
    <s v="高田馬場駅"/>
    <n v="6"/>
    <n v="10.67"/>
    <n v="154556.70000000001"/>
    <n v="388200"/>
    <n v="261"/>
    <n v="20"/>
    <s v="70-80"/>
    <x v="5"/>
  </r>
  <r>
    <s v="https://suumo.jp/chintai/jnc_000102443278/?bc=100469278710"/>
    <s v="ＪＲ山手線 高田馬場駅 6階建 築51年"/>
    <s v="東京都新宿区下落合２"/>
    <n v="250000"/>
    <m/>
    <n v="250000"/>
    <m/>
    <n v="5"/>
    <x v="15"/>
    <n v="72.09"/>
    <n v="51"/>
    <x v="5"/>
    <s v="高田馬場駅"/>
    <n v="6"/>
    <n v="10.67"/>
    <n v="154556.70000000001"/>
    <n v="388200"/>
    <n v="261"/>
    <n v="20"/>
    <s v="70-8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8277CA-0138-4560-8180-127A92403375}" name="PivotTable3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V4:W13" firstHeaderRow="1" firstDataRow="1" firstDataCol="1"/>
  <pivotFields count="21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6"/>
        <item x="0"/>
        <item x="7"/>
        <item x="1"/>
        <item x="4"/>
        <item x="3"/>
        <item x="5"/>
        <item x="2"/>
        <item t="default"/>
      </items>
    </pivotField>
  </pivotFields>
  <rowFields count="1">
    <field x="2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rent (¥)" fld="3" subtotal="average" baseField="0" baseItem="0"/>
  </dataFields>
  <chartFormats count="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DB4D15-5587-446F-AB4F-6906DAC30E4B}" name="PivotTable2" cacheId="1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J4:K29" firstHeaderRow="1" firstDataRow="1" firstDataCol="1"/>
  <pivotFields count="21"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building_size (floors)" axis="axisRow" compact="0" outline="0" showAll="0">
      <items count="25">
        <item x="16"/>
        <item x="0"/>
        <item x="2"/>
        <item x="4"/>
        <item x="7"/>
        <item x="5"/>
        <item x="10"/>
        <item x="9"/>
        <item x="6"/>
        <item x="1"/>
        <item x="8"/>
        <item x="3"/>
        <item x="13"/>
        <item x="12"/>
        <item x="11"/>
        <item x="18"/>
        <item x="23"/>
        <item x="15"/>
        <item x="22"/>
        <item x="21"/>
        <item x="20"/>
        <item x="14"/>
        <item x="17"/>
        <item x="1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rent (¥)" fld="3" subtotal="average" baseField="0" baseItem="0"/>
  </dataFields>
  <chartFormats count="5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64ADC5-31CC-4EC2-8D68-48B9CCF4A83A}" name="listings" displayName="listings" ref="A1:U4772" totalsRowShown="0">
  <autoFilter ref="A1:U4772" xr:uid="{EF64ADC5-31CC-4EC2-8D68-48B9CCF4A83A}"/>
  <tableColumns count="21">
    <tableColumn id="1" xr3:uid="{63A6AAE5-7C58-47F4-85E0-5274862A60B7}" name="url"/>
    <tableColumn id="2" xr3:uid="{F20C429B-7C8F-40BB-BBD9-96D8BCCA346D}" name="title"/>
    <tableColumn id="3" xr3:uid="{2A3B2BDB-537F-4049-9F68-6BB99A893CC4}" name="address"/>
    <tableColumn id="4" xr3:uid="{512FF6AC-2EC1-45F2-A35A-FCCA12EF9F72}" name="rent (¥)"/>
    <tableColumn id="5" xr3:uid="{397DE75B-D353-41BD-A333-E30C25D2223F}" name="management_fee (¥)"/>
    <tableColumn id="6" xr3:uid="{1B0A6C2D-6239-4C6C-A78C-CD8835C89BF6}" name="deposit (¥)"/>
    <tableColumn id="7" xr3:uid="{0A390556-2177-4294-BAEF-930926E0DA26}" name="key_money (¥)"/>
    <tableColumn id="8" xr3:uid="{43F8EA56-B632-425E-AC43-286DC926FF46}" name="floor"/>
    <tableColumn id="9" xr3:uid="{40565167-658D-4FE6-886B-58BFF7ED96FE}" name="floor_plan"/>
    <tableColumn id="10" xr3:uid="{5E2466D8-6284-4E8B-88E6-3EBF06C7114E}" name="area ( m²)"/>
    <tableColumn id="11" xr3:uid="{947F135C-33AA-4D35-9DD7-DE3D5C7C2AB5}" name="building_age (years)"/>
    <tableColumn id="12" xr3:uid="{ABB67213-4372-45B6-93B2-0144A20A1429}" name="building_size (floors)"/>
    <tableColumn id="13" xr3:uid="{6989E092-06FF-49E0-BBE3-3A224BABF05E}" name="nearest_station"/>
    <tableColumn id="14" xr3:uid="{35256166-DA44-41B3-9BDD-596DED64F384}" name="distance_to_nearest_station (min)"/>
    <tableColumn id="15" xr3:uid="{97AB1424-97A3-466A-BAC0-615D68F2207C}" name="avg_distance_to_stations (min)"/>
    <tableColumn id="16" xr3:uid="{146EFA69-B5DF-4728-AE94-B363B0D74B01}" name="avg_rent_by_station (¥)"/>
    <tableColumn id="17" xr3:uid="{58994D25-F01A-4126-878C-AAC6CDFAA7FF}" name="avg_rent_by_floor_plan (¥)"/>
    <tableColumn id="18" xr3:uid="{C11BC876-3B82-4A49-95FD-53AA0BD14C47}" name="count_listings_per_station"/>
    <tableColumn id="19" xr3:uid="{2AC09B73-CA51-46F4-902A-95945D9ACA13}" name="count_listings_per_floor_plan"/>
    <tableColumn id="22" xr3:uid="{AC843193-9B84-4C5E-A318-E70ECF18B5BE}" name="area range ( m²)"/>
    <tableColumn id="20" xr3:uid="{90021BE7-3CCE-413F-9972-58C0DEFAE79B}" name="age range (years)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406D2B-7578-4ED8-9D69-0BCC6BE27CFF}" name="Table1" displayName="Table1" ref="A1:E25" totalsRowShown="0" headerRowDxfId="6" dataDxfId="5">
  <autoFilter ref="A1:E25" xr:uid="{8E406D2B-7578-4ED8-9D69-0BCC6BE27CFF}"/>
  <tableColumns count="5">
    <tableColumn id="1" xr3:uid="{2B0C64C6-CF42-4DE4-8371-6E5D62B4FED0}" name="feature" dataDxfId="4"/>
    <tableColumn id="2" xr3:uid="{2A1B365E-F72E-4756-A98F-D0182B57267B}" name="scaled_coefficient" dataDxfId="3"/>
    <tableColumn id="3" xr3:uid="{BD5AA8EF-44CA-4B74-B4B4-0AA22DA4E529}" name="scaled_feature_std" dataDxfId="2"/>
    <tableColumn id="4" xr3:uid="{90231E0A-EC27-4A60-BFFD-E24C00F933EA}" name="coefficient " dataDxfId="1">
      <calculatedColumnFormula>Table1[[#This Row],[scaled_coefficient]]/Table1[[#This Row],[scaled_feature_std]]</calculatedColumnFormula>
    </tableColumn>
    <tableColumn id="5" xr3:uid="{93E0986E-E6F6-44BC-B20E-ED061E19DF4F}" name="reference_category" dataDxfId="0">
      <calculatedColumnFormula>NA()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umo.jp/chintai/jnc_000090251430/?bc=100482511199" TargetMode="External"/><Relationship Id="rId2" Type="http://schemas.openxmlformats.org/officeDocument/2006/relationships/hyperlink" Target="https://suumo.jp/chintai/jnc_000104229988/?bc=100484117051" TargetMode="External"/><Relationship Id="rId1" Type="http://schemas.openxmlformats.org/officeDocument/2006/relationships/hyperlink" Target="https://suumo.jp/chintai/jnc_000082648797/?bc=100472480181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suumo.jp/chintai/jnc_000104426244/?bc=10048613358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518D9-93D2-40B8-9E1D-1627BB363C1F}">
  <dimension ref="A1:U4772"/>
  <sheetViews>
    <sheetView tabSelected="1" workbookViewId="0">
      <selection activeCell="I1" sqref="I1"/>
    </sheetView>
  </sheetViews>
  <sheetFormatPr defaultRowHeight="15"/>
  <cols>
    <col min="1" max="1" width="59.85546875" bestFit="1" customWidth="1"/>
    <col min="2" max="2" width="58.5703125" bestFit="1" customWidth="1"/>
    <col min="3" max="3" width="28.85546875" bestFit="1" customWidth="1"/>
    <col min="4" max="4" width="14.42578125" customWidth="1"/>
    <col min="5" max="5" width="22.42578125" customWidth="1"/>
    <col min="6" max="6" width="14.28515625" customWidth="1"/>
    <col min="7" max="7" width="18.42578125" customWidth="1"/>
    <col min="9" max="9" width="12.7109375" bestFit="1" customWidth="1"/>
    <col min="10" max="10" width="15.7109375" customWidth="1"/>
    <col min="11" max="11" width="22.7109375" customWidth="1"/>
    <col min="12" max="12" width="22.140625" customWidth="1"/>
    <col min="13" max="13" width="36.5703125" bestFit="1" customWidth="1"/>
    <col min="14" max="14" width="37.140625" customWidth="1"/>
    <col min="15" max="15" width="36.140625" customWidth="1"/>
    <col min="16" max="16" width="29.7109375" customWidth="1"/>
    <col min="17" max="17" width="30.85546875" customWidth="1"/>
    <col min="18" max="18" width="27.5703125" bestFit="1" customWidth="1"/>
    <col min="19" max="19" width="30.7109375" bestFit="1" customWidth="1"/>
    <col min="20" max="20" width="18.42578125" customWidth="1"/>
    <col min="21" max="21" width="18.28515625" customWidth="1"/>
    <col min="22" max="22" width="12.5703125" customWidth="1"/>
    <col min="23" max="23" width="12" customWidth="1"/>
    <col min="24" max="25" width="12.5703125" customWidth="1"/>
    <col min="26" max="26" width="16.5703125" customWidth="1"/>
    <col min="27" max="36" width="12.5703125" customWidth="1"/>
    <col min="37" max="37" width="14" customWidth="1"/>
    <col min="38" max="38" width="12.5703125" customWidth="1"/>
    <col min="39" max="39" width="10" customWidth="1"/>
    <col min="40" max="40" width="10.42578125" customWidth="1"/>
    <col min="41" max="41" width="9.7109375" customWidth="1"/>
    <col min="42" max="42" width="12.5703125" customWidth="1"/>
    <col min="43" max="43" width="9.85546875" customWidth="1"/>
    <col min="44" max="44" width="9.28515625" customWidth="1"/>
    <col min="45" max="45" width="8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110000</v>
      </c>
      <c r="E2">
        <v>6000</v>
      </c>
      <c r="F2">
        <v>110000</v>
      </c>
      <c r="G2">
        <v>110000</v>
      </c>
      <c r="H2">
        <v>1</v>
      </c>
      <c r="I2" t="s">
        <v>24</v>
      </c>
      <c r="J2">
        <v>36.18</v>
      </c>
      <c r="K2">
        <v>24</v>
      </c>
      <c r="L2">
        <v>2</v>
      </c>
      <c r="M2" t="s">
        <v>25</v>
      </c>
      <c r="N2">
        <v>1</v>
      </c>
      <c r="O2">
        <v>7.67</v>
      </c>
      <c r="P2">
        <v>136411.03</v>
      </c>
      <c r="Q2">
        <v>123325.96</v>
      </c>
      <c r="R2">
        <v>390</v>
      </c>
      <c r="S2">
        <v>339</v>
      </c>
      <c r="T2" t="s">
        <v>26</v>
      </c>
      <c r="U2" t="s">
        <v>27</v>
      </c>
    </row>
    <row r="3" spans="1:21">
      <c r="A3" t="s">
        <v>28</v>
      </c>
      <c r="B3" t="s">
        <v>29</v>
      </c>
      <c r="C3" t="s">
        <v>30</v>
      </c>
      <c r="D3">
        <v>153000</v>
      </c>
      <c r="E3">
        <v>8000</v>
      </c>
      <c r="F3">
        <v>153000</v>
      </c>
      <c r="G3">
        <v>153000</v>
      </c>
      <c r="H3">
        <v>4</v>
      </c>
      <c r="I3" t="s">
        <v>24</v>
      </c>
      <c r="J3">
        <v>30.56</v>
      </c>
      <c r="K3">
        <v>5</v>
      </c>
      <c r="L3">
        <v>10</v>
      </c>
      <c r="M3" t="s">
        <v>25</v>
      </c>
      <c r="N3">
        <v>5</v>
      </c>
      <c r="O3">
        <v>10.67</v>
      </c>
      <c r="P3">
        <v>136411.03</v>
      </c>
      <c r="Q3">
        <v>123325.96</v>
      </c>
      <c r="R3">
        <v>390</v>
      </c>
      <c r="S3">
        <v>339</v>
      </c>
      <c r="T3" t="s">
        <v>26</v>
      </c>
      <c r="U3" t="s">
        <v>31</v>
      </c>
    </row>
    <row r="4" spans="1:21">
      <c r="A4" t="s">
        <v>32</v>
      </c>
      <c r="B4" t="s">
        <v>29</v>
      </c>
      <c r="C4" t="s">
        <v>30</v>
      </c>
      <c r="D4">
        <v>130000</v>
      </c>
      <c r="E4">
        <v>8000</v>
      </c>
      <c r="F4">
        <v>130000</v>
      </c>
      <c r="G4">
        <v>130000</v>
      </c>
      <c r="H4">
        <v>5</v>
      </c>
      <c r="I4" t="s">
        <v>24</v>
      </c>
      <c r="J4">
        <v>30.69</v>
      </c>
      <c r="K4">
        <v>5</v>
      </c>
      <c r="L4">
        <v>10</v>
      </c>
      <c r="M4" t="s">
        <v>25</v>
      </c>
      <c r="N4">
        <v>5</v>
      </c>
      <c r="O4">
        <v>10.67</v>
      </c>
      <c r="P4">
        <v>136411.03</v>
      </c>
      <c r="Q4">
        <v>123325.96</v>
      </c>
      <c r="R4">
        <v>390</v>
      </c>
      <c r="S4">
        <v>339</v>
      </c>
      <c r="T4" t="s">
        <v>26</v>
      </c>
      <c r="U4" t="s">
        <v>31</v>
      </c>
    </row>
    <row r="5" spans="1:21">
      <c r="A5" t="s">
        <v>33</v>
      </c>
      <c r="B5" t="s">
        <v>29</v>
      </c>
      <c r="C5" t="s">
        <v>30</v>
      </c>
      <c r="D5">
        <v>133000</v>
      </c>
      <c r="E5">
        <v>7000</v>
      </c>
      <c r="F5">
        <v>133000</v>
      </c>
      <c r="G5">
        <v>133000</v>
      </c>
      <c r="H5">
        <v>8</v>
      </c>
      <c r="I5" t="s">
        <v>24</v>
      </c>
      <c r="J5">
        <v>29.37</v>
      </c>
      <c r="K5">
        <v>5</v>
      </c>
      <c r="L5">
        <v>10</v>
      </c>
      <c r="M5" t="s">
        <v>25</v>
      </c>
      <c r="N5">
        <v>5</v>
      </c>
      <c r="O5">
        <v>10.67</v>
      </c>
      <c r="P5">
        <v>136411.03</v>
      </c>
      <c r="Q5">
        <v>123325.96</v>
      </c>
      <c r="R5">
        <v>390</v>
      </c>
      <c r="S5">
        <v>339</v>
      </c>
      <c r="T5" t="s">
        <v>34</v>
      </c>
      <c r="U5" t="s">
        <v>31</v>
      </c>
    </row>
    <row r="6" spans="1:21">
      <c r="A6" t="s">
        <v>35</v>
      </c>
      <c r="B6" t="s">
        <v>36</v>
      </c>
      <c r="C6" t="s">
        <v>37</v>
      </c>
      <c r="D6">
        <v>73000</v>
      </c>
      <c r="F6">
        <v>73000</v>
      </c>
      <c r="H6">
        <v>2</v>
      </c>
      <c r="I6" t="s">
        <v>24</v>
      </c>
      <c r="J6">
        <v>27.2</v>
      </c>
      <c r="K6">
        <v>67</v>
      </c>
      <c r="L6">
        <v>2</v>
      </c>
      <c r="M6" t="s">
        <v>25</v>
      </c>
      <c r="N6">
        <v>8</v>
      </c>
      <c r="O6">
        <v>10</v>
      </c>
      <c r="P6">
        <v>136411.03</v>
      </c>
      <c r="Q6">
        <v>123325.96</v>
      </c>
      <c r="R6">
        <v>390</v>
      </c>
      <c r="S6">
        <v>339</v>
      </c>
      <c r="T6" t="s">
        <v>34</v>
      </c>
      <c r="U6" t="s">
        <v>38</v>
      </c>
    </row>
    <row r="7" spans="1:21">
      <c r="A7" t="s">
        <v>39</v>
      </c>
      <c r="B7" t="s">
        <v>40</v>
      </c>
      <c r="C7" t="s">
        <v>41</v>
      </c>
      <c r="D7">
        <v>95000</v>
      </c>
      <c r="E7">
        <v>3000</v>
      </c>
      <c r="F7">
        <v>95000</v>
      </c>
      <c r="G7">
        <v>95000</v>
      </c>
      <c r="H7">
        <v>3</v>
      </c>
      <c r="I7" t="s">
        <v>24</v>
      </c>
      <c r="J7">
        <v>32.700000000000003</v>
      </c>
      <c r="K7">
        <v>42</v>
      </c>
      <c r="L7">
        <v>3</v>
      </c>
      <c r="M7" t="s">
        <v>25</v>
      </c>
      <c r="N7">
        <v>3</v>
      </c>
      <c r="O7">
        <v>10</v>
      </c>
      <c r="P7">
        <v>136411.03</v>
      </c>
      <c r="Q7">
        <v>123325.96</v>
      </c>
      <c r="R7">
        <v>390</v>
      </c>
      <c r="S7">
        <v>339</v>
      </c>
      <c r="T7" t="s">
        <v>26</v>
      </c>
      <c r="U7" t="s">
        <v>42</v>
      </c>
    </row>
    <row r="8" spans="1:21">
      <c r="A8" t="s">
        <v>43</v>
      </c>
      <c r="B8" t="s">
        <v>44</v>
      </c>
      <c r="C8" t="s">
        <v>45</v>
      </c>
      <c r="D8">
        <v>145000</v>
      </c>
      <c r="E8">
        <v>5000</v>
      </c>
      <c r="F8">
        <v>145000</v>
      </c>
      <c r="G8">
        <v>145000</v>
      </c>
      <c r="H8">
        <v>12</v>
      </c>
      <c r="I8" t="s">
        <v>24</v>
      </c>
      <c r="J8">
        <v>35</v>
      </c>
      <c r="K8">
        <v>24</v>
      </c>
      <c r="L8">
        <v>12</v>
      </c>
      <c r="M8" t="s">
        <v>25</v>
      </c>
      <c r="N8">
        <v>7</v>
      </c>
      <c r="O8">
        <v>8</v>
      </c>
      <c r="P8">
        <v>136411.03</v>
      </c>
      <c r="Q8">
        <v>123325.96</v>
      </c>
      <c r="R8">
        <v>390</v>
      </c>
      <c r="S8">
        <v>339</v>
      </c>
      <c r="T8" t="s">
        <v>26</v>
      </c>
      <c r="U8" t="s">
        <v>27</v>
      </c>
    </row>
    <row r="9" spans="1:21">
      <c r="A9" t="s">
        <v>46</v>
      </c>
      <c r="B9" t="s">
        <v>47</v>
      </c>
      <c r="C9" t="s">
        <v>48</v>
      </c>
      <c r="D9">
        <v>100000</v>
      </c>
      <c r="E9">
        <v>12000</v>
      </c>
      <c r="F9">
        <v>100000</v>
      </c>
      <c r="G9">
        <v>100000</v>
      </c>
      <c r="H9">
        <v>2</v>
      </c>
      <c r="I9" t="s">
        <v>24</v>
      </c>
      <c r="J9">
        <v>30.24</v>
      </c>
      <c r="K9">
        <v>38</v>
      </c>
      <c r="L9">
        <v>4</v>
      </c>
      <c r="M9" t="s">
        <v>25</v>
      </c>
      <c r="N9">
        <v>3</v>
      </c>
      <c r="O9">
        <v>8.33</v>
      </c>
      <c r="P9">
        <v>136411.03</v>
      </c>
      <c r="Q9">
        <v>123325.96</v>
      </c>
      <c r="R9">
        <v>390</v>
      </c>
      <c r="S9">
        <v>339</v>
      </c>
      <c r="T9" t="s">
        <v>26</v>
      </c>
      <c r="U9" t="s">
        <v>49</v>
      </c>
    </row>
    <row r="10" spans="1:21">
      <c r="A10" t="s">
        <v>50</v>
      </c>
      <c r="B10" t="s">
        <v>51</v>
      </c>
      <c r="C10" t="s">
        <v>37</v>
      </c>
      <c r="D10">
        <v>108000</v>
      </c>
      <c r="E10">
        <v>10000</v>
      </c>
      <c r="G10">
        <v>108000</v>
      </c>
      <c r="H10">
        <v>3</v>
      </c>
      <c r="I10" t="s">
        <v>24</v>
      </c>
      <c r="J10">
        <v>29.98</v>
      </c>
      <c r="K10">
        <v>28</v>
      </c>
      <c r="L10">
        <v>4</v>
      </c>
      <c r="M10" t="s">
        <v>25</v>
      </c>
      <c r="N10">
        <v>5</v>
      </c>
      <c r="O10">
        <v>10.67</v>
      </c>
      <c r="P10">
        <v>136411.03</v>
      </c>
      <c r="Q10">
        <v>123325.96</v>
      </c>
      <c r="R10">
        <v>390</v>
      </c>
      <c r="S10">
        <v>339</v>
      </c>
      <c r="T10" t="s">
        <v>34</v>
      </c>
      <c r="U10" t="s">
        <v>27</v>
      </c>
    </row>
    <row r="11" spans="1:21">
      <c r="A11" t="s">
        <v>52</v>
      </c>
      <c r="B11" t="s">
        <v>53</v>
      </c>
      <c r="C11" t="s">
        <v>54</v>
      </c>
      <c r="D11">
        <v>103000</v>
      </c>
      <c r="E11">
        <v>4000</v>
      </c>
      <c r="F11">
        <v>103000</v>
      </c>
      <c r="G11">
        <v>103000</v>
      </c>
      <c r="H11">
        <v>3</v>
      </c>
      <c r="I11" t="s">
        <v>24</v>
      </c>
      <c r="J11">
        <v>25.98</v>
      </c>
      <c r="K11">
        <v>6</v>
      </c>
      <c r="L11">
        <v>3</v>
      </c>
      <c r="M11" t="s">
        <v>25</v>
      </c>
      <c r="N11">
        <v>6</v>
      </c>
      <c r="O11">
        <v>12</v>
      </c>
      <c r="P11">
        <v>136411.03</v>
      </c>
      <c r="Q11">
        <v>123325.96</v>
      </c>
      <c r="R11">
        <v>390</v>
      </c>
      <c r="S11">
        <v>339</v>
      </c>
      <c r="T11" t="s">
        <v>34</v>
      </c>
      <c r="U11" t="s">
        <v>31</v>
      </c>
    </row>
    <row r="12" spans="1:21">
      <c r="A12" t="s">
        <v>55</v>
      </c>
      <c r="B12" t="s">
        <v>56</v>
      </c>
      <c r="C12" t="s">
        <v>48</v>
      </c>
      <c r="D12">
        <v>63000</v>
      </c>
      <c r="F12">
        <v>63000</v>
      </c>
      <c r="G12">
        <v>63000</v>
      </c>
      <c r="H12">
        <v>1</v>
      </c>
      <c r="I12" t="s">
        <v>24</v>
      </c>
      <c r="J12">
        <v>22</v>
      </c>
      <c r="K12">
        <v>52</v>
      </c>
      <c r="L12">
        <v>2</v>
      </c>
      <c r="M12" t="s">
        <v>25</v>
      </c>
      <c r="N12">
        <v>7</v>
      </c>
      <c r="O12">
        <v>11</v>
      </c>
      <c r="P12">
        <v>136411.03</v>
      </c>
      <c r="Q12">
        <v>123325.96</v>
      </c>
      <c r="R12">
        <v>390</v>
      </c>
      <c r="S12">
        <v>339</v>
      </c>
      <c r="T12" t="s">
        <v>34</v>
      </c>
      <c r="U12" t="s">
        <v>57</v>
      </c>
    </row>
    <row r="13" spans="1:21">
      <c r="A13" t="s">
        <v>58</v>
      </c>
      <c r="B13" t="s">
        <v>59</v>
      </c>
      <c r="C13" t="s">
        <v>30</v>
      </c>
      <c r="D13">
        <v>65000</v>
      </c>
      <c r="E13">
        <v>3000</v>
      </c>
      <c r="F13">
        <v>65000</v>
      </c>
      <c r="G13">
        <v>65000</v>
      </c>
      <c r="H13">
        <v>6</v>
      </c>
      <c r="I13" t="s">
        <v>24</v>
      </c>
      <c r="J13">
        <v>25</v>
      </c>
      <c r="K13">
        <v>48</v>
      </c>
      <c r="L13">
        <v>6</v>
      </c>
      <c r="M13" t="s">
        <v>25</v>
      </c>
      <c r="N13">
        <v>4</v>
      </c>
      <c r="O13">
        <v>6</v>
      </c>
      <c r="P13">
        <v>136411.03</v>
      </c>
      <c r="Q13">
        <v>123325.96</v>
      </c>
      <c r="R13">
        <v>390</v>
      </c>
      <c r="S13">
        <v>339</v>
      </c>
      <c r="T13" t="s">
        <v>34</v>
      </c>
      <c r="U13" t="s">
        <v>42</v>
      </c>
    </row>
    <row r="14" spans="1:21">
      <c r="A14" t="s">
        <v>60</v>
      </c>
      <c r="B14" t="s">
        <v>61</v>
      </c>
      <c r="C14" t="s">
        <v>37</v>
      </c>
      <c r="D14">
        <v>160000</v>
      </c>
      <c r="E14">
        <v>15000</v>
      </c>
      <c r="H14">
        <v>1</v>
      </c>
      <c r="I14" t="s">
        <v>24</v>
      </c>
      <c r="J14">
        <v>33.450000000000003</v>
      </c>
      <c r="K14">
        <v>2</v>
      </c>
      <c r="L14">
        <v>2</v>
      </c>
      <c r="M14" t="s">
        <v>25</v>
      </c>
      <c r="N14">
        <v>4</v>
      </c>
      <c r="O14">
        <v>10.67</v>
      </c>
      <c r="P14">
        <v>136411.03</v>
      </c>
      <c r="Q14">
        <v>123325.96</v>
      </c>
      <c r="R14">
        <v>390</v>
      </c>
      <c r="S14">
        <v>339</v>
      </c>
      <c r="T14" t="s">
        <v>26</v>
      </c>
      <c r="U14" t="s">
        <v>31</v>
      </c>
    </row>
    <row r="15" spans="1:21">
      <c r="A15" t="s">
        <v>62</v>
      </c>
      <c r="B15" t="s">
        <v>63</v>
      </c>
      <c r="C15" t="s">
        <v>37</v>
      </c>
      <c r="D15">
        <v>108000</v>
      </c>
      <c r="E15">
        <v>10000</v>
      </c>
      <c r="G15">
        <v>108000</v>
      </c>
      <c r="H15">
        <v>3</v>
      </c>
      <c r="I15" t="s">
        <v>24</v>
      </c>
      <c r="J15">
        <v>29.98</v>
      </c>
      <c r="K15">
        <v>28</v>
      </c>
      <c r="L15">
        <v>3</v>
      </c>
      <c r="M15" t="s">
        <v>25</v>
      </c>
      <c r="N15">
        <v>5</v>
      </c>
      <c r="O15">
        <v>14.33</v>
      </c>
      <c r="P15">
        <v>136411.03</v>
      </c>
      <c r="Q15">
        <v>123325.96</v>
      </c>
      <c r="R15">
        <v>390</v>
      </c>
      <c r="S15">
        <v>339</v>
      </c>
      <c r="T15" t="s">
        <v>34</v>
      </c>
      <c r="U15" t="s">
        <v>27</v>
      </c>
    </row>
    <row r="16" spans="1:21">
      <c r="A16" t="s">
        <v>64</v>
      </c>
      <c r="B16" t="s">
        <v>65</v>
      </c>
      <c r="C16" t="s">
        <v>54</v>
      </c>
      <c r="D16">
        <v>128000</v>
      </c>
      <c r="E16">
        <v>20000</v>
      </c>
      <c r="H16">
        <v>1</v>
      </c>
      <c r="I16" t="s">
        <v>24</v>
      </c>
      <c r="J16">
        <v>24.05</v>
      </c>
      <c r="K16">
        <v>4</v>
      </c>
      <c r="L16">
        <v>3</v>
      </c>
      <c r="M16" t="s">
        <v>25</v>
      </c>
      <c r="N16">
        <v>7</v>
      </c>
      <c r="O16">
        <v>10.67</v>
      </c>
      <c r="P16">
        <v>136411.03</v>
      </c>
      <c r="Q16">
        <v>123325.96</v>
      </c>
      <c r="R16">
        <v>390</v>
      </c>
      <c r="S16">
        <v>339</v>
      </c>
      <c r="T16" t="s">
        <v>34</v>
      </c>
      <c r="U16" t="s">
        <v>31</v>
      </c>
    </row>
    <row r="17" spans="1:21">
      <c r="A17" t="s">
        <v>66</v>
      </c>
      <c r="B17" t="s">
        <v>67</v>
      </c>
      <c r="C17" t="s">
        <v>30</v>
      </c>
      <c r="D17">
        <v>74000</v>
      </c>
      <c r="E17">
        <v>3000</v>
      </c>
      <c r="F17">
        <v>74000</v>
      </c>
      <c r="H17">
        <v>1</v>
      </c>
      <c r="I17" t="s">
        <v>24</v>
      </c>
      <c r="J17">
        <v>28.17</v>
      </c>
      <c r="K17">
        <v>39</v>
      </c>
      <c r="L17">
        <v>4</v>
      </c>
      <c r="M17" t="s">
        <v>25</v>
      </c>
      <c r="N17">
        <v>3</v>
      </c>
      <c r="O17">
        <v>9</v>
      </c>
      <c r="P17">
        <v>136411.03</v>
      </c>
      <c r="Q17">
        <v>123325.96</v>
      </c>
      <c r="R17">
        <v>390</v>
      </c>
      <c r="S17">
        <v>339</v>
      </c>
      <c r="T17" t="s">
        <v>34</v>
      </c>
      <c r="U17" t="s">
        <v>49</v>
      </c>
    </row>
    <row r="18" spans="1:21">
      <c r="A18" t="s">
        <v>68</v>
      </c>
      <c r="B18" t="s">
        <v>69</v>
      </c>
      <c r="C18" t="s">
        <v>48</v>
      </c>
      <c r="D18">
        <v>99000</v>
      </c>
      <c r="E18">
        <v>5000</v>
      </c>
      <c r="F18">
        <v>99000</v>
      </c>
      <c r="G18">
        <v>99000</v>
      </c>
      <c r="H18">
        <v>8</v>
      </c>
      <c r="I18" t="s">
        <v>24</v>
      </c>
      <c r="J18">
        <v>28.55</v>
      </c>
      <c r="K18">
        <v>29</v>
      </c>
      <c r="L18">
        <v>9</v>
      </c>
      <c r="M18" t="s">
        <v>25</v>
      </c>
      <c r="N18">
        <v>9</v>
      </c>
      <c r="O18">
        <v>11.33</v>
      </c>
      <c r="P18">
        <v>136411.03</v>
      </c>
      <c r="Q18">
        <v>123325.96</v>
      </c>
      <c r="R18">
        <v>390</v>
      </c>
      <c r="S18">
        <v>339</v>
      </c>
      <c r="T18" t="s">
        <v>34</v>
      </c>
      <c r="U18" t="s">
        <v>27</v>
      </c>
    </row>
    <row r="19" spans="1:21">
      <c r="A19" t="s">
        <v>70</v>
      </c>
      <c r="B19" t="s">
        <v>69</v>
      </c>
      <c r="C19" t="s">
        <v>48</v>
      </c>
      <c r="D19">
        <v>89000</v>
      </c>
      <c r="E19">
        <v>5000</v>
      </c>
      <c r="F19">
        <v>89000</v>
      </c>
      <c r="G19">
        <v>89000</v>
      </c>
      <c r="H19">
        <v>9</v>
      </c>
      <c r="I19" t="s">
        <v>24</v>
      </c>
      <c r="J19">
        <v>28.55</v>
      </c>
      <c r="K19">
        <v>29</v>
      </c>
      <c r="L19">
        <v>9</v>
      </c>
      <c r="M19" t="s">
        <v>25</v>
      </c>
      <c r="N19">
        <v>9</v>
      </c>
      <c r="O19">
        <v>11.33</v>
      </c>
      <c r="P19">
        <v>136411.03</v>
      </c>
      <c r="Q19">
        <v>123325.96</v>
      </c>
      <c r="R19">
        <v>390</v>
      </c>
      <c r="S19">
        <v>339</v>
      </c>
      <c r="T19" t="s">
        <v>34</v>
      </c>
      <c r="U19" t="s">
        <v>27</v>
      </c>
    </row>
    <row r="20" spans="1:21">
      <c r="A20" t="s">
        <v>71</v>
      </c>
      <c r="B20" t="s">
        <v>72</v>
      </c>
      <c r="C20" t="s">
        <v>54</v>
      </c>
      <c r="D20">
        <v>128000</v>
      </c>
      <c r="E20">
        <v>20000</v>
      </c>
      <c r="H20">
        <v>1</v>
      </c>
      <c r="I20" t="s">
        <v>24</v>
      </c>
      <c r="J20">
        <v>24.05</v>
      </c>
      <c r="K20">
        <v>4</v>
      </c>
      <c r="L20">
        <v>4</v>
      </c>
      <c r="M20" t="s">
        <v>25</v>
      </c>
      <c r="N20">
        <v>7</v>
      </c>
      <c r="O20">
        <v>8.5</v>
      </c>
      <c r="P20">
        <v>136411.03</v>
      </c>
      <c r="Q20">
        <v>123325.96</v>
      </c>
      <c r="R20">
        <v>390</v>
      </c>
      <c r="S20">
        <v>339</v>
      </c>
      <c r="T20" t="s">
        <v>34</v>
      </c>
      <c r="U20" t="s">
        <v>31</v>
      </c>
    </row>
    <row r="21" spans="1:21">
      <c r="A21" t="s">
        <v>73</v>
      </c>
      <c r="B21" t="s">
        <v>74</v>
      </c>
      <c r="C21" t="s">
        <v>30</v>
      </c>
      <c r="D21">
        <v>153000</v>
      </c>
      <c r="E21">
        <v>8000</v>
      </c>
      <c r="F21">
        <v>153000</v>
      </c>
      <c r="G21">
        <v>153000</v>
      </c>
      <c r="H21">
        <v>4</v>
      </c>
      <c r="I21" t="s">
        <v>24</v>
      </c>
      <c r="J21">
        <v>30.56</v>
      </c>
      <c r="K21">
        <v>5</v>
      </c>
      <c r="L21">
        <v>10</v>
      </c>
      <c r="M21" t="s">
        <v>25</v>
      </c>
      <c r="N21">
        <v>5</v>
      </c>
      <c r="O21">
        <v>9.67</v>
      </c>
      <c r="P21">
        <v>136411.03</v>
      </c>
      <c r="Q21">
        <v>123325.96</v>
      </c>
      <c r="R21">
        <v>390</v>
      </c>
      <c r="S21">
        <v>339</v>
      </c>
      <c r="T21" t="s">
        <v>26</v>
      </c>
      <c r="U21" t="s">
        <v>31</v>
      </c>
    </row>
    <row r="22" spans="1:21">
      <c r="A22" t="s">
        <v>75</v>
      </c>
      <c r="B22" t="s">
        <v>76</v>
      </c>
      <c r="C22" t="s">
        <v>48</v>
      </c>
      <c r="D22">
        <v>63000</v>
      </c>
      <c r="F22">
        <v>63000</v>
      </c>
      <c r="G22">
        <v>63000</v>
      </c>
      <c r="H22">
        <v>1</v>
      </c>
      <c r="I22" t="s">
        <v>24</v>
      </c>
      <c r="J22">
        <v>22</v>
      </c>
      <c r="K22">
        <v>52</v>
      </c>
      <c r="L22">
        <v>2</v>
      </c>
      <c r="M22" t="s">
        <v>25</v>
      </c>
      <c r="N22">
        <v>7</v>
      </c>
      <c r="O22">
        <v>10</v>
      </c>
      <c r="P22">
        <v>136411.03</v>
      </c>
      <c r="Q22">
        <v>123325.96</v>
      </c>
      <c r="R22">
        <v>390</v>
      </c>
      <c r="S22">
        <v>339</v>
      </c>
      <c r="T22" t="s">
        <v>34</v>
      </c>
      <c r="U22" t="s">
        <v>57</v>
      </c>
    </row>
    <row r="23" spans="1:21">
      <c r="A23" t="s">
        <v>77</v>
      </c>
      <c r="B23" t="s">
        <v>78</v>
      </c>
      <c r="C23" t="s">
        <v>54</v>
      </c>
      <c r="D23">
        <v>103000</v>
      </c>
      <c r="E23">
        <v>4000</v>
      </c>
      <c r="F23">
        <v>103000</v>
      </c>
      <c r="G23">
        <v>103000</v>
      </c>
      <c r="H23">
        <v>3</v>
      </c>
      <c r="I23" t="s">
        <v>24</v>
      </c>
      <c r="J23">
        <v>25.98</v>
      </c>
      <c r="K23">
        <v>6</v>
      </c>
      <c r="L23">
        <v>3</v>
      </c>
      <c r="M23" t="s">
        <v>25</v>
      </c>
      <c r="N23">
        <v>6</v>
      </c>
      <c r="O23">
        <v>11.33</v>
      </c>
      <c r="P23">
        <v>136411.03</v>
      </c>
      <c r="Q23">
        <v>123325.96</v>
      </c>
      <c r="R23">
        <v>390</v>
      </c>
      <c r="S23">
        <v>339</v>
      </c>
      <c r="T23" t="s">
        <v>34</v>
      </c>
      <c r="U23" t="s">
        <v>31</v>
      </c>
    </row>
    <row r="24" spans="1:21">
      <c r="A24" t="s">
        <v>79</v>
      </c>
      <c r="B24" t="s">
        <v>80</v>
      </c>
      <c r="C24" t="s">
        <v>48</v>
      </c>
      <c r="D24">
        <v>155000</v>
      </c>
      <c r="E24">
        <v>10000</v>
      </c>
      <c r="H24">
        <v>2</v>
      </c>
      <c r="I24" t="s">
        <v>24</v>
      </c>
      <c r="J24">
        <v>26.92</v>
      </c>
      <c r="K24">
        <v>0</v>
      </c>
      <c r="L24">
        <v>4</v>
      </c>
      <c r="M24" t="s">
        <v>25</v>
      </c>
      <c r="N24">
        <v>6</v>
      </c>
      <c r="O24">
        <v>8.33</v>
      </c>
      <c r="P24">
        <v>136411.03</v>
      </c>
      <c r="Q24">
        <v>123325.96</v>
      </c>
      <c r="R24">
        <v>390</v>
      </c>
      <c r="S24">
        <v>339</v>
      </c>
      <c r="T24" t="s">
        <v>34</v>
      </c>
      <c r="U24" t="s">
        <v>81</v>
      </c>
    </row>
    <row r="25" spans="1:21">
      <c r="A25" t="s">
        <v>82</v>
      </c>
      <c r="B25" t="s">
        <v>83</v>
      </c>
      <c r="C25" t="s">
        <v>48</v>
      </c>
      <c r="D25">
        <v>155000</v>
      </c>
      <c r="E25">
        <v>10000</v>
      </c>
      <c r="H25">
        <v>2</v>
      </c>
      <c r="I25" t="s">
        <v>24</v>
      </c>
      <c r="J25">
        <v>26.92</v>
      </c>
      <c r="K25">
        <v>0</v>
      </c>
      <c r="L25">
        <v>5</v>
      </c>
      <c r="M25" t="s">
        <v>25</v>
      </c>
      <c r="N25">
        <v>6</v>
      </c>
      <c r="O25">
        <v>8</v>
      </c>
      <c r="P25">
        <v>136411.03</v>
      </c>
      <c r="Q25">
        <v>123325.96</v>
      </c>
      <c r="R25">
        <v>390</v>
      </c>
      <c r="S25">
        <v>339</v>
      </c>
      <c r="T25" t="s">
        <v>34</v>
      </c>
      <c r="U25" t="s">
        <v>81</v>
      </c>
    </row>
    <row r="26" spans="1:21">
      <c r="A26" t="s">
        <v>84</v>
      </c>
      <c r="B26" t="s">
        <v>85</v>
      </c>
      <c r="C26" t="s">
        <v>48</v>
      </c>
      <c r="D26">
        <v>155000</v>
      </c>
      <c r="E26">
        <v>10000</v>
      </c>
      <c r="H26">
        <v>2</v>
      </c>
      <c r="I26" t="s">
        <v>24</v>
      </c>
      <c r="J26">
        <v>26.92</v>
      </c>
      <c r="K26">
        <v>0</v>
      </c>
      <c r="L26">
        <v>5</v>
      </c>
      <c r="M26" t="s">
        <v>25</v>
      </c>
      <c r="N26">
        <v>6</v>
      </c>
      <c r="O26">
        <v>8</v>
      </c>
      <c r="P26">
        <v>136411.03</v>
      </c>
      <c r="Q26">
        <v>123325.96</v>
      </c>
      <c r="R26">
        <v>390</v>
      </c>
      <c r="S26">
        <v>339</v>
      </c>
      <c r="T26" t="s">
        <v>34</v>
      </c>
      <c r="U26" t="s">
        <v>81</v>
      </c>
    </row>
    <row r="27" spans="1:21">
      <c r="A27" t="s">
        <v>86</v>
      </c>
      <c r="B27" t="s">
        <v>85</v>
      </c>
      <c r="C27" t="s">
        <v>48</v>
      </c>
      <c r="D27">
        <v>160000</v>
      </c>
      <c r="E27">
        <v>10000</v>
      </c>
      <c r="H27">
        <v>3</v>
      </c>
      <c r="I27" t="s">
        <v>24</v>
      </c>
      <c r="J27">
        <v>28.75</v>
      </c>
      <c r="K27">
        <v>0</v>
      </c>
      <c r="L27">
        <v>5</v>
      </c>
      <c r="M27" t="s">
        <v>25</v>
      </c>
      <c r="N27">
        <v>6</v>
      </c>
      <c r="O27">
        <v>8</v>
      </c>
      <c r="P27">
        <v>136411.03</v>
      </c>
      <c r="Q27">
        <v>123325.96</v>
      </c>
      <c r="R27">
        <v>390</v>
      </c>
      <c r="S27">
        <v>339</v>
      </c>
      <c r="T27" t="s">
        <v>34</v>
      </c>
      <c r="U27" t="s">
        <v>81</v>
      </c>
    </row>
    <row r="28" spans="1:21">
      <c r="A28" t="s">
        <v>87</v>
      </c>
      <c r="B28" t="s">
        <v>88</v>
      </c>
      <c r="C28" t="s">
        <v>37</v>
      </c>
      <c r="D28">
        <v>94000</v>
      </c>
      <c r="E28">
        <v>5000</v>
      </c>
      <c r="G28">
        <v>188000</v>
      </c>
      <c r="H28">
        <v>1</v>
      </c>
      <c r="I28" t="s">
        <v>89</v>
      </c>
      <c r="J28">
        <v>26.27</v>
      </c>
      <c r="K28">
        <v>20</v>
      </c>
      <c r="L28">
        <v>2</v>
      </c>
      <c r="M28" t="s">
        <v>25</v>
      </c>
      <c r="N28">
        <v>9</v>
      </c>
      <c r="O28">
        <v>13.33</v>
      </c>
      <c r="P28">
        <v>136411.03</v>
      </c>
      <c r="Q28">
        <v>95329.65</v>
      </c>
      <c r="R28">
        <v>390</v>
      </c>
      <c r="S28">
        <v>1622</v>
      </c>
      <c r="T28" t="s">
        <v>34</v>
      </c>
      <c r="U28" t="s">
        <v>90</v>
      </c>
    </row>
    <row r="29" spans="1:21">
      <c r="A29" t="s">
        <v>91</v>
      </c>
      <c r="B29" t="s">
        <v>88</v>
      </c>
      <c r="C29" t="s">
        <v>37</v>
      </c>
      <c r="D29">
        <v>95000</v>
      </c>
      <c r="E29">
        <v>5000</v>
      </c>
      <c r="G29">
        <v>190000</v>
      </c>
      <c r="H29">
        <v>1</v>
      </c>
      <c r="I29" t="s">
        <v>89</v>
      </c>
      <c r="J29">
        <v>26.27</v>
      </c>
      <c r="K29">
        <v>20</v>
      </c>
      <c r="L29">
        <v>2</v>
      </c>
      <c r="M29" t="s">
        <v>25</v>
      </c>
      <c r="N29">
        <v>9</v>
      </c>
      <c r="O29">
        <v>13.33</v>
      </c>
      <c r="P29">
        <v>136411.03</v>
      </c>
      <c r="Q29">
        <v>95329.65</v>
      </c>
      <c r="R29">
        <v>390</v>
      </c>
      <c r="S29">
        <v>1622</v>
      </c>
      <c r="T29" t="s">
        <v>34</v>
      </c>
      <c r="U29" t="s">
        <v>90</v>
      </c>
    </row>
    <row r="30" spans="1:21">
      <c r="A30" t="s">
        <v>92</v>
      </c>
      <c r="B30" t="s">
        <v>93</v>
      </c>
      <c r="C30" t="s">
        <v>94</v>
      </c>
      <c r="D30">
        <v>110000</v>
      </c>
      <c r="E30">
        <v>10000</v>
      </c>
      <c r="G30">
        <v>110000</v>
      </c>
      <c r="H30">
        <v>5</v>
      </c>
      <c r="I30" t="s">
        <v>89</v>
      </c>
      <c r="J30">
        <v>26.03</v>
      </c>
      <c r="K30">
        <v>15</v>
      </c>
      <c r="L30">
        <v>11</v>
      </c>
      <c r="M30" t="s">
        <v>25</v>
      </c>
      <c r="N30">
        <v>8</v>
      </c>
      <c r="O30">
        <v>10.33</v>
      </c>
      <c r="P30">
        <v>136411.03</v>
      </c>
      <c r="Q30">
        <v>95329.65</v>
      </c>
      <c r="R30">
        <v>390</v>
      </c>
      <c r="S30">
        <v>1622</v>
      </c>
      <c r="T30" t="s">
        <v>34</v>
      </c>
      <c r="U30" t="s">
        <v>90</v>
      </c>
    </row>
    <row r="31" spans="1:21">
      <c r="A31" t="s">
        <v>95</v>
      </c>
      <c r="B31" t="s">
        <v>96</v>
      </c>
      <c r="C31" t="s">
        <v>48</v>
      </c>
      <c r="D31">
        <v>93000</v>
      </c>
      <c r="E31">
        <v>15000</v>
      </c>
      <c r="G31">
        <v>93000</v>
      </c>
      <c r="H31">
        <v>2</v>
      </c>
      <c r="I31" t="s">
        <v>89</v>
      </c>
      <c r="J31">
        <v>25.52</v>
      </c>
      <c r="K31">
        <v>13</v>
      </c>
      <c r="L31">
        <v>6</v>
      </c>
      <c r="M31" t="s">
        <v>25</v>
      </c>
      <c r="N31">
        <v>3</v>
      </c>
      <c r="O31">
        <v>8.67</v>
      </c>
      <c r="P31">
        <v>136411.03</v>
      </c>
      <c r="Q31">
        <v>95329.65</v>
      </c>
      <c r="R31">
        <v>390</v>
      </c>
      <c r="S31">
        <v>1622</v>
      </c>
      <c r="T31" t="s">
        <v>34</v>
      </c>
      <c r="U31" t="s">
        <v>90</v>
      </c>
    </row>
    <row r="32" spans="1:21">
      <c r="A32" t="s">
        <v>97</v>
      </c>
      <c r="B32" t="s">
        <v>96</v>
      </c>
      <c r="C32" t="s">
        <v>48</v>
      </c>
      <c r="D32">
        <v>92000</v>
      </c>
      <c r="E32">
        <v>10000</v>
      </c>
      <c r="F32">
        <v>92000</v>
      </c>
      <c r="G32">
        <v>92000</v>
      </c>
      <c r="H32">
        <v>4</v>
      </c>
      <c r="I32" t="s">
        <v>89</v>
      </c>
      <c r="J32">
        <v>25.52</v>
      </c>
      <c r="K32">
        <v>13</v>
      </c>
      <c r="L32">
        <v>6</v>
      </c>
      <c r="M32" t="s">
        <v>25</v>
      </c>
      <c r="N32">
        <v>3</v>
      </c>
      <c r="O32">
        <v>8.67</v>
      </c>
      <c r="P32">
        <v>136411.03</v>
      </c>
      <c r="Q32">
        <v>95329.65</v>
      </c>
      <c r="R32">
        <v>390</v>
      </c>
      <c r="S32">
        <v>1622</v>
      </c>
      <c r="T32" t="s">
        <v>34</v>
      </c>
      <c r="U32" t="s">
        <v>90</v>
      </c>
    </row>
    <row r="33" spans="1:21">
      <c r="A33" t="s">
        <v>98</v>
      </c>
      <c r="B33" t="s">
        <v>99</v>
      </c>
      <c r="C33" t="s">
        <v>54</v>
      </c>
      <c r="D33">
        <v>89000</v>
      </c>
      <c r="E33">
        <v>10000</v>
      </c>
      <c r="H33">
        <v>1</v>
      </c>
      <c r="I33" t="s">
        <v>89</v>
      </c>
      <c r="J33">
        <v>20.29</v>
      </c>
      <c r="K33">
        <v>6</v>
      </c>
      <c r="L33">
        <v>3</v>
      </c>
      <c r="M33" t="s">
        <v>25</v>
      </c>
      <c r="N33">
        <v>4</v>
      </c>
      <c r="O33">
        <v>11</v>
      </c>
      <c r="P33">
        <v>136411.03</v>
      </c>
      <c r="Q33">
        <v>95329.65</v>
      </c>
      <c r="R33">
        <v>390</v>
      </c>
      <c r="S33">
        <v>1622</v>
      </c>
      <c r="T33" t="s">
        <v>34</v>
      </c>
      <c r="U33" t="s">
        <v>31</v>
      </c>
    </row>
    <row r="34" spans="1:21">
      <c r="A34" t="s">
        <v>100</v>
      </c>
      <c r="B34" t="s">
        <v>101</v>
      </c>
      <c r="C34" t="s">
        <v>54</v>
      </c>
      <c r="D34">
        <v>90000</v>
      </c>
      <c r="E34">
        <v>5000</v>
      </c>
      <c r="F34">
        <v>90000</v>
      </c>
      <c r="H34">
        <v>1</v>
      </c>
      <c r="I34" t="s">
        <v>89</v>
      </c>
      <c r="J34">
        <v>22.48</v>
      </c>
      <c r="K34">
        <v>8</v>
      </c>
      <c r="L34">
        <v>2</v>
      </c>
      <c r="M34" t="s">
        <v>25</v>
      </c>
      <c r="N34">
        <v>7</v>
      </c>
      <c r="O34">
        <v>11</v>
      </c>
      <c r="P34">
        <v>136411.03</v>
      </c>
      <c r="Q34">
        <v>95329.65</v>
      </c>
      <c r="R34">
        <v>390</v>
      </c>
      <c r="S34">
        <v>1622</v>
      </c>
      <c r="T34" t="s">
        <v>34</v>
      </c>
      <c r="U34" t="s">
        <v>31</v>
      </c>
    </row>
    <row r="35" spans="1:21">
      <c r="A35" t="s">
        <v>102</v>
      </c>
      <c r="B35" t="s">
        <v>103</v>
      </c>
      <c r="C35" t="s">
        <v>104</v>
      </c>
      <c r="D35">
        <v>126000</v>
      </c>
      <c r="E35">
        <v>18000</v>
      </c>
      <c r="H35">
        <v>2</v>
      </c>
      <c r="I35" t="s">
        <v>89</v>
      </c>
      <c r="J35">
        <v>25.13</v>
      </c>
      <c r="K35">
        <v>2</v>
      </c>
      <c r="L35">
        <v>5</v>
      </c>
      <c r="M35" t="s">
        <v>25</v>
      </c>
      <c r="N35">
        <v>5</v>
      </c>
      <c r="O35">
        <v>7.67</v>
      </c>
      <c r="P35">
        <v>136411.03</v>
      </c>
      <c r="Q35">
        <v>95329.65</v>
      </c>
      <c r="R35">
        <v>390</v>
      </c>
      <c r="S35">
        <v>1622</v>
      </c>
      <c r="T35" t="s">
        <v>34</v>
      </c>
      <c r="U35" t="s">
        <v>31</v>
      </c>
    </row>
    <row r="36" spans="1:21">
      <c r="A36" t="s">
        <v>105</v>
      </c>
      <c r="B36" t="s">
        <v>103</v>
      </c>
      <c r="C36" t="s">
        <v>104</v>
      </c>
      <c r="D36">
        <v>127000</v>
      </c>
      <c r="E36">
        <v>18000</v>
      </c>
      <c r="H36">
        <v>2</v>
      </c>
      <c r="I36" t="s">
        <v>89</v>
      </c>
      <c r="J36">
        <v>26.42</v>
      </c>
      <c r="K36">
        <v>2</v>
      </c>
      <c r="L36">
        <v>5</v>
      </c>
      <c r="M36" t="s">
        <v>25</v>
      </c>
      <c r="N36">
        <v>5</v>
      </c>
      <c r="O36">
        <v>7.67</v>
      </c>
      <c r="P36">
        <v>136411.03</v>
      </c>
      <c r="Q36">
        <v>95329.65</v>
      </c>
      <c r="R36">
        <v>390</v>
      </c>
      <c r="S36">
        <v>1622</v>
      </c>
      <c r="T36" t="s">
        <v>34</v>
      </c>
      <c r="U36" t="s">
        <v>31</v>
      </c>
    </row>
    <row r="37" spans="1:21">
      <c r="A37" t="s">
        <v>106</v>
      </c>
      <c r="B37" t="s">
        <v>107</v>
      </c>
      <c r="C37" t="s">
        <v>41</v>
      </c>
      <c r="D37">
        <v>76000</v>
      </c>
      <c r="E37">
        <v>2000</v>
      </c>
      <c r="F37">
        <v>76000</v>
      </c>
      <c r="G37">
        <v>76000</v>
      </c>
      <c r="H37">
        <v>1</v>
      </c>
      <c r="I37" t="s">
        <v>89</v>
      </c>
      <c r="J37">
        <v>19.440000000000001</v>
      </c>
      <c r="K37">
        <v>26</v>
      </c>
      <c r="L37">
        <v>2</v>
      </c>
      <c r="M37" t="s">
        <v>25</v>
      </c>
      <c r="N37">
        <v>8</v>
      </c>
      <c r="O37">
        <v>9</v>
      </c>
      <c r="P37">
        <v>136411.03</v>
      </c>
      <c r="Q37">
        <v>95329.65</v>
      </c>
      <c r="R37">
        <v>390</v>
      </c>
      <c r="S37">
        <v>1622</v>
      </c>
      <c r="T37" t="s">
        <v>108</v>
      </c>
      <c r="U37" t="s">
        <v>27</v>
      </c>
    </row>
    <row r="38" spans="1:21">
      <c r="A38" t="s">
        <v>109</v>
      </c>
      <c r="B38" t="s">
        <v>110</v>
      </c>
      <c r="C38" t="s">
        <v>30</v>
      </c>
      <c r="D38">
        <v>143000</v>
      </c>
      <c r="E38">
        <v>8000</v>
      </c>
      <c r="H38">
        <v>3</v>
      </c>
      <c r="I38" t="s">
        <v>89</v>
      </c>
      <c r="J38">
        <v>25.46</v>
      </c>
      <c r="K38">
        <v>14</v>
      </c>
      <c r="L38">
        <v>8</v>
      </c>
      <c r="M38" t="s">
        <v>25</v>
      </c>
      <c r="N38">
        <v>1</v>
      </c>
      <c r="O38">
        <v>9.33</v>
      </c>
      <c r="P38">
        <v>136411.03</v>
      </c>
      <c r="Q38">
        <v>95329.65</v>
      </c>
      <c r="R38">
        <v>390</v>
      </c>
      <c r="S38">
        <v>1622</v>
      </c>
      <c r="T38" t="s">
        <v>34</v>
      </c>
      <c r="U38" t="s">
        <v>90</v>
      </c>
    </row>
    <row r="39" spans="1:21">
      <c r="A39" t="s">
        <v>111</v>
      </c>
      <c r="B39" t="s">
        <v>110</v>
      </c>
      <c r="C39" t="s">
        <v>30</v>
      </c>
      <c r="D39">
        <v>143000</v>
      </c>
      <c r="E39">
        <v>8000</v>
      </c>
      <c r="H39">
        <v>4</v>
      </c>
      <c r="I39" t="s">
        <v>89</v>
      </c>
      <c r="J39">
        <v>25.46</v>
      </c>
      <c r="K39">
        <v>14</v>
      </c>
      <c r="L39">
        <v>8</v>
      </c>
      <c r="M39" t="s">
        <v>25</v>
      </c>
      <c r="N39">
        <v>1</v>
      </c>
      <c r="O39">
        <v>9.33</v>
      </c>
      <c r="P39">
        <v>136411.03</v>
      </c>
      <c r="Q39">
        <v>95329.65</v>
      </c>
      <c r="R39">
        <v>390</v>
      </c>
      <c r="S39">
        <v>1622</v>
      </c>
      <c r="T39" t="s">
        <v>34</v>
      </c>
      <c r="U39" t="s">
        <v>90</v>
      </c>
    </row>
    <row r="40" spans="1:21">
      <c r="A40" t="s">
        <v>112</v>
      </c>
      <c r="B40" t="s">
        <v>110</v>
      </c>
      <c r="C40" t="s">
        <v>30</v>
      </c>
      <c r="D40">
        <v>144000</v>
      </c>
      <c r="E40">
        <v>8000</v>
      </c>
      <c r="H40">
        <v>4</v>
      </c>
      <c r="I40" t="s">
        <v>89</v>
      </c>
      <c r="J40">
        <v>25.46</v>
      </c>
      <c r="K40">
        <v>14</v>
      </c>
      <c r="L40">
        <v>8</v>
      </c>
      <c r="M40" t="s">
        <v>25</v>
      </c>
      <c r="N40">
        <v>1</v>
      </c>
      <c r="O40">
        <v>9.33</v>
      </c>
      <c r="P40">
        <v>136411.03</v>
      </c>
      <c r="Q40">
        <v>95329.65</v>
      </c>
      <c r="R40">
        <v>390</v>
      </c>
      <c r="S40">
        <v>1622</v>
      </c>
      <c r="T40" t="s">
        <v>34</v>
      </c>
      <c r="U40" t="s">
        <v>90</v>
      </c>
    </row>
    <row r="41" spans="1:21">
      <c r="A41" t="s">
        <v>113</v>
      </c>
      <c r="B41" t="s">
        <v>110</v>
      </c>
      <c r="C41" t="s">
        <v>30</v>
      </c>
      <c r="D41">
        <v>145000</v>
      </c>
      <c r="E41">
        <v>8000</v>
      </c>
      <c r="H41">
        <v>6</v>
      </c>
      <c r="I41" t="s">
        <v>89</v>
      </c>
      <c r="J41">
        <v>25.11</v>
      </c>
      <c r="K41">
        <v>14</v>
      </c>
      <c r="L41">
        <v>8</v>
      </c>
      <c r="M41" t="s">
        <v>25</v>
      </c>
      <c r="N41">
        <v>1</v>
      </c>
      <c r="O41">
        <v>9.33</v>
      </c>
      <c r="P41">
        <v>136411.03</v>
      </c>
      <c r="Q41">
        <v>95329.65</v>
      </c>
      <c r="R41">
        <v>390</v>
      </c>
      <c r="S41">
        <v>1622</v>
      </c>
      <c r="T41" t="s">
        <v>34</v>
      </c>
      <c r="U41" t="s">
        <v>90</v>
      </c>
    </row>
    <row r="42" spans="1:21">
      <c r="A42" t="s">
        <v>114</v>
      </c>
      <c r="B42" t="s">
        <v>110</v>
      </c>
      <c r="C42" t="s">
        <v>30</v>
      </c>
      <c r="D42">
        <v>145000</v>
      </c>
      <c r="E42">
        <v>8000</v>
      </c>
      <c r="H42">
        <v>6</v>
      </c>
      <c r="I42" t="s">
        <v>89</v>
      </c>
      <c r="J42">
        <v>25.46</v>
      </c>
      <c r="K42">
        <v>14</v>
      </c>
      <c r="L42">
        <v>8</v>
      </c>
      <c r="M42" t="s">
        <v>25</v>
      </c>
      <c r="N42">
        <v>1</v>
      </c>
      <c r="O42">
        <v>9.33</v>
      </c>
      <c r="P42">
        <v>136411.03</v>
      </c>
      <c r="Q42">
        <v>95329.65</v>
      </c>
      <c r="R42">
        <v>390</v>
      </c>
      <c r="S42">
        <v>1622</v>
      </c>
      <c r="T42" t="s">
        <v>34</v>
      </c>
      <c r="U42" t="s">
        <v>90</v>
      </c>
    </row>
    <row r="43" spans="1:21">
      <c r="A43" t="s">
        <v>115</v>
      </c>
      <c r="B43" t="s">
        <v>116</v>
      </c>
      <c r="C43" t="s">
        <v>41</v>
      </c>
      <c r="D43">
        <v>85000</v>
      </c>
      <c r="E43">
        <v>2000</v>
      </c>
      <c r="F43">
        <v>42500</v>
      </c>
      <c r="G43">
        <v>127500</v>
      </c>
      <c r="H43">
        <v>1</v>
      </c>
      <c r="I43" t="s">
        <v>89</v>
      </c>
      <c r="J43">
        <v>21.06</v>
      </c>
      <c r="K43">
        <v>16</v>
      </c>
      <c r="L43">
        <v>2</v>
      </c>
      <c r="M43" t="s">
        <v>25</v>
      </c>
      <c r="N43">
        <v>3</v>
      </c>
      <c r="O43">
        <v>6.67</v>
      </c>
      <c r="P43">
        <v>136411.03</v>
      </c>
      <c r="Q43">
        <v>95329.65</v>
      </c>
      <c r="R43">
        <v>390</v>
      </c>
      <c r="S43">
        <v>1622</v>
      </c>
      <c r="T43" t="s">
        <v>34</v>
      </c>
      <c r="U43" t="s">
        <v>90</v>
      </c>
    </row>
    <row r="44" spans="1:21">
      <c r="A44" t="s">
        <v>117</v>
      </c>
      <c r="B44" t="s">
        <v>118</v>
      </c>
      <c r="C44" t="s">
        <v>41</v>
      </c>
      <c r="D44">
        <v>107000</v>
      </c>
      <c r="E44">
        <v>3500</v>
      </c>
      <c r="G44">
        <v>214000</v>
      </c>
      <c r="H44">
        <v>2</v>
      </c>
      <c r="I44" t="s">
        <v>89</v>
      </c>
      <c r="J44">
        <v>27.09</v>
      </c>
      <c r="K44">
        <v>14</v>
      </c>
      <c r="L44">
        <v>4</v>
      </c>
      <c r="M44" t="s">
        <v>25</v>
      </c>
      <c r="N44">
        <v>4</v>
      </c>
      <c r="O44">
        <v>10</v>
      </c>
      <c r="P44">
        <v>136411.03</v>
      </c>
      <c r="Q44">
        <v>95329.65</v>
      </c>
      <c r="R44">
        <v>390</v>
      </c>
      <c r="S44">
        <v>1622</v>
      </c>
      <c r="T44" t="s">
        <v>34</v>
      </c>
      <c r="U44" t="s">
        <v>90</v>
      </c>
    </row>
    <row r="45" spans="1:21">
      <c r="A45" t="s">
        <v>119</v>
      </c>
      <c r="B45" t="s">
        <v>120</v>
      </c>
      <c r="C45" t="s">
        <v>121</v>
      </c>
      <c r="D45">
        <v>95000</v>
      </c>
      <c r="E45">
        <v>5000</v>
      </c>
      <c r="F45">
        <v>95000</v>
      </c>
      <c r="G45">
        <v>95000</v>
      </c>
      <c r="H45">
        <v>4</v>
      </c>
      <c r="I45" t="s">
        <v>89</v>
      </c>
      <c r="J45">
        <v>22</v>
      </c>
      <c r="K45">
        <v>27</v>
      </c>
      <c r="L45">
        <v>5</v>
      </c>
      <c r="M45" t="s">
        <v>25</v>
      </c>
      <c r="N45">
        <v>3</v>
      </c>
      <c r="O45">
        <v>8.33</v>
      </c>
      <c r="P45">
        <v>136411.03</v>
      </c>
      <c r="Q45">
        <v>95329.65</v>
      </c>
      <c r="R45">
        <v>390</v>
      </c>
      <c r="S45">
        <v>1622</v>
      </c>
      <c r="T45" t="s">
        <v>34</v>
      </c>
      <c r="U45" t="s">
        <v>27</v>
      </c>
    </row>
    <row r="46" spans="1:21">
      <c r="A46" t="s">
        <v>122</v>
      </c>
      <c r="B46" t="s">
        <v>44</v>
      </c>
      <c r="C46" t="s">
        <v>45</v>
      </c>
      <c r="D46">
        <v>80000</v>
      </c>
      <c r="E46">
        <v>9000</v>
      </c>
      <c r="F46">
        <v>80000</v>
      </c>
      <c r="G46">
        <v>160000</v>
      </c>
      <c r="H46">
        <v>3</v>
      </c>
      <c r="I46" t="s">
        <v>89</v>
      </c>
      <c r="J46">
        <v>23.08</v>
      </c>
      <c r="K46">
        <v>24</v>
      </c>
      <c r="L46">
        <v>12</v>
      </c>
      <c r="M46" t="s">
        <v>25</v>
      </c>
      <c r="N46">
        <v>7</v>
      </c>
      <c r="O46">
        <v>8</v>
      </c>
      <c r="P46">
        <v>136411.03</v>
      </c>
      <c r="Q46">
        <v>95329.65</v>
      </c>
      <c r="R46">
        <v>390</v>
      </c>
      <c r="S46">
        <v>1622</v>
      </c>
      <c r="T46" t="s">
        <v>34</v>
      </c>
      <c r="U46" t="s">
        <v>27</v>
      </c>
    </row>
    <row r="47" spans="1:21">
      <c r="A47" t="s">
        <v>123</v>
      </c>
      <c r="B47" t="s">
        <v>124</v>
      </c>
      <c r="C47" t="s">
        <v>37</v>
      </c>
      <c r="D47">
        <v>95500</v>
      </c>
      <c r="E47">
        <v>12000</v>
      </c>
      <c r="F47">
        <v>95500</v>
      </c>
      <c r="G47">
        <v>95500</v>
      </c>
      <c r="H47">
        <v>4</v>
      </c>
      <c r="I47" t="s">
        <v>89</v>
      </c>
      <c r="J47">
        <v>25.61</v>
      </c>
      <c r="K47">
        <v>6</v>
      </c>
      <c r="L47">
        <v>9</v>
      </c>
      <c r="M47" t="s">
        <v>25</v>
      </c>
      <c r="N47">
        <v>9</v>
      </c>
      <c r="O47">
        <v>9.67</v>
      </c>
      <c r="P47">
        <v>136411.03</v>
      </c>
      <c r="Q47">
        <v>95329.65</v>
      </c>
      <c r="R47">
        <v>390</v>
      </c>
      <c r="S47">
        <v>1622</v>
      </c>
      <c r="T47" t="s">
        <v>34</v>
      </c>
      <c r="U47" t="s">
        <v>31</v>
      </c>
    </row>
    <row r="48" spans="1:21">
      <c r="A48" t="s">
        <v>125</v>
      </c>
      <c r="B48" t="s">
        <v>126</v>
      </c>
      <c r="C48" t="s">
        <v>54</v>
      </c>
      <c r="D48">
        <v>92000</v>
      </c>
      <c r="E48">
        <v>8000</v>
      </c>
      <c r="G48">
        <v>92000</v>
      </c>
      <c r="H48">
        <v>8</v>
      </c>
      <c r="I48" t="s">
        <v>89</v>
      </c>
      <c r="J48">
        <v>22.28</v>
      </c>
      <c r="K48">
        <v>24</v>
      </c>
      <c r="L48">
        <v>9</v>
      </c>
      <c r="M48" t="s">
        <v>25</v>
      </c>
      <c r="N48">
        <v>3</v>
      </c>
      <c r="O48">
        <v>9.33</v>
      </c>
      <c r="P48">
        <v>136411.03</v>
      </c>
      <c r="Q48">
        <v>95329.65</v>
      </c>
      <c r="R48">
        <v>390</v>
      </c>
      <c r="S48">
        <v>1622</v>
      </c>
      <c r="T48" t="s">
        <v>34</v>
      </c>
      <c r="U48" t="s">
        <v>27</v>
      </c>
    </row>
    <row r="49" spans="1:21">
      <c r="A49" t="s">
        <v>127</v>
      </c>
      <c r="B49" t="s">
        <v>128</v>
      </c>
      <c r="C49" t="s">
        <v>104</v>
      </c>
      <c r="D49">
        <v>90000</v>
      </c>
      <c r="E49">
        <v>5000</v>
      </c>
      <c r="G49">
        <v>90000</v>
      </c>
      <c r="H49">
        <v>7</v>
      </c>
      <c r="I49" t="s">
        <v>89</v>
      </c>
      <c r="J49">
        <v>19.73</v>
      </c>
      <c r="K49">
        <v>22</v>
      </c>
      <c r="L49">
        <v>9</v>
      </c>
      <c r="M49" t="s">
        <v>25</v>
      </c>
      <c r="N49">
        <v>6</v>
      </c>
      <c r="O49">
        <v>7.67</v>
      </c>
      <c r="P49">
        <v>136411.03</v>
      </c>
      <c r="Q49">
        <v>95329.65</v>
      </c>
      <c r="R49">
        <v>390</v>
      </c>
      <c r="S49">
        <v>1622</v>
      </c>
      <c r="T49" t="s">
        <v>108</v>
      </c>
      <c r="U49" t="s">
        <v>27</v>
      </c>
    </row>
    <row r="50" spans="1:21">
      <c r="A50" t="s">
        <v>129</v>
      </c>
      <c r="B50" t="s">
        <v>130</v>
      </c>
      <c r="C50" t="s">
        <v>37</v>
      </c>
      <c r="D50">
        <v>107000</v>
      </c>
      <c r="E50">
        <v>10000</v>
      </c>
      <c r="F50">
        <v>107000</v>
      </c>
      <c r="H50">
        <v>2</v>
      </c>
      <c r="I50" t="s">
        <v>89</v>
      </c>
      <c r="J50">
        <v>25.41</v>
      </c>
      <c r="K50">
        <v>15</v>
      </c>
      <c r="L50">
        <v>3</v>
      </c>
      <c r="M50" t="s">
        <v>25</v>
      </c>
      <c r="N50">
        <v>6</v>
      </c>
      <c r="O50">
        <v>12.67</v>
      </c>
      <c r="P50">
        <v>136411.03</v>
      </c>
      <c r="Q50">
        <v>95329.65</v>
      </c>
      <c r="R50">
        <v>390</v>
      </c>
      <c r="S50">
        <v>1622</v>
      </c>
      <c r="T50" t="s">
        <v>34</v>
      </c>
      <c r="U50" t="s">
        <v>90</v>
      </c>
    </row>
    <row r="51" spans="1:21">
      <c r="A51" t="s">
        <v>131</v>
      </c>
      <c r="B51" t="s">
        <v>130</v>
      </c>
      <c r="C51" t="s">
        <v>37</v>
      </c>
      <c r="D51">
        <v>108000</v>
      </c>
      <c r="E51">
        <v>10000</v>
      </c>
      <c r="F51">
        <v>108000</v>
      </c>
      <c r="H51">
        <v>3</v>
      </c>
      <c r="I51" t="s">
        <v>89</v>
      </c>
      <c r="J51">
        <v>25.41</v>
      </c>
      <c r="K51">
        <v>15</v>
      </c>
      <c r="L51">
        <v>3</v>
      </c>
      <c r="M51" t="s">
        <v>25</v>
      </c>
      <c r="N51">
        <v>6</v>
      </c>
      <c r="O51">
        <v>12.67</v>
      </c>
      <c r="P51">
        <v>136411.03</v>
      </c>
      <c r="Q51">
        <v>95329.65</v>
      </c>
      <c r="R51">
        <v>390</v>
      </c>
      <c r="S51">
        <v>1622</v>
      </c>
      <c r="T51" t="s">
        <v>34</v>
      </c>
      <c r="U51" t="s">
        <v>90</v>
      </c>
    </row>
    <row r="52" spans="1:21">
      <c r="A52" t="s">
        <v>132</v>
      </c>
      <c r="B52" t="s">
        <v>133</v>
      </c>
      <c r="C52" t="s">
        <v>48</v>
      </c>
      <c r="D52">
        <v>59000</v>
      </c>
      <c r="E52">
        <v>3000</v>
      </c>
      <c r="F52">
        <v>59000</v>
      </c>
      <c r="G52">
        <v>59000</v>
      </c>
      <c r="H52">
        <v>1</v>
      </c>
      <c r="I52" t="s">
        <v>89</v>
      </c>
      <c r="J52">
        <v>18</v>
      </c>
      <c r="K52">
        <v>32</v>
      </c>
      <c r="L52">
        <v>2</v>
      </c>
      <c r="M52" t="s">
        <v>25</v>
      </c>
      <c r="N52">
        <v>6</v>
      </c>
      <c r="O52">
        <v>8.67</v>
      </c>
      <c r="P52">
        <v>136411.03</v>
      </c>
      <c r="Q52">
        <v>95329.65</v>
      </c>
      <c r="R52">
        <v>390</v>
      </c>
      <c r="S52">
        <v>1622</v>
      </c>
      <c r="T52" t="s">
        <v>108</v>
      </c>
      <c r="U52" t="s">
        <v>49</v>
      </c>
    </row>
    <row r="53" spans="1:21">
      <c r="A53" t="s">
        <v>134</v>
      </c>
      <c r="B53" t="s">
        <v>133</v>
      </c>
      <c r="C53" t="s">
        <v>48</v>
      </c>
      <c r="D53">
        <v>59000</v>
      </c>
      <c r="E53">
        <v>3000</v>
      </c>
      <c r="F53">
        <v>59000</v>
      </c>
      <c r="G53">
        <v>59000</v>
      </c>
      <c r="H53">
        <v>2</v>
      </c>
      <c r="I53" t="s">
        <v>89</v>
      </c>
      <c r="J53">
        <v>18</v>
      </c>
      <c r="K53">
        <v>32</v>
      </c>
      <c r="L53">
        <v>2</v>
      </c>
      <c r="M53" t="s">
        <v>25</v>
      </c>
      <c r="N53">
        <v>6</v>
      </c>
      <c r="O53">
        <v>8.67</v>
      </c>
      <c r="P53">
        <v>136411.03</v>
      </c>
      <c r="Q53">
        <v>95329.65</v>
      </c>
      <c r="R53">
        <v>390</v>
      </c>
      <c r="S53">
        <v>1622</v>
      </c>
      <c r="T53" t="s">
        <v>108</v>
      </c>
      <c r="U53" t="s">
        <v>49</v>
      </c>
    </row>
    <row r="54" spans="1:21">
      <c r="A54" t="s">
        <v>135</v>
      </c>
      <c r="B54" t="s">
        <v>136</v>
      </c>
      <c r="C54" t="s">
        <v>94</v>
      </c>
      <c r="D54">
        <v>60000</v>
      </c>
      <c r="F54">
        <v>60000</v>
      </c>
      <c r="H54">
        <v>1</v>
      </c>
      <c r="I54" t="s">
        <v>89</v>
      </c>
      <c r="J54">
        <v>18.149999999999999</v>
      </c>
      <c r="K54">
        <v>37</v>
      </c>
      <c r="L54">
        <v>2</v>
      </c>
      <c r="M54" t="s">
        <v>25</v>
      </c>
      <c r="N54">
        <v>9</v>
      </c>
      <c r="O54">
        <v>10</v>
      </c>
      <c r="P54">
        <v>136411.03</v>
      </c>
      <c r="Q54">
        <v>95329.65</v>
      </c>
      <c r="R54">
        <v>390</v>
      </c>
      <c r="S54">
        <v>1622</v>
      </c>
      <c r="T54" t="s">
        <v>108</v>
      </c>
      <c r="U54" t="s">
        <v>49</v>
      </c>
    </row>
    <row r="55" spans="1:21">
      <c r="A55" t="s">
        <v>137</v>
      </c>
      <c r="B55" t="s">
        <v>138</v>
      </c>
      <c r="C55" t="s">
        <v>37</v>
      </c>
      <c r="D55">
        <v>102000</v>
      </c>
      <c r="E55">
        <v>15000</v>
      </c>
      <c r="F55">
        <v>102000</v>
      </c>
      <c r="H55">
        <v>1</v>
      </c>
      <c r="I55" t="s">
        <v>89</v>
      </c>
      <c r="J55">
        <v>19.72</v>
      </c>
      <c r="K55">
        <v>2</v>
      </c>
      <c r="L55">
        <v>4</v>
      </c>
      <c r="M55" t="s">
        <v>25</v>
      </c>
      <c r="N55">
        <v>5</v>
      </c>
      <c r="O55">
        <v>9.33</v>
      </c>
      <c r="P55">
        <v>136411.03</v>
      </c>
      <c r="Q55">
        <v>95329.65</v>
      </c>
      <c r="R55">
        <v>390</v>
      </c>
      <c r="S55">
        <v>1622</v>
      </c>
      <c r="T55" t="s">
        <v>108</v>
      </c>
      <c r="U55" t="s">
        <v>31</v>
      </c>
    </row>
    <row r="56" spans="1:21">
      <c r="A56" t="s">
        <v>139</v>
      </c>
      <c r="B56" t="s">
        <v>138</v>
      </c>
      <c r="C56" t="s">
        <v>37</v>
      </c>
      <c r="D56">
        <v>100000</v>
      </c>
      <c r="E56">
        <v>15000</v>
      </c>
      <c r="F56">
        <v>100000</v>
      </c>
      <c r="H56">
        <v>1</v>
      </c>
      <c r="I56" t="s">
        <v>89</v>
      </c>
      <c r="J56">
        <v>19.72</v>
      </c>
      <c r="K56">
        <v>2</v>
      </c>
      <c r="L56">
        <v>4</v>
      </c>
      <c r="M56" t="s">
        <v>25</v>
      </c>
      <c r="N56">
        <v>5</v>
      </c>
      <c r="O56">
        <v>9.33</v>
      </c>
      <c r="P56">
        <v>136411.03</v>
      </c>
      <c r="Q56">
        <v>95329.65</v>
      </c>
      <c r="R56">
        <v>390</v>
      </c>
      <c r="S56">
        <v>1622</v>
      </c>
      <c r="T56" t="s">
        <v>108</v>
      </c>
      <c r="U56" t="s">
        <v>31</v>
      </c>
    </row>
    <row r="57" spans="1:21">
      <c r="A57" t="s">
        <v>140</v>
      </c>
      <c r="B57" t="s">
        <v>141</v>
      </c>
      <c r="C57" t="s">
        <v>48</v>
      </c>
      <c r="D57">
        <v>130000</v>
      </c>
      <c r="E57">
        <v>10000</v>
      </c>
      <c r="H57">
        <v>4</v>
      </c>
      <c r="I57" t="s">
        <v>89</v>
      </c>
      <c r="J57">
        <v>25.39</v>
      </c>
      <c r="K57">
        <v>4</v>
      </c>
      <c r="L57">
        <v>6</v>
      </c>
      <c r="M57" t="s">
        <v>25</v>
      </c>
      <c r="N57">
        <v>7</v>
      </c>
      <c r="O57">
        <v>10.33</v>
      </c>
      <c r="P57">
        <v>136411.03</v>
      </c>
      <c r="Q57">
        <v>95329.65</v>
      </c>
      <c r="R57">
        <v>390</v>
      </c>
      <c r="S57">
        <v>1622</v>
      </c>
      <c r="T57" t="s">
        <v>34</v>
      </c>
      <c r="U57" t="s">
        <v>31</v>
      </c>
    </row>
    <row r="58" spans="1:21">
      <c r="A58" t="s">
        <v>142</v>
      </c>
      <c r="B58" t="s">
        <v>143</v>
      </c>
      <c r="C58" t="s">
        <v>37</v>
      </c>
      <c r="D58">
        <v>116000</v>
      </c>
      <c r="E58">
        <v>15000</v>
      </c>
      <c r="G58">
        <v>232000</v>
      </c>
      <c r="H58">
        <v>4</v>
      </c>
      <c r="I58" t="s">
        <v>89</v>
      </c>
      <c r="J58">
        <v>25.85</v>
      </c>
      <c r="K58">
        <v>7</v>
      </c>
      <c r="L58">
        <v>10</v>
      </c>
      <c r="M58" t="s">
        <v>25</v>
      </c>
      <c r="N58">
        <v>9</v>
      </c>
      <c r="O58">
        <v>9.33</v>
      </c>
      <c r="P58">
        <v>136411.03</v>
      </c>
      <c r="Q58">
        <v>95329.65</v>
      </c>
      <c r="R58">
        <v>390</v>
      </c>
      <c r="S58">
        <v>1622</v>
      </c>
      <c r="T58" t="s">
        <v>34</v>
      </c>
      <c r="U58" t="s">
        <v>31</v>
      </c>
    </row>
    <row r="59" spans="1:21">
      <c r="A59" t="s">
        <v>144</v>
      </c>
      <c r="B59" t="s">
        <v>143</v>
      </c>
      <c r="C59" t="s">
        <v>37</v>
      </c>
      <c r="D59">
        <v>139000</v>
      </c>
      <c r="E59">
        <v>11000</v>
      </c>
      <c r="G59">
        <v>139000</v>
      </c>
      <c r="H59">
        <v>6</v>
      </c>
      <c r="I59" t="s">
        <v>89</v>
      </c>
      <c r="J59">
        <v>25.84</v>
      </c>
      <c r="K59">
        <v>7</v>
      </c>
      <c r="L59">
        <v>10</v>
      </c>
      <c r="M59" t="s">
        <v>25</v>
      </c>
      <c r="N59">
        <v>9</v>
      </c>
      <c r="O59">
        <v>9.33</v>
      </c>
      <c r="P59">
        <v>136411.03</v>
      </c>
      <c r="Q59">
        <v>95329.65</v>
      </c>
      <c r="R59">
        <v>390</v>
      </c>
      <c r="S59">
        <v>1622</v>
      </c>
      <c r="T59" t="s">
        <v>34</v>
      </c>
      <c r="U59" t="s">
        <v>31</v>
      </c>
    </row>
    <row r="60" spans="1:21">
      <c r="A60" t="s">
        <v>145</v>
      </c>
      <c r="B60" t="s">
        <v>143</v>
      </c>
      <c r="C60" t="s">
        <v>37</v>
      </c>
      <c r="D60">
        <v>140000</v>
      </c>
      <c r="E60">
        <v>11000</v>
      </c>
      <c r="G60">
        <v>140000</v>
      </c>
      <c r="H60">
        <v>7</v>
      </c>
      <c r="I60" t="s">
        <v>89</v>
      </c>
      <c r="J60">
        <v>25.85</v>
      </c>
      <c r="K60">
        <v>7</v>
      </c>
      <c r="L60">
        <v>10</v>
      </c>
      <c r="M60" t="s">
        <v>25</v>
      </c>
      <c r="N60">
        <v>9</v>
      </c>
      <c r="O60">
        <v>9.33</v>
      </c>
      <c r="P60">
        <v>136411.03</v>
      </c>
      <c r="Q60">
        <v>95329.65</v>
      </c>
      <c r="R60">
        <v>390</v>
      </c>
      <c r="S60">
        <v>1622</v>
      </c>
      <c r="T60" t="s">
        <v>34</v>
      </c>
      <c r="U60" t="s">
        <v>31</v>
      </c>
    </row>
    <row r="61" spans="1:21">
      <c r="A61" t="s">
        <v>146</v>
      </c>
      <c r="B61" t="s">
        <v>143</v>
      </c>
      <c r="C61" t="s">
        <v>37</v>
      </c>
      <c r="D61">
        <v>120000</v>
      </c>
      <c r="E61">
        <v>15000</v>
      </c>
      <c r="H61">
        <v>9</v>
      </c>
      <c r="I61" t="s">
        <v>89</v>
      </c>
      <c r="J61">
        <v>25.85</v>
      </c>
      <c r="K61">
        <v>7</v>
      </c>
      <c r="L61">
        <v>10</v>
      </c>
      <c r="M61" t="s">
        <v>25</v>
      </c>
      <c r="N61">
        <v>9</v>
      </c>
      <c r="O61">
        <v>9.33</v>
      </c>
      <c r="P61">
        <v>136411.03</v>
      </c>
      <c r="Q61">
        <v>95329.65</v>
      </c>
      <c r="R61">
        <v>390</v>
      </c>
      <c r="S61">
        <v>1622</v>
      </c>
      <c r="T61" t="s">
        <v>34</v>
      </c>
      <c r="U61" t="s">
        <v>31</v>
      </c>
    </row>
    <row r="62" spans="1:21">
      <c r="A62" t="s">
        <v>147</v>
      </c>
      <c r="B62" t="s">
        <v>143</v>
      </c>
      <c r="C62" t="s">
        <v>37</v>
      </c>
      <c r="D62">
        <v>141000</v>
      </c>
      <c r="E62">
        <v>11000</v>
      </c>
      <c r="G62">
        <v>141000</v>
      </c>
      <c r="H62">
        <v>9</v>
      </c>
      <c r="I62" t="s">
        <v>89</v>
      </c>
      <c r="J62">
        <v>25.85</v>
      </c>
      <c r="K62">
        <v>7</v>
      </c>
      <c r="L62">
        <v>10</v>
      </c>
      <c r="M62" t="s">
        <v>25</v>
      </c>
      <c r="N62">
        <v>9</v>
      </c>
      <c r="O62">
        <v>9.33</v>
      </c>
      <c r="P62">
        <v>136411.03</v>
      </c>
      <c r="Q62">
        <v>95329.65</v>
      </c>
      <c r="R62">
        <v>390</v>
      </c>
      <c r="S62">
        <v>1622</v>
      </c>
      <c r="T62" t="s">
        <v>34</v>
      </c>
      <c r="U62" t="s">
        <v>31</v>
      </c>
    </row>
    <row r="63" spans="1:21">
      <c r="A63" t="s">
        <v>148</v>
      </c>
      <c r="B63" t="s">
        <v>149</v>
      </c>
      <c r="C63" t="s">
        <v>54</v>
      </c>
      <c r="D63">
        <v>95000</v>
      </c>
      <c r="E63">
        <v>7000</v>
      </c>
      <c r="F63">
        <v>95000</v>
      </c>
      <c r="G63">
        <v>95000</v>
      </c>
      <c r="H63">
        <v>4</v>
      </c>
      <c r="I63" t="s">
        <v>89</v>
      </c>
      <c r="J63">
        <v>20.149999999999999</v>
      </c>
      <c r="K63">
        <v>24</v>
      </c>
      <c r="L63">
        <v>10</v>
      </c>
      <c r="M63" t="s">
        <v>25</v>
      </c>
      <c r="N63">
        <v>2</v>
      </c>
      <c r="O63">
        <v>8</v>
      </c>
      <c r="P63">
        <v>136411.03</v>
      </c>
      <c r="Q63">
        <v>95329.65</v>
      </c>
      <c r="R63">
        <v>390</v>
      </c>
      <c r="S63">
        <v>1622</v>
      </c>
      <c r="T63" t="s">
        <v>34</v>
      </c>
      <c r="U63" t="s">
        <v>27</v>
      </c>
    </row>
    <row r="64" spans="1:21">
      <c r="A64" t="s">
        <v>150</v>
      </c>
      <c r="B64" t="s">
        <v>151</v>
      </c>
      <c r="C64" t="s">
        <v>54</v>
      </c>
      <c r="D64">
        <v>84000</v>
      </c>
      <c r="E64">
        <v>3000</v>
      </c>
      <c r="F64">
        <v>84000</v>
      </c>
      <c r="G64">
        <v>84000</v>
      </c>
      <c r="H64">
        <v>1</v>
      </c>
      <c r="I64" t="s">
        <v>89</v>
      </c>
      <c r="J64">
        <v>29.02</v>
      </c>
      <c r="K64">
        <v>22</v>
      </c>
      <c r="L64">
        <v>2</v>
      </c>
      <c r="M64" t="s">
        <v>25</v>
      </c>
      <c r="N64">
        <v>5</v>
      </c>
      <c r="O64">
        <v>11</v>
      </c>
      <c r="P64">
        <v>136411.03</v>
      </c>
      <c r="Q64">
        <v>95329.65</v>
      </c>
      <c r="R64">
        <v>390</v>
      </c>
      <c r="S64">
        <v>1622</v>
      </c>
      <c r="T64" t="s">
        <v>34</v>
      </c>
      <c r="U64" t="s">
        <v>27</v>
      </c>
    </row>
    <row r="65" spans="1:21">
      <c r="A65" t="s">
        <v>152</v>
      </c>
      <c r="B65" t="s">
        <v>153</v>
      </c>
      <c r="C65" t="s">
        <v>41</v>
      </c>
      <c r="D65">
        <v>94000</v>
      </c>
      <c r="E65">
        <v>5000</v>
      </c>
      <c r="G65">
        <v>94000</v>
      </c>
      <c r="H65">
        <v>3</v>
      </c>
      <c r="I65" t="s">
        <v>89</v>
      </c>
      <c r="J65">
        <v>22.8</v>
      </c>
      <c r="K65">
        <v>17</v>
      </c>
      <c r="L65">
        <v>7</v>
      </c>
      <c r="M65" t="s">
        <v>25</v>
      </c>
      <c r="N65">
        <v>3</v>
      </c>
      <c r="O65">
        <v>8</v>
      </c>
      <c r="P65">
        <v>136411.03</v>
      </c>
      <c r="Q65">
        <v>95329.65</v>
      </c>
      <c r="R65">
        <v>390</v>
      </c>
      <c r="S65">
        <v>1622</v>
      </c>
      <c r="T65" t="s">
        <v>34</v>
      </c>
      <c r="U65" t="s">
        <v>90</v>
      </c>
    </row>
    <row r="66" spans="1:21">
      <c r="A66" t="s">
        <v>154</v>
      </c>
      <c r="B66" t="s">
        <v>153</v>
      </c>
      <c r="C66" t="s">
        <v>41</v>
      </c>
      <c r="D66">
        <v>88000</v>
      </c>
      <c r="E66">
        <v>10000</v>
      </c>
      <c r="F66">
        <v>88000</v>
      </c>
      <c r="G66">
        <v>88000</v>
      </c>
      <c r="H66">
        <v>4</v>
      </c>
      <c r="I66" t="s">
        <v>89</v>
      </c>
      <c r="J66">
        <v>24.37</v>
      </c>
      <c r="K66">
        <v>17</v>
      </c>
      <c r="L66">
        <v>7</v>
      </c>
      <c r="M66" t="s">
        <v>25</v>
      </c>
      <c r="N66">
        <v>3</v>
      </c>
      <c r="O66">
        <v>8</v>
      </c>
      <c r="P66">
        <v>136411.03</v>
      </c>
      <c r="Q66">
        <v>95329.65</v>
      </c>
      <c r="R66">
        <v>390</v>
      </c>
      <c r="S66">
        <v>1622</v>
      </c>
      <c r="T66" t="s">
        <v>34</v>
      </c>
      <c r="U66" t="s">
        <v>90</v>
      </c>
    </row>
    <row r="67" spans="1:21">
      <c r="A67" t="s">
        <v>155</v>
      </c>
      <c r="B67" t="s">
        <v>156</v>
      </c>
      <c r="C67" t="s">
        <v>48</v>
      </c>
      <c r="D67">
        <v>100000</v>
      </c>
      <c r="E67">
        <v>10000</v>
      </c>
      <c r="H67">
        <v>3</v>
      </c>
      <c r="I67" t="s">
        <v>89</v>
      </c>
      <c r="J67">
        <v>25.58</v>
      </c>
      <c r="K67">
        <v>11</v>
      </c>
      <c r="L67">
        <v>5</v>
      </c>
      <c r="M67" t="s">
        <v>25</v>
      </c>
      <c r="N67">
        <v>8</v>
      </c>
      <c r="O67">
        <v>9.33</v>
      </c>
      <c r="P67">
        <v>136411.03</v>
      </c>
      <c r="Q67">
        <v>95329.65</v>
      </c>
      <c r="R67">
        <v>390</v>
      </c>
      <c r="S67">
        <v>1622</v>
      </c>
      <c r="T67" t="s">
        <v>34</v>
      </c>
      <c r="U67" t="s">
        <v>90</v>
      </c>
    </row>
    <row r="68" spans="1:21">
      <c r="A68" t="s">
        <v>157</v>
      </c>
      <c r="B68" t="s">
        <v>156</v>
      </c>
      <c r="C68" t="s">
        <v>48</v>
      </c>
      <c r="D68">
        <v>120000</v>
      </c>
      <c r="E68">
        <v>15000</v>
      </c>
      <c r="G68">
        <v>120000</v>
      </c>
      <c r="H68">
        <v>5</v>
      </c>
      <c r="I68" t="s">
        <v>89</v>
      </c>
      <c r="J68">
        <v>30.81</v>
      </c>
      <c r="K68">
        <v>11</v>
      </c>
      <c r="L68">
        <v>5</v>
      </c>
      <c r="M68" t="s">
        <v>25</v>
      </c>
      <c r="N68">
        <v>8</v>
      </c>
      <c r="O68">
        <v>9.33</v>
      </c>
      <c r="P68">
        <v>136411.03</v>
      </c>
      <c r="Q68">
        <v>95329.65</v>
      </c>
      <c r="R68">
        <v>390</v>
      </c>
      <c r="S68">
        <v>1622</v>
      </c>
      <c r="T68" t="s">
        <v>26</v>
      </c>
      <c r="U68" t="s">
        <v>90</v>
      </c>
    </row>
    <row r="69" spans="1:21">
      <c r="A69" t="s">
        <v>158</v>
      </c>
      <c r="B69" t="s">
        <v>159</v>
      </c>
      <c r="C69" t="s">
        <v>41</v>
      </c>
      <c r="D69">
        <v>72000</v>
      </c>
      <c r="E69">
        <v>3000</v>
      </c>
      <c r="F69">
        <v>72000</v>
      </c>
      <c r="G69">
        <v>72000</v>
      </c>
      <c r="H69">
        <v>1</v>
      </c>
      <c r="I69" t="s">
        <v>89</v>
      </c>
      <c r="J69">
        <v>24</v>
      </c>
      <c r="K69">
        <v>28</v>
      </c>
      <c r="L69">
        <v>3</v>
      </c>
      <c r="M69" t="s">
        <v>25</v>
      </c>
      <c r="N69">
        <v>3</v>
      </c>
      <c r="O69">
        <v>7</v>
      </c>
      <c r="P69">
        <v>136411.03</v>
      </c>
      <c r="Q69">
        <v>95329.65</v>
      </c>
      <c r="R69">
        <v>390</v>
      </c>
      <c r="S69">
        <v>1622</v>
      </c>
      <c r="T69" t="s">
        <v>34</v>
      </c>
      <c r="U69" t="s">
        <v>27</v>
      </c>
    </row>
    <row r="70" spans="1:21">
      <c r="A70" t="s">
        <v>160</v>
      </c>
      <c r="B70" t="s">
        <v>161</v>
      </c>
      <c r="C70" t="s">
        <v>54</v>
      </c>
      <c r="D70">
        <v>84000</v>
      </c>
      <c r="E70">
        <v>8000</v>
      </c>
      <c r="G70">
        <v>84000</v>
      </c>
      <c r="H70">
        <v>2</v>
      </c>
      <c r="I70" t="s">
        <v>89</v>
      </c>
      <c r="J70">
        <v>22.27</v>
      </c>
      <c r="K70">
        <v>37</v>
      </c>
      <c r="L70">
        <v>2</v>
      </c>
      <c r="M70" t="s">
        <v>25</v>
      </c>
      <c r="N70">
        <v>4</v>
      </c>
      <c r="O70">
        <v>11</v>
      </c>
      <c r="P70">
        <v>136411.03</v>
      </c>
      <c r="Q70">
        <v>95329.65</v>
      </c>
      <c r="R70">
        <v>390</v>
      </c>
      <c r="S70">
        <v>1622</v>
      </c>
      <c r="T70" t="s">
        <v>34</v>
      </c>
      <c r="U70" t="s">
        <v>49</v>
      </c>
    </row>
    <row r="71" spans="1:21">
      <c r="A71" t="s">
        <v>162</v>
      </c>
      <c r="B71" t="s">
        <v>163</v>
      </c>
      <c r="C71" t="s">
        <v>54</v>
      </c>
      <c r="D71">
        <v>58000</v>
      </c>
      <c r="E71">
        <v>3000</v>
      </c>
      <c r="F71">
        <v>58000</v>
      </c>
      <c r="G71">
        <v>58000</v>
      </c>
      <c r="H71">
        <v>1</v>
      </c>
      <c r="I71" t="s">
        <v>89</v>
      </c>
      <c r="J71">
        <v>18.8</v>
      </c>
      <c r="K71">
        <v>52</v>
      </c>
      <c r="L71">
        <v>2</v>
      </c>
      <c r="M71" t="s">
        <v>25</v>
      </c>
      <c r="N71">
        <v>5</v>
      </c>
      <c r="O71">
        <v>11.67</v>
      </c>
      <c r="P71">
        <v>136411.03</v>
      </c>
      <c r="Q71">
        <v>95329.65</v>
      </c>
      <c r="R71">
        <v>390</v>
      </c>
      <c r="S71">
        <v>1622</v>
      </c>
      <c r="T71" t="s">
        <v>108</v>
      </c>
      <c r="U71" t="s">
        <v>57</v>
      </c>
    </row>
    <row r="72" spans="1:21">
      <c r="A72" t="s">
        <v>164</v>
      </c>
      <c r="B72" t="s">
        <v>163</v>
      </c>
      <c r="C72" t="s">
        <v>54</v>
      </c>
      <c r="D72">
        <v>58000</v>
      </c>
      <c r="E72">
        <v>3000</v>
      </c>
      <c r="F72">
        <v>58000</v>
      </c>
      <c r="G72">
        <v>58000</v>
      </c>
      <c r="H72">
        <v>1</v>
      </c>
      <c r="I72" t="s">
        <v>89</v>
      </c>
      <c r="J72">
        <v>20.059999999999999</v>
      </c>
      <c r="K72">
        <v>52</v>
      </c>
      <c r="L72">
        <v>2</v>
      </c>
      <c r="M72" t="s">
        <v>25</v>
      </c>
      <c r="N72">
        <v>5</v>
      </c>
      <c r="O72">
        <v>11.67</v>
      </c>
      <c r="P72">
        <v>136411.03</v>
      </c>
      <c r="Q72">
        <v>95329.65</v>
      </c>
      <c r="R72">
        <v>390</v>
      </c>
      <c r="S72">
        <v>1622</v>
      </c>
      <c r="T72" t="s">
        <v>34</v>
      </c>
      <c r="U72" t="s">
        <v>57</v>
      </c>
    </row>
    <row r="73" spans="1:21">
      <c r="A73" t="s">
        <v>165</v>
      </c>
      <c r="B73" t="s">
        <v>163</v>
      </c>
      <c r="C73" t="s">
        <v>54</v>
      </c>
      <c r="D73">
        <v>57000</v>
      </c>
      <c r="E73">
        <v>3000</v>
      </c>
      <c r="F73">
        <v>57000</v>
      </c>
      <c r="G73">
        <v>57000</v>
      </c>
      <c r="H73">
        <v>2</v>
      </c>
      <c r="I73" t="s">
        <v>89</v>
      </c>
      <c r="J73">
        <v>20.059999999999999</v>
      </c>
      <c r="K73">
        <v>52</v>
      </c>
      <c r="L73">
        <v>2</v>
      </c>
      <c r="M73" t="s">
        <v>25</v>
      </c>
      <c r="N73">
        <v>5</v>
      </c>
      <c r="O73">
        <v>11.67</v>
      </c>
      <c r="P73">
        <v>136411.03</v>
      </c>
      <c r="Q73">
        <v>95329.65</v>
      </c>
      <c r="R73">
        <v>390</v>
      </c>
      <c r="S73">
        <v>1622</v>
      </c>
      <c r="T73" t="s">
        <v>34</v>
      </c>
      <c r="U73" t="s">
        <v>57</v>
      </c>
    </row>
    <row r="74" spans="1:21">
      <c r="A74" t="s">
        <v>166</v>
      </c>
      <c r="B74" t="s">
        <v>167</v>
      </c>
      <c r="C74" t="s">
        <v>30</v>
      </c>
      <c r="D74">
        <v>88000</v>
      </c>
      <c r="E74">
        <v>6000</v>
      </c>
      <c r="F74">
        <v>44000</v>
      </c>
      <c r="G74">
        <v>88000</v>
      </c>
      <c r="H74">
        <v>4</v>
      </c>
      <c r="I74" t="s">
        <v>89</v>
      </c>
      <c r="J74">
        <v>22.5</v>
      </c>
      <c r="K74">
        <v>19</v>
      </c>
      <c r="L74">
        <v>10</v>
      </c>
      <c r="M74" t="s">
        <v>25</v>
      </c>
      <c r="N74">
        <v>2</v>
      </c>
      <c r="O74">
        <v>9.67</v>
      </c>
      <c r="P74">
        <v>136411.03</v>
      </c>
      <c r="Q74">
        <v>95329.65</v>
      </c>
      <c r="R74">
        <v>390</v>
      </c>
      <c r="S74">
        <v>1622</v>
      </c>
      <c r="T74" t="s">
        <v>34</v>
      </c>
      <c r="U74" t="s">
        <v>90</v>
      </c>
    </row>
    <row r="75" spans="1:21">
      <c r="A75" t="s">
        <v>168</v>
      </c>
      <c r="B75" t="s">
        <v>169</v>
      </c>
      <c r="C75" t="s">
        <v>37</v>
      </c>
      <c r="D75">
        <v>58000</v>
      </c>
      <c r="F75">
        <v>58000</v>
      </c>
      <c r="H75">
        <v>2</v>
      </c>
      <c r="I75" t="s">
        <v>89</v>
      </c>
      <c r="J75">
        <v>20</v>
      </c>
      <c r="K75">
        <v>38</v>
      </c>
      <c r="L75">
        <v>2</v>
      </c>
      <c r="M75" t="s">
        <v>25</v>
      </c>
      <c r="N75">
        <v>7</v>
      </c>
      <c r="O75">
        <v>10.33</v>
      </c>
      <c r="P75">
        <v>136411.03</v>
      </c>
      <c r="Q75">
        <v>95329.65</v>
      </c>
      <c r="R75">
        <v>390</v>
      </c>
      <c r="S75">
        <v>1622</v>
      </c>
      <c r="T75" t="s">
        <v>34</v>
      </c>
      <c r="U75" t="s">
        <v>49</v>
      </c>
    </row>
    <row r="76" spans="1:21">
      <c r="A76" t="s">
        <v>170</v>
      </c>
      <c r="B76" t="s">
        <v>171</v>
      </c>
      <c r="C76" t="s">
        <v>104</v>
      </c>
      <c r="D76">
        <v>70000</v>
      </c>
      <c r="E76">
        <v>7000</v>
      </c>
      <c r="F76">
        <v>70000</v>
      </c>
      <c r="G76">
        <v>70000</v>
      </c>
      <c r="H76">
        <v>2</v>
      </c>
      <c r="I76" t="s">
        <v>89</v>
      </c>
      <c r="J76">
        <v>20.07</v>
      </c>
      <c r="K76">
        <v>27</v>
      </c>
      <c r="L76">
        <v>8</v>
      </c>
      <c r="M76" t="s">
        <v>25</v>
      </c>
      <c r="N76">
        <v>5</v>
      </c>
      <c r="O76">
        <v>6.67</v>
      </c>
      <c r="P76">
        <v>136411.03</v>
      </c>
      <c r="Q76">
        <v>95329.65</v>
      </c>
      <c r="R76">
        <v>390</v>
      </c>
      <c r="S76">
        <v>1622</v>
      </c>
      <c r="T76" t="s">
        <v>34</v>
      </c>
      <c r="U76" t="s">
        <v>27</v>
      </c>
    </row>
    <row r="77" spans="1:21">
      <c r="A77" t="s">
        <v>172</v>
      </c>
      <c r="B77" t="s">
        <v>173</v>
      </c>
      <c r="C77" t="s">
        <v>104</v>
      </c>
      <c r="D77">
        <v>68000</v>
      </c>
      <c r="E77">
        <v>7000</v>
      </c>
      <c r="H77">
        <v>2</v>
      </c>
      <c r="I77" t="s">
        <v>89</v>
      </c>
      <c r="J77">
        <v>19.11</v>
      </c>
      <c r="K77">
        <v>31</v>
      </c>
      <c r="L77">
        <v>3</v>
      </c>
      <c r="M77" t="s">
        <v>25</v>
      </c>
      <c r="N77">
        <v>5</v>
      </c>
      <c r="O77">
        <v>11.33</v>
      </c>
      <c r="P77">
        <v>136411.03</v>
      </c>
      <c r="Q77">
        <v>95329.65</v>
      </c>
      <c r="R77">
        <v>390</v>
      </c>
      <c r="S77">
        <v>1622</v>
      </c>
      <c r="T77" t="s">
        <v>108</v>
      </c>
      <c r="U77" t="s">
        <v>49</v>
      </c>
    </row>
    <row r="78" spans="1:21">
      <c r="A78" t="s">
        <v>174</v>
      </c>
      <c r="B78" t="s">
        <v>175</v>
      </c>
      <c r="C78" t="s">
        <v>37</v>
      </c>
      <c r="D78">
        <v>75000</v>
      </c>
      <c r="E78">
        <v>4000</v>
      </c>
      <c r="G78">
        <v>75000</v>
      </c>
      <c r="H78">
        <v>1</v>
      </c>
      <c r="I78" t="s">
        <v>89</v>
      </c>
      <c r="J78">
        <v>23.18</v>
      </c>
      <c r="K78">
        <v>28</v>
      </c>
      <c r="L78">
        <v>2</v>
      </c>
      <c r="M78" t="s">
        <v>25</v>
      </c>
      <c r="N78">
        <v>7</v>
      </c>
      <c r="O78">
        <v>10.33</v>
      </c>
      <c r="P78">
        <v>136411.03</v>
      </c>
      <c r="Q78">
        <v>95329.65</v>
      </c>
      <c r="R78">
        <v>390</v>
      </c>
      <c r="S78">
        <v>1622</v>
      </c>
      <c r="T78" t="s">
        <v>34</v>
      </c>
      <c r="U78" t="s">
        <v>27</v>
      </c>
    </row>
    <row r="79" spans="1:21">
      <c r="A79" t="s">
        <v>176</v>
      </c>
      <c r="B79" t="s">
        <v>177</v>
      </c>
      <c r="C79" t="s">
        <v>54</v>
      </c>
      <c r="D79">
        <v>91000</v>
      </c>
      <c r="E79">
        <v>8000</v>
      </c>
      <c r="G79">
        <v>182000</v>
      </c>
      <c r="H79">
        <v>4</v>
      </c>
      <c r="I79" t="s">
        <v>89</v>
      </c>
      <c r="J79">
        <v>20.79</v>
      </c>
      <c r="K79">
        <v>17</v>
      </c>
      <c r="L79">
        <v>10</v>
      </c>
      <c r="M79" t="s">
        <v>25</v>
      </c>
      <c r="N79">
        <v>5</v>
      </c>
      <c r="O79">
        <v>10</v>
      </c>
      <c r="P79">
        <v>136411.03</v>
      </c>
      <c r="Q79">
        <v>95329.65</v>
      </c>
      <c r="R79">
        <v>390</v>
      </c>
      <c r="S79">
        <v>1622</v>
      </c>
      <c r="T79" t="s">
        <v>34</v>
      </c>
      <c r="U79" t="s">
        <v>90</v>
      </c>
    </row>
    <row r="80" spans="1:21">
      <c r="A80" t="s">
        <v>178</v>
      </c>
      <c r="B80" t="s">
        <v>179</v>
      </c>
      <c r="C80" t="s">
        <v>37</v>
      </c>
      <c r="D80">
        <v>95000</v>
      </c>
      <c r="E80">
        <v>15000</v>
      </c>
      <c r="F80">
        <v>95000</v>
      </c>
      <c r="G80">
        <v>95000</v>
      </c>
      <c r="H80">
        <v>2</v>
      </c>
      <c r="I80" t="s">
        <v>89</v>
      </c>
      <c r="J80">
        <v>27.08</v>
      </c>
      <c r="K80">
        <v>21</v>
      </c>
      <c r="L80">
        <v>4</v>
      </c>
      <c r="M80" t="s">
        <v>25</v>
      </c>
      <c r="N80">
        <v>4</v>
      </c>
      <c r="O80">
        <v>9.33</v>
      </c>
      <c r="P80">
        <v>136411.03</v>
      </c>
      <c r="Q80">
        <v>95329.65</v>
      </c>
      <c r="R80">
        <v>390</v>
      </c>
      <c r="S80">
        <v>1622</v>
      </c>
      <c r="T80" t="s">
        <v>34</v>
      </c>
      <c r="U80" t="s">
        <v>27</v>
      </c>
    </row>
    <row r="81" spans="1:21">
      <c r="A81" t="s">
        <v>180</v>
      </c>
      <c r="B81" t="s">
        <v>181</v>
      </c>
      <c r="C81" t="s">
        <v>30</v>
      </c>
      <c r="D81">
        <v>107000</v>
      </c>
      <c r="E81">
        <v>8000</v>
      </c>
      <c r="G81">
        <v>107000</v>
      </c>
      <c r="H81">
        <v>5</v>
      </c>
      <c r="I81" t="s">
        <v>89</v>
      </c>
      <c r="J81">
        <v>25.53</v>
      </c>
      <c r="K81">
        <v>11</v>
      </c>
      <c r="L81">
        <v>10</v>
      </c>
      <c r="M81" t="s">
        <v>25</v>
      </c>
      <c r="N81">
        <v>3</v>
      </c>
      <c r="O81">
        <v>7.67</v>
      </c>
      <c r="P81">
        <v>136411.03</v>
      </c>
      <c r="Q81">
        <v>95329.65</v>
      </c>
      <c r="R81">
        <v>390</v>
      </c>
      <c r="S81">
        <v>1622</v>
      </c>
      <c r="T81" t="s">
        <v>34</v>
      </c>
      <c r="U81" t="s">
        <v>90</v>
      </c>
    </row>
    <row r="82" spans="1:21">
      <c r="A82" t="s">
        <v>182</v>
      </c>
      <c r="B82" t="s">
        <v>181</v>
      </c>
      <c r="C82" t="s">
        <v>30</v>
      </c>
      <c r="D82">
        <v>125000</v>
      </c>
      <c r="E82">
        <v>11000</v>
      </c>
      <c r="G82">
        <v>125000</v>
      </c>
      <c r="H82">
        <v>9</v>
      </c>
      <c r="I82" t="s">
        <v>89</v>
      </c>
      <c r="J82">
        <v>25.53</v>
      </c>
      <c r="K82">
        <v>11</v>
      </c>
      <c r="L82">
        <v>10</v>
      </c>
      <c r="M82" t="s">
        <v>25</v>
      </c>
      <c r="N82">
        <v>3</v>
      </c>
      <c r="O82">
        <v>7.67</v>
      </c>
      <c r="P82">
        <v>136411.03</v>
      </c>
      <c r="Q82">
        <v>95329.65</v>
      </c>
      <c r="R82">
        <v>390</v>
      </c>
      <c r="S82">
        <v>1622</v>
      </c>
      <c r="T82" t="s">
        <v>34</v>
      </c>
      <c r="U82" t="s">
        <v>90</v>
      </c>
    </row>
    <row r="83" spans="1:21">
      <c r="A83" t="s">
        <v>183</v>
      </c>
      <c r="B83" t="s">
        <v>184</v>
      </c>
      <c r="C83" t="s">
        <v>41</v>
      </c>
      <c r="D83">
        <v>78000</v>
      </c>
      <c r="E83">
        <v>8000</v>
      </c>
      <c r="G83">
        <v>78000</v>
      </c>
      <c r="H83">
        <v>1</v>
      </c>
      <c r="I83" t="s">
        <v>89</v>
      </c>
      <c r="J83">
        <v>20.329999999999998</v>
      </c>
      <c r="K83">
        <v>23</v>
      </c>
      <c r="L83">
        <v>7</v>
      </c>
      <c r="M83" t="s">
        <v>25</v>
      </c>
      <c r="N83">
        <v>2</v>
      </c>
      <c r="O83">
        <v>5</v>
      </c>
      <c r="P83">
        <v>136411.03</v>
      </c>
      <c r="Q83">
        <v>95329.65</v>
      </c>
      <c r="R83">
        <v>390</v>
      </c>
      <c r="S83">
        <v>1622</v>
      </c>
      <c r="T83" t="s">
        <v>34</v>
      </c>
      <c r="U83" t="s">
        <v>27</v>
      </c>
    </row>
    <row r="84" spans="1:21">
      <c r="A84" t="s">
        <v>185</v>
      </c>
      <c r="B84" t="s">
        <v>184</v>
      </c>
      <c r="C84" t="s">
        <v>41</v>
      </c>
      <c r="D84">
        <v>78000</v>
      </c>
      <c r="E84">
        <v>10000</v>
      </c>
      <c r="G84">
        <v>78000</v>
      </c>
      <c r="H84">
        <v>6</v>
      </c>
      <c r="I84" t="s">
        <v>89</v>
      </c>
      <c r="J84">
        <v>21.22</v>
      </c>
      <c r="K84">
        <v>23</v>
      </c>
      <c r="L84">
        <v>7</v>
      </c>
      <c r="M84" t="s">
        <v>25</v>
      </c>
      <c r="N84">
        <v>2</v>
      </c>
      <c r="O84">
        <v>5</v>
      </c>
      <c r="P84">
        <v>136411.03</v>
      </c>
      <c r="Q84">
        <v>95329.65</v>
      </c>
      <c r="R84">
        <v>390</v>
      </c>
      <c r="S84">
        <v>1622</v>
      </c>
      <c r="T84" t="s">
        <v>34</v>
      </c>
      <c r="U84" t="s">
        <v>27</v>
      </c>
    </row>
    <row r="85" spans="1:21">
      <c r="A85" t="s">
        <v>186</v>
      </c>
      <c r="B85" t="s">
        <v>184</v>
      </c>
      <c r="C85" t="s">
        <v>41</v>
      </c>
      <c r="D85">
        <v>79000</v>
      </c>
      <c r="E85">
        <v>10000</v>
      </c>
      <c r="G85">
        <v>79000</v>
      </c>
      <c r="H85">
        <v>6</v>
      </c>
      <c r="I85" t="s">
        <v>89</v>
      </c>
      <c r="J85">
        <v>21.22</v>
      </c>
      <c r="K85">
        <v>23</v>
      </c>
      <c r="L85">
        <v>7</v>
      </c>
      <c r="M85" t="s">
        <v>25</v>
      </c>
      <c r="N85">
        <v>2</v>
      </c>
      <c r="O85">
        <v>5</v>
      </c>
      <c r="P85">
        <v>136411.03</v>
      </c>
      <c r="Q85">
        <v>95329.65</v>
      </c>
      <c r="R85">
        <v>390</v>
      </c>
      <c r="S85">
        <v>1622</v>
      </c>
      <c r="T85" t="s">
        <v>34</v>
      </c>
      <c r="U85" t="s">
        <v>27</v>
      </c>
    </row>
    <row r="86" spans="1:21">
      <c r="A86" t="s">
        <v>187</v>
      </c>
      <c r="B86" t="s">
        <v>188</v>
      </c>
      <c r="C86" t="s">
        <v>48</v>
      </c>
      <c r="D86">
        <v>67000</v>
      </c>
      <c r="E86">
        <v>5500</v>
      </c>
      <c r="G86">
        <v>67000</v>
      </c>
      <c r="H86">
        <v>2</v>
      </c>
      <c r="I86" t="s">
        <v>89</v>
      </c>
      <c r="J86">
        <v>19.399999999999999</v>
      </c>
      <c r="K86">
        <v>33</v>
      </c>
      <c r="L86">
        <v>2</v>
      </c>
      <c r="M86" t="s">
        <v>25</v>
      </c>
      <c r="N86">
        <v>7</v>
      </c>
      <c r="O86">
        <v>9</v>
      </c>
      <c r="P86">
        <v>136411.03</v>
      </c>
      <c r="Q86">
        <v>95329.65</v>
      </c>
      <c r="R86">
        <v>390</v>
      </c>
      <c r="S86">
        <v>1622</v>
      </c>
      <c r="T86" t="s">
        <v>108</v>
      </c>
      <c r="U86" t="s">
        <v>49</v>
      </c>
    </row>
    <row r="87" spans="1:21">
      <c r="A87" t="s">
        <v>189</v>
      </c>
      <c r="B87" t="s">
        <v>190</v>
      </c>
      <c r="C87" t="s">
        <v>104</v>
      </c>
      <c r="D87">
        <v>83000</v>
      </c>
      <c r="E87">
        <v>3500</v>
      </c>
      <c r="F87">
        <v>83000</v>
      </c>
      <c r="G87">
        <v>83000</v>
      </c>
      <c r="H87">
        <v>3</v>
      </c>
      <c r="I87" t="s">
        <v>89</v>
      </c>
      <c r="J87">
        <v>20.48</v>
      </c>
      <c r="K87">
        <v>21</v>
      </c>
      <c r="L87">
        <v>4</v>
      </c>
      <c r="M87" t="s">
        <v>25</v>
      </c>
      <c r="N87">
        <v>5</v>
      </c>
      <c r="O87">
        <v>9</v>
      </c>
      <c r="P87">
        <v>136411.03</v>
      </c>
      <c r="Q87">
        <v>95329.65</v>
      </c>
      <c r="R87">
        <v>390</v>
      </c>
      <c r="S87">
        <v>1622</v>
      </c>
      <c r="T87" t="s">
        <v>34</v>
      </c>
      <c r="U87" t="s">
        <v>27</v>
      </c>
    </row>
    <row r="88" spans="1:21">
      <c r="A88" t="s">
        <v>191</v>
      </c>
      <c r="B88" t="s">
        <v>192</v>
      </c>
      <c r="C88" t="s">
        <v>30</v>
      </c>
      <c r="D88">
        <v>108000</v>
      </c>
      <c r="E88">
        <v>10000</v>
      </c>
      <c r="G88">
        <v>108000</v>
      </c>
      <c r="H88">
        <v>4</v>
      </c>
      <c r="I88" t="s">
        <v>89</v>
      </c>
      <c r="J88">
        <v>26.71</v>
      </c>
      <c r="K88">
        <v>7</v>
      </c>
      <c r="L88">
        <v>9</v>
      </c>
      <c r="M88" t="s">
        <v>25</v>
      </c>
      <c r="N88">
        <v>3</v>
      </c>
      <c r="O88">
        <v>10.33</v>
      </c>
      <c r="P88">
        <v>136411.03</v>
      </c>
      <c r="Q88">
        <v>95329.65</v>
      </c>
      <c r="R88">
        <v>390</v>
      </c>
      <c r="S88">
        <v>1622</v>
      </c>
      <c r="T88" t="s">
        <v>34</v>
      </c>
      <c r="U88" t="s">
        <v>31</v>
      </c>
    </row>
    <row r="89" spans="1:21">
      <c r="A89" t="s">
        <v>193</v>
      </c>
      <c r="B89" t="s">
        <v>194</v>
      </c>
      <c r="C89" t="s">
        <v>30</v>
      </c>
      <c r="D89">
        <v>109000</v>
      </c>
      <c r="E89">
        <v>5500</v>
      </c>
      <c r="G89">
        <v>109000</v>
      </c>
      <c r="H89">
        <v>2</v>
      </c>
      <c r="I89" t="s">
        <v>89</v>
      </c>
      <c r="J89">
        <v>19.87</v>
      </c>
      <c r="K89">
        <v>17</v>
      </c>
      <c r="L89">
        <v>3</v>
      </c>
      <c r="M89" t="s">
        <v>25</v>
      </c>
      <c r="N89">
        <v>7</v>
      </c>
      <c r="O89">
        <v>11.33</v>
      </c>
      <c r="P89">
        <v>136411.03</v>
      </c>
      <c r="Q89">
        <v>95329.65</v>
      </c>
      <c r="R89">
        <v>390</v>
      </c>
      <c r="S89">
        <v>1622</v>
      </c>
      <c r="T89" t="s">
        <v>108</v>
      </c>
      <c r="U89" t="s">
        <v>90</v>
      </c>
    </row>
    <row r="90" spans="1:21">
      <c r="A90" t="s">
        <v>195</v>
      </c>
      <c r="B90" t="s">
        <v>194</v>
      </c>
      <c r="C90" t="s">
        <v>30</v>
      </c>
      <c r="D90">
        <v>110000</v>
      </c>
      <c r="E90">
        <v>5500</v>
      </c>
      <c r="G90">
        <v>110000</v>
      </c>
      <c r="H90">
        <v>3</v>
      </c>
      <c r="I90" t="s">
        <v>89</v>
      </c>
      <c r="J90">
        <v>19.87</v>
      </c>
      <c r="K90">
        <v>17</v>
      </c>
      <c r="L90">
        <v>3</v>
      </c>
      <c r="M90" t="s">
        <v>25</v>
      </c>
      <c r="N90">
        <v>7</v>
      </c>
      <c r="O90">
        <v>11.33</v>
      </c>
      <c r="P90">
        <v>136411.03</v>
      </c>
      <c r="Q90">
        <v>95329.65</v>
      </c>
      <c r="R90">
        <v>390</v>
      </c>
      <c r="S90">
        <v>1622</v>
      </c>
      <c r="T90" t="s">
        <v>108</v>
      </c>
      <c r="U90" t="s">
        <v>90</v>
      </c>
    </row>
    <row r="91" spans="1:21">
      <c r="A91" t="s">
        <v>196</v>
      </c>
      <c r="B91" t="s">
        <v>197</v>
      </c>
      <c r="C91" t="s">
        <v>121</v>
      </c>
      <c r="D91">
        <v>127000</v>
      </c>
      <c r="E91">
        <v>15000</v>
      </c>
      <c r="H91">
        <v>4</v>
      </c>
      <c r="I91" t="s">
        <v>89</v>
      </c>
      <c r="J91">
        <v>28.67</v>
      </c>
      <c r="K91">
        <v>18</v>
      </c>
      <c r="L91">
        <v>7</v>
      </c>
      <c r="M91" t="s">
        <v>25</v>
      </c>
      <c r="N91">
        <v>5</v>
      </c>
      <c r="O91">
        <v>7.33</v>
      </c>
      <c r="P91">
        <v>136411.03</v>
      </c>
      <c r="Q91">
        <v>95329.65</v>
      </c>
      <c r="R91">
        <v>390</v>
      </c>
      <c r="S91">
        <v>1622</v>
      </c>
      <c r="T91" t="s">
        <v>34</v>
      </c>
      <c r="U91" t="s">
        <v>90</v>
      </c>
    </row>
    <row r="92" spans="1:21">
      <c r="A92" t="s">
        <v>198</v>
      </c>
      <c r="B92" t="s">
        <v>197</v>
      </c>
      <c r="C92" t="s">
        <v>121</v>
      </c>
      <c r="D92">
        <v>108000</v>
      </c>
      <c r="E92">
        <v>10000</v>
      </c>
      <c r="H92">
        <v>5</v>
      </c>
      <c r="I92" t="s">
        <v>89</v>
      </c>
      <c r="J92">
        <v>26.5</v>
      </c>
      <c r="K92">
        <v>18</v>
      </c>
      <c r="L92">
        <v>7</v>
      </c>
      <c r="M92" t="s">
        <v>25</v>
      </c>
      <c r="N92">
        <v>5</v>
      </c>
      <c r="O92">
        <v>7.33</v>
      </c>
      <c r="P92">
        <v>136411.03</v>
      </c>
      <c r="Q92">
        <v>95329.65</v>
      </c>
      <c r="R92">
        <v>390</v>
      </c>
      <c r="S92">
        <v>1622</v>
      </c>
      <c r="T92" t="s">
        <v>34</v>
      </c>
      <c r="U92" t="s">
        <v>90</v>
      </c>
    </row>
    <row r="93" spans="1:21">
      <c r="A93" t="s">
        <v>199</v>
      </c>
      <c r="B93" t="s">
        <v>200</v>
      </c>
      <c r="C93" t="s">
        <v>121</v>
      </c>
      <c r="D93">
        <v>105000</v>
      </c>
      <c r="E93">
        <v>15000</v>
      </c>
      <c r="H93">
        <v>2</v>
      </c>
      <c r="I93" t="s">
        <v>89</v>
      </c>
      <c r="J93">
        <v>24.49</v>
      </c>
      <c r="K93">
        <v>18</v>
      </c>
      <c r="L93">
        <v>7</v>
      </c>
      <c r="M93" t="s">
        <v>25</v>
      </c>
      <c r="N93">
        <v>4</v>
      </c>
      <c r="O93">
        <v>9.33</v>
      </c>
      <c r="P93">
        <v>136411.03</v>
      </c>
      <c r="Q93">
        <v>95329.65</v>
      </c>
      <c r="R93">
        <v>390</v>
      </c>
      <c r="S93">
        <v>1622</v>
      </c>
      <c r="T93" t="s">
        <v>34</v>
      </c>
      <c r="U93" t="s">
        <v>90</v>
      </c>
    </row>
    <row r="94" spans="1:21">
      <c r="A94" t="s">
        <v>201</v>
      </c>
      <c r="B94" t="s">
        <v>200</v>
      </c>
      <c r="C94" t="s">
        <v>121</v>
      </c>
      <c r="D94">
        <v>122000</v>
      </c>
      <c r="E94">
        <v>20000</v>
      </c>
      <c r="H94">
        <v>2</v>
      </c>
      <c r="I94" t="s">
        <v>89</v>
      </c>
      <c r="J94">
        <v>30.19</v>
      </c>
      <c r="K94">
        <v>18</v>
      </c>
      <c r="L94">
        <v>7</v>
      </c>
      <c r="M94" t="s">
        <v>25</v>
      </c>
      <c r="N94">
        <v>4</v>
      </c>
      <c r="O94">
        <v>9.33</v>
      </c>
      <c r="P94">
        <v>136411.03</v>
      </c>
      <c r="Q94">
        <v>95329.65</v>
      </c>
      <c r="R94">
        <v>390</v>
      </c>
      <c r="S94">
        <v>1622</v>
      </c>
      <c r="T94" t="s">
        <v>26</v>
      </c>
      <c r="U94" t="s">
        <v>90</v>
      </c>
    </row>
    <row r="95" spans="1:21">
      <c r="A95" t="s">
        <v>202</v>
      </c>
      <c r="B95" t="s">
        <v>200</v>
      </c>
      <c r="C95" t="s">
        <v>121</v>
      </c>
      <c r="D95">
        <v>125000</v>
      </c>
      <c r="E95">
        <v>20000</v>
      </c>
      <c r="H95">
        <v>2</v>
      </c>
      <c r="I95" t="s">
        <v>89</v>
      </c>
      <c r="J95">
        <v>30.19</v>
      </c>
      <c r="K95">
        <v>18</v>
      </c>
      <c r="L95">
        <v>7</v>
      </c>
      <c r="M95" t="s">
        <v>25</v>
      </c>
      <c r="N95">
        <v>4</v>
      </c>
      <c r="O95">
        <v>9.33</v>
      </c>
      <c r="P95">
        <v>136411.03</v>
      </c>
      <c r="Q95">
        <v>95329.65</v>
      </c>
      <c r="R95">
        <v>390</v>
      </c>
      <c r="S95">
        <v>1622</v>
      </c>
      <c r="T95" t="s">
        <v>26</v>
      </c>
      <c r="U95" t="s">
        <v>90</v>
      </c>
    </row>
    <row r="96" spans="1:21">
      <c r="A96" t="s">
        <v>203</v>
      </c>
      <c r="B96" t="s">
        <v>200</v>
      </c>
      <c r="C96" t="s">
        <v>121</v>
      </c>
      <c r="D96">
        <v>120000</v>
      </c>
      <c r="E96">
        <v>15000</v>
      </c>
      <c r="H96">
        <v>6</v>
      </c>
      <c r="I96" t="s">
        <v>89</v>
      </c>
      <c r="J96">
        <v>26.01</v>
      </c>
      <c r="K96">
        <v>18</v>
      </c>
      <c r="L96">
        <v>7</v>
      </c>
      <c r="M96" t="s">
        <v>25</v>
      </c>
      <c r="N96">
        <v>4</v>
      </c>
      <c r="O96">
        <v>9.33</v>
      </c>
      <c r="P96">
        <v>136411.03</v>
      </c>
      <c r="Q96">
        <v>95329.65</v>
      </c>
      <c r="R96">
        <v>390</v>
      </c>
      <c r="S96">
        <v>1622</v>
      </c>
      <c r="T96" t="s">
        <v>34</v>
      </c>
      <c r="U96" t="s">
        <v>90</v>
      </c>
    </row>
    <row r="97" spans="1:21">
      <c r="A97" t="s">
        <v>204</v>
      </c>
      <c r="B97" t="s">
        <v>205</v>
      </c>
      <c r="C97" t="s">
        <v>54</v>
      </c>
      <c r="D97">
        <v>65000</v>
      </c>
      <c r="E97">
        <v>3000</v>
      </c>
      <c r="F97">
        <v>65000</v>
      </c>
      <c r="H97">
        <v>1</v>
      </c>
      <c r="I97" t="s">
        <v>89</v>
      </c>
      <c r="J97">
        <v>20</v>
      </c>
      <c r="K97">
        <v>65</v>
      </c>
      <c r="L97">
        <v>2</v>
      </c>
      <c r="M97" t="s">
        <v>25</v>
      </c>
      <c r="N97">
        <v>9</v>
      </c>
      <c r="O97">
        <v>11</v>
      </c>
      <c r="P97">
        <v>136411.03</v>
      </c>
      <c r="Q97">
        <v>95329.65</v>
      </c>
      <c r="R97">
        <v>390</v>
      </c>
      <c r="S97">
        <v>1622</v>
      </c>
      <c r="T97" t="s">
        <v>34</v>
      </c>
      <c r="U97" t="s">
        <v>38</v>
      </c>
    </row>
    <row r="98" spans="1:21">
      <c r="A98" t="s">
        <v>206</v>
      </c>
      <c r="B98" t="s">
        <v>207</v>
      </c>
      <c r="C98" t="s">
        <v>54</v>
      </c>
      <c r="D98">
        <v>83000</v>
      </c>
      <c r="E98">
        <v>15000</v>
      </c>
      <c r="H98">
        <v>3</v>
      </c>
      <c r="I98" t="s">
        <v>89</v>
      </c>
      <c r="J98">
        <v>20.2</v>
      </c>
      <c r="K98">
        <v>23</v>
      </c>
      <c r="L98">
        <v>4</v>
      </c>
      <c r="M98" t="s">
        <v>25</v>
      </c>
      <c r="N98">
        <v>4</v>
      </c>
      <c r="O98">
        <v>9.5</v>
      </c>
      <c r="P98">
        <v>136411.03</v>
      </c>
      <c r="Q98">
        <v>95329.65</v>
      </c>
      <c r="R98">
        <v>390</v>
      </c>
      <c r="S98">
        <v>1622</v>
      </c>
      <c r="T98" t="s">
        <v>34</v>
      </c>
      <c r="U98" t="s">
        <v>27</v>
      </c>
    </row>
    <row r="99" spans="1:21">
      <c r="A99" t="s">
        <v>208</v>
      </c>
      <c r="B99" t="s">
        <v>209</v>
      </c>
      <c r="C99" t="s">
        <v>41</v>
      </c>
      <c r="D99">
        <v>66000</v>
      </c>
      <c r="F99">
        <v>66000</v>
      </c>
      <c r="H99">
        <v>3</v>
      </c>
      <c r="I99" t="s">
        <v>89</v>
      </c>
      <c r="J99">
        <v>17.5</v>
      </c>
      <c r="K99">
        <v>38</v>
      </c>
      <c r="L99">
        <v>3</v>
      </c>
      <c r="M99" t="s">
        <v>25</v>
      </c>
      <c r="N99">
        <v>3</v>
      </c>
      <c r="O99">
        <v>6.67</v>
      </c>
      <c r="P99">
        <v>136411.03</v>
      </c>
      <c r="Q99">
        <v>95329.65</v>
      </c>
      <c r="R99">
        <v>390</v>
      </c>
      <c r="S99">
        <v>1622</v>
      </c>
      <c r="T99" t="s">
        <v>108</v>
      </c>
      <c r="U99" t="s">
        <v>49</v>
      </c>
    </row>
    <row r="100" spans="1:21">
      <c r="A100" t="s">
        <v>210</v>
      </c>
      <c r="B100" t="s">
        <v>211</v>
      </c>
      <c r="C100" t="s">
        <v>54</v>
      </c>
      <c r="D100">
        <v>60000</v>
      </c>
      <c r="E100">
        <v>3000</v>
      </c>
      <c r="F100">
        <v>60000</v>
      </c>
      <c r="H100">
        <v>1</v>
      </c>
      <c r="I100" t="s">
        <v>89</v>
      </c>
      <c r="J100">
        <v>22.3</v>
      </c>
      <c r="K100">
        <v>52</v>
      </c>
      <c r="L100">
        <v>3</v>
      </c>
      <c r="M100" t="s">
        <v>25</v>
      </c>
      <c r="N100">
        <v>2</v>
      </c>
      <c r="O100">
        <v>9.67</v>
      </c>
      <c r="P100">
        <v>136411.03</v>
      </c>
      <c r="Q100">
        <v>95329.65</v>
      </c>
      <c r="R100">
        <v>390</v>
      </c>
      <c r="S100">
        <v>1622</v>
      </c>
      <c r="T100" t="s">
        <v>34</v>
      </c>
      <c r="U100" t="s">
        <v>57</v>
      </c>
    </row>
    <row r="101" spans="1:21">
      <c r="A101" t="s">
        <v>212</v>
      </c>
      <c r="B101" t="s">
        <v>213</v>
      </c>
      <c r="C101" t="s">
        <v>30</v>
      </c>
      <c r="D101">
        <v>78500</v>
      </c>
      <c r="E101">
        <v>7500</v>
      </c>
      <c r="F101">
        <v>78500</v>
      </c>
      <c r="G101">
        <v>78500</v>
      </c>
      <c r="H101">
        <v>5</v>
      </c>
      <c r="I101" t="s">
        <v>89</v>
      </c>
      <c r="J101">
        <v>20.97</v>
      </c>
      <c r="K101">
        <v>23</v>
      </c>
      <c r="L101">
        <v>10</v>
      </c>
      <c r="M101" t="s">
        <v>25</v>
      </c>
      <c r="N101">
        <v>3</v>
      </c>
      <c r="O101">
        <v>9</v>
      </c>
      <c r="P101">
        <v>136411.03</v>
      </c>
      <c r="Q101">
        <v>95329.65</v>
      </c>
      <c r="R101">
        <v>390</v>
      </c>
      <c r="S101">
        <v>1622</v>
      </c>
      <c r="T101" t="s">
        <v>34</v>
      </c>
      <c r="U101" t="s">
        <v>27</v>
      </c>
    </row>
    <row r="102" spans="1:21">
      <c r="A102" t="s">
        <v>214</v>
      </c>
      <c r="B102" t="s">
        <v>213</v>
      </c>
      <c r="C102" t="s">
        <v>30</v>
      </c>
      <c r="D102">
        <v>80000</v>
      </c>
      <c r="E102">
        <v>7500</v>
      </c>
      <c r="F102">
        <v>80000</v>
      </c>
      <c r="G102">
        <v>80000</v>
      </c>
      <c r="H102">
        <v>6</v>
      </c>
      <c r="I102" t="s">
        <v>89</v>
      </c>
      <c r="J102">
        <v>20.97</v>
      </c>
      <c r="K102">
        <v>23</v>
      </c>
      <c r="L102">
        <v>10</v>
      </c>
      <c r="M102" t="s">
        <v>25</v>
      </c>
      <c r="N102">
        <v>3</v>
      </c>
      <c r="O102">
        <v>9</v>
      </c>
      <c r="P102">
        <v>136411.03</v>
      </c>
      <c r="Q102">
        <v>95329.65</v>
      </c>
      <c r="R102">
        <v>390</v>
      </c>
      <c r="S102">
        <v>1622</v>
      </c>
      <c r="T102" t="s">
        <v>34</v>
      </c>
      <c r="U102" t="s">
        <v>27</v>
      </c>
    </row>
    <row r="103" spans="1:21">
      <c r="A103" t="s">
        <v>215</v>
      </c>
      <c r="B103" t="s">
        <v>213</v>
      </c>
      <c r="C103" t="s">
        <v>30</v>
      </c>
      <c r="D103">
        <v>79500</v>
      </c>
      <c r="E103">
        <v>7500</v>
      </c>
      <c r="F103">
        <v>79500</v>
      </c>
      <c r="G103">
        <v>79500</v>
      </c>
      <c r="H103">
        <v>7</v>
      </c>
      <c r="I103" t="s">
        <v>89</v>
      </c>
      <c r="J103">
        <v>20.97</v>
      </c>
      <c r="K103">
        <v>23</v>
      </c>
      <c r="L103">
        <v>10</v>
      </c>
      <c r="M103" t="s">
        <v>25</v>
      </c>
      <c r="N103">
        <v>3</v>
      </c>
      <c r="O103">
        <v>9</v>
      </c>
      <c r="P103">
        <v>136411.03</v>
      </c>
      <c r="Q103">
        <v>95329.65</v>
      </c>
      <c r="R103">
        <v>390</v>
      </c>
      <c r="S103">
        <v>1622</v>
      </c>
      <c r="T103" t="s">
        <v>34</v>
      </c>
      <c r="U103" t="s">
        <v>27</v>
      </c>
    </row>
    <row r="104" spans="1:21">
      <c r="A104" t="s">
        <v>216</v>
      </c>
      <c r="B104" t="s">
        <v>217</v>
      </c>
      <c r="C104" t="s">
        <v>121</v>
      </c>
      <c r="D104">
        <v>62000</v>
      </c>
      <c r="F104">
        <v>124000</v>
      </c>
      <c r="H104">
        <v>3</v>
      </c>
      <c r="I104" t="s">
        <v>89</v>
      </c>
      <c r="J104">
        <v>12.29</v>
      </c>
      <c r="K104">
        <v>39</v>
      </c>
      <c r="L104">
        <v>5</v>
      </c>
      <c r="M104" t="s">
        <v>25</v>
      </c>
      <c r="N104">
        <v>3</v>
      </c>
      <c r="O104">
        <v>7.33</v>
      </c>
      <c r="P104">
        <v>136411.03</v>
      </c>
      <c r="Q104">
        <v>95329.65</v>
      </c>
      <c r="R104">
        <v>390</v>
      </c>
      <c r="S104">
        <v>1622</v>
      </c>
      <c r="T104" t="s">
        <v>108</v>
      </c>
      <c r="U104" t="s">
        <v>49</v>
      </c>
    </row>
    <row r="105" spans="1:21">
      <c r="A105" t="s">
        <v>218</v>
      </c>
      <c r="B105" t="s">
        <v>219</v>
      </c>
      <c r="C105" t="s">
        <v>54</v>
      </c>
      <c r="D105">
        <v>62000</v>
      </c>
      <c r="E105">
        <v>5000</v>
      </c>
      <c r="F105">
        <v>62000</v>
      </c>
      <c r="H105">
        <v>3</v>
      </c>
      <c r="I105" t="s">
        <v>89</v>
      </c>
      <c r="J105">
        <v>19.32</v>
      </c>
      <c r="K105">
        <v>39</v>
      </c>
      <c r="L105">
        <v>6</v>
      </c>
      <c r="M105" t="s">
        <v>25</v>
      </c>
      <c r="N105">
        <v>10</v>
      </c>
      <c r="O105">
        <v>10.67</v>
      </c>
      <c r="P105">
        <v>136411.03</v>
      </c>
      <c r="Q105">
        <v>95329.65</v>
      </c>
      <c r="R105">
        <v>390</v>
      </c>
      <c r="S105">
        <v>1622</v>
      </c>
      <c r="T105" t="s">
        <v>108</v>
      </c>
      <c r="U105" t="s">
        <v>49</v>
      </c>
    </row>
    <row r="106" spans="1:21">
      <c r="A106" t="s">
        <v>220</v>
      </c>
      <c r="B106" t="s">
        <v>221</v>
      </c>
      <c r="C106" t="s">
        <v>54</v>
      </c>
      <c r="D106">
        <v>80000</v>
      </c>
      <c r="E106">
        <v>3000</v>
      </c>
      <c r="F106">
        <v>80000</v>
      </c>
      <c r="G106">
        <v>80000</v>
      </c>
      <c r="H106">
        <v>2</v>
      </c>
      <c r="I106" t="s">
        <v>89</v>
      </c>
      <c r="J106">
        <v>25</v>
      </c>
      <c r="K106">
        <v>50</v>
      </c>
      <c r="L106">
        <v>2</v>
      </c>
      <c r="M106" t="s">
        <v>25</v>
      </c>
      <c r="N106">
        <v>4</v>
      </c>
      <c r="O106">
        <v>11.33</v>
      </c>
      <c r="P106">
        <v>136411.03</v>
      </c>
      <c r="Q106">
        <v>95329.65</v>
      </c>
      <c r="R106">
        <v>390</v>
      </c>
      <c r="S106">
        <v>1622</v>
      </c>
      <c r="T106" t="s">
        <v>34</v>
      </c>
      <c r="U106" t="s">
        <v>42</v>
      </c>
    </row>
    <row r="107" spans="1:21">
      <c r="A107" t="s">
        <v>222</v>
      </c>
      <c r="B107" t="s">
        <v>223</v>
      </c>
      <c r="C107" t="s">
        <v>54</v>
      </c>
      <c r="D107">
        <v>65000</v>
      </c>
      <c r="E107">
        <v>3000</v>
      </c>
      <c r="F107">
        <v>65000</v>
      </c>
      <c r="G107">
        <v>65000</v>
      </c>
      <c r="H107">
        <v>2</v>
      </c>
      <c r="I107" t="s">
        <v>89</v>
      </c>
      <c r="J107">
        <v>15.53</v>
      </c>
      <c r="K107">
        <v>61</v>
      </c>
      <c r="L107">
        <v>2</v>
      </c>
      <c r="M107" t="s">
        <v>25</v>
      </c>
      <c r="N107">
        <v>7</v>
      </c>
      <c r="O107">
        <v>12.33</v>
      </c>
      <c r="P107">
        <v>136411.03</v>
      </c>
      <c r="Q107">
        <v>95329.65</v>
      </c>
      <c r="R107">
        <v>390</v>
      </c>
      <c r="S107">
        <v>1622</v>
      </c>
      <c r="T107" t="s">
        <v>108</v>
      </c>
      <c r="U107" t="s">
        <v>38</v>
      </c>
    </row>
    <row r="108" spans="1:21">
      <c r="A108" t="s">
        <v>224</v>
      </c>
      <c r="B108" t="s">
        <v>223</v>
      </c>
      <c r="C108" t="s">
        <v>54</v>
      </c>
      <c r="D108">
        <v>65000</v>
      </c>
      <c r="E108">
        <v>3000</v>
      </c>
      <c r="F108">
        <v>65000</v>
      </c>
      <c r="G108">
        <v>65000</v>
      </c>
      <c r="H108">
        <v>2</v>
      </c>
      <c r="I108" t="s">
        <v>89</v>
      </c>
      <c r="J108">
        <v>20.7</v>
      </c>
      <c r="K108">
        <v>61</v>
      </c>
      <c r="L108">
        <v>2</v>
      </c>
      <c r="M108" t="s">
        <v>25</v>
      </c>
      <c r="N108">
        <v>7</v>
      </c>
      <c r="O108">
        <v>12.33</v>
      </c>
      <c r="P108">
        <v>136411.03</v>
      </c>
      <c r="Q108">
        <v>95329.65</v>
      </c>
      <c r="R108">
        <v>390</v>
      </c>
      <c r="S108">
        <v>1622</v>
      </c>
      <c r="T108" t="s">
        <v>34</v>
      </c>
      <c r="U108" t="s">
        <v>38</v>
      </c>
    </row>
    <row r="109" spans="1:21">
      <c r="A109" t="s">
        <v>225</v>
      </c>
      <c r="B109" t="s">
        <v>226</v>
      </c>
      <c r="C109" t="s">
        <v>94</v>
      </c>
      <c r="D109">
        <v>110000</v>
      </c>
      <c r="E109">
        <v>10000</v>
      </c>
      <c r="G109">
        <v>110000</v>
      </c>
      <c r="H109">
        <v>5</v>
      </c>
      <c r="I109" t="s">
        <v>89</v>
      </c>
      <c r="J109">
        <v>26.03</v>
      </c>
      <c r="K109">
        <v>15</v>
      </c>
      <c r="L109">
        <v>11</v>
      </c>
      <c r="M109" t="s">
        <v>25</v>
      </c>
      <c r="N109">
        <v>8</v>
      </c>
      <c r="O109">
        <v>11</v>
      </c>
      <c r="P109">
        <v>136411.03</v>
      </c>
      <c r="Q109">
        <v>95329.65</v>
      </c>
      <c r="R109">
        <v>390</v>
      </c>
      <c r="S109">
        <v>1622</v>
      </c>
      <c r="T109" t="s">
        <v>34</v>
      </c>
      <c r="U109" t="s">
        <v>90</v>
      </c>
    </row>
    <row r="110" spans="1:21">
      <c r="A110" t="s">
        <v>227</v>
      </c>
      <c r="B110" t="s">
        <v>228</v>
      </c>
      <c r="C110" t="s">
        <v>54</v>
      </c>
      <c r="D110">
        <v>118000</v>
      </c>
      <c r="E110">
        <v>12000</v>
      </c>
      <c r="F110">
        <v>118000</v>
      </c>
      <c r="G110">
        <v>118000</v>
      </c>
      <c r="H110">
        <v>4</v>
      </c>
      <c r="I110" t="s">
        <v>89</v>
      </c>
      <c r="J110">
        <v>25.36</v>
      </c>
      <c r="K110">
        <v>8</v>
      </c>
      <c r="L110">
        <v>11</v>
      </c>
      <c r="M110" t="s">
        <v>25</v>
      </c>
      <c r="N110">
        <v>3</v>
      </c>
      <c r="O110">
        <v>7</v>
      </c>
      <c r="P110">
        <v>136411.03</v>
      </c>
      <c r="Q110">
        <v>95329.65</v>
      </c>
      <c r="R110">
        <v>390</v>
      </c>
      <c r="S110">
        <v>1622</v>
      </c>
      <c r="T110" t="s">
        <v>34</v>
      </c>
      <c r="U110" t="s">
        <v>31</v>
      </c>
    </row>
    <row r="111" spans="1:21">
      <c r="A111" t="s">
        <v>229</v>
      </c>
      <c r="B111" t="s">
        <v>230</v>
      </c>
      <c r="C111" t="s">
        <v>48</v>
      </c>
      <c r="D111">
        <v>58000</v>
      </c>
      <c r="E111">
        <v>3000</v>
      </c>
      <c r="H111">
        <v>1</v>
      </c>
      <c r="I111" t="s">
        <v>89</v>
      </c>
      <c r="J111">
        <v>9.2899999999999991</v>
      </c>
      <c r="K111">
        <v>17</v>
      </c>
      <c r="L111">
        <v>2</v>
      </c>
      <c r="M111" t="s">
        <v>25</v>
      </c>
      <c r="N111">
        <v>7</v>
      </c>
      <c r="O111">
        <v>9.67</v>
      </c>
      <c r="P111">
        <v>136411.03</v>
      </c>
      <c r="Q111">
        <v>95329.65</v>
      </c>
      <c r="R111">
        <v>390</v>
      </c>
      <c r="S111">
        <v>1622</v>
      </c>
      <c r="T111" t="s">
        <v>231</v>
      </c>
      <c r="U111" t="s">
        <v>90</v>
      </c>
    </row>
    <row r="112" spans="1:21">
      <c r="A112" t="s">
        <v>232</v>
      </c>
      <c r="B112" t="s">
        <v>233</v>
      </c>
      <c r="C112" t="s">
        <v>37</v>
      </c>
      <c r="D112">
        <v>103000</v>
      </c>
      <c r="E112">
        <v>5000</v>
      </c>
      <c r="G112">
        <v>154500</v>
      </c>
      <c r="H112">
        <v>1</v>
      </c>
      <c r="I112" t="s">
        <v>89</v>
      </c>
      <c r="J112">
        <v>26.27</v>
      </c>
      <c r="K112">
        <v>20</v>
      </c>
      <c r="L112">
        <v>2</v>
      </c>
      <c r="M112" t="s">
        <v>25</v>
      </c>
      <c r="N112">
        <v>9</v>
      </c>
      <c r="O112">
        <v>12.67</v>
      </c>
      <c r="P112">
        <v>136411.03</v>
      </c>
      <c r="Q112">
        <v>95329.65</v>
      </c>
      <c r="R112">
        <v>390</v>
      </c>
      <c r="S112">
        <v>1622</v>
      </c>
      <c r="T112" t="s">
        <v>34</v>
      </c>
      <c r="U112" t="s">
        <v>90</v>
      </c>
    </row>
    <row r="113" spans="1:21">
      <c r="A113" t="s">
        <v>234</v>
      </c>
      <c r="B113" t="s">
        <v>233</v>
      </c>
      <c r="C113" t="s">
        <v>37</v>
      </c>
      <c r="D113">
        <v>94000</v>
      </c>
      <c r="E113">
        <v>5000</v>
      </c>
      <c r="G113">
        <v>188000</v>
      </c>
      <c r="H113">
        <v>1</v>
      </c>
      <c r="I113" t="s">
        <v>89</v>
      </c>
      <c r="J113">
        <v>26.27</v>
      </c>
      <c r="K113">
        <v>20</v>
      </c>
      <c r="L113">
        <v>2</v>
      </c>
      <c r="M113" t="s">
        <v>25</v>
      </c>
      <c r="N113">
        <v>9</v>
      </c>
      <c r="O113">
        <v>12.67</v>
      </c>
      <c r="P113">
        <v>136411.03</v>
      </c>
      <c r="Q113">
        <v>95329.65</v>
      </c>
      <c r="R113">
        <v>390</v>
      </c>
      <c r="S113">
        <v>1622</v>
      </c>
      <c r="T113" t="s">
        <v>34</v>
      </c>
      <c r="U113" t="s">
        <v>90</v>
      </c>
    </row>
    <row r="114" spans="1:21">
      <c r="A114" t="s">
        <v>235</v>
      </c>
      <c r="B114" t="s">
        <v>236</v>
      </c>
      <c r="C114" t="s">
        <v>54</v>
      </c>
      <c r="D114">
        <v>84000</v>
      </c>
      <c r="E114">
        <v>3000</v>
      </c>
      <c r="F114">
        <v>84000</v>
      </c>
      <c r="G114">
        <v>84000</v>
      </c>
      <c r="H114">
        <v>1</v>
      </c>
      <c r="I114" t="s">
        <v>89</v>
      </c>
      <c r="J114">
        <v>29.02</v>
      </c>
      <c r="K114">
        <v>22</v>
      </c>
      <c r="L114">
        <v>2</v>
      </c>
      <c r="M114" t="s">
        <v>25</v>
      </c>
      <c r="N114">
        <v>5</v>
      </c>
      <c r="O114">
        <v>11</v>
      </c>
      <c r="P114">
        <v>136411.03</v>
      </c>
      <c r="Q114">
        <v>95329.65</v>
      </c>
      <c r="R114">
        <v>390</v>
      </c>
      <c r="S114">
        <v>1622</v>
      </c>
      <c r="T114" t="s">
        <v>34</v>
      </c>
      <c r="U114" t="s">
        <v>27</v>
      </c>
    </row>
    <row r="115" spans="1:21">
      <c r="A115" t="s">
        <v>237</v>
      </c>
      <c r="B115" t="s">
        <v>238</v>
      </c>
      <c r="C115" t="s">
        <v>37</v>
      </c>
      <c r="D115">
        <v>75000</v>
      </c>
      <c r="E115">
        <v>4000</v>
      </c>
      <c r="G115">
        <v>75000</v>
      </c>
      <c r="H115">
        <v>1</v>
      </c>
      <c r="I115" t="s">
        <v>89</v>
      </c>
      <c r="J115">
        <v>23.18</v>
      </c>
      <c r="K115">
        <v>27</v>
      </c>
      <c r="L115">
        <v>2</v>
      </c>
      <c r="M115" t="s">
        <v>25</v>
      </c>
      <c r="N115">
        <v>7</v>
      </c>
      <c r="O115">
        <v>15.67</v>
      </c>
      <c r="P115">
        <v>136411.03</v>
      </c>
      <c r="Q115">
        <v>95329.65</v>
      </c>
      <c r="R115">
        <v>390</v>
      </c>
      <c r="S115">
        <v>1622</v>
      </c>
      <c r="T115" t="s">
        <v>34</v>
      </c>
      <c r="U115" t="s">
        <v>27</v>
      </c>
    </row>
    <row r="116" spans="1:21">
      <c r="A116" t="s">
        <v>239</v>
      </c>
      <c r="B116" t="s">
        <v>240</v>
      </c>
      <c r="C116" t="s">
        <v>54</v>
      </c>
      <c r="D116">
        <v>80000</v>
      </c>
      <c r="E116">
        <v>3000</v>
      </c>
      <c r="F116">
        <v>80000</v>
      </c>
      <c r="G116">
        <v>80000</v>
      </c>
      <c r="H116">
        <v>2</v>
      </c>
      <c r="I116" t="s">
        <v>89</v>
      </c>
      <c r="J116">
        <v>25</v>
      </c>
      <c r="K116">
        <v>50</v>
      </c>
      <c r="L116">
        <v>2</v>
      </c>
      <c r="M116" t="s">
        <v>25</v>
      </c>
      <c r="N116">
        <v>4</v>
      </c>
      <c r="O116">
        <v>10.67</v>
      </c>
      <c r="P116">
        <v>136411.03</v>
      </c>
      <c r="Q116">
        <v>95329.65</v>
      </c>
      <c r="R116">
        <v>390</v>
      </c>
      <c r="S116">
        <v>1622</v>
      </c>
      <c r="T116" t="s">
        <v>34</v>
      </c>
      <c r="U116" t="s">
        <v>42</v>
      </c>
    </row>
    <row r="117" spans="1:21">
      <c r="A117" t="s">
        <v>241</v>
      </c>
      <c r="B117" t="s">
        <v>242</v>
      </c>
      <c r="C117" t="s">
        <v>54</v>
      </c>
      <c r="D117">
        <v>89000</v>
      </c>
      <c r="E117">
        <v>10000</v>
      </c>
      <c r="G117">
        <v>44500</v>
      </c>
      <c r="H117">
        <v>1</v>
      </c>
      <c r="I117" t="s">
        <v>89</v>
      </c>
      <c r="J117">
        <v>20.29</v>
      </c>
      <c r="K117">
        <v>6</v>
      </c>
      <c r="L117">
        <v>2</v>
      </c>
      <c r="M117" t="s">
        <v>25</v>
      </c>
      <c r="N117">
        <v>3</v>
      </c>
      <c r="O117">
        <v>9.33</v>
      </c>
      <c r="P117">
        <v>136411.03</v>
      </c>
      <c r="Q117">
        <v>95329.65</v>
      </c>
      <c r="R117">
        <v>390</v>
      </c>
      <c r="S117">
        <v>1622</v>
      </c>
      <c r="T117" t="s">
        <v>34</v>
      </c>
      <c r="U117" t="s">
        <v>31</v>
      </c>
    </row>
    <row r="118" spans="1:21">
      <c r="A118" t="s">
        <v>243</v>
      </c>
      <c r="B118" t="s">
        <v>244</v>
      </c>
      <c r="C118" t="s">
        <v>54</v>
      </c>
      <c r="D118">
        <v>90000</v>
      </c>
      <c r="E118">
        <v>5000</v>
      </c>
      <c r="F118">
        <v>90000</v>
      </c>
      <c r="H118">
        <v>1</v>
      </c>
      <c r="I118" t="s">
        <v>89</v>
      </c>
      <c r="J118">
        <v>20.77</v>
      </c>
      <c r="K118">
        <v>8</v>
      </c>
      <c r="L118">
        <v>2</v>
      </c>
      <c r="M118" t="s">
        <v>25</v>
      </c>
      <c r="N118">
        <v>7</v>
      </c>
      <c r="O118">
        <v>11</v>
      </c>
      <c r="P118">
        <v>136411.03</v>
      </c>
      <c r="Q118">
        <v>95329.65</v>
      </c>
      <c r="R118">
        <v>390</v>
      </c>
      <c r="S118">
        <v>1622</v>
      </c>
      <c r="T118" t="s">
        <v>34</v>
      </c>
      <c r="U118" t="s">
        <v>31</v>
      </c>
    </row>
    <row r="119" spans="1:21">
      <c r="A119" t="s">
        <v>245</v>
      </c>
      <c r="B119" t="s">
        <v>246</v>
      </c>
      <c r="C119" t="s">
        <v>37</v>
      </c>
      <c r="D119">
        <v>77000</v>
      </c>
      <c r="E119">
        <v>3000</v>
      </c>
      <c r="G119">
        <v>77000</v>
      </c>
      <c r="H119">
        <v>2</v>
      </c>
      <c r="I119" t="s">
        <v>89</v>
      </c>
      <c r="J119">
        <v>17.22</v>
      </c>
      <c r="K119">
        <v>13</v>
      </c>
      <c r="L119">
        <v>3</v>
      </c>
      <c r="M119" t="s">
        <v>25</v>
      </c>
      <c r="N119">
        <v>10</v>
      </c>
      <c r="O119">
        <v>12</v>
      </c>
      <c r="P119">
        <v>136411.03</v>
      </c>
      <c r="Q119">
        <v>95329.65</v>
      </c>
      <c r="R119">
        <v>390</v>
      </c>
      <c r="S119">
        <v>1622</v>
      </c>
      <c r="T119" t="s">
        <v>108</v>
      </c>
      <c r="U119" t="s">
        <v>90</v>
      </c>
    </row>
    <row r="120" spans="1:21">
      <c r="A120" t="s">
        <v>247</v>
      </c>
      <c r="B120" t="s">
        <v>248</v>
      </c>
      <c r="C120" t="s">
        <v>37</v>
      </c>
      <c r="D120">
        <v>107000</v>
      </c>
      <c r="E120">
        <v>10000</v>
      </c>
      <c r="F120">
        <v>107000</v>
      </c>
      <c r="H120">
        <v>2</v>
      </c>
      <c r="I120" t="s">
        <v>89</v>
      </c>
      <c r="J120">
        <v>25.41</v>
      </c>
      <c r="K120">
        <v>15</v>
      </c>
      <c r="L120">
        <v>3</v>
      </c>
      <c r="M120" t="s">
        <v>25</v>
      </c>
      <c r="N120">
        <v>6</v>
      </c>
      <c r="O120">
        <v>11</v>
      </c>
      <c r="P120">
        <v>136411.03</v>
      </c>
      <c r="Q120">
        <v>95329.65</v>
      </c>
      <c r="R120">
        <v>390</v>
      </c>
      <c r="S120">
        <v>1622</v>
      </c>
      <c r="T120" t="s">
        <v>34</v>
      </c>
      <c r="U120" t="s">
        <v>90</v>
      </c>
    </row>
    <row r="121" spans="1:21">
      <c r="A121" t="s">
        <v>249</v>
      </c>
      <c r="B121" t="s">
        <v>250</v>
      </c>
      <c r="C121" t="s">
        <v>30</v>
      </c>
      <c r="D121">
        <v>109000</v>
      </c>
      <c r="E121">
        <v>5500</v>
      </c>
      <c r="G121">
        <v>109000</v>
      </c>
      <c r="H121">
        <v>2</v>
      </c>
      <c r="I121" t="s">
        <v>89</v>
      </c>
      <c r="J121">
        <v>19.87</v>
      </c>
      <c r="K121">
        <v>17</v>
      </c>
      <c r="L121">
        <v>3</v>
      </c>
      <c r="M121" t="s">
        <v>25</v>
      </c>
      <c r="N121">
        <v>7</v>
      </c>
      <c r="O121">
        <v>10.33</v>
      </c>
      <c r="P121">
        <v>136411.03</v>
      </c>
      <c r="Q121">
        <v>95329.65</v>
      </c>
      <c r="R121">
        <v>390</v>
      </c>
      <c r="S121">
        <v>1622</v>
      </c>
      <c r="T121" t="s">
        <v>108</v>
      </c>
      <c r="U121" t="s">
        <v>90</v>
      </c>
    </row>
    <row r="122" spans="1:21">
      <c r="A122" t="s">
        <v>251</v>
      </c>
      <c r="B122" t="s">
        <v>252</v>
      </c>
      <c r="C122" t="s">
        <v>54</v>
      </c>
      <c r="D122">
        <v>84000</v>
      </c>
      <c r="E122">
        <v>8000</v>
      </c>
      <c r="G122">
        <v>84000</v>
      </c>
      <c r="H122">
        <v>2</v>
      </c>
      <c r="I122" t="s">
        <v>89</v>
      </c>
      <c r="J122">
        <v>22.27</v>
      </c>
      <c r="K122">
        <v>37</v>
      </c>
      <c r="L122">
        <v>2</v>
      </c>
      <c r="M122" t="s">
        <v>25</v>
      </c>
      <c r="N122">
        <v>4</v>
      </c>
      <c r="O122">
        <v>7.5</v>
      </c>
      <c r="P122">
        <v>136411.03</v>
      </c>
      <c r="Q122">
        <v>95329.65</v>
      </c>
      <c r="R122">
        <v>390</v>
      </c>
      <c r="S122">
        <v>1622</v>
      </c>
      <c r="T122" t="s">
        <v>34</v>
      </c>
      <c r="U122" t="s">
        <v>49</v>
      </c>
    </row>
    <row r="123" spans="1:21">
      <c r="A123" t="s">
        <v>253</v>
      </c>
      <c r="B123" t="s">
        <v>254</v>
      </c>
      <c r="C123" t="s">
        <v>104</v>
      </c>
      <c r="D123">
        <v>83000</v>
      </c>
      <c r="E123">
        <v>3500</v>
      </c>
      <c r="F123">
        <v>83000</v>
      </c>
      <c r="G123">
        <v>83000</v>
      </c>
      <c r="H123">
        <v>3</v>
      </c>
      <c r="I123" t="s">
        <v>89</v>
      </c>
      <c r="J123">
        <v>20.48</v>
      </c>
      <c r="K123">
        <v>20</v>
      </c>
      <c r="L123">
        <v>4</v>
      </c>
      <c r="M123" t="s">
        <v>25</v>
      </c>
      <c r="N123">
        <v>5</v>
      </c>
      <c r="O123">
        <v>9</v>
      </c>
      <c r="P123">
        <v>136411.03</v>
      </c>
      <c r="Q123">
        <v>95329.65</v>
      </c>
      <c r="R123">
        <v>390</v>
      </c>
      <c r="S123">
        <v>1622</v>
      </c>
      <c r="T123" t="s">
        <v>34</v>
      </c>
      <c r="U123" t="s">
        <v>90</v>
      </c>
    </row>
    <row r="124" spans="1:21">
      <c r="A124" t="s">
        <v>255</v>
      </c>
      <c r="B124" t="s">
        <v>256</v>
      </c>
      <c r="C124" t="s">
        <v>37</v>
      </c>
      <c r="D124">
        <v>95000</v>
      </c>
      <c r="E124">
        <v>15000</v>
      </c>
      <c r="F124">
        <v>95000</v>
      </c>
      <c r="G124">
        <v>95000</v>
      </c>
      <c r="H124">
        <v>2</v>
      </c>
      <c r="I124" t="s">
        <v>89</v>
      </c>
      <c r="J124">
        <v>27.08</v>
      </c>
      <c r="K124">
        <v>21</v>
      </c>
      <c r="L124">
        <v>4</v>
      </c>
      <c r="M124" t="s">
        <v>25</v>
      </c>
      <c r="N124">
        <v>4</v>
      </c>
      <c r="O124">
        <v>9.67</v>
      </c>
      <c r="P124">
        <v>136411.03</v>
      </c>
      <c r="Q124">
        <v>95329.65</v>
      </c>
      <c r="R124">
        <v>390</v>
      </c>
      <c r="S124">
        <v>1622</v>
      </c>
      <c r="T124" t="s">
        <v>34</v>
      </c>
      <c r="U124" t="s">
        <v>27</v>
      </c>
    </row>
    <row r="125" spans="1:21">
      <c r="A125" t="s">
        <v>257</v>
      </c>
      <c r="B125" t="s">
        <v>258</v>
      </c>
      <c r="C125" t="s">
        <v>37</v>
      </c>
      <c r="D125">
        <v>102000</v>
      </c>
      <c r="E125">
        <v>15000</v>
      </c>
      <c r="F125">
        <v>102000</v>
      </c>
      <c r="H125">
        <v>1</v>
      </c>
      <c r="I125" t="s">
        <v>89</v>
      </c>
      <c r="J125">
        <v>19.72</v>
      </c>
      <c r="K125">
        <v>2</v>
      </c>
      <c r="L125">
        <v>4</v>
      </c>
      <c r="M125" t="s">
        <v>25</v>
      </c>
      <c r="N125">
        <v>5</v>
      </c>
      <c r="O125">
        <v>9.33</v>
      </c>
      <c r="P125">
        <v>136411.03</v>
      </c>
      <c r="Q125">
        <v>95329.65</v>
      </c>
      <c r="R125">
        <v>390</v>
      </c>
      <c r="S125">
        <v>1622</v>
      </c>
      <c r="T125" t="s">
        <v>108</v>
      </c>
      <c r="U125" t="s">
        <v>31</v>
      </c>
    </row>
    <row r="126" spans="1:21">
      <c r="A126" t="s">
        <v>259</v>
      </c>
      <c r="B126" t="s">
        <v>260</v>
      </c>
      <c r="C126" t="s">
        <v>37</v>
      </c>
      <c r="D126">
        <v>105000</v>
      </c>
      <c r="E126">
        <v>15000</v>
      </c>
      <c r="H126">
        <v>4</v>
      </c>
      <c r="I126" t="s">
        <v>89</v>
      </c>
      <c r="J126">
        <v>25.52</v>
      </c>
      <c r="K126">
        <v>4</v>
      </c>
      <c r="L126">
        <v>4</v>
      </c>
      <c r="M126" t="s">
        <v>25</v>
      </c>
      <c r="N126">
        <v>10</v>
      </c>
      <c r="O126">
        <v>11.5</v>
      </c>
      <c r="P126">
        <v>136411.03</v>
      </c>
      <c r="Q126">
        <v>95329.65</v>
      </c>
      <c r="R126">
        <v>390</v>
      </c>
      <c r="S126">
        <v>1622</v>
      </c>
      <c r="T126" t="s">
        <v>34</v>
      </c>
      <c r="U126" t="s">
        <v>31</v>
      </c>
    </row>
    <row r="127" spans="1:21">
      <c r="A127" t="s">
        <v>261</v>
      </c>
      <c r="B127" t="s">
        <v>262</v>
      </c>
      <c r="C127" t="s">
        <v>104</v>
      </c>
      <c r="D127">
        <v>127000</v>
      </c>
      <c r="E127">
        <v>18000</v>
      </c>
      <c r="H127">
        <v>2</v>
      </c>
      <c r="I127" t="s">
        <v>89</v>
      </c>
      <c r="J127">
        <v>26.42</v>
      </c>
      <c r="K127">
        <v>2</v>
      </c>
      <c r="L127">
        <v>5</v>
      </c>
      <c r="M127" t="s">
        <v>25</v>
      </c>
      <c r="N127">
        <v>5</v>
      </c>
      <c r="O127">
        <v>7.67</v>
      </c>
      <c r="P127">
        <v>136411.03</v>
      </c>
      <c r="Q127">
        <v>95329.65</v>
      </c>
      <c r="R127">
        <v>390</v>
      </c>
      <c r="S127">
        <v>1622</v>
      </c>
      <c r="T127" t="s">
        <v>34</v>
      </c>
      <c r="U127" t="s">
        <v>31</v>
      </c>
    </row>
    <row r="128" spans="1:21">
      <c r="A128" t="s">
        <v>263</v>
      </c>
      <c r="B128" t="s">
        <v>264</v>
      </c>
      <c r="C128" t="s">
        <v>48</v>
      </c>
      <c r="D128">
        <v>93000</v>
      </c>
      <c r="E128">
        <v>15000</v>
      </c>
      <c r="G128">
        <v>93000</v>
      </c>
      <c r="H128">
        <v>2</v>
      </c>
      <c r="I128" t="s">
        <v>89</v>
      </c>
      <c r="J128">
        <v>25.52</v>
      </c>
      <c r="K128">
        <v>13</v>
      </c>
      <c r="L128">
        <v>6</v>
      </c>
      <c r="M128" t="s">
        <v>25</v>
      </c>
      <c r="N128">
        <v>3</v>
      </c>
      <c r="O128">
        <v>9</v>
      </c>
      <c r="P128">
        <v>136411.03</v>
      </c>
      <c r="Q128">
        <v>95329.65</v>
      </c>
      <c r="R128">
        <v>390</v>
      </c>
      <c r="S128">
        <v>1622</v>
      </c>
      <c r="T128" t="s">
        <v>34</v>
      </c>
      <c r="U128" t="s">
        <v>90</v>
      </c>
    </row>
    <row r="129" spans="1:21">
      <c r="A129" t="s">
        <v>265</v>
      </c>
      <c r="B129" t="s">
        <v>264</v>
      </c>
      <c r="C129" t="s">
        <v>48</v>
      </c>
      <c r="D129">
        <v>92000</v>
      </c>
      <c r="E129">
        <v>10000</v>
      </c>
      <c r="F129">
        <v>92000</v>
      </c>
      <c r="G129">
        <v>92000</v>
      </c>
      <c r="H129">
        <v>4</v>
      </c>
      <c r="I129" t="s">
        <v>89</v>
      </c>
      <c r="J129">
        <v>25.52</v>
      </c>
      <c r="K129">
        <v>13</v>
      </c>
      <c r="L129">
        <v>6</v>
      </c>
      <c r="M129" t="s">
        <v>25</v>
      </c>
      <c r="N129">
        <v>3</v>
      </c>
      <c r="O129">
        <v>9</v>
      </c>
      <c r="P129">
        <v>136411.03</v>
      </c>
      <c r="Q129">
        <v>95329.65</v>
      </c>
      <c r="R129">
        <v>390</v>
      </c>
      <c r="S129">
        <v>1622</v>
      </c>
      <c r="T129" t="s">
        <v>34</v>
      </c>
      <c r="U129" t="s">
        <v>90</v>
      </c>
    </row>
    <row r="130" spans="1:21">
      <c r="A130" t="s">
        <v>266</v>
      </c>
      <c r="B130" t="s">
        <v>267</v>
      </c>
      <c r="C130" t="s">
        <v>41</v>
      </c>
      <c r="D130">
        <v>94000</v>
      </c>
      <c r="E130">
        <v>5000</v>
      </c>
      <c r="G130">
        <v>94000</v>
      </c>
      <c r="H130">
        <v>3</v>
      </c>
      <c r="I130" t="s">
        <v>89</v>
      </c>
      <c r="J130">
        <v>22.8</v>
      </c>
      <c r="K130">
        <v>17</v>
      </c>
      <c r="L130">
        <v>7</v>
      </c>
      <c r="M130" t="s">
        <v>25</v>
      </c>
      <c r="N130">
        <v>2</v>
      </c>
      <c r="O130">
        <v>8</v>
      </c>
      <c r="P130">
        <v>136411.03</v>
      </c>
      <c r="Q130">
        <v>95329.65</v>
      </c>
      <c r="R130">
        <v>390</v>
      </c>
      <c r="S130">
        <v>1622</v>
      </c>
      <c r="T130" t="s">
        <v>34</v>
      </c>
      <c r="U130" t="s">
        <v>90</v>
      </c>
    </row>
    <row r="131" spans="1:21">
      <c r="A131" t="s">
        <v>268</v>
      </c>
      <c r="B131" t="s">
        <v>267</v>
      </c>
      <c r="C131" t="s">
        <v>41</v>
      </c>
      <c r="D131">
        <v>88000</v>
      </c>
      <c r="E131">
        <v>10000</v>
      </c>
      <c r="F131">
        <v>88000</v>
      </c>
      <c r="G131">
        <v>88000</v>
      </c>
      <c r="H131">
        <v>4</v>
      </c>
      <c r="I131" t="s">
        <v>89</v>
      </c>
      <c r="J131">
        <v>24.37</v>
      </c>
      <c r="K131">
        <v>17</v>
      </c>
      <c r="L131">
        <v>7</v>
      </c>
      <c r="M131" t="s">
        <v>25</v>
      </c>
      <c r="N131">
        <v>2</v>
      </c>
      <c r="O131">
        <v>8</v>
      </c>
      <c r="P131">
        <v>136411.03</v>
      </c>
      <c r="Q131">
        <v>95329.65</v>
      </c>
      <c r="R131">
        <v>390</v>
      </c>
      <c r="S131">
        <v>1622</v>
      </c>
      <c r="T131" t="s">
        <v>34</v>
      </c>
      <c r="U131" t="s">
        <v>90</v>
      </c>
    </row>
    <row r="132" spans="1:21">
      <c r="A132" t="s">
        <v>269</v>
      </c>
      <c r="B132" t="s">
        <v>270</v>
      </c>
      <c r="C132" t="s">
        <v>121</v>
      </c>
      <c r="D132">
        <v>127000</v>
      </c>
      <c r="E132">
        <v>15000</v>
      </c>
      <c r="H132">
        <v>4</v>
      </c>
      <c r="I132" t="s">
        <v>89</v>
      </c>
      <c r="J132">
        <v>28.67</v>
      </c>
      <c r="K132">
        <v>18</v>
      </c>
      <c r="L132">
        <v>7</v>
      </c>
      <c r="M132" t="s">
        <v>25</v>
      </c>
      <c r="N132">
        <v>5</v>
      </c>
      <c r="O132">
        <v>6</v>
      </c>
      <c r="P132">
        <v>136411.03</v>
      </c>
      <c r="Q132">
        <v>95329.65</v>
      </c>
      <c r="R132">
        <v>390</v>
      </c>
      <c r="S132">
        <v>1622</v>
      </c>
      <c r="T132" t="s">
        <v>34</v>
      </c>
      <c r="U132" t="s">
        <v>90</v>
      </c>
    </row>
    <row r="133" spans="1:21">
      <c r="A133" t="s">
        <v>271</v>
      </c>
      <c r="B133" t="s">
        <v>270</v>
      </c>
      <c r="C133" t="s">
        <v>121</v>
      </c>
      <c r="D133">
        <v>120000</v>
      </c>
      <c r="E133">
        <v>15000</v>
      </c>
      <c r="H133">
        <v>6</v>
      </c>
      <c r="I133" t="s">
        <v>89</v>
      </c>
      <c r="J133">
        <v>28.82</v>
      </c>
      <c r="K133">
        <v>18</v>
      </c>
      <c r="L133">
        <v>7</v>
      </c>
      <c r="M133" t="s">
        <v>25</v>
      </c>
      <c r="N133">
        <v>5</v>
      </c>
      <c r="O133">
        <v>7</v>
      </c>
      <c r="P133">
        <v>136411.03</v>
      </c>
      <c r="Q133">
        <v>95329.65</v>
      </c>
      <c r="R133">
        <v>390</v>
      </c>
      <c r="S133">
        <v>1622</v>
      </c>
      <c r="T133" t="s">
        <v>34</v>
      </c>
      <c r="U133" t="s">
        <v>90</v>
      </c>
    </row>
    <row r="134" spans="1:21">
      <c r="A134" t="s">
        <v>272</v>
      </c>
      <c r="B134" t="s">
        <v>273</v>
      </c>
      <c r="C134" t="s">
        <v>41</v>
      </c>
      <c r="D134">
        <v>78000</v>
      </c>
      <c r="E134">
        <v>8000</v>
      </c>
      <c r="F134">
        <v>78000</v>
      </c>
      <c r="G134">
        <v>78000</v>
      </c>
      <c r="H134">
        <v>1</v>
      </c>
      <c r="I134" t="s">
        <v>89</v>
      </c>
      <c r="J134">
        <v>20.329999999999998</v>
      </c>
      <c r="K134">
        <v>23</v>
      </c>
      <c r="L134">
        <v>7</v>
      </c>
      <c r="M134" t="s">
        <v>25</v>
      </c>
      <c r="N134">
        <v>3</v>
      </c>
      <c r="O134">
        <v>6</v>
      </c>
      <c r="P134">
        <v>136411.03</v>
      </c>
      <c r="Q134">
        <v>95329.65</v>
      </c>
      <c r="R134">
        <v>390</v>
      </c>
      <c r="S134">
        <v>1622</v>
      </c>
      <c r="T134" t="s">
        <v>34</v>
      </c>
      <c r="U134" t="s">
        <v>27</v>
      </c>
    </row>
    <row r="135" spans="1:21">
      <c r="A135" t="s">
        <v>274</v>
      </c>
      <c r="B135" t="s">
        <v>273</v>
      </c>
      <c r="C135" t="s">
        <v>41</v>
      </c>
      <c r="D135">
        <v>79000</v>
      </c>
      <c r="E135">
        <v>10000</v>
      </c>
      <c r="G135">
        <v>79000</v>
      </c>
      <c r="H135">
        <v>6</v>
      </c>
      <c r="I135" t="s">
        <v>89</v>
      </c>
      <c r="J135">
        <v>21.22</v>
      </c>
      <c r="K135">
        <v>23</v>
      </c>
      <c r="L135">
        <v>7</v>
      </c>
      <c r="M135" t="s">
        <v>25</v>
      </c>
      <c r="N135">
        <v>3</v>
      </c>
      <c r="O135">
        <v>6</v>
      </c>
      <c r="P135">
        <v>136411.03</v>
      </c>
      <c r="Q135">
        <v>95329.65</v>
      </c>
      <c r="R135">
        <v>390</v>
      </c>
      <c r="S135">
        <v>1622</v>
      </c>
      <c r="T135" t="s">
        <v>34</v>
      </c>
      <c r="U135" t="s">
        <v>27</v>
      </c>
    </row>
    <row r="136" spans="1:21">
      <c r="A136" t="s">
        <v>275</v>
      </c>
      <c r="B136" t="s">
        <v>276</v>
      </c>
      <c r="C136" t="s">
        <v>104</v>
      </c>
      <c r="D136">
        <v>90000</v>
      </c>
      <c r="E136">
        <v>5000</v>
      </c>
      <c r="G136">
        <v>90000</v>
      </c>
      <c r="H136">
        <v>7</v>
      </c>
      <c r="I136" t="s">
        <v>89</v>
      </c>
      <c r="J136">
        <v>19.73</v>
      </c>
      <c r="K136">
        <v>21</v>
      </c>
      <c r="L136">
        <v>9</v>
      </c>
      <c r="M136" t="s">
        <v>25</v>
      </c>
      <c r="N136">
        <v>6</v>
      </c>
      <c r="O136">
        <v>7.67</v>
      </c>
      <c r="P136">
        <v>136411.03</v>
      </c>
      <c r="Q136">
        <v>95329.65</v>
      </c>
      <c r="R136">
        <v>390</v>
      </c>
      <c r="S136">
        <v>1622</v>
      </c>
      <c r="T136" t="s">
        <v>108</v>
      </c>
      <c r="U136" t="s">
        <v>27</v>
      </c>
    </row>
    <row r="137" spans="1:21">
      <c r="A137" t="s">
        <v>277</v>
      </c>
      <c r="B137" t="s">
        <v>278</v>
      </c>
      <c r="C137" t="s">
        <v>54</v>
      </c>
      <c r="D137">
        <v>92000</v>
      </c>
      <c r="E137">
        <v>8000</v>
      </c>
      <c r="G137">
        <v>92000</v>
      </c>
      <c r="H137">
        <v>8</v>
      </c>
      <c r="I137" t="s">
        <v>89</v>
      </c>
      <c r="J137">
        <v>22.28</v>
      </c>
      <c r="K137">
        <v>24</v>
      </c>
      <c r="L137">
        <v>9</v>
      </c>
      <c r="M137" t="s">
        <v>25</v>
      </c>
      <c r="N137">
        <v>2</v>
      </c>
      <c r="O137">
        <v>9</v>
      </c>
      <c r="P137">
        <v>136411.03</v>
      </c>
      <c r="Q137">
        <v>95329.65</v>
      </c>
      <c r="R137">
        <v>390</v>
      </c>
      <c r="S137">
        <v>1622</v>
      </c>
      <c r="T137" t="s">
        <v>34</v>
      </c>
      <c r="U137" t="s">
        <v>27</v>
      </c>
    </row>
    <row r="138" spans="1:21">
      <c r="A138" t="s">
        <v>279</v>
      </c>
      <c r="B138" t="s">
        <v>280</v>
      </c>
      <c r="C138" t="s">
        <v>30</v>
      </c>
      <c r="D138">
        <v>125000</v>
      </c>
      <c r="E138">
        <v>15000</v>
      </c>
      <c r="F138">
        <v>125000</v>
      </c>
      <c r="G138">
        <v>125000</v>
      </c>
      <c r="H138">
        <v>3</v>
      </c>
      <c r="I138" t="s">
        <v>89</v>
      </c>
      <c r="J138">
        <v>26.22</v>
      </c>
      <c r="K138">
        <v>2</v>
      </c>
      <c r="L138">
        <v>9</v>
      </c>
      <c r="M138" t="s">
        <v>25</v>
      </c>
      <c r="N138">
        <v>5</v>
      </c>
      <c r="O138">
        <v>8.67</v>
      </c>
      <c r="P138">
        <v>136411.03</v>
      </c>
      <c r="Q138">
        <v>95329.65</v>
      </c>
      <c r="R138">
        <v>390</v>
      </c>
      <c r="S138">
        <v>1622</v>
      </c>
      <c r="T138" t="s">
        <v>34</v>
      </c>
      <c r="U138" t="s">
        <v>31</v>
      </c>
    </row>
    <row r="139" spans="1:21">
      <c r="A139" t="s">
        <v>281</v>
      </c>
      <c r="B139" t="s">
        <v>282</v>
      </c>
      <c r="C139" t="s">
        <v>37</v>
      </c>
      <c r="D139">
        <v>95500</v>
      </c>
      <c r="E139">
        <v>12000</v>
      </c>
      <c r="F139">
        <v>95500</v>
      </c>
      <c r="G139">
        <v>95500</v>
      </c>
      <c r="H139">
        <v>4</v>
      </c>
      <c r="I139" t="s">
        <v>89</v>
      </c>
      <c r="J139">
        <v>25.61</v>
      </c>
      <c r="K139">
        <v>6</v>
      </c>
      <c r="L139">
        <v>9</v>
      </c>
      <c r="M139" t="s">
        <v>25</v>
      </c>
      <c r="N139">
        <v>9</v>
      </c>
      <c r="O139">
        <v>9.67</v>
      </c>
      <c r="P139">
        <v>136411.03</v>
      </c>
      <c r="Q139">
        <v>95329.65</v>
      </c>
      <c r="R139">
        <v>390</v>
      </c>
      <c r="S139">
        <v>1622</v>
      </c>
      <c r="T139" t="s">
        <v>34</v>
      </c>
      <c r="U139" t="s">
        <v>31</v>
      </c>
    </row>
    <row r="140" spans="1:21">
      <c r="A140" t="s">
        <v>283</v>
      </c>
      <c r="B140" t="s">
        <v>284</v>
      </c>
      <c r="C140" t="s">
        <v>30</v>
      </c>
      <c r="D140">
        <v>125000</v>
      </c>
      <c r="E140">
        <v>15000</v>
      </c>
      <c r="F140">
        <v>125000</v>
      </c>
      <c r="G140">
        <v>187500</v>
      </c>
      <c r="H140">
        <v>6</v>
      </c>
      <c r="I140" t="s">
        <v>89</v>
      </c>
      <c r="J140">
        <v>31.08</v>
      </c>
      <c r="K140">
        <v>7</v>
      </c>
      <c r="L140">
        <v>9</v>
      </c>
      <c r="M140" t="s">
        <v>25</v>
      </c>
      <c r="N140">
        <v>5</v>
      </c>
      <c r="O140">
        <v>10</v>
      </c>
      <c r="P140">
        <v>136411.03</v>
      </c>
      <c r="Q140">
        <v>95329.65</v>
      </c>
      <c r="R140">
        <v>390</v>
      </c>
      <c r="S140">
        <v>1622</v>
      </c>
      <c r="T140" t="s">
        <v>26</v>
      </c>
      <c r="U140" t="s">
        <v>31</v>
      </c>
    </row>
    <row r="141" spans="1:21">
      <c r="A141" t="s">
        <v>285</v>
      </c>
      <c r="B141" t="s">
        <v>284</v>
      </c>
      <c r="C141" t="s">
        <v>30</v>
      </c>
      <c r="D141">
        <v>124000</v>
      </c>
      <c r="E141">
        <v>15000</v>
      </c>
      <c r="F141">
        <v>124000</v>
      </c>
      <c r="G141">
        <v>186000</v>
      </c>
      <c r="H141">
        <v>9</v>
      </c>
      <c r="I141" t="s">
        <v>89</v>
      </c>
      <c r="J141">
        <v>30.09</v>
      </c>
      <c r="K141">
        <v>7</v>
      </c>
      <c r="L141">
        <v>9</v>
      </c>
      <c r="M141" t="s">
        <v>25</v>
      </c>
      <c r="N141">
        <v>5</v>
      </c>
      <c r="O141">
        <v>10</v>
      </c>
      <c r="P141">
        <v>136411.03</v>
      </c>
      <c r="Q141">
        <v>95329.65</v>
      </c>
      <c r="R141">
        <v>390</v>
      </c>
      <c r="S141">
        <v>1622</v>
      </c>
      <c r="T141" t="s">
        <v>26</v>
      </c>
      <c r="U141" t="s">
        <v>31</v>
      </c>
    </row>
    <row r="142" spans="1:21">
      <c r="A142" t="s">
        <v>286</v>
      </c>
      <c r="B142" t="s">
        <v>287</v>
      </c>
      <c r="C142" t="s">
        <v>121</v>
      </c>
      <c r="D142">
        <v>95000</v>
      </c>
      <c r="E142">
        <v>5000</v>
      </c>
      <c r="F142">
        <v>95000</v>
      </c>
      <c r="G142">
        <v>95000</v>
      </c>
      <c r="H142">
        <v>4</v>
      </c>
      <c r="I142" t="s">
        <v>89</v>
      </c>
      <c r="J142">
        <v>22</v>
      </c>
      <c r="K142">
        <v>27</v>
      </c>
      <c r="L142">
        <v>5</v>
      </c>
      <c r="M142" t="s">
        <v>25</v>
      </c>
      <c r="N142">
        <v>3</v>
      </c>
      <c r="O142">
        <v>10.33</v>
      </c>
      <c r="P142">
        <v>136411.03</v>
      </c>
      <c r="Q142">
        <v>95329.65</v>
      </c>
      <c r="R142">
        <v>390</v>
      </c>
      <c r="S142">
        <v>1622</v>
      </c>
      <c r="T142" t="s">
        <v>34</v>
      </c>
      <c r="U142" t="s">
        <v>27</v>
      </c>
    </row>
    <row r="143" spans="1:21">
      <c r="A143" t="s">
        <v>288</v>
      </c>
      <c r="B143" t="s">
        <v>289</v>
      </c>
      <c r="C143" t="s">
        <v>37</v>
      </c>
      <c r="D143">
        <v>115000</v>
      </c>
      <c r="E143">
        <v>15000</v>
      </c>
      <c r="G143">
        <v>172500</v>
      </c>
      <c r="H143">
        <v>4</v>
      </c>
      <c r="I143" t="s">
        <v>89</v>
      </c>
      <c r="J143">
        <v>25.84</v>
      </c>
      <c r="K143">
        <v>7</v>
      </c>
      <c r="L143">
        <v>10</v>
      </c>
      <c r="M143" t="s">
        <v>25</v>
      </c>
      <c r="N143">
        <v>11</v>
      </c>
      <c r="O143">
        <v>12.67</v>
      </c>
      <c r="P143">
        <v>136411.03</v>
      </c>
      <c r="Q143">
        <v>95329.65</v>
      </c>
      <c r="R143">
        <v>390</v>
      </c>
      <c r="S143">
        <v>1622</v>
      </c>
      <c r="T143" t="s">
        <v>34</v>
      </c>
      <c r="U143" t="s">
        <v>31</v>
      </c>
    </row>
    <row r="144" spans="1:21">
      <c r="A144" t="s">
        <v>290</v>
      </c>
      <c r="B144" t="s">
        <v>289</v>
      </c>
      <c r="C144" t="s">
        <v>37</v>
      </c>
      <c r="D144">
        <v>120000</v>
      </c>
      <c r="E144">
        <v>15000</v>
      </c>
      <c r="G144">
        <v>120000</v>
      </c>
      <c r="H144">
        <v>9</v>
      </c>
      <c r="I144" t="s">
        <v>89</v>
      </c>
      <c r="J144">
        <v>25.85</v>
      </c>
      <c r="K144">
        <v>7</v>
      </c>
      <c r="L144">
        <v>10</v>
      </c>
      <c r="M144" t="s">
        <v>25</v>
      </c>
      <c r="N144">
        <v>11</v>
      </c>
      <c r="O144">
        <v>12.67</v>
      </c>
      <c r="P144">
        <v>136411.03</v>
      </c>
      <c r="Q144">
        <v>95329.65</v>
      </c>
      <c r="R144">
        <v>390</v>
      </c>
      <c r="S144">
        <v>1622</v>
      </c>
      <c r="T144" t="s">
        <v>34</v>
      </c>
      <c r="U144" t="s">
        <v>31</v>
      </c>
    </row>
    <row r="145" spans="1:21">
      <c r="A145" t="s">
        <v>291</v>
      </c>
      <c r="B145" t="s">
        <v>292</v>
      </c>
      <c r="C145" t="s">
        <v>48</v>
      </c>
      <c r="D145">
        <v>35000</v>
      </c>
      <c r="E145">
        <v>1000</v>
      </c>
      <c r="F145">
        <v>35000</v>
      </c>
      <c r="G145">
        <v>35000</v>
      </c>
      <c r="H145">
        <v>1</v>
      </c>
      <c r="I145" t="s">
        <v>89</v>
      </c>
      <c r="J145">
        <v>18</v>
      </c>
      <c r="K145">
        <v>49</v>
      </c>
      <c r="L145">
        <v>2</v>
      </c>
      <c r="M145" t="s">
        <v>25</v>
      </c>
      <c r="N145">
        <v>4</v>
      </c>
      <c r="O145">
        <v>8</v>
      </c>
      <c r="P145">
        <v>136411.03</v>
      </c>
      <c r="Q145">
        <v>95329.65</v>
      </c>
      <c r="R145">
        <v>390</v>
      </c>
      <c r="S145">
        <v>1622</v>
      </c>
      <c r="T145" t="s">
        <v>108</v>
      </c>
      <c r="U145" t="s">
        <v>42</v>
      </c>
    </row>
    <row r="146" spans="1:21">
      <c r="A146" t="s">
        <v>293</v>
      </c>
      <c r="B146" t="s">
        <v>294</v>
      </c>
      <c r="C146" t="s">
        <v>37</v>
      </c>
      <c r="D146">
        <v>105000</v>
      </c>
      <c r="E146">
        <v>15000</v>
      </c>
      <c r="H146">
        <v>4</v>
      </c>
      <c r="I146" t="s">
        <v>89</v>
      </c>
      <c r="J146">
        <v>25.52</v>
      </c>
      <c r="K146">
        <v>4</v>
      </c>
      <c r="L146">
        <v>4</v>
      </c>
      <c r="M146" t="s">
        <v>25</v>
      </c>
      <c r="N146">
        <v>10</v>
      </c>
      <c r="O146">
        <v>11</v>
      </c>
      <c r="P146">
        <v>136411.03</v>
      </c>
      <c r="Q146">
        <v>95329.65</v>
      </c>
      <c r="R146">
        <v>390</v>
      </c>
      <c r="S146">
        <v>1622</v>
      </c>
      <c r="T146" t="s">
        <v>34</v>
      </c>
      <c r="U146" t="s">
        <v>31</v>
      </c>
    </row>
    <row r="147" spans="1:21">
      <c r="A147" t="s">
        <v>295</v>
      </c>
      <c r="B147" t="s">
        <v>296</v>
      </c>
      <c r="C147" t="s">
        <v>54</v>
      </c>
      <c r="D147">
        <v>70000</v>
      </c>
      <c r="E147">
        <v>5000</v>
      </c>
      <c r="F147">
        <v>70000</v>
      </c>
      <c r="G147">
        <v>70000</v>
      </c>
      <c r="H147">
        <v>1</v>
      </c>
      <c r="I147" t="s">
        <v>89</v>
      </c>
      <c r="J147">
        <v>19.73</v>
      </c>
      <c r="K147">
        <v>34</v>
      </c>
      <c r="L147">
        <v>3</v>
      </c>
      <c r="M147" t="s">
        <v>25</v>
      </c>
      <c r="N147">
        <v>6</v>
      </c>
      <c r="O147">
        <v>11</v>
      </c>
      <c r="P147">
        <v>136411.03</v>
      </c>
      <c r="Q147">
        <v>95329.65</v>
      </c>
      <c r="R147">
        <v>390</v>
      </c>
      <c r="S147">
        <v>1622</v>
      </c>
      <c r="T147" t="s">
        <v>108</v>
      </c>
      <c r="U147" t="s">
        <v>49</v>
      </c>
    </row>
    <row r="148" spans="1:21">
      <c r="A148" t="s">
        <v>297</v>
      </c>
      <c r="B148" t="s">
        <v>298</v>
      </c>
      <c r="C148" t="s">
        <v>54</v>
      </c>
      <c r="D148">
        <v>65000</v>
      </c>
      <c r="E148">
        <v>3000</v>
      </c>
      <c r="F148">
        <v>65000</v>
      </c>
      <c r="H148">
        <v>1</v>
      </c>
      <c r="I148" t="s">
        <v>89</v>
      </c>
      <c r="J148">
        <v>20</v>
      </c>
      <c r="K148">
        <v>65</v>
      </c>
      <c r="L148">
        <v>2</v>
      </c>
      <c r="M148" t="s">
        <v>25</v>
      </c>
      <c r="N148">
        <v>9</v>
      </c>
      <c r="O148">
        <v>11</v>
      </c>
      <c r="P148">
        <v>136411.03</v>
      </c>
      <c r="Q148">
        <v>95329.65</v>
      </c>
      <c r="R148">
        <v>390</v>
      </c>
      <c r="S148">
        <v>1622</v>
      </c>
      <c r="T148" t="s">
        <v>34</v>
      </c>
      <c r="U148" t="s">
        <v>38</v>
      </c>
    </row>
    <row r="149" spans="1:21">
      <c r="A149" t="s">
        <v>299</v>
      </c>
      <c r="B149" t="s">
        <v>300</v>
      </c>
      <c r="C149" t="s">
        <v>54</v>
      </c>
      <c r="D149">
        <v>91000</v>
      </c>
      <c r="E149">
        <v>8000</v>
      </c>
      <c r="G149">
        <v>182000</v>
      </c>
      <c r="H149">
        <v>4</v>
      </c>
      <c r="I149" t="s">
        <v>89</v>
      </c>
      <c r="J149">
        <v>20.79</v>
      </c>
      <c r="K149">
        <v>17</v>
      </c>
      <c r="L149">
        <v>10</v>
      </c>
      <c r="M149" t="s">
        <v>25</v>
      </c>
      <c r="N149">
        <v>5</v>
      </c>
      <c r="O149">
        <v>10</v>
      </c>
      <c r="P149">
        <v>136411.03</v>
      </c>
      <c r="Q149">
        <v>95329.65</v>
      </c>
      <c r="R149">
        <v>390</v>
      </c>
      <c r="S149">
        <v>1622</v>
      </c>
      <c r="T149" t="s">
        <v>34</v>
      </c>
      <c r="U149" t="s">
        <v>90</v>
      </c>
    </row>
    <row r="150" spans="1:21">
      <c r="A150" t="s">
        <v>301</v>
      </c>
      <c r="B150" t="s">
        <v>302</v>
      </c>
      <c r="C150" t="s">
        <v>54</v>
      </c>
      <c r="D150">
        <v>58000</v>
      </c>
      <c r="E150">
        <v>2000</v>
      </c>
      <c r="F150">
        <v>58000</v>
      </c>
      <c r="G150">
        <v>58000</v>
      </c>
      <c r="H150">
        <v>1</v>
      </c>
      <c r="I150" t="s">
        <v>89</v>
      </c>
      <c r="J150">
        <v>17.39</v>
      </c>
      <c r="K150">
        <v>32</v>
      </c>
      <c r="L150">
        <v>2</v>
      </c>
      <c r="M150" t="s">
        <v>25</v>
      </c>
      <c r="N150">
        <v>6</v>
      </c>
      <c r="O150">
        <v>11.67</v>
      </c>
      <c r="P150">
        <v>136411.03</v>
      </c>
      <c r="Q150">
        <v>95329.65</v>
      </c>
      <c r="R150">
        <v>390</v>
      </c>
      <c r="S150">
        <v>1622</v>
      </c>
      <c r="T150" t="s">
        <v>108</v>
      </c>
      <c r="U150" t="s">
        <v>49</v>
      </c>
    </row>
    <row r="151" spans="1:21">
      <c r="A151" t="s">
        <v>303</v>
      </c>
      <c r="B151" t="s">
        <v>302</v>
      </c>
      <c r="C151" t="s">
        <v>54</v>
      </c>
      <c r="D151">
        <v>60000</v>
      </c>
      <c r="E151">
        <v>2000</v>
      </c>
      <c r="F151">
        <v>60000</v>
      </c>
      <c r="G151">
        <v>60000</v>
      </c>
      <c r="H151">
        <v>2</v>
      </c>
      <c r="I151" t="s">
        <v>89</v>
      </c>
      <c r="J151">
        <v>17.39</v>
      </c>
      <c r="K151">
        <v>32</v>
      </c>
      <c r="L151">
        <v>2</v>
      </c>
      <c r="M151" t="s">
        <v>25</v>
      </c>
      <c r="N151">
        <v>6</v>
      </c>
      <c r="O151">
        <v>11.67</v>
      </c>
      <c r="P151">
        <v>136411.03</v>
      </c>
      <c r="Q151">
        <v>95329.65</v>
      </c>
      <c r="R151">
        <v>390</v>
      </c>
      <c r="S151">
        <v>1622</v>
      </c>
      <c r="T151" t="s">
        <v>108</v>
      </c>
      <c r="U151" t="s">
        <v>49</v>
      </c>
    </row>
    <row r="152" spans="1:21">
      <c r="A152" t="s">
        <v>304</v>
      </c>
      <c r="B152" t="s">
        <v>305</v>
      </c>
      <c r="C152" t="s">
        <v>30</v>
      </c>
      <c r="D152">
        <v>84000</v>
      </c>
      <c r="E152">
        <v>6000</v>
      </c>
      <c r="F152">
        <v>84000</v>
      </c>
      <c r="G152">
        <v>84000</v>
      </c>
      <c r="H152">
        <v>2</v>
      </c>
      <c r="I152" t="s">
        <v>89</v>
      </c>
      <c r="J152">
        <v>16.95</v>
      </c>
      <c r="K152">
        <v>33</v>
      </c>
      <c r="L152">
        <v>7</v>
      </c>
      <c r="M152" t="s">
        <v>25</v>
      </c>
      <c r="N152">
        <v>3</v>
      </c>
      <c r="O152">
        <v>5.67</v>
      </c>
      <c r="P152">
        <v>136411.03</v>
      </c>
      <c r="Q152">
        <v>95329.65</v>
      </c>
      <c r="R152">
        <v>390</v>
      </c>
      <c r="S152">
        <v>1622</v>
      </c>
      <c r="T152" t="s">
        <v>108</v>
      </c>
      <c r="U152" t="s">
        <v>49</v>
      </c>
    </row>
    <row r="153" spans="1:21">
      <c r="A153" t="s">
        <v>306</v>
      </c>
      <c r="B153" t="s">
        <v>307</v>
      </c>
      <c r="C153" t="s">
        <v>30</v>
      </c>
      <c r="D153">
        <v>133000</v>
      </c>
      <c r="E153">
        <v>8000</v>
      </c>
      <c r="H153">
        <v>1</v>
      </c>
      <c r="I153" t="s">
        <v>89</v>
      </c>
      <c r="J153">
        <v>25.46</v>
      </c>
      <c r="K153">
        <v>14</v>
      </c>
      <c r="L153">
        <v>8</v>
      </c>
      <c r="M153" t="s">
        <v>25</v>
      </c>
      <c r="N153">
        <v>1</v>
      </c>
      <c r="O153">
        <v>8</v>
      </c>
      <c r="P153">
        <v>136411.03</v>
      </c>
      <c r="Q153">
        <v>95329.65</v>
      </c>
      <c r="R153">
        <v>390</v>
      </c>
      <c r="S153">
        <v>1622</v>
      </c>
      <c r="T153" t="s">
        <v>34</v>
      </c>
      <c r="U153" t="s">
        <v>90</v>
      </c>
    </row>
    <row r="154" spans="1:21">
      <c r="A154" t="s">
        <v>308</v>
      </c>
      <c r="B154" t="s">
        <v>307</v>
      </c>
      <c r="C154" t="s">
        <v>30</v>
      </c>
      <c r="D154">
        <v>144000</v>
      </c>
      <c r="E154">
        <v>8000</v>
      </c>
      <c r="H154">
        <v>4</v>
      </c>
      <c r="I154" t="s">
        <v>89</v>
      </c>
      <c r="J154">
        <v>25.46</v>
      </c>
      <c r="K154">
        <v>14</v>
      </c>
      <c r="L154">
        <v>8</v>
      </c>
      <c r="M154" t="s">
        <v>25</v>
      </c>
      <c r="N154">
        <v>1</v>
      </c>
      <c r="O154">
        <v>8</v>
      </c>
      <c r="P154">
        <v>136411.03</v>
      </c>
      <c r="Q154">
        <v>95329.65</v>
      </c>
      <c r="R154">
        <v>390</v>
      </c>
      <c r="S154">
        <v>1622</v>
      </c>
      <c r="T154" t="s">
        <v>34</v>
      </c>
      <c r="U154" t="s">
        <v>90</v>
      </c>
    </row>
    <row r="155" spans="1:21">
      <c r="A155" t="s">
        <v>309</v>
      </c>
      <c r="B155" t="s">
        <v>307</v>
      </c>
      <c r="C155" t="s">
        <v>30</v>
      </c>
      <c r="D155">
        <v>145000</v>
      </c>
      <c r="E155">
        <v>8000</v>
      </c>
      <c r="H155">
        <v>6</v>
      </c>
      <c r="I155" t="s">
        <v>89</v>
      </c>
      <c r="J155">
        <v>25.11</v>
      </c>
      <c r="K155">
        <v>14</v>
      </c>
      <c r="L155">
        <v>8</v>
      </c>
      <c r="M155" t="s">
        <v>25</v>
      </c>
      <c r="N155">
        <v>1</v>
      </c>
      <c r="O155">
        <v>8</v>
      </c>
      <c r="P155">
        <v>136411.03</v>
      </c>
      <c r="Q155">
        <v>95329.65</v>
      </c>
      <c r="R155">
        <v>390</v>
      </c>
      <c r="S155">
        <v>1622</v>
      </c>
      <c r="T155" t="s">
        <v>34</v>
      </c>
      <c r="U155" t="s">
        <v>90</v>
      </c>
    </row>
    <row r="156" spans="1:21">
      <c r="A156" t="s">
        <v>310</v>
      </c>
      <c r="B156" t="s">
        <v>311</v>
      </c>
      <c r="C156" t="s">
        <v>54</v>
      </c>
      <c r="D156">
        <v>78400</v>
      </c>
      <c r="E156">
        <v>6600</v>
      </c>
      <c r="F156">
        <v>78400</v>
      </c>
      <c r="G156">
        <v>78400</v>
      </c>
      <c r="H156">
        <v>7</v>
      </c>
      <c r="I156" t="s">
        <v>89</v>
      </c>
      <c r="J156">
        <v>18.46</v>
      </c>
      <c r="K156">
        <v>27</v>
      </c>
      <c r="L156">
        <v>8</v>
      </c>
      <c r="M156" t="s">
        <v>25</v>
      </c>
      <c r="N156">
        <v>3</v>
      </c>
      <c r="O156">
        <v>9</v>
      </c>
      <c r="P156">
        <v>136411.03</v>
      </c>
      <c r="Q156">
        <v>95329.65</v>
      </c>
      <c r="R156">
        <v>390</v>
      </c>
      <c r="S156">
        <v>1622</v>
      </c>
      <c r="T156" t="s">
        <v>108</v>
      </c>
      <c r="U156" t="s">
        <v>27</v>
      </c>
    </row>
    <row r="157" spans="1:21">
      <c r="A157" t="s">
        <v>312</v>
      </c>
      <c r="B157" t="s">
        <v>313</v>
      </c>
      <c r="C157" t="s">
        <v>30</v>
      </c>
      <c r="D157">
        <v>112000</v>
      </c>
      <c r="E157">
        <v>10000</v>
      </c>
      <c r="F157">
        <v>112000</v>
      </c>
      <c r="G157">
        <v>112000</v>
      </c>
      <c r="H157">
        <v>8</v>
      </c>
      <c r="I157" t="s">
        <v>89</v>
      </c>
      <c r="J157">
        <v>26.22</v>
      </c>
      <c r="K157">
        <v>6</v>
      </c>
      <c r="L157">
        <v>9</v>
      </c>
      <c r="M157" t="s">
        <v>25</v>
      </c>
      <c r="N157">
        <v>4</v>
      </c>
      <c r="O157">
        <v>6</v>
      </c>
      <c r="P157">
        <v>136411.03</v>
      </c>
      <c r="Q157">
        <v>95329.65</v>
      </c>
      <c r="R157">
        <v>390</v>
      </c>
      <c r="S157">
        <v>1622</v>
      </c>
      <c r="T157" t="s">
        <v>34</v>
      </c>
      <c r="U157" t="s">
        <v>31</v>
      </c>
    </row>
    <row r="158" spans="1:21">
      <c r="A158" t="s">
        <v>314</v>
      </c>
      <c r="B158" t="s">
        <v>315</v>
      </c>
      <c r="C158" t="s">
        <v>30</v>
      </c>
      <c r="D158">
        <v>108000</v>
      </c>
      <c r="E158">
        <v>10000</v>
      </c>
      <c r="G158">
        <v>108000</v>
      </c>
      <c r="H158">
        <v>4</v>
      </c>
      <c r="I158" t="s">
        <v>89</v>
      </c>
      <c r="J158">
        <v>26.71</v>
      </c>
      <c r="K158">
        <v>7</v>
      </c>
      <c r="L158">
        <v>9</v>
      </c>
      <c r="M158" t="s">
        <v>25</v>
      </c>
      <c r="N158">
        <v>3</v>
      </c>
      <c r="O158">
        <v>7.67</v>
      </c>
      <c r="P158">
        <v>136411.03</v>
      </c>
      <c r="Q158">
        <v>95329.65</v>
      </c>
      <c r="R158">
        <v>390</v>
      </c>
      <c r="S158">
        <v>1622</v>
      </c>
      <c r="T158" t="s">
        <v>34</v>
      </c>
      <c r="U158" t="s">
        <v>31</v>
      </c>
    </row>
    <row r="159" spans="1:21">
      <c r="A159" t="s">
        <v>316</v>
      </c>
      <c r="B159" t="s">
        <v>83</v>
      </c>
      <c r="C159" t="s">
        <v>48</v>
      </c>
      <c r="D159">
        <v>151000</v>
      </c>
      <c r="E159">
        <v>10000</v>
      </c>
      <c r="H159">
        <v>2</v>
      </c>
      <c r="I159" t="s">
        <v>89</v>
      </c>
      <c r="J159">
        <v>26.3</v>
      </c>
      <c r="K159">
        <v>0</v>
      </c>
      <c r="L159">
        <v>5</v>
      </c>
      <c r="M159" t="s">
        <v>25</v>
      </c>
      <c r="N159">
        <v>6</v>
      </c>
      <c r="O159">
        <v>8</v>
      </c>
      <c r="P159">
        <v>136411.03</v>
      </c>
      <c r="Q159">
        <v>95329.65</v>
      </c>
      <c r="R159">
        <v>390</v>
      </c>
      <c r="S159">
        <v>1622</v>
      </c>
      <c r="T159" t="s">
        <v>34</v>
      </c>
      <c r="U159" t="s">
        <v>81</v>
      </c>
    </row>
    <row r="160" spans="1:21">
      <c r="A160" t="s">
        <v>317</v>
      </c>
      <c r="B160" t="s">
        <v>85</v>
      </c>
      <c r="C160" t="s">
        <v>48</v>
      </c>
      <c r="D160">
        <v>151000</v>
      </c>
      <c r="E160">
        <v>10000</v>
      </c>
      <c r="H160">
        <v>2</v>
      </c>
      <c r="I160" t="s">
        <v>89</v>
      </c>
      <c r="J160">
        <v>26.3</v>
      </c>
      <c r="K160">
        <v>0</v>
      </c>
      <c r="L160">
        <v>5</v>
      </c>
      <c r="M160" t="s">
        <v>25</v>
      </c>
      <c r="N160">
        <v>6</v>
      </c>
      <c r="O160">
        <v>8</v>
      </c>
      <c r="P160">
        <v>136411.03</v>
      </c>
      <c r="Q160">
        <v>95329.65</v>
      </c>
      <c r="R160">
        <v>390</v>
      </c>
      <c r="S160">
        <v>1622</v>
      </c>
      <c r="T160" t="s">
        <v>34</v>
      </c>
      <c r="U160" t="s">
        <v>81</v>
      </c>
    </row>
    <row r="161" spans="1:21">
      <c r="A161" t="s">
        <v>318</v>
      </c>
      <c r="B161" t="s">
        <v>319</v>
      </c>
      <c r="C161" t="s">
        <v>30</v>
      </c>
      <c r="D161">
        <v>124000</v>
      </c>
      <c r="E161">
        <v>15000</v>
      </c>
      <c r="F161">
        <v>124000</v>
      </c>
      <c r="G161">
        <v>186000</v>
      </c>
      <c r="H161">
        <v>6</v>
      </c>
      <c r="I161" t="s">
        <v>89</v>
      </c>
      <c r="J161">
        <v>30.09</v>
      </c>
      <c r="K161">
        <v>7</v>
      </c>
      <c r="L161">
        <v>9</v>
      </c>
      <c r="M161" t="s">
        <v>25</v>
      </c>
      <c r="N161">
        <v>5</v>
      </c>
      <c r="O161">
        <v>10</v>
      </c>
      <c r="P161">
        <v>136411.03</v>
      </c>
      <c r="Q161">
        <v>95329.65</v>
      </c>
      <c r="R161">
        <v>390</v>
      </c>
      <c r="S161">
        <v>1622</v>
      </c>
      <c r="T161" t="s">
        <v>26</v>
      </c>
      <c r="U161" t="s">
        <v>31</v>
      </c>
    </row>
    <row r="162" spans="1:21">
      <c r="A162" t="s">
        <v>320</v>
      </c>
      <c r="B162" t="s">
        <v>319</v>
      </c>
      <c r="C162" t="s">
        <v>30</v>
      </c>
      <c r="D162">
        <v>125000</v>
      </c>
      <c r="E162">
        <v>15000</v>
      </c>
      <c r="F162">
        <v>125000</v>
      </c>
      <c r="G162">
        <v>187500</v>
      </c>
      <c r="H162">
        <v>6</v>
      </c>
      <c r="I162" t="s">
        <v>89</v>
      </c>
      <c r="J162">
        <v>31.08</v>
      </c>
      <c r="K162">
        <v>7</v>
      </c>
      <c r="L162">
        <v>9</v>
      </c>
      <c r="M162" t="s">
        <v>25</v>
      </c>
      <c r="N162">
        <v>5</v>
      </c>
      <c r="O162">
        <v>10</v>
      </c>
      <c r="P162">
        <v>136411.03</v>
      </c>
      <c r="Q162">
        <v>95329.65</v>
      </c>
      <c r="R162">
        <v>390</v>
      </c>
      <c r="S162">
        <v>1622</v>
      </c>
      <c r="T162" t="s">
        <v>26</v>
      </c>
      <c r="U162" t="s">
        <v>31</v>
      </c>
    </row>
    <row r="163" spans="1:21">
      <c r="A163" t="s">
        <v>321</v>
      </c>
      <c r="B163" t="s">
        <v>322</v>
      </c>
      <c r="C163" t="s">
        <v>48</v>
      </c>
      <c r="D163">
        <v>85000</v>
      </c>
      <c r="F163">
        <v>85000</v>
      </c>
      <c r="G163">
        <v>85000</v>
      </c>
      <c r="H163">
        <v>2</v>
      </c>
      <c r="I163" t="s">
        <v>89</v>
      </c>
      <c r="J163">
        <v>19.62</v>
      </c>
      <c r="K163">
        <v>12</v>
      </c>
      <c r="L163">
        <v>2</v>
      </c>
      <c r="M163" t="s">
        <v>25</v>
      </c>
      <c r="N163">
        <v>6</v>
      </c>
      <c r="O163">
        <v>9.67</v>
      </c>
      <c r="P163">
        <v>136411.03</v>
      </c>
      <c r="Q163">
        <v>95329.65</v>
      </c>
      <c r="R163">
        <v>390</v>
      </c>
      <c r="S163">
        <v>1622</v>
      </c>
      <c r="T163" t="s">
        <v>108</v>
      </c>
      <c r="U163" t="s">
        <v>90</v>
      </c>
    </row>
    <row r="164" spans="1:21">
      <c r="A164" t="s">
        <v>323</v>
      </c>
      <c r="B164" t="s">
        <v>324</v>
      </c>
      <c r="C164" t="s">
        <v>37</v>
      </c>
      <c r="D164">
        <v>202000</v>
      </c>
      <c r="E164">
        <v>15000</v>
      </c>
      <c r="H164">
        <v>2</v>
      </c>
      <c r="I164" t="s">
        <v>325</v>
      </c>
      <c r="J164">
        <v>40.049999999999997</v>
      </c>
      <c r="K164">
        <v>2</v>
      </c>
      <c r="L164">
        <v>4</v>
      </c>
      <c r="M164" t="s">
        <v>25</v>
      </c>
      <c r="N164">
        <v>4</v>
      </c>
      <c r="O164">
        <v>10</v>
      </c>
      <c r="P164">
        <v>136411.03</v>
      </c>
      <c r="Q164">
        <v>168453.81</v>
      </c>
      <c r="R164">
        <v>390</v>
      </c>
      <c r="S164">
        <v>788</v>
      </c>
      <c r="T164" t="s">
        <v>326</v>
      </c>
      <c r="U164" t="s">
        <v>31</v>
      </c>
    </row>
    <row r="165" spans="1:21">
      <c r="A165" t="s">
        <v>327</v>
      </c>
      <c r="B165" t="s">
        <v>324</v>
      </c>
      <c r="C165" t="s">
        <v>37</v>
      </c>
      <c r="D165">
        <v>214000</v>
      </c>
      <c r="E165">
        <v>15000</v>
      </c>
      <c r="H165">
        <v>-2</v>
      </c>
      <c r="I165" t="s">
        <v>325</v>
      </c>
      <c r="J165">
        <v>43.35</v>
      </c>
      <c r="K165">
        <v>2</v>
      </c>
      <c r="L165">
        <v>4</v>
      </c>
      <c r="M165" t="s">
        <v>25</v>
      </c>
      <c r="N165">
        <v>4</v>
      </c>
      <c r="O165">
        <v>10</v>
      </c>
      <c r="P165">
        <v>136411.03</v>
      </c>
      <c r="Q165">
        <v>168453.81</v>
      </c>
      <c r="R165">
        <v>390</v>
      </c>
      <c r="S165">
        <v>788</v>
      </c>
      <c r="T165" t="s">
        <v>326</v>
      </c>
      <c r="U165" t="s">
        <v>31</v>
      </c>
    </row>
    <row r="166" spans="1:21">
      <c r="A166" t="s">
        <v>328</v>
      </c>
      <c r="B166" t="s">
        <v>329</v>
      </c>
      <c r="C166" t="s">
        <v>37</v>
      </c>
      <c r="D166">
        <v>122000</v>
      </c>
      <c r="E166">
        <v>3000</v>
      </c>
      <c r="G166">
        <v>122000</v>
      </c>
      <c r="H166">
        <v>1</v>
      </c>
      <c r="I166" t="s">
        <v>325</v>
      </c>
      <c r="J166">
        <v>34.19</v>
      </c>
      <c r="K166">
        <v>5</v>
      </c>
      <c r="L166">
        <v>3</v>
      </c>
      <c r="M166" t="s">
        <v>25</v>
      </c>
      <c r="N166">
        <v>9</v>
      </c>
      <c r="O166">
        <v>11.67</v>
      </c>
      <c r="P166">
        <v>136411.03</v>
      </c>
      <c r="Q166">
        <v>168453.81</v>
      </c>
      <c r="R166">
        <v>390</v>
      </c>
      <c r="S166">
        <v>788</v>
      </c>
      <c r="T166" t="s">
        <v>26</v>
      </c>
      <c r="U166" t="s">
        <v>31</v>
      </c>
    </row>
    <row r="167" spans="1:21">
      <c r="A167" t="s">
        <v>330</v>
      </c>
      <c r="B167" t="s">
        <v>331</v>
      </c>
      <c r="C167" t="s">
        <v>37</v>
      </c>
      <c r="D167">
        <v>188000</v>
      </c>
      <c r="E167">
        <v>10500</v>
      </c>
      <c r="F167">
        <v>188000</v>
      </c>
      <c r="G167">
        <v>376000</v>
      </c>
      <c r="H167">
        <v>1</v>
      </c>
      <c r="I167" t="s">
        <v>325</v>
      </c>
      <c r="J167">
        <v>51.16</v>
      </c>
      <c r="K167">
        <v>0</v>
      </c>
      <c r="L167">
        <v>3</v>
      </c>
      <c r="M167" t="s">
        <v>25</v>
      </c>
      <c r="N167">
        <v>10</v>
      </c>
      <c r="O167">
        <v>10</v>
      </c>
      <c r="P167">
        <v>136411.03</v>
      </c>
      <c r="Q167">
        <v>168453.81</v>
      </c>
      <c r="R167">
        <v>390</v>
      </c>
      <c r="S167">
        <v>788</v>
      </c>
      <c r="T167" t="s">
        <v>332</v>
      </c>
      <c r="U167" t="s">
        <v>81</v>
      </c>
    </row>
    <row r="168" spans="1:21">
      <c r="A168" t="s">
        <v>333</v>
      </c>
      <c r="B168" t="s">
        <v>334</v>
      </c>
      <c r="C168" t="s">
        <v>41</v>
      </c>
      <c r="D168">
        <v>147000</v>
      </c>
      <c r="E168">
        <v>8000</v>
      </c>
      <c r="F168">
        <v>147000</v>
      </c>
      <c r="G168">
        <v>147000</v>
      </c>
      <c r="H168">
        <v>4</v>
      </c>
      <c r="I168" t="s">
        <v>325</v>
      </c>
      <c r="J168">
        <v>38.950000000000003</v>
      </c>
      <c r="K168">
        <v>8</v>
      </c>
      <c r="L168">
        <v>5</v>
      </c>
      <c r="M168" t="s">
        <v>25</v>
      </c>
      <c r="N168">
        <v>2</v>
      </c>
      <c r="O168">
        <v>8.33</v>
      </c>
      <c r="P168">
        <v>136411.03</v>
      </c>
      <c r="Q168">
        <v>168453.81</v>
      </c>
      <c r="R168">
        <v>390</v>
      </c>
      <c r="S168">
        <v>788</v>
      </c>
      <c r="T168" t="s">
        <v>26</v>
      </c>
      <c r="U168" t="s">
        <v>31</v>
      </c>
    </row>
    <row r="169" spans="1:21">
      <c r="A169" t="s">
        <v>335</v>
      </c>
      <c r="B169" t="s">
        <v>110</v>
      </c>
      <c r="C169" t="s">
        <v>30</v>
      </c>
      <c r="D169">
        <v>225000</v>
      </c>
      <c r="E169">
        <v>10000</v>
      </c>
      <c r="H169">
        <v>6</v>
      </c>
      <c r="I169" t="s">
        <v>325</v>
      </c>
      <c r="J169">
        <v>40.340000000000003</v>
      </c>
      <c r="K169">
        <v>14</v>
      </c>
      <c r="L169">
        <v>8</v>
      </c>
      <c r="M169" t="s">
        <v>25</v>
      </c>
      <c r="N169">
        <v>1</v>
      </c>
      <c r="O169">
        <v>9.33</v>
      </c>
      <c r="P169">
        <v>136411.03</v>
      </c>
      <c r="Q169">
        <v>168453.81</v>
      </c>
      <c r="R169">
        <v>390</v>
      </c>
      <c r="S169">
        <v>788</v>
      </c>
      <c r="T169" t="s">
        <v>326</v>
      </c>
      <c r="U169" t="s">
        <v>90</v>
      </c>
    </row>
    <row r="170" spans="1:21">
      <c r="A170" t="s">
        <v>336</v>
      </c>
      <c r="B170" t="s">
        <v>337</v>
      </c>
      <c r="C170" t="s">
        <v>54</v>
      </c>
      <c r="D170">
        <v>165000</v>
      </c>
      <c r="E170">
        <v>8000</v>
      </c>
      <c r="F170">
        <v>82500</v>
      </c>
      <c r="G170">
        <v>165000</v>
      </c>
      <c r="H170">
        <v>1</v>
      </c>
      <c r="I170" t="s">
        <v>325</v>
      </c>
      <c r="J170">
        <v>49.23</v>
      </c>
      <c r="K170">
        <v>5</v>
      </c>
      <c r="L170">
        <v>2</v>
      </c>
      <c r="M170" t="s">
        <v>25</v>
      </c>
      <c r="N170">
        <v>5</v>
      </c>
      <c r="O170">
        <v>11</v>
      </c>
      <c r="P170">
        <v>136411.03</v>
      </c>
      <c r="Q170">
        <v>168453.81</v>
      </c>
      <c r="R170">
        <v>390</v>
      </c>
      <c r="S170">
        <v>788</v>
      </c>
      <c r="T170" t="s">
        <v>326</v>
      </c>
      <c r="U170" t="s">
        <v>31</v>
      </c>
    </row>
    <row r="171" spans="1:21">
      <c r="A171" t="s">
        <v>336</v>
      </c>
      <c r="B171" t="s">
        <v>337</v>
      </c>
      <c r="C171" t="s">
        <v>54</v>
      </c>
      <c r="D171">
        <v>165000</v>
      </c>
      <c r="E171">
        <v>8000</v>
      </c>
      <c r="F171">
        <v>82500</v>
      </c>
      <c r="G171">
        <v>165000</v>
      </c>
      <c r="H171">
        <v>2</v>
      </c>
      <c r="I171" t="s">
        <v>325</v>
      </c>
      <c r="J171">
        <v>49.23</v>
      </c>
      <c r="K171">
        <v>5</v>
      </c>
      <c r="L171">
        <v>2</v>
      </c>
      <c r="M171" t="s">
        <v>25</v>
      </c>
      <c r="N171">
        <v>5</v>
      </c>
      <c r="O171">
        <v>11</v>
      </c>
      <c r="P171">
        <v>136411.03</v>
      </c>
      <c r="Q171">
        <v>168453.81</v>
      </c>
      <c r="R171">
        <v>390</v>
      </c>
      <c r="S171">
        <v>788</v>
      </c>
      <c r="T171" t="s">
        <v>326</v>
      </c>
      <c r="U171" t="s">
        <v>31</v>
      </c>
    </row>
    <row r="172" spans="1:21">
      <c r="A172" t="s">
        <v>338</v>
      </c>
      <c r="B172" t="s">
        <v>337</v>
      </c>
      <c r="C172" t="s">
        <v>54</v>
      </c>
      <c r="D172">
        <v>169000</v>
      </c>
      <c r="E172">
        <v>6000</v>
      </c>
      <c r="F172">
        <v>169000</v>
      </c>
      <c r="G172">
        <v>169000</v>
      </c>
      <c r="H172">
        <v>2</v>
      </c>
      <c r="I172" t="s">
        <v>325</v>
      </c>
      <c r="J172">
        <v>38.74</v>
      </c>
      <c r="K172">
        <v>5</v>
      </c>
      <c r="L172">
        <v>2</v>
      </c>
      <c r="M172" t="s">
        <v>25</v>
      </c>
      <c r="N172">
        <v>5</v>
      </c>
      <c r="O172">
        <v>11</v>
      </c>
      <c r="P172">
        <v>136411.03</v>
      </c>
      <c r="Q172">
        <v>168453.81</v>
      </c>
      <c r="R172">
        <v>390</v>
      </c>
      <c r="S172">
        <v>788</v>
      </c>
      <c r="T172" t="s">
        <v>26</v>
      </c>
      <c r="U172" t="s">
        <v>31</v>
      </c>
    </row>
    <row r="173" spans="1:21">
      <c r="A173" t="s">
        <v>339</v>
      </c>
      <c r="B173" t="s">
        <v>340</v>
      </c>
      <c r="C173" t="s">
        <v>37</v>
      </c>
      <c r="D173">
        <v>163000</v>
      </c>
      <c r="E173">
        <v>15000</v>
      </c>
      <c r="F173">
        <v>163000</v>
      </c>
      <c r="H173">
        <v>1</v>
      </c>
      <c r="I173" t="s">
        <v>325</v>
      </c>
      <c r="J173">
        <v>44.93</v>
      </c>
      <c r="K173">
        <v>21</v>
      </c>
      <c r="L173">
        <v>5</v>
      </c>
      <c r="M173" t="s">
        <v>25</v>
      </c>
      <c r="N173">
        <v>3</v>
      </c>
      <c r="O173">
        <v>9.67</v>
      </c>
      <c r="P173">
        <v>136411.03</v>
      </c>
      <c r="Q173">
        <v>168453.81</v>
      </c>
      <c r="R173">
        <v>390</v>
      </c>
      <c r="S173">
        <v>788</v>
      </c>
      <c r="T173" t="s">
        <v>326</v>
      </c>
      <c r="U173" t="s">
        <v>27</v>
      </c>
    </row>
    <row r="174" spans="1:21">
      <c r="A174" t="s">
        <v>341</v>
      </c>
      <c r="B174" t="s">
        <v>340</v>
      </c>
      <c r="C174" t="s">
        <v>37</v>
      </c>
      <c r="D174">
        <v>165000</v>
      </c>
      <c r="E174">
        <v>15000</v>
      </c>
      <c r="F174">
        <v>165000</v>
      </c>
      <c r="H174">
        <v>3</v>
      </c>
      <c r="I174" t="s">
        <v>325</v>
      </c>
      <c r="J174">
        <v>40.950000000000003</v>
      </c>
      <c r="K174">
        <v>21</v>
      </c>
      <c r="L174">
        <v>5</v>
      </c>
      <c r="M174" t="s">
        <v>25</v>
      </c>
      <c r="N174">
        <v>3</v>
      </c>
      <c r="O174">
        <v>9.67</v>
      </c>
      <c r="P174">
        <v>136411.03</v>
      </c>
      <c r="Q174">
        <v>168453.81</v>
      </c>
      <c r="R174">
        <v>390</v>
      </c>
      <c r="S174">
        <v>788</v>
      </c>
      <c r="T174" t="s">
        <v>326</v>
      </c>
      <c r="U174" t="s">
        <v>27</v>
      </c>
    </row>
    <row r="175" spans="1:21">
      <c r="A175" t="s">
        <v>342</v>
      </c>
      <c r="B175" t="s">
        <v>343</v>
      </c>
      <c r="C175" t="s">
        <v>41</v>
      </c>
      <c r="D175">
        <v>165000</v>
      </c>
      <c r="E175">
        <v>13000</v>
      </c>
      <c r="F175">
        <v>165000</v>
      </c>
      <c r="G175">
        <v>165000</v>
      </c>
      <c r="H175">
        <v>7</v>
      </c>
      <c r="I175" t="s">
        <v>325</v>
      </c>
      <c r="J175">
        <v>40.04</v>
      </c>
      <c r="K175">
        <v>28</v>
      </c>
      <c r="L175">
        <v>10</v>
      </c>
      <c r="M175" t="s">
        <v>25</v>
      </c>
      <c r="N175">
        <v>6</v>
      </c>
      <c r="O175">
        <v>11.33</v>
      </c>
      <c r="P175">
        <v>136411.03</v>
      </c>
      <c r="Q175">
        <v>168453.81</v>
      </c>
      <c r="R175">
        <v>390</v>
      </c>
      <c r="S175">
        <v>788</v>
      </c>
      <c r="T175" t="s">
        <v>326</v>
      </c>
      <c r="U175" t="s">
        <v>27</v>
      </c>
    </row>
    <row r="176" spans="1:21">
      <c r="A176" t="s">
        <v>344</v>
      </c>
      <c r="B176" t="s">
        <v>345</v>
      </c>
      <c r="C176" t="s">
        <v>48</v>
      </c>
      <c r="D176">
        <v>205000</v>
      </c>
      <c r="E176">
        <v>15000</v>
      </c>
      <c r="H176">
        <v>6</v>
      </c>
      <c r="I176" t="s">
        <v>325</v>
      </c>
      <c r="J176">
        <v>42.12</v>
      </c>
      <c r="K176">
        <v>4</v>
      </c>
      <c r="L176">
        <v>6</v>
      </c>
      <c r="M176" t="s">
        <v>25</v>
      </c>
      <c r="N176">
        <v>7</v>
      </c>
      <c r="O176">
        <v>10.33</v>
      </c>
      <c r="P176">
        <v>136411.03</v>
      </c>
      <c r="Q176">
        <v>168453.81</v>
      </c>
      <c r="R176">
        <v>390</v>
      </c>
      <c r="S176">
        <v>788</v>
      </c>
      <c r="T176" t="s">
        <v>326</v>
      </c>
      <c r="U176" t="s">
        <v>31</v>
      </c>
    </row>
    <row r="177" spans="1:21">
      <c r="A177" t="s">
        <v>346</v>
      </c>
      <c r="B177" t="s">
        <v>347</v>
      </c>
      <c r="C177" t="s">
        <v>48</v>
      </c>
      <c r="D177">
        <v>143000</v>
      </c>
      <c r="E177">
        <v>10000</v>
      </c>
      <c r="H177">
        <v>2</v>
      </c>
      <c r="I177" t="s">
        <v>325</v>
      </c>
      <c r="J177">
        <v>28.32</v>
      </c>
      <c r="K177">
        <v>4</v>
      </c>
      <c r="L177">
        <v>6</v>
      </c>
      <c r="M177" t="s">
        <v>25</v>
      </c>
      <c r="N177">
        <v>7</v>
      </c>
      <c r="O177">
        <v>11</v>
      </c>
      <c r="P177">
        <v>136411.03</v>
      </c>
      <c r="Q177">
        <v>168453.81</v>
      </c>
      <c r="R177">
        <v>390</v>
      </c>
      <c r="S177">
        <v>788</v>
      </c>
      <c r="T177" t="s">
        <v>34</v>
      </c>
      <c r="U177" t="s">
        <v>31</v>
      </c>
    </row>
    <row r="178" spans="1:21">
      <c r="A178" t="s">
        <v>348</v>
      </c>
      <c r="B178" t="s">
        <v>347</v>
      </c>
      <c r="C178" t="s">
        <v>48</v>
      </c>
      <c r="D178">
        <v>150000</v>
      </c>
      <c r="E178">
        <v>10000</v>
      </c>
      <c r="H178">
        <v>2</v>
      </c>
      <c r="I178" t="s">
        <v>325</v>
      </c>
      <c r="J178">
        <v>30.48</v>
      </c>
      <c r="K178">
        <v>4</v>
      </c>
      <c r="L178">
        <v>6</v>
      </c>
      <c r="M178" t="s">
        <v>25</v>
      </c>
      <c r="N178">
        <v>7</v>
      </c>
      <c r="O178">
        <v>11</v>
      </c>
      <c r="P178">
        <v>136411.03</v>
      </c>
      <c r="Q178">
        <v>168453.81</v>
      </c>
      <c r="R178">
        <v>390</v>
      </c>
      <c r="S178">
        <v>788</v>
      </c>
      <c r="T178" t="s">
        <v>26</v>
      </c>
      <c r="U178" t="s">
        <v>31</v>
      </c>
    </row>
    <row r="179" spans="1:21">
      <c r="A179" t="s">
        <v>349</v>
      </c>
      <c r="B179" t="s">
        <v>347</v>
      </c>
      <c r="C179" t="s">
        <v>48</v>
      </c>
      <c r="D179">
        <v>149000</v>
      </c>
      <c r="E179">
        <v>10000</v>
      </c>
      <c r="H179">
        <v>3</v>
      </c>
      <c r="I179" t="s">
        <v>325</v>
      </c>
      <c r="J179">
        <v>30.48</v>
      </c>
      <c r="K179">
        <v>4</v>
      </c>
      <c r="L179">
        <v>6</v>
      </c>
      <c r="M179" t="s">
        <v>25</v>
      </c>
      <c r="N179">
        <v>7</v>
      </c>
      <c r="O179">
        <v>11</v>
      </c>
      <c r="P179">
        <v>136411.03</v>
      </c>
      <c r="Q179">
        <v>168453.81</v>
      </c>
      <c r="R179">
        <v>390</v>
      </c>
      <c r="S179">
        <v>788</v>
      </c>
      <c r="T179" t="s">
        <v>26</v>
      </c>
      <c r="U179" t="s">
        <v>31</v>
      </c>
    </row>
    <row r="180" spans="1:21">
      <c r="A180" t="s">
        <v>350</v>
      </c>
      <c r="B180" t="s">
        <v>347</v>
      </c>
      <c r="C180" t="s">
        <v>48</v>
      </c>
      <c r="D180">
        <v>150000</v>
      </c>
      <c r="E180">
        <v>10000</v>
      </c>
      <c r="H180">
        <v>3</v>
      </c>
      <c r="I180" t="s">
        <v>325</v>
      </c>
      <c r="J180">
        <v>30.82</v>
      </c>
      <c r="K180">
        <v>4</v>
      </c>
      <c r="L180">
        <v>6</v>
      </c>
      <c r="M180" t="s">
        <v>25</v>
      </c>
      <c r="N180">
        <v>7</v>
      </c>
      <c r="O180">
        <v>11</v>
      </c>
      <c r="P180">
        <v>136411.03</v>
      </c>
      <c r="Q180">
        <v>168453.81</v>
      </c>
      <c r="R180">
        <v>390</v>
      </c>
      <c r="S180">
        <v>788</v>
      </c>
      <c r="T180" t="s">
        <v>26</v>
      </c>
      <c r="U180" t="s">
        <v>31</v>
      </c>
    </row>
    <row r="181" spans="1:21">
      <c r="A181" t="s">
        <v>351</v>
      </c>
      <c r="B181" t="s">
        <v>347</v>
      </c>
      <c r="C181" t="s">
        <v>48</v>
      </c>
      <c r="D181">
        <v>205000</v>
      </c>
      <c r="E181">
        <v>15000</v>
      </c>
      <c r="H181">
        <v>6</v>
      </c>
      <c r="I181" t="s">
        <v>325</v>
      </c>
      <c r="J181">
        <v>42.12</v>
      </c>
      <c r="K181">
        <v>4</v>
      </c>
      <c r="L181">
        <v>6</v>
      </c>
      <c r="M181" t="s">
        <v>25</v>
      </c>
      <c r="N181">
        <v>7</v>
      </c>
      <c r="O181">
        <v>11</v>
      </c>
      <c r="P181">
        <v>136411.03</v>
      </c>
      <c r="Q181">
        <v>168453.81</v>
      </c>
      <c r="R181">
        <v>390</v>
      </c>
      <c r="S181">
        <v>788</v>
      </c>
      <c r="T181" t="s">
        <v>326</v>
      </c>
      <c r="U181" t="s">
        <v>31</v>
      </c>
    </row>
    <row r="182" spans="1:21">
      <c r="A182" t="s">
        <v>352</v>
      </c>
      <c r="B182" t="s">
        <v>141</v>
      </c>
      <c r="C182" t="s">
        <v>48</v>
      </c>
      <c r="D182">
        <v>142000</v>
      </c>
      <c r="E182">
        <v>10000</v>
      </c>
      <c r="H182">
        <v>3</v>
      </c>
      <c r="I182" t="s">
        <v>325</v>
      </c>
      <c r="J182">
        <v>28.77</v>
      </c>
      <c r="K182">
        <v>4</v>
      </c>
      <c r="L182">
        <v>6</v>
      </c>
      <c r="M182" t="s">
        <v>25</v>
      </c>
      <c r="N182">
        <v>7</v>
      </c>
      <c r="O182">
        <v>10.33</v>
      </c>
      <c r="P182">
        <v>136411.03</v>
      </c>
      <c r="Q182">
        <v>168453.81</v>
      </c>
      <c r="R182">
        <v>390</v>
      </c>
      <c r="S182">
        <v>788</v>
      </c>
      <c r="T182" t="s">
        <v>34</v>
      </c>
      <c r="U182" t="s">
        <v>31</v>
      </c>
    </row>
    <row r="183" spans="1:21">
      <c r="A183" t="s">
        <v>353</v>
      </c>
      <c r="B183" t="s">
        <v>143</v>
      </c>
      <c r="C183" t="s">
        <v>37</v>
      </c>
      <c r="D183">
        <v>217000</v>
      </c>
      <c r="E183">
        <v>11000</v>
      </c>
      <c r="G183">
        <v>217000</v>
      </c>
      <c r="H183">
        <v>1</v>
      </c>
      <c r="I183" t="s">
        <v>325</v>
      </c>
      <c r="J183">
        <v>45.4</v>
      </c>
      <c r="K183">
        <v>7</v>
      </c>
      <c r="L183">
        <v>10</v>
      </c>
      <c r="M183" t="s">
        <v>25</v>
      </c>
      <c r="N183">
        <v>9</v>
      </c>
      <c r="O183">
        <v>9.33</v>
      </c>
      <c r="P183">
        <v>136411.03</v>
      </c>
      <c r="Q183">
        <v>168453.81</v>
      </c>
      <c r="R183">
        <v>390</v>
      </c>
      <c r="S183">
        <v>788</v>
      </c>
      <c r="T183" t="s">
        <v>326</v>
      </c>
      <c r="U183" t="s">
        <v>31</v>
      </c>
    </row>
    <row r="184" spans="1:21">
      <c r="A184" t="s">
        <v>354</v>
      </c>
      <c r="B184" t="s">
        <v>143</v>
      </c>
      <c r="C184" t="s">
        <v>37</v>
      </c>
      <c r="D184">
        <v>218000</v>
      </c>
      <c r="E184">
        <v>11000</v>
      </c>
      <c r="G184">
        <v>218000</v>
      </c>
      <c r="H184">
        <v>1</v>
      </c>
      <c r="I184" t="s">
        <v>325</v>
      </c>
      <c r="J184">
        <v>46.83</v>
      </c>
      <c r="K184">
        <v>7</v>
      </c>
      <c r="L184">
        <v>10</v>
      </c>
      <c r="M184" t="s">
        <v>25</v>
      </c>
      <c r="N184">
        <v>9</v>
      </c>
      <c r="O184">
        <v>9.33</v>
      </c>
      <c r="P184">
        <v>136411.03</v>
      </c>
      <c r="Q184">
        <v>168453.81</v>
      </c>
      <c r="R184">
        <v>390</v>
      </c>
      <c r="S184">
        <v>788</v>
      </c>
      <c r="T184" t="s">
        <v>326</v>
      </c>
      <c r="U184" t="s">
        <v>31</v>
      </c>
    </row>
    <row r="185" spans="1:21">
      <c r="A185" t="s">
        <v>355</v>
      </c>
      <c r="B185" t="s">
        <v>356</v>
      </c>
      <c r="C185" t="s">
        <v>37</v>
      </c>
      <c r="D185">
        <v>177000</v>
      </c>
      <c r="E185">
        <v>10000</v>
      </c>
      <c r="F185">
        <v>177000</v>
      </c>
      <c r="H185">
        <v>1</v>
      </c>
      <c r="I185" t="s">
        <v>325</v>
      </c>
      <c r="J185">
        <v>39.97</v>
      </c>
      <c r="K185">
        <v>3</v>
      </c>
      <c r="L185">
        <v>3</v>
      </c>
      <c r="M185" t="s">
        <v>25</v>
      </c>
      <c r="N185">
        <v>6</v>
      </c>
      <c r="O185">
        <v>10.33</v>
      </c>
      <c r="P185">
        <v>136411.03</v>
      </c>
      <c r="Q185">
        <v>168453.81</v>
      </c>
      <c r="R185">
        <v>390</v>
      </c>
      <c r="S185">
        <v>788</v>
      </c>
      <c r="T185" t="s">
        <v>26</v>
      </c>
      <c r="U185" t="s">
        <v>31</v>
      </c>
    </row>
    <row r="186" spans="1:21">
      <c r="A186" t="s">
        <v>357</v>
      </c>
      <c r="B186" t="s">
        <v>356</v>
      </c>
      <c r="C186" t="s">
        <v>37</v>
      </c>
      <c r="D186">
        <v>177000</v>
      </c>
      <c r="E186">
        <v>10000</v>
      </c>
      <c r="H186">
        <v>-1</v>
      </c>
      <c r="I186" t="s">
        <v>325</v>
      </c>
      <c r="J186">
        <v>39.97</v>
      </c>
      <c r="K186">
        <v>3</v>
      </c>
      <c r="L186">
        <v>3</v>
      </c>
      <c r="M186" t="s">
        <v>25</v>
      </c>
      <c r="N186">
        <v>6</v>
      </c>
      <c r="O186">
        <v>10.33</v>
      </c>
      <c r="P186">
        <v>136411.03</v>
      </c>
      <c r="Q186">
        <v>168453.81</v>
      </c>
      <c r="R186">
        <v>390</v>
      </c>
      <c r="S186">
        <v>788</v>
      </c>
      <c r="T186" t="s">
        <v>26</v>
      </c>
      <c r="U186" t="s">
        <v>31</v>
      </c>
    </row>
    <row r="187" spans="1:21">
      <c r="A187" t="s">
        <v>358</v>
      </c>
      <c r="B187" t="s">
        <v>359</v>
      </c>
      <c r="C187" t="s">
        <v>121</v>
      </c>
      <c r="D187">
        <v>143000</v>
      </c>
      <c r="E187">
        <v>10000</v>
      </c>
      <c r="F187">
        <v>143000</v>
      </c>
      <c r="G187">
        <v>143000</v>
      </c>
      <c r="H187">
        <v>2</v>
      </c>
      <c r="I187" t="s">
        <v>325</v>
      </c>
      <c r="J187">
        <v>33.6</v>
      </c>
      <c r="K187">
        <v>4</v>
      </c>
      <c r="L187">
        <v>6</v>
      </c>
      <c r="M187" t="s">
        <v>25</v>
      </c>
      <c r="N187">
        <v>5</v>
      </c>
      <c r="O187">
        <v>9.67</v>
      </c>
      <c r="P187">
        <v>136411.03</v>
      </c>
      <c r="Q187">
        <v>168453.81</v>
      </c>
      <c r="R187">
        <v>390</v>
      </c>
      <c r="S187">
        <v>788</v>
      </c>
      <c r="T187" t="s">
        <v>26</v>
      </c>
      <c r="U187" t="s">
        <v>31</v>
      </c>
    </row>
    <row r="188" spans="1:21">
      <c r="A188" t="s">
        <v>360</v>
      </c>
      <c r="B188" t="s">
        <v>361</v>
      </c>
      <c r="C188" t="s">
        <v>41</v>
      </c>
      <c r="D188">
        <v>120000</v>
      </c>
      <c r="E188">
        <v>8000</v>
      </c>
      <c r="F188">
        <v>120000</v>
      </c>
      <c r="G188">
        <v>120000</v>
      </c>
      <c r="H188">
        <v>2</v>
      </c>
      <c r="I188" t="s">
        <v>325</v>
      </c>
      <c r="J188">
        <v>30.03</v>
      </c>
      <c r="K188">
        <v>11</v>
      </c>
      <c r="L188">
        <v>5</v>
      </c>
      <c r="M188" t="s">
        <v>25</v>
      </c>
      <c r="N188">
        <v>4</v>
      </c>
      <c r="O188">
        <v>10</v>
      </c>
      <c r="P188">
        <v>136411.03</v>
      </c>
      <c r="Q188">
        <v>168453.81</v>
      </c>
      <c r="R188">
        <v>390</v>
      </c>
      <c r="S188">
        <v>788</v>
      </c>
      <c r="T188" t="s">
        <v>26</v>
      </c>
      <c r="U188" t="s">
        <v>90</v>
      </c>
    </row>
    <row r="189" spans="1:21">
      <c r="A189" t="s">
        <v>362</v>
      </c>
      <c r="B189" t="s">
        <v>363</v>
      </c>
      <c r="C189" t="s">
        <v>48</v>
      </c>
      <c r="D189">
        <v>132000</v>
      </c>
      <c r="E189">
        <v>16000</v>
      </c>
      <c r="F189">
        <v>132000</v>
      </c>
      <c r="G189">
        <v>132000</v>
      </c>
      <c r="H189">
        <v>3</v>
      </c>
      <c r="I189" t="s">
        <v>325</v>
      </c>
      <c r="J189">
        <v>39.770000000000003</v>
      </c>
      <c r="K189">
        <v>27</v>
      </c>
      <c r="L189">
        <v>8</v>
      </c>
      <c r="M189" t="s">
        <v>25</v>
      </c>
      <c r="N189">
        <v>9</v>
      </c>
      <c r="O189">
        <v>10.33</v>
      </c>
      <c r="P189">
        <v>136411.03</v>
      </c>
      <c r="Q189">
        <v>168453.81</v>
      </c>
      <c r="R189">
        <v>390</v>
      </c>
      <c r="S189">
        <v>788</v>
      </c>
      <c r="T189" t="s">
        <v>26</v>
      </c>
      <c r="U189" t="s">
        <v>27</v>
      </c>
    </row>
    <row r="190" spans="1:21">
      <c r="A190" t="s">
        <v>364</v>
      </c>
      <c r="B190" t="s">
        <v>365</v>
      </c>
      <c r="C190" t="s">
        <v>37</v>
      </c>
      <c r="D190">
        <v>210000</v>
      </c>
      <c r="E190">
        <v>10000</v>
      </c>
      <c r="H190">
        <v>4</v>
      </c>
      <c r="I190" t="s">
        <v>325</v>
      </c>
      <c r="J190">
        <v>51.04</v>
      </c>
      <c r="K190">
        <v>15</v>
      </c>
      <c r="L190">
        <v>5</v>
      </c>
      <c r="M190" t="s">
        <v>25</v>
      </c>
      <c r="N190">
        <v>3</v>
      </c>
      <c r="O190">
        <v>10.33</v>
      </c>
      <c r="P190">
        <v>136411.03</v>
      </c>
      <c r="Q190">
        <v>168453.81</v>
      </c>
      <c r="R190">
        <v>390</v>
      </c>
      <c r="S190">
        <v>788</v>
      </c>
      <c r="T190" t="s">
        <v>332</v>
      </c>
      <c r="U190" t="s">
        <v>90</v>
      </c>
    </row>
    <row r="191" spans="1:21">
      <c r="A191" t="s">
        <v>366</v>
      </c>
      <c r="B191" t="s">
        <v>365</v>
      </c>
      <c r="C191" t="s">
        <v>37</v>
      </c>
      <c r="D191">
        <v>260000</v>
      </c>
      <c r="E191">
        <v>10000</v>
      </c>
      <c r="H191">
        <v>4</v>
      </c>
      <c r="I191" t="s">
        <v>325</v>
      </c>
      <c r="J191">
        <v>51.04</v>
      </c>
      <c r="K191">
        <v>15</v>
      </c>
      <c r="L191">
        <v>5</v>
      </c>
      <c r="M191" t="s">
        <v>25</v>
      </c>
      <c r="N191">
        <v>3</v>
      </c>
      <c r="O191">
        <v>10.33</v>
      </c>
      <c r="P191">
        <v>136411.03</v>
      </c>
      <c r="Q191">
        <v>168453.81</v>
      </c>
      <c r="R191">
        <v>390</v>
      </c>
      <c r="S191">
        <v>788</v>
      </c>
      <c r="T191" t="s">
        <v>332</v>
      </c>
      <c r="U191" t="s">
        <v>90</v>
      </c>
    </row>
    <row r="192" spans="1:21">
      <c r="A192" t="s">
        <v>367</v>
      </c>
      <c r="B192" t="s">
        <v>368</v>
      </c>
      <c r="C192" t="s">
        <v>121</v>
      </c>
      <c r="D192">
        <v>110000</v>
      </c>
      <c r="F192">
        <v>110000</v>
      </c>
      <c r="G192">
        <v>110000</v>
      </c>
      <c r="H192">
        <v>1</v>
      </c>
      <c r="I192" t="s">
        <v>325</v>
      </c>
      <c r="J192">
        <v>42.35</v>
      </c>
      <c r="K192">
        <v>47</v>
      </c>
      <c r="L192">
        <v>4</v>
      </c>
      <c r="M192" t="s">
        <v>25</v>
      </c>
      <c r="N192">
        <v>2</v>
      </c>
      <c r="O192">
        <v>8.33</v>
      </c>
      <c r="P192">
        <v>136411.03</v>
      </c>
      <c r="Q192">
        <v>168453.81</v>
      </c>
      <c r="R192">
        <v>390</v>
      </c>
      <c r="S192">
        <v>788</v>
      </c>
      <c r="T192" t="s">
        <v>326</v>
      </c>
      <c r="U192" t="s">
        <v>42</v>
      </c>
    </row>
    <row r="193" spans="1:21">
      <c r="A193" t="s">
        <v>369</v>
      </c>
      <c r="B193" t="s">
        <v>370</v>
      </c>
      <c r="C193" t="s">
        <v>37</v>
      </c>
      <c r="D193">
        <v>150000</v>
      </c>
      <c r="E193">
        <v>9000</v>
      </c>
      <c r="F193">
        <v>150000</v>
      </c>
      <c r="G193">
        <v>225000</v>
      </c>
      <c r="H193">
        <v>1</v>
      </c>
      <c r="I193" t="s">
        <v>325</v>
      </c>
      <c r="J193">
        <v>41.49</v>
      </c>
      <c r="K193">
        <v>6</v>
      </c>
      <c r="L193">
        <v>3</v>
      </c>
      <c r="M193" t="s">
        <v>25</v>
      </c>
      <c r="N193">
        <v>10</v>
      </c>
      <c r="O193">
        <v>10.67</v>
      </c>
      <c r="P193">
        <v>136411.03</v>
      </c>
      <c r="Q193">
        <v>168453.81</v>
      </c>
      <c r="R193">
        <v>390</v>
      </c>
      <c r="S193">
        <v>788</v>
      </c>
      <c r="T193" t="s">
        <v>326</v>
      </c>
      <c r="U193" t="s">
        <v>31</v>
      </c>
    </row>
    <row r="194" spans="1:21">
      <c r="A194" t="s">
        <v>371</v>
      </c>
      <c r="B194" t="s">
        <v>372</v>
      </c>
      <c r="C194" t="s">
        <v>30</v>
      </c>
      <c r="D194">
        <v>144000</v>
      </c>
      <c r="E194">
        <v>10000</v>
      </c>
      <c r="F194">
        <v>144000</v>
      </c>
      <c r="H194">
        <v>2</v>
      </c>
      <c r="I194" t="s">
        <v>325</v>
      </c>
      <c r="J194">
        <v>32.04</v>
      </c>
      <c r="K194">
        <v>3</v>
      </c>
      <c r="L194">
        <v>6</v>
      </c>
      <c r="M194" t="s">
        <v>25</v>
      </c>
      <c r="N194">
        <v>1</v>
      </c>
      <c r="O194">
        <v>10</v>
      </c>
      <c r="P194">
        <v>136411.03</v>
      </c>
      <c r="Q194">
        <v>168453.81</v>
      </c>
      <c r="R194">
        <v>390</v>
      </c>
      <c r="S194">
        <v>788</v>
      </c>
      <c r="T194" t="s">
        <v>26</v>
      </c>
      <c r="U194" t="s">
        <v>31</v>
      </c>
    </row>
    <row r="195" spans="1:21">
      <c r="A195" t="s">
        <v>373</v>
      </c>
      <c r="B195" t="s">
        <v>372</v>
      </c>
      <c r="C195" t="s">
        <v>30</v>
      </c>
      <c r="D195">
        <v>145000</v>
      </c>
      <c r="E195">
        <v>10000</v>
      </c>
      <c r="F195">
        <v>145000</v>
      </c>
      <c r="H195">
        <v>3</v>
      </c>
      <c r="I195" t="s">
        <v>325</v>
      </c>
      <c r="J195">
        <v>32.04</v>
      </c>
      <c r="K195">
        <v>3</v>
      </c>
      <c r="L195">
        <v>6</v>
      </c>
      <c r="M195" t="s">
        <v>25</v>
      </c>
      <c r="N195">
        <v>1</v>
      </c>
      <c r="O195">
        <v>10</v>
      </c>
      <c r="P195">
        <v>136411.03</v>
      </c>
      <c r="Q195">
        <v>168453.81</v>
      </c>
      <c r="R195">
        <v>390</v>
      </c>
      <c r="S195">
        <v>788</v>
      </c>
      <c r="T195" t="s">
        <v>26</v>
      </c>
      <c r="U195" t="s">
        <v>31</v>
      </c>
    </row>
    <row r="196" spans="1:21">
      <c r="A196" t="s">
        <v>374</v>
      </c>
      <c r="B196" t="s">
        <v>375</v>
      </c>
      <c r="C196" t="s">
        <v>37</v>
      </c>
      <c r="D196">
        <v>165000</v>
      </c>
      <c r="E196">
        <v>15000</v>
      </c>
      <c r="H196">
        <v>1</v>
      </c>
      <c r="I196" t="s">
        <v>325</v>
      </c>
      <c r="J196">
        <v>39.83</v>
      </c>
      <c r="K196">
        <v>4</v>
      </c>
      <c r="L196">
        <v>4</v>
      </c>
      <c r="M196" t="s">
        <v>25</v>
      </c>
      <c r="N196">
        <v>4</v>
      </c>
      <c r="O196">
        <v>11</v>
      </c>
      <c r="P196">
        <v>136411.03</v>
      </c>
      <c r="Q196">
        <v>168453.81</v>
      </c>
      <c r="R196">
        <v>390</v>
      </c>
      <c r="S196">
        <v>788</v>
      </c>
      <c r="T196" t="s">
        <v>26</v>
      </c>
      <c r="U196" t="s">
        <v>31</v>
      </c>
    </row>
    <row r="197" spans="1:21">
      <c r="A197" t="s">
        <v>376</v>
      </c>
      <c r="B197" t="s">
        <v>375</v>
      </c>
      <c r="C197" t="s">
        <v>37</v>
      </c>
      <c r="D197">
        <v>165000</v>
      </c>
      <c r="E197">
        <v>15000</v>
      </c>
      <c r="H197">
        <v>-1</v>
      </c>
      <c r="I197" t="s">
        <v>325</v>
      </c>
      <c r="J197">
        <v>39.83</v>
      </c>
      <c r="K197">
        <v>4</v>
      </c>
      <c r="L197">
        <v>4</v>
      </c>
      <c r="M197" t="s">
        <v>25</v>
      </c>
      <c r="N197">
        <v>4</v>
      </c>
      <c r="O197">
        <v>10.67</v>
      </c>
      <c r="P197">
        <v>136411.03</v>
      </c>
      <c r="Q197">
        <v>168453.81</v>
      </c>
      <c r="R197">
        <v>390</v>
      </c>
      <c r="S197">
        <v>788</v>
      </c>
      <c r="T197" t="s">
        <v>26</v>
      </c>
      <c r="U197" t="s">
        <v>31</v>
      </c>
    </row>
    <row r="198" spans="1:21">
      <c r="A198" t="s">
        <v>377</v>
      </c>
      <c r="B198" t="s">
        <v>197</v>
      </c>
      <c r="C198" t="s">
        <v>121</v>
      </c>
      <c r="D198">
        <v>152000</v>
      </c>
      <c r="E198">
        <v>20000</v>
      </c>
      <c r="F198">
        <v>152000</v>
      </c>
      <c r="H198">
        <v>5</v>
      </c>
      <c r="I198" t="s">
        <v>325</v>
      </c>
      <c r="J198">
        <v>41.05</v>
      </c>
      <c r="K198">
        <v>18</v>
      </c>
      <c r="L198">
        <v>7</v>
      </c>
      <c r="M198" t="s">
        <v>25</v>
      </c>
      <c r="N198">
        <v>5</v>
      </c>
      <c r="O198">
        <v>7.33</v>
      </c>
      <c r="P198">
        <v>136411.03</v>
      </c>
      <c r="Q198">
        <v>168453.81</v>
      </c>
      <c r="R198">
        <v>390</v>
      </c>
      <c r="S198">
        <v>788</v>
      </c>
      <c r="T198" t="s">
        <v>326</v>
      </c>
      <c r="U198" t="s">
        <v>90</v>
      </c>
    </row>
    <row r="199" spans="1:21">
      <c r="A199" t="s">
        <v>378</v>
      </c>
      <c r="B199" t="s">
        <v>197</v>
      </c>
      <c r="C199" t="s">
        <v>121</v>
      </c>
      <c r="D199">
        <v>163000</v>
      </c>
      <c r="E199">
        <v>20000</v>
      </c>
      <c r="F199">
        <v>163000</v>
      </c>
      <c r="G199">
        <v>163000</v>
      </c>
      <c r="H199">
        <v>7</v>
      </c>
      <c r="I199" t="s">
        <v>325</v>
      </c>
      <c r="J199">
        <v>42.56</v>
      </c>
      <c r="K199">
        <v>18</v>
      </c>
      <c r="L199">
        <v>7</v>
      </c>
      <c r="M199" t="s">
        <v>25</v>
      </c>
      <c r="N199">
        <v>5</v>
      </c>
      <c r="O199">
        <v>7.33</v>
      </c>
      <c r="P199">
        <v>136411.03</v>
      </c>
      <c r="Q199">
        <v>168453.81</v>
      </c>
      <c r="R199">
        <v>390</v>
      </c>
      <c r="S199">
        <v>788</v>
      </c>
      <c r="T199" t="s">
        <v>326</v>
      </c>
      <c r="U199" t="s">
        <v>90</v>
      </c>
    </row>
    <row r="200" spans="1:21">
      <c r="A200" t="s">
        <v>379</v>
      </c>
      <c r="B200" t="s">
        <v>380</v>
      </c>
      <c r="C200" t="s">
        <v>37</v>
      </c>
      <c r="D200">
        <v>120000</v>
      </c>
      <c r="G200">
        <v>120000</v>
      </c>
      <c r="H200">
        <v>1</v>
      </c>
      <c r="I200" t="s">
        <v>325</v>
      </c>
      <c r="J200">
        <v>41.4</v>
      </c>
      <c r="K200">
        <v>45</v>
      </c>
      <c r="L200">
        <v>2</v>
      </c>
      <c r="M200" t="s">
        <v>25</v>
      </c>
      <c r="N200">
        <v>7</v>
      </c>
      <c r="O200">
        <v>9</v>
      </c>
      <c r="P200">
        <v>136411.03</v>
      </c>
      <c r="Q200">
        <v>168453.81</v>
      </c>
      <c r="R200">
        <v>390</v>
      </c>
      <c r="S200">
        <v>788</v>
      </c>
      <c r="T200" t="s">
        <v>326</v>
      </c>
      <c r="U200" t="s">
        <v>42</v>
      </c>
    </row>
    <row r="201" spans="1:21">
      <c r="A201" t="s">
        <v>381</v>
      </c>
      <c r="B201" t="s">
        <v>382</v>
      </c>
      <c r="C201" t="s">
        <v>41</v>
      </c>
      <c r="D201">
        <v>165000</v>
      </c>
      <c r="E201">
        <v>13000</v>
      </c>
      <c r="F201">
        <v>165000</v>
      </c>
      <c r="G201">
        <v>165000</v>
      </c>
      <c r="H201">
        <v>7</v>
      </c>
      <c r="I201" t="s">
        <v>325</v>
      </c>
      <c r="J201">
        <v>40.04</v>
      </c>
      <c r="K201">
        <v>28</v>
      </c>
      <c r="L201">
        <v>10</v>
      </c>
      <c r="M201" t="s">
        <v>25</v>
      </c>
      <c r="N201">
        <v>6</v>
      </c>
      <c r="O201">
        <v>9.67</v>
      </c>
      <c r="P201">
        <v>136411.03</v>
      </c>
      <c r="Q201">
        <v>168453.81</v>
      </c>
      <c r="R201">
        <v>390</v>
      </c>
      <c r="S201">
        <v>788</v>
      </c>
      <c r="T201" t="s">
        <v>326</v>
      </c>
      <c r="U201" t="s">
        <v>27</v>
      </c>
    </row>
    <row r="202" spans="1:21">
      <c r="A202" t="s">
        <v>383</v>
      </c>
      <c r="B202" t="s">
        <v>61</v>
      </c>
      <c r="C202" t="s">
        <v>54</v>
      </c>
      <c r="D202">
        <v>152000</v>
      </c>
      <c r="E202">
        <v>10000</v>
      </c>
      <c r="F202">
        <v>152000</v>
      </c>
      <c r="G202">
        <v>152000</v>
      </c>
      <c r="H202">
        <v>2</v>
      </c>
      <c r="I202" t="s">
        <v>325</v>
      </c>
      <c r="J202">
        <v>31.63</v>
      </c>
      <c r="K202">
        <v>2</v>
      </c>
      <c r="L202">
        <v>2</v>
      </c>
      <c r="M202" t="s">
        <v>25</v>
      </c>
      <c r="N202">
        <v>3</v>
      </c>
      <c r="O202">
        <v>10.67</v>
      </c>
      <c r="P202">
        <v>136411.03</v>
      </c>
      <c r="Q202">
        <v>168453.81</v>
      </c>
      <c r="R202">
        <v>390</v>
      </c>
      <c r="S202">
        <v>788</v>
      </c>
      <c r="T202" t="s">
        <v>26</v>
      </c>
      <c r="U202" t="s">
        <v>31</v>
      </c>
    </row>
    <row r="203" spans="1:21">
      <c r="A203" t="s">
        <v>384</v>
      </c>
      <c r="B203" t="s">
        <v>61</v>
      </c>
      <c r="C203" t="s">
        <v>37</v>
      </c>
      <c r="D203">
        <v>202000</v>
      </c>
      <c r="E203">
        <v>15000</v>
      </c>
      <c r="H203">
        <v>2</v>
      </c>
      <c r="I203" t="s">
        <v>325</v>
      </c>
      <c r="J203">
        <v>40.049999999999997</v>
      </c>
      <c r="K203">
        <v>2</v>
      </c>
      <c r="L203">
        <v>2</v>
      </c>
      <c r="M203" t="s">
        <v>25</v>
      </c>
      <c r="N203">
        <v>4</v>
      </c>
      <c r="O203">
        <v>10.67</v>
      </c>
      <c r="P203">
        <v>136411.03</v>
      </c>
      <c r="Q203">
        <v>168453.81</v>
      </c>
      <c r="R203">
        <v>390</v>
      </c>
      <c r="S203">
        <v>788</v>
      </c>
      <c r="T203" t="s">
        <v>326</v>
      </c>
      <c r="U203" t="s">
        <v>31</v>
      </c>
    </row>
    <row r="204" spans="1:21">
      <c r="A204" t="s">
        <v>385</v>
      </c>
      <c r="B204" t="s">
        <v>61</v>
      </c>
      <c r="C204" t="s">
        <v>37</v>
      </c>
      <c r="D204">
        <v>214000</v>
      </c>
      <c r="E204">
        <v>15000</v>
      </c>
      <c r="H204">
        <v>-2</v>
      </c>
      <c r="I204" t="s">
        <v>325</v>
      </c>
      <c r="J204">
        <v>43.35</v>
      </c>
      <c r="K204">
        <v>2</v>
      </c>
      <c r="L204">
        <v>2</v>
      </c>
      <c r="M204" t="s">
        <v>25</v>
      </c>
      <c r="N204">
        <v>4</v>
      </c>
      <c r="O204">
        <v>10.67</v>
      </c>
      <c r="P204">
        <v>136411.03</v>
      </c>
      <c r="Q204">
        <v>168453.81</v>
      </c>
      <c r="R204">
        <v>390</v>
      </c>
      <c r="S204">
        <v>788</v>
      </c>
      <c r="T204" t="s">
        <v>326</v>
      </c>
      <c r="U204" t="s">
        <v>31</v>
      </c>
    </row>
    <row r="205" spans="1:21">
      <c r="A205" t="s">
        <v>386</v>
      </c>
      <c r="B205" t="s">
        <v>387</v>
      </c>
      <c r="C205" t="s">
        <v>54</v>
      </c>
      <c r="D205">
        <v>165000</v>
      </c>
      <c r="E205">
        <v>8000</v>
      </c>
      <c r="F205">
        <v>82500</v>
      </c>
      <c r="G205">
        <v>165000</v>
      </c>
      <c r="H205">
        <v>1</v>
      </c>
      <c r="I205" t="s">
        <v>325</v>
      </c>
      <c r="J205">
        <v>49.23</v>
      </c>
      <c r="K205">
        <v>5</v>
      </c>
      <c r="L205">
        <v>2</v>
      </c>
      <c r="M205" t="s">
        <v>25</v>
      </c>
      <c r="N205">
        <v>5</v>
      </c>
      <c r="O205">
        <v>11</v>
      </c>
      <c r="P205">
        <v>136411.03</v>
      </c>
      <c r="Q205">
        <v>168453.81</v>
      </c>
      <c r="R205">
        <v>390</v>
      </c>
      <c r="S205">
        <v>788</v>
      </c>
      <c r="T205" t="s">
        <v>326</v>
      </c>
      <c r="U205" t="s">
        <v>31</v>
      </c>
    </row>
    <row r="206" spans="1:21">
      <c r="A206" t="s">
        <v>386</v>
      </c>
      <c r="B206" t="s">
        <v>387</v>
      </c>
      <c r="C206" t="s">
        <v>54</v>
      </c>
      <c r="D206">
        <v>165000</v>
      </c>
      <c r="E206">
        <v>8000</v>
      </c>
      <c r="F206">
        <v>82500</v>
      </c>
      <c r="G206">
        <v>165000</v>
      </c>
      <c r="H206">
        <v>2</v>
      </c>
      <c r="I206" t="s">
        <v>325</v>
      </c>
      <c r="J206">
        <v>49.23</v>
      </c>
      <c r="K206">
        <v>5</v>
      </c>
      <c r="L206">
        <v>2</v>
      </c>
      <c r="M206" t="s">
        <v>25</v>
      </c>
      <c r="N206">
        <v>5</v>
      </c>
      <c r="O206">
        <v>11</v>
      </c>
      <c r="P206">
        <v>136411.03</v>
      </c>
      <c r="Q206">
        <v>168453.81</v>
      </c>
      <c r="R206">
        <v>390</v>
      </c>
      <c r="S206">
        <v>788</v>
      </c>
      <c r="T206" t="s">
        <v>326</v>
      </c>
      <c r="U206" t="s">
        <v>31</v>
      </c>
    </row>
    <row r="207" spans="1:21">
      <c r="A207" t="s">
        <v>388</v>
      </c>
      <c r="B207" t="s">
        <v>387</v>
      </c>
      <c r="C207" t="s">
        <v>54</v>
      </c>
      <c r="D207">
        <v>169000</v>
      </c>
      <c r="E207">
        <v>6000</v>
      </c>
      <c r="F207">
        <v>84500</v>
      </c>
      <c r="G207">
        <v>84500</v>
      </c>
      <c r="H207">
        <v>2</v>
      </c>
      <c r="I207" t="s">
        <v>325</v>
      </c>
      <c r="J207">
        <v>38.74</v>
      </c>
      <c r="K207">
        <v>5</v>
      </c>
      <c r="L207">
        <v>2</v>
      </c>
      <c r="M207" t="s">
        <v>25</v>
      </c>
      <c r="N207">
        <v>5</v>
      </c>
      <c r="O207">
        <v>11</v>
      </c>
      <c r="P207">
        <v>136411.03</v>
      </c>
      <c r="Q207">
        <v>168453.81</v>
      </c>
      <c r="R207">
        <v>390</v>
      </c>
      <c r="S207">
        <v>788</v>
      </c>
      <c r="T207" t="s">
        <v>26</v>
      </c>
      <c r="U207" t="s">
        <v>31</v>
      </c>
    </row>
    <row r="208" spans="1:21">
      <c r="A208" t="s">
        <v>389</v>
      </c>
      <c r="B208" t="s">
        <v>390</v>
      </c>
      <c r="C208" t="s">
        <v>37</v>
      </c>
      <c r="D208">
        <v>177000</v>
      </c>
      <c r="E208">
        <v>10000</v>
      </c>
      <c r="H208">
        <v>1</v>
      </c>
      <c r="I208" t="s">
        <v>325</v>
      </c>
      <c r="J208">
        <v>39.97</v>
      </c>
      <c r="K208">
        <v>3</v>
      </c>
      <c r="L208">
        <v>3</v>
      </c>
      <c r="M208" t="s">
        <v>25</v>
      </c>
      <c r="N208">
        <v>6</v>
      </c>
      <c r="O208">
        <v>10</v>
      </c>
      <c r="P208">
        <v>136411.03</v>
      </c>
      <c r="Q208">
        <v>168453.81</v>
      </c>
      <c r="R208">
        <v>390</v>
      </c>
      <c r="S208">
        <v>788</v>
      </c>
      <c r="T208" t="s">
        <v>26</v>
      </c>
      <c r="U208" t="s">
        <v>31</v>
      </c>
    </row>
    <row r="209" spans="1:21">
      <c r="A209" t="s">
        <v>391</v>
      </c>
      <c r="B209" t="s">
        <v>65</v>
      </c>
      <c r="C209" t="s">
        <v>37</v>
      </c>
      <c r="D209">
        <v>122000</v>
      </c>
      <c r="E209">
        <v>3000</v>
      </c>
      <c r="G209">
        <v>122000</v>
      </c>
      <c r="H209">
        <v>1</v>
      </c>
      <c r="I209" t="s">
        <v>325</v>
      </c>
      <c r="J209">
        <v>34.19</v>
      </c>
      <c r="K209">
        <v>4</v>
      </c>
      <c r="L209">
        <v>3</v>
      </c>
      <c r="M209" t="s">
        <v>25</v>
      </c>
      <c r="N209">
        <v>9</v>
      </c>
      <c r="O209">
        <v>11.33</v>
      </c>
      <c r="P209">
        <v>136411.03</v>
      </c>
      <c r="Q209">
        <v>168453.81</v>
      </c>
      <c r="R209">
        <v>390</v>
      </c>
      <c r="S209">
        <v>788</v>
      </c>
      <c r="T209" t="s">
        <v>26</v>
      </c>
      <c r="U209" t="s">
        <v>31</v>
      </c>
    </row>
    <row r="210" spans="1:21">
      <c r="A210" t="s">
        <v>392</v>
      </c>
      <c r="B210" t="s">
        <v>393</v>
      </c>
      <c r="C210" t="s">
        <v>37</v>
      </c>
      <c r="D210">
        <v>150000</v>
      </c>
      <c r="E210">
        <v>9000</v>
      </c>
      <c r="F210">
        <v>150000</v>
      </c>
      <c r="G210">
        <v>225000</v>
      </c>
      <c r="H210">
        <v>1</v>
      </c>
      <c r="I210" t="s">
        <v>325</v>
      </c>
      <c r="J210">
        <v>41.49</v>
      </c>
      <c r="K210">
        <v>6</v>
      </c>
      <c r="L210">
        <v>3</v>
      </c>
      <c r="M210" t="s">
        <v>25</v>
      </c>
      <c r="N210">
        <v>10</v>
      </c>
      <c r="O210">
        <v>10.67</v>
      </c>
      <c r="P210">
        <v>136411.03</v>
      </c>
      <c r="Q210">
        <v>168453.81</v>
      </c>
      <c r="R210">
        <v>390</v>
      </c>
      <c r="S210">
        <v>788</v>
      </c>
      <c r="T210" t="s">
        <v>326</v>
      </c>
      <c r="U210" t="s">
        <v>31</v>
      </c>
    </row>
    <row r="211" spans="1:21">
      <c r="A211" t="s">
        <v>394</v>
      </c>
      <c r="B211" t="s">
        <v>395</v>
      </c>
      <c r="C211" t="s">
        <v>41</v>
      </c>
      <c r="D211">
        <v>154000</v>
      </c>
      <c r="E211">
        <v>6000</v>
      </c>
      <c r="F211">
        <v>154000</v>
      </c>
      <c r="G211">
        <v>231000</v>
      </c>
      <c r="H211">
        <v>2</v>
      </c>
      <c r="I211" t="s">
        <v>325</v>
      </c>
      <c r="J211">
        <v>43.75</v>
      </c>
      <c r="K211">
        <v>7</v>
      </c>
      <c r="L211">
        <v>3</v>
      </c>
      <c r="M211" t="s">
        <v>25</v>
      </c>
      <c r="N211">
        <v>6</v>
      </c>
      <c r="O211">
        <v>11</v>
      </c>
      <c r="P211">
        <v>136411.03</v>
      </c>
      <c r="Q211">
        <v>168453.81</v>
      </c>
      <c r="R211">
        <v>390</v>
      </c>
      <c r="S211">
        <v>788</v>
      </c>
      <c r="T211" t="s">
        <v>326</v>
      </c>
      <c r="U211" t="s">
        <v>31</v>
      </c>
    </row>
    <row r="212" spans="1:21">
      <c r="A212" t="s">
        <v>396</v>
      </c>
      <c r="B212" t="s">
        <v>260</v>
      </c>
      <c r="C212" t="s">
        <v>41</v>
      </c>
      <c r="D212">
        <v>148000</v>
      </c>
      <c r="E212">
        <v>5000</v>
      </c>
      <c r="F212">
        <v>148000</v>
      </c>
      <c r="G212">
        <v>148000</v>
      </c>
      <c r="H212">
        <v>3</v>
      </c>
      <c r="I212" t="s">
        <v>325</v>
      </c>
      <c r="J212">
        <v>37.32</v>
      </c>
      <c r="K212">
        <v>4</v>
      </c>
      <c r="L212">
        <v>4</v>
      </c>
      <c r="M212" t="s">
        <v>25</v>
      </c>
      <c r="N212">
        <v>4</v>
      </c>
      <c r="O212">
        <v>6.33</v>
      </c>
      <c r="P212">
        <v>136411.03</v>
      </c>
      <c r="Q212">
        <v>168453.81</v>
      </c>
      <c r="R212">
        <v>390</v>
      </c>
      <c r="S212">
        <v>788</v>
      </c>
      <c r="T212" t="s">
        <v>26</v>
      </c>
      <c r="U212" t="s">
        <v>31</v>
      </c>
    </row>
    <row r="213" spans="1:21">
      <c r="A213" t="s">
        <v>397</v>
      </c>
      <c r="B213" t="s">
        <v>398</v>
      </c>
      <c r="C213" t="s">
        <v>37</v>
      </c>
      <c r="D213">
        <v>163000</v>
      </c>
      <c r="E213">
        <v>15000</v>
      </c>
      <c r="F213">
        <v>163000</v>
      </c>
      <c r="H213">
        <v>1</v>
      </c>
      <c r="I213" t="s">
        <v>325</v>
      </c>
      <c r="J213">
        <v>44.93</v>
      </c>
      <c r="K213">
        <v>21</v>
      </c>
      <c r="L213">
        <v>5</v>
      </c>
      <c r="M213" t="s">
        <v>25</v>
      </c>
      <c r="N213">
        <v>3</v>
      </c>
      <c r="O213">
        <v>11</v>
      </c>
      <c r="P213">
        <v>136411.03</v>
      </c>
      <c r="Q213">
        <v>168453.81</v>
      </c>
      <c r="R213">
        <v>390</v>
      </c>
      <c r="S213">
        <v>788</v>
      </c>
      <c r="T213" t="s">
        <v>326</v>
      </c>
      <c r="U213" t="s">
        <v>27</v>
      </c>
    </row>
    <row r="214" spans="1:21">
      <c r="A214" t="s">
        <v>399</v>
      </c>
      <c r="B214" t="s">
        <v>398</v>
      </c>
      <c r="C214" t="s">
        <v>37</v>
      </c>
      <c r="D214">
        <v>165000</v>
      </c>
      <c r="E214">
        <v>15000</v>
      </c>
      <c r="F214">
        <v>165000</v>
      </c>
      <c r="H214">
        <v>3</v>
      </c>
      <c r="I214" t="s">
        <v>325</v>
      </c>
      <c r="J214">
        <v>40.950000000000003</v>
      </c>
      <c r="K214">
        <v>21</v>
      </c>
      <c r="L214">
        <v>5</v>
      </c>
      <c r="M214" t="s">
        <v>25</v>
      </c>
      <c r="N214">
        <v>3</v>
      </c>
      <c r="O214">
        <v>11</v>
      </c>
      <c r="P214">
        <v>136411.03</v>
      </c>
      <c r="Q214">
        <v>168453.81</v>
      </c>
      <c r="R214">
        <v>390</v>
      </c>
      <c r="S214">
        <v>788</v>
      </c>
      <c r="T214" t="s">
        <v>326</v>
      </c>
      <c r="U214" t="s">
        <v>27</v>
      </c>
    </row>
    <row r="215" spans="1:21">
      <c r="A215" t="s">
        <v>400</v>
      </c>
      <c r="B215" t="s">
        <v>401</v>
      </c>
      <c r="C215" t="s">
        <v>30</v>
      </c>
      <c r="D215">
        <v>144000</v>
      </c>
      <c r="E215">
        <v>10000</v>
      </c>
      <c r="F215">
        <v>144000</v>
      </c>
      <c r="H215">
        <v>2</v>
      </c>
      <c r="I215" t="s">
        <v>325</v>
      </c>
      <c r="J215">
        <v>32.04</v>
      </c>
      <c r="K215">
        <v>3</v>
      </c>
      <c r="L215">
        <v>6</v>
      </c>
      <c r="M215" t="s">
        <v>25</v>
      </c>
      <c r="N215">
        <v>1</v>
      </c>
      <c r="O215">
        <v>8.67</v>
      </c>
      <c r="P215">
        <v>136411.03</v>
      </c>
      <c r="Q215">
        <v>168453.81</v>
      </c>
      <c r="R215">
        <v>390</v>
      </c>
      <c r="S215">
        <v>788</v>
      </c>
      <c r="T215" t="s">
        <v>26</v>
      </c>
      <c r="U215" t="s">
        <v>31</v>
      </c>
    </row>
    <row r="216" spans="1:21">
      <c r="A216" t="s">
        <v>402</v>
      </c>
      <c r="B216" t="s">
        <v>401</v>
      </c>
      <c r="C216" t="s">
        <v>30</v>
      </c>
      <c r="D216">
        <v>145000</v>
      </c>
      <c r="E216">
        <v>10000</v>
      </c>
      <c r="F216">
        <v>145000</v>
      </c>
      <c r="H216">
        <v>3</v>
      </c>
      <c r="I216" t="s">
        <v>325</v>
      </c>
      <c r="J216">
        <v>32.04</v>
      </c>
      <c r="K216">
        <v>3</v>
      </c>
      <c r="L216">
        <v>6</v>
      </c>
      <c r="M216" t="s">
        <v>25</v>
      </c>
      <c r="N216">
        <v>1</v>
      </c>
      <c r="O216">
        <v>8.67</v>
      </c>
      <c r="P216">
        <v>136411.03</v>
      </c>
      <c r="Q216">
        <v>168453.81</v>
      </c>
      <c r="R216">
        <v>390</v>
      </c>
      <c r="S216">
        <v>788</v>
      </c>
      <c r="T216" t="s">
        <v>26</v>
      </c>
      <c r="U216" t="s">
        <v>31</v>
      </c>
    </row>
    <row r="217" spans="1:21">
      <c r="A217" t="s">
        <v>403</v>
      </c>
      <c r="B217" t="s">
        <v>404</v>
      </c>
      <c r="C217" t="s">
        <v>121</v>
      </c>
      <c r="D217">
        <v>143000</v>
      </c>
      <c r="E217">
        <v>10000</v>
      </c>
      <c r="F217">
        <v>143000</v>
      </c>
      <c r="G217">
        <v>143000</v>
      </c>
      <c r="H217">
        <v>2</v>
      </c>
      <c r="I217" t="s">
        <v>325</v>
      </c>
      <c r="J217">
        <v>33.6</v>
      </c>
      <c r="K217">
        <v>4</v>
      </c>
      <c r="L217">
        <v>6</v>
      </c>
      <c r="M217" t="s">
        <v>25</v>
      </c>
      <c r="N217">
        <v>5</v>
      </c>
      <c r="O217">
        <v>8</v>
      </c>
      <c r="P217">
        <v>136411.03</v>
      </c>
      <c r="Q217">
        <v>168453.81</v>
      </c>
      <c r="R217">
        <v>390</v>
      </c>
      <c r="S217">
        <v>788</v>
      </c>
      <c r="T217" t="s">
        <v>26</v>
      </c>
      <c r="U217" t="s">
        <v>31</v>
      </c>
    </row>
    <row r="218" spans="1:21">
      <c r="A218" t="s">
        <v>405</v>
      </c>
      <c r="B218" t="s">
        <v>270</v>
      </c>
      <c r="C218" t="s">
        <v>121</v>
      </c>
      <c r="D218">
        <v>163000</v>
      </c>
      <c r="E218">
        <v>20000</v>
      </c>
      <c r="F218">
        <v>163000</v>
      </c>
      <c r="G218">
        <v>163000</v>
      </c>
      <c r="H218">
        <v>7</v>
      </c>
      <c r="I218" t="s">
        <v>325</v>
      </c>
      <c r="J218">
        <v>42.56</v>
      </c>
      <c r="K218">
        <v>18</v>
      </c>
      <c r="L218">
        <v>7</v>
      </c>
      <c r="M218" t="s">
        <v>25</v>
      </c>
      <c r="N218">
        <v>5</v>
      </c>
      <c r="O218">
        <v>6</v>
      </c>
      <c r="P218">
        <v>136411.03</v>
      </c>
      <c r="Q218">
        <v>168453.81</v>
      </c>
      <c r="R218">
        <v>390</v>
      </c>
      <c r="S218">
        <v>788</v>
      </c>
      <c r="T218" t="s">
        <v>326</v>
      </c>
      <c r="U218" t="s">
        <v>90</v>
      </c>
    </row>
    <row r="219" spans="1:21">
      <c r="A219" t="s">
        <v>406</v>
      </c>
      <c r="B219" t="s">
        <v>407</v>
      </c>
      <c r="C219" t="s">
        <v>37</v>
      </c>
      <c r="D219">
        <v>120000</v>
      </c>
      <c r="G219">
        <v>120000</v>
      </c>
      <c r="H219">
        <v>1</v>
      </c>
      <c r="I219" t="s">
        <v>325</v>
      </c>
      <c r="J219">
        <v>41.4</v>
      </c>
      <c r="K219">
        <v>45</v>
      </c>
      <c r="L219">
        <v>2</v>
      </c>
      <c r="M219" t="s">
        <v>25</v>
      </c>
      <c r="N219">
        <v>7</v>
      </c>
      <c r="O219">
        <v>9</v>
      </c>
      <c r="P219">
        <v>136411.03</v>
      </c>
      <c r="Q219">
        <v>168453.81</v>
      </c>
      <c r="R219">
        <v>390</v>
      </c>
      <c r="S219">
        <v>788</v>
      </c>
      <c r="T219" t="s">
        <v>326</v>
      </c>
      <c r="U219" t="s">
        <v>42</v>
      </c>
    </row>
    <row r="220" spans="1:21">
      <c r="A220" t="s">
        <v>408</v>
      </c>
      <c r="B220" t="s">
        <v>289</v>
      </c>
      <c r="C220" t="s">
        <v>37</v>
      </c>
      <c r="D220">
        <v>217000</v>
      </c>
      <c r="E220">
        <v>11000</v>
      </c>
      <c r="G220">
        <v>217000</v>
      </c>
      <c r="H220">
        <v>1</v>
      </c>
      <c r="I220" t="s">
        <v>325</v>
      </c>
      <c r="J220">
        <v>45.4</v>
      </c>
      <c r="K220">
        <v>7</v>
      </c>
      <c r="L220">
        <v>10</v>
      </c>
      <c r="M220" t="s">
        <v>25</v>
      </c>
      <c r="N220">
        <v>11</v>
      </c>
      <c r="O220">
        <v>12.67</v>
      </c>
      <c r="P220">
        <v>136411.03</v>
      </c>
      <c r="Q220">
        <v>168453.81</v>
      </c>
      <c r="R220">
        <v>390</v>
      </c>
      <c r="S220">
        <v>788</v>
      </c>
      <c r="T220" t="s">
        <v>326</v>
      </c>
      <c r="U220" t="s">
        <v>31</v>
      </c>
    </row>
    <row r="221" spans="1:21">
      <c r="A221" t="s">
        <v>409</v>
      </c>
      <c r="B221" t="s">
        <v>410</v>
      </c>
      <c r="C221" t="s">
        <v>37</v>
      </c>
      <c r="D221">
        <v>165000</v>
      </c>
      <c r="E221">
        <v>15000</v>
      </c>
      <c r="H221">
        <v>1</v>
      </c>
      <c r="I221" t="s">
        <v>325</v>
      </c>
      <c r="J221">
        <v>39.83</v>
      </c>
      <c r="K221">
        <v>4</v>
      </c>
      <c r="L221">
        <v>4</v>
      </c>
      <c r="M221" t="s">
        <v>25</v>
      </c>
      <c r="N221">
        <v>4</v>
      </c>
      <c r="O221">
        <v>11</v>
      </c>
      <c r="P221">
        <v>136411.03</v>
      </c>
      <c r="Q221">
        <v>168453.81</v>
      </c>
      <c r="R221">
        <v>390</v>
      </c>
      <c r="S221">
        <v>788</v>
      </c>
      <c r="T221" t="s">
        <v>26</v>
      </c>
      <c r="U221" t="s">
        <v>31</v>
      </c>
    </row>
    <row r="222" spans="1:21">
      <c r="A222" t="s">
        <v>411</v>
      </c>
      <c r="B222" t="s">
        <v>412</v>
      </c>
      <c r="C222" t="s">
        <v>48</v>
      </c>
      <c r="D222">
        <v>205000</v>
      </c>
      <c r="E222">
        <v>5000</v>
      </c>
      <c r="F222">
        <v>205000</v>
      </c>
      <c r="G222">
        <v>307500</v>
      </c>
      <c r="H222">
        <v>1</v>
      </c>
      <c r="I222" t="s">
        <v>325</v>
      </c>
      <c r="J222">
        <v>82.2</v>
      </c>
      <c r="K222">
        <v>9</v>
      </c>
      <c r="L222">
        <v>3</v>
      </c>
      <c r="M222" t="s">
        <v>25</v>
      </c>
      <c r="N222">
        <v>4</v>
      </c>
      <c r="O222">
        <v>8.33</v>
      </c>
      <c r="P222">
        <v>136411.03</v>
      </c>
      <c r="Q222">
        <v>168453.81</v>
      </c>
      <c r="R222">
        <v>390</v>
      </c>
      <c r="S222">
        <v>788</v>
      </c>
      <c r="T222" t="s">
        <v>413</v>
      </c>
      <c r="U222" t="s">
        <v>31</v>
      </c>
    </row>
    <row r="223" spans="1:21">
      <c r="A223" t="s">
        <v>411</v>
      </c>
      <c r="B223" t="s">
        <v>412</v>
      </c>
      <c r="C223" t="s">
        <v>48</v>
      </c>
      <c r="D223">
        <v>205000</v>
      </c>
      <c r="E223">
        <v>5000</v>
      </c>
      <c r="F223">
        <v>205000</v>
      </c>
      <c r="G223">
        <v>307500</v>
      </c>
      <c r="H223">
        <v>2</v>
      </c>
      <c r="I223" t="s">
        <v>325</v>
      </c>
      <c r="J223">
        <v>82.2</v>
      </c>
      <c r="K223">
        <v>9</v>
      </c>
      <c r="L223">
        <v>3</v>
      </c>
      <c r="M223" t="s">
        <v>25</v>
      </c>
      <c r="N223">
        <v>4</v>
      </c>
      <c r="O223">
        <v>8.33</v>
      </c>
      <c r="P223">
        <v>136411.03</v>
      </c>
      <c r="Q223">
        <v>168453.81</v>
      </c>
      <c r="R223">
        <v>390</v>
      </c>
      <c r="S223">
        <v>788</v>
      </c>
      <c r="T223" t="s">
        <v>413</v>
      </c>
      <c r="U223" t="s">
        <v>31</v>
      </c>
    </row>
    <row r="224" spans="1:21">
      <c r="A224" t="s">
        <v>411</v>
      </c>
      <c r="B224" t="s">
        <v>412</v>
      </c>
      <c r="C224" t="s">
        <v>48</v>
      </c>
      <c r="D224">
        <v>205000</v>
      </c>
      <c r="E224">
        <v>5000</v>
      </c>
      <c r="F224">
        <v>205000</v>
      </c>
      <c r="G224">
        <v>307500</v>
      </c>
      <c r="H224">
        <v>3</v>
      </c>
      <c r="I224" t="s">
        <v>325</v>
      </c>
      <c r="J224">
        <v>82.2</v>
      </c>
      <c r="K224">
        <v>9</v>
      </c>
      <c r="L224">
        <v>3</v>
      </c>
      <c r="M224" t="s">
        <v>25</v>
      </c>
      <c r="N224">
        <v>4</v>
      </c>
      <c r="O224">
        <v>8.33</v>
      </c>
      <c r="P224">
        <v>136411.03</v>
      </c>
      <c r="Q224">
        <v>168453.81</v>
      </c>
      <c r="R224">
        <v>390</v>
      </c>
      <c r="S224">
        <v>788</v>
      </c>
      <c r="T224" t="s">
        <v>413</v>
      </c>
      <c r="U224" t="s">
        <v>31</v>
      </c>
    </row>
    <row r="225" spans="1:21">
      <c r="A225" t="s">
        <v>414</v>
      </c>
      <c r="B225" t="s">
        <v>415</v>
      </c>
      <c r="C225" t="s">
        <v>48</v>
      </c>
      <c r="D225">
        <v>136000</v>
      </c>
      <c r="E225">
        <v>4000</v>
      </c>
      <c r="G225">
        <v>136000</v>
      </c>
      <c r="H225">
        <v>3</v>
      </c>
      <c r="I225" t="s">
        <v>325</v>
      </c>
      <c r="J225">
        <v>30.18</v>
      </c>
      <c r="K225">
        <v>6</v>
      </c>
      <c r="L225">
        <v>3</v>
      </c>
      <c r="M225" t="s">
        <v>25</v>
      </c>
      <c r="N225">
        <v>8</v>
      </c>
      <c r="O225">
        <v>11.33</v>
      </c>
      <c r="P225">
        <v>136411.03</v>
      </c>
      <c r="Q225">
        <v>168453.81</v>
      </c>
      <c r="R225">
        <v>390</v>
      </c>
      <c r="S225">
        <v>788</v>
      </c>
      <c r="T225" t="s">
        <v>26</v>
      </c>
      <c r="U225" t="s">
        <v>31</v>
      </c>
    </row>
    <row r="226" spans="1:21">
      <c r="A226" t="s">
        <v>416</v>
      </c>
      <c r="B226" t="s">
        <v>417</v>
      </c>
      <c r="C226" t="s">
        <v>48</v>
      </c>
      <c r="D226">
        <v>205000</v>
      </c>
      <c r="E226">
        <v>5000</v>
      </c>
      <c r="F226">
        <v>205000</v>
      </c>
      <c r="G226">
        <v>307500</v>
      </c>
      <c r="H226">
        <v>1</v>
      </c>
      <c r="I226" t="s">
        <v>325</v>
      </c>
      <c r="J226">
        <v>82.2</v>
      </c>
      <c r="K226">
        <v>9</v>
      </c>
      <c r="L226">
        <v>3</v>
      </c>
      <c r="M226" t="s">
        <v>25</v>
      </c>
      <c r="N226">
        <v>4</v>
      </c>
      <c r="O226">
        <v>8.33</v>
      </c>
      <c r="P226">
        <v>136411.03</v>
      </c>
      <c r="Q226">
        <v>168453.81</v>
      </c>
      <c r="R226">
        <v>390</v>
      </c>
      <c r="S226">
        <v>788</v>
      </c>
      <c r="T226" t="s">
        <v>413</v>
      </c>
      <c r="U226" t="s">
        <v>31</v>
      </c>
    </row>
    <row r="227" spans="1:21">
      <c r="A227" t="s">
        <v>416</v>
      </c>
      <c r="B227" t="s">
        <v>417</v>
      </c>
      <c r="C227" t="s">
        <v>48</v>
      </c>
      <c r="D227">
        <v>205000</v>
      </c>
      <c r="E227">
        <v>5000</v>
      </c>
      <c r="F227">
        <v>205000</v>
      </c>
      <c r="G227">
        <v>307500</v>
      </c>
      <c r="H227">
        <v>2</v>
      </c>
      <c r="I227" t="s">
        <v>325</v>
      </c>
      <c r="J227">
        <v>82.2</v>
      </c>
      <c r="K227">
        <v>9</v>
      </c>
      <c r="L227">
        <v>3</v>
      </c>
      <c r="M227" t="s">
        <v>25</v>
      </c>
      <c r="N227">
        <v>4</v>
      </c>
      <c r="O227">
        <v>8.33</v>
      </c>
      <c r="P227">
        <v>136411.03</v>
      </c>
      <c r="Q227">
        <v>168453.81</v>
      </c>
      <c r="R227">
        <v>390</v>
      </c>
      <c r="S227">
        <v>788</v>
      </c>
      <c r="T227" t="s">
        <v>413</v>
      </c>
      <c r="U227" t="s">
        <v>31</v>
      </c>
    </row>
    <row r="228" spans="1:21">
      <c r="A228" t="s">
        <v>416</v>
      </c>
      <c r="B228" t="s">
        <v>417</v>
      </c>
      <c r="C228" t="s">
        <v>48</v>
      </c>
      <c r="D228">
        <v>205000</v>
      </c>
      <c r="E228">
        <v>5000</v>
      </c>
      <c r="F228">
        <v>205000</v>
      </c>
      <c r="G228">
        <v>307500</v>
      </c>
      <c r="H228">
        <v>3</v>
      </c>
      <c r="I228" t="s">
        <v>325</v>
      </c>
      <c r="J228">
        <v>82.2</v>
      </c>
      <c r="K228">
        <v>9</v>
      </c>
      <c r="L228">
        <v>3</v>
      </c>
      <c r="M228" t="s">
        <v>25</v>
      </c>
      <c r="N228">
        <v>4</v>
      </c>
      <c r="O228">
        <v>8.33</v>
      </c>
      <c r="P228">
        <v>136411.03</v>
      </c>
      <c r="Q228">
        <v>168453.81</v>
      </c>
      <c r="R228">
        <v>390</v>
      </c>
      <c r="S228">
        <v>788</v>
      </c>
      <c r="T228" t="s">
        <v>413</v>
      </c>
      <c r="U228" t="s">
        <v>31</v>
      </c>
    </row>
    <row r="229" spans="1:21">
      <c r="A229" t="s">
        <v>418</v>
      </c>
      <c r="B229" t="s">
        <v>417</v>
      </c>
      <c r="C229" t="s">
        <v>54</v>
      </c>
      <c r="D229">
        <v>160000</v>
      </c>
      <c r="E229">
        <v>9000</v>
      </c>
      <c r="G229">
        <v>320000</v>
      </c>
      <c r="H229">
        <v>3</v>
      </c>
      <c r="I229" t="s">
        <v>325</v>
      </c>
      <c r="J229">
        <v>42.18</v>
      </c>
      <c r="K229">
        <v>9</v>
      </c>
      <c r="L229">
        <v>3</v>
      </c>
      <c r="M229" t="s">
        <v>25</v>
      </c>
      <c r="N229">
        <v>6</v>
      </c>
      <c r="O229">
        <v>10.67</v>
      </c>
      <c r="P229">
        <v>136411.03</v>
      </c>
      <c r="Q229">
        <v>168453.81</v>
      </c>
      <c r="R229">
        <v>390</v>
      </c>
      <c r="S229">
        <v>788</v>
      </c>
      <c r="T229" t="s">
        <v>326</v>
      </c>
      <c r="U229" t="s">
        <v>31</v>
      </c>
    </row>
    <row r="230" spans="1:21">
      <c r="A230" t="s">
        <v>419</v>
      </c>
      <c r="B230" t="s">
        <v>420</v>
      </c>
      <c r="C230" t="s">
        <v>48</v>
      </c>
      <c r="D230">
        <v>150000</v>
      </c>
      <c r="E230">
        <v>10000</v>
      </c>
      <c r="H230">
        <v>2</v>
      </c>
      <c r="I230" t="s">
        <v>325</v>
      </c>
      <c r="J230">
        <v>30.48</v>
      </c>
      <c r="K230">
        <v>4</v>
      </c>
      <c r="L230">
        <v>6</v>
      </c>
      <c r="M230" t="s">
        <v>25</v>
      </c>
      <c r="N230">
        <v>7</v>
      </c>
      <c r="O230">
        <v>10.33</v>
      </c>
      <c r="P230">
        <v>136411.03</v>
      </c>
      <c r="Q230">
        <v>168453.81</v>
      </c>
      <c r="R230">
        <v>390</v>
      </c>
      <c r="S230">
        <v>788</v>
      </c>
      <c r="T230" t="s">
        <v>26</v>
      </c>
      <c r="U230" t="s">
        <v>31</v>
      </c>
    </row>
    <row r="231" spans="1:21">
      <c r="A231" t="s">
        <v>421</v>
      </c>
      <c r="B231" t="s">
        <v>420</v>
      </c>
      <c r="C231" t="s">
        <v>48</v>
      </c>
      <c r="D231">
        <v>142000</v>
      </c>
      <c r="E231">
        <v>10000</v>
      </c>
      <c r="H231">
        <v>3</v>
      </c>
      <c r="I231" t="s">
        <v>325</v>
      </c>
      <c r="J231">
        <v>30.48</v>
      </c>
      <c r="K231">
        <v>4</v>
      </c>
      <c r="L231">
        <v>6</v>
      </c>
      <c r="M231" t="s">
        <v>25</v>
      </c>
      <c r="N231">
        <v>7</v>
      </c>
      <c r="O231">
        <v>10.33</v>
      </c>
      <c r="P231">
        <v>136411.03</v>
      </c>
      <c r="Q231">
        <v>168453.81</v>
      </c>
      <c r="R231">
        <v>390</v>
      </c>
      <c r="S231">
        <v>788</v>
      </c>
      <c r="T231" t="s">
        <v>26</v>
      </c>
      <c r="U231" t="s">
        <v>31</v>
      </c>
    </row>
    <row r="232" spans="1:21">
      <c r="A232" t="s">
        <v>422</v>
      </c>
      <c r="B232" t="s">
        <v>420</v>
      </c>
      <c r="C232" t="s">
        <v>48</v>
      </c>
      <c r="D232">
        <v>149000</v>
      </c>
      <c r="E232">
        <v>10000</v>
      </c>
      <c r="H232">
        <v>3</v>
      </c>
      <c r="I232" t="s">
        <v>325</v>
      </c>
      <c r="J232">
        <v>30.48</v>
      </c>
      <c r="K232">
        <v>4</v>
      </c>
      <c r="L232">
        <v>6</v>
      </c>
      <c r="M232" t="s">
        <v>25</v>
      </c>
      <c r="N232">
        <v>7</v>
      </c>
      <c r="O232">
        <v>10.33</v>
      </c>
      <c r="P232">
        <v>136411.03</v>
      </c>
      <c r="Q232">
        <v>168453.81</v>
      </c>
      <c r="R232">
        <v>390</v>
      </c>
      <c r="S232">
        <v>788</v>
      </c>
      <c r="T232" t="s">
        <v>26</v>
      </c>
      <c r="U232" t="s">
        <v>31</v>
      </c>
    </row>
    <row r="233" spans="1:21">
      <c r="A233" t="s">
        <v>423</v>
      </c>
      <c r="B233" t="s">
        <v>424</v>
      </c>
      <c r="C233" t="s">
        <v>41</v>
      </c>
      <c r="D233">
        <v>148000</v>
      </c>
      <c r="E233">
        <v>5000</v>
      </c>
      <c r="F233">
        <v>148000</v>
      </c>
      <c r="G233">
        <v>148000</v>
      </c>
      <c r="H233">
        <v>3</v>
      </c>
      <c r="I233" t="s">
        <v>325</v>
      </c>
      <c r="J233">
        <v>37.32</v>
      </c>
      <c r="K233">
        <v>4</v>
      </c>
      <c r="L233">
        <v>4</v>
      </c>
      <c r="M233" t="s">
        <v>25</v>
      </c>
      <c r="N233">
        <v>4</v>
      </c>
      <c r="O233">
        <v>6.33</v>
      </c>
      <c r="P233">
        <v>136411.03</v>
      </c>
      <c r="Q233">
        <v>168453.81</v>
      </c>
      <c r="R233">
        <v>390</v>
      </c>
      <c r="S233">
        <v>788</v>
      </c>
      <c r="T233" t="s">
        <v>26</v>
      </c>
      <c r="U233" t="s">
        <v>31</v>
      </c>
    </row>
    <row r="234" spans="1:21">
      <c r="A234" t="s">
        <v>425</v>
      </c>
      <c r="B234" t="s">
        <v>426</v>
      </c>
      <c r="C234" t="s">
        <v>37</v>
      </c>
      <c r="D234">
        <v>100000</v>
      </c>
      <c r="E234">
        <v>10000</v>
      </c>
      <c r="F234">
        <v>100000</v>
      </c>
      <c r="G234">
        <v>100000</v>
      </c>
      <c r="H234">
        <v>7</v>
      </c>
      <c r="I234" t="s">
        <v>427</v>
      </c>
      <c r="J234">
        <v>41.23</v>
      </c>
      <c r="K234">
        <v>47</v>
      </c>
      <c r="L234">
        <v>9</v>
      </c>
      <c r="M234" t="s">
        <v>25</v>
      </c>
      <c r="N234">
        <v>9</v>
      </c>
      <c r="O234">
        <v>13.33</v>
      </c>
      <c r="P234">
        <v>136411.03</v>
      </c>
      <c r="Q234">
        <v>100000</v>
      </c>
      <c r="R234">
        <v>390</v>
      </c>
      <c r="S234">
        <v>2</v>
      </c>
      <c r="T234" t="s">
        <v>326</v>
      </c>
      <c r="U234" t="s">
        <v>42</v>
      </c>
    </row>
    <row r="235" spans="1:21">
      <c r="A235" t="s">
        <v>428</v>
      </c>
      <c r="B235" t="s">
        <v>429</v>
      </c>
      <c r="C235" t="s">
        <v>37</v>
      </c>
      <c r="D235">
        <v>100000</v>
      </c>
      <c r="E235">
        <v>10000</v>
      </c>
      <c r="F235">
        <v>100000</v>
      </c>
      <c r="G235">
        <v>100000</v>
      </c>
      <c r="H235">
        <v>7</v>
      </c>
      <c r="I235" t="s">
        <v>427</v>
      </c>
      <c r="J235">
        <v>41.23</v>
      </c>
      <c r="K235">
        <v>47</v>
      </c>
      <c r="L235">
        <v>9</v>
      </c>
      <c r="M235" t="s">
        <v>25</v>
      </c>
      <c r="N235">
        <v>9</v>
      </c>
      <c r="O235">
        <v>13.33</v>
      </c>
      <c r="P235">
        <v>136411.03</v>
      </c>
      <c r="Q235">
        <v>100000</v>
      </c>
      <c r="R235">
        <v>390</v>
      </c>
      <c r="S235">
        <v>2</v>
      </c>
      <c r="T235" t="s">
        <v>326</v>
      </c>
      <c r="U235" t="s">
        <v>42</v>
      </c>
    </row>
    <row r="236" spans="1:21">
      <c r="A236" t="s">
        <v>430</v>
      </c>
      <c r="B236" t="s">
        <v>431</v>
      </c>
      <c r="C236" t="s">
        <v>48</v>
      </c>
      <c r="D236">
        <v>68000</v>
      </c>
      <c r="E236">
        <v>4000</v>
      </c>
      <c r="H236">
        <v>2</v>
      </c>
      <c r="I236" t="s">
        <v>432</v>
      </c>
      <c r="J236">
        <v>10.29</v>
      </c>
      <c r="K236">
        <v>7</v>
      </c>
      <c r="L236">
        <v>2</v>
      </c>
      <c r="M236" t="s">
        <v>25</v>
      </c>
      <c r="N236">
        <v>8</v>
      </c>
      <c r="O236">
        <v>13.33</v>
      </c>
      <c r="P236">
        <v>136411.03</v>
      </c>
      <c r="Q236">
        <v>77692.34</v>
      </c>
      <c r="R236">
        <v>390</v>
      </c>
      <c r="S236">
        <v>1071</v>
      </c>
      <c r="T236" t="s">
        <v>108</v>
      </c>
      <c r="U236" t="s">
        <v>31</v>
      </c>
    </row>
    <row r="237" spans="1:21">
      <c r="A237" t="s">
        <v>433</v>
      </c>
      <c r="B237" t="s">
        <v>434</v>
      </c>
      <c r="C237" t="s">
        <v>48</v>
      </c>
      <c r="D237">
        <v>58000</v>
      </c>
      <c r="E237">
        <v>5000</v>
      </c>
      <c r="H237">
        <v>1</v>
      </c>
      <c r="I237" t="s">
        <v>432</v>
      </c>
      <c r="J237">
        <v>10.23</v>
      </c>
      <c r="K237">
        <v>8</v>
      </c>
      <c r="L237">
        <v>2</v>
      </c>
      <c r="M237" t="s">
        <v>25</v>
      </c>
      <c r="N237">
        <v>8</v>
      </c>
      <c r="O237">
        <v>12</v>
      </c>
      <c r="P237">
        <v>136411.03</v>
      </c>
      <c r="Q237">
        <v>77692.34</v>
      </c>
      <c r="R237">
        <v>390</v>
      </c>
      <c r="S237">
        <v>1071</v>
      </c>
      <c r="T237" t="s">
        <v>108</v>
      </c>
      <c r="U237" t="s">
        <v>31</v>
      </c>
    </row>
    <row r="238" spans="1:21">
      <c r="A238" t="s">
        <v>435</v>
      </c>
      <c r="B238" t="s">
        <v>436</v>
      </c>
      <c r="C238" t="s">
        <v>48</v>
      </c>
      <c r="D238">
        <v>80000</v>
      </c>
      <c r="F238">
        <v>80000</v>
      </c>
      <c r="H238">
        <v>3</v>
      </c>
      <c r="I238" t="s">
        <v>432</v>
      </c>
      <c r="J238">
        <v>23.6</v>
      </c>
      <c r="K238">
        <v>31</v>
      </c>
      <c r="L238">
        <v>5</v>
      </c>
      <c r="M238" t="s">
        <v>25</v>
      </c>
      <c r="N238">
        <v>5</v>
      </c>
      <c r="O238">
        <v>9.67</v>
      </c>
      <c r="P238">
        <v>136411.03</v>
      </c>
      <c r="Q238">
        <v>77692.34</v>
      </c>
      <c r="R238">
        <v>390</v>
      </c>
      <c r="S238">
        <v>1071</v>
      </c>
      <c r="T238" t="s">
        <v>34</v>
      </c>
      <c r="U238" t="s">
        <v>49</v>
      </c>
    </row>
    <row r="239" spans="1:21">
      <c r="A239" t="s">
        <v>437</v>
      </c>
      <c r="B239" t="s">
        <v>438</v>
      </c>
      <c r="C239" t="s">
        <v>37</v>
      </c>
      <c r="D239">
        <v>113000</v>
      </c>
      <c r="E239">
        <v>3000</v>
      </c>
      <c r="F239">
        <v>113000</v>
      </c>
      <c r="H239">
        <v>4</v>
      </c>
      <c r="I239" t="s">
        <v>432</v>
      </c>
      <c r="J239">
        <v>30.19</v>
      </c>
      <c r="K239">
        <v>7</v>
      </c>
      <c r="L239">
        <v>4</v>
      </c>
      <c r="M239" t="s">
        <v>25</v>
      </c>
      <c r="N239">
        <v>4</v>
      </c>
      <c r="O239">
        <v>6.5</v>
      </c>
      <c r="P239">
        <v>136411.03</v>
      </c>
      <c r="Q239">
        <v>77692.34</v>
      </c>
      <c r="R239">
        <v>390</v>
      </c>
      <c r="S239">
        <v>1071</v>
      </c>
      <c r="T239" t="s">
        <v>26</v>
      </c>
      <c r="U239" t="s">
        <v>31</v>
      </c>
    </row>
    <row r="240" spans="1:21">
      <c r="A240" t="s">
        <v>439</v>
      </c>
      <c r="B240" t="s">
        <v>440</v>
      </c>
      <c r="C240" t="s">
        <v>54</v>
      </c>
      <c r="D240">
        <v>65000</v>
      </c>
      <c r="E240">
        <v>3000</v>
      </c>
      <c r="H240">
        <v>2</v>
      </c>
      <c r="I240" t="s">
        <v>432</v>
      </c>
      <c r="J240">
        <v>12</v>
      </c>
      <c r="K240">
        <v>11</v>
      </c>
      <c r="L240">
        <v>2</v>
      </c>
      <c r="M240" t="s">
        <v>25</v>
      </c>
      <c r="N240">
        <v>3</v>
      </c>
      <c r="O240">
        <v>10.67</v>
      </c>
      <c r="P240">
        <v>136411.03</v>
      </c>
      <c r="Q240">
        <v>77692.34</v>
      </c>
      <c r="R240">
        <v>390</v>
      </c>
      <c r="S240">
        <v>1071</v>
      </c>
      <c r="T240" t="s">
        <v>108</v>
      </c>
      <c r="U240" t="s">
        <v>90</v>
      </c>
    </row>
    <row r="241" spans="1:21">
      <c r="A241" t="s">
        <v>441</v>
      </c>
      <c r="B241" t="s">
        <v>442</v>
      </c>
      <c r="C241" t="s">
        <v>54</v>
      </c>
      <c r="D241">
        <v>71000</v>
      </c>
      <c r="E241">
        <v>3000</v>
      </c>
      <c r="H241">
        <v>2</v>
      </c>
      <c r="I241" t="s">
        <v>432</v>
      </c>
      <c r="J241">
        <v>14.91</v>
      </c>
      <c r="K241">
        <v>11</v>
      </c>
      <c r="L241">
        <v>2</v>
      </c>
      <c r="M241" t="s">
        <v>25</v>
      </c>
      <c r="N241">
        <v>3</v>
      </c>
      <c r="O241">
        <v>10.33</v>
      </c>
      <c r="P241">
        <v>136411.03</v>
      </c>
      <c r="Q241">
        <v>77692.34</v>
      </c>
      <c r="R241">
        <v>390</v>
      </c>
      <c r="S241">
        <v>1071</v>
      </c>
      <c r="T241" t="s">
        <v>108</v>
      </c>
      <c r="U241" t="s">
        <v>90</v>
      </c>
    </row>
    <row r="242" spans="1:21">
      <c r="A242" t="s">
        <v>443</v>
      </c>
      <c r="B242" t="s">
        <v>442</v>
      </c>
      <c r="C242" t="s">
        <v>54</v>
      </c>
      <c r="D242">
        <v>66000</v>
      </c>
      <c r="E242">
        <v>3000</v>
      </c>
      <c r="G242">
        <v>66000</v>
      </c>
      <c r="H242">
        <v>2</v>
      </c>
      <c r="I242" t="s">
        <v>432</v>
      </c>
      <c r="J242">
        <v>16.02</v>
      </c>
      <c r="K242">
        <v>11</v>
      </c>
      <c r="L242">
        <v>2</v>
      </c>
      <c r="M242" t="s">
        <v>25</v>
      </c>
      <c r="N242">
        <v>3</v>
      </c>
      <c r="O242">
        <v>10.33</v>
      </c>
      <c r="P242">
        <v>136411.03</v>
      </c>
      <c r="Q242">
        <v>77692.34</v>
      </c>
      <c r="R242">
        <v>390</v>
      </c>
      <c r="S242">
        <v>1071</v>
      </c>
      <c r="T242" t="s">
        <v>108</v>
      </c>
      <c r="U242" t="s">
        <v>90</v>
      </c>
    </row>
    <row r="243" spans="1:21">
      <c r="A243" t="s">
        <v>444</v>
      </c>
      <c r="B243" t="s">
        <v>445</v>
      </c>
      <c r="C243" t="s">
        <v>94</v>
      </c>
      <c r="D243">
        <v>50000</v>
      </c>
      <c r="F243">
        <v>50000</v>
      </c>
      <c r="G243">
        <v>50000</v>
      </c>
      <c r="H243">
        <v>2</v>
      </c>
      <c r="I243" t="s">
        <v>432</v>
      </c>
      <c r="J243">
        <v>15</v>
      </c>
      <c r="K243">
        <v>43</v>
      </c>
      <c r="L243">
        <v>2</v>
      </c>
      <c r="M243" t="s">
        <v>25</v>
      </c>
      <c r="N243">
        <v>11</v>
      </c>
      <c r="O243">
        <v>12.67</v>
      </c>
      <c r="P243">
        <v>136411.03</v>
      </c>
      <c r="Q243">
        <v>77692.34</v>
      </c>
      <c r="R243">
        <v>390</v>
      </c>
      <c r="S243">
        <v>1071</v>
      </c>
      <c r="T243" t="s">
        <v>108</v>
      </c>
      <c r="U243" t="s">
        <v>42</v>
      </c>
    </row>
    <row r="244" spans="1:21">
      <c r="A244" t="s">
        <v>446</v>
      </c>
      <c r="B244" t="s">
        <v>447</v>
      </c>
      <c r="C244" t="s">
        <v>121</v>
      </c>
      <c r="D244">
        <v>74000</v>
      </c>
      <c r="E244">
        <v>5000</v>
      </c>
      <c r="H244">
        <v>2</v>
      </c>
      <c r="I244" t="s">
        <v>432</v>
      </c>
      <c r="J244">
        <v>12</v>
      </c>
      <c r="K244">
        <v>6</v>
      </c>
      <c r="L244">
        <v>2</v>
      </c>
      <c r="M244" t="s">
        <v>25</v>
      </c>
      <c r="N244">
        <v>5</v>
      </c>
      <c r="O244">
        <v>13.33</v>
      </c>
      <c r="P244">
        <v>136411.03</v>
      </c>
      <c r="Q244">
        <v>77692.34</v>
      </c>
      <c r="R244">
        <v>390</v>
      </c>
      <c r="S244">
        <v>1071</v>
      </c>
      <c r="T244" t="s">
        <v>108</v>
      </c>
      <c r="U244" t="s">
        <v>31</v>
      </c>
    </row>
    <row r="245" spans="1:21">
      <c r="A245" t="s">
        <v>448</v>
      </c>
      <c r="B245" t="s">
        <v>449</v>
      </c>
      <c r="C245" t="s">
        <v>41</v>
      </c>
      <c r="D245">
        <v>54000</v>
      </c>
      <c r="E245">
        <v>3000</v>
      </c>
      <c r="F245">
        <v>54000</v>
      </c>
      <c r="G245">
        <v>54000</v>
      </c>
      <c r="H245">
        <v>1</v>
      </c>
      <c r="I245" t="s">
        <v>432</v>
      </c>
      <c r="J245">
        <v>11.25</v>
      </c>
      <c r="K245">
        <v>7</v>
      </c>
      <c r="L245">
        <v>2</v>
      </c>
      <c r="M245" t="s">
        <v>25</v>
      </c>
      <c r="N245">
        <v>5</v>
      </c>
      <c r="O245">
        <v>7.33</v>
      </c>
      <c r="P245">
        <v>136411.03</v>
      </c>
      <c r="Q245">
        <v>77692.34</v>
      </c>
      <c r="R245">
        <v>390</v>
      </c>
      <c r="S245">
        <v>1071</v>
      </c>
      <c r="T245" t="s">
        <v>108</v>
      </c>
      <c r="U245" t="s">
        <v>31</v>
      </c>
    </row>
    <row r="246" spans="1:21">
      <c r="A246" t="s">
        <v>450</v>
      </c>
      <c r="B246" t="s">
        <v>451</v>
      </c>
      <c r="C246" t="s">
        <v>48</v>
      </c>
      <c r="D246">
        <v>64000</v>
      </c>
      <c r="E246">
        <v>3000</v>
      </c>
      <c r="H246">
        <v>1</v>
      </c>
      <c r="I246" t="s">
        <v>432</v>
      </c>
      <c r="J246">
        <v>9.2899999999999991</v>
      </c>
      <c r="K246">
        <v>16</v>
      </c>
      <c r="L246">
        <v>2</v>
      </c>
      <c r="M246" t="s">
        <v>25</v>
      </c>
      <c r="N246">
        <v>7</v>
      </c>
      <c r="O246">
        <v>10</v>
      </c>
      <c r="P246">
        <v>136411.03</v>
      </c>
      <c r="Q246">
        <v>77692.34</v>
      </c>
      <c r="R246">
        <v>390</v>
      </c>
      <c r="S246">
        <v>1071</v>
      </c>
      <c r="T246" t="s">
        <v>231</v>
      </c>
      <c r="U246" t="s">
        <v>90</v>
      </c>
    </row>
    <row r="247" spans="1:21">
      <c r="A247" t="s">
        <v>452</v>
      </c>
      <c r="B247" t="s">
        <v>451</v>
      </c>
      <c r="C247" t="s">
        <v>48</v>
      </c>
      <c r="D247">
        <v>67000</v>
      </c>
      <c r="E247">
        <v>3000</v>
      </c>
      <c r="H247">
        <v>1</v>
      </c>
      <c r="I247" t="s">
        <v>432</v>
      </c>
      <c r="J247">
        <v>9.2899999999999991</v>
      </c>
      <c r="K247">
        <v>16</v>
      </c>
      <c r="L247">
        <v>2</v>
      </c>
      <c r="M247" t="s">
        <v>25</v>
      </c>
      <c r="N247">
        <v>7</v>
      </c>
      <c r="O247">
        <v>10</v>
      </c>
      <c r="P247">
        <v>136411.03</v>
      </c>
      <c r="Q247">
        <v>77692.34</v>
      </c>
      <c r="R247">
        <v>390</v>
      </c>
      <c r="S247">
        <v>1071</v>
      </c>
      <c r="T247" t="s">
        <v>231</v>
      </c>
      <c r="U247" t="s">
        <v>90</v>
      </c>
    </row>
    <row r="248" spans="1:21">
      <c r="A248" t="s">
        <v>453</v>
      </c>
      <c r="B248" t="s">
        <v>454</v>
      </c>
      <c r="C248" t="s">
        <v>54</v>
      </c>
      <c r="D248">
        <v>68000</v>
      </c>
      <c r="E248">
        <v>2000</v>
      </c>
      <c r="F248">
        <v>68000</v>
      </c>
      <c r="G248">
        <v>68000</v>
      </c>
      <c r="H248">
        <v>2</v>
      </c>
      <c r="I248" t="s">
        <v>432</v>
      </c>
      <c r="J248">
        <v>20</v>
      </c>
      <c r="K248">
        <v>57</v>
      </c>
      <c r="L248">
        <v>2</v>
      </c>
      <c r="M248" t="s">
        <v>25</v>
      </c>
      <c r="N248">
        <v>2</v>
      </c>
      <c r="O248">
        <v>7.33</v>
      </c>
      <c r="P248">
        <v>136411.03</v>
      </c>
      <c r="Q248">
        <v>77692.34</v>
      </c>
      <c r="R248">
        <v>390</v>
      </c>
      <c r="S248">
        <v>1071</v>
      </c>
      <c r="T248" t="s">
        <v>34</v>
      </c>
      <c r="U248" t="s">
        <v>57</v>
      </c>
    </row>
    <row r="249" spans="1:21">
      <c r="A249" t="s">
        <v>455</v>
      </c>
      <c r="B249" t="s">
        <v>456</v>
      </c>
      <c r="C249" t="s">
        <v>54</v>
      </c>
      <c r="D249">
        <v>82000</v>
      </c>
      <c r="E249">
        <v>3000</v>
      </c>
      <c r="F249">
        <v>82000</v>
      </c>
      <c r="G249">
        <v>82000</v>
      </c>
      <c r="H249">
        <v>3</v>
      </c>
      <c r="I249" t="s">
        <v>432</v>
      </c>
      <c r="J249">
        <v>24</v>
      </c>
      <c r="K249">
        <v>48</v>
      </c>
      <c r="L249">
        <v>3</v>
      </c>
      <c r="M249" t="s">
        <v>25</v>
      </c>
      <c r="N249">
        <v>7</v>
      </c>
      <c r="O249">
        <v>11.67</v>
      </c>
      <c r="P249">
        <v>136411.03</v>
      </c>
      <c r="Q249">
        <v>77692.34</v>
      </c>
      <c r="R249">
        <v>390</v>
      </c>
      <c r="S249">
        <v>1071</v>
      </c>
      <c r="T249" t="s">
        <v>34</v>
      </c>
      <c r="U249" t="s">
        <v>42</v>
      </c>
    </row>
    <row r="250" spans="1:21">
      <c r="A250" t="s">
        <v>457</v>
      </c>
      <c r="B250" t="s">
        <v>458</v>
      </c>
      <c r="C250" t="s">
        <v>48</v>
      </c>
      <c r="D250">
        <v>67900</v>
      </c>
      <c r="E250">
        <v>6100</v>
      </c>
      <c r="F250">
        <v>67900</v>
      </c>
      <c r="G250">
        <v>67900</v>
      </c>
      <c r="H250">
        <v>3</v>
      </c>
      <c r="I250" t="s">
        <v>432</v>
      </c>
      <c r="J250">
        <v>16.16</v>
      </c>
      <c r="K250">
        <v>31</v>
      </c>
      <c r="L250">
        <v>4</v>
      </c>
      <c r="M250" t="s">
        <v>25</v>
      </c>
      <c r="N250">
        <v>2</v>
      </c>
      <c r="O250">
        <v>8.33</v>
      </c>
      <c r="P250">
        <v>136411.03</v>
      </c>
      <c r="Q250">
        <v>77692.34</v>
      </c>
      <c r="R250">
        <v>390</v>
      </c>
      <c r="S250">
        <v>1071</v>
      </c>
      <c r="T250" t="s">
        <v>108</v>
      </c>
      <c r="U250" t="s">
        <v>49</v>
      </c>
    </row>
    <row r="251" spans="1:21">
      <c r="A251" t="s">
        <v>459</v>
      </c>
      <c r="B251" t="s">
        <v>458</v>
      </c>
      <c r="C251" t="s">
        <v>48</v>
      </c>
      <c r="D251">
        <v>68000</v>
      </c>
      <c r="E251">
        <v>5000</v>
      </c>
      <c r="F251">
        <v>68000</v>
      </c>
      <c r="G251">
        <v>68000</v>
      </c>
      <c r="H251">
        <v>4</v>
      </c>
      <c r="I251" t="s">
        <v>432</v>
      </c>
      <c r="J251">
        <v>16.16</v>
      </c>
      <c r="K251">
        <v>31</v>
      </c>
      <c r="L251">
        <v>4</v>
      </c>
      <c r="M251" t="s">
        <v>25</v>
      </c>
      <c r="N251">
        <v>2</v>
      </c>
      <c r="O251">
        <v>8.33</v>
      </c>
      <c r="P251">
        <v>136411.03</v>
      </c>
      <c r="Q251">
        <v>77692.34</v>
      </c>
      <c r="R251">
        <v>390</v>
      </c>
      <c r="S251">
        <v>1071</v>
      </c>
      <c r="T251" t="s">
        <v>108</v>
      </c>
      <c r="U251" t="s">
        <v>49</v>
      </c>
    </row>
    <row r="252" spans="1:21">
      <c r="A252" t="s">
        <v>460</v>
      </c>
      <c r="B252" t="s">
        <v>461</v>
      </c>
      <c r="C252" t="s">
        <v>54</v>
      </c>
      <c r="D252">
        <v>104000</v>
      </c>
      <c r="E252">
        <v>8000</v>
      </c>
      <c r="F252">
        <v>104000</v>
      </c>
      <c r="G252">
        <v>104000</v>
      </c>
      <c r="H252">
        <v>-1</v>
      </c>
      <c r="I252" t="s">
        <v>432</v>
      </c>
      <c r="J252">
        <v>25.55</v>
      </c>
      <c r="K252">
        <v>23</v>
      </c>
      <c r="L252">
        <v>5</v>
      </c>
      <c r="M252" t="s">
        <v>25</v>
      </c>
      <c r="N252">
        <v>4</v>
      </c>
      <c r="O252">
        <v>10.67</v>
      </c>
      <c r="P252">
        <v>136411.03</v>
      </c>
      <c r="Q252">
        <v>77692.34</v>
      </c>
      <c r="R252">
        <v>390</v>
      </c>
      <c r="S252">
        <v>1071</v>
      </c>
      <c r="T252" t="s">
        <v>34</v>
      </c>
      <c r="U252" t="s">
        <v>27</v>
      </c>
    </row>
    <row r="253" spans="1:21">
      <c r="A253" t="s">
        <v>462</v>
      </c>
      <c r="B253" t="s">
        <v>463</v>
      </c>
      <c r="C253" t="s">
        <v>48</v>
      </c>
      <c r="D253">
        <v>69000</v>
      </c>
      <c r="E253">
        <v>4000</v>
      </c>
      <c r="G253">
        <v>69000</v>
      </c>
      <c r="H253">
        <v>1</v>
      </c>
      <c r="I253" t="s">
        <v>432</v>
      </c>
      <c r="J253">
        <v>10.23</v>
      </c>
      <c r="K253">
        <v>8</v>
      </c>
      <c r="L253">
        <v>2</v>
      </c>
      <c r="M253" t="s">
        <v>25</v>
      </c>
      <c r="N253">
        <v>7</v>
      </c>
      <c r="O253">
        <v>8.33</v>
      </c>
      <c r="P253">
        <v>136411.03</v>
      </c>
      <c r="Q253">
        <v>77692.34</v>
      </c>
      <c r="R253">
        <v>390</v>
      </c>
      <c r="S253">
        <v>1071</v>
      </c>
      <c r="T253" t="s">
        <v>108</v>
      </c>
      <c r="U253" t="s">
        <v>31</v>
      </c>
    </row>
    <row r="254" spans="1:21">
      <c r="A254" t="s">
        <v>464</v>
      </c>
      <c r="B254" t="s">
        <v>465</v>
      </c>
      <c r="C254" t="s">
        <v>54</v>
      </c>
      <c r="D254">
        <v>59500</v>
      </c>
      <c r="E254">
        <v>5000</v>
      </c>
      <c r="H254">
        <v>1</v>
      </c>
      <c r="I254" t="s">
        <v>432</v>
      </c>
      <c r="J254">
        <v>9.64</v>
      </c>
      <c r="K254">
        <v>11</v>
      </c>
      <c r="L254">
        <v>2</v>
      </c>
      <c r="M254" t="s">
        <v>25</v>
      </c>
      <c r="N254">
        <v>5</v>
      </c>
      <c r="O254">
        <v>12.33</v>
      </c>
      <c r="P254">
        <v>136411.03</v>
      </c>
      <c r="Q254">
        <v>77692.34</v>
      </c>
      <c r="R254">
        <v>390</v>
      </c>
      <c r="S254">
        <v>1071</v>
      </c>
      <c r="T254" t="s">
        <v>231</v>
      </c>
      <c r="U254" t="s">
        <v>90</v>
      </c>
    </row>
    <row r="255" spans="1:21">
      <c r="A255" t="s">
        <v>466</v>
      </c>
      <c r="B255" t="s">
        <v>467</v>
      </c>
      <c r="C255" t="s">
        <v>41</v>
      </c>
      <c r="D255">
        <v>64000</v>
      </c>
      <c r="E255">
        <v>3000</v>
      </c>
      <c r="H255">
        <v>2</v>
      </c>
      <c r="I255" t="s">
        <v>432</v>
      </c>
      <c r="J255">
        <v>10.07</v>
      </c>
      <c r="K255">
        <v>12</v>
      </c>
      <c r="L255">
        <v>2</v>
      </c>
      <c r="M255" t="s">
        <v>25</v>
      </c>
      <c r="N255">
        <v>5</v>
      </c>
      <c r="O255">
        <v>6</v>
      </c>
      <c r="P255">
        <v>136411.03</v>
      </c>
      <c r="Q255">
        <v>77692.34</v>
      </c>
      <c r="R255">
        <v>390</v>
      </c>
      <c r="S255">
        <v>1071</v>
      </c>
      <c r="T255" t="s">
        <v>108</v>
      </c>
      <c r="U255" t="s">
        <v>90</v>
      </c>
    </row>
    <row r="256" spans="1:21">
      <c r="A256" t="s">
        <v>468</v>
      </c>
      <c r="B256" t="s">
        <v>469</v>
      </c>
      <c r="C256" t="s">
        <v>54</v>
      </c>
      <c r="D256">
        <v>88000</v>
      </c>
      <c r="E256">
        <v>3000</v>
      </c>
      <c r="F256">
        <v>44000</v>
      </c>
      <c r="G256">
        <v>132000</v>
      </c>
      <c r="H256">
        <v>2</v>
      </c>
      <c r="I256" t="s">
        <v>432</v>
      </c>
      <c r="J256">
        <v>30.89</v>
      </c>
      <c r="K256">
        <v>21</v>
      </c>
      <c r="L256">
        <v>2</v>
      </c>
      <c r="M256" t="s">
        <v>25</v>
      </c>
      <c r="N256">
        <v>7</v>
      </c>
      <c r="O256">
        <v>12</v>
      </c>
      <c r="P256">
        <v>136411.03</v>
      </c>
      <c r="Q256">
        <v>77692.34</v>
      </c>
      <c r="R256">
        <v>390</v>
      </c>
      <c r="S256">
        <v>1071</v>
      </c>
      <c r="T256" t="s">
        <v>26</v>
      </c>
      <c r="U256" t="s">
        <v>27</v>
      </c>
    </row>
    <row r="257" spans="1:21">
      <c r="A257" t="s">
        <v>470</v>
      </c>
      <c r="B257" t="s">
        <v>471</v>
      </c>
      <c r="C257" t="s">
        <v>30</v>
      </c>
      <c r="D257">
        <v>125000</v>
      </c>
      <c r="E257">
        <v>15000</v>
      </c>
      <c r="F257">
        <v>125000</v>
      </c>
      <c r="G257">
        <v>125000</v>
      </c>
      <c r="H257">
        <v>3</v>
      </c>
      <c r="I257" t="s">
        <v>432</v>
      </c>
      <c r="J257">
        <v>26.22</v>
      </c>
      <c r="K257">
        <v>2</v>
      </c>
      <c r="L257">
        <v>9</v>
      </c>
      <c r="M257" t="s">
        <v>25</v>
      </c>
      <c r="N257">
        <v>5</v>
      </c>
      <c r="O257">
        <v>9.33</v>
      </c>
      <c r="P257">
        <v>136411.03</v>
      </c>
      <c r="Q257">
        <v>77692.34</v>
      </c>
      <c r="R257">
        <v>390</v>
      </c>
      <c r="S257">
        <v>1071</v>
      </c>
      <c r="T257" t="s">
        <v>34</v>
      </c>
      <c r="U257" t="s">
        <v>31</v>
      </c>
    </row>
    <row r="258" spans="1:21">
      <c r="A258" t="s">
        <v>472</v>
      </c>
      <c r="B258" t="s">
        <v>197</v>
      </c>
      <c r="C258" t="s">
        <v>121</v>
      </c>
      <c r="D258">
        <v>104000</v>
      </c>
      <c r="E258">
        <v>15000</v>
      </c>
      <c r="H258">
        <v>2</v>
      </c>
      <c r="I258" t="s">
        <v>432</v>
      </c>
      <c r="J258">
        <v>24.09</v>
      </c>
      <c r="K258">
        <v>18</v>
      </c>
      <c r="L258">
        <v>7</v>
      </c>
      <c r="M258" t="s">
        <v>25</v>
      </c>
      <c r="N258">
        <v>5</v>
      </c>
      <c r="O258">
        <v>7.33</v>
      </c>
      <c r="P258">
        <v>136411.03</v>
      </c>
      <c r="Q258">
        <v>77692.34</v>
      </c>
      <c r="R258">
        <v>390</v>
      </c>
      <c r="S258">
        <v>1071</v>
      </c>
      <c r="T258" t="s">
        <v>34</v>
      </c>
      <c r="U258" t="s">
        <v>90</v>
      </c>
    </row>
    <row r="259" spans="1:21">
      <c r="A259" t="s">
        <v>473</v>
      </c>
      <c r="B259" t="s">
        <v>197</v>
      </c>
      <c r="C259" t="s">
        <v>121</v>
      </c>
      <c r="D259">
        <v>90000</v>
      </c>
      <c r="E259">
        <v>10000</v>
      </c>
      <c r="H259">
        <v>4</v>
      </c>
      <c r="I259" t="s">
        <v>432</v>
      </c>
      <c r="J259">
        <v>21.74</v>
      </c>
      <c r="K259">
        <v>18</v>
      </c>
      <c r="L259">
        <v>7</v>
      </c>
      <c r="M259" t="s">
        <v>25</v>
      </c>
      <c r="N259">
        <v>5</v>
      </c>
      <c r="O259">
        <v>7.33</v>
      </c>
      <c r="P259">
        <v>136411.03</v>
      </c>
      <c r="Q259">
        <v>77692.34</v>
      </c>
      <c r="R259">
        <v>390</v>
      </c>
      <c r="S259">
        <v>1071</v>
      </c>
      <c r="T259" t="s">
        <v>34</v>
      </c>
      <c r="U259" t="s">
        <v>90</v>
      </c>
    </row>
    <row r="260" spans="1:21">
      <c r="A260" t="s">
        <v>474</v>
      </c>
      <c r="B260" t="s">
        <v>475</v>
      </c>
      <c r="C260" t="s">
        <v>121</v>
      </c>
      <c r="D260">
        <v>104000</v>
      </c>
      <c r="E260">
        <v>15000</v>
      </c>
      <c r="H260">
        <v>2</v>
      </c>
      <c r="I260" t="s">
        <v>432</v>
      </c>
      <c r="J260">
        <v>24.09</v>
      </c>
      <c r="K260">
        <v>18</v>
      </c>
      <c r="L260">
        <v>7</v>
      </c>
      <c r="M260" t="s">
        <v>25</v>
      </c>
      <c r="N260">
        <v>5</v>
      </c>
      <c r="O260">
        <v>7.67</v>
      </c>
      <c r="P260">
        <v>136411.03</v>
      </c>
      <c r="Q260">
        <v>77692.34</v>
      </c>
      <c r="R260">
        <v>390</v>
      </c>
      <c r="S260">
        <v>1071</v>
      </c>
      <c r="T260" t="s">
        <v>34</v>
      </c>
      <c r="U260" t="s">
        <v>90</v>
      </c>
    </row>
    <row r="261" spans="1:21">
      <c r="A261" t="s">
        <v>476</v>
      </c>
      <c r="B261" t="s">
        <v>477</v>
      </c>
      <c r="C261" t="s">
        <v>48</v>
      </c>
      <c r="D261">
        <v>74000</v>
      </c>
      <c r="F261">
        <v>74000</v>
      </c>
      <c r="G261">
        <v>74000</v>
      </c>
      <c r="H261">
        <v>2</v>
      </c>
      <c r="I261" t="s">
        <v>432</v>
      </c>
      <c r="J261">
        <v>19.52</v>
      </c>
      <c r="K261">
        <v>36</v>
      </c>
      <c r="L261">
        <v>3</v>
      </c>
      <c r="M261" t="s">
        <v>25</v>
      </c>
      <c r="N261">
        <v>3</v>
      </c>
      <c r="O261">
        <v>10.67</v>
      </c>
      <c r="P261">
        <v>136411.03</v>
      </c>
      <c r="Q261">
        <v>77692.34</v>
      </c>
      <c r="R261">
        <v>390</v>
      </c>
      <c r="S261">
        <v>1071</v>
      </c>
      <c r="T261" t="s">
        <v>108</v>
      </c>
      <c r="U261" t="s">
        <v>49</v>
      </c>
    </row>
    <row r="262" spans="1:21">
      <c r="A262" t="s">
        <v>478</v>
      </c>
      <c r="B262" t="s">
        <v>479</v>
      </c>
      <c r="C262" t="s">
        <v>41</v>
      </c>
      <c r="D262">
        <v>60000</v>
      </c>
      <c r="E262">
        <v>3000</v>
      </c>
      <c r="F262">
        <v>60000</v>
      </c>
      <c r="G262">
        <v>60000</v>
      </c>
      <c r="H262">
        <v>1</v>
      </c>
      <c r="I262" t="s">
        <v>432</v>
      </c>
      <c r="J262">
        <v>17</v>
      </c>
      <c r="K262">
        <v>40</v>
      </c>
      <c r="L262">
        <v>4</v>
      </c>
      <c r="M262" t="s">
        <v>25</v>
      </c>
      <c r="N262">
        <v>5</v>
      </c>
      <c r="O262">
        <v>7.67</v>
      </c>
      <c r="P262">
        <v>136411.03</v>
      </c>
      <c r="Q262">
        <v>77692.34</v>
      </c>
      <c r="R262">
        <v>390</v>
      </c>
      <c r="S262">
        <v>1071</v>
      </c>
      <c r="T262" t="s">
        <v>108</v>
      </c>
      <c r="U262" t="s">
        <v>49</v>
      </c>
    </row>
    <row r="263" spans="1:21">
      <c r="A263" t="s">
        <v>480</v>
      </c>
      <c r="B263" t="s">
        <v>481</v>
      </c>
      <c r="C263" t="s">
        <v>54</v>
      </c>
      <c r="D263">
        <v>53000</v>
      </c>
      <c r="F263">
        <v>53000</v>
      </c>
      <c r="G263">
        <v>53000</v>
      </c>
      <c r="H263">
        <v>1</v>
      </c>
      <c r="I263" t="s">
        <v>432</v>
      </c>
      <c r="J263">
        <v>26</v>
      </c>
      <c r="K263">
        <v>50</v>
      </c>
      <c r="L263">
        <v>2</v>
      </c>
      <c r="M263" t="s">
        <v>25</v>
      </c>
      <c r="N263">
        <v>6</v>
      </c>
      <c r="O263">
        <v>10.67</v>
      </c>
      <c r="P263">
        <v>136411.03</v>
      </c>
      <c r="Q263">
        <v>77692.34</v>
      </c>
      <c r="R263">
        <v>390</v>
      </c>
      <c r="S263">
        <v>1071</v>
      </c>
      <c r="T263" t="s">
        <v>34</v>
      </c>
      <c r="U263" t="s">
        <v>42</v>
      </c>
    </row>
    <row r="264" spans="1:21">
      <c r="A264" t="s">
        <v>482</v>
      </c>
      <c r="B264" t="s">
        <v>217</v>
      </c>
      <c r="C264" t="s">
        <v>121</v>
      </c>
      <c r="D264">
        <v>60000</v>
      </c>
      <c r="H264">
        <v>3</v>
      </c>
      <c r="I264" t="s">
        <v>432</v>
      </c>
      <c r="J264">
        <v>14.72</v>
      </c>
      <c r="K264">
        <v>39</v>
      </c>
      <c r="L264">
        <v>5</v>
      </c>
      <c r="M264" t="s">
        <v>25</v>
      </c>
      <c r="N264">
        <v>3</v>
      </c>
      <c r="O264">
        <v>7.33</v>
      </c>
      <c r="P264">
        <v>136411.03</v>
      </c>
      <c r="Q264">
        <v>77692.34</v>
      </c>
      <c r="R264">
        <v>390</v>
      </c>
      <c r="S264">
        <v>1071</v>
      </c>
      <c r="T264" t="s">
        <v>108</v>
      </c>
      <c r="U264" t="s">
        <v>49</v>
      </c>
    </row>
    <row r="265" spans="1:21">
      <c r="A265" t="s">
        <v>483</v>
      </c>
      <c r="B265" t="s">
        <v>484</v>
      </c>
      <c r="C265" t="s">
        <v>48</v>
      </c>
      <c r="D265">
        <v>105000</v>
      </c>
      <c r="E265">
        <v>5000</v>
      </c>
      <c r="F265">
        <v>105000</v>
      </c>
      <c r="G265">
        <v>105000</v>
      </c>
      <c r="H265">
        <v>2</v>
      </c>
      <c r="I265" t="s">
        <v>432</v>
      </c>
      <c r="J265">
        <v>33.200000000000003</v>
      </c>
      <c r="K265">
        <v>51</v>
      </c>
      <c r="L265">
        <v>3</v>
      </c>
      <c r="M265" t="s">
        <v>25</v>
      </c>
      <c r="N265">
        <v>8</v>
      </c>
      <c r="O265">
        <v>12</v>
      </c>
      <c r="P265">
        <v>136411.03</v>
      </c>
      <c r="Q265">
        <v>77692.34</v>
      </c>
      <c r="R265">
        <v>390</v>
      </c>
      <c r="S265">
        <v>1071</v>
      </c>
      <c r="T265" t="s">
        <v>26</v>
      </c>
      <c r="U265" t="s">
        <v>57</v>
      </c>
    </row>
    <row r="266" spans="1:21">
      <c r="A266" t="s">
        <v>485</v>
      </c>
      <c r="B266" t="s">
        <v>486</v>
      </c>
      <c r="C266" t="s">
        <v>41</v>
      </c>
      <c r="D266">
        <v>64000</v>
      </c>
      <c r="F266">
        <v>64000</v>
      </c>
      <c r="H266">
        <v>3</v>
      </c>
      <c r="I266" t="s">
        <v>432</v>
      </c>
      <c r="J266">
        <v>17</v>
      </c>
      <c r="K266">
        <v>36</v>
      </c>
      <c r="L266">
        <v>4</v>
      </c>
      <c r="M266" t="s">
        <v>25</v>
      </c>
      <c r="N266">
        <v>3</v>
      </c>
      <c r="O266">
        <v>6.33</v>
      </c>
      <c r="P266">
        <v>136411.03</v>
      </c>
      <c r="Q266">
        <v>77692.34</v>
      </c>
      <c r="R266">
        <v>390</v>
      </c>
      <c r="S266">
        <v>1071</v>
      </c>
      <c r="T266" t="s">
        <v>108</v>
      </c>
      <c r="U266" t="s">
        <v>49</v>
      </c>
    </row>
    <row r="267" spans="1:21">
      <c r="A267" t="s">
        <v>487</v>
      </c>
      <c r="B267" t="s">
        <v>486</v>
      </c>
      <c r="C267" t="s">
        <v>41</v>
      </c>
      <c r="D267">
        <v>64000</v>
      </c>
      <c r="F267">
        <v>64000</v>
      </c>
      <c r="H267">
        <v>4</v>
      </c>
      <c r="I267" t="s">
        <v>432</v>
      </c>
      <c r="J267">
        <v>17</v>
      </c>
      <c r="K267">
        <v>36</v>
      </c>
      <c r="L267">
        <v>4</v>
      </c>
      <c r="M267" t="s">
        <v>25</v>
      </c>
      <c r="N267">
        <v>3</v>
      </c>
      <c r="O267">
        <v>6.33</v>
      </c>
      <c r="P267">
        <v>136411.03</v>
      </c>
      <c r="Q267">
        <v>77692.34</v>
      </c>
      <c r="R267">
        <v>390</v>
      </c>
      <c r="S267">
        <v>1071</v>
      </c>
      <c r="T267" t="s">
        <v>108</v>
      </c>
      <c r="U267" t="s">
        <v>49</v>
      </c>
    </row>
    <row r="268" spans="1:21">
      <c r="A268" t="s">
        <v>488</v>
      </c>
      <c r="B268" t="s">
        <v>489</v>
      </c>
      <c r="C268" t="s">
        <v>54</v>
      </c>
      <c r="D268">
        <v>72000</v>
      </c>
      <c r="F268">
        <v>72000</v>
      </c>
      <c r="H268">
        <v>1</v>
      </c>
      <c r="I268" t="s">
        <v>432</v>
      </c>
      <c r="J268">
        <v>25.4</v>
      </c>
      <c r="K268">
        <v>33</v>
      </c>
      <c r="L268">
        <v>4</v>
      </c>
      <c r="M268" t="s">
        <v>25</v>
      </c>
      <c r="N268">
        <v>5</v>
      </c>
      <c r="O268">
        <v>9.67</v>
      </c>
      <c r="P268">
        <v>136411.03</v>
      </c>
      <c r="Q268">
        <v>77692.34</v>
      </c>
      <c r="R268">
        <v>390</v>
      </c>
      <c r="S268">
        <v>1071</v>
      </c>
      <c r="T268" t="s">
        <v>34</v>
      </c>
      <c r="U268" t="s">
        <v>49</v>
      </c>
    </row>
    <row r="269" spans="1:21">
      <c r="A269" t="s">
        <v>490</v>
      </c>
      <c r="B269" t="s">
        <v>491</v>
      </c>
      <c r="C269" t="s">
        <v>48</v>
      </c>
      <c r="D269">
        <v>42000</v>
      </c>
      <c r="E269">
        <v>2000</v>
      </c>
      <c r="F269">
        <v>42000</v>
      </c>
      <c r="G269">
        <v>42000</v>
      </c>
      <c r="H269">
        <v>2</v>
      </c>
      <c r="I269" t="s">
        <v>432</v>
      </c>
      <c r="J269">
        <v>15</v>
      </c>
      <c r="K269">
        <v>66</v>
      </c>
      <c r="L269">
        <v>2</v>
      </c>
      <c r="M269" t="s">
        <v>25</v>
      </c>
      <c r="N269">
        <v>7</v>
      </c>
      <c r="O269">
        <v>11.67</v>
      </c>
      <c r="P269">
        <v>136411.03</v>
      </c>
      <c r="Q269">
        <v>77692.34</v>
      </c>
      <c r="R269">
        <v>390</v>
      </c>
      <c r="S269">
        <v>1071</v>
      </c>
      <c r="T269" t="s">
        <v>108</v>
      </c>
      <c r="U269" t="s">
        <v>38</v>
      </c>
    </row>
    <row r="270" spans="1:21">
      <c r="A270" t="s">
        <v>492</v>
      </c>
      <c r="B270" t="s">
        <v>493</v>
      </c>
      <c r="C270" t="s">
        <v>41</v>
      </c>
      <c r="D270">
        <v>56000</v>
      </c>
      <c r="E270">
        <v>6000</v>
      </c>
      <c r="H270">
        <v>1</v>
      </c>
      <c r="I270" t="s">
        <v>432</v>
      </c>
      <c r="J270">
        <v>12.26</v>
      </c>
      <c r="K270">
        <v>7</v>
      </c>
      <c r="L270">
        <v>2</v>
      </c>
      <c r="M270" t="s">
        <v>25</v>
      </c>
      <c r="N270">
        <v>8</v>
      </c>
      <c r="O270">
        <v>9.33</v>
      </c>
      <c r="P270">
        <v>136411.03</v>
      </c>
      <c r="Q270">
        <v>77692.34</v>
      </c>
      <c r="R270">
        <v>390</v>
      </c>
      <c r="S270">
        <v>1071</v>
      </c>
      <c r="T270" t="s">
        <v>108</v>
      </c>
      <c r="U270" t="s">
        <v>31</v>
      </c>
    </row>
    <row r="271" spans="1:21">
      <c r="A271" t="s">
        <v>494</v>
      </c>
      <c r="B271" t="s">
        <v>495</v>
      </c>
      <c r="C271" t="s">
        <v>37</v>
      </c>
      <c r="D271">
        <v>55000</v>
      </c>
      <c r="H271">
        <v>1</v>
      </c>
      <c r="I271" t="s">
        <v>432</v>
      </c>
      <c r="J271">
        <v>13.5</v>
      </c>
      <c r="K271">
        <v>48</v>
      </c>
      <c r="L271">
        <v>2</v>
      </c>
      <c r="M271" t="s">
        <v>25</v>
      </c>
      <c r="N271">
        <v>7</v>
      </c>
      <c r="O271">
        <v>8.33</v>
      </c>
      <c r="P271">
        <v>136411.03</v>
      </c>
      <c r="Q271">
        <v>77692.34</v>
      </c>
      <c r="R271">
        <v>390</v>
      </c>
      <c r="S271">
        <v>1071</v>
      </c>
      <c r="T271" t="s">
        <v>108</v>
      </c>
      <c r="U271" t="s">
        <v>42</v>
      </c>
    </row>
    <row r="272" spans="1:21">
      <c r="A272" t="s">
        <v>496</v>
      </c>
      <c r="B272" t="s">
        <v>495</v>
      </c>
      <c r="C272" t="s">
        <v>37</v>
      </c>
      <c r="D272">
        <v>50000</v>
      </c>
      <c r="H272">
        <v>1</v>
      </c>
      <c r="I272" t="s">
        <v>432</v>
      </c>
      <c r="J272">
        <v>13.5</v>
      </c>
      <c r="K272">
        <v>48</v>
      </c>
      <c r="L272">
        <v>2</v>
      </c>
      <c r="M272" t="s">
        <v>25</v>
      </c>
      <c r="N272">
        <v>7</v>
      </c>
      <c r="O272">
        <v>8.33</v>
      </c>
      <c r="P272">
        <v>136411.03</v>
      </c>
      <c r="Q272">
        <v>77692.34</v>
      </c>
      <c r="R272">
        <v>390</v>
      </c>
      <c r="S272">
        <v>1071</v>
      </c>
      <c r="T272" t="s">
        <v>108</v>
      </c>
      <c r="U272" t="s">
        <v>42</v>
      </c>
    </row>
    <row r="273" spans="1:21">
      <c r="A273" t="s">
        <v>497</v>
      </c>
      <c r="B273" t="s">
        <v>495</v>
      </c>
      <c r="C273" t="s">
        <v>37</v>
      </c>
      <c r="D273">
        <v>55000</v>
      </c>
      <c r="H273">
        <v>2</v>
      </c>
      <c r="I273" t="s">
        <v>432</v>
      </c>
      <c r="J273">
        <v>13.5</v>
      </c>
      <c r="K273">
        <v>48</v>
      </c>
      <c r="L273">
        <v>2</v>
      </c>
      <c r="M273" t="s">
        <v>25</v>
      </c>
      <c r="N273">
        <v>7</v>
      </c>
      <c r="O273">
        <v>10</v>
      </c>
      <c r="P273">
        <v>136411.03</v>
      </c>
      <c r="Q273">
        <v>77692.34</v>
      </c>
      <c r="R273">
        <v>390</v>
      </c>
      <c r="S273">
        <v>1071</v>
      </c>
      <c r="T273" t="s">
        <v>108</v>
      </c>
      <c r="U273" t="s">
        <v>42</v>
      </c>
    </row>
    <row r="274" spans="1:21">
      <c r="A274" t="s">
        <v>498</v>
      </c>
      <c r="B274" t="s">
        <v>228</v>
      </c>
      <c r="C274" t="s">
        <v>54</v>
      </c>
      <c r="D274">
        <v>108000</v>
      </c>
      <c r="E274">
        <v>12000</v>
      </c>
      <c r="F274">
        <v>108000</v>
      </c>
      <c r="G274">
        <v>108000</v>
      </c>
      <c r="H274">
        <v>2</v>
      </c>
      <c r="I274" t="s">
        <v>432</v>
      </c>
      <c r="J274">
        <v>25.47</v>
      </c>
      <c r="K274">
        <v>8</v>
      </c>
      <c r="L274">
        <v>11</v>
      </c>
      <c r="M274" t="s">
        <v>25</v>
      </c>
      <c r="N274">
        <v>3</v>
      </c>
      <c r="O274">
        <v>7</v>
      </c>
      <c r="P274">
        <v>136411.03</v>
      </c>
      <c r="Q274">
        <v>77692.34</v>
      </c>
      <c r="R274">
        <v>390</v>
      </c>
      <c r="S274">
        <v>1071</v>
      </c>
      <c r="T274" t="s">
        <v>34</v>
      </c>
      <c r="U274" t="s">
        <v>31</v>
      </c>
    </row>
    <row r="275" spans="1:21">
      <c r="A275" t="s">
        <v>499</v>
      </c>
      <c r="B275" t="s">
        <v>228</v>
      </c>
      <c r="C275" t="s">
        <v>54</v>
      </c>
      <c r="D275">
        <v>109000</v>
      </c>
      <c r="E275">
        <v>12000</v>
      </c>
      <c r="F275">
        <v>109000</v>
      </c>
      <c r="G275">
        <v>109000</v>
      </c>
      <c r="H275">
        <v>3</v>
      </c>
      <c r="I275" t="s">
        <v>432</v>
      </c>
      <c r="J275">
        <v>25.47</v>
      </c>
      <c r="K275">
        <v>8</v>
      </c>
      <c r="L275">
        <v>11</v>
      </c>
      <c r="M275" t="s">
        <v>25</v>
      </c>
      <c r="N275">
        <v>3</v>
      </c>
      <c r="O275">
        <v>7</v>
      </c>
      <c r="P275">
        <v>136411.03</v>
      </c>
      <c r="Q275">
        <v>77692.34</v>
      </c>
      <c r="R275">
        <v>390</v>
      </c>
      <c r="S275">
        <v>1071</v>
      </c>
      <c r="T275" t="s">
        <v>34</v>
      </c>
      <c r="U275" t="s">
        <v>31</v>
      </c>
    </row>
    <row r="276" spans="1:21">
      <c r="A276" t="s">
        <v>500</v>
      </c>
      <c r="B276" t="s">
        <v>501</v>
      </c>
      <c r="C276" t="s">
        <v>54</v>
      </c>
      <c r="D276">
        <v>59500</v>
      </c>
      <c r="E276">
        <v>5000</v>
      </c>
      <c r="H276">
        <v>1</v>
      </c>
      <c r="I276" t="s">
        <v>432</v>
      </c>
      <c r="J276">
        <v>14.2</v>
      </c>
      <c r="K276">
        <v>11</v>
      </c>
      <c r="L276">
        <v>2</v>
      </c>
      <c r="M276" t="s">
        <v>25</v>
      </c>
      <c r="N276">
        <v>6</v>
      </c>
      <c r="O276">
        <v>11</v>
      </c>
      <c r="P276">
        <v>136411.03</v>
      </c>
      <c r="Q276">
        <v>77692.34</v>
      </c>
      <c r="R276">
        <v>390</v>
      </c>
      <c r="S276">
        <v>1071</v>
      </c>
      <c r="T276" t="s">
        <v>108</v>
      </c>
      <c r="U276" t="s">
        <v>90</v>
      </c>
    </row>
    <row r="277" spans="1:21">
      <c r="A277" t="s">
        <v>502</v>
      </c>
      <c r="B277" t="s">
        <v>503</v>
      </c>
      <c r="C277" t="s">
        <v>41</v>
      </c>
      <c r="D277">
        <v>64000</v>
      </c>
      <c r="E277">
        <v>3000</v>
      </c>
      <c r="H277">
        <v>2</v>
      </c>
      <c r="I277" t="s">
        <v>432</v>
      </c>
      <c r="J277">
        <v>10.07</v>
      </c>
      <c r="K277">
        <v>12</v>
      </c>
      <c r="L277">
        <v>2</v>
      </c>
      <c r="M277" t="s">
        <v>25</v>
      </c>
      <c r="N277">
        <v>5</v>
      </c>
      <c r="O277">
        <v>9.33</v>
      </c>
      <c r="P277">
        <v>136411.03</v>
      </c>
      <c r="Q277">
        <v>77692.34</v>
      </c>
      <c r="R277">
        <v>390</v>
      </c>
      <c r="S277">
        <v>1071</v>
      </c>
      <c r="T277" t="s">
        <v>108</v>
      </c>
      <c r="U277" t="s">
        <v>90</v>
      </c>
    </row>
    <row r="278" spans="1:21">
      <c r="A278" t="s">
        <v>504</v>
      </c>
      <c r="B278" t="s">
        <v>230</v>
      </c>
      <c r="C278" t="s">
        <v>48</v>
      </c>
      <c r="D278">
        <v>64000</v>
      </c>
      <c r="E278">
        <v>3000</v>
      </c>
      <c r="H278">
        <v>1</v>
      </c>
      <c r="I278" t="s">
        <v>432</v>
      </c>
      <c r="J278">
        <v>9.2899999999999991</v>
      </c>
      <c r="K278">
        <v>17</v>
      </c>
      <c r="L278">
        <v>2</v>
      </c>
      <c r="M278" t="s">
        <v>25</v>
      </c>
      <c r="N278">
        <v>7</v>
      </c>
      <c r="O278">
        <v>9.67</v>
      </c>
      <c r="P278">
        <v>136411.03</v>
      </c>
      <c r="Q278">
        <v>77692.34</v>
      </c>
      <c r="R278">
        <v>390</v>
      </c>
      <c r="S278">
        <v>1071</v>
      </c>
      <c r="T278" t="s">
        <v>231</v>
      </c>
      <c r="U278" t="s">
        <v>90</v>
      </c>
    </row>
    <row r="279" spans="1:21">
      <c r="A279" t="s">
        <v>505</v>
      </c>
      <c r="B279" t="s">
        <v>230</v>
      </c>
      <c r="C279" t="s">
        <v>48</v>
      </c>
      <c r="D279">
        <v>67000</v>
      </c>
      <c r="E279">
        <v>3000</v>
      </c>
      <c r="H279">
        <v>1</v>
      </c>
      <c r="I279" t="s">
        <v>432</v>
      </c>
      <c r="J279">
        <v>9.2899999999999991</v>
      </c>
      <c r="K279">
        <v>17</v>
      </c>
      <c r="L279">
        <v>2</v>
      </c>
      <c r="M279" t="s">
        <v>25</v>
      </c>
      <c r="N279">
        <v>7</v>
      </c>
      <c r="O279">
        <v>9.67</v>
      </c>
      <c r="P279">
        <v>136411.03</v>
      </c>
      <c r="Q279">
        <v>77692.34</v>
      </c>
      <c r="R279">
        <v>390</v>
      </c>
      <c r="S279">
        <v>1071</v>
      </c>
      <c r="T279" t="s">
        <v>231</v>
      </c>
      <c r="U279" t="s">
        <v>90</v>
      </c>
    </row>
    <row r="280" spans="1:21">
      <c r="A280" t="s">
        <v>506</v>
      </c>
      <c r="B280" t="s">
        <v>507</v>
      </c>
      <c r="C280" t="s">
        <v>54</v>
      </c>
      <c r="D280">
        <v>88000</v>
      </c>
      <c r="E280">
        <v>3000</v>
      </c>
      <c r="F280">
        <v>44000</v>
      </c>
      <c r="G280">
        <v>132000</v>
      </c>
      <c r="H280">
        <v>2</v>
      </c>
      <c r="I280" t="s">
        <v>432</v>
      </c>
      <c r="J280">
        <v>30.89</v>
      </c>
      <c r="K280">
        <v>21</v>
      </c>
      <c r="L280">
        <v>2</v>
      </c>
      <c r="M280" t="s">
        <v>25</v>
      </c>
      <c r="N280">
        <v>7</v>
      </c>
      <c r="O280">
        <v>12</v>
      </c>
      <c r="P280">
        <v>136411.03</v>
      </c>
      <c r="Q280">
        <v>77692.34</v>
      </c>
      <c r="R280">
        <v>390</v>
      </c>
      <c r="S280">
        <v>1071</v>
      </c>
      <c r="T280" t="s">
        <v>26</v>
      </c>
      <c r="U280" t="s">
        <v>27</v>
      </c>
    </row>
    <row r="281" spans="1:21">
      <c r="A281" t="s">
        <v>508</v>
      </c>
      <c r="B281" t="s">
        <v>236</v>
      </c>
      <c r="C281" t="s">
        <v>37</v>
      </c>
      <c r="D281">
        <v>65000</v>
      </c>
      <c r="E281">
        <v>4000</v>
      </c>
      <c r="F281">
        <v>65000</v>
      </c>
      <c r="G281">
        <v>65000</v>
      </c>
      <c r="H281">
        <v>1</v>
      </c>
      <c r="I281" t="s">
        <v>432</v>
      </c>
      <c r="J281">
        <v>15.4</v>
      </c>
      <c r="K281">
        <v>22</v>
      </c>
      <c r="L281">
        <v>2</v>
      </c>
      <c r="M281" t="s">
        <v>25</v>
      </c>
      <c r="N281">
        <v>8</v>
      </c>
      <c r="O281">
        <v>10.67</v>
      </c>
      <c r="P281">
        <v>136411.03</v>
      </c>
      <c r="Q281">
        <v>77692.34</v>
      </c>
      <c r="R281">
        <v>390</v>
      </c>
      <c r="S281">
        <v>1071</v>
      </c>
      <c r="T281" t="s">
        <v>108</v>
      </c>
      <c r="U281" t="s">
        <v>27</v>
      </c>
    </row>
    <row r="282" spans="1:21">
      <c r="A282" t="s">
        <v>509</v>
      </c>
      <c r="B282" t="s">
        <v>510</v>
      </c>
      <c r="C282" t="s">
        <v>37</v>
      </c>
      <c r="D282">
        <v>55000</v>
      </c>
      <c r="H282">
        <v>1</v>
      </c>
      <c r="I282" t="s">
        <v>432</v>
      </c>
      <c r="J282">
        <v>13.5</v>
      </c>
      <c r="K282">
        <v>48</v>
      </c>
      <c r="L282">
        <v>2</v>
      </c>
      <c r="M282" t="s">
        <v>25</v>
      </c>
      <c r="N282">
        <v>7</v>
      </c>
      <c r="O282">
        <v>8.33</v>
      </c>
      <c r="P282">
        <v>136411.03</v>
      </c>
      <c r="Q282">
        <v>77692.34</v>
      </c>
      <c r="R282">
        <v>390</v>
      </c>
      <c r="S282">
        <v>1071</v>
      </c>
      <c r="T282" t="s">
        <v>108</v>
      </c>
      <c r="U282" t="s">
        <v>42</v>
      </c>
    </row>
    <row r="283" spans="1:21">
      <c r="A283" t="s">
        <v>511</v>
      </c>
      <c r="B283" t="s">
        <v>510</v>
      </c>
      <c r="C283" t="s">
        <v>37</v>
      </c>
      <c r="D283">
        <v>55000</v>
      </c>
      <c r="H283">
        <v>2</v>
      </c>
      <c r="I283" t="s">
        <v>432</v>
      </c>
      <c r="J283">
        <v>13.5</v>
      </c>
      <c r="K283">
        <v>48</v>
      </c>
      <c r="L283">
        <v>2</v>
      </c>
      <c r="M283" t="s">
        <v>25</v>
      </c>
      <c r="N283">
        <v>7</v>
      </c>
      <c r="O283">
        <v>8.67</v>
      </c>
      <c r="P283">
        <v>136411.03</v>
      </c>
      <c r="Q283">
        <v>77692.34</v>
      </c>
      <c r="R283">
        <v>390</v>
      </c>
      <c r="S283">
        <v>1071</v>
      </c>
      <c r="T283" t="s">
        <v>108</v>
      </c>
      <c r="U283" t="s">
        <v>42</v>
      </c>
    </row>
    <row r="284" spans="1:21">
      <c r="A284" t="s">
        <v>512</v>
      </c>
      <c r="B284" t="s">
        <v>510</v>
      </c>
      <c r="C284" t="s">
        <v>37</v>
      </c>
      <c r="D284">
        <v>50000</v>
      </c>
      <c r="H284">
        <v>2</v>
      </c>
      <c r="I284" t="s">
        <v>432</v>
      </c>
      <c r="J284">
        <v>13.5</v>
      </c>
      <c r="K284">
        <v>48</v>
      </c>
      <c r="L284">
        <v>2</v>
      </c>
      <c r="M284" t="s">
        <v>25</v>
      </c>
      <c r="N284">
        <v>7</v>
      </c>
      <c r="O284">
        <v>8.67</v>
      </c>
      <c r="P284">
        <v>136411.03</v>
      </c>
      <c r="Q284">
        <v>77692.34</v>
      </c>
      <c r="R284">
        <v>390</v>
      </c>
      <c r="S284">
        <v>1071</v>
      </c>
      <c r="T284" t="s">
        <v>108</v>
      </c>
      <c r="U284" t="s">
        <v>42</v>
      </c>
    </row>
    <row r="285" spans="1:21">
      <c r="A285" t="s">
        <v>513</v>
      </c>
      <c r="B285" t="s">
        <v>514</v>
      </c>
      <c r="C285" t="s">
        <v>54</v>
      </c>
      <c r="D285">
        <v>65000</v>
      </c>
      <c r="E285">
        <v>3000</v>
      </c>
      <c r="F285">
        <v>65000</v>
      </c>
      <c r="G285">
        <v>65000</v>
      </c>
      <c r="H285">
        <v>2</v>
      </c>
      <c r="I285" t="s">
        <v>432</v>
      </c>
      <c r="J285">
        <v>20.7</v>
      </c>
      <c r="K285">
        <v>61</v>
      </c>
      <c r="L285">
        <v>2</v>
      </c>
      <c r="M285" t="s">
        <v>25</v>
      </c>
      <c r="N285">
        <v>7</v>
      </c>
      <c r="O285">
        <v>12</v>
      </c>
      <c r="P285">
        <v>136411.03</v>
      </c>
      <c r="Q285">
        <v>77692.34</v>
      </c>
      <c r="R285">
        <v>390</v>
      </c>
      <c r="S285">
        <v>1071</v>
      </c>
      <c r="T285" t="s">
        <v>34</v>
      </c>
      <c r="U285" t="s">
        <v>38</v>
      </c>
    </row>
    <row r="286" spans="1:21">
      <c r="A286" t="s">
        <v>515</v>
      </c>
      <c r="B286" t="s">
        <v>516</v>
      </c>
      <c r="C286" t="s">
        <v>48</v>
      </c>
      <c r="D286">
        <v>75000</v>
      </c>
      <c r="E286">
        <v>5000</v>
      </c>
      <c r="F286">
        <v>75000</v>
      </c>
      <c r="H286">
        <v>2</v>
      </c>
      <c r="I286" t="s">
        <v>432</v>
      </c>
      <c r="J286">
        <v>16.11</v>
      </c>
      <c r="K286">
        <v>29</v>
      </c>
      <c r="L286">
        <v>3</v>
      </c>
      <c r="M286" t="s">
        <v>25</v>
      </c>
      <c r="N286">
        <v>9</v>
      </c>
      <c r="O286">
        <v>12.33</v>
      </c>
      <c r="P286">
        <v>136411.03</v>
      </c>
      <c r="Q286">
        <v>77692.34</v>
      </c>
      <c r="R286">
        <v>390</v>
      </c>
      <c r="S286">
        <v>1071</v>
      </c>
      <c r="T286" t="s">
        <v>108</v>
      </c>
      <c r="U286" t="s">
        <v>27</v>
      </c>
    </row>
    <row r="287" spans="1:21">
      <c r="A287" t="s">
        <v>517</v>
      </c>
      <c r="B287" t="s">
        <v>516</v>
      </c>
      <c r="C287" t="s">
        <v>48</v>
      </c>
      <c r="D287">
        <v>80000</v>
      </c>
      <c r="E287">
        <v>4000</v>
      </c>
      <c r="F287">
        <v>80000</v>
      </c>
      <c r="H287">
        <v>2</v>
      </c>
      <c r="I287" t="s">
        <v>432</v>
      </c>
      <c r="J287">
        <v>24.33</v>
      </c>
      <c r="K287">
        <v>29</v>
      </c>
      <c r="L287">
        <v>3</v>
      </c>
      <c r="M287" t="s">
        <v>25</v>
      </c>
      <c r="N287">
        <v>9</v>
      </c>
      <c r="O287">
        <v>12.33</v>
      </c>
      <c r="P287">
        <v>136411.03</v>
      </c>
      <c r="Q287">
        <v>77692.34</v>
      </c>
      <c r="R287">
        <v>390</v>
      </c>
      <c r="S287">
        <v>1071</v>
      </c>
      <c r="T287" t="s">
        <v>34</v>
      </c>
      <c r="U287" t="s">
        <v>27</v>
      </c>
    </row>
    <row r="288" spans="1:21">
      <c r="A288" t="s">
        <v>518</v>
      </c>
      <c r="B288" t="s">
        <v>519</v>
      </c>
      <c r="C288" t="s">
        <v>54</v>
      </c>
      <c r="D288">
        <v>82000</v>
      </c>
      <c r="E288">
        <v>3000</v>
      </c>
      <c r="F288">
        <v>82000</v>
      </c>
      <c r="G288">
        <v>82000</v>
      </c>
      <c r="H288">
        <v>3</v>
      </c>
      <c r="I288" t="s">
        <v>432</v>
      </c>
      <c r="J288">
        <v>24</v>
      </c>
      <c r="K288">
        <v>48</v>
      </c>
      <c r="L288">
        <v>3</v>
      </c>
      <c r="M288" t="s">
        <v>25</v>
      </c>
      <c r="N288">
        <v>7</v>
      </c>
      <c r="O288">
        <v>11.33</v>
      </c>
      <c r="P288">
        <v>136411.03</v>
      </c>
      <c r="Q288">
        <v>77692.34</v>
      </c>
      <c r="R288">
        <v>390</v>
      </c>
      <c r="S288">
        <v>1071</v>
      </c>
      <c r="T288" t="s">
        <v>34</v>
      </c>
      <c r="U288" t="s">
        <v>42</v>
      </c>
    </row>
    <row r="289" spans="1:21">
      <c r="A289" t="s">
        <v>520</v>
      </c>
      <c r="B289" t="s">
        <v>65</v>
      </c>
      <c r="C289" t="s">
        <v>54</v>
      </c>
      <c r="D289">
        <v>178000</v>
      </c>
      <c r="E289">
        <v>20000</v>
      </c>
      <c r="H289">
        <v>3</v>
      </c>
      <c r="I289" t="s">
        <v>432</v>
      </c>
      <c r="J289">
        <v>30.04</v>
      </c>
      <c r="K289">
        <v>4</v>
      </c>
      <c r="L289">
        <v>3</v>
      </c>
      <c r="M289" t="s">
        <v>25</v>
      </c>
      <c r="N289">
        <v>7</v>
      </c>
      <c r="O289">
        <v>10.67</v>
      </c>
      <c r="P289">
        <v>136411.03</v>
      </c>
      <c r="Q289">
        <v>77692.34</v>
      </c>
      <c r="R289">
        <v>390</v>
      </c>
      <c r="S289">
        <v>1071</v>
      </c>
      <c r="T289" t="s">
        <v>26</v>
      </c>
      <c r="U289" t="s">
        <v>31</v>
      </c>
    </row>
    <row r="290" spans="1:21">
      <c r="A290" t="s">
        <v>521</v>
      </c>
      <c r="B290" t="s">
        <v>522</v>
      </c>
      <c r="C290" t="s">
        <v>48</v>
      </c>
      <c r="D290">
        <v>68000</v>
      </c>
      <c r="E290">
        <v>5000</v>
      </c>
      <c r="F290">
        <v>68000</v>
      </c>
      <c r="G290">
        <v>68000</v>
      </c>
      <c r="H290">
        <v>4</v>
      </c>
      <c r="I290" t="s">
        <v>432</v>
      </c>
      <c r="J290">
        <v>16.16</v>
      </c>
      <c r="K290">
        <v>31</v>
      </c>
      <c r="L290">
        <v>4</v>
      </c>
      <c r="M290" t="s">
        <v>25</v>
      </c>
      <c r="N290">
        <v>2</v>
      </c>
      <c r="O290">
        <v>8.67</v>
      </c>
      <c r="P290">
        <v>136411.03</v>
      </c>
      <c r="Q290">
        <v>77692.34</v>
      </c>
      <c r="R290">
        <v>390</v>
      </c>
      <c r="S290">
        <v>1071</v>
      </c>
      <c r="T290" t="s">
        <v>108</v>
      </c>
      <c r="U290" t="s">
        <v>49</v>
      </c>
    </row>
    <row r="291" spans="1:21">
      <c r="A291" t="s">
        <v>523</v>
      </c>
      <c r="B291" t="s">
        <v>270</v>
      </c>
      <c r="C291" t="s">
        <v>121</v>
      </c>
      <c r="D291">
        <v>103000</v>
      </c>
      <c r="E291">
        <v>10000</v>
      </c>
      <c r="H291">
        <v>4</v>
      </c>
      <c r="I291" t="s">
        <v>432</v>
      </c>
      <c r="J291">
        <v>26.18</v>
      </c>
      <c r="K291">
        <v>18</v>
      </c>
      <c r="L291">
        <v>7</v>
      </c>
      <c r="M291" t="s">
        <v>25</v>
      </c>
      <c r="N291">
        <v>5</v>
      </c>
      <c r="O291">
        <v>6</v>
      </c>
      <c r="P291">
        <v>136411.03</v>
      </c>
      <c r="Q291">
        <v>77692.34</v>
      </c>
      <c r="R291">
        <v>390</v>
      </c>
      <c r="S291">
        <v>1071</v>
      </c>
      <c r="T291" t="s">
        <v>34</v>
      </c>
      <c r="U291" t="s">
        <v>90</v>
      </c>
    </row>
    <row r="292" spans="1:21">
      <c r="A292" t="s">
        <v>524</v>
      </c>
      <c r="B292" t="s">
        <v>525</v>
      </c>
      <c r="C292" t="s">
        <v>54</v>
      </c>
      <c r="D292">
        <v>70000</v>
      </c>
      <c r="E292">
        <v>4000</v>
      </c>
      <c r="F292">
        <v>70000</v>
      </c>
      <c r="H292">
        <v>-1</v>
      </c>
      <c r="I292" t="s">
        <v>432</v>
      </c>
      <c r="J292">
        <v>11.09</v>
      </c>
      <c r="K292">
        <v>6</v>
      </c>
      <c r="L292">
        <v>3</v>
      </c>
      <c r="M292" t="s">
        <v>25</v>
      </c>
      <c r="N292">
        <v>3</v>
      </c>
      <c r="O292">
        <v>9</v>
      </c>
      <c r="P292">
        <v>136411.03</v>
      </c>
      <c r="Q292">
        <v>77692.34</v>
      </c>
      <c r="R292">
        <v>390</v>
      </c>
      <c r="S292">
        <v>1071</v>
      </c>
      <c r="T292" t="s">
        <v>108</v>
      </c>
      <c r="U292" t="s">
        <v>31</v>
      </c>
    </row>
    <row r="293" spans="1:21">
      <c r="A293" t="s">
        <v>526</v>
      </c>
      <c r="B293" t="s">
        <v>527</v>
      </c>
      <c r="C293" t="s">
        <v>54</v>
      </c>
      <c r="D293">
        <v>104000</v>
      </c>
      <c r="E293">
        <v>8000</v>
      </c>
      <c r="F293">
        <v>104000</v>
      </c>
      <c r="G293">
        <v>104000</v>
      </c>
      <c r="H293">
        <v>-1</v>
      </c>
      <c r="I293" t="s">
        <v>432</v>
      </c>
      <c r="J293">
        <v>25.55</v>
      </c>
      <c r="K293">
        <v>23</v>
      </c>
      <c r="L293">
        <v>5</v>
      </c>
      <c r="M293" t="s">
        <v>25</v>
      </c>
      <c r="N293">
        <v>4</v>
      </c>
      <c r="O293">
        <v>10.67</v>
      </c>
      <c r="P293">
        <v>136411.03</v>
      </c>
      <c r="Q293">
        <v>77692.34</v>
      </c>
      <c r="R293">
        <v>390</v>
      </c>
      <c r="S293">
        <v>1071</v>
      </c>
      <c r="T293" t="s">
        <v>34</v>
      </c>
      <c r="U293" t="s">
        <v>27</v>
      </c>
    </row>
    <row r="294" spans="1:21">
      <c r="A294" t="s">
        <v>528</v>
      </c>
      <c r="B294" t="s">
        <v>529</v>
      </c>
      <c r="C294" t="s">
        <v>104</v>
      </c>
      <c r="D294">
        <v>65000</v>
      </c>
      <c r="F294">
        <v>65000</v>
      </c>
      <c r="G294">
        <v>65000</v>
      </c>
      <c r="H294">
        <v>1</v>
      </c>
      <c r="I294" t="s">
        <v>432</v>
      </c>
      <c r="J294">
        <v>20.25</v>
      </c>
      <c r="K294">
        <v>26</v>
      </c>
      <c r="L294">
        <v>2</v>
      </c>
      <c r="M294" t="s">
        <v>25</v>
      </c>
      <c r="N294">
        <v>5</v>
      </c>
      <c r="O294">
        <v>6</v>
      </c>
      <c r="P294">
        <v>136411.03</v>
      </c>
      <c r="Q294">
        <v>77692.34</v>
      </c>
      <c r="R294">
        <v>390</v>
      </c>
      <c r="S294">
        <v>1071</v>
      </c>
      <c r="T294" t="s">
        <v>34</v>
      </c>
      <c r="U294" t="s">
        <v>27</v>
      </c>
    </row>
    <row r="295" spans="1:21">
      <c r="A295" t="s">
        <v>530</v>
      </c>
      <c r="B295" t="s">
        <v>72</v>
      </c>
      <c r="C295" t="s">
        <v>54</v>
      </c>
      <c r="D295">
        <v>178000</v>
      </c>
      <c r="E295">
        <v>20000</v>
      </c>
      <c r="H295">
        <v>3</v>
      </c>
      <c r="I295" t="s">
        <v>432</v>
      </c>
      <c r="J295">
        <v>30.04</v>
      </c>
      <c r="K295">
        <v>4</v>
      </c>
      <c r="L295">
        <v>4</v>
      </c>
      <c r="M295" t="s">
        <v>25</v>
      </c>
      <c r="N295">
        <v>7</v>
      </c>
      <c r="O295">
        <v>8.5</v>
      </c>
      <c r="P295">
        <v>136411.03</v>
      </c>
      <c r="Q295">
        <v>77692.34</v>
      </c>
      <c r="R295">
        <v>390</v>
      </c>
      <c r="S295">
        <v>1071</v>
      </c>
      <c r="T295" t="s">
        <v>26</v>
      </c>
      <c r="U295" t="s">
        <v>31</v>
      </c>
    </row>
    <row r="296" spans="1:21">
      <c r="A296" t="s">
        <v>531</v>
      </c>
      <c r="B296" t="s">
        <v>72</v>
      </c>
      <c r="C296" t="s">
        <v>54</v>
      </c>
      <c r="D296">
        <v>195000</v>
      </c>
      <c r="E296">
        <v>20000</v>
      </c>
      <c r="H296">
        <v>3</v>
      </c>
      <c r="I296" t="s">
        <v>432</v>
      </c>
      <c r="J296">
        <v>30.04</v>
      </c>
      <c r="K296">
        <v>4</v>
      </c>
      <c r="L296">
        <v>4</v>
      </c>
      <c r="M296" t="s">
        <v>25</v>
      </c>
      <c r="N296">
        <v>7</v>
      </c>
      <c r="O296">
        <v>8.5</v>
      </c>
      <c r="P296">
        <v>136411.03</v>
      </c>
      <c r="Q296">
        <v>77692.34</v>
      </c>
      <c r="R296">
        <v>390</v>
      </c>
      <c r="S296">
        <v>1071</v>
      </c>
      <c r="T296" t="s">
        <v>26</v>
      </c>
      <c r="U296" t="s">
        <v>31</v>
      </c>
    </row>
    <row r="297" spans="1:21">
      <c r="A297" t="s">
        <v>532</v>
      </c>
      <c r="B297" t="s">
        <v>533</v>
      </c>
      <c r="C297" t="s">
        <v>54</v>
      </c>
      <c r="D297">
        <v>75000</v>
      </c>
      <c r="E297">
        <v>2000</v>
      </c>
      <c r="F297">
        <v>75000</v>
      </c>
      <c r="G297">
        <v>75000</v>
      </c>
      <c r="H297">
        <v>1</v>
      </c>
      <c r="I297" t="s">
        <v>432</v>
      </c>
      <c r="J297">
        <v>30.22</v>
      </c>
      <c r="K297">
        <v>6</v>
      </c>
      <c r="L297">
        <v>2</v>
      </c>
      <c r="M297" t="s">
        <v>25</v>
      </c>
      <c r="N297">
        <v>5</v>
      </c>
      <c r="O297">
        <v>10.67</v>
      </c>
      <c r="P297">
        <v>136411.03</v>
      </c>
      <c r="Q297">
        <v>77692.34</v>
      </c>
      <c r="R297">
        <v>390</v>
      </c>
      <c r="S297">
        <v>1071</v>
      </c>
      <c r="T297" t="s">
        <v>26</v>
      </c>
      <c r="U297" t="s">
        <v>31</v>
      </c>
    </row>
    <row r="298" spans="1:21">
      <c r="A298" t="s">
        <v>534</v>
      </c>
      <c r="B298" t="s">
        <v>535</v>
      </c>
      <c r="C298" t="s">
        <v>54</v>
      </c>
      <c r="D298">
        <v>68000</v>
      </c>
      <c r="E298">
        <v>4000</v>
      </c>
      <c r="F298">
        <v>68000</v>
      </c>
      <c r="H298">
        <v>-1</v>
      </c>
      <c r="I298" t="s">
        <v>432</v>
      </c>
      <c r="J298">
        <v>11.09</v>
      </c>
      <c r="K298">
        <v>6</v>
      </c>
      <c r="L298">
        <v>3</v>
      </c>
      <c r="M298" t="s">
        <v>25</v>
      </c>
      <c r="N298">
        <v>3</v>
      </c>
      <c r="O298">
        <v>9</v>
      </c>
      <c r="P298">
        <v>136411.03</v>
      </c>
      <c r="Q298">
        <v>77692.34</v>
      </c>
      <c r="R298">
        <v>390</v>
      </c>
      <c r="S298">
        <v>1071</v>
      </c>
      <c r="T298" t="s">
        <v>108</v>
      </c>
      <c r="U298" t="s">
        <v>31</v>
      </c>
    </row>
    <row r="299" spans="1:21">
      <c r="A299" t="s">
        <v>536</v>
      </c>
      <c r="B299" t="s">
        <v>535</v>
      </c>
      <c r="C299" t="s">
        <v>54</v>
      </c>
      <c r="D299">
        <v>70000</v>
      </c>
      <c r="E299">
        <v>4000</v>
      </c>
      <c r="F299">
        <v>70000</v>
      </c>
      <c r="H299">
        <v>-1</v>
      </c>
      <c r="I299" t="s">
        <v>432</v>
      </c>
      <c r="J299">
        <v>11.09</v>
      </c>
      <c r="K299">
        <v>6</v>
      </c>
      <c r="L299">
        <v>3</v>
      </c>
      <c r="M299" t="s">
        <v>25</v>
      </c>
      <c r="N299">
        <v>3</v>
      </c>
      <c r="O299">
        <v>9</v>
      </c>
      <c r="P299">
        <v>136411.03</v>
      </c>
      <c r="Q299">
        <v>77692.34</v>
      </c>
      <c r="R299">
        <v>390</v>
      </c>
      <c r="S299">
        <v>1071</v>
      </c>
      <c r="T299" t="s">
        <v>108</v>
      </c>
      <c r="U299" t="s">
        <v>31</v>
      </c>
    </row>
    <row r="300" spans="1:21">
      <c r="A300" t="s">
        <v>537</v>
      </c>
      <c r="B300" t="s">
        <v>538</v>
      </c>
      <c r="C300" t="s">
        <v>54</v>
      </c>
      <c r="D300">
        <v>71000</v>
      </c>
      <c r="E300">
        <v>3000</v>
      </c>
      <c r="G300">
        <v>71000</v>
      </c>
      <c r="H300">
        <v>2</v>
      </c>
      <c r="I300" t="s">
        <v>432</v>
      </c>
      <c r="J300">
        <v>21.55</v>
      </c>
      <c r="K300">
        <v>11</v>
      </c>
      <c r="L300">
        <v>2</v>
      </c>
      <c r="M300" t="s">
        <v>25</v>
      </c>
      <c r="N300">
        <v>3</v>
      </c>
      <c r="O300">
        <v>10.33</v>
      </c>
      <c r="P300">
        <v>136411.03</v>
      </c>
      <c r="Q300">
        <v>77692.34</v>
      </c>
      <c r="R300">
        <v>390</v>
      </c>
      <c r="S300">
        <v>1071</v>
      </c>
      <c r="T300" t="s">
        <v>34</v>
      </c>
      <c r="U300" t="s">
        <v>90</v>
      </c>
    </row>
    <row r="301" spans="1:21">
      <c r="A301" t="s">
        <v>539</v>
      </c>
      <c r="B301" t="s">
        <v>540</v>
      </c>
      <c r="C301" t="s">
        <v>48</v>
      </c>
      <c r="D301">
        <v>66000</v>
      </c>
      <c r="E301">
        <v>6000</v>
      </c>
      <c r="H301">
        <v>2</v>
      </c>
      <c r="I301" t="s">
        <v>432</v>
      </c>
      <c r="J301">
        <v>11.93</v>
      </c>
      <c r="K301">
        <v>8</v>
      </c>
      <c r="L301">
        <v>2</v>
      </c>
      <c r="M301" t="s">
        <v>25</v>
      </c>
      <c r="N301">
        <v>7</v>
      </c>
      <c r="O301">
        <v>10.33</v>
      </c>
      <c r="P301">
        <v>136411.03</v>
      </c>
      <c r="Q301">
        <v>77692.34</v>
      </c>
      <c r="R301">
        <v>390</v>
      </c>
      <c r="S301">
        <v>1071</v>
      </c>
      <c r="T301" t="s">
        <v>108</v>
      </c>
      <c r="U301" t="s">
        <v>31</v>
      </c>
    </row>
    <row r="302" spans="1:21">
      <c r="A302" t="s">
        <v>541</v>
      </c>
      <c r="B302" t="s">
        <v>83</v>
      </c>
      <c r="C302" t="s">
        <v>48</v>
      </c>
      <c r="D302">
        <v>149000</v>
      </c>
      <c r="E302">
        <v>10000</v>
      </c>
      <c r="H302">
        <v>2</v>
      </c>
      <c r="I302" t="s">
        <v>432</v>
      </c>
      <c r="J302">
        <v>25.59</v>
      </c>
      <c r="K302">
        <v>0</v>
      </c>
      <c r="L302">
        <v>5</v>
      </c>
      <c r="M302" t="s">
        <v>25</v>
      </c>
      <c r="N302">
        <v>6</v>
      </c>
      <c r="O302">
        <v>8</v>
      </c>
      <c r="P302">
        <v>136411.03</v>
      </c>
      <c r="Q302">
        <v>77692.34</v>
      </c>
      <c r="R302">
        <v>390</v>
      </c>
      <c r="S302">
        <v>1071</v>
      </c>
      <c r="T302" t="s">
        <v>34</v>
      </c>
      <c r="U302" t="s">
        <v>81</v>
      </c>
    </row>
    <row r="303" spans="1:21">
      <c r="A303" t="s">
        <v>542</v>
      </c>
      <c r="B303" t="s">
        <v>543</v>
      </c>
      <c r="C303" t="s">
        <v>41</v>
      </c>
      <c r="D303">
        <v>60000</v>
      </c>
      <c r="E303">
        <v>3000</v>
      </c>
      <c r="F303">
        <v>60000</v>
      </c>
      <c r="H303">
        <v>1</v>
      </c>
      <c r="I303" t="s">
        <v>432</v>
      </c>
      <c r="J303">
        <v>13.21</v>
      </c>
      <c r="K303">
        <v>38</v>
      </c>
      <c r="L303">
        <v>2</v>
      </c>
      <c r="M303" t="s">
        <v>25</v>
      </c>
      <c r="N303">
        <v>4</v>
      </c>
      <c r="O303">
        <v>9.33</v>
      </c>
      <c r="P303">
        <v>136411.03</v>
      </c>
      <c r="Q303">
        <v>77692.34</v>
      </c>
      <c r="R303">
        <v>390</v>
      </c>
      <c r="S303">
        <v>1071</v>
      </c>
      <c r="T303" t="s">
        <v>108</v>
      </c>
      <c r="U303" t="s">
        <v>49</v>
      </c>
    </row>
    <row r="304" spans="1:21">
      <c r="A304" t="s">
        <v>544</v>
      </c>
      <c r="B304" t="s">
        <v>85</v>
      </c>
      <c r="C304" t="s">
        <v>48</v>
      </c>
      <c r="D304">
        <v>149000</v>
      </c>
      <c r="E304">
        <v>10000</v>
      </c>
      <c r="H304">
        <v>2</v>
      </c>
      <c r="I304" t="s">
        <v>432</v>
      </c>
      <c r="J304">
        <v>25.59</v>
      </c>
      <c r="K304">
        <v>0</v>
      </c>
      <c r="L304">
        <v>5</v>
      </c>
      <c r="M304" t="s">
        <v>25</v>
      </c>
      <c r="N304">
        <v>6</v>
      </c>
      <c r="O304">
        <v>8</v>
      </c>
      <c r="P304">
        <v>136411.03</v>
      </c>
      <c r="Q304">
        <v>77692.34</v>
      </c>
      <c r="R304">
        <v>390</v>
      </c>
      <c r="S304">
        <v>1071</v>
      </c>
      <c r="T304" t="s">
        <v>34</v>
      </c>
      <c r="U304" t="s">
        <v>81</v>
      </c>
    </row>
    <row r="305" spans="1:21">
      <c r="A305" t="s">
        <v>545</v>
      </c>
      <c r="B305" t="s">
        <v>546</v>
      </c>
      <c r="C305" t="s">
        <v>48</v>
      </c>
      <c r="D305">
        <v>59000</v>
      </c>
      <c r="E305">
        <v>1000</v>
      </c>
      <c r="F305">
        <v>59000</v>
      </c>
      <c r="H305">
        <v>2</v>
      </c>
      <c r="I305" t="s">
        <v>432</v>
      </c>
      <c r="J305">
        <v>12.44</v>
      </c>
      <c r="K305">
        <v>35</v>
      </c>
      <c r="L305">
        <v>2</v>
      </c>
      <c r="M305" t="s">
        <v>25</v>
      </c>
      <c r="N305">
        <v>7</v>
      </c>
      <c r="O305">
        <v>10</v>
      </c>
      <c r="P305">
        <v>136411.03</v>
      </c>
      <c r="Q305">
        <v>77692.34</v>
      </c>
      <c r="R305">
        <v>390</v>
      </c>
      <c r="S305">
        <v>1071</v>
      </c>
      <c r="T305" t="s">
        <v>108</v>
      </c>
      <c r="U305" t="s">
        <v>49</v>
      </c>
    </row>
    <row r="306" spans="1:21">
      <c r="A306" t="s">
        <v>547</v>
      </c>
      <c r="B306" t="s">
        <v>546</v>
      </c>
      <c r="C306" t="s">
        <v>48</v>
      </c>
      <c r="D306">
        <v>59000</v>
      </c>
      <c r="E306">
        <v>1000</v>
      </c>
      <c r="F306">
        <v>59000</v>
      </c>
      <c r="H306">
        <v>2</v>
      </c>
      <c r="I306" t="s">
        <v>432</v>
      </c>
      <c r="J306">
        <v>13.5</v>
      </c>
      <c r="K306">
        <v>35</v>
      </c>
      <c r="L306">
        <v>2</v>
      </c>
      <c r="M306" t="s">
        <v>25</v>
      </c>
      <c r="N306">
        <v>7</v>
      </c>
      <c r="O306">
        <v>10</v>
      </c>
      <c r="P306">
        <v>136411.03</v>
      </c>
      <c r="Q306">
        <v>77692.34</v>
      </c>
      <c r="R306">
        <v>390</v>
      </c>
      <c r="S306">
        <v>1071</v>
      </c>
      <c r="T306" t="s">
        <v>108</v>
      </c>
      <c r="U306" t="s">
        <v>49</v>
      </c>
    </row>
    <row r="307" spans="1:21">
      <c r="A307" t="s">
        <v>548</v>
      </c>
      <c r="B307" t="s">
        <v>549</v>
      </c>
      <c r="C307" t="s">
        <v>37</v>
      </c>
      <c r="D307">
        <v>70000</v>
      </c>
      <c r="F307">
        <v>70000</v>
      </c>
      <c r="H307">
        <v>2</v>
      </c>
      <c r="I307" t="s">
        <v>432</v>
      </c>
      <c r="J307">
        <v>13.17</v>
      </c>
      <c r="K307">
        <v>36</v>
      </c>
      <c r="L307">
        <v>2</v>
      </c>
      <c r="M307" t="s">
        <v>25</v>
      </c>
      <c r="N307">
        <v>8</v>
      </c>
      <c r="O307">
        <v>10.67</v>
      </c>
      <c r="P307">
        <v>136411.03</v>
      </c>
      <c r="Q307">
        <v>77692.34</v>
      </c>
      <c r="R307">
        <v>390</v>
      </c>
      <c r="S307">
        <v>1071</v>
      </c>
      <c r="T307" t="s">
        <v>108</v>
      </c>
      <c r="U307" t="s">
        <v>49</v>
      </c>
    </row>
    <row r="308" spans="1:21">
      <c r="A308" t="s">
        <v>550</v>
      </c>
      <c r="B308" t="s">
        <v>551</v>
      </c>
      <c r="C308" t="s">
        <v>54</v>
      </c>
      <c r="D308">
        <v>108000</v>
      </c>
      <c r="E308">
        <v>12000</v>
      </c>
      <c r="F308">
        <v>108000</v>
      </c>
      <c r="G308">
        <v>108000</v>
      </c>
      <c r="H308">
        <v>2</v>
      </c>
      <c r="I308" t="s">
        <v>432</v>
      </c>
      <c r="J308">
        <v>25.47</v>
      </c>
      <c r="K308">
        <v>8</v>
      </c>
      <c r="L308">
        <v>11</v>
      </c>
      <c r="M308" t="s">
        <v>25</v>
      </c>
      <c r="N308">
        <v>3</v>
      </c>
      <c r="O308">
        <v>9.67</v>
      </c>
      <c r="P308">
        <v>136411.03</v>
      </c>
      <c r="Q308">
        <v>77692.34</v>
      </c>
      <c r="R308">
        <v>390</v>
      </c>
      <c r="S308">
        <v>1071</v>
      </c>
      <c r="T308" t="s">
        <v>34</v>
      </c>
      <c r="U308" t="s">
        <v>31</v>
      </c>
    </row>
    <row r="309" spans="1:21">
      <c r="A309" t="s">
        <v>552</v>
      </c>
      <c r="B309" t="s">
        <v>551</v>
      </c>
      <c r="C309" t="s">
        <v>54</v>
      </c>
      <c r="D309">
        <v>109000</v>
      </c>
      <c r="E309">
        <v>12000</v>
      </c>
      <c r="F309">
        <v>109000</v>
      </c>
      <c r="G309">
        <v>109000</v>
      </c>
      <c r="H309">
        <v>3</v>
      </c>
      <c r="I309" t="s">
        <v>432</v>
      </c>
      <c r="J309">
        <v>25.47</v>
      </c>
      <c r="K309">
        <v>8</v>
      </c>
      <c r="L309">
        <v>11</v>
      </c>
      <c r="M309" t="s">
        <v>25</v>
      </c>
      <c r="N309">
        <v>3</v>
      </c>
      <c r="O309">
        <v>9.67</v>
      </c>
      <c r="P309">
        <v>136411.03</v>
      </c>
      <c r="Q309">
        <v>77692.34</v>
      </c>
      <c r="R309">
        <v>390</v>
      </c>
      <c r="S309">
        <v>1071</v>
      </c>
      <c r="T309" t="s">
        <v>34</v>
      </c>
      <c r="U309" t="s">
        <v>31</v>
      </c>
    </row>
    <row r="310" spans="1:21">
      <c r="A310" t="s">
        <v>553</v>
      </c>
      <c r="B310" t="s">
        <v>551</v>
      </c>
      <c r="C310" t="s">
        <v>54</v>
      </c>
      <c r="D310">
        <v>118000</v>
      </c>
      <c r="E310">
        <v>12000</v>
      </c>
      <c r="F310">
        <v>118000</v>
      </c>
      <c r="G310">
        <v>118000</v>
      </c>
      <c r="H310">
        <v>4</v>
      </c>
      <c r="I310" t="s">
        <v>432</v>
      </c>
      <c r="J310">
        <v>25.36</v>
      </c>
      <c r="K310">
        <v>8</v>
      </c>
      <c r="L310">
        <v>11</v>
      </c>
      <c r="M310" t="s">
        <v>25</v>
      </c>
      <c r="N310">
        <v>3</v>
      </c>
      <c r="O310">
        <v>9.67</v>
      </c>
      <c r="P310">
        <v>136411.03</v>
      </c>
      <c r="Q310">
        <v>77692.34</v>
      </c>
      <c r="R310">
        <v>390</v>
      </c>
      <c r="S310">
        <v>1071</v>
      </c>
      <c r="T310" t="s">
        <v>34</v>
      </c>
      <c r="U310" t="s">
        <v>31</v>
      </c>
    </row>
    <row r="311" spans="1:21">
      <c r="A311" t="s">
        <v>554</v>
      </c>
      <c r="B311" t="s">
        <v>324</v>
      </c>
      <c r="C311" t="s">
        <v>37</v>
      </c>
      <c r="D311">
        <v>246000</v>
      </c>
      <c r="E311">
        <v>15000</v>
      </c>
      <c r="H311">
        <v>-2</v>
      </c>
      <c r="I311" t="s">
        <v>555</v>
      </c>
      <c r="J311">
        <v>48.99</v>
      </c>
      <c r="K311">
        <v>2</v>
      </c>
      <c r="L311">
        <v>4</v>
      </c>
      <c r="M311" t="s">
        <v>25</v>
      </c>
      <c r="N311">
        <v>4</v>
      </c>
      <c r="O311">
        <v>10</v>
      </c>
      <c r="P311">
        <v>136411.03</v>
      </c>
      <c r="Q311">
        <v>207063.41</v>
      </c>
      <c r="R311">
        <v>390</v>
      </c>
      <c r="S311">
        <v>41</v>
      </c>
      <c r="T311" t="s">
        <v>326</v>
      </c>
      <c r="U311" t="s">
        <v>31</v>
      </c>
    </row>
    <row r="312" spans="1:21">
      <c r="A312" t="s">
        <v>556</v>
      </c>
      <c r="B312" t="s">
        <v>61</v>
      </c>
      <c r="C312" t="s">
        <v>37</v>
      </c>
      <c r="D312">
        <v>246000</v>
      </c>
      <c r="E312">
        <v>15000</v>
      </c>
      <c r="H312">
        <v>-2</v>
      </c>
      <c r="I312" t="s">
        <v>555</v>
      </c>
      <c r="J312">
        <v>48.99</v>
      </c>
      <c r="K312">
        <v>2</v>
      </c>
      <c r="L312">
        <v>2</v>
      </c>
      <c r="M312" t="s">
        <v>25</v>
      </c>
      <c r="N312">
        <v>4</v>
      </c>
      <c r="O312">
        <v>10.67</v>
      </c>
      <c r="P312">
        <v>136411.03</v>
      </c>
      <c r="Q312">
        <v>207063.41</v>
      </c>
      <c r="R312">
        <v>390</v>
      </c>
      <c r="S312">
        <v>41</v>
      </c>
      <c r="T312" t="s">
        <v>326</v>
      </c>
      <c r="U312" t="s">
        <v>31</v>
      </c>
    </row>
    <row r="313" spans="1:21">
      <c r="A313" t="s">
        <v>557</v>
      </c>
      <c r="B313" t="s">
        <v>558</v>
      </c>
      <c r="C313" t="s">
        <v>30</v>
      </c>
      <c r="D313">
        <v>130000</v>
      </c>
      <c r="E313">
        <v>5000</v>
      </c>
      <c r="F313">
        <v>130000</v>
      </c>
      <c r="G313">
        <v>130000</v>
      </c>
      <c r="H313">
        <v>3</v>
      </c>
      <c r="I313" t="s">
        <v>559</v>
      </c>
      <c r="J313">
        <v>46.53</v>
      </c>
      <c r="K313">
        <v>46</v>
      </c>
      <c r="L313">
        <v>5</v>
      </c>
      <c r="M313" t="s">
        <v>25</v>
      </c>
      <c r="N313">
        <v>2</v>
      </c>
      <c r="O313">
        <v>6</v>
      </c>
      <c r="P313">
        <v>136411.03</v>
      </c>
      <c r="Q313">
        <v>141491.45000000001</v>
      </c>
      <c r="R313">
        <v>390</v>
      </c>
      <c r="S313">
        <v>117</v>
      </c>
      <c r="T313" t="s">
        <v>326</v>
      </c>
      <c r="U313" t="s">
        <v>42</v>
      </c>
    </row>
    <row r="314" spans="1:21">
      <c r="A314" t="s">
        <v>560</v>
      </c>
      <c r="B314" t="s">
        <v>561</v>
      </c>
      <c r="C314" t="s">
        <v>41</v>
      </c>
      <c r="D314">
        <v>153000</v>
      </c>
      <c r="E314">
        <v>12000</v>
      </c>
      <c r="F314">
        <v>153000</v>
      </c>
      <c r="G314">
        <v>153000</v>
      </c>
      <c r="H314">
        <v>6</v>
      </c>
      <c r="I314" t="s">
        <v>559</v>
      </c>
      <c r="J314">
        <v>30.02</v>
      </c>
      <c r="K314">
        <v>2</v>
      </c>
      <c r="L314">
        <v>7</v>
      </c>
      <c r="M314" t="s">
        <v>25</v>
      </c>
      <c r="N314">
        <v>4</v>
      </c>
      <c r="O314">
        <v>6.33</v>
      </c>
      <c r="P314">
        <v>136411.03</v>
      </c>
      <c r="Q314">
        <v>141491.45000000001</v>
      </c>
      <c r="R314">
        <v>390</v>
      </c>
      <c r="S314">
        <v>117</v>
      </c>
      <c r="T314" t="s">
        <v>26</v>
      </c>
      <c r="U314" t="s">
        <v>31</v>
      </c>
    </row>
    <row r="315" spans="1:21">
      <c r="A315" t="s">
        <v>562</v>
      </c>
      <c r="B315" t="s">
        <v>375</v>
      </c>
      <c r="C315" t="s">
        <v>37</v>
      </c>
      <c r="D315">
        <v>185000</v>
      </c>
      <c r="E315">
        <v>15000</v>
      </c>
      <c r="H315">
        <v>2</v>
      </c>
      <c r="I315" t="s">
        <v>559</v>
      </c>
      <c r="J315">
        <v>39.22</v>
      </c>
      <c r="K315">
        <v>4</v>
      </c>
      <c r="L315">
        <v>4</v>
      </c>
      <c r="M315" t="s">
        <v>25</v>
      </c>
      <c r="N315">
        <v>4</v>
      </c>
      <c r="O315">
        <v>10.67</v>
      </c>
      <c r="P315">
        <v>136411.03</v>
      </c>
      <c r="Q315">
        <v>141491.45000000001</v>
      </c>
      <c r="R315">
        <v>390</v>
      </c>
      <c r="S315">
        <v>117</v>
      </c>
      <c r="T315" t="s">
        <v>26</v>
      </c>
      <c r="U315" t="s">
        <v>31</v>
      </c>
    </row>
    <row r="316" spans="1:21">
      <c r="A316" t="s">
        <v>563</v>
      </c>
      <c r="B316" t="s">
        <v>564</v>
      </c>
      <c r="C316" t="s">
        <v>30</v>
      </c>
      <c r="D316">
        <v>144000</v>
      </c>
      <c r="E316">
        <v>12000</v>
      </c>
      <c r="F316">
        <v>144000</v>
      </c>
      <c r="G316">
        <v>144000</v>
      </c>
      <c r="H316">
        <v>4</v>
      </c>
      <c r="I316" t="s">
        <v>559</v>
      </c>
      <c r="J316">
        <v>40.9</v>
      </c>
      <c r="K316">
        <v>21</v>
      </c>
      <c r="L316">
        <v>8</v>
      </c>
      <c r="M316" t="s">
        <v>25</v>
      </c>
      <c r="N316">
        <v>1</v>
      </c>
      <c r="O316">
        <v>1</v>
      </c>
      <c r="P316">
        <v>136411.03</v>
      </c>
      <c r="Q316">
        <v>141491.45000000001</v>
      </c>
      <c r="R316">
        <v>390</v>
      </c>
      <c r="S316">
        <v>117</v>
      </c>
      <c r="T316" t="s">
        <v>326</v>
      </c>
      <c r="U316" t="s">
        <v>27</v>
      </c>
    </row>
    <row r="317" spans="1:21">
      <c r="A317" t="s">
        <v>565</v>
      </c>
      <c r="B317" t="s">
        <v>479</v>
      </c>
      <c r="C317" t="s">
        <v>41</v>
      </c>
      <c r="D317">
        <v>99000</v>
      </c>
      <c r="E317">
        <v>6000</v>
      </c>
      <c r="F317">
        <v>99000</v>
      </c>
      <c r="G317">
        <v>99000</v>
      </c>
      <c r="H317">
        <v>3</v>
      </c>
      <c r="I317" t="s">
        <v>559</v>
      </c>
      <c r="J317">
        <v>42</v>
      </c>
      <c r="K317">
        <v>40</v>
      </c>
      <c r="L317">
        <v>4</v>
      </c>
      <c r="M317" t="s">
        <v>25</v>
      </c>
      <c r="N317">
        <v>5</v>
      </c>
      <c r="O317">
        <v>7.67</v>
      </c>
      <c r="P317">
        <v>136411.03</v>
      </c>
      <c r="Q317">
        <v>141491.45000000001</v>
      </c>
      <c r="R317">
        <v>390</v>
      </c>
      <c r="S317">
        <v>117</v>
      </c>
      <c r="T317" t="s">
        <v>326</v>
      </c>
      <c r="U317" t="s">
        <v>49</v>
      </c>
    </row>
    <row r="318" spans="1:21">
      <c r="A318" t="s">
        <v>566</v>
      </c>
      <c r="B318" t="s">
        <v>567</v>
      </c>
      <c r="C318" t="s">
        <v>30</v>
      </c>
      <c r="D318">
        <v>120000</v>
      </c>
      <c r="E318">
        <v>5000</v>
      </c>
      <c r="G318">
        <v>120000</v>
      </c>
      <c r="H318">
        <v>1</v>
      </c>
      <c r="I318" t="s">
        <v>559</v>
      </c>
      <c r="J318">
        <v>33.56</v>
      </c>
      <c r="K318">
        <v>48</v>
      </c>
      <c r="L318">
        <v>5</v>
      </c>
      <c r="M318" t="s">
        <v>25</v>
      </c>
      <c r="N318">
        <v>4</v>
      </c>
      <c r="O318">
        <v>6.5</v>
      </c>
      <c r="P318">
        <v>136411.03</v>
      </c>
      <c r="Q318">
        <v>141491.45000000001</v>
      </c>
      <c r="R318">
        <v>390</v>
      </c>
      <c r="S318">
        <v>117</v>
      </c>
      <c r="T318" t="s">
        <v>26</v>
      </c>
      <c r="U318" t="s">
        <v>42</v>
      </c>
    </row>
    <row r="319" spans="1:21">
      <c r="A319" t="s">
        <v>568</v>
      </c>
      <c r="B319" t="s">
        <v>83</v>
      </c>
      <c r="C319" t="s">
        <v>48</v>
      </c>
      <c r="D319">
        <v>235000</v>
      </c>
      <c r="E319">
        <v>15000</v>
      </c>
      <c r="H319">
        <v>4</v>
      </c>
      <c r="I319" t="s">
        <v>559</v>
      </c>
      <c r="J319">
        <v>46.78</v>
      </c>
      <c r="K319">
        <v>0</v>
      </c>
      <c r="L319">
        <v>5</v>
      </c>
      <c r="M319" t="s">
        <v>25</v>
      </c>
      <c r="N319">
        <v>6</v>
      </c>
      <c r="O319">
        <v>8</v>
      </c>
      <c r="P319">
        <v>136411.03</v>
      </c>
      <c r="Q319">
        <v>141491.45000000001</v>
      </c>
      <c r="R319">
        <v>390</v>
      </c>
      <c r="S319">
        <v>117</v>
      </c>
      <c r="T319" t="s">
        <v>326</v>
      </c>
      <c r="U319" t="s">
        <v>81</v>
      </c>
    </row>
    <row r="320" spans="1:21">
      <c r="A320" t="s">
        <v>569</v>
      </c>
      <c r="B320" t="s">
        <v>85</v>
      </c>
      <c r="C320" t="s">
        <v>48</v>
      </c>
      <c r="D320">
        <v>205000</v>
      </c>
      <c r="E320">
        <v>15000</v>
      </c>
      <c r="H320">
        <v>3</v>
      </c>
      <c r="I320" t="s">
        <v>559</v>
      </c>
      <c r="J320">
        <v>39.07</v>
      </c>
      <c r="K320">
        <v>0</v>
      </c>
      <c r="L320">
        <v>5</v>
      </c>
      <c r="M320" t="s">
        <v>25</v>
      </c>
      <c r="N320">
        <v>6</v>
      </c>
      <c r="O320">
        <v>8</v>
      </c>
      <c r="P320">
        <v>136411.03</v>
      </c>
      <c r="Q320">
        <v>141491.45000000001</v>
      </c>
      <c r="R320">
        <v>390</v>
      </c>
      <c r="S320">
        <v>117</v>
      </c>
      <c r="T320" t="s">
        <v>26</v>
      </c>
      <c r="U320" t="s">
        <v>81</v>
      </c>
    </row>
    <row r="321" spans="1:21">
      <c r="A321" t="s">
        <v>570</v>
      </c>
      <c r="B321" t="s">
        <v>85</v>
      </c>
      <c r="C321" t="s">
        <v>48</v>
      </c>
      <c r="D321">
        <v>235000</v>
      </c>
      <c r="E321">
        <v>15000</v>
      </c>
      <c r="H321">
        <v>4</v>
      </c>
      <c r="I321" t="s">
        <v>559</v>
      </c>
      <c r="J321">
        <v>46.78</v>
      </c>
      <c r="K321">
        <v>0</v>
      </c>
      <c r="L321">
        <v>5</v>
      </c>
      <c r="M321" t="s">
        <v>25</v>
      </c>
      <c r="N321">
        <v>6</v>
      </c>
      <c r="O321">
        <v>8</v>
      </c>
      <c r="P321">
        <v>136411.03</v>
      </c>
      <c r="Q321">
        <v>141491.45000000001</v>
      </c>
      <c r="R321">
        <v>390</v>
      </c>
      <c r="S321">
        <v>117</v>
      </c>
      <c r="T321" t="s">
        <v>326</v>
      </c>
      <c r="U321" t="s">
        <v>81</v>
      </c>
    </row>
    <row r="322" spans="1:21">
      <c r="A322" t="s">
        <v>571</v>
      </c>
      <c r="B322" t="s">
        <v>572</v>
      </c>
      <c r="C322" t="s">
        <v>41</v>
      </c>
      <c r="D322">
        <v>115000</v>
      </c>
      <c r="F322">
        <v>115000</v>
      </c>
      <c r="G322">
        <v>115000</v>
      </c>
      <c r="H322">
        <v>3</v>
      </c>
      <c r="I322" t="s">
        <v>573</v>
      </c>
      <c r="J322">
        <v>29.53</v>
      </c>
      <c r="K322">
        <v>57</v>
      </c>
      <c r="L322">
        <v>11</v>
      </c>
      <c r="M322" t="s">
        <v>25</v>
      </c>
      <c r="N322">
        <v>3</v>
      </c>
      <c r="O322">
        <v>9</v>
      </c>
      <c r="P322">
        <v>136411.03</v>
      </c>
      <c r="Q322">
        <v>117441.44</v>
      </c>
      <c r="R322">
        <v>390</v>
      </c>
      <c r="S322">
        <v>111</v>
      </c>
      <c r="T322" t="s">
        <v>34</v>
      </c>
      <c r="U322" t="s">
        <v>57</v>
      </c>
    </row>
    <row r="323" spans="1:21">
      <c r="A323" t="s">
        <v>574</v>
      </c>
      <c r="B323" t="s">
        <v>575</v>
      </c>
      <c r="C323" t="s">
        <v>41</v>
      </c>
      <c r="D323">
        <v>120000</v>
      </c>
      <c r="E323">
        <v>10000</v>
      </c>
      <c r="F323">
        <v>120000</v>
      </c>
      <c r="G323">
        <v>120000</v>
      </c>
      <c r="H323">
        <v>2</v>
      </c>
      <c r="I323" t="s">
        <v>573</v>
      </c>
      <c r="J323">
        <v>40.44</v>
      </c>
      <c r="K323">
        <v>30</v>
      </c>
      <c r="L323">
        <v>4</v>
      </c>
      <c r="M323" t="s">
        <v>25</v>
      </c>
      <c r="N323">
        <v>4</v>
      </c>
      <c r="O323">
        <v>7.33</v>
      </c>
      <c r="P323">
        <v>136411.03</v>
      </c>
      <c r="Q323">
        <v>117441.44</v>
      </c>
      <c r="R323">
        <v>390</v>
      </c>
      <c r="S323">
        <v>111</v>
      </c>
      <c r="T323" t="s">
        <v>326</v>
      </c>
      <c r="U323" t="s">
        <v>27</v>
      </c>
    </row>
    <row r="324" spans="1:21">
      <c r="A324" t="s">
        <v>576</v>
      </c>
      <c r="B324" t="s">
        <v>577</v>
      </c>
      <c r="C324" t="s">
        <v>37</v>
      </c>
      <c r="D324">
        <v>100000</v>
      </c>
      <c r="F324">
        <v>200000</v>
      </c>
      <c r="G324">
        <v>100000</v>
      </c>
      <c r="H324">
        <v>6</v>
      </c>
      <c r="I324" t="s">
        <v>573</v>
      </c>
      <c r="J324">
        <v>35.1</v>
      </c>
      <c r="K324">
        <v>56</v>
      </c>
      <c r="L324">
        <v>8</v>
      </c>
      <c r="M324" t="s">
        <v>25</v>
      </c>
      <c r="N324">
        <v>7</v>
      </c>
      <c r="O324">
        <v>8.67</v>
      </c>
      <c r="P324">
        <v>136411.03</v>
      </c>
      <c r="Q324">
        <v>117441.44</v>
      </c>
      <c r="R324">
        <v>390</v>
      </c>
      <c r="S324">
        <v>111</v>
      </c>
      <c r="T324" t="s">
        <v>26</v>
      </c>
      <c r="U324" t="s">
        <v>57</v>
      </c>
    </row>
    <row r="325" spans="1:21">
      <c r="A325" t="s">
        <v>578</v>
      </c>
      <c r="B325" t="s">
        <v>375</v>
      </c>
      <c r="C325" t="s">
        <v>37</v>
      </c>
      <c r="D325">
        <v>150000</v>
      </c>
      <c r="E325">
        <v>15000</v>
      </c>
      <c r="H325">
        <v>-2</v>
      </c>
      <c r="I325" t="s">
        <v>573</v>
      </c>
      <c r="J325">
        <v>29.13</v>
      </c>
      <c r="K325">
        <v>4</v>
      </c>
      <c r="L325">
        <v>4</v>
      </c>
      <c r="M325" t="s">
        <v>25</v>
      </c>
      <c r="N325">
        <v>4</v>
      </c>
      <c r="O325">
        <v>10.67</v>
      </c>
      <c r="P325">
        <v>136411.03</v>
      </c>
      <c r="Q325">
        <v>117441.44</v>
      </c>
      <c r="R325">
        <v>390</v>
      </c>
      <c r="S325">
        <v>111</v>
      </c>
      <c r="T325" t="s">
        <v>34</v>
      </c>
      <c r="U325" t="s">
        <v>31</v>
      </c>
    </row>
    <row r="326" spans="1:21">
      <c r="A326" t="s">
        <v>579</v>
      </c>
      <c r="B326" t="s">
        <v>580</v>
      </c>
      <c r="C326" t="s">
        <v>41</v>
      </c>
      <c r="D326">
        <v>115000</v>
      </c>
      <c r="F326">
        <v>115000</v>
      </c>
      <c r="G326">
        <v>115000</v>
      </c>
      <c r="H326">
        <v>3</v>
      </c>
      <c r="I326" t="s">
        <v>573</v>
      </c>
      <c r="J326">
        <v>29.53</v>
      </c>
      <c r="K326">
        <v>57</v>
      </c>
      <c r="L326">
        <v>11</v>
      </c>
      <c r="M326" t="s">
        <v>25</v>
      </c>
      <c r="N326">
        <v>1</v>
      </c>
      <c r="O326">
        <v>8.33</v>
      </c>
      <c r="P326">
        <v>136411.03</v>
      </c>
      <c r="Q326">
        <v>117441.44</v>
      </c>
      <c r="R326">
        <v>390</v>
      </c>
      <c r="S326">
        <v>111</v>
      </c>
      <c r="T326" t="s">
        <v>34</v>
      </c>
      <c r="U326" t="s">
        <v>57</v>
      </c>
    </row>
    <row r="327" spans="1:21">
      <c r="A327" t="s">
        <v>581</v>
      </c>
      <c r="B327" t="s">
        <v>582</v>
      </c>
      <c r="C327" t="s">
        <v>41</v>
      </c>
      <c r="D327">
        <v>115000</v>
      </c>
      <c r="F327">
        <v>230000</v>
      </c>
      <c r="G327">
        <v>115000</v>
      </c>
      <c r="H327">
        <v>3</v>
      </c>
      <c r="I327" t="s">
        <v>573</v>
      </c>
      <c r="J327">
        <v>29.53</v>
      </c>
      <c r="K327">
        <v>57</v>
      </c>
      <c r="L327">
        <v>11</v>
      </c>
      <c r="M327" t="s">
        <v>25</v>
      </c>
      <c r="N327">
        <v>3</v>
      </c>
      <c r="O327">
        <v>6</v>
      </c>
      <c r="P327">
        <v>136411.03</v>
      </c>
      <c r="Q327">
        <v>117441.44</v>
      </c>
      <c r="R327">
        <v>390</v>
      </c>
      <c r="S327">
        <v>111</v>
      </c>
      <c r="T327" t="s">
        <v>34</v>
      </c>
      <c r="U327" t="s">
        <v>57</v>
      </c>
    </row>
    <row r="328" spans="1:21">
      <c r="A328" t="s">
        <v>583</v>
      </c>
      <c r="B328" t="s">
        <v>522</v>
      </c>
      <c r="C328" t="s">
        <v>41</v>
      </c>
      <c r="D328">
        <v>120000</v>
      </c>
      <c r="E328">
        <v>10000</v>
      </c>
      <c r="F328">
        <v>120000</v>
      </c>
      <c r="G328">
        <v>120000</v>
      </c>
      <c r="H328">
        <v>2</v>
      </c>
      <c r="I328" t="s">
        <v>573</v>
      </c>
      <c r="J328">
        <v>40.44</v>
      </c>
      <c r="K328">
        <v>31</v>
      </c>
      <c r="L328">
        <v>4</v>
      </c>
      <c r="M328" t="s">
        <v>25</v>
      </c>
      <c r="N328">
        <v>4</v>
      </c>
      <c r="O328">
        <v>7</v>
      </c>
      <c r="P328">
        <v>136411.03</v>
      </c>
      <c r="Q328">
        <v>117441.44</v>
      </c>
      <c r="R328">
        <v>390</v>
      </c>
      <c r="S328">
        <v>111</v>
      </c>
      <c r="T328" t="s">
        <v>326</v>
      </c>
      <c r="U328" t="s">
        <v>49</v>
      </c>
    </row>
    <row r="329" spans="1:21">
      <c r="A329" t="s">
        <v>584</v>
      </c>
      <c r="B329" t="s">
        <v>331</v>
      </c>
      <c r="C329" t="s">
        <v>37</v>
      </c>
      <c r="D329">
        <v>250000</v>
      </c>
      <c r="E329">
        <v>10500</v>
      </c>
      <c r="F329">
        <v>250000</v>
      </c>
      <c r="G329">
        <v>500000</v>
      </c>
      <c r="H329">
        <v>1</v>
      </c>
      <c r="I329" t="s">
        <v>585</v>
      </c>
      <c r="J329">
        <v>51.03</v>
      </c>
      <c r="K329">
        <v>0</v>
      </c>
      <c r="L329">
        <v>3</v>
      </c>
      <c r="M329" t="s">
        <v>25</v>
      </c>
      <c r="N329">
        <v>10</v>
      </c>
      <c r="O329">
        <v>10</v>
      </c>
      <c r="P329">
        <v>136411.03</v>
      </c>
      <c r="Q329">
        <v>232352.65</v>
      </c>
      <c r="R329">
        <v>390</v>
      </c>
      <c r="S329">
        <v>359</v>
      </c>
      <c r="T329" t="s">
        <v>332</v>
      </c>
      <c r="U329" t="s">
        <v>81</v>
      </c>
    </row>
    <row r="330" spans="1:21">
      <c r="A330" t="s">
        <v>586</v>
      </c>
      <c r="B330" t="s">
        <v>331</v>
      </c>
      <c r="C330" t="s">
        <v>37</v>
      </c>
      <c r="D330">
        <v>252000</v>
      </c>
      <c r="E330">
        <v>10500</v>
      </c>
      <c r="F330">
        <v>252000</v>
      </c>
      <c r="G330">
        <v>504000</v>
      </c>
      <c r="H330">
        <v>1</v>
      </c>
      <c r="I330" t="s">
        <v>585</v>
      </c>
      <c r="J330">
        <v>54.94</v>
      </c>
      <c r="K330">
        <v>0</v>
      </c>
      <c r="L330">
        <v>3</v>
      </c>
      <c r="M330" t="s">
        <v>25</v>
      </c>
      <c r="N330">
        <v>10</v>
      </c>
      <c r="O330">
        <v>10</v>
      </c>
      <c r="P330">
        <v>136411.03</v>
      </c>
      <c r="Q330">
        <v>232352.65</v>
      </c>
      <c r="R330">
        <v>390</v>
      </c>
      <c r="S330">
        <v>359</v>
      </c>
      <c r="T330" t="s">
        <v>332</v>
      </c>
      <c r="U330" t="s">
        <v>81</v>
      </c>
    </row>
    <row r="331" spans="1:21">
      <c r="A331" t="s">
        <v>587</v>
      </c>
      <c r="B331" t="s">
        <v>331</v>
      </c>
      <c r="C331" t="s">
        <v>37</v>
      </c>
      <c r="D331">
        <v>258000</v>
      </c>
      <c r="E331">
        <v>12500</v>
      </c>
      <c r="F331">
        <v>258000</v>
      </c>
      <c r="G331">
        <v>516000</v>
      </c>
      <c r="H331">
        <v>2</v>
      </c>
      <c r="I331" t="s">
        <v>585</v>
      </c>
      <c r="J331">
        <v>54.94</v>
      </c>
      <c r="K331">
        <v>0</v>
      </c>
      <c r="L331">
        <v>3</v>
      </c>
      <c r="M331" t="s">
        <v>25</v>
      </c>
      <c r="N331">
        <v>10</v>
      </c>
      <c r="O331">
        <v>10</v>
      </c>
      <c r="P331">
        <v>136411.03</v>
      </c>
      <c r="Q331">
        <v>232352.65</v>
      </c>
      <c r="R331">
        <v>390</v>
      </c>
      <c r="S331">
        <v>359</v>
      </c>
      <c r="T331" t="s">
        <v>332</v>
      </c>
      <c r="U331" t="s">
        <v>81</v>
      </c>
    </row>
    <row r="332" spans="1:21">
      <c r="A332" t="s">
        <v>588</v>
      </c>
      <c r="B332" t="s">
        <v>331</v>
      </c>
      <c r="C332" t="s">
        <v>37</v>
      </c>
      <c r="D332">
        <v>266000</v>
      </c>
      <c r="E332">
        <v>12500</v>
      </c>
      <c r="F332">
        <v>266000</v>
      </c>
      <c r="G332">
        <v>532000</v>
      </c>
      <c r="H332">
        <v>2</v>
      </c>
      <c r="I332" t="s">
        <v>585</v>
      </c>
      <c r="J332">
        <v>58.96</v>
      </c>
      <c r="K332">
        <v>0</v>
      </c>
      <c r="L332">
        <v>3</v>
      </c>
      <c r="M332" t="s">
        <v>25</v>
      </c>
      <c r="N332">
        <v>10</v>
      </c>
      <c r="O332">
        <v>10</v>
      </c>
      <c r="P332">
        <v>136411.03</v>
      </c>
      <c r="Q332">
        <v>232352.65</v>
      </c>
      <c r="R332">
        <v>390</v>
      </c>
      <c r="S332">
        <v>359</v>
      </c>
      <c r="T332" t="s">
        <v>332</v>
      </c>
      <c r="U332" t="s">
        <v>81</v>
      </c>
    </row>
    <row r="333" spans="1:21">
      <c r="A333" t="s">
        <v>589</v>
      </c>
      <c r="B333" t="s">
        <v>331</v>
      </c>
      <c r="C333" t="s">
        <v>37</v>
      </c>
      <c r="D333">
        <v>265000</v>
      </c>
      <c r="E333">
        <v>12500</v>
      </c>
      <c r="F333">
        <v>265000</v>
      </c>
      <c r="G333">
        <v>530000</v>
      </c>
      <c r="H333">
        <v>3</v>
      </c>
      <c r="I333" t="s">
        <v>585</v>
      </c>
      <c r="J333">
        <v>54.94</v>
      </c>
      <c r="K333">
        <v>0</v>
      </c>
      <c r="L333">
        <v>3</v>
      </c>
      <c r="M333" t="s">
        <v>25</v>
      </c>
      <c r="N333">
        <v>10</v>
      </c>
      <c r="O333">
        <v>10</v>
      </c>
      <c r="P333">
        <v>136411.03</v>
      </c>
      <c r="Q333">
        <v>232352.65</v>
      </c>
      <c r="R333">
        <v>390</v>
      </c>
      <c r="S333">
        <v>359</v>
      </c>
      <c r="T333" t="s">
        <v>332</v>
      </c>
      <c r="U333" t="s">
        <v>81</v>
      </c>
    </row>
    <row r="334" spans="1:21">
      <c r="A334" t="s">
        <v>590</v>
      </c>
      <c r="B334" t="s">
        <v>331</v>
      </c>
      <c r="C334" t="s">
        <v>37</v>
      </c>
      <c r="D334">
        <v>261000</v>
      </c>
      <c r="E334">
        <v>12500</v>
      </c>
      <c r="F334">
        <v>261000</v>
      </c>
      <c r="G334">
        <v>522000</v>
      </c>
      <c r="H334">
        <v>3</v>
      </c>
      <c r="I334" t="s">
        <v>585</v>
      </c>
      <c r="J334">
        <v>57.2</v>
      </c>
      <c r="K334">
        <v>0</v>
      </c>
      <c r="L334">
        <v>3</v>
      </c>
      <c r="M334" t="s">
        <v>25</v>
      </c>
      <c r="N334">
        <v>10</v>
      </c>
      <c r="O334">
        <v>10</v>
      </c>
      <c r="P334">
        <v>136411.03</v>
      </c>
      <c r="Q334">
        <v>232352.65</v>
      </c>
      <c r="R334">
        <v>390</v>
      </c>
      <c r="S334">
        <v>359</v>
      </c>
      <c r="T334" t="s">
        <v>332</v>
      </c>
      <c r="U334" t="s">
        <v>81</v>
      </c>
    </row>
    <row r="335" spans="1:21">
      <c r="A335" t="s">
        <v>591</v>
      </c>
      <c r="B335" t="s">
        <v>592</v>
      </c>
      <c r="C335" t="s">
        <v>54</v>
      </c>
      <c r="D335">
        <v>267000</v>
      </c>
      <c r="E335">
        <v>3000</v>
      </c>
      <c r="F335">
        <v>267000</v>
      </c>
      <c r="H335">
        <v>1</v>
      </c>
      <c r="I335" t="s">
        <v>585</v>
      </c>
      <c r="J335">
        <v>68.78</v>
      </c>
      <c r="K335">
        <v>0</v>
      </c>
      <c r="L335">
        <v>3</v>
      </c>
      <c r="M335" t="s">
        <v>25</v>
      </c>
      <c r="N335">
        <v>3</v>
      </c>
      <c r="O335">
        <v>11</v>
      </c>
      <c r="P335">
        <v>136411.03</v>
      </c>
      <c r="Q335">
        <v>232352.65</v>
      </c>
      <c r="R335">
        <v>390</v>
      </c>
      <c r="S335">
        <v>359</v>
      </c>
      <c r="T335" t="s">
        <v>593</v>
      </c>
      <c r="U335" t="s">
        <v>81</v>
      </c>
    </row>
    <row r="336" spans="1:21">
      <c r="A336" t="s">
        <v>594</v>
      </c>
      <c r="B336" t="s">
        <v>592</v>
      </c>
      <c r="C336" t="s">
        <v>54</v>
      </c>
      <c r="D336">
        <v>238000</v>
      </c>
      <c r="E336">
        <v>3000</v>
      </c>
      <c r="F336">
        <v>238000</v>
      </c>
      <c r="H336">
        <v>2</v>
      </c>
      <c r="I336" t="s">
        <v>585</v>
      </c>
      <c r="J336">
        <v>60.36</v>
      </c>
      <c r="K336">
        <v>0</v>
      </c>
      <c r="L336">
        <v>3</v>
      </c>
      <c r="M336" t="s">
        <v>25</v>
      </c>
      <c r="N336">
        <v>3</v>
      </c>
      <c r="O336">
        <v>11</v>
      </c>
      <c r="P336">
        <v>136411.03</v>
      </c>
      <c r="Q336">
        <v>232352.65</v>
      </c>
      <c r="R336">
        <v>390</v>
      </c>
      <c r="S336">
        <v>359</v>
      </c>
      <c r="T336" t="s">
        <v>593</v>
      </c>
      <c r="U336" t="s">
        <v>81</v>
      </c>
    </row>
    <row r="337" spans="1:21">
      <c r="A337" t="s">
        <v>595</v>
      </c>
      <c r="B337" t="s">
        <v>592</v>
      </c>
      <c r="C337" t="s">
        <v>54</v>
      </c>
      <c r="D337">
        <v>292000</v>
      </c>
      <c r="E337">
        <v>3000</v>
      </c>
      <c r="F337">
        <v>292000</v>
      </c>
      <c r="H337">
        <v>3</v>
      </c>
      <c r="I337" t="s">
        <v>585</v>
      </c>
      <c r="J337">
        <v>70.98</v>
      </c>
      <c r="K337">
        <v>0</v>
      </c>
      <c r="L337">
        <v>3</v>
      </c>
      <c r="M337" t="s">
        <v>25</v>
      </c>
      <c r="N337">
        <v>3</v>
      </c>
      <c r="O337">
        <v>11</v>
      </c>
      <c r="P337">
        <v>136411.03</v>
      </c>
      <c r="Q337">
        <v>232352.65</v>
      </c>
      <c r="R337">
        <v>390</v>
      </c>
      <c r="S337">
        <v>359</v>
      </c>
      <c r="T337" t="s">
        <v>596</v>
      </c>
      <c r="U337" t="s">
        <v>81</v>
      </c>
    </row>
    <row r="338" spans="1:21">
      <c r="A338" t="s">
        <v>597</v>
      </c>
      <c r="B338" t="s">
        <v>598</v>
      </c>
      <c r="C338" t="s">
        <v>54</v>
      </c>
      <c r="D338">
        <v>240000</v>
      </c>
      <c r="E338">
        <v>20000</v>
      </c>
      <c r="F338">
        <v>240000</v>
      </c>
      <c r="G338">
        <v>240000</v>
      </c>
      <c r="H338">
        <v>3</v>
      </c>
      <c r="I338" t="s">
        <v>585</v>
      </c>
      <c r="J338">
        <v>87.9</v>
      </c>
      <c r="K338">
        <v>40</v>
      </c>
      <c r="L338">
        <v>3</v>
      </c>
      <c r="M338" t="s">
        <v>25</v>
      </c>
      <c r="N338">
        <v>5</v>
      </c>
      <c r="O338">
        <v>11.67</v>
      </c>
      <c r="P338">
        <v>136411.03</v>
      </c>
      <c r="Q338">
        <v>232352.65</v>
      </c>
      <c r="R338">
        <v>390</v>
      </c>
      <c r="S338">
        <v>359</v>
      </c>
      <c r="T338" t="s">
        <v>413</v>
      </c>
      <c r="U338" t="s">
        <v>49</v>
      </c>
    </row>
    <row r="339" spans="1:21">
      <c r="A339" t="s">
        <v>599</v>
      </c>
      <c r="B339" t="s">
        <v>600</v>
      </c>
      <c r="C339" t="s">
        <v>121</v>
      </c>
      <c r="D339">
        <v>280000</v>
      </c>
      <c r="E339">
        <v>20000</v>
      </c>
      <c r="F339">
        <v>280000</v>
      </c>
      <c r="G339">
        <v>280000</v>
      </c>
      <c r="H339">
        <v>5</v>
      </c>
      <c r="I339" t="s">
        <v>585</v>
      </c>
      <c r="J339">
        <v>54.51</v>
      </c>
      <c r="K339">
        <v>3</v>
      </c>
      <c r="L339">
        <v>7</v>
      </c>
      <c r="M339" t="s">
        <v>25</v>
      </c>
      <c r="N339">
        <v>6</v>
      </c>
      <c r="O339">
        <v>8.67</v>
      </c>
      <c r="P339">
        <v>136411.03</v>
      </c>
      <c r="Q339">
        <v>232352.65</v>
      </c>
      <c r="R339">
        <v>390</v>
      </c>
      <c r="S339">
        <v>359</v>
      </c>
      <c r="T339" t="s">
        <v>332</v>
      </c>
      <c r="U339" t="s">
        <v>31</v>
      </c>
    </row>
    <row r="340" spans="1:21">
      <c r="A340" t="s">
        <v>601</v>
      </c>
      <c r="B340" t="s">
        <v>602</v>
      </c>
      <c r="C340" t="s">
        <v>54</v>
      </c>
      <c r="D340">
        <v>175000</v>
      </c>
      <c r="E340">
        <v>10000</v>
      </c>
      <c r="G340">
        <v>175000</v>
      </c>
      <c r="H340">
        <v>3</v>
      </c>
      <c r="I340" t="s">
        <v>585</v>
      </c>
      <c r="J340">
        <v>59.06</v>
      </c>
      <c r="K340">
        <v>35</v>
      </c>
      <c r="L340">
        <v>3</v>
      </c>
      <c r="M340" t="s">
        <v>25</v>
      </c>
      <c r="N340">
        <v>9</v>
      </c>
      <c r="O340">
        <v>12</v>
      </c>
      <c r="P340">
        <v>136411.03</v>
      </c>
      <c r="Q340">
        <v>232352.65</v>
      </c>
      <c r="R340">
        <v>390</v>
      </c>
      <c r="S340">
        <v>359</v>
      </c>
      <c r="T340" t="s">
        <v>332</v>
      </c>
      <c r="U340" t="s">
        <v>49</v>
      </c>
    </row>
    <row r="341" spans="1:21">
      <c r="A341" t="s">
        <v>603</v>
      </c>
      <c r="B341" t="s">
        <v>51</v>
      </c>
      <c r="C341" t="s">
        <v>37</v>
      </c>
      <c r="D341">
        <v>195000</v>
      </c>
      <c r="E341">
        <v>10000</v>
      </c>
      <c r="F341">
        <v>195000</v>
      </c>
      <c r="G341">
        <v>195000</v>
      </c>
      <c r="H341">
        <v>2</v>
      </c>
      <c r="I341" t="s">
        <v>585</v>
      </c>
      <c r="J341">
        <v>56.32</v>
      </c>
      <c r="K341">
        <v>28</v>
      </c>
      <c r="L341">
        <v>4</v>
      </c>
      <c r="M341" t="s">
        <v>25</v>
      </c>
      <c r="N341">
        <v>5</v>
      </c>
      <c r="O341">
        <v>10.67</v>
      </c>
      <c r="P341">
        <v>136411.03</v>
      </c>
      <c r="Q341">
        <v>232352.65</v>
      </c>
      <c r="R341">
        <v>390</v>
      </c>
      <c r="S341">
        <v>359</v>
      </c>
      <c r="T341" t="s">
        <v>332</v>
      </c>
      <c r="U341" t="s">
        <v>27</v>
      </c>
    </row>
    <row r="342" spans="1:21">
      <c r="A342" t="s">
        <v>604</v>
      </c>
      <c r="B342" t="s">
        <v>605</v>
      </c>
      <c r="C342" t="s">
        <v>37</v>
      </c>
      <c r="D342">
        <v>214000</v>
      </c>
      <c r="E342">
        <v>15000</v>
      </c>
      <c r="F342">
        <v>214000</v>
      </c>
      <c r="H342">
        <v>1</v>
      </c>
      <c r="I342" t="s">
        <v>585</v>
      </c>
      <c r="J342">
        <v>65.75</v>
      </c>
      <c r="K342">
        <v>37</v>
      </c>
      <c r="L342">
        <v>3</v>
      </c>
      <c r="M342" t="s">
        <v>25</v>
      </c>
      <c r="N342">
        <v>6</v>
      </c>
      <c r="O342">
        <v>10.67</v>
      </c>
      <c r="P342">
        <v>136411.03</v>
      </c>
      <c r="Q342">
        <v>232352.65</v>
      </c>
      <c r="R342">
        <v>390</v>
      </c>
      <c r="S342">
        <v>359</v>
      </c>
      <c r="T342" t="s">
        <v>593</v>
      </c>
      <c r="U342" t="s">
        <v>49</v>
      </c>
    </row>
    <row r="343" spans="1:21">
      <c r="A343" t="s">
        <v>606</v>
      </c>
      <c r="B343" t="s">
        <v>607</v>
      </c>
      <c r="C343" t="s">
        <v>37</v>
      </c>
      <c r="D343">
        <v>214000</v>
      </c>
      <c r="E343">
        <v>15000</v>
      </c>
      <c r="F343">
        <v>214000</v>
      </c>
      <c r="H343">
        <v>3</v>
      </c>
      <c r="I343" t="s">
        <v>585</v>
      </c>
      <c r="J343">
        <v>64.42</v>
      </c>
      <c r="K343">
        <v>37</v>
      </c>
      <c r="L343">
        <v>3</v>
      </c>
      <c r="M343" t="s">
        <v>25</v>
      </c>
      <c r="N343">
        <v>6</v>
      </c>
      <c r="O343">
        <v>8.5</v>
      </c>
      <c r="P343">
        <v>136411.03</v>
      </c>
      <c r="Q343">
        <v>232352.65</v>
      </c>
      <c r="R343">
        <v>390</v>
      </c>
      <c r="S343">
        <v>359</v>
      </c>
      <c r="T343" t="s">
        <v>593</v>
      </c>
      <c r="U343" t="s">
        <v>49</v>
      </c>
    </row>
    <row r="344" spans="1:21">
      <c r="A344" t="s">
        <v>608</v>
      </c>
      <c r="B344" t="s">
        <v>609</v>
      </c>
      <c r="C344" t="s">
        <v>37</v>
      </c>
      <c r="D344">
        <v>214000</v>
      </c>
      <c r="E344">
        <v>15000</v>
      </c>
      <c r="F344">
        <v>214000</v>
      </c>
      <c r="H344">
        <v>3</v>
      </c>
      <c r="I344" t="s">
        <v>585</v>
      </c>
      <c r="J344">
        <v>64.42</v>
      </c>
      <c r="K344">
        <v>37</v>
      </c>
      <c r="L344">
        <v>3</v>
      </c>
      <c r="M344" t="s">
        <v>25</v>
      </c>
      <c r="N344">
        <v>8</v>
      </c>
      <c r="O344">
        <v>10.33</v>
      </c>
      <c r="P344">
        <v>136411.03</v>
      </c>
      <c r="Q344">
        <v>232352.65</v>
      </c>
      <c r="R344">
        <v>390</v>
      </c>
      <c r="S344">
        <v>359</v>
      </c>
      <c r="T344" t="s">
        <v>593</v>
      </c>
      <c r="U344" t="s">
        <v>49</v>
      </c>
    </row>
    <row r="345" spans="1:21">
      <c r="A345" t="s">
        <v>610</v>
      </c>
      <c r="B345" t="s">
        <v>197</v>
      </c>
      <c r="C345" t="s">
        <v>121</v>
      </c>
      <c r="D345">
        <v>210000</v>
      </c>
      <c r="E345">
        <v>25000</v>
      </c>
      <c r="F345">
        <v>210000</v>
      </c>
      <c r="G345">
        <v>210000</v>
      </c>
      <c r="H345">
        <v>6</v>
      </c>
      <c r="I345" t="s">
        <v>585</v>
      </c>
      <c r="J345">
        <v>55.99</v>
      </c>
      <c r="K345">
        <v>18</v>
      </c>
      <c r="L345">
        <v>7</v>
      </c>
      <c r="M345" t="s">
        <v>25</v>
      </c>
      <c r="N345">
        <v>5</v>
      </c>
      <c r="O345">
        <v>7.33</v>
      </c>
      <c r="P345">
        <v>136411.03</v>
      </c>
      <c r="Q345">
        <v>232352.65</v>
      </c>
      <c r="R345">
        <v>390</v>
      </c>
      <c r="S345">
        <v>359</v>
      </c>
      <c r="T345" t="s">
        <v>332</v>
      </c>
      <c r="U345" t="s">
        <v>90</v>
      </c>
    </row>
    <row r="346" spans="1:21">
      <c r="A346" t="s">
        <v>611</v>
      </c>
      <c r="B346" t="s">
        <v>197</v>
      </c>
      <c r="C346" t="s">
        <v>121</v>
      </c>
      <c r="D346">
        <v>230000</v>
      </c>
      <c r="E346">
        <v>15000</v>
      </c>
      <c r="F346">
        <v>230000</v>
      </c>
      <c r="G346">
        <v>230000</v>
      </c>
      <c r="H346">
        <v>6</v>
      </c>
      <c r="I346" t="s">
        <v>585</v>
      </c>
      <c r="J346">
        <v>55.99</v>
      </c>
      <c r="K346">
        <v>18</v>
      </c>
      <c r="L346">
        <v>7</v>
      </c>
      <c r="M346" t="s">
        <v>25</v>
      </c>
      <c r="N346">
        <v>5</v>
      </c>
      <c r="O346">
        <v>7.33</v>
      </c>
      <c r="P346">
        <v>136411.03</v>
      </c>
      <c r="Q346">
        <v>232352.65</v>
      </c>
      <c r="R346">
        <v>390</v>
      </c>
      <c r="S346">
        <v>359</v>
      </c>
      <c r="T346" t="s">
        <v>332</v>
      </c>
      <c r="U346" t="s">
        <v>90</v>
      </c>
    </row>
    <row r="347" spans="1:21">
      <c r="A347" t="s">
        <v>612</v>
      </c>
      <c r="B347" t="s">
        <v>475</v>
      </c>
      <c r="C347" t="s">
        <v>121</v>
      </c>
      <c r="D347">
        <v>222000</v>
      </c>
      <c r="E347">
        <v>25000</v>
      </c>
      <c r="F347">
        <v>222000</v>
      </c>
      <c r="H347">
        <v>7</v>
      </c>
      <c r="I347" t="s">
        <v>585</v>
      </c>
      <c r="J347">
        <v>61.57</v>
      </c>
      <c r="K347">
        <v>18</v>
      </c>
      <c r="L347">
        <v>7</v>
      </c>
      <c r="M347" t="s">
        <v>25</v>
      </c>
      <c r="N347">
        <v>5</v>
      </c>
      <c r="O347">
        <v>7.67</v>
      </c>
      <c r="P347">
        <v>136411.03</v>
      </c>
      <c r="Q347">
        <v>232352.65</v>
      </c>
      <c r="R347">
        <v>390</v>
      </c>
      <c r="S347">
        <v>359</v>
      </c>
      <c r="T347" t="s">
        <v>593</v>
      </c>
      <c r="U347" t="s">
        <v>90</v>
      </c>
    </row>
    <row r="348" spans="1:21">
      <c r="A348" t="s">
        <v>613</v>
      </c>
      <c r="B348" t="s">
        <v>475</v>
      </c>
      <c r="C348" t="s">
        <v>121</v>
      </c>
      <c r="D348">
        <v>245000</v>
      </c>
      <c r="E348">
        <v>15000</v>
      </c>
      <c r="F348">
        <v>245000</v>
      </c>
      <c r="H348">
        <v>7</v>
      </c>
      <c r="I348" t="s">
        <v>585</v>
      </c>
      <c r="J348">
        <v>61.57</v>
      </c>
      <c r="K348">
        <v>18</v>
      </c>
      <c r="L348">
        <v>7</v>
      </c>
      <c r="M348" t="s">
        <v>25</v>
      </c>
      <c r="N348">
        <v>5</v>
      </c>
      <c r="O348">
        <v>7.67</v>
      </c>
      <c r="P348">
        <v>136411.03</v>
      </c>
      <c r="Q348">
        <v>232352.65</v>
      </c>
      <c r="R348">
        <v>390</v>
      </c>
      <c r="S348">
        <v>359</v>
      </c>
      <c r="T348" t="s">
        <v>593</v>
      </c>
      <c r="U348" t="s">
        <v>90</v>
      </c>
    </row>
    <row r="349" spans="1:21">
      <c r="A349" t="s">
        <v>614</v>
      </c>
      <c r="B349" t="s">
        <v>615</v>
      </c>
      <c r="C349" t="s">
        <v>41</v>
      </c>
      <c r="D349">
        <v>173000</v>
      </c>
      <c r="E349">
        <v>22000</v>
      </c>
      <c r="F349">
        <v>173000</v>
      </c>
      <c r="G349">
        <v>173000</v>
      </c>
      <c r="H349">
        <v>4</v>
      </c>
      <c r="I349" t="s">
        <v>585</v>
      </c>
      <c r="J349">
        <v>44.71</v>
      </c>
      <c r="K349">
        <v>45</v>
      </c>
      <c r="L349">
        <v>6</v>
      </c>
      <c r="M349" t="s">
        <v>25</v>
      </c>
      <c r="N349">
        <v>8</v>
      </c>
      <c r="O349">
        <v>12</v>
      </c>
      <c r="P349">
        <v>136411.03</v>
      </c>
      <c r="Q349">
        <v>232352.65</v>
      </c>
      <c r="R349">
        <v>390</v>
      </c>
      <c r="S349">
        <v>359</v>
      </c>
      <c r="T349" t="s">
        <v>326</v>
      </c>
      <c r="U349" t="s">
        <v>42</v>
      </c>
    </row>
    <row r="350" spans="1:21">
      <c r="A350" t="s">
        <v>616</v>
      </c>
      <c r="B350" t="s">
        <v>617</v>
      </c>
      <c r="C350" t="s">
        <v>54</v>
      </c>
      <c r="D350">
        <v>267000</v>
      </c>
      <c r="E350">
        <v>3000</v>
      </c>
      <c r="F350">
        <v>267000</v>
      </c>
      <c r="H350">
        <v>1</v>
      </c>
      <c r="I350" t="s">
        <v>585</v>
      </c>
      <c r="J350">
        <v>68.78</v>
      </c>
      <c r="K350">
        <v>0</v>
      </c>
      <c r="L350">
        <v>3</v>
      </c>
      <c r="M350" t="s">
        <v>25</v>
      </c>
      <c r="N350">
        <v>3</v>
      </c>
      <c r="O350">
        <v>11</v>
      </c>
      <c r="P350">
        <v>136411.03</v>
      </c>
      <c r="Q350">
        <v>232352.65</v>
      </c>
      <c r="R350">
        <v>390</v>
      </c>
      <c r="S350">
        <v>359</v>
      </c>
      <c r="T350" t="s">
        <v>593</v>
      </c>
      <c r="U350" t="s">
        <v>81</v>
      </c>
    </row>
    <row r="351" spans="1:21">
      <c r="A351" t="s">
        <v>618</v>
      </c>
      <c r="B351" t="s">
        <v>617</v>
      </c>
      <c r="C351" t="s">
        <v>54</v>
      </c>
      <c r="D351">
        <v>238000</v>
      </c>
      <c r="E351">
        <v>3000</v>
      </c>
      <c r="F351">
        <v>238000</v>
      </c>
      <c r="H351">
        <v>2</v>
      </c>
      <c r="I351" t="s">
        <v>585</v>
      </c>
      <c r="J351">
        <v>60.36</v>
      </c>
      <c r="K351">
        <v>0</v>
      </c>
      <c r="L351">
        <v>3</v>
      </c>
      <c r="M351" t="s">
        <v>25</v>
      </c>
      <c r="N351">
        <v>3</v>
      </c>
      <c r="O351">
        <v>11</v>
      </c>
      <c r="P351">
        <v>136411.03</v>
      </c>
      <c r="Q351">
        <v>232352.65</v>
      </c>
      <c r="R351">
        <v>390</v>
      </c>
      <c r="S351">
        <v>359</v>
      </c>
      <c r="T351" t="s">
        <v>593</v>
      </c>
      <c r="U351" t="s">
        <v>81</v>
      </c>
    </row>
    <row r="352" spans="1:21">
      <c r="A352" t="s">
        <v>619</v>
      </c>
      <c r="B352" t="s">
        <v>620</v>
      </c>
      <c r="C352" t="s">
        <v>37</v>
      </c>
      <c r="D352">
        <v>210000</v>
      </c>
      <c r="E352">
        <v>15000</v>
      </c>
      <c r="F352">
        <v>210000</v>
      </c>
      <c r="H352">
        <v>1</v>
      </c>
      <c r="I352" t="s">
        <v>585</v>
      </c>
      <c r="J352">
        <v>63</v>
      </c>
      <c r="K352">
        <v>36</v>
      </c>
      <c r="L352">
        <v>3</v>
      </c>
      <c r="M352" t="s">
        <v>25</v>
      </c>
      <c r="N352">
        <v>6</v>
      </c>
      <c r="O352">
        <v>10.67</v>
      </c>
      <c r="P352">
        <v>136411.03</v>
      </c>
      <c r="Q352">
        <v>232352.65</v>
      </c>
      <c r="R352">
        <v>390</v>
      </c>
      <c r="S352">
        <v>359</v>
      </c>
      <c r="T352" t="s">
        <v>593</v>
      </c>
      <c r="U352" t="s">
        <v>49</v>
      </c>
    </row>
    <row r="353" spans="1:21">
      <c r="A353" t="s">
        <v>621</v>
      </c>
      <c r="B353" t="s">
        <v>620</v>
      </c>
      <c r="C353" t="s">
        <v>37</v>
      </c>
      <c r="D353">
        <v>211000</v>
      </c>
      <c r="E353">
        <v>15000</v>
      </c>
      <c r="F353">
        <v>211000</v>
      </c>
      <c r="H353">
        <v>3</v>
      </c>
      <c r="I353" t="s">
        <v>585</v>
      </c>
      <c r="J353">
        <v>63</v>
      </c>
      <c r="K353">
        <v>36</v>
      </c>
      <c r="L353">
        <v>3</v>
      </c>
      <c r="M353" t="s">
        <v>25</v>
      </c>
      <c r="N353">
        <v>6</v>
      </c>
      <c r="O353">
        <v>10.67</v>
      </c>
      <c r="P353">
        <v>136411.03</v>
      </c>
      <c r="Q353">
        <v>232352.65</v>
      </c>
      <c r="R353">
        <v>390</v>
      </c>
      <c r="S353">
        <v>359</v>
      </c>
      <c r="T353" t="s">
        <v>593</v>
      </c>
      <c r="U353" t="s">
        <v>49</v>
      </c>
    </row>
    <row r="354" spans="1:21">
      <c r="A354" t="s">
        <v>622</v>
      </c>
      <c r="B354" t="s">
        <v>623</v>
      </c>
      <c r="C354" t="s">
        <v>54</v>
      </c>
      <c r="D354">
        <v>240000</v>
      </c>
      <c r="E354">
        <v>20000</v>
      </c>
      <c r="F354">
        <v>240000</v>
      </c>
      <c r="G354">
        <v>240000</v>
      </c>
      <c r="H354">
        <v>3</v>
      </c>
      <c r="I354" t="s">
        <v>585</v>
      </c>
      <c r="J354">
        <v>87.9</v>
      </c>
      <c r="K354">
        <v>40</v>
      </c>
      <c r="L354">
        <v>3</v>
      </c>
      <c r="M354" t="s">
        <v>25</v>
      </c>
      <c r="N354">
        <v>5</v>
      </c>
      <c r="O354">
        <v>11.33</v>
      </c>
      <c r="P354">
        <v>136411.03</v>
      </c>
      <c r="Q354">
        <v>232352.65</v>
      </c>
      <c r="R354">
        <v>390</v>
      </c>
      <c r="S354">
        <v>359</v>
      </c>
      <c r="T354" t="s">
        <v>413</v>
      </c>
      <c r="U354" t="s">
        <v>49</v>
      </c>
    </row>
    <row r="355" spans="1:21">
      <c r="A355" t="s">
        <v>624</v>
      </c>
      <c r="B355" t="s">
        <v>625</v>
      </c>
      <c r="C355" t="s">
        <v>30</v>
      </c>
      <c r="D355">
        <v>130000</v>
      </c>
      <c r="E355">
        <v>5000</v>
      </c>
      <c r="F355">
        <v>130000</v>
      </c>
      <c r="G355">
        <v>130000</v>
      </c>
      <c r="H355">
        <v>3</v>
      </c>
      <c r="I355" t="s">
        <v>585</v>
      </c>
      <c r="J355">
        <v>44.5</v>
      </c>
      <c r="K355">
        <v>46</v>
      </c>
      <c r="L355">
        <v>5</v>
      </c>
      <c r="M355" t="s">
        <v>25</v>
      </c>
      <c r="N355">
        <v>2</v>
      </c>
      <c r="O355">
        <v>8</v>
      </c>
      <c r="P355">
        <v>136411.03</v>
      </c>
      <c r="Q355">
        <v>232352.65</v>
      </c>
      <c r="R355">
        <v>390</v>
      </c>
      <c r="S355">
        <v>359</v>
      </c>
      <c r="T355" t="s">
        <v>326</v>
      </c>
      <c r="U355" t="s">
        <v>42</v>
      </c>
    </row>
    <row r="356" spans="1:21">
      <c r="A356" t="s">
        <v>626</v>
      </c>
      <c r="B356" t="s">
        <v>627</v>
      </c>
      <c r="C356" t="s">
        <v>54</v>
      </c>
      <c r="D356">
        <v>138000</v>
      </c>
      <c r="F356">
        <v>138000</v>
      </c>
      <c r="G356">
        <v>138000</v>
      </c>
      <c r="H356">
        <v>-1</v>
      </c>
      <c r="I356" t="s">
        <v>585</v>
      </c>
      <c r="J356">
        <v>40</v>
      </c>
      <c r="K356">
        <v>45</v>
      </c>
      <c r="L356">
        <v>2</v>
      </c>
      <c r="M356" t="s">
        <v>25</v>
      </c>
      <c r="N356">
        <v>3</v>
      </c>
      <c r="O356">
        <v>10.67</v>
      </c>
      <c r="P356">
        <v>136411.03</v>
      </c>
      <c r="Q356">
        <v>232352.65</v>
      </c>
      <c r="R356">
        <v>390</v>
      </c>
      <c r="S356">
        <v>359</v>
      </c>
      <c r="T356" t="s">
        <v>326</v>
      </c>
      <c r="U356" t="s">
        <v>42</v>
      </c>
    </row>
    <row r="357" spans="1:21">
      <c r="A357" t="s">
        <v>626</v>
      </c>
      <c r="B357" t="s">
        <v>627</v>
      </c>
      <c r="C357" t="s">
        <v>54</v>
      </c>
      <c r="D357">
        <v>138000</v>
      </c>
      <c r="F357">
        <v>138000</v>
      </c>
      <c r="G357">
        <v>138000</v>
      </c>
      <c r="H357">
        <v>0</v>
      </c>
      <c r="I357" t="s">
        <v>585</v>
      </c>
      <c r="J357">
        <v>40</v>
      </c>
      <c r="K357">
        <v>45</v>
      </c>
      <c r="L357">
        <v>2</v>
      </c>
      <c r="M357" t="s">
        <v>25</v>
      </c>
      <c r="N357">
        <v>3</v>
      </c>
      <c r="O357">
        <v>10.67</v>
      </c>
      <c r="P357">
        <v>136411.03</v>
      </c>
      <c r="Q357">
        <v>232352.65</v>
      </c>
      <c r="R357">
        <v>390</v>
      </c>
      <c r="S357">
        <v>359</v>
      </c>
      <c r="T357" t="s">
        <v>326</v>
      </c>
      <c r="U357" t="s">
        <v>42</v>
      </c>
    </row>
    <row r="358" spans="1:21">
      <c r="A358" t="s">
        <v>626</v>
      </c>
      <c r="B358" t="s">
        <v>627</v>
      </c>
      <c r="C358" t="s">
        <v>54</v>
      </c>
      <c r="D358">
        <v>138000</v>
      </c>
      <c r="F358">
        <v>138000</v>
      </c>
      <c r="G358">
        <v>138000</v>
      </c>
      <c r="H358">
        <v>1</v>
      </c>
      <c r="I358" t="s">
        <v>585</v>
      </c>
      <c r="J358">
        <v>40</v>
      </c>
      <c r="K358">
        <v>45</v>
      </c>
      <c r="L358">
        <v>2</v>
      </c>
      <c r="M358" t="s">
        <v>25</v>
      </c>
      <c r="N358">
        <v>3</v>
      </c>
      <c r="O358">
        <v>10.67</v>
      </c>
      <c r="P358">
        <v>136411.03</v>
      </c>
      <c r="Q358">
        <v>232352.65</v>
      </c>
      <c r="R358">
        <v>390</v>
      </c>
      <c r="S358">
        <v>359</v>
      </c>
      <c r="T358" t="s">
        <v>326</v>
      </c>
      <c r="U358" t="s">
        <v>42</v>
      </c>
    </row>
    <row r="359" spans="1:21">
      <c r="A359" t="s">
        <v>628</v>
      </c>
      <c r="B359" t="s">
        <v>629</v>
      </c>
      <c r="C359" t="s">
        <v>48</v>
      </c>
      <c r="D359">
        <v>248000</v>
      </c>
      <c r="F359">
        <v>496000</v>
      </c>
      <c r="G359">
        <v>248000</v>
      </c>
      <c r="H359">
        <v>1</v>
      </c>
      <c r="I359" t="s">
        <v>585</v>
      </c>
      <c r="J359">
        <v>63.38</v>
      </c>
      <c r="K359">
        <v>5</v>
      </c>
      <c r="L359">
        <v>3</v>
      </c>
      <c r="M359" t="s">
        <v>25</v>
      </c>
      <c r="N359">
        <v>7</v>
      </c>
      <c r="O359">
        <v>7.67</v>
      </c>
      <c r="P359">
        <v>136411.03</v>
      </c>
      <c r="Q359">
        <v>232352.65</v>
      </c>
      <c r="R359">
        <v>390</v>
      </c>
      <c r="S359">
        <v>359</v>
      </c>
      <c r="T359" t="s">
        <v>593</v>
      </c>
      <c r="U359" t="s">
        <v>31</v>
      </c>
    </row>
    <row r="360" spans="1:21">
      <c r="A360" t="s">
        <v>628</v>
      </c>
      <c r="B360" t="s">
        <v>629</v>
      </c>
      <c r="C360" t="s">
        <v>48</v>
      </c>
      <c r="D360">
        <v>248000</v>
      </c>
      <c r="F360">
        <v>496000</v>
      </c>
      <c r="G360">
        <v>248000</v>
      </c>
      <c r="H360">
        <v>2</v>
      </c>
      <c r="I360" t="s">
        <v>585</v>
      </c>
      <c r="J360">
        <v>63.38</v>
      </c>
      <c r="K360">
        <v>5</v>
      </c>
      <c r="L360">
        <v>3</v>
      </c>
      <c r="M360" t="s">
        <v>25</v>
      </c>
      <c r="N360">
        <v>7</v>
      </c>
      <c r="O360">
        <v>7.67</v>
      </c>
      <c r="P360">
        <v>136411.03</v>
      </c>
      <c r="Q360">
        <v>232352.65</v>
      </c>
      <c r="R360">
        <v>390</v>
      </c>
      <c r="S360">
        <v>359</v>
      </c>
      <c r="T360" t="s">
        <v>593</v>
      </c>
      <c r="U360" t="s">
        <v>31</v>
      </c>
    </row>
    <row r="361" spans="1:21">
      <c r="A361" t="s">
        <v>628</v>
      </c>
      <c r="B361" t="s">
        <v>629</v>
      </c>
      <c r="C361" t="s">
        <v>48</v>
      </c>
      <c r="D361">
        <v>248000</v>
      </c>
      <c r="F361">
        <v>496000</v>
      </c>
      <c r="G361">
        <v>248000</v>
      </c>
      <c r="H361">
        <v>3</v>
      </c>
      <c r="I361" t="s">
        <v>585</v>
      </c>
      <c r="J361">
        <v>63.38</v>
      </c>
      <c r="K361">
        <v>5</v>
      </c>
      <c r="L361">
        <v>3</v>
      </c>
      <c r="M361" t="s">
        <v>25</v>
      </c>
      <c r="N361">
        <v>7</v>
      </c>
      <c r="O361">
        <v>7.67</v>
      </c>
      <c r="P361">
        <v>136411.03</v>
      </c>
      <c r="Q361">
        <v>232352.65</v>
      </c>
      <c r="R361">
        <v>390</v>
      </c>
      <c r="S361">
        <v>359</v>
      </c>
      <c r="T361" t="s">
        <v>593</v>
      </c>
      <c r="U361" t="s">
        <v>31</v>
      </c>
    </row>
    <row r="362" spans="1:21">
      <c r="A362" t="s">
        <v>630</v>
      </c>
      <c r="B362" t="s">
        <v>631</v>
      </c>
      <c r="C362" t="s">
        <v>48</v>
      </c>
      <c r="D362">
        <v>220000</v>
      </c>
      <c r="F362">
        <v>220000</v>
      </c>
      <c r="G362">
        <v>220000</v>
      </c>
      <c r="H362">
        <v>2</v>
      </c>
      <c r="I362" t="s">
        <v>585</v>
      </c>
      <c r="J362">
        <v>63.09</v>
      </c>
      <c r="K362">
        <v>44</v>
      </c>
      <c r="L362">
        <v>2</v>
      </c>
      <c r="M362" t="s">
        <v>25</v>
      </c>
      <c r="N362">
        <v>3</v>
      </c>
      <c r="O362">
        <v>9.33</v>
      </c>
      <c r="P362">
        <v>136411.03</v>
      </c>
      <c r="Q362">
        <v>232352.65</v>
      </c>
      <c r="R362">
        <v>390</v>
      </c>
      <c r="S362">
        <v>359</v>
      </c>
      <c r="T362" t="s">
        <v>593</v>
      </c>
      <c r="U362" t="s">
        <v>42</v>
      </c>
    </row>
    <row r="363" spans="1:21">
      <c r="A363" t="s">
        <v>632</v>
      </c>
      <c r="B363" t="s">
        <v>83</v>
      </c>
      <c r="C363" t="s">
        <v>48</v>
      </c>
      <c r="D363">
        <v>235000</v>
      </c>
      <c r="E363">
        <v>15000</v>
      </c>
      <c r="H363">
        <v>1</v>
      </c>
      <c r="I363" t="s">
        <v>585</v>
      </c>
      <c r="J363">
        <v>49.64</v>
      </c>
      <c r="K363">
        <v>0</v>
      </c>
      <c r="L363">
        <v>5</v>
      </c>
      <c r="M363" t="s">
        <v>25</v>
      </c>
      <c r="N363">
        <v>6</v>
      </c>
      <c r="O363">
        <v>8</v>
      </c>
      <c r="P363">
        <v>136411.03</v>
      </c>
      <c r="Q363">
        <v>232352.65</v>
      </c>
      <c r="R363">
        <v>390</v>
      </c>
      <c r="S363">
        <v>359</v>
      </c>
      <c r="T363" t="s">
        <v>326</v>
      </c>
      <c r="U363" t="s">
        <v>81</v>
      </c>
    </row>
    <row r="364" spans="1:21">
      <c r="A364" t="s">
        <v>633</v>
      </c>
      <c r="B364" t="s">
        <v>83</v>
      </c>
      <c r="C364" t="s">
        <v>48</v>
      </c>
      <c r="D364">
        <v>240000</v>
      </c>
      <c r="E364">
        <v>15000</v>
      </c>
      <c r="H364">
        <v>1</v>
      </c>
      <c r="I364" t="s">
        <v>585</v>
      </c>
      <c r="J364">
        <v>50.79</v>
      </c>
      <c r="K364">
        <v>0</v>
      </c>
      <c r="L364">
        <v>5</v>
      </c>
      <c r="M364" t="s">
        <v>25</v>
      </c>
      <c r="N364">
        <v>6</v>
      </c>
      <c r="O364">
        <v>8</v>
      </c>
      <c r="P364">
        <v>136411.03</v>
      </c>
      <c r="Q364">
        <v>232352.65</v>
      </c>
      <c r="R364">
        <v>390</v>
      </c>
      <c r="S364">
        <v>359</v>
      </c>
      <c r="T364" t="s">
        <v>332</v>
      </c>
      <c r="U364" t="s">
        <v>81</v>
      </c>
    </row>
    <row r="365" spans="1:21">
      <c r="A365" t="s">
        <v>634</v>
      </c>
      <c r="B365" t="s">
        <v>83</v>
      </c>
      <c r="C365" t="s">
        <v>48</v>
      </c>
      <c r="D365">
        <v>250000</v>
      </c>
      <c r="E365">
        <v>15000</v>
      </c>
      <c r="H365">
        <v>1</v>
      </c>
      <c r="I365" t="s">
        <v>585</v>
      </c>
      <c r="J365">
        <v>53.43</v>
      </c>
      <c r="K365">
        <v>0</v>
      </c>
      <c r="L365">
        <v>5</v>
      </c>
      <c r="M365" t="s">
        <v>25</v>
      </c>
      <c r="N365">
        <v>6</v>
      </c>
      <c r="O365">
        <v>8</v>
      </c>
      <c r="P365">
        <v>136411.03</v>
      </c>
      <c r="Q365">
        <v>232352.65</v>
      </c>
      <c r="R365">
        <v>390</v>
      </c>
      <c r="S365">
        <v>359</v>
      </c>
      <c r="T365" t="s">
        <v>332</v>
      </c>
      <c r="U365" t="s">
        <v>81</v>
      </c>
    </row>
    <row r="366" spans="1:21">
      <c r="A366" t="s">
        <v>635</v>
      </c>
      <c r="B366" t="s">
        <v>85</v>
      </c>
      <c r="C366" t="s">
        <v>48</v>
      </c>
      <c r="D366">
        <v>235000</v>
      </c>
      <c r="E366">
        <v>15000</v>
      </c>
      <c r="H366">
        <v>1</v>
      </c>
      <c r="I366" t="s">
        <v>585</v>
      </c>
      <c r="J366">
        <v>49.64</v>
      </c>
      <c r="K366">
        <v>0</v>
      </c>
      <c r="L366">
        <v>5</v>
      </c>
      <c r="M366" t="s">
        <v>25</v>
      </c>
      <c r="N366">
        <v>6</v>
      </c>
      <c r="O366">
        <v>8</v>
      </c>
      <c r="P366">
        <v>136411.03</v>
      </c>
      <c r="Q366">
        <v>232352.65</v>
      </c>
      <c r="R366">
        <v>390</v>
      </c>
      <c r="S366">
        <v>359</v>
      </c>
      <c r="T366" t="s">
        <v>326</v>
      </c>
      <c r="U366" t="s">
        <v>81</v>
      </c>
    </row>
    <row r="367" spans="1:21">
      <c r="A367" t="s">
        <v>636</v>
      </c>
      <c r="B367" t="s">
        <v>85</v>
      </c>
      <c r="C367" t="s">
        <v>48</v>
      </c>
      <c r="D367">
        <v>240000</v>
      </c>
      <c r="E367">
        <v>15000</v>
      </c>
      <c r="H367">
        <v>1</v>
      </c>
      <c r="I367" t="s">
        <v>585</v>
      </c>
      <c r="J367">
        <v>50.79</v>
      </c>
      <c r="K367">
        <v>0</v>
      </c>
      <c r="L367">
        <v>5</v>
      </c>
      <c r="M367" t="s">
        <v>25</v>
      </c>
      <c r="N367">
        <v>6</v>
      </c>
      <c r="O367">
        <v>8</v>
      </c>
      <c r="P367">
        <v>136411.03</v>
      </c>
      <c r="Q367">
        <v>232352.65</v>
      </c>
      <c r="R367">
        <v>390</v>
      </c>
      <c r="S367">
        <v>359</v>
      </c>
      <c r="T367" t="s">
        <v>332</v>
      </c>
      <c r="U367" t="s">
        <v>81</v>
      </c>
    </row>
    <row r="368" spans="1:21">
      <c r="A368" t="s">
        <v>637</v>
      </c>
      <c r="B368" t="s">
        <v>85</v>
      </c>
      <c r="C368" t="s">
        <v>48</v>
      </c>
      <c r="D368">
        <v>250000</v>
      </c>
      <c r="E368">
        <v>15000</v>
      </c>
      <c r="H368">
        <v>1</v>
      </c>
      <c r="I368" t="s">
        <v>585</v>
      </c>
      <c r="J368">
        <v>53.43</v>
      </c>
      <c r="K368">
        <v>0</v>
      </c>
      <c r="L368">
        <v>5</v>
      </c>
      <c r="M368" t="s">
        <v>25</v>
      </c>
      <c r="N368">
        <v>6</v>
      </c>
      <c r="O368">
        <v>8</v>
      </c>
      <c r="P368">
        <v>136411.03</v>
      </c>
      <c r="Q368">
        <v>232352.65</v>
      </c>
      <c r="R368">
        <v>390</v>
      </c>
      <c r="S368">
        <v>359</v>
      </c>
      <c r="T368" t="s">
        <v>332</v>
      </c>
      <c r="U368" t="s">
        <v>81</v>
      </c>
    </row>
    <row r="369" spans="1:21">
      <c r="A369" t="s">
        <v>638</v>
      </c>
      <c r="B369" t="s">
        <v>375</v>
      </c>
      <c r="C369" t="s">
        <v>37</v>
      </c>
      <c r="D369">
        <v>145000</v>
      </c>
      <c r="E369">
        <v>15000</v>
      </c>
      <c r="H369">
        <v>2</v>
      </c>
      <c r="I369" t="s">
        <v>639</v>
      </c>
      <c r="J369">
        <v>28.41</v>
      </c>
      <c r="K369">
        <v>4</v>
      </c>
      <c r="L369">
        <v>4</v>
      </c>
      <c r="M369" t="s">
        <v>25</v>
      </c>
      <c r="N369">
        <v>4</v>
      </c>
      <c r="O369">
        <v>10.67</v>
      </c>
      <c r="P369">
        <v>136411.03</v>
      </c>
      <c r="Q369">
        <v>145000</v>
      </c>
      <c r="R369">
        <v>390</v>
      </c>
      <c r="S369">
        <v>2</v>
      </c>
      <c r="T369" t="s">
        <v>34</v>
      </c>
      <c r="U369" t="s">
        <v>31</v>
      </c>
    </row>
    <row r="370" spans="1:21">
      <c r="A370" t="s">
        <v>640</v>
      </c>
      <c r="B370" t="s">
        <v>410</v>
      </c>
      <c r="C370" t="s">
        <v>37</v>
      </c>
      <c r="D370">
        <v>145000</v>
      </c>
      <c r="E370">
        <v>15000</v>
      </c>
      <c r="H370">
        <v>2</v>
      </c>
      <c r="I370" t="s">
        <v>639</v>
      </c>
      <c r="J370">
        <v>28.41</v>
      </c>
      <c r="K370">
        <v>4</v>
      </c>
      <c r="L370">
        <v>4</v>
      </c>
      <c r="M370" t="s">
        <v>25</v>
      </c>
      <c r="N370">
        <v>4</v>
      </c>
      <c r="O370">
        <v>11</v>
      </c>
      <c r="P370">
        <v>136411.03</v>
      </c>
      <c r="Q370">
        <v>145000</v>
      </c>
      <c r="R370">
        <v>390</v>
      </c>
      <c r="S370">
        <v>2</v>
      </c>
      <c r="T370" t="s">
        <v>34</v>
      </c>
      <c r="U370" t="s">
        <v>31</v>
      </c>
    </row>
    <row r="371" spans="1:21">
      <c r="A371" t="s">
        <v>641</v>
      </c>
      <c r="B371" t="s">
        <v>605</v>
      </c>
      <c r="C371" t="s">
        <v>37</v>
      </c>
      <c r="D371">
        <v>212000</v>
      </c>
      <c r="E371">
        <v>15000</v>
      </c>
      <c r="F371">
        <v>212000</v>
      </c>
      <c r="H371">
        <v>2</v>
      </c>
      <c r="I371" t="s">
        <v>642</v>
      </c>
      <c r="J371">
        <v>63</v>
      </c>
      <c r="K371">
        <v>37</v>
      </c>
      <c r="L371">
        <v>3</v>
      </c>
      <c r="M371" t="s">
        <v>25</v>
      </c>
      <c r="N371">
        <v>6</v>
      </c>
      <c r="O371">
        <v>10.67</v>
      </c>
      <c r="P371">
        <v>136411.03</v>
      </c>
      <c r="Q371">
        <v>282153.84999999998</v>
      </c>
      <c r="R371">
        <v>390</v>
      </c>
      <c r="S371">
        <v>26</v>
      </c>
      <c r="T371" t="s">
        <v>593</v>
      </c>
      <c r="U371" t="s">
        <v>49</v>
      </c>
    </row>
    <row r="372" spans="1:21">
      <c r="A372" t="s">
        <v>643</v>
      </c>
      <c r="B372" t="s">
        <v>609</v>
      </c>
      <c r="C372" t="s">
        <v>37</v>
      </c>
      <c r="D372">
        <v>214000</v>
      </c>
      <c r="E372">
        <v>15000</v>
      </c>
      <c r="F372">
        <v>214000</v>
      </c>
      <c r="H372">
        <v>1</v>
      </c>
      <c r="I372" t="s">
        <v>642</v>
      </c>
      <c r="J372">
        <v>65.75</v>
      </c>
      <c r="K372">
        <v>37</v>
      </c>
      <c r="L372">
        <v>3</v>
      </c>
      <c r="M372" t="s">
        <v>25</v>
      </c>
      <c r="N372">
        <v>8</v>
      </c>
      <c r="O372">
        <v>10.33</v>
      </c>
      <c r="P372">
        <v>136411.03</v>
      </c>
      <c r="Q372">
        <v>282153.84999999998</v>
      </c>
      <c r="R372">
        <v>390</v>
      </c>
      <c r="S372">
        <v>26</v>
      </c>
      <c r="T372" t="s">
        <v>593</v>
      </c>
      <c r="U372" t="s">
        <v>49</v>
      </c>
    </row>
    <row r="373" spans="1:21">
      <c r="A373" t="s">
        <v>644</v>
      </c>
      <c r="B373" t="s">
        <v>620</v>
      </c>
      <c r="C373" t="s">
        <v>37</v>
      </c>
      <c r="D373">
        <v>214000</v>
      </c>
      <c r="E373">
        <v>15000</v>
      </c>
      <c r="F373">
        <v>214000</v>
      </c>
      <c r="H373">
        <v>1</v>
      </c>
      <c r="I373" t="s">
        <v>642</v>
      </c>
      <c r="J373">
        <v>66.650000000000006</v>
      </c>
      <c r="K373">
        <v>36</v>
      </c>
      <c r="L373">
        <v>3</v>
      </c>
      <c r="M373" t="s">
        <v>25</v>
      </c>
      <c r="N373">
        <v>6</v>
      </c>
      <c r="O373">
        <v>10.67</v>
      </c>
      <c r="P373">
        <v>136411.03</v>
      </c>
      <c r="Q373">
        <v>282153.84999999998</v>
      </c>
      <c r="R373">
        <v>390</v>
      </c>
      <c r="S373">
        <v>26</v>
      </c>
      <c r="T373" t="s">
        <v>593</v>
      </c>
      <c r="U373" t="s">
        <v>49</v>
      </c>
    </row>
    <row r="374" spans="1:21">
      <c r="A374" t="s">
        <v>645</v>
      </c>
      <c r="B374" t="s">
        <v>646</v>
      </c>
      <c r="C374" t="s">
        <v>54</v>
      </c>
      <c r="D374">
        <v>242000</v>
      </c>
      <c r="E374">
        <v>10000</v>
      </c>
      <c r="H374">
        <v>2</v>
      </c>
      <c r="I374" t="s">
        <v>647</v>
      </c>
      <c r="J374">
        <v>54.65</v>
      </c>
      <c r="K374">
        <v>2</v>
      </c>
      <c r="L374">
        <v>3</v>
      </c>
      <c r="M374" t="s">
        <v>25</v>
      </c>
      <c r="N374">
        <v>8</v>
      </c>
      <c r="O374">
        <v>12.67</v>
      </c>
      <c r="P374">
        <v>136411.03</v>
      </c>
      <c r="Q374">
        <v>184333.33</v>
      </c>
      <c r="R374">
        <v>390</v>
      </c>
      <c r="S374">
        <v>18</v>
      </c>
      <c r="T374" t="s">
        <v>332</v>
      </c>
      <c r="U374" t="s">
        <v>31</v>
      </c>
    </row>
    <row r="375" spans="1:21">
      <c r="A375" t="s">
        <v>648</v>
      </c>
      <c r="B375" t="s">
        <v>649</v>
      </c>
      <c r="C375" t="s">
        <v>54</v>
      </c>
      <c r="D375">
        <v>242000</v>
      </c>
      <c r="E375">
        <v>10000</v>
      </c>
      <c r="H375">
        <v>2</v>
      </c>
      <c r="I375" t="s">
        <v>647</v>
      </c>
      <c r="J375">
        <v>54.65</v>
      </c>
      <c r="K375">
        <v>2</v>
      </c>
      <c r="L375">
        <v>3</v>
      </c>
      <c r="M375" t="s">
        <v>25</v>
      </c>
      <c r="N375">
        <v>8</v>
      </c>
      <c r="O375">
        <v>12.33</v>
      </c>
      <c r="P375">
        <v>136411.03</v>
      </c>
      <c r="Q375">
        <v>184333.33</v>
      </c>
      <c r="R375">
        <v>390</v>
      </c>
      <c r="S375">
        <v>18</v>
      </c>
      <c r="T375" t="s">
        <v>332</v>
      </c>
      <c r="U375" t="s">
        <v>31</v>
      </c>
    </row>
    <row r="376" spans="1:21">
      <c r="A376" t="s">
        <v>650</v>
      </c>
      <c r="B376" t="s">
        <v>651</v>
      </c>
      <c r="C376" t="s">
        <v>37</v>
      </c>
      <c r="D376">
        <v>200000</v>
      </c>
      <c r="F376">
        <v>200000</v>
      </c>
      <c r="G376">
        <v>200000</v>
      </c>
      <c r="H376">
        <v>1</v>
      </c>
      <c r="I376" t="s">
        <v>652</v>
      </c>
      <c r="J376">
        <v>41.09</v>
      </c>
      <c r="K376">
        <v>42</v>
      </c>
      <c r="L376">
        <v>2</v>
      </c>
      <c r="M376" t="s">
        <v>25</v>
      </c>
      <c r="N376">
        <v>9</v>
      </c>
      <c r="O376">
        <v>12</v>
      </c>
      <c r="P376">
        <v>136411.03</v>
      </c>
      <c r="Q376">
        <v>163600</v>
      </c>
      <c r="R376">
        <v>390</v>
      </c>
      <c r="S376">
        <v>5</v>
      </c>
      <c r="T376" t="s">
        <v>326</v>
      </c>
      <c r="U376" t="s">
        <v>42</v>
      </c>
    </row>
    <row r="377" spans="1:21">
      <c r="A377" t="s">
        <v>650</v>
      </c>
      <c r="B377" t="s">
        <v>651</v>
      </c>
      <c r="C377" t="s">
        <v>37</v>
      </c>
      <c r="D377">
        <v>200000</v>
      </c>
      <c r="F377">
        <v>200000</v>
      </c>
      <c r="G377">
        <v>200000</v>
      </c>
      <c r="H377">
        <v>2</v>
      </c>
      <c r="I377" t="s">
        <v>652</v>
      </c>
      <c r="J377">
        <v>41.09</v>
      </c>
      <c r="K377">
        <v>42</v>
      </c>
      <c r="L377">
        <v>2</v>
      </c>
      <c r="M377" t="s">
        <v>25</v>
      </c>
      <c r="N377">
        <v>9</v>
      </c>
      <c r="O377">
        <v>12</v>
      </c>
      <c r="P377">
        <v>136411.03</v>
      </c>
      <c r="Q377">
        <v>163600</v>
      </c>
      <c r="R377">
        <v>390</v>
      </c>
      <c r="S377">
        <v>5</v>
      </c>
      <c r="T377" t="s">
        <v>326</v>
      </c>
      <c r="U377" t="s">
        <v>42</v>
      </c>
    </row>
    <row r="378" spans="1:21">
      <c r="A378" t="s">
        <v>653</v>
      </c>
      <c r="B378" t="s">
        <v>331</v>
      </c>
      <c r="C378" t="s">
        <v>37</v>
      </c>
      <c r="D378">
        <v>278000</v>
      </c>
      <c r="E378">
        <v>12500</v>
      </c>
      <c r="F378">
        <v>278000</v>
      </c>
      <c r="G378">
        <v>556000</v>
      </c>
      <c r="H378">
        <v>2</v>
      </c>
      <c r="I378" t="s">
        <v>654</v>
      </c>
      <c r="J378">
        <v>68.75</v>
      </c>
      <c r="K378">
        <v>0</v>
      </c>
      <c r="L378">
        <v>3</v>
      </c>
      <c r="M378" t="s">
        <v>25</v>
      </c>
      <c r="N378">
        <v>10</v>
      </c>
      <c r="O378">
        <v>10</v>
      </c>
      <c r="P378">
        <v>136411.03</v>
      </c>
      <c r="Q378">
        <v>288705.81</v>
      </c>
      <c r="R378">
        <v>390</v>
      </c>
      <c r="S378">
        <v>155</v>
      </c>
      <c r="T378" t="s">
        <v>593</v>
      </c>
      <c r="U378" t="s">
        <v>81</v>
      </c>
    </row>
    <row r="379" spans="1:21">
      <c r="A379" t="s">
        <v>655</v>
      </c>
      <c r="B379" t="s">
        <v>331</v>
      </c>
      <c r="C379" t="s">
        <v>37</v>
      </c>
      <c r="D379">
        <v>281000</v>
      </c>
      <c r="E379">
        <v>12500</v>
      </c>
      <c r="F379">
        <v>281000</v>
      </c>
      <c r="G379">
        <v>562000</v>
      </c>
      <c r="H379">
        <v>3</v>
      </c>
      <c r="I379" t="s">
        <v>654</v>
      </c>
      <c r="J379">
        <v>66.849999999999994</v>
      </c>
      <c r="K379">
        <v>0</v>
      </c>
      <c r="L379">
        <v>3</v>
      </c>
      <c r="M379" t="s">
        <v>25</v>
      </c>
      <c r="N379">
        <v>10</v>
      </c>
      <c r="O379">
        <v>10</v>
      </c>
      <c r="P379">
        <v>136411.03</v>
      </c>
      <c r="Q379">
        <v>288705.81</v>
      </c>
      <c r="R379">
        <v>390</v>
      </c>
      <c r="S379">
        <v>155</v>
      </c>
      <c r="T379" t="s">
        <v>593</v>
      </c>
      <c r="U379" t="s">
        <v>81</v>
      </c>
    </row>
    <row r="380" spans="1:21">
      <c r="A380" t="s">
        <v>656</v>
      </c>
      <c r="B380" t="s">
        <v>657</v>
      </c>
      <c r="C380" t="s">
        <v>54</v>
      </c>
      <c r="D380">
        <v>430000</v>
      </c>
      <c r="E380">
        <v>10000</v>
      </c>
      <c r="F380">
        <v>430000</v>
      </c>
      <c r="G380">
        <v>430000</v>
      </c>
      <c r="H380">
        <v>1</v>
      </c>
      <c r="I380" t="s">
        <v>654</v>
      </c>
      <c r="J380">
        <v>105.71</v>
      </c>
      <c r="K380">
        <v>0</v>
      </c>
      <c r="L380">
        <v>2</v>
      </c>
      <c r="M380" t="s">
        <v>25</v>
      </c>
      <c r="N380">
        <v>7</v>
      </c>
      <c r="O380">
        <v>13</v>
      </c>
      <c r="P380">
        <v>136411.03</v>
      </c>
      <c r="Q380">
        <v>288705.81</v>
      </c>
      <c r="R380">
        <v>390</v>
      </c>
      <c r="S380">
        <v>155</v>
      </c>
      <c r="T380" t="s">
        <v>658</v>
      </c>
      <c r="U380" t="s">
        <v>81</v>
      </c>
    </row>
    <row r="381" spans="1:21">
      <c r="A381" t="s">
        <v>656</v>
      </c>
      <c r="B381" t="s">
        <v>657</v>
      </c>
      <c r="C381" t="s">
        <v>54</v>
      </c>
      <c r="D381">
        <v>430000</v>
      </c>
      <c r="E381">
        <v>10000</v>
      </c>
      <c r="F381">
        <v>430000</v>
      </c>
      <c r="G381">
        <v>430000</v>
      </c>
      <c r="H381">
        <v>2</v>
      </c>
      <c r="I381" t="s">
        <v>654</v>
      </c>
      <c r="J381">
        <v>105.71</v>
      </c>
      <c r="K381">
        <v>0</v>
      </c>
      <c r="L381">
        <v>2</v>
      </c>
      <c r="M381" t="s">
        <v>25</v>
      </c>
      <c r="N381">
        <v>7</v>
      </c>
      <c r="O381">
        <v>13</v>
      </c>
      <c r="P381">
        <v>136411.03</v>
      </c>
      <c r="Q381">
        <v>288705.81</v>
      </c>
      <c r="R381">
        <v>390</v>
      </c>
      <c r="S381">
        <v>155</v>
      </c>
      <c r="T381" t="s">
        <v>658</v>
      </c>
      <c r="U381" t="s">
        <v>81</v>
      </c>
    </row>
    <row r="382" spans="1:21">
      <c r="A382" t="s">
        <v>659</v>
      </c>
      <c r="B382" t="s">
        <v>657</v>
      </c>
      <c r="C382" t="s">
        <v>54</v>
      </c>
      <c r="D382">
        <v>320000</v>
      </c>
      <c r="E382">
        <v>10000</v>
      </c>
      <c r="F382">
        <v>320000</v>
      </c>
      <c r="G382">
        <v>320000</v>
      </c>
      <c r="H382">
        <v>1</v>
      </c>
      <c r="I382" t="s">
        <v>654</v>
      </c>
      <c r="J382">
        <v>83.27</v>
      </c>
      <c r="K382">
        <v>0</v>
      </c>
      <c r="L382">
        <v>2</v>
      </c>
      <c r="M382" t="s">
        <v>25</v>
      </c>
      <c r="N382">
        <v>7</v>
      </c>
      <c r="O382">
        <v>13</v>
      </c>
      <c r="P382">
        <v>136411.03</v>
      </c>
      <c r="Q382">
        <v>288705.81</v>
      </c>
      <c r="R382">
        <v>390</v>
      </c>
      <c r="S382">
        <v>155</v>
      </c>
      <c r="T382" t="s">
        <v>413</v>
      </c>
      <c r="U382" t="s">
        <v>81</v>
      </c>
    </row>
    <row r="383" spans="1:21">
      <c r="A383" t="s">
        <v>659</v>
      </c>
      <c r="B383" t="s">
        <v>657</v>
      </c>
      <c r="C383" t="s">
        <v>54</v>
      </c>
      <c r="D383">
        <v>320000</v>
      </c>
      <c r="E383">
        <v>10000</v>
      </c>
      <c r="F383">
        <v>320000</v>
      </c>
      <c r="G383">
        <v>320000</v>
      </c>
      <c r="H383">
        <v>2</v>
      </c>
      <c r="I383" t="s">
        <v>654</v>
      </c>
      <c r="J383">
        <v>83.27</v>
      </c>
      <c r="K383">
        <v>0</v>
      </c>
      <c r="L383">
        <v>2</v>
      </c>
      <c r="M383" t="s">
        <v>25</v>
      </c>
      <c r="N383">
        <v>7</v>
      </c>
      <c r="O383">
        <v>13</v>
      </c>
      <c r="P383">
        <v>136411.03</v>
      </c>
      <c r="Q383">
        <v>288705.81</v>
      </c>
      <c r="R383">
        <v>390</v>
      </c>
      <c r="S383">
        <v>155</v>
      </c>
      <c r="T383" t="s">
        <v>413</v>
      </c>
      <c r="U383" t="s">
        <v>81</v>
      </c>
    </row>
    <row r="384" spans="1:21">
      <c r="A384" t="s">
        <v>660</v>
      </c>
      <c r="B384" t="s">
        <v>657</v>
      </c>
      <c r="C384" t="s">
        <v>54</v>
      </c>
      <c r="D384">
        <v>320000</v>
      </c>
      <c r="E384">
        <v>10000</v>
      </c>
      <c r="F384">
        <v>320000</v>
      </c>
      <c r="G384">
        <v>320000</v>
      </c>
      <c r="H384">
        <v>1</v>
      </c>
      <c r="I384" t="s">
        <v>654</v>
      </c>
      <c r="J384">
        <v>84.7</v>
      </c>
      <c r="K384">
        <v>0</v>
      </c>
      <c r="L384">
        <v>2</v>
      </c>
      <c r="M384" t="s">
        <v>25</v>
      </c>
      <c r="N384">
        <v>7</v>
      </c>
      <c r="O384">
        <v>13</v>
      </c>
      <c r="P384">
        <v>136411.03</v>
      </c>
      <c r="Q384">
        <v>288705.81</v>
      </c>
      <c r="R384">
        <v>390</v>
      </c>
      <c r="S384">
        <v>155</v>
      </c>
      <c r="T384" t="s">
        <v>413</v>
      </c>
      <c r="U384" t="s">
        <v>81</v>
      </c>
    </row>
    <row r="385" spans="1:21">
      <c r="A385" t="s">
        <v>660</v>
      </c>
      <c r="B385" t="s">
        <v>657</v>
      </c>
      <c r="C385" t="s">
        <v>54</v>
      </c>
      <c r="D385">
        <v>320000</v>
      </c>
      <c r="E385">
        <v>10000</v>
      </c>
      <c r="F385">
        <v>320000</v>
      </c>
      <c r="G385">
        <v>320000</v>
      </c>
      <c r="H385">
        <v>2</v>
      </c>
      <c r="I385" t="s">
        <v>654</v>
      </c>
      <c r="J385">
        <v>84.7</v>
      </c>
      <c r="K385">
        <v>0</v>
      </c>
      <c r="L385">
        <v>2</v>
      </c>
      <c r="M385" t="s">
        <v>25</v>
      </c>
      <c r="N385">
        <v>7</v>
      </c>
      <c r="O385">
        <v>13</v>
      </c>
      <c r="P385">
        <v>136411.03</v>
      </c>
      <c r="Q385">
        <v>288705.81</v>
      </c>
      <c r="R385">
        <v>390</v>
      </c>
      <c r="S385">
        <v>155</v>
      </c>
      <c r="T385" t="s">
        <v>413</v>
      </c>
      <c r="U385" t="s">
        <v>81</v>
      </c>
    </row>
    <row r="386" spans="1:21">
      <c r="A386" t="s">
        <v>661</v>
      </c>
      <c r="B386" t="s">
        <v>657</v>
      </c>
      <c r="C386" t="s">
        <v>54</v>
      </c>
      <c r="D386">
        <v>320000</v>
      </c>
      <c r="E386">
        <v>10000</v>
      </c>
      <c r="F386">
        <v>320000</v>
      </c>
      <c r="G386">
        <v>320000</v>
      </c>
      <c r="H386">
        <v>1</v>
      </c>
      <c r="I386" t="s">
        <v>654</v>
      </c>
      <c r="J386">
        <v>85.06</v>
      </c>
      <c r="K386">
        <v>0</v>
      </c>
      <c r="L386">
        <v>2</v>
      </c>
      <c r="M386" t="s">
        <v>25</v>
      </c>
      <c r="N386">
        <v>7</v>
      </c>
      <c r="O386">
        <v>13</v>
      </c>
      <c r="P386">
        <v>136411.03</v>
      </c>
      <c r="Q386">
        <v>288705.81</v>
      </c>
      <c r="R386">
        <v>390</v>
      </c>
      <c r="S386">
        <v>155</v>
      </c>
      <c r="T386" t="s">
        <v>413</v>
      </c>
      <c r="U386" t="s">
        <v>81</v>
      </c>
    </row>
    <row r="387" spans="1:21">
      <c r="A387" t="s">
        <v>661</v>
      </c>
      <c r="B387" t="s">
        <v>657</v>
      </c>
      <c r="C387" t="s">
        <v>54</v>
      </c>
      <c r="D387">
        <v>320000</v>
      </c>
      <c r="E387">
        <v>10000</v>
      </c>
      <c r="F387">
        <v>320000</v>
      </c>
      <c r="G387">
        <v>320000</v>
      </c>
      <c r="H387">
        <v>2</v>
      </c>
      <c r="I387" t="s">
        <v>654</v>
      </c>
      <c r="J387">
        <v>85.06</v>
      </c>
      <c r="K387">
        <v>0</v>
      </c>
      <c r="L387">
        <v>2</v>
      </c>
      <c r="M387" t="s">
        <v>25</v>
      </c>
      <c r="N387">
        <v>7</v>
      </c>
      <c r="O387">
        <v>13</v>
      </c>
      <c r="P387">
        <v>136411.03</v>
      </c>
      <c r="Q387">
        <v>288705.81</v>
      </c>
      <c r="R387">
        <v>390</v>
      </c>
      <c r="S387">
        <v>155</v>
      </c>
      <c r="T387" t="s">
        <v>413</v>
      </c>
      <c r="U387" t="s">
        <v>81</v>
      </c>
    </row>
    <row r="388" spans="1:21">
      <c r="A388" t="s">
        <v>662</v>
      </c>
      <c r="B388" t="s">
        <v>605</v>
      </c>
      <c r="C388" t="s">
        <v>37</v>
      </c>
      <c r="D388">
        <v>214000</v>
      </c>
      <c r="E388">
        <v>15000</v>
      </c>
      <c r="F388">
        <v>214000</v>
      </c>
      <c r="H388">
        <v>1</v>
      </c>
      <c r="I388" t="s">
        <v>654</v>
      </c>
      <c r="J388">
        <v>66.650000000000006</v>
      </c>
      <c r="K388">
        <v>37</v>
      </c>
      <c r="L388">
        <v>3</v>
      </c>
      <c r="M388" t="s">
        <v>25</v>
      </c>
      <c r="N388">
        <v>6</v>
      </c>
      <c r="O388">
        <v>10.67</v>
      </c>
      <c r="P388">
        <v>136411.03</v>
      </c>
      <c r="Q388">
        <v>288705.81</v>
      </c>
      <c r="R388">
        <v>390</v>
      </c>
      <c r="S388">
        <v>155</v>
      </c>
      <c r="T388" t="s">
        <v>593</v>
      </c>
      <c r="U388" t="s">
        <v>49</v>
      </c>
    </row>
    <row r="389" spans="1:21">
      <c r="A389" t="s">
        <v>663</v>
      </c>
      <c r="B389" t="s">
        <v>605</v>
      </c>
      <c r="C389" t="s">
        <v>37</v>
      </c>
      <c r="D389">
        <v>214000</v>
      </c>
      <c r="E389">
        <v>15000</v>
      </c>
      <c r="F389">
        <v>214000</v>
      </c>
      <c r="H389">
        <v>2</v>
      </c>
      <c r="I389" t="s">
        <v>654</v>
      </c>
      <c r="J389">
        <v>66.650000000000006</v>
      </c>
      <c r="K389">
        <v>37</v>
      </c>
      <c r="L389">
        <v>3</v>
      </c>
      <c r="M389" t="s">
        <v>25</v>
      </c>
      <c r="N389">
        <v>6</v>
      </c>
      <c r="O389">
        <v>10.67</v>
      </c>
      <c r="P389">
        <v>136411.03</v>
      </c>
      <c r="Q389">
        <v>288705.81</v>
      </c>
      <c r="R389">
        <v>390</v>
      </c>
      <c r="S389">
        <v>155</v>
      </c>
      <c r="T389" t="s">
        <v>593</v>
      </c>
      <c r="U389" t="s">
        <v>49</v>
      </c>
    </row>
    <row r="390" spans="1:21">
      <c r="A390" t="s">
        <v>664</v>
      </c>
      <c r="B390" t="s">
        <v>607</v>
      </c>
      <c r="C390" t="s">
        <v>37</v>
      </c>
      <c r="D390">
        <v>210000</v>
      </c>
      <c r="E390">
        <v>15000</v>
      </c>
      <c r="F390">
        <v>210000</v>
      </c>
      <c r="H390">
        <v>1</v>
      </c>
      <c r="I390" t="s">
        <v>654</v>
      </c>
      <c r="J390">
        <v>63</v>
      </c>
      <c r="K390">
        <v>37</v>
      </c>
      <c r="L390">
        <v>3</v>
      </c>
      <c r="M390" t="s">
        <v>25</v>
      </c>
      <c r="N390">
        <v>6</v>
      </c>
      <c r="O390">
        <v>8.5</v>
      </c>
      <c r="P390">
        <v>136411.03</v>
      </c>
      <c r="Q390">
        <v>288705.81</v>
      </c>
      <c r="R390">
        <v>390</v>
      </c>
      <c r="S390">
        <v>155</v>
      </c>
      <c r="T390" t="s">
        <v>593</v>
      </c>
      <c r="U390" t="s">
        <v>49</v>
      </c>
    </row>
    <row r="391" spans="1:21">
      <c r="A391" t="s">
        <v>665</v>
      </c>
      <c r="B391" t="s">
        <v>607</v>
      </c>
      <c r="C391" t="s">
        <v>37</v>
      </c>
      <c r="D391">
        <v>211000</v>
      </c>
      <c r="E391">
        <v>15000</v>
      </c>
      <c r="F391">
        <v>211000</v>
      </c>
      <c r="H391">
        <v>3</v>
      </c>
      <c r="I391" t="s">
        <v>654</v>
      </c>
      <c r="J391">
        <v>63</v>
      </c>
      <c r="K391">
        <v>37</v>
      </c>
      <c r="L391">
        <v>3</v>
      </c>
      <c r="M391" t="s">
        <v>25</v>
      </c>
      <c r="N391">
        <v>6</v>
      </c>
      <c r="O391">
        <v>8.5</v>
      </c>
      <c r="P391">
        <v>136411.03</v>
      </c>
      <c r="Q391">
        <v>288705.81</v>
      </c>
      <c r="R391">
        <v>390</v>
      </c>
      <c r="S391">
        <v>155</v>
      </c>
      <c r="T391" t="s">
        <v>593</v>
      </c>
      <c r="U391" t="s">
        <v>49</v>
      </c>
    </row>
    <row r="392" spans="1:21">
      <c r="A392" t="s">
        <v>666</v>
      </c>
      <c r="B392" t="s">
        <v>667</v>
      </c>
      <c r="C392" t="s">
        <v>37</v>
      </c>
      <c r="D392">
        <v>211000</v>
      </c>
      <c r="E392">
        <v>15000</v>
      </c>
      <c r="F392">
        <v>211000</v>
      </c>
      <c r="H392">
        <v>3</v>
      </c>
      <c r="I392" t="s">
        <v>654</v>
      </c>
      <c r="J392">
        <v>63</v>
      </c>
      <c r="K392">
        <v>37</v>
      </c>
      <c r="L392">
        <v>3</v>
      </c>
      <c r="M392" t="s">
        <v>25</v>
      </c>
      <c r="N392">
        <v>7</v>
      </c>
      <c r="O392">
        <v>11.33</v>
      </c>
      <c r="P392">
        <v>136411.03</v>
      </c>
      <c r="Q392">
        <v>288705.81</v>
      </c>
      <c r="R392">
        <v>390</v>
      </c>
      <c r="S392">
        <v>155</v>
      </c>
      <c r="T392" t="s">
        <v>593</v>
      </c>
      <c r="U392" t="s">
        <v>49</v>
      </c>
    </row>
    <row r="393" spans="1:21">
      <c r="A393" t="s">
        <v>668</v>
      </c>
      <c r="B393" t="s">
        <v>609</v>
      </c>
      <c r="C393" t="s">
        <v>37</v>
      </c>
      <c r="D393">
        <v>214000</v>
      </c>
      <c r="E393">
        <v>15000</v>
      </c>
      <c r="F393">
        <v>214000</v>
      </c>
      <c r="H393">
        <v>1</v>
      </c>
      <c r="I393" t="s">
        <v>654</v>
      </c>
      <c r="J393">
        <v>66.650000000000006</v>
      </c>
      <c r="K393">
        <v>37</v>
      </c>
      <c r="L393">
        <v>3</v>
      </c>
      <c r="M393" t="s">
        <v>25</v>
      </c>
      <c r="N393">
        <v>8</v>
      </c>
      <c r="O393">
        <v>10.33</v>
      </c>
      <c r="P393">
        <v>136411.03</v>
      </c>
      <c r="Q393">
        <v>288705.81</v>
      </c>
      <c r="R393">
        <v>390</v>
      </c>
      <c r="S393">
        <v>155</v>
      </c>
      <c r="T393" t="s">
        <v>593</v>
      </c>
      <c r="U393" t="s">
        <v>49</v>
      </c>
    </row>
    <row r="394" spans="1:21">
      <c r="A394" t="s">
        <v>669</v>
      </c>
      <c r="B394" t="s">
        <v>609</v>
      </c>
      <c r="C394" t="s">
        <v>37</v>
      </c>
      <c r="D394">
        <v>214000</v>
      </c>
      <c r="E394">
        <v>15000</v>
      </c>
      <c r="F394">
        <v>214000</v>
      </c>
      <c r="H394">
        <v>2</v>
      </c>
      <c r="I394" t="s">
        <v>654</v>
      </c>
      <c r="J394">
        <v>66.650000000000006</v>
      </c>
      <c r="K394">
        <v>37</v>
      </c>
      <c r="L394">
        <v>3</v>
      </c>
      <c r="M394" t="s">
        <v>25</v>
      </c>
      <c r="N394">
        <v>8</v>
      </c>
      <c r="O394">
        <v>10.33</v>
      </c>
      <c r="P394">
        <v>136411.03</v>
      </c>
      <c r="Q394">
        <v>288705.81</v>
      </c>
      <c r="R394">
        <v>390</v>
      </c>
      <c r="S394">
        <v>155</v>
      </c>
      <c r="T394" t="s">
        <v>593</v>
      </c>
      <c r="U394" t="s">
        <v>49</v>
      </c>
    </row>
    <row r="395" spans="1:21">
      <c r="A395" t="s">
        <v>670</v>
      </c>
      <c r="B395" t="s">
        <v>609</v>
      </c>
      <c r="C395" t="s">
        <v>37</v>
      </c>
      <c r="D395">
        <v>215000</v>
      </c>
      <c r="E395">
        <v>15000</v>
      </c>
      <c r="F395">
        <v>215000</v>
      </c>
      <c r="H395">
        <v>3</v>
      </c>
      <c r="I395" t="s">
        <v>654</v>
      </c>
      <c r="J395">
        <v>66.650000000000006</v>
      </c>
      <c r="K395">
        <v>37</v>
      </c>
      <c r="L395">
        <v>3</v>
      </c>
      <c r="M395" t="s">
        <v>25</v>
      </c>
      <c r="N395">
        <v>8</v>
      </c>
      <c r="O395">
        <v>10.33</v>
      </c>
      <c r="P395">
        <v>136411.03</v>
      </c>
      <c r="Q395">
        <v>288705.81</v>
      </c>
      <c r="R395">
        <v>390</v>
      </c>
      <c r="S395">
        <v>155</v>
      </c>
      <c r="T395" t="s">
        <v>593</v>
      </c>
      <c r="U395" t="s">
        <v>49</v>
      </c>
    </row>
    <row r="396" spans="1:21">
      <c r="A396" t="s">
        <v>671</v>
      </c>
      <c r="B396" t="s">
        <v>672</v>
      </c>
      <c r="C396" t="s">
        <v>54</v>
      </c>
      <c r="D396">
        <v>380000</v>
      </c>
      <c r="E396">
        <v>25000</v>
      </c>
      <c r="F396">
        <v>380000</v>
      </c>
      <c r="G396">
        <v>380000</v>
      </c>
      <c r="H396">
        <v>1</v>
      </c>
      <c r="I396" t="s">
        <v>654</v>
      </c>
      <c r="J396">
        <v>85.2</v>
      </c>
      <c r="K396">
        <v>24</v>
      </c>
      <c r="L396">
        <v>4</v>
      </c>
      <c r="M396" t="s">
        <v>25</v>
      </c>
      <c r="N396">
        <v>4</v>
      </c>
      <c r="O396">
        <v>10.67</v>
      </c>
      <c r="P396">
        <v>136411.03</v>
      </c>
      <c r="Q396">
        <v>288705.81</v>
      </c>
      <c r="R396">
        <v>390</v>
      </c>
      <c r="S396">
        <v>155</v>
      </c>
      <c r="T396" t="s">
        <v>413</v>
      </c>
      <c r="U396" t="s">
        <v>27</v>
      </c>
    </row>
    <row r="397" spans="1:21">
      <c r="A397" t="s">
        <v>673</v>
      </c>
      <c r="B397" t="s">
        <v>674</v>
      </c>
      <c r="C397" t="s">
        <v>54</v>
      </c>
      <c r="D397">
        <v>380000</v>
      </c>
      <c r="E397">
        <v>25000</v>
      </c>
      <c r="F397">
        <v>380000</v>
      </c>
      <c r="G397">
        <v>380000</v>
      </c>
      <c r="H397">
        <v>1</v>
      </c>
      <c r="I397" t="s">
        <v>654</v>
      </c>
      <c r="J397">
        <v>85.2</v>
      </c>
      <c r="K397">
        <v>24</v>
      </c>
      <c r="L397">
        <v>3</v>
      </c>
      <c r="M397" t="s">
        <v>25</v>
      </c>
      <c r="N397">
        <v>3</v>
      </c>
      <c r="O397">
        <v>10.67</v>
      </c>
      <c r="P397">
        <v>136411.03</v>
      </c>
      <c r="Q397">
        <v>288705.81</v>
      </c>
      <c r="R397">
        <v>390</v>
      </c>
      <c r="S397">
        <v>155</v>
      </c>
      <c r="T397" t="s">
        <v>413</v>
      </c>
      <c r="U397" t="s">
        <v>27</v>
      </c>
    </row>
    <row r="398" spans="1:21">
      <c r="A398" t="s">
        <v>675</v>
      </c>
      <c r="B398" t="s">
        <v>620</v>
      </c>
      <c r="C398" t="s">
        <v>37</v>
      </c>
      <c r="D398">
        <v>214000</v>
      </c>
      <c r="E398">
        <v>15000</v>
      </c>
      <c r="F398">
        <v>214000</v>
      </c>
      <c r="H398">
        <v>1</v>
      </c>
      <c r="I398" t="s">
        <v>654</v>
      </c>
      <c r="J398">
        <v>66.650000000000006</v>
      </c>
      <c r="K398">
        <v>36</v>
      </c>
      <c r="L398">
        <v>3</v>
      </c>
      <c r="M398" t="s">
        <v>25</v>
      </c>
      <c r="N398">
        <v>6</v>
      </c>
      <c r="O398">
        <v>10.67</v>
      </c>
      <c r="P398">
        <v>136411.03</v>
      </c>
      <c r="Q398">
        <v>288705.81</v>
      </c>
      <c r="R398">
        <v>390</v>
      </c>
      <c r="S398">
        <v>155</v>
      </c>
      <c r="T398" t="s">
        <v>593</v>
      </c>
      <c r="U398" t="s">
        <v>49</v>
      </c>
    </row>
    <row r="399" spans="1:21">
      <c r="A399" t="s">
        <v>676</v>
      </c>
      <c r="B399" t="s">
        <v>677</v>
      </c>
      <c r="C399" t="s">
        <v>54</v>
      </c>
      <c r="D399">
        <v>200000</v>
      </c>
      <c r="E399">
        <v>30000</v>
      </c>
      <c r="F399">
        <v>400000</v>
      </c>
      <c r="H399">
        <v>1</v>
      </c>
      <c r="I399" t="s">
        <v>678</v>
      </c>
      <c r="J399">
        <v>74.84</v>
      </c>
      <c r="K399">
        <v>46</v>
      </c>
      <c r="L399">
        <v>2</v>
      </c>
      <c r="M399" t="s">
        <v>25</v>
      </c>
      <c r="N399">
        <v>9</v>
      </c>
      <c r="O399">
        <v>12.33</v>
      </c>
      <c r="P399">
        <v>136411.03</v>
      </c>
      <c r="Q399">
        <v>226000</v>
      </c>
      <c r="R399">
        <v>390</v>
      </c>
      <c r="S399">
        <v>5</v>
      </c>
      <c r="T399" t="s">
        <v>596</v>
      </c>
      <c r="U399" t="s">
        <v>42</v>
      </c>
    </row>
    <row r="400" spans="1:21">
      <c r="A400" t="s">
        <v>676</v>
      </c>
      <c r="B400" t="s">
        <v>677</v>
      </c>
      <c r="C400" t="s">
        <v>54</v>
      </c>
      <c r="D400">
        <v>200000</v>
      </c>
      <c r="E400">
        <v>30000</v>
      </c>
      <c r="F400">
        <v>400000</v>
      </c>
      <c r="H400">
        <v>2</v>
      </c>
      <c r="I400" t="s">
        <v>678</v>
      </c>
      <c r="J400">
        <v>74.84</v>
      </c>
      <c r="K400">
        <v>46</v>
      </c>
      <c r="L400">
        <v>2</v>
      </c>
      <c r="M400" t="s">
        <v>25</v>
      </c>
      <c r="N400">
        <v>9</v>
      </c>
      <c r="O400">
        <v>12.33</v>
      </c>
      <c r="P400">
        <v>136411.03</v>
      </c>
      <c r="Q400">
        <v>226000</v>
      </c>
      <c r="R400">
        <v>390</v>
      </c>
      <c r="S400">
        <v>5</v>
      </c>
      <c r="T400" t="s">
        <v>596</v>
      </c>
      <c r="U400" t="s">
        <v>42</v>
      </c>
    </row>
    <row r="401" spans="1:21">
      <c r="A401" t="s">
        <v>679</v>
      </c>
      <c r="B401" t="s">
        <v>680</v>
      </c>
      <c r="C401" t="s">
        <v>37</v>
      </c>
      <c r="D401">
        <v>380000</v>
      </c>
      <c r="E401">
        <v>4000</v>
      </c>
      <c r="F401">
        <v>380000</v>
      </c>
      <c r="G401">
        <v>380000</v>
      </c>
      <c r="H401">
        <v>3</v>
      </c>
      <c r="I401" t="s">
        <v>681</v>
      </c>
      <c r="J401">
        <v>108</v>
      </c>
      <c r="K401">
        <v>56</v>
      </c>
      <c r="L401">
        <v>3</v>
      </c>
      <c r="M401" t="s">
        <v>25</v>
      </c>
      <c r="N401">
        <v>8</v>
      </c>
      <c r="O401">
        <v>10.33</v>
      </c>
      <c r="P401">
        <v>136411.03</v>
      </c>
      <c r="Q401">
        <v>388200</v>
      </c>
      <c r="R401">
        <v>390</v>
      </c>
      <c r="S401">
        <v>20</v>
      </c>
      <c r="T401" t="s">
        <v>658</v>
      </c>
      <c r="U401" t="s">
        <v>57</v>
      </c>
    </row>
    <row r="402" spans="1:21">
      <c r="A402" t="s">
        <v>682</v>
      </c>
      <c r="B402" t="s">
        <v>683</v>
      </c>
      <c r="C402" t="s">
        <v>37</v>
      </c>
      <c r="D402">
        <v>380000</v>
      </c>
      <c r="E402">
        <v>4000</v>
      </c>
      <c r="F402">
        <v>380000</v>
      </c>
      <c r="G402">
        <v>380000</v>
      </c>
      <c r="H402">
        <v>3</v>
      </c>
      <c r="I402" t="s">
        <v>681</v>
      </c>
      <c r="J402">
        <v>108</v>
      </c>
      <c r="K402">
        <v>56</v>
      </c>
      <c r="L402">
        <v>3</v>
      </c>
      <c r="M402" t="s">
        <v>25</v>
      </c>
      <c r="N402">
        <v>8</v>
      </c>
      <c r="O402">
        <v>12.67</v>
      </c>
      <c r="P402">
        <v>136411.03</v>
      </c>
      <c r="Q402">
        <v>388200</v>
      </c>
      <c r="R402">
        <v>390</v>
      </c>
      <c r="S402">
        <v>20</v>
      </c>
      <c r="T402" t="s">
        <v>658</v>
      </c>
      <c r="U402" t="s">
        <v>57</v>
      </c>
    </row>
    <row r="403" spans="1:21">
      <c r="A403" t="s">
        <v>684</v>
      </c>
      <c r="B403" t="s">
        <v>685</v>
      </c>
      <c r="C403" t="s">
        <v>37</v>
      </c>
      <c r="D403">
        <v>380000</v>
      </c>
      <c r="E403">
        <v>4000</v>
      </c>
      <c r="F403">
        <v>380000</v>
      </c>
      <c r="G403">
        <v>380000</v>
      </c>
      <c r="H403">
        <v>3</v>
      </c>
      <c r="I403" t="s">
        <v>681</v>
      </c>
      <c r="J403">
        <v>108</v>
      </c>
      <c r="K403">
        <v>56</v>
      </c>
      <c r="L403">
        <v>3</v>
      </c>
      <c r="M403" t="s">
        <v>25</v>
      </c>
      <c r="N403">
        <v>8</v>
      </c>
      <c r="O403">
        <v>10.33</v>
      </c>
      <c r="P403">
        <v>136411.03</v>
      </c>
      <c r="Q403">
        <v>388200</v>
      </c>
      <c r="R403">
        <v>390</v>
      </c>
      <c r="S403">
        <v>20</v>
      </c>
      <c r="T403" t="s">
        <v>658</v>
      </c>
      <c r="U403" t="s">
        <v>57</v>
      </c>
    </row>
    <row r="404" spans="1:21">
      <c r="A404" t="s">
        <v>686</v>
      </c>
      <c r="B404" t="s">
        <v>687</v>
      </c>
      <c r="C404" t="s">
        <v>688</v>
      </c>
      <c r="D404">
        <v>108000</v>
      </c>
      <c r="E404">
        <v>4000</v>
      </c>
      <c r="F404">
        <v>108000</v>
      </c>
      <c r="G404">
        <v>108000</v>
      </c>
      <c r="H404">
        <v>2</v>
      </c>
      <c r="I404" t="s">
        <v>24</v>
      </c>
      <c r="J404">
        <v>32.82</v>
      </c>
      <c r="K404">
        <v>30</v>
      </c>
      <c r="L404">
        <v>4</v>
      </c>
      <c r="M404" t="s">
        <v>689</v>
      </c>
      <c r="N404">
        <v>7</v>
      </c>
      <c r="O404">
        <v>10.33</v>
      </c>
      <c r="P404">
        <v>110380.12</v>
      </c>
      <c r="Q404">
        <v>123325.96</v>
      </c>
      <c r="R404">
        <v>322</v>
      </c>
      <c r="S404">
        <v>339</v>
      </c>
      <c r="T404" t="s">
        <v>26</v>
      </c>
      <c r="U404" t="s">
        <v>27</v>
      </c>
    </row>
    <row r="405" spans="1:21">
      <c r="A405" t="s">
        <v>690</v>
      </c>
      <c r="B405" t="s">
        <v>691</v>
      </c>
      <c r="C405" t="s">
        <v>104</v>
      </c>
      <c r="D405">
        <v>137000</v>
      </c>
      <c r="E405">
        <v>7000</v>
      </c>
      <c r="F405">
        <v>137000</v>
      </c>
      <c r="G405">
        <v>164400</v>
      </c>
      <c r="H405">
        <v>2</v>
      </c>
      <c r="I405" t="s">
        <v>24</v>
      </c>
      <c r="J405">
        <v>32.74</v>
      </c>
      <c r="K405">
        <v>22</v>
      </c>
      <c r="L405">
        <v>8</v>
      </c>
      <c r="M405" t="s">
        <v>689</v>
      </c>
      <c r="N405">
        <v>5</v>
      </c>
      <c r="O405">
        <v>7.33</v>
      </c>
      <c r="P405">
        <v>110380.12</v>
      </c>
      <c r="Q405">
        <v>123325.96</v>
      </c>
      <c r="R405">
        <v>322</v>
      </c>
      <c r="S405">
        <v>339</v>
      </c>
      <c r="T405" t="s">
        <v>26</v>
      </c>
      <c r="U405" t="s">
        <v>27</v>
      </c>
    </row>
    <row r="406" spans="1:21">
      <c r="A406" t="s">
        <v>692</v>
      </c>
      <c r="B406" t="s">
        <v>691</v>
      </c>
      <c r="C406" t="s">
        <v>104</v>
      </c>
      <c r="D406">
        <v>130000</v>
      </c>
      <c r="E406">
        <v>7000</v>
      </c>
      <c r="F406">
        <v>130000</v>
      </c>
      <c r="G406">
        <v>130000</v>
      </c>
      <c r="H406">
        <v>3</v>
      </c>
      <c r="I406" t="s">
        <v>24</v>
      </c>
      <c r="J406">
        <v>36.01</v>
      </c>
      <c r="K406">
        <v>22</v>
      </c>
      <c r="L406">
        <v>8</v>
      </c>
      <c r="M406" t="s">
        <v>689</v>
      </c>
      <c r="N406">
        <v>5</v>
      </c>
      <c r="O406">
        <v>7.33</v>
      </c>
      <c r="P406">
        <v>110380.12</v>
      </c>
      <c r="Q406">
        <v>123325.96</v>
      </c>
      <c r="R406">
        <v>322</v>
      </c>
      <c r="S406">
        <v>339</v>
      </c>
      <c r="T406" t="s">
        <v>26</v>
      </c>
      <c r="U406" t="s">
        <v>27</v>
      </c>
    </row>
    <row r="407" spans="1:21">
      <c r="A407" t="s">
        <v>693</v>
      </c>
      <c r="B407" t="s">
        <v>691</v>
      </c>
      <c r="C407" t="s">
        <v>104</v>
      </c>
      <c r="D407">
        <v>138000</v>
      </c>
      <c r="E407">
        <v>70000</v>
      </c>
      <c r="F407">
        <v>138000</v>
      </c>
      <c r="G407">
        <v>165600</v>
      </c>
      <c r="H407">
        <v>3</v>
      </c>
      <c r="I407" t="s">
        <v>24</v>
      </c>
      <c r="J407">
        <v>36.11</v>
      </c>
      <c r="K407">
        <v>22</v>
      </c>
      <c r="L407">
        <v>8</v>
      </c>
      <c r="M407" t="s">
        <v>689</v>
      </c>
      <c r="N407">
        <v>5</v>
      </c>
      <c r="O407">
        <v>7.33</v>
      </c>
      <c r="P407">
        <v>110380.12</v>
      </c>
      <c r="Q407">
        <v>123325.96</v>
      </c>
      <c r="R407">
        <v>322</v>
      </c>
      <c r="S407">
        <v>339</v>
      </c>
      <c r="T407" t="s">
        <v>26</v>
      </c>
      <c r="U407" t="s">
        <v>27</v>
      </c>
    </row>
    <row r="408" spans="1:21">
      <c r="A408" t="s">
        <v>694</v>
      </c>
      <c r="B408" t="s">
        <v>695</v>
      </c>
      <c r="C408" t="s">
        <v>696</v>
      </c>
      <c r="D408">
        <v>110000</v>
      </c>
      <c r="E408">
        <v>5000</v>
      </c>
      <c r="F408">
        <v>110000</v>
      </c>
      <c r="G408">
        <v>110000</v>
      </c>
      <c r="H408">
        <v>1</v>
      </c>
      <c r="I408" t="s">
        <v>24</v>
      </c>
      <c r="J408">
        <v>25.38</v>
      </c>
      <c r="K408">
        <v>9</v>
      </c>
      <c r="L408">
        <v>3</v>
      </c>
      <c r="M408" t="s">
        <v>689</v>
      </c>
      <c r="N408">
        <v>5</v>
      </c>
      <c r="O408">
        <v>6.33</v>
      </c>
      <c r="P408">
        <v>110380.12</v>
      </c>
      <c r="Q408">
        <v>123325.96</v>
      </c>
      <c r="R408">
        <v>322</v>
      </c>
      <c r="S408">
        <v>339</v>
      </c>
      <c r="T408" t="s">
        <v>34</v>
      </c>
      <c r="U408" t="s">
        <v>31</v>
      </c>
    </row>
    <row r="409" spans="1:21">
      <c r="A409" t="s">
        <v>697</v>
      </c>
      <c r="B409" t="s">
        <v>695</v>
      </c>
      <c r="C409" t="s">
        <v>696</v>
      </c>
      <c r="D409">
        <v>122000</v>
      </c>
      <c r="E409">
        <v>5000</v>
      </c>
      <c r="F409">
        <v>122000</v>
      </c>
      <c r="G409">
        <v>122000</v>
      </c>
      <c r="H409">
        <v>3</v>
      </c>
      <c r="I409" t="s">
        <v>24</v>
      </c>
      <c r="J409">
        <v>25.38</v>
      </c>
      <c r="K409">
        <v>9</v>
      </c>
      <c r="L409">
        <v>3</v>
      </c>
      <c r="M409" t="s">
        <v>689</v>
      </c>
      <c r="N409">
        <v>5</v>
      </c>
      <c r="O409">
        <v>6.33</v>
      </c>
      <c r="P409">
        <v>110380.12</v>
      </c>
      <c r="Q409">
        <v>123325.96</v>
      </c>
      <c r="R409">
        <v>322</v>
      </c>
      <c r="S409">
        <v>339</v>
      </c>
      <c r="T409" t="s">
        <v>34</v>
      </c>
      <c r="U409" t="s">
        <v>31</v>
      </c>
    </row>
    <row r="410" spans="1:21">
      <c r="A410" t="s">
        <v>698</v>
      </c>
      <c r="B410" t="s">
        <v>695</v>
      </c>
      <c r="C410" t="s">
        <v>696</v>
      </c>
      <c r="D410">
        <v>125000</v>
      </c>
      <c r="E410">
        <v>5000</v>
      </c>
      <c r="F410">
        <v>125000</v>
      </c>
      <c r="G410">
        <v>125000</v>
      </c>
      <c r="H410">
        <v>3</v>
      </c>
      <c r="I410" t="s">
        <v>24</v>
      </c>
      <c r="J410">
        <v>25.38</v>
      </c>
      <c r="K410">
        <v>9</v>
      </c>
      <c r="L410">
        <v>3</v>
      </c>
      <c r="M410" t="s">
        <v>689</v>
      </c>
      <c r="N410">
        <v>5</v>
      </c>
      <c r="O410">
        <v>6.33</v>
      </c>
      <c r="P410">
        <v>110380.12</v>
      </c>
      <c r="Q410">
        <v>123325.96</v>
      </c>
      <c r="R410">
        <v>322</v>
      </c>
      <c r="S410">
        <v>339</v>
      </c>
      <c r="T410" t="s">
        <v>34</v>
      </c>
      <c r="U410" t="s">
        <v>31</v>
      </c>
    </row>
    <row r="411" spans="1:21">
      <c r="A411" t="s">
        <v>699</v>
      </c>
      <c r="B411" t="s">
        <v>700</v>
      </c>
      <c r="C411" t="s">
        <v>701</v>
      </c>
      <c r="D411">
        <v>106000</v>
      </c>
      <c r="E411">
        <v>2000</v>
      </c>
      <c r="F411">
        <v>106000</v>
      </c>
      <c r="G411">
        <v>106000</v>
      </c>
      <c r="H411">
        <v>2</v>
      </c>
      <c r="I411" t="s">
        <v>24</v>
      </c>
      <c r="J411">
        <v>34.4</v>
      </c>
      <c r="K411">
        <v>17</v>
      </c>
      <c r="L411">
        <v>3</v>
      </c>
      <c r="M411" t="s">
        <v>689</v>
      </c>
      <c r="N411">
        <v>5</v>
      </c>
      <c r="O411">
        <v>9.33</v>
      </c>
      <c r="P411">
        <v>110380.12</v>
      </c>
      <c r="Q411">
        <v>123325.96</v>
      </c>
      <c r="R411">
        <v>322</v>
      </c>
      <c r="S411">
        <v>339</v>
      </c>
      <c r="T411" t="s">
        <v>26</v>
      </c>
      <c r="U411" t="s">
        <v>90</v>
      </c>
    </row>
    <row r="412" spans="1:21">
      <c r="A412" t="s">
        <v>702</v>
      </c>
      <c r="B412" t="s">
        <v>703</v>
      </c>
      <c r="C412" t="s">
        <v>696</v>
      </c>
      <c r="D412">
        <v>145000</v>
      </c>
      <c r="E412">
        <v>5000</v>
      </c>
      <c r="F412">
        <v>145000</v>
      </c>
      <c r="G412">
        <v>145000</v>
      </c>
      <c r="H412">
        <v>1</v>
      </c>
      <c r="I412" t="s">
        <v>24</v>
      </c>
      <c r="J412">
        <v>32.19</v>
      </c>
      <c r="K412">
        <v>26</v>
      </c>
      <c r="L412">
        <v>3</v>
      </c>
      <c r="M412" t="s">
        <v>689</v>
      </c>
      <c r="N412">
        <v>4</v>
      </c>
      <c r="O412">
        <v>8.67</v>
      </c>
      <c r="P412">
        <v>110380.12</v>
      </c>
      <c r="Q412">
        <v>123325.96</v>
      </c>
      <c r="R412">
        <v>322</v>
      </c>
      <c r="S412">
        <v>339</v>
      </c>
      <c r="T412" t="s">
        <v>26</v>
      </c>
      <c r="U412" t="s">
        <v>27</v>
      </c>
    </row>
    <row r="413" spans="1:21">
      <c r="A413" t="s">
        <v>704</v>
      </c>
      <c r="B413" t="s">
        <v>703</v>
      </c>
      <c r="C413" t="s">
        <v>696</v>
      </c>
      <c r="D413">
        <v>148000</v>
      </c>
      <c r="E413">
        <v>5000</v>
      </c>
      <c r="F413">
        <v>148000</v>
      </c>
      <c r="G413">
        <v>148000</v>
      </c>
      <c r="H413">
        <v>2</v>
      </c>
      <c r="I413" t="s">
        <v>24</v>
      </c>
      <c r="J413">
        <v>30.93</v>
      </c>
      <c r="K413">
        <v>26</v>
      </c>
      <c r="L413">
        <v>3</v>
      </c>
      <c r="M413" t="s">
        <v>689</v>
      </c>
      <c r="N413">
        <v>4</v>
      </c>
      <c r="O413">
        <v>8.67</v>
      </c>
      <c r="P413">
        <v>110380.12</v>
      </c>
      <c r="Q413">
        <v>123325.96</v>
      </c>
      <c r="R413">
        <v>322</v>
      </c>
      <c r="S413">
        <v>339</v>
      </c>
      <c r="T413" t="s">
        <v>26</v>
      </c>
      <c r="U413" t="s">
        <v>27</v>
      </c>
    </row>
    <row r="414" spans="1:21">
      <c r="A414" t="s">
        <v>705</v>
      </c>
      <c r="B414" t="s">
        <v>706</v>
      </c>
      <c r="C414" t="s">
        <v>121</v>
      </c>
      <c r="D414">
        <v>99000</v>
      </c>
      <c r="E414">
        <v>6000</v>
      </c>
      <c r="F414">
        <v>99000</v>
      </c>
      <c r="G414">
        <v>99000</v>
      </c>
      <c r="H414">
        <v>3</v>
      </c>
      <c r="I414" t="s">
        <v>24</v>
      </c>
      <c r="J414">
        <v>33.380000000000003</v>
      </c>
      <c r="K414">
        <v>43</v>
      </c>
      <c r="L414">
        <v>6</v>
      </c>
      <c r="M414" t="s">
        <v>689</v>
      </c>
      <c r="N414">
        <v>5</v>
      </c>
      <c r="O414">
        <v>6</v>
      </c>
      <c r="P414">
        <v>110380.12</v>
      </c>
      <c r="Q414">
        <v>123325.96</v>
      </c>
      <c r="R414">
        <v>322</v>
      </c>
      <c r="S414">
        <v>339</v>
      </c>
      <c r="T414" t="s">
        <v>26</v>
      </c>
      <c r="U414" t="s">
        <v>42</v>
      </c>
    </row>
    <row r="415" spans="1:21">
      <c r="A415" t="s">
        <v>707</v>
      </c>
      <c r="B415" t="s">
        <v>708</v>
      </c>
      <c r="C415" t="s">
        <v>709</v>
      </c>
      <c r="D415">
        <v>85000</v>
      </c>
      <c r="E415">
        <v>5000</v>
      </c>
      <c r="F415">
        <v>85000</v>
      </c>
      <c r="H415">
        <v>3</v>
      </c>
      <c r="I415" t="s">
        <v>24</v>
      </c>
      <c r="J415">
        <v>26</v>
      </c>
      <c r="K415">
        <v>36</v>
      </c>
      <c r="L415">
        <v>8</v>
      </c>
      <c r="M415" t="s">
        <v>689</v>
      </c>
      <c r="N415">
        <v>5</v>
      </c>
      <c r="O415">
        <v>10</v>
      </c>
      <c r="P415">
        <v>110380.12</v>
      </c>
      <c r="Q415">
        <v>123325.96</v>
      </c>
      <c r="R415">
        <v>322</v>
      </c>
      <c r="S415">
        <v>339</v>
      </c>
      <c r="T415" t="s">
        <v>34</v>
      </c>
      <c r="U415" t="s">
        <v>49</v>
      </c>
    </row>
    <row r="416" spans="1:21">
      <c r="A416" t="s">
        <v>710</v>
      </c>
      <c r="B416" t="s">
        <v>711</v>
      </c>
      <c r="C416" t="s">
        <v>712</v>
      </c>
      <c r="D416">
        <v>132000</v>
      </c>
      <c r="E416">
        <v>10000</v>
      </c>
      <c r="F416">
        <v>132000</v>
      </c>
      <c r="G416">
        <v>132000</v>
      </c>
      <c r="H416">
        <v>14</v>
      </c>
      <c r="I416" t="s">
        <v>24</v>
      </c>
      <c r="J416">
        <v>32.61</v>
      </c>
      <c r="K416">
        <v>21</v>
      </c>
      <c r="L416">
        <v>15</v>
      </c>
      <c r="M416" t="s">
        <v>689</v>
      </c>
      <c r="N416">
        <v>9</v>
      </c>
      <c r="O416">
        <v>11.33</v>
      </c>
      <c r="P416">
        <v>110380.12</v>
      </c>
      <c r="Q416">
        <v>123325.96</v>
      </c>
      <c r="R416">
        <v>322</v>
      </c>
      <c r="S416">
        <v>339</v>
      </c>
      <c r="T416" t="s">
        <v>26</v>
      </c>
      <c r="U416" t="s">
        <v>27</v>
      </c>
    </row>
    <row r="417" spans="1:21">
      <c r="A417" t="s">
        <v>713</v>
      </c>
      <c r="B417" t="s">
        <v>714</v>
      </c>
      <c r="C417" t="s">
        <v>701</v>
      </c>
      <c r="D417">
        <v>106000</v>
      </c>
      <c r="E417">
        <v>2000</v>
      </c>
      <c r="F417">
        <v>106000</v>
      </c>
      <c r="G417">
        <v>106000</v>
      </c>
      <c r="H417">
        <v>2</v>
      </c>
      <c r="I417" t="s">
        <v>24</v>
      </c>
      <c r="J417">
        <v>34.49</v>
      </c>
      <c r="K417">
        <v>17</v>
      </c>
      <c r="L417">
        <v>3</v>
      </c>
      <c r="M417" t="s">
        <v>689</v>
      </c>
      <c r="N417">
        <v>6</v>
      </c>
      <c r="O417">
        <v>11.67</v>
      </c>
      <c r="P417">
        <v>110380.12</v>
      </c>
      <c r="Q417">
        <v>123325.96</v>
      </c>
      <c r="R417">
        <v>322</v>
      </c>
      <c r="S417">
        <v>339</v>
      </c>
      <c r="T417" t="s">
        <v>26</v>
      </c>
      <c r="U417" t="s">
        <v>90</v>
      </c>
    </row>
    <row r="418" spans="1:21">
      <c r="A418" t="s">
        <v>715</v>
      </c>
      <c r="B418" t="s">
        <v>716</v>
      </c>
      <c r="C418" t="s">
        <v>121</v>
      </c>
      <c r="D418">
        <v>99000</v>
      </c>
      <c r="E418">
        <v>6000</v>
      </c>
      <c r="F418">
        <v>99000</v>
      </c>
      <c r="G418">
        <v>99000</v>
      </c>
      <c r="H418">
        <v>3</v>
      </c>
      <c r="I418" t="s">
        <v>24</v>
      </c>
      <c r="J418">
        <v>33.380000000000003</v>
      </c>
      <c r="K418">
        <v>43</v>
      </c>
      <c r="L418">
        <v>6</v>
      </c>
      <c r="M418" t="s">
        <v>689</v>
      </c>
      <c r="N418">
        <v>5</v>
      </c>
      <c r="O418">
        <v>5</v>
      </c>
      <c r="P418">
        <v>110380.12</v>
      </c>
      <c r="Q418">
        <v>123325.96</v>
      </c>
      <c r="R418">
        <v>322</v>
      </c>
      <c r="S418">
        <v>339</v>
      </c>
      <c r="T418" t="s">
        <v>26</v>
      </c>
      <c r="U418" t="s">
        <v>42</v>
      </c>
    </row>
    <row r="419" spans="1:21">
      <c r="A419" t="s">
        <v>717</v>
      </c>
      <c r="B419" t="s">
        <v>718</v>
      </c>
      <c r="C419" t="s">
        <v>696</v>
      </c>
      <c r="D419">
        <v>145000</v>
      </c>
      <c r="E419">
        <v>5000</v>
      </c>
      <c r="F419">
        <v>145000</v>
      </c>
      <c r="G419">
        <v>145000</v>
      </c>
      <c r="H419">
        <v>1</v>
      </c>
      <c r="I419" t="s">
        <v>24</v>
      </c>
      <c r="J419">
        <v>32.19</v>
      </c>
      <c r="K419">
        <v>26</v>
      </c>
      <c r="L419">
        <v>3</v>
      </c>
      <c r="M419" t="s">
        <v>689</v>
      </c>
      <c r="N419">
        <v>4</v>
      </c>
      <c r="O419">
        <v>11.67</v>
      </c>
      <c r="P419">
        <v>110380.12</v>
      </c>
      <c r="Q419">
        <v>123325.96</v>
      </c>
      <c r="R419">
        <v>322</v>
      </c>
      <c r="S419">
        <v>339</v>
      </c>
      <c r="T419" t="s">
        <v>26</v>
      </c>
      <c r="U419" t="s">
        <v>27</v>
      </c>
    </row>
    <row r="420" spans="1:21">
      <c r="A420" t="s">
        <v>719</v>
      </c>
      <c r="B420" t="s">
        <v>718</v>
      </c>
      <c r="C420" t="s">
        <v>696</v>
      </c>
      <c r="D420">
        <v>148000</v>
      </c>
      <c r="E420">
        <v>5000</v>
      </c>
      <c r="F420">
        <v>148000</v>
      </c>
      <c r="G420">
        <v>148000</v>
      </c>
      <c r="H420">
        <v>2</v>
      </c>
      <c r="I420" t="s">
        <v>24</v>
      </c>
      <c r="J420">
        <v>30.93</v>
      </c>
      <c r="K420">
        <v>26</v>
      </c>
      <c r="L420">
        <v>3</v>
      </c>
      <c r="M420" t="s">
        <v>689</v>
      </c>
      <c r="N420">
        <v>4</v>
      </c>
      <c r="O420">
        <v>11.67</v>
      </c>
      <c r="P420">
        <v>110380.12</v>
      </c>
      <c r="Q420">
        <v>123325.96</v>
      </c>
      <c r="R420">
        <v>322</v>
      </c>
      <c r="S420">
        <v>339</v>
      </c>
      <c r="T420" t="s">
        <v>26</v>
      </c>
      <c r="U420" t="s">
        <v>27</v>
      </c>
    </row>
    <row r="421" spans="1:21">
      <c r="A421" t="s">
        <v>720</v>
      </c>
      <c r="B421" t="s">
        <v>721</v>
      </c>
      <c r="C421" t="s">
        <v>688</v>
      </c>
      <c r="D421">
        <v>108000</v>
      </c>
      <c r="E421">
        <v>4000</v>
      </c>
      <c r="F421">
        <v>108000</v>
      </c>
      <c r="G421">
        <v>108000</v>
      </c>
      <c r="H421">
        <v>2</v>
      </c>
      <c r="I421" t="s">
        <v>24</v>
      </c>
      <c r="J421">
        <v>32.82</v>
      </c>
      <c r="K421">
        <v>30</v>
      </c>
      <c r="L421">
        <v>4</v>
      </c>
      <c r="M421" t="s">
        <v>689</v>
      </c>
      <c r="N421">
        <v>7</v>
      </c>
      <c r="O421">
        <v>10.33</v>
      </c>
      <c r="P421">
        <v>110380.12</v>
      </c>
      <c r="Q421">
        <v>123325.96</v>
      </c>
      <c r="R421">
        <v>322</v>
      </c>
      <c r="S421">
        <v>339</v>
      </c>
      <c r="T421" t="s">
        <v>26</v>
      </c>
      <c r="U421" t="s">
        <v>27</v>
      </c>
    </row>
    <row r="422" spans="1:21">
      <c r="A422" t="s">
        <v>722</v>
      </c>
      <c r="B422" t="s">
        <v>723</v>
      </c>
      <c r="C422" t="s">
        <v>709</v>
      </c>
      <c r="D422">
        <v>85000</v>
      </c>
      <c r="E422">
        <v>5000</v>
      </c>
      <c r="F422">
        <v>85000</v>
      </c>
      <c r="H422">
        <v>3</v>
      </c>
      <c r="I422" t="s">
        <v>24</v>
      </c>
      <c r="J422">
        <v>26</v>
      </c>
      <c r="K422">
        <v>36</v>
      </c>
      <c r="L422">
        <v>5</v>
      </c>
      <c r="M422" t="s">
        <v>689</v>
      </c>
      <c r="N422">
        <v>5</v>
      </c>
      <c r="O422">
        <v>10</v>
      </c>
      <c r="P422">
        <v>110380.12</v>
      </c>
      <c r="Q422">
        <v>123325.96</v>
      </c>
      <c r="R422">
        <v>322</v>
      </c>
      <c r="S422">
        <v>339</v>
      </c>
      <c r="T422" t="s">
        <v>34</v>
      </c>
      <c r="U422" t="s">
        <v>49</v>
      </c>
    </row>
    <row r="423" spans="1:21">
      <c r="A423" t="s">
        <v>724</v>
      </c>
      <c r="B423" t="s">
        <v>725</v>
      </c>
      <c r="C423" t="s">
        <v>104</v>
      </c>
      <c r="D423">
        <v>137000</v>
      </c>
      <c r="E423">
        <v>7000</v>
      </c>
      <c r="F423">
        <v>137000</v>
      </c>
      <c r="G423">
        <v>164400</v>
      </c>
      <c r="H423">
        <v>2</v>
      </c>
      <c r="I423" t="s">
        <v>24</v>
      </c>
      <c r="J423">
        <v>32.74</v>
      </c>
      <c r="K423">
        <v>22</v>
      </c>
      <c r="L423">
        <v>8</v>
      </c>
      <c r="M423" t="s">
        <v>689</v>
      </c>
      <c r="N423">
        <v>6</v>
      </c>
      <c r="O423">
        <v>8</v>
      </c>
      <c r="P423">
        <v>110380.12</v>
      </c>
      <c r="Q423">
        <v>123325.96</v>
      </c>
      <c r="R423">
        <v>322</v>
      </c>
      <c r="S423">
        <v>339</v>
      </c>
      <c r="T423" t="s">
        <v>26</v>
      </c>
      <c r="U423" t="s">
        <v>27</v>
      </c>
    </row>
    <row r="424" spans="1:21">
      <c r="A424" t="s">
        <v>726</v>
      </c>
      <c r="B424" t="s">
        <v>725</v>
      </c>
      <c r="C424" t="s">
        <v>104</v>
      </c>
      <c r="D424">
        <v>123000</v>
      </c>
      <c r="E424">
        <v>7000</v>
      </c>
      <c r="F424">
        <v>123000</v>
      </c>
      <c r="G424">
        <v>123000</v>
      </c>
      <c r="H424">
        <v>3</v>
      </c>
      <c r="I424" t="s">
        <v>24</v>
      </c>
      <c r="J424">
        <v>36.01</v>
      </c>
      <c r="K424">
        <v>22</v>
      </c>
      <c r="L424">
        <v>8</v>
      </c>
      <c r="M424" t="s">
        <v>689</v>
      </c>
      <c r="N424">
        <v>6</v>
      </c>
      <c r="O424">
        <v>8</v>
      </c>
      <c r="P424">
        <v>110380.12</v>
      </c>
      <c r="Q424">
        <v>123325.96</v>
      </c>
      <c r="R424">
        <v>322</v>
      </c>
      <c r="S424">
        <v>339</v>
      </c>
      <c r="T424" t="s">
        <v>26</v>
      </c>
      <c r="U424" t="s">
        <v>27</v>
      </c>
    </row>
    <row r="425" spans="1:21">
      <c r="A425" t="s">
        <v>727</v>
      </c>
      <c r="B425" t="s">
        <v>725</v>
      </c>
      <c r="C425" t="s">
        <v>104</v>
      </c>
      <c r="D425">
        <v>137000</v>
      </c>
      <c r="E425">
        <v>7000</v>
      </c>
      <c r="F425">
        <v>137000</v>
      </c>
      <c r="G425">
        <v>164400</v>
      </c>
      <c r="H425">
        <v>3</v>
      </c>
      <c r="I425" t="s">
        <v>24</v>
      </c>
      <c r="J425">
        <v>36.01</v>
      </c>
      <c r="K425">
        <v>22</v>
      </c>
      <c r="L425">
        <v>8</v>
      </c>
      <c r="M425" t="s">
        <v>689</v>
      </c>
      <c r="N425">
        <v>6</v>
      </c>
      <c r="O425">
        <v>8</v>
      </c>
      <c r="P425">
        <v>110380.12</v>
      </c>
      <c r="Q425">
        <v>123325.96</v>
      </c>
      <c r="R425">
        <v>322</v>
      </c>
      <c r="S425">
        <v>339</v>
      </c>
      <c r="T425" t="s">
        <v>26</v>
      </c>
      <c r="U425" t="s">
        <v>27</v>
      </c>
    </row>
    <row r="426" spans="1:21">
      <c r="A426" t="s">
        <v>728</v>
      </c>
      <c r="B426" t="s">
        <v>725</v>
      </c>
      <c r="C426" t="s">
        <v>104</v>
      </c>
      <c r="D426">
        <v>130000</v>
      </c>
      <c r="E426">
        <v>7000</v>
      </c>
      <c r="F426">
        <v>130000</v>
      </c>
      <c r="G426">
        <v>130000</v>
      </c>
      <c r="H426">
        <v>3</v>
      </c>
      <c r="I426" t="s">
        <v>24</v>
      </c>
      <c r="J426">
        <v>36.01</v>
      </c>
      <c r="K426">
        <v>22</v>
      </c>
      <c r="L426">
        <v>8</v>
      </c>
      <c r="M426" t="s">
        <v>689</v>
      </c>
      <c r="N426">
        <v>6</v>
      </c>
      <c r="O426">
        <v>8</v>
      </c>
      <c r="P426">
        <v>110380.12</v>
      </c>
      <c r="Q426">
        <v>123325.96</v>
      </c>
      <c r="R426">
        <v>322</v>
      </c>
      <c r="S426">
        <v>339</v>
      </c>
      <c r="T426" t="s">
        <v>26</v>
      </c>
      <c r="U426" t="s">
        <v>27</v>
      </c>
    </row>
    <row r="427" spans="1:21">
      <c r="A427" t="s">
        <v>729</v>
      </c>
      <c r="B427" t="s">
        <v>725</v>
      </c>
      <c r="C427" t="s">
        <v>104</v>
      </c>
      <c r="D427">
        <v>138000</v>
      </c>
      <c r="E427">
        <v>7000</v>
      </c>
      <c r="F427">
        <v>138000</v>
      </c>
      <c r="G427">
        <v>165600</v>
      </c>
      <c r="H427">
        <v>3</v>
      </c>
      <c r="I427" t="s">
        <v>24</v>
      </c>
      <c r="J427">
        <v>36.11</v>
      </c>
      <c r="K427">
        <v>22</v>
      </c>
      <c r="L427">
        <v>8</v>
      </c>
      <c r="M427" t="s">
        <v>689</v>
      </c>
      <c r="N427">
        <v>6</v>
      </c>
      <c r="O427">
        <v>8</v>
      </c>
      <c r="P427">
        <v>110380.12</v>
      </c>
      <c r="Q427">
        <v>123325.96</v>
      </c>
      <c r="R427">
        <v>322</v>
      </c>
      <c r="S427">
        <v>339</v>
      </c>
      <c r="T427" t="s">
        <v>26</v>
      </c>
      <c r="U427" t="s">
        <v>27</v>
      </c>
    </row>
    <row r="428" spans="1:21">
      <c r="A428" t="s">
        <v>730</v>
      </c>
      <c r="B428" t="s">
        <v>731</v>
      </c>
      <c r="C428" t="s">
        <v>696</v>
      </c>
      <c r="D428">
        <v>125000</v>
      </c>
      <c r="E428">
        <v>5000</v>
      </c>
      <c r="F428">
        <v>125000</v>
      </c>
      <c r="G428">
        <v>125000</v>
      </c>
      <c r="H428">
        <v>2</v>
      </c>
      <c r="I428" t="s">
        <v>24</v>
      </c>
      <c r="J428">
        <v>31.05</v>
      </c>
      <c r="K428">
        <v>9</v>
      </c>
      <c r="L428">
        <v>3</v>
      </c>
      <c r="M428" t="s">
        <v>689</v>
      </c>
      <c r="N428">
        <v>5</v>
      </c>
      <c r="O428">
        <v>8.67</v>
      </c>
      <c r="P428">
        <v>110380.12</v>
      </c>
      <c r="Q428">
        <v>123325.96</v>
      </c>
      <c r="R428">
        <v>322</v>
      </c>
      <c r="S428">
        <v>339</v>
      </c>
      <c r="T428" t="s">
        <v>26</v>
      </c>
      <c r="U428" t="s">
        <v>31</v>
      </c>
    </row>
    <row r="429" spans="1:21">
      <c r="A429" t="s">
        <v>732</v>
      </c>
      <c r="B429" t="s">
        <v>733</v>
      </c>
      <c r="C429" t="s">
        <v>701</v>
      </c>
      <c r="D429">
        <v>130000</v>
      </c>
      <c r="E429">
        <v>4000</v>
      </c>
      <c r="G429">
        <v>130000</v>
      </c>
      <c r="H429">
        <v>4</v>
      </c>
      <c r="I429" t="s">
        <v>24</v>
      </c>
      <c r="J429">
        <v>31.06</v>
      </c>
      <c r="K429">
        <v>4</v>
      </c>
      <c r="L429">
        <v>6</v>
      </c>
      <c r="M429" t="s">
        <v>689</v>
      </c>
      <c r="N429">
        <v>7</v>
      </c>
      <c r="O429">
        <v>10.67</v>
      </c>
      <c r="P429">
        <v>110380.12</v>
      </c>
      <c r="Q429">
        <v>123325.96</v>
      </c>
      <c r="R429">
        <v>322</v>
      </c>
      <c r="S429">
        <v>339</v>
      </c>
      <c r="T429" t="s">
        <v>26</v>
      </c>
      <c r="U429" t="s">
        <v>31</v>
      </c>
    </row>
    <row r="430" spans="1:21">
      <c r="A430" t="s">
        <v>734</v>
      </c>
      <c r="B430" t="s">
        <v>735</v>
      </c>
      <c r="C430" t="s">
        <v>701</v>
      </c>
      <c r="D430">
        <v>115000</v>
      </c>
      <c r="E430">
        <v>4000</v>
      </c>
      <c r="F430">
        <v>115000</v>
      </c>
      <c r="G430">
        <v>115000</v>
      </c>
      <c r="H430">
        <v>4</v>
      </c>
      <c r="I430" t="s">
        <v>89</v>
      </c>
      <c r="J430">
        <v>34.340000000000003</v>
      </c>
      <c r="K430">
        <v>20</v>
      </c>
      <c r="L430">
        <v>4</v>
      </c>
      <c r="M430" t="s">
        <v>689</v>
      </c>
      <c r="N430">
        <v>6</v>
      </c>
      <c r="O430">
        <v>10.67</v>
      </c>
      <c r="P430">
        <v>110380.12</v>
      </c>
      <c r="Q430">
        <v>95329.65</v>
      </c>
      <c r="R430">
        <v>322</v>
      </c>
      <c r="S430">
        <v>1622</v>
      </c>
      <c r="T430" t="s">
        <v>26</v>
      </c>
      <c r="U430" t="s">
        <v>90</v>
      </c>
    </row>
    <row r="431" spans="1:21">
      <c r="A431" t="s">
        <v>736</v>
      </c>
      <c r="B431" t="s">
        <v>737</v>
      </c>
      <c r="C431" t="s">
        <v>41</v>
      </c>
      <c r="D431">
        <v>124000</v>
      </c>
      <c r="E431">
        <v>10000</v>
      </c>
      <c r="H431">
        <v>3</v>
      </c>
      <c r="I431" t="s">
        <v>89</v>
      </c>
      <c r="J431">
        <v>33.78</v>
      </c>
      <c r="K431">
        <v>19</v>
      </c>
      <c r="L431">
        <v>3</v>
      </c>
      <c r="M431" t="s">
        <v>689</v>
      </c>
      <c r="N431">
        <v>5</v>
      </c>
      <c r="O431">
        <v>9</v>
      </c>
      <c r="P431">
        <v>110380.12</v>
      </c>
      <c r="Q431">
        <v>95329.65</v>
      </c>
      <c r="R431">
        <v>322</v>
      </c>
      <c r="S431">
        <v>1622</v>
      </c>
      <c r="T431" t="s">
        <v>26</v>
      </c>
      <c r="U431" t="s">
        <v>90</v>
      </c>
    </row>
    <row r="432" spans="1:21">
      <c r="A432" t="s">
        <v>738</v>
      </c>
      <c r="B432" t="s">
        <v>739</v>
      </c>
      <c r="C432" t="s">
        <v>709</v>
      </c>
      <c r="D432">
        <v>108000</v>
      </c>
      <c r="E432">
        <v>2000</v>
      </c>
      <c r="F432">
        <v>108000</v>
      </c>
      <c r="G432">
        <v>108000</v>
      </c>
      <c r="H432">
        <v>2</v>
      </c>
      <c r="I432" t="s">
        <v>89</v>
      </c>
      <c r="J432">
        <v>25.51</v>
      </c>
      <c r="K432">
        <v>9</v>
      </c>
      <c r="L432">
        <v>2</v>
      </c>
      <c r="M432" t="s">
        <v>689</v>
      </c>
      <c r="N432">
        <v>5</v>
      </c>
      <c r="O432">
        <v>7.33</v>
      </c>
      <c r="P432">
        <v>110380.12</v>
      </c>
      <c r="Q432">
        <v>95329.65</v>
      </c>
      <c r="R432">
        <v>322</v>
      </c>
      <c r="S432">
        <v>1622</v>
      </c>
      <c r="T432" t="s">
        <v>34</v>
      </c>
      <c r="U432" t="s">
        <v>31</v>
      </c>
    </row>
    <row r="433" spans="1:21">
      <c r="A433" t="s">
        <v>740</v>
      </c>
      <c r="B433" t="s">
        <v>741</v>
      </c>
      <c r="C433" t="s">
        <v>696</v>
      </c>
      <c r="D433">
        <v>124000</v>
      </c>
      <c r="E433">
        <v>15000</v>
      </c>
      <c r="F433">
        <v>124000</v>
      </c>
      <c r="G433">
        <v>124000</v>
      </c>
      <c r="H433">
        <v>4</v>
      </c>
      <c r="I433" t="s">
        <v>89</v>
      </c>
      <c r="J433">
        <v>25.65</v>
      </c>
      <c r="K433">
        <v>5</v>
      </c>
      <c r="L433">
        <v>5</v>
      </c>
      <c r="M433" t="s">
        <v>689</v>
      </c>
      <c r="N433">
        <v>2</v>
      </c>
      <c r="O433">
        <v>8</v>
      </c>
      <c r="P433">
        <v>110380.12</v>
      </c>
      <c r="Q433">
        <v>95329.65</v>
      </c>
      <c r="R433">
        <v>322</v>
      </c>
      <c r="S433">
        <v>1622</v>
      </c>
      <c r="T433" t="s">
        <v>34</v>
      </c>
      <c r="U433" t="s">
        <v>31</v>
      </c>
    </row>
    <row r="434" spans="1:21">
      <c r="A434" t="s">
        <v>742</v>
      </c>
      <c r="B434" t="s">
        <v>741</v>
      </c>
      <c r="C434" t="s">
        <v>696</v>
      </c>
      <c r="D434">
        <v>130000</v>
      </c>
      <c r="E434">
        <v>15000</v>
      </c>
      <c r="G434">
        <v>130000</v>
      </c>
      <c r="H434">
        <v>4</v>
      </c>
      <c r="I434" t="s">
        <v>89</v>
      </c>
      <c r="J434">
        <v>25.65</v>
      </c>
      <c r="K434">
        <v>5</v>
      </c>
      <c r="L434">
        <v>5</v>
      </c>
      <c r="M434" t="s">
        <v>689</v>
      </c>
      <c r="N434">
        <v>2</v>
      </c>
      <c r="O434">
        <v>8</v>
      </c>
      <c r="P434">
        <v>110380.12</v>
      </c>
      <c r="Q434">
        <v>95329.65</v>
      </c>
      <c r="R434">
        <v>322</v>
      </c>
      <c r="S434">
        <v>1622</v>
      </c>
      <c r="T434" t="s">
        <v>34</v>
      </c>
      <c r="U434" t="s">
        <v>31</v>
      </c>
    </row>
    <row r="435" spans="1:21">
      <c r="A435" t="s">
        <v>743</v>
      </c>
      <c r="B435" t="s">
        <v>744</v>
      </c>
      <c r="C435" t="s">
        <v>696</v>
      </c>
      <c r="D435">
        <v>136000</v>
      </c>
      <c r="E435">
        <v>15000</v>
      </c>
      <c r="H435">
        <v>1</v>
      </c>
      <c r="I435" t="s">
        <v>89</v>
      </c>
      <c r="J435">
        <v>28.33</v>
      </c>
      <c r="K435">
        <v>0</v>
      </c>
      <c r="L435">
        <v>4</v>
      </c>
      <c r="M435" t="s">
        <v>689</v>
      </c>
      <c r="N435">
        <v>7</v>
      </c>
      <c r="O435">
        <v>8.5</v>
      </c>
      <c r="P435">
        <v>110380.12</v>
      </c>
      <c r="Q435">
        <v>95329.65</v>
      </c>
      <c r="R435">
        <v>322</v>
      </c>
      <c r="S435">
        <v>1622</v>
      </c>
      <c r="T435" t="s">
        <v>34</v>
      </c>
      <c r="U435" t="s">
        <v>81</v>
      </c>
    </row>
    <row r="436" spans="1:21">
      <c r="A436" t="s">
        <v>745</v>
      </c>
      <c r="B436" t="s">
        <v>744</v>
      </c>
      <c r="C436" t="s">
        <v>696</v>
      </c>
      <c r="D436">
        <v>153000</v>
      </c>
      <c r="E436">
        <v>15000</v>
      </c>
      <c r="H436">
        <v>1</v>
      </c>
      <c r="I436" t="s">
        <v>89</v>
      </c>
      <c r="J436">
        <v>32.619999999999997</v>
      </c>
      <c r="K436">
        <v>0</v>
      </c>
      <c r="L436">
        <v>4</v>
      </c>
      <c r="M436" t="s">
        <v>689</v>
      </c>
      <c r="N436">
        <v>7</v>
      </c>
      <c r="O436">
        <v>8.5</v>
      </c>
      <c r="P436">
        <v>110380.12</v>
      </c>
      <c r="Q436">
        <v>95329.65</v>
      </c>
      <c r="R436">
        <v>322</v>
      </c>
      <c r="S436">
        <v>1622</v>
      </c>
      <c r="T436" t="s">
        <v>26</v>
      </c>
      <c r="U436" t="s">
        <v>81</v>
      </c>
    </row>
    <row r="437" spans="1:21">
      <c r="A437" t="s">
        <v>746</v>
      </c>
      <c r="B437" t="s">
        <v>747</v>
      </c>
      <c r="C437" t="s">
        <v>696</v>
      </c>
      <c r="D437">
        <v>86000</v>
      </c>
      <c r="E437">
        <v>3000</v>
      </c>
      <c r="F437">
        <v>86000</v>
      </c>
      <c r="G437">
        <v>86000</v>
      </c>
      <c r="H437">
        <v>1</v>
      </c>
      <c r="I437" t="s">
        <v>89</v>
      </c>
      <c r="J437">
        <v>20.91</v>
      </c>
      <c r="K437">
        <v>4</v>
      </c>
      <c r="L437">
        <v>2</v>
      </c>
      <c r="M437" t="s">
        <v>689</v>
      </c>
      <c r="N437">
        <v>7</v>
      </c>
      <c r="O437">
        <v>10.33</v>
      </c>
      <c r="P437">
        <v>110380.12</v>
      </c>
      <c r="Q437">
        <v>95329.65</v>
      </c>
      <c r="R437">
        <v>322</v>
      </c>
      <c r="S437">
        <v>1622</v>
      </c>
      <c r="T437" t="s">
        <v>34</v>
      </c>
      <c r="U437" t="s">
        <v>31</v>
      </c>
    </row>
    <row r="438" spans="1:21">
      <c r="A438" t="s">
        <v>748</v>
      </c>
      <c r="B438" t="s">
        <v>749</v>
      </c>
      <c r="C438" t="s">
        <v>701</v>
      </c>
      <c r="D438">
        <v>100000</v>
      </c>
      <c r="E438">
        <v>14000</v>
      </c>
      <c r="G438">
        <v>100000</v>
      </c>
      <c r="H438">
        <v>2</v>
      </c>
      <c r="I438" t="s">
        <v>89</v>
      </c>
      <c r="J438">
        <v>25.64</v>
      </c>
      <c r="K438">
        <v>7</v>
      </c>
      <c r="L438">
        <v>4</v>
      </c>
      <c r="M438" t="s">
        <v>689</v>
      </c>
      <c r="N438">
        <v>6</v>
      </c>
      <c r="O438">
        <v>10.67</v>
      </c>
      <c r="P438">
        <v>110380.12</v>
      </c>
      <c r="Q438">
        <v>95329.65</v>
      </c>
      <c r="R438">
        <v>322</v>
      </c>
      <c r="S438">
        <v>1622</v>
      </c>
      <c r="T438" t="s">
        <v>34</v>
      </c>
      <c r="U438" t="s">
        <v>31</v>
      </c>
    </row>
    <row r="439" spans="1:21">
      <c r="A439" t="s">
        <v>750</v>
      </c>
      <c r="B439" t="s">
        <v>749</v>
      </c>
      <c r="C439" t="s">
        <v>701</v>
      </c>
      <c r="D439">
        <v>100000</v>
      </c>
      <c r="E439">
        <v>14000</v>
      </c>
      <c r="G439">
        <v>100000</v>
      </c>
      <c r="H439">
        <v>3</v>
      </c>
      <c r="I439" t="s">
        <v>89</v>
      </c>
      <c r="J439">
        <v>25.22</v>
      </c>
      <c r="K439">
        <v>7</v>
      </c>
      <c r="L439">
        <v>4</v>
      </c>
      <c r="M439" t="s">
        <v>689</v>
      </c>
      <c r="N439">
        <v>6</v>
      </c>
      <c r="O439">
        <v>10.67</v>
      </c>
      <c r="P439">
        <v>110380.12</v>
      </c>
      <c r="Q439">
        <v>95329.65</v>
      </c>
      <c r="R439">
        <v>322</v>
      </c>
      <c r="S439">
        <v>1622</v>
      </c>
      <c r="T439" t="s">
        <v>34</v>
      </c>
      <c r="U439" t="s">
        <v>31</v>
      </c>
    </row>
    <row r="440" spans="1:21">
      <c r="A440" t="s">
        <v>751</v>
      </c>
      <c r="B440" t="s">
        <v>749</v>
      </c>
      <c r="C440" t="s">
        <v>701</v>
      </c>
      <c r="D440">
        <v>101000</v>
      </c>
      <c r="E440">
        <v>14000</v>
      </c>
      <c r="G440">
        <v>101000</v>
      </c>
      <c r="H440">
        <v>3</v>
      </c>
      <c r="I440" t="s">
        <v>89</v>
      </c>
      <c r="J440">
        <v>25.64</v>
      </c>
      <c r="K440">
        <v>7</v>
      </c>
      <c r="L440">
        <v>4</v>
      </c>
      <c r="M440" t="s">
        <v>689</v>
      </c>
      <c r="N440">
        <v>6</v>
      </c>
      <c r="O440">
        <v>10.67</v>
      </c>
      <c r="P440">
        <v>110380.12</v>
      </c>
      <c r="Q440">
        <v>95329.65</v>
      </c>
      <c r="R440">
        <v>322</v>
      </c>
      <c r="S440">
        <v>1622</v>
      </c>
      <c r="T440" t="s">
        <v>34</v>
      </c>
      <c r="U440" t="s">
        <v>31</v>
      </c>
    </row>
    <row r="441" spans="1:21">
      <c r="A441" t="s">
        <v>752</v>
      </c>
      <c r="B441" t="s">
        <v>753</v>
      </c>
      <c r="C441" t="s">
        <v>696</v>
      </c>
      <c r="D441">
        <v>63000</v>
      </c>
      <c r="E441">
        <v>8000</v>
      </c>
      <c r="F441">
        <v>63000</v>
      </c>
      <c r="G441">
        <v>63000</v>
      </c>
      <c r="H441">
        <v>1</v>
      </c>
      <c r="I441" t="s">
        <v>89</v>
      </c>
      <c r="J441">
        <v>23.24</v>
      </c>
      <c r="K441">
        <v>35</v>
      </c>
      <c r="L441">
        <v>3</v>
      </c>
      <c r="M441" t="s">
        <v>689</v>
      </c>
      <c r="N441">
        <v>6</v>
      </c>
      <c r="O441">
        <v>10.33</v>
      </c>
      <c r="P441">
        <v>110380.12</v>
      </c>
      <c r="Q441">
        <v>95329.65</v>
      </c>
      <c r="R441">
        <v>322</v>
      </c>
      <c r="S441">
        <v>1622</v>
      </c>
      <c r="T441" t="s">
        <v>34</v>
      </c>
      <c r="U441" t="s">
        <v>49</v>
      </c>
    </row>
    <row r="442" spans="1:21">
      <c r="A442" t="s">
        <v>754</v>
      </c>
      <c r="B442" t="s">
        <v>755</v>
      </c>
      <c r="C442" t="s">
        <v>701</v>
      </c>
      <c r="D442">
        <v>102000</v>
      </c>
      <c r="E442">
        <v>5500</v>
      </c>
      <c r="G442">
        <v>102000</v>
      </c>
      <c r="H442">
        <v>1</v>
      </c>
      <c r="I442" t="s">
        <v>89</v>
      </c>
      <c r="J442">
        <v>22.01</v>
      </c>
      <c r="K442">
        <v>7</v>
      </c>
      <c r="L442">
        <v>2</v>
      </c>
      <c r="M442" t="s">
        <v>689</v>
      </c>
      <c r="N442">
        <v>8</v>
      </c>
      <c r="O442">
        <v>11.67</v>
      </c>
      <c r="P442">
        <v>110380.12</v>
      </c>
      <c r="Q442">
        <v>95329.65</v>
      </c>
      <c r="R442">
        <v>322</v>
      </c>
      <c r="S442">
        <v>1622</v>
      </c>
      <c r="T442" t="s">
        <v>34</v>
      </c>
      <c r="U442" t="s">
        <v>31</v>
      </c>
    </row>
    <row r="443" spans="1:21">
      <c r="A443" t="s">
        <v>756</v>
      </c>
      <c r="B443" t="s">
        <v>757</v>
      </c>
      <c r="C443" t="s">
        <v>758</v>
      </c>
      <c r="D443">
        <v>92000</v>
      </c>
      <c r="E443">
        <v>5000</v>
      </c>
      <c r="H443">
        <v>1</v>
      </c>
      <c r="I443" t="s">
        <v>89</v>
      </c>
      <c r="J443">
        <v>19.739999999999998</v>
      </c>
      <c r="K443">
        <v>19</v>
      </c>
      <c r="L443">
        <v>3</v>
      </c>
      <c r="M443" t="s">
        <v>689</v>
      </c>
      <c r="N443">
        <v>6</v>
      </c>
      <c r="O443">
        <v>9.67</v>
      </c>
      <c r="P443">
        <v>110380.12</v>
      </c>
      <c r="Q443">
        <v>95329.65</v>
      </c>
      <c r="R443">
        <v>322</v>
      </c>
      <c r="S443">
        <v>1622</v>
      </c>
      <c r="T443" t="s">
        <v>108</v>
      </c>
      <c r="U443" t="s">
        <v>90</v>
      </c>
    </row>
    <row r="444" spans="1:21">
      <c r="A444" t="s">
        <v>759</v>
      </c>
      <c r="B444" t="s">
        <v>757</v>
      </c>
      <c r="C444" t="s">
        <v>758</v>
      </c>
      <c r="D444">
        <v>90000</v>
      </c>
      <c r="E444">
        <v>5000</v>
      </c>
      <c r="H444">
        <v>1</v>
      </c>
      <c r="I444" t="s">
        <v>89</v>
      </c>
      <c r="J444">
        <v>19.739999999999998</v>
      </c>
      <c r="K444">
        <v>19</v>
      </c>
      <c r="L444">
        <v>3</v>
      </c>
      <c r="M444" t="s">
        <v>689</v>
      </c>
      <c r="N444">
        <v>6</v>
      </c>
      <c r="O444">
        <v>9.67</v>
      </c>
      <c r="P444">
        <v>110380.12</v>
      </c>
      <c r="Q444">
        <v>95329.65</v>
      </c>
      <c r="R444">
        <v>322</v>
      </c>
      <c r="S444">
        <v>1622</v>
      </c>
      <c r="T444" t="s">
        <v>108</v>
      </c>
      <c r="U444" t="s">
        <v>90</v>
      </c>
    </row>
    <row r="445" spans="1:21">
      <c r="A445" t="s">
        <v>760</v>
      </c>
      <c r="B445" t="s">
        <v>761</v>
      </c>
      <c r="C445" t="s">
        <v>688</v>
      </c>
      <c r="D445">
        <v>70000</v>
      </c>
      <c r="F445">
        <v>70000</v>
      </c>
      <c r="G445">
        <v>70000</v>
      </c>
      <c r="H445">
        <v>1</v>
      </c>
      <c r="I445" t="s">
        <v>89</v>
      </c>
      <c r="J445">
        <v>22.17</v>
      </c>
      <c r="K445">
        <v>27</v>
      </c>
      <c r="L445">
        <v>2</v>
      </c>
      <c r="M445" t="s">
        <v>689</v>
      </c>
      <c r="N445">
        <v>8</v>
      </c>
      <c r="O445">
        <v>11.67</v>
      </c>
      <c r="P445">
        <v>110380.12</v>
      </c>
      <c r="Q445">
        <v>95329.65</v>
      </c>
      <c r="R445">
        <v>322</v>
      </c>
      <c r="S445">
        <v>1622</v>
      </c>
      <c r="T445" t="s">
        <v>34</v>
      </c>
      <c r="U445" t="s">
        <v>27</v>
      </c>
    </row>
    <row r="446" spans="1:21">
      <c r="A446" t="s">
        <v>762</v>
      </c>
      <c r="B446" t="s">
        <v>763</v>
      </c>
      <c r="C446" t="s">
        <v>104</v>
      </c>
      <c r="D446">
        <v>75000</v>
      </c>
      <c r="E446">
        <v>3000</v>
      </c>
      <c r="F446">
        <v>75000</v>
      </c>
      <c r="G446">
        <v>75000</v>
      </c>
      <c r="H446">
        <v>1</v>
      </c>
      <c r="I446" t="s">
        <v>89</v>
      </c>
      <c r="J446">
        <v>18.23</v>
      </c>
      <c r="K446">
        <v>38</v>
      </c>
      <c r="L446">
        <v>2</v>
      </c>
      <c r="M446" t="s">
        <v>689</v>
      </c>
      <c r="N446">
        <v>1</v>
      </c>
      <c r="O446">
        <v>6.67</v>
      </c>
      <c r="P446">
        <v>110380.12</v>
      </c>
      <c r="Q446">
        <v>95329.65</v>
      </c>
      <c r="R446">
        <v>322</v>
      </c>
      <c r="S446">
        <v>1622</v>
      </c>
      <c r="T446" t="s">
        <v>108</v>
      </c>
      <c r="U446" t="s">
        <v>49</v>
      </c>
    </row>
    <row r="447" spans="1:21">
      <c r="A447" t="s">
        <v>764</v>
      </c>
      <c r="B447" t="s">
        <v>763</v>
      </c>
      <c r="C447" t="s">
        <v>104</v>
      </c>
      <c r="D447">
        <v>76000</v>
      </c>
      <c r="E447">
        <v>3000</v>
      </c>
      <c r="F447">
        <v>76000</v>
      </c>
      <c r="G447">
        <v>76000</v>
      </c>
      <c r="H447">
        <v>1</v>
      </c>
      <c r="I447" t="s">
        <v>89</v>
      </c>
      <c r="J447">
        <v>18.23</v>
      </c>
      <c r="K447">
        <v>38</v>
      </c>
      <c r="L447">
        <v>2</v>
      </c>
      <c r="M447" t="s">
        <v>689</v>
      </c>
      <c r="N447">
        <v>1</v>
      </c>
      <c r="O447">
        <v>6.67</v>
      </c>
      <c r="P447">
        <v>110380.12</v>
      </c>
      <c r="Q447">
        <v>95329.65</v>
      </c>
      <c r="R447">
        <v>322</v>
      </c>
      <c r="S447">
        <v>1622</v>
      </c>
      <c r="T447" t="s">
        <v>108</v>
      </c>
      <c r="U447" t="s">
        <v>49</v>
      </c>
    </row>
    <row r="448" spans="1:21">
      <c r="A448" t="s">
        <v>765</v>
      </c>
      <c r="B448" t="s">
        <v>763</v>
      </c>
      <c r="C448" t="s">
        <v>104</v>
      </c>
      <c r="D448">
        <v>77000</v>
      </c>
      <c r="E448">
        <v>3000</v>
      </c>
      <c r="F448">
        <v>77000</v>
      </c>
      <c r="G448">
        <v>77000</v>
      </c>
      <c r="H448">
        <v>2</v>
      </c>
      <c r="I448" t="s">
        <v>89</v>
      </c>
      <c r="J448">
        <v>18.23</v>
      </c>
      <c r="K448">
        <v>38</v>
      </c>
      <c r="L448">
        <v>2</v>
      </c>
      <c r="M448" t="s">
        <v>689</v>
      </c>
      <c r="N448">
        <v>1</v>
      </c>
      <c r="O448">
        <v>6.67</v>
      </c>
      <c r="P448">
        <v>110380.12</v>
      </c>
      <c r="Q448">
        <v>95329.65</v>
      </c>
      <c r="R448">
        <v>322</v>
      </c>
      <c r="S448">
        <v>1622</v>
      </c>
      <c r="T448" t="s">
        <v>108</v>
      </c>
      <c r="U448" t="s">
        <v>49</v>
      </c>
    </row>
    <row r="449" spans="1:21">
      <c r="A449" t="s">
        <v>766</v>
      </c>
      <c r="B449" t="s">
        <v>767</v>
      </c>
      <c r="C449" t="s">
        <v>701</v>
      </c>
      <c r="D449">
        <v>58000</v>
      </c>
      <c r="F449">
        <v>58000</v>
      </c>
      <c r="G449">
        <v>58000</v>
      </c>
      <c r="H449">
        <v>1</v>
      </c>
      <c r="I449" t="s">
        <v>89</v>
      </c>
      <c r="J449">
        <v>15.2</v>
      </c>
      <c r="K449">
        <v>63</v>
      </c>
      <c r="L449">
        <v>2</v>
      </c>
      <c r="M449" t="s">
        <v>689</v>
      </c>
      <c r="N449">
        <v>3</v>
      </c>
      <c r="O449">
        <v>5.67</v>
      </c>
      <c r="P449">
        <v>110380.12</v>
      </c>
      <c r="Q449">
        <v>95329.65</v>
      </c>
      <c r="R449">
        <v>322</v>
      </c>
      <c r="S449">
        <v>1622</v>
      </c>
      <c r="T449" t="s">
        <v>108</v>
      </c>
      <c r="U449" t="s">
        <v>38</v>
      </c>
    </row>
    <row r="450" spans="1:21">
      <c r="A450" t="s">
        <v>768</v>
      </c>
      <c r="B450" t="s">
        <v>769</v>
      </c>
      <c r="C450" t="s">
        <v>709</v>
      </c>
      <c r="D450">
        <v>56000</v>
      </c>
      <c r="E450">
        <v>2000</v>
      </c>
      <c r="H450">
        <v>1</v>
      </c>
      <c r="I450" t="s">
        <v>89</v>
      </c>
      <c r="J450">
        <v>16.47</v>
      </c>
      <c r="K450">
        <v>33</v>
      </c>
      <c r="L450">
        <v>2</v>
      </c>
      <c r="M450" t="s">
        <v>689</v>
      </c>
      <c r="N450">
        <v>4</v>
      </c>
      <c r="O450">
        <v>7.33</v>
      </c>
      <c r="P450">
        <v>110380.12</v>
      </c>
      <c r="Q450">
        <v>95329.65</v>
      </c>
      <c r="R450">
        <v>322</v>
      </c>
      <c r="S450">
        <v>1622</v>
      </c>
      <c r="T450" t="s">
        <v>108</v>
      </c>
      <c r="U450" t="s">
        <v>49</v>
      </c>
    </row>
    <row r="451" spans="1:21">
      <c r="A451" t="s">
        <v>770</v>
      </c>
      <c r="B451" t="s">
        <v>769</v>
      </c>
      <c r="C451" t="s">
        <v>709</v>
      </c>
      <c r="D451">
        <v>56000</v>
      </c>
      <c r="E451">
        <v>2000</v>
      </c>
      <c r="H451">
        <v>1</v>
      </c>
      <c r="I451" t="s">
        <v>89</v>
      </c>
      <c r="J451">
        <v>16.5</v>
      </c>
      <c r="K451">
        <v>33</v>
      </c>
      <c r="L451">
        <v>2</v>
      </c>
      <c r="M451" t="s">
        <v>689</v>
      </c>
      <c r="N451">
        <v>4</v>
      </c>
      <c r="O451">
        <v>7.33</v>
      </c>
      <c r="P451">
        <v>110380.12</v>
      </c>
      <c r="Q451">
        <v>95329.65</v>
      </c>
      <c r="R451">
        <v>322</v>
      </c>
      <c r="S451">
        <v>1622</v>
      </c>
      <c r="T451" t="s">
        <v>108</v>
      </c>
      <c r="U451" t="s">
        <v>49</v>
      </c>
    </row>
    <row r="452" spans="1:21">
      <c r="A452" t="s">
        <v>771</v>
      </c>
      <c r="B452" t="s">
        <v>769</v>
      </c>
      <c r="C452" t="s">
        <v>709</v>
      </c>
      <c r="D452">
        <v>60000</v>
      </c>
      <c r="E452">
        <v>2000</v>
      </c>
      <c r="H452">
        <v>2</v>
      </c>
      <c r="I452" t="s">
        <v>89</v>
      </c>
      <c r="J452">
        <v>16.2</v>
      </c>
      <c r="K452">
        <v>33</v>
      </c>
      <c r="L452">
        <v>2</v>
      </c>
      <c r="M452" t="s">
        <v>689</v>
      </c>
      <c r="N452">
        <v>4</v>
      </c>
      <c r="O452">
        <v>7.33</v>
      </c>
      <c r="P452">
        <v>110380.12</v>
      </c>
      <c r="Q452">
        <v>95329.65</v>
      </c>
      <c r="R452">
        <v>322</v>
      </c>
      <c r="S452">
        <v>1622</v>
      </c>
      <c r="T452" t="s">
        <v>108</v>
      </c>
      <c r="U452" t="s">
        <v>49</v>
      </c>
    </row>
    <row r="453" spans="1:21">
      <c r="A453" t="s">
        <v>772</v>
      </c>
      <c r="B453" t="s">
        <v>769</v>
      </c>
      <c r="C453" t="s">
        <v>709</v>
      </c>
      <c r="D453">
        <v>60000</v>
      </c>
      <c r="E453">
        <v>2000</v>
      </c>
      <c r="H453">
        <v>2</v>
      </c>
      <c r="I453" t="s">
        <v>89</v>
      </c>
      <c r="J453">
        <v>16.47</v>
      </c>
      <c r="K453">
        <v>33</v>
      </c>
      <c r="L453">
        <v>2</v>
      </c>
      <c r="M453" t="s">
        <v>689</v>
      </c>
      <c r="N453">
        <v>4</v>
      </c>
      <c r="O453">
        <v>7.33</v>
      </c>
      <c r="P453">
        <v>110380.12</v>
      </c>
      <c r="Q453">
        <v>95329.65</v>
      </c>
      <c r="R453">
        <v>322</v>
      </c>
      <c r="S453">
        <v>1622</v>
      </c>
      <c r="T453" t="s">
        <v>108</v>
      </c>
      <c r="U453" t="s">
        <v>49</v>
      </c>
    </row>
    <row r="454" spans="1:21">
      <c r="A454" t="s">
        <v>773</v>
      </c>
      <c r="B454" t="s">
        <v>774</v>
      </c>
      <c r="C454" t="s">
        <v>696</v>
      </c>
      <c r="D454">
        <v>65000</v>
      </c>
      <c r="F454">
        <v>65000</v>
      </c>
      <c r="G454">
        <v>65000</v>
      </c>
      <c r="H454">
        <v>1</v>
      </c>
      <c r="I454" t="s">
        <v>89</v>
      </c>
      <c r="J454">
        <v>20</v>
      </c>
      <c r="K454">
        <v>41</v>
      </c>
      <c r="L454">
        <v>2</v>
      </c>
      <c r="M454" t="s">
        <v>689</v>
      </c>
      <c r="N454">
        <v>10</v>
      </c>
      <c r="O454">
        <v>12</v>
      </c>
      <c r="P454">
        <v>110380.12</v>
      </c>
      <c r="Q454">
        <v>95329.65</v>
      </c>
      <c r="R454">
        <v>322</v>
      </c>
      <c r="S454">
        <v>1622</v>
      </c>
      <c r="T454" t="s">
        <v>34</v>
      </c>
      <c r="U454" t="s">
        <v>42</v>
      </c>
    </row>
    <row r="455" spans="1:21">
      <c r="A455" t="s">
        <v>775</v>
      </c>
      <c r="B455" t="s">
        <v>774</v>
      </c>
      <c r="C455" t="s">
        <v>696</v>
      </c>
      <c r="D455">
        <v>65000</v>
      </c>
      <c r="E455">
        <v>3000</v>
      </c>
      <c r="F455">
        <v>65000</v>
      </c>
      <c r="G455">
        <v>65000</v>
      </c>
      <c r="H455">
        <v>2</v>
      </c>
      <c r="I455" t="s">
        <v>89</v>
      </c>
      <c r="J455">
        <v>20</v>
      </c>
      <c r="K455">
        <v>41</v>
      </c>
      <c r="L455">
        <v>2</v>
      </c>
      <c r="M455" t="s">
        <v>689</v>
      </c>
      <c r="N455">
        <v>10</v>
      </c>
      <c r="O455">
        <v>12</v>
      </c>
      <c r="P455">
        <v>110380.12</v>
      </c>
      <c r="Q455">
        <v>95329.65</v>
      </c>
      <c r="R455">
        <v>322</v>
      </c>
      <c r="S455">
        <v>1622</v>
      </c>
      <c r="T455" t="s">
        <v>34</v>
      </c>
      <c r="U455" t="s">
        <v>42</v>
      </c>
    </row>
    <row r="456" spans="1:21">
      <c r="A456" t="s">
        <v>776</v>
      </c>
      <c r="B456" t="s">
        <v>777</v>
      </c>
      <c r="C456" t="s">
        <v>688</v>
      </c>
      <c r="D456">
        <v>54000</v>
      </c>
      <c r="F456">
        <v>54000</v>
      </c>
      <c r="H456">
        <v>1</v>
      </c>
      <c r="I456" t="s">
        <v>89</v>
      </c>
      <c r="J456">
        <v>14.8</v>
      </c>
      <c r="K456">
        <v>36</v>
      </c>
      <c r="L456">
        <v>2</v>
      </c>
      <c r="M456" t="s">
        <v>689</v>
      </c>
      <c r="N456">
        <v>6</v>
      </c>
      <c r="O456">
        <v>9.33</v>
      </c>
      <c r="P456">
        <v>110380.12</v>
      </c>
      <c r="Q456">
        <v>95329.65</v>
      </c>
      <c r="R456">
        <v>322</v>
      </c>
      <c r="S456">
        <v>1622</v>
      </c>
      <c r="T456" t="s">
        <v>108</v>
      </c>
      <c r="U456" t="s">
        <v>49</v>
      </c>
    </row>
    <row r="457" spans="1:21">
      <c r="A457" t="s">
        <v>778</v>
      </c>
      <c r="B457" t="s">
        <v>779</v>
      </c>
      <c r="C457" t="s">
        <v>121</v>
      </c>
      <c r="D457">
        <v>107800</v>
      </c>
      <c r="E457">
        <v>8200</v>
      </c>
      <c r="F457">
        <v>107800</v>
      </c>
      <c r="G457">
        <v>107800</v>
      </c>
      <c r="H457">
        <v>1</v>
      </c>
      <c r="I457" t="s">
        <v>89</v>
      </c>
      <c r="J457">
        <v>25.6</v>
      </c>
      <c r="K457">
        <v>6</v>
      </c>
      <c r="L457">
        <v>4</v>
      </c>
      <c r="M457" t="s">
        <v>689</v>
      </c>
      <c r="N457">
        <v>6</v>
      </c>
      <c r="O457">
        <v>9.67</v>
      </c>
      <c r="P457">
        <v>110380.12</v>
      </c>
      <c r="Q457">
        <v>95329.65</v>
      </c>
      <c r="R457">
        <v>322</v>
      </c>
      <c r="S457">
        <v>1622</v>
      </c>
      <c r="T457" t="s">
        <v>34</v>
      </c>
      <c r="U457" t="s">
        <v>31</v>
      </c>
    </row>
    <row r="458" spans="1:21">
      <c r="A458" t="s">
        <v>780</v>
      </c>
      <c r="B458" t="s">
        <v>779</v>
      </c>
      <c r="C458" t="s">
        <v>121</v>
      </c>
      <c r="D458">
        <v>108800</v>
      </c>
      <c r="E458">
        <v>8200</v>
      </c>
      <c r="F458">
        <v>108800</v>
      </c>
      <c r="G458">
        <v>108800</v>
      </c>
      <c r="H458">
        <v>2</v>
      </c>
      <c r="I458" t="s">
        <v>89</v>
      </c>
      <c r="J458">
        <v>25.52</v>
      </c>
      <c r="K458">
        <v>6</v>
      </c>
      <c r="L458">
        <v>4</v>
      </c>
      <c r="M458" t="s">
        <v>689</v>
      </c>
      <c r="N458">
        <v>6</v>
      </c>
      <c r="O458">
        <v>9.67</v>
      </c>
      <c r="P458">
        <v>110380.12</v>
      </c>
      <c r="Q458">
        <v>95329.65</v>
      </c>
      <c r="R458">
        <v>322</v>
      </c>
      <c r="S458">
        <v>1622</v>
      </c>
      <c r="T458" t="s">
        <v>34</v>
      </c>
      <c r="U458" t="s">
        <v>31</v>
      </c>
    </row>
    <row r="459" spans="1:21">
      <c r="A459" t="s">
        <v>781</v>
      </c>
      <c r="B459" t="s">
        <v>779</v>
      </c>
      <c r="C459" t="s">
        <v>121</v>
      </c>
      <c r="D459">
        <v>108699.999999999</v>
      </c>
      <c r="E459">
        <v>8300</v>
      </c>
      <c r="F459">
        <v>108699.999999999</v>
      </c>
      <c r="G459">
        <v>108699.999999999</v>
      </c>
      <c r="H459">
        <v>2</v>
      </c>
      <c r="I459" t="s">
        <v>89</v>
      </c>
      <c r="J459">
        <v>25.86</v>
      </c>
      <c r="K459">
        <v>6</v>
      </c>
      <c r="L459">
        <v>4</v>
      </c>
      <c r="M459" t="s">
        <v>689</v>
      </c>
      <c r="N459">
        <v>6</v>
      </c>
      <c r="O459">
        <v>9.67</v>
      </c>
      <c r="P459">
        <v>110380.12</v>
      </c>
      <c r="Q459">
        <v>95329.65</v>
      </c>
      <c r="R459">
        <v>322</v>
      </c>
      <c r="S459">
        <v>1622</v>
      </c>
      <c r="T459" t="s">
        <v>34</v>
      </c>
      <c r="U459" t="s">
        <v>31</v>
      </c>
    </row>
    <row r="460" spans="1:21">
      <c r="A460" t="s">
        <v>782</v>
      </c>
      <c r="B460" t="s">
        <v>779</v>
      </c>
      <c r="C460" t="s">
        <v>121</v>
      </c>
      <c r="D460">
        <v>109300</v>
      </c>
      <c r="E460">
        <v>8200</v>
      </c>
      <c r="F460">
        <v>109300</v>
      </c>
      <c r="G460">
        <v>109300</v>
      </c>
      <c r="H460">
        <v>3</v>
      </c>
      <c r="I460" t="s">
        <v>89</v>
      </c>
      <c r="J460">
        <v>25.6</v>
      </c>
      <c r="K460">
        <v>6</v>
      </c>
      <c r="L460">
        <v>4</v>
      </c>
      <c r="M460" t="s">
        <v>689</v>
      </c>
      <c r="N460">
        <v>6</v>
      </c>
      <c r="O460">
        <v>9.67</v>
      </c>
      <c r="P460">
        <v>110380.12</v>
      </c>
      <c r="Q460">
        <v>95329.65</v>
      </c>
      <c r="R460">
        <v>322</v>
      </c>
      <c r="S460">
        <v>1622</v>
      </c>
      <c r="T460" t="s">
        <v>34</v>
      </c>
      <c r="U460" t="s">
        <v>31</v>
      </c>
    </row>
    <row r="461" spans="1:21">
      <c r="A461" t="s">
        <v>783</v>
      </c>
      <c r="B461" t="s">
        <v>784</v>
      </c>
      <c r="C461" t="s">
        <v>709</v>
      </c>
      <c r="D461">
        <v>77000</v>
      </c>
      <c r="E461">
        <v>6000</v>
      </c>
      <c r="F461">
        <v>77000</v>
      </c>
      <c r="G461">
        <v>77000</v>
      </c>
      <c r="H461">
        <v>2</v>
      </c>
      <c r="I461" t="s">
        <v>89</v>
      </c>
      <c r="J461">
        <v>18.48</v>
      </c>
      <c r="K461">
        <v>26</v>
      </c>
      <c r="L461">
        <v>4</v>
      </c>
      <c r="M461" t="s">
        <v>689</v>
      </c>
      <c r="N461">
        <v>7</v>
      </c>
      <c r="O461">
        <v>10.67</v>
      </c>
      <c r="P461">
        <v>110380.12</v>
      </c>
      <c r="Q461">
        <v>95329.65</v>
      </c>
      <c r="R461">
        <v>322</v>
      </c>
      <c r="S461">
        <v>1622</v>
      </c>
      <c r="T461" t="s">
        <v>108</v>
      </c>
      <c r="U461" t="s">
        <v>27</v>
      </c>
    </row>
    <row r="462" spans="1:21">
      <c r="A462" t="s">
        <v>785</v>
      </c>
      <c r="B462" t="s">
        <v>784</v>
      </c>
      <c r="C462" t="s">
        <v>709</v>
      </c>
      <c r="D462">
        <v>78000</v>
      </c>
      <c r="E462">
        <v>6000</v>
      </c>
      <c r="F462">
        <v>78000</v>
      </c>
      <c r="G462">
        <v>78000</v>
      </c>
      <c r="H462">
        <v>3</v>
      </c>
      <c r="I462" t="s">
        <v>89</v>
      </c>
      <c r="J462">
        <v>18.5</v>
      </c>
      <c r="K462">
        <v>26</v>
      </c>
      <c r="L462">
        <v>4</v>
      </c>
      <c r="M462" t="s">
        <v>689</v>
      </c>
      <c r="N462">
        <v>7</v>
      </c>
      <c r="O462">
        <v>10.67</v>
      </c>
      <c r="P462">
        <v>110380.12</v>
      </c>
      <c r="Q462">
        <v>95329.65</v>
      </c>
      <c r="R462">
        <v>322</v>
      </c>
      <c r="S462">
        <v>1622</v>
      </c>
      <c r="T462" t="s">
        <v>108</v>
      </c>
      <c r="U462" t="s">
        <v>27</v>
      </c>
    </row>
    <row r="463" spans="1:21">
      <c r="A463" t="s">
        <v>786</v>
      </c>
      <c r="B463" t="s">
        <v>784</v>
      </c>
      <c r="C463" t="s">
        <v>709</v>
      </c>
      <c r="D463">
        <v>75000</v>
      </c>
      <c r="E463">
        <v>6000</v>
      </c>
      <c r="F463">
        <v>75000</v>
      </c>
      <c r="G463">
        <v>75000</v>
      </c>
      <c r="H463">
        <v>4</v>
      </c>
      <c r="I463" t="s">
        <v>89</v>
      </c>
      <c r="J463">
        <v>18.48</v>
      </c>
      <c r="K463">
        <v>26</v>
      </c>
      <c r="L463">
        <v>4</v>
      </c>
      <c r="M463" t="s">
        <v>689</v>
      </c>
      <c r="N463">
        <v>7</v>
      </c>
      <c r="O463">
        <v>10.67</v>
      </c>
      <c r="P463">
        <v>110380.12</v>
      </c>
      <c r="Q463">
        <v>95329.65</v>
      </c>
      <c r="R463">
        <v>322</v>
      </c>
      <c r="S463">
        <v>1622</v>
      </c>
      <c r="T463" t="s">
        <v>108</v>
      </c>
      <c r="U463" t="s">
        <v>27</v>
      </c>
    </row>
    <row r="464" spans="1:21">
      <c r="A464" t="s">
        <v>787</v>
      </c>
      <c r="B464" t="s">
        <v>784</v>
      </c>
      <c r="C464" t="s">
        <v>709</v>
      </c>
      <c r="D464">
        <v>78000</v>
      </c>
      <c r="E464">
        <v>6000</v>
      </c>
      <c r="F464">
        <v>78000</v>
      </c>
      <c r="G464">
        <v>78000</v>
      </c>
      <c r="H464">
        <v>4</v>
      </c>
      <c r="I464" t="s">
        <v>89</v>
      </c>
      <c r="J464">
        <v>18.48</v>
      </c>
      <c r="K464">
        <v>26</v>
      </c>
      <c r="L464">
        <v>4</v>
      </c>
      <c r="M464" t="s">
        <v>689</v>
      </c>
      <c r="N464">
        <v>7</v>
      </c>
      <c r="O464">
        <v>10.67</v>
      </c>
      <c r="P464">
        <v>110380.12</v>
      </c>
      <c r="Q464">
        <v>95329.65</v>
      </c>
      <c r="R464">
        <v>322</v>
      </c>
      <c r="S464">
        <v>1622</v>
      </c>
      <c r="T464" t="s">
        <v>108</v>
      </c>
      <c r="U464" t="s">
        <v>27</v>
      </c>
    </row>
    <row r="465" spans="1:21">
      <c r="A465" t="s">
        <v>788</v>
      </c>
      <c r="B465" t="s">
        <v>784</v>
      </c>
      <c r="C465" t="s">
        <v>709</v>
      </c>
      <c r="D465">
        <v>79000</v>
      </c>
      <c r="E465">
        <v>6000</v>
      </c>
      <c r="F465">
        <v>79000</v>
      </c>
      <c r="G465">
        <v>79000</v>
      </c>
      <c r="H465">
        <v>4</v>
      </c>
      <c r="I465" t="s">
        <v>89</v>
      </c>
      <c r="J465">
        <v>18.48</v>
      </c>
      <c r="K465">
        <v>26</v>
      </c>
      <c r="L465">
        <v>4</v>
      </c>
      <c r="M465" t="s">
        <v>689</v>
      </c>
      <c r="N465">
        <v>7</v>
      </c>
      <c r="O465">
        <v>10.67</v>
      </c>
      <c r="P465">
        <v>110380.12</v>
      </c>
      <c r="Q465">
        <v>95329.65</v>
      </c>
      <c r="R465">
        <v>322</v>
      </c>
      <c r="S465">
        <v>1622</v>
      </c>
      <c r="T465" t="s">
        <v>108</v>
      </c>
      <c r="U465" t="s">
        <v>27</v>
      </c>
    </row>
    <row r="466" spans="1:21">
      <c r="A466" t="s">
        <v>789</v>
      </c>
      <c r="B466" t="s">
        <v>790</v>
      </c>
      <c r="C466" t="s">
        <v>104</v>
      </c>
      <c r="D466">
        <v>92000</v>
      </c>
      <c r="E466">
        <v>2000</v>
      </c>
      <c r="F466">
        <v>92000</v>
      </c>
      <c r="H466">
        <v>1</v>
      </c>
      <c r="I466" t="s">
        <v>89</v>
      </c>
      <c r="J466">
        <v>21.06</v>
      </c>
      <c r="K466">
        <v>33</v>
      </c>
      <c r="L466">
        <v>3</v>
      </c>
      <c r="M466" t="s">
        <v>689</v>
      </c>
      <c r="N466">
        <v>5</v>
      </c>
      <c r="O466">
        <v>7</v>
      </c>
      <c r="P466">
        <v>110380.12</v>
      </c>
      <c r="Q466">
        <v>95329.65</v>
      </c>
      <c r="R466">
        <v>322</v>
      </c>
      <c r="S466">
        <v>1622</v>
      </c>
      <c r="T466" t="s">
        <v>34</v>
      </c>
      <c r="U466" t="s">
        <v>49</v>
      </c>
    </row>
    <row r="467" spans="1:21">
      <c r="A467" t="s">
        <v>791</v>
      </c>
      <c r="B467" t="s">
        <v>790</v>
      </c>
      <c r="C467" t="s">
        <v>104</v>
      </c>
      <c r="D467">
        <v>88000</v>
      </c>
      <c r="E467">
        <v>2000</v>
      </c>
      <c r="F467">
        <v>88000</v>
      </c>
      <c r="H467">
        <v>2</v>
      </c>
      <c r="I467" t="s">
        <v>89</v>
      </c>
      <c r="J467">
        <v>21.06</v>
      </c>
      <c r="K467">
        <v>33</v>
      </c>
      <c r="L467">
        <v>3</v>
      </c>
      <c r="M467" t="s">
        <v>689</v>
      </c>
      <c r="N467">
        <v>5</v>
      </c>
      <c r="O467">
        <v>7</v>
      </c>
      <c r="P467">
        <v>110380.12</v>
      </c>
      <c r="Q467">
        <v>95329.65</v>
      </c>
      <c r="R467">
        <v>322</v>
      </c>
      <c r="S467">
        <v>1622</v>
      </c>
      <c r="T467" t="s">
        <v>34</v>
      </c>
      <c r="U467" t="s">
        <v>49</v>
      </c>
    </row>
    <row r="468" spans="1:21">
      <c r="A468" t="s">
        <v>792</v>
      </c>
      <c r="B468" t="s">
        <v>793</v>
      </c>
      <c r="C468" t="s">
        <v>709</v>
      </c>
      <c r="D468">
        <v>117000</v>
      </c>
      <c r="E468">
        <v>12000</v>
      </c>
      <c r="H468">
        <v>3</v>
      </c>
      <c r="I468" t="s">
        <v>89</v>
      </c>
      <c r="J468">
        <v>25.95</v>
      </c>
      <c r="K468">
        <v>5</v>
      </c>
      <c r="L468">
        <v>5</v>
      </c>
      <c r="M468" t="s">
        <v>689</v>
      </c>
      <c r="N468">
        <v>4</v>
      </c>
      <c r="O468">
        <v>8</v>
      </c>
      <c r="P468">
        <v>110380.12</v>
      </c>
      <c r="Q468">
        <v>95329.65</v>
      </c>
      <c r="R468">
        <v>322</v>
      </c>
      <c r="S468">
        <v>1622</v>
      </c>
      <c r="T468" t="s">
        <v>34</v>
      </c>
      <c r="U468" t="s">
        <v>31</v>
      </c>
    </row>
    <row r="469" spans="1:21">
      <c r="A469" t="s">
        <v>794</v>
      </c>
      <c r="B469" t="s">
        <v>795</v>
      </c>
      <c r="C469" t="s">
        <v>121</v>
      </c>
      <c r="D469">
        <v>137000</v>
      </c>
      <c r="E469">
        <v>10000</v>
      </c>
      <c r="H469">
        <v>2</v>
      </c>
      <c r="I469" t="s">
        <v>89</v>
      </c>
      <c r="J469">
        <v>30.6</v>
      </c>
      <c r="K469">
        <v>8</v>
      </c>
      <c r="L469">
        <v>4</v>
      </c>
      <c r="M469" t="s">
        <v>689</v>
      </c>
      <c r="N469">
        <v>5</v>
      </c>
      <c r="O469">
        <v>7.33</v>
      </c>
      <c r="P469">
        <v>110380.12</v>
      </c>
      <c r="Q469">
        <v>95329.65</v>
      </c>
      <c r="R469">
        <v>322</v>
      </c>
      <c r="S469">
        <v>1622</v>
      </c>
      <c r="T469" t="s">
        <v>26</v>
      </c>
      <c r="U469" t="s">
        <v>31</v>
      </c>
    </row>
    <row r="470" spans="1:21">
      <c r="A470" t="s">
        <v>796</v>
      </c>
      <c r="B470" t="s">
        <v>795</v>
      </c>
      <c r="C470" t="s">
        <v>121</v>
      </c>
      <c r="D470">
        <v>135000</v>
      </c>
      <c r="E470">
        <v>10000</v>
      </c>
      <c r="G470">
        <v>135000</v>
      </c>
      <c r="H470">
        <v>3</v>
      </c>
      <c r="I470" t="s">
        <v>89</v>
      </c>
      <c r="J470">
        <v>30.69</v>
      </c>
      <c r="K470">
        <v>8</v>
      </c>
      <c r="L470">
        <v>4</v>
      </c>
      <c r="M470" t="s">
        <v>689</v>
      </c>
      <c r="N470">
        <v>5</v>
      </c>
      <c r="O470">
        <v>7.33</v>
      </c>
      <c r="P470">
        <v>110380.12</v>
      </c>
      <c r="Q470">
        <v>95329.65</v>
      </c>
      <c r="R470">
        <v>322</v>
      </c>
      <c r="S470">
        <v>1622</v>
      </c>
      <c r="T470" t="s">
        <v>26</v>
      </c>
      <c r="U470" t="s">
        <v>31</v>
      </c>
    </row>
    <row r="471" spans="1:21">
      <c r="A471" t="s">
        <v>797</v>
      </c>
      <c r="B471" t="s">
        <v>798</v>
      </c>
      <c r="C471" t="s">
        <v>688</v>
      </c>
      <c r="D471">
        <v>75000</v>
      </c>
      <c r="E471">
        <v>7000</v>
      </c>
      <c r="F471">
        <v>75000</v>
      </c>
      <c r="G471">
        <v>75000</v>
      </c>
      <c r="H471">
        <v>3</v>
      </c>
      <c r="I471" t="s">
        <v>89</v>
      </c>
      <c r="J471">
        <v>20.9</v>
      </c>
      <c r="K471">
        <v>22</v>
      </c>
      <c r="L471">
        <v>5</v>
      </c>
      <c r="M471" t="s">
        <v>689</v>
      </c>
      <c r="N471">
        <v>9</v>
      </c>
      <c r="O471">
        <v>11</v>
      </c>
      <c r="P471">
        <v>110380.12</v>
      </c>
      <c r="Q471">
        <v>95329.65</v>
      </c>
      <c r="R471">
        <v>322</v>
      </c>
      <c r="S471">
        <v>1622</v>
      </c>
      <c r="T471" t="s">
        <v>34</v>
      </c>
      <c r="U471" t="s">
        <v>27</v>
      </c>
    </row>
    <row r="472" spans="1:21">
      <c r="A472" t="s">
        <v>799</v>
      </c>
      <c r="B472" t="s">
        <v>800</v>
      </c>
      <c r="C472" t="s">
        <v>696</v>
      </c>
      <c r="D472">
        <v>63000</v>
      </c>
      <c r="F472">
        <v>63000</v>
      </c>
      <c r="G472">
        <v>63000</v>
      </c>
      <c r="H472">
        <v>1</v>
      </c>
      <c r="I472" t="s">
        <v>89</v>
      </c>
      <c r="J472">
        <v>22</v>
      </c>
      <c r="K472">
        <v>66</v>
      </c>
      <c r="L472">
        <v>2</v>
      </c>
      <c r="M472" t="s">
        <v>689</v>
      </c>
      <c r="N472">
        <v>9</v>
      </c>
      <c r="O472">
        <v>11</v>
      </c>
      <c r="P472">
        <v>110380.12</v>
      </c>
      <c r="Q472">
        <v>95329.65</v>
      </c>
      <c r="R472">
        <v>322</v>
      </c>
      <c r="S472">
        <v>1622</v>
      </c>
      <c r="T472" t="s">
        <v>34</v>
      </c>
      <c r="U472" t="s">
        <v>38</v>
      </c>
    </row>
    <row r="473" spans="1:21">
      <c r="A473" t="s">
        <v>801</v>
      </c>
      <c r="B473" t="s">
        <v>802</v>
      </c>
      <c r="C473" t="s">
        <v>104</v>
      </c>
      <c r="D473">
        <v>82000</v>
      </c>
      <c r="E473">
        <v>3000</v>
      </c>
      <c r="F473">
        <v>82000</v>
      </c>
      <c r="G473">
        <v>82000</v>
      </c>
      <c r="H473">
        <v>1</v>
      </c>
      <c r="I473" t="s">
        <v>89</v>
      </c>
      <c r="J473">
        <v>20</v>
      </c>
      <c r="K473">
        <v>56</v>
      </c>
      <c r="L473">
        <v>2</v>
      </c>
      <c r="M473" t="s">
        <v>689</v>
      </c>
      <c r="N473">
        <v>3</v>
      </c>
      <c r="O473">
        <v>4.67</v>
      </c>
      <c r="P473">
        <v>110380.12</v>
      </c>
      <c r="Q473">
        <v>95329.65</v>
      </c>
      <c r="R473">
        <v>322</v>
      </c>
      <c r="S473">
        <v>1622</v>
      </c>
      <c r="T473" t="s">
        <v>34</v>
      </c>
      <c r="U473" t="s">
        <v>57</v>
      </c>
    </row>
    <row r="474" spans="1:21">
      <c r="A474" t="s">
        <v>803</v>
      </c>
      <c r="B474" t="s">
        <v>804</v>
      </c>
      <c r="C474" t="s">
        <v>696</v>
      </c>
      <c r="D474">
        <v>86000</v>
      </c>
      <c r="E474">
        <v>3000</v>
      </c>
      <c r="F474">
        <v>43000</v>
      </c>
      <c r="G474">
        <v>129000</v>
      </c>
      <c r="H474">
        <v>1</v>
      </c>
      <c r="I474" t="s">
        <v>89</v>
      </c>
      <c r="J474">
        <v>22.79</v>
      </c>
      <c r="K474">
        <v>16</v>
      </c>
      <c r="L474">
        <v>2</v>
      </c>
      <c r="M474" t="s">
        <v>689</v>
      </c>
      <c r="N474">
        <v>6</v>
      </c>
      <c r="O474">
        <v>9.33</v>
      </c>
      <c r="P474">
        <v>110380.12</v>
      </c>
      <c r="Q474">
        <v>95329.65</v>
      </c>
      <c r="R474">
        <v>322</v>
      </c>
      <c r="S474">
        <v>1622</v>
      </c>
      <c r="T474" t="s">
        <v>34</v>
      </c>
      <c r="U474" t="s">
        <v>90</v>
      </c>
    </row>
    <row r="475" spans="1:21">
      <c r="A475" t="s">
        <v>805</v>
      </c>
      <c r="B475" t="s">
        <v>804</v>
      </c>
      <c r="C475" t="s">
        <v>696</v>
      </c>
      <c r="D475">
        <v>93000</v>
      </c>
      <c r="E475">
        <v>3000</v>
      </c>
      <c r="F475">
        <v>46500</v>
      </c>
      <c r="G475">
        <v>139500</v>
      </c>
      <c r="H475">
        <v>2</v>
      </c>
      <c r="I475" t="s">
        <v>89</v>
      </c>
      <c r="J475">
        <v>34.06</v>
      </c>
      <c r="K475">
        <v>16</v>
      </c>
      <c r="L475">
        <v>2</v>
      </c>
      <c r="M475" t="s">
        <v>689</v>
      </c>
      <c r="N475">
        <v>6</v>
      </c>
      <c r="O475">
        <v>9.33</v>
      </c>
      <c r="P475">
        <v>110380.12</v>
      </c>
      <c r="Q475">
        <v>95329.65</v>
      </c>
      <c r="R475">
        <v>322</v>
      </c>
      <c r="S475">
        <v>1622</v>
      </c>
      <c r="T475" t="s">
        <v>26</v>
      </c>
      <c r="U475" t="s">
        <v>90</v>
      </c>
    </row>
    <row r="476" spans="1:21">
      <c r="A476" t="s">
        <v>806</v>
      </c>
      <c r="B476" t="s">
        <v>807</v>
      </c>
      <c r="C476" t="s">
        <v>121</v>
      </c>
      <c r="D476">
        <v>79000</v>
      </c>
      <c r="E476">
        <v>3000</v>
      </c>
      <c r="F476">
        <v>158000</v>
      </c>
      <c r="G476">
        <v>158000</v>
      </c>
      <c r="H476">
        <v>2</v>
      </c>
      <c r="I476" t="s">
        <v>89</v>
      </c>
      <c r="J476">
        <v>26.4</v>
      </c>
      <c r="K476">
        <v>16</v>
      </c>
      <c r="L476">
        <v>2</v>
      </c>
      <c r="M476" t="s">
        <v>689</v>
      </c>
      <c r="N476">
        <v>3</v>
      </c>
      <c r="O476">
        <v>6.67</v>
      </c>
      <c r="P476">
        <v>110380.12</v>
      </c>
      <c r="Q476">
        <v>95329.65</v>
      </c>
      <c r="R476">
        <v>322</v>
      </c>
      <c r="S476">
        <v>1622</v>
      </c>
      <c r="T476" t="s">
        <v>34</v>
      </c>
      <c r="U476" t="s">
        <v>90</v>
      </c>
    </row>
    <row r="477" spans="1:21">
      <c r="A477" t="s">
        <v>808</v>
      </c>
      <c r="B477" t="s">
        <v>809</v>
      </c>
      <c r="C477" t="s">
        <v>688</v>
      </c>
      <c r="D477">
        <v>75000</v>
      </c>
      <c r="E477">
        <v>7000</v>
      </c>
      <c r="F477">
        <v>75000</v>
      </c>
      <c r="G477">
        <v>75000</v>
      </c>
      <c r="H477">
        <v>3</v>
      </c>
      <c r="I477" t="s">
        <v>89</v>
      </c>
      <c r="J477">
        <v>20.9</v>
      </c>
      <c r="K477">
        <v>22</v>
      </c>
      <c r="L477">
        <v>5</v>
      </c>
      <c r="M477" t="s">
        <v>689</v>
      </c>
      <c r="N477">
        <v>9</v>
      </c>
      <c r="O477">
        <v>11</v>
      </c>
      <c r="P477">
        <v>110380.12</v>
      </c>
      <c r="Q477">
        <v>95329.65</v>
      </c>
      <c r="R477">
        <v>322</v>
      </c>
      <c r="S477">
        <v>1622</v>
      </c>
      <c r="T477" t="s">
        <v>34</v>
      </c>
      <c r="U477" t="s">
        <v>27</v>
      </c>
    </row>
    <row r="478" spans="1:21">
      <c r="A478" t="s">
        <v>810</v>
      </c>
      <c r="B478" t="s">
        <v>811</v>
      </c>
      <c r="C478" t="s">
        <v>696</v>
      </c>
      <c r="D478">
        <v>76000</v>
      </c>
      <c r="E478">
        <v>2000</v>
      </c>
      <c r="F478">
        <v>76000</v>
      </c>
      <c r="G478">
        <v>76000</v>
      </c>
      <c r="H478">
        <v>1</v>
      </c>
      <c r="I478" t="s">
        <v>89</v>
      </c>
      <c r="J478">
        <v>25</v>
      </c>
      <c r="K478">
        <v>22</v>
      </c>
      <c r="L478">
        <v>2</v>
      </c>
      <c r="M478" t="s">
        <v>689</v>
      </c>
      <c r="N478">
        <v>8</v>
      </c>
      <c r="O478">
        <v>10</v>
      </c>
      <c r="P478">
        <v>110380.12</v>
      </c>
      <c r="Q478">
        <v>95329.65</v>
      </c>
      <c r="R478">
        <v>322</v>
      </c>
      <c r="S478">
        <v>1622</v>
      </c>
      <c r="T478" t="s">
        <v>34</v>
      </c>
      <c r="U478" t="s">
        <v>27</v>
      </c>
    </row>
    <row r="479" spans="1:21">
      <c r="A479" t="s">
        <v>812</v>
      </c>
      <c r="B479" t="s">
        <v>813</v>
      </c>
      <c r="C479" t="s">
        <v>701</v>
      </c>
      <c r="D479">
        <v>80500</v>
      </c>
      <c r="E479">
        <v>5000</v>
      </c>
      <c r="F479">
        <v>80500</v>
      </c>
      <c r="G479">
        <v>80500</v>
      </c>
      <c r="H479">
        <v>4</v>
      </c>
      <c r="I479" t="s">
        <v>89</v>
      </c>
      <c r="J479">
        <v>19.440000000000001</v>
      </c>
      <c r="K479">
        <v>18</v>
      </c>
      <c r="L479">
        <v>7</v>
      </c>
      <c r="M479" t="s">
        <v>689</v>
      </c>
      <c r="N479">
        <v>4</v>
      </c>
      <c r="O479">
        <v>9.33</v>
      </c>
      <c r="P479">
        <v>110380.12</v>
      </c>
      <c r="Q479">
        <v>95329.65</v>
      </c>
      <c r="R479">
        <v>322</v>
      </c>
      <c r="S479">
        <v>1622</v>
      </c>
      <c r="T479" t="s">
        <v>108</v>
      </c>
      <c r="U479" t="s">
        <v>90</v>
      </c>
    </row>
    <row r="480" spans="1:21">
      <c r="A480" t="s">
        <v>814</v>
      </c>
      <c r="B480" t="s">
        <v>815</v>
      </c>
      <c r="C480" t="s">
        <v>104</v>
      </c>
      <c r="D480">
        <v>92000</v>
      </c>
      <c r="E480">
        <v>13000</v>
      </c>
      <c r="G480">
        <v>92000</v>
      </c>
      <c r="H480">
        <v>1</v>
      </c>
      <c r="I480" t="s">
        <v>89</v>
      </c>
      <c r="J480">
        <v>26.1</v>
      </c>
      <c r="K480">
        <v>19</v>
      </c>
      <c r="L480">
        <v>7</v>
      </c>
      <c r="M480" t="s">
        <v>689</v>
      </c>
      <c r="N480">
        <v>5</v>
      </c>
      <c r="O480">
        <v>7.67</v>
      </c>
      <c r="P480">
        <v>110380.12</v>
      </c>
      <c r="Q480">
        <v>95329.65</v>
      </c>
      <c r="R480">
        <v>322</v>
      </c>
      <c r="S480">
        <v>1622</v>
      </c>
      <c r="T480" t="s">
        <v>34</v>
      </c>
      <c r="U480" t="s">
        <v>90</v>
      </c>
    </row>
    <row r="481" spans="1:21">
      <c r="A481" t="s">
        <v>816</v>
      </c>
      <c r="B481" t="s">
        <v>815</v>
      </c>
      <c r="C481" t="s">
        <v>104</v>
      </c>
      <c r="D481">
        <v>99000</v>
      </c>
      <c r="E481">
        <v>13000</v>
      </c>
      <c r="G481">
        <v>99000</v>
      </c>
      <c r="H481">
        <v>1</v>
      </c>
      <c r="I481" t="s">
        <v>89</v>
      </c>
      <c r="J481">
        <v>26.1</v>
      </c>
      <c r="K481">
        <v>19</v>
      </c>
      <c r="L481">
        <v>7</v>
      </c>
      <c r="M481" t="s">
        <v>689</v>
      </c>
      <c r="N481">
        <v>5</v>
      </c>
      <c r="O481">
        <v>7.67</v>
      </c>
      <c r="P481">
        <v>110380.12</v>
      </c>
      <c r="Q481">
        <v>95329.65</v>
      </c>
      <c r="R481">
        <v>322</v>
      </c>
      <c r="S481">
        <v>1622</v>
      </c>
      <c r="T481" t="s">
        <v>34</v>
      </c>
      <c r="U481" t="s">
        <v>90</v>
      </c>
    </row>
    <row r="482" spans="1:21">
      <c r="A482" t="s">
        <v>817</v>
      </c>
      <c r="B482" t="s">
        <v>818</v>
      </c>
      <c r="C482" t="s">
        <v>104</v>
      </c>
      <c r="D482">
        <v>63000</v>
      </c>
      <c r="E482">
        <v>3000</v>
      </c>
      <c r="F482">
        <v>63000</v>
      </c>
      <c r="G482">
        <v>63000</v>
      </c>
      <c r="H482">
        <v>1</v>
      </c>
      <c r="I482" t="s">
        <v>89</v>
      </c>
      <c r="J482">
        <v>18.43</v>
      </c>
      <c r="K482">
        <v>33</v>
      </c>
      <c r="L482">
        <v>3</v>
      </c>
      <c r="M482" t="s">
        <v>689</v>
      </c>
      <c r="N482">
        <v>4</v>
      </c>
      <c r="O482">
        <v>6</v>
      </c>
      <c r="P482">
        <v>110380.12</v>
      </c>
      <c r="Q482">
        <v>95329.65</v>
      </c>
      <c r="R482">
        <v>322</v>
      </c>
      <c r="S482">
        <v>1622</v>
      </c>
      <c r="T482" t="s">
        <v>108</v>
      </c>
      <c r="U482" t="s">
        <v>49</v>
      </c>
    </row>
    <row r="483" spans="1:21">
      <c r="A483" t="s">
        <v>819</v>
      </c>
      <c r="B483" t="s">
        <v>820</v>
      </c>
      <c r="C483" t="s">
        <v>696</v>
      </c>
      <c r="D483">
        <v>72000</v>
      </c>
      <c r="E483">
        <v>3000</v>
      </c>
      <c r="H483">
        <v>2</v>
      </c>
      <c r="I483" t="s">
        <v>89</v>
      </c>
      <c r="J483">
        <v>22.06</v>
      </c>
      <c r="K483">
        <v>26</v>
      </c>
      <c r="L483">
        <v>2</v>
      </c>
      <c r="M483" t="s">
        <v>689</v>
      </c>
      <c r="N483">
        <v>4</v>
      </c>
      <c r="O483">
        <v>9.33</v>
      </c>
      <c r="P483">
        <v>110380.12</v>
      </c>
      <c r="Q483">
        <v>95329.65</v>
      </c>
      <c r="R483">
        <v>322</v>
      </c>
      <c r="S483">
        <v>1622</v>
      </c>
      <c r="T483" t="s">
        <v>34</v>
      </c>
      <c r="U483" t="s">
        <v>27</v>
      </c>
    </row>
    <row r="484" spans="1:21">
      <c r="A484" t="s">
        <v>821</v>
      </c>
      <c r="B484" t="s">
        <v>822</v>
      </c>
      <c r="C484" t="s">
        <v>121</v>
      </c>
      <c r="D484">
        <v>76000</v>
      </c>
      <c r="E484">
        <v>2000</v>
      </c>
      <c r="F484">
        <v>76000</v>
      </c>
      <c r="G484">
        <v>76000</v>
      </c>
      <c r="H484">
        <v>4</v>
      </c>
      <c r="I484" t="s">
        <v>89</v>
      </c>
      <c r="J484">
        <v>18.5</v>
      </c>
      <c r="K484">
        <v>37</v>
      </c>
      <c r="L484">
        <v>8</v>
      </c>
      <c r="M484" t="s">
        <v>689</v>
      </c>
      <c r="N484">
        <v>2</v>
      </c>
      <c r="O484">
        <v>4.33</v>
      </c>
      <c r="P484">
        <v>110380.12</v>
      </c>
      <c r="Q484">
        <v>95329.65</v>
      </c>
      <c r="R484">
        <v>322</v>
      </c>
      <c r="S484">
        <v>1622</v>
      </c>
      <c r="T484" t="s">
        <v>108</v>
      </c>
      <c r="U484" t="s">
        <v>49</v>
      </c>
    </row>
    <row r="485" spans="1:21">
      <c r="A485" t="s">
        <v>823</v>
      </c>
      <c r="B485" t="s">
        <v>822</v>
      </c>
      <c r="C485" t="s">
        <v>121</v>
      </c>
      <c r="D485">
        <v>73000</v>
      </c>
      <c r="E485">
        <v>2000</v>
      </c>
      <c r="F485">
        <v>73000</v>
      </c>
      <c r="G485">
        <v>73000</v>
      </c>
      <c r="H485">
        <v>5</v>
      </c>
      <c r="I485" t="s">
        <v>89</v>
      </c>
      <c r="J485">
        <v>16.18</v>
      </c>
      <c r="K485">
        <v>37</v>
      </c>
      <c r="L485">
        <v>8</v>
      </c>
      <c r="M485" t="s">
        <v>689</v>
      </c>
      <c r="N485">
        <v>2</v>
      </c>
      <c r="O485">
        <v>4.33</v>
      </c>
      <c r="P485">
        <v>110380.12</v>
      </c>
      <c r="Q485">
        <v>95329.65</v>
      </c>
      <c r="R485">
        <v>322</v>
      </c>
      <c r="S485">
        <v>1622</v>
      </c>
      <c r="T485" t="s">
        <v>108</v>
      </c>
      <c r="U485" t="s">
        <v>49</v>
      </c>
    </row>
    <row r="486" spans="1:21">
      <c r="A486" t="s">
        <v>824</v>
      </c>
      <c r="B486" t="s">
        <v>825</v>
      </c>
      <c r="C486" t="s">
        <v>709</v>
      </c>
      <c r="D486">
        <v>107000</v>
      </c>
      <c r="E486">
        <v>12000</v>
      </c>
      <c r="F486">
        <v>107000</v>
      </c>
      <c r="G486">
        <v>107000</v>
      </c>
      <c r="H486">
        <v>1</v>
      </c>
      <c r="I486" t="s">
        <v>89</v>
      </c>
      <c r="J486">
        <v>23.12</v>
      </c>
      <c r="K486">
        <v>2</v>
      </c>
      <c r="L486">
        <v>3</v>
      </c>
      <c r="M486" t="s">
        <v>689</v>
      </c>
      <c r="N486">
        <v>7</v>
      </c>
      <c r="O486">
        <v>8.67</v>
      </c>
      <c r="P486">
        <v>110380.12</v>
      </c>
      <c r="Q486">
        <v>95329.65</v>
      </c>
      <c r="R486">
        <v>322</v>
      </c>
      <c r="S486">
        <v>1622</v>
      </c>
      <c r="T486" t="s">
        <v>34</v>
      </c>
      <c r="U486" t="s">
        <v>31</v>
      </c>
    </row>
    <row r="487" spans="1:21">
      <c r="A487" t="s">
        <v>826</v>
      </c>
      <c r="B487" t="s">
        <v>827</v>
      </c>
      <c r="C487" t="s">
        <v>696</v>
      </c>
      <c r="D487">
        <v>105000</v>
      </c>
      <c r="E487">
        <v>15000</v>
      </c>
      <c r="G487">
        <v>105000</v>
      </c>
      <c r="H487">
        <v>3</v>
      </c>
      <c r="I487" t="s">
        <v>89</v>
      </c>
      <c r="J487">
        <v>25.65</v>
      </c>
      <c r="K487">
        <v>9</v>
      </c>
      <c r="L487">
        <v>4</v>
      </c>
      <c r="M487" t="s">
        <v>689</v>
      </c>
      <c r="N487">
        <v>6</v>
      </c>
      <c r="O487">
        <v>12.33</v>
      </c>
      <c r="P487">
        <v>110380.12</v>
      </c>
      <c r="Q487">
        <v>95329.65</v>
      </c>
      <c r="R487">
        <v>322</v>
      </c>
      <c r="S487">
        <v>1622</v>
      </c>
      <c r="T487" t="s">
        <v>34</v>
      </c>
      <c r="U487" t="s">
        <v>31</v>
      </c>
    </row>
    <row r="488" spans="1:21">
      <c r="A488" t="s">
        <v>828</v>
      </c>
      <c r="B488" t="s">
        <v>827</v>
      </c>
      <c r="C488" t="s">
        <v>696</v>
      </c>
      <c r="D488">
        <v>110000</v>
      </c>
      <c r="E488">
        <v>15000</v>
      </c>
      <c r="G488">
        <v>110000</v>
      </c>
      <c r="H488">
        <v>4</v>
      </c>
      <c r="I488" t="s">
        <v>89</v>
      </c>
      <c r="J488">
        <v>25.65</v>
      </c>
      <c r="K488">
        <v>9</v>
      </c>
      <c r="L488">
        <v>4</v>
      </c>
      <c r="M488" t="s">
        <v>689</v>
      </c>
      <c r="N488">
        <v>6</v>
      </c>
      <c r="O488">
        <v>12.33</v>
      </c>
      <c r="P488">
        <v>110380.12</v>
      </c>
      <c r="Q488">
        <v>95329.65</v>
      </c>
      <c r="R488">
        <v>322</v>
      </c>
      <c r="S488">
        <v>1622</v>
      </c>
      <c r="T488" t="s">
        <v>34</v>
      </c>
      <c r="U488" t="s">
        <v>31</v>
      </c>
    </row>
    <row r="489" spans="1:21">
      <c r="A489" t="s">
        <v>829</v>
      </c>
      <c r="B489" t="s">
        <v>830</v>
      </c>
      <c r="C489" t="s">
        <v>709</v>
      </c>
      <c r="D489">
        <v>97000</v>
      </c>
      <c r="E489">
        <v>2000</v>
      </c>
      <c r="F489">
        <v>48500</v>
      </c>
      <c r="G489">
        <v>145500</v>
      </c>
      <c r="H489">
        <v>1</v>
      </c>
      <c r="I489" t="s">
        <v>89</v>
      </c>
      <c r="J489">
        <v>26</v>
      </c>
      <c r="K489">
        <v>15</v>
      </c>
      <c r="L489">
        <v>3</v>
      </c>
      <c r="M489" t="s">
        <v>689</v>
      </c>
      <c r="N489">
        <v>5</v>
      </c>
      <c r="O489">
        <v>8</v>
      </c>
      <c r="P489">
        <v>110380.12</v>
      </c>
      <c r="Q489">
        <v>95329.65</v>
      </c>
      <c r="R489">
        <v>322</v>
      </c>
      <c r="S489">
        <v>1622</v>
      </c>
      <c r="T489" t="s">
        <v>34</v>
      </c>
      <c r="U489" t="s">
        <v>90</v>
      </c>
    </row>
    <row r="490" spans="1:21">
      <c r="A490" t="s">
        <v>831</v>
      </c>
      <c r="B490" t="s">
        <v>832</v>
      </c>
      <c r="C490" t="s">
        <v>121</v>
      </c>
      <c r="D490">
        <v>67000</v>
      </c>
      <c r="E490">
        <v>3000</v>
      </c>
      <c r="F490">
        <v>67000</v>
      </c>
      <c r="H490">
        <v>3</v>
      </c>
      <c r="I490" t="s">
        <v>89</v>
      </c>
      <c r="J490">
        <v>20</v>
      </c>
      <c r="K490">
        <v>36</v>
      </c>
      <c r="L490">
        <v>5</v>
      </c>
      <c r="M490" t="s">
        <v>689</v>
      </c>
      <c r="N490">
        <v>2</v>
      </c>
      <c r="O490">
        <v>5.33</v>
      </c>
      <c r="P490">
        <v>110380.12</v>
      </c>
      <c r="Q490">
        <v>95329.65</v>
      </c>
      <c r="R490">
        <v>322</v>
      </c>
      <c r="S490">
        <v>1622</v>
      </c>
      <c r="T490" t="s">
        <v>34</v>
      </c>
      <c r="U490" t="s">
        <v>49</v>
      </c>
    </row>
    <row r="491" spans="1:21">
      <c r="A491" t="s">
        <v>833</v>
      </c>
      <c r="B491" t="s">
        <v>834</v>
      </c>
      <c r="C491" t="s">
        <v>104</v>
      </c>
      <c r="D491">
        <v>85000</v>
      </c>
      <c r="E491">
        <v>8000</v>
      </c>
      <c r="F491">
        <v>85000</v>
      </c>
      <c r="G491">
        <v>85000</v>
      </c>
      <c r="H491">
        <v>3</v>
      </c>
      <c r="I491" t="s">
        <v>89</v>
      </c>
      <c r="J491">
        <v>21.87</v>
      </c>
      <c r="K491">
        <v>17</v>
      </c>
      <c r="L491">
        <v>3</v>
      </c>
      <c r="M491" t="s">
        <v>689</v>
      </c>
      <c r="N491">
        <v>4</v>
      </c>
      <c r="O491">
        <v>7.33</v>
      </c>
      <c r="P491">
        <v>110380.12</v>
      </c>
      <c r="Q491">
        <v>95329.65</v>
      </c>
      <c r="R491">
        <v>322</v>
      </c>
      <c r="S491">
        <v>1622</v>
      </c>
      <c r="T491" t="s">
        <v>34</v>
      </c>
      <c r="U491" t="s">
        <v>90</v>
      </c>
    </row>
    <row r="492" spans="1:21">
      <c r="A492" t="s">
        <v>835</v>
      </c>
      <c r="B492" t="s">
        <v>836</v>
      </c>
      <c r="C492" t="s">
        <v>41</v>
      </c>
      <c r="D492">
        <v>82000</v>
      </c>
      <c r="E492">
        <v>5000</v>
      </c>
      <c r="F492">
        <v>82000</v>
      </c>
      <c r="G492">
        <v>82000</v>
      </c>
      <c r="H492">
        <v>2</v>
      </c>
      <c r="I492" t="s">
        <v>89</v>
      </c>
      <c r="J492">
        <v>20.58</v>
      </c>
      <c r="K492">
        <v>16</v>
      </c>
      <c r="L492">
        <v>2</v>
      </c>
      <c r="M492" t="s">
        <v>689</v>
      </c>
      <c r="N492">
        <v>5</v>
      </c>
      <c r="O492">
        <v>8.67</v>
      </c>
      <c r="P492">
        <v>110380.12</v>
      </c>
      <c r="Q492">
        <v>95329.65</v>
      </c>
      <c r="R492">
        <v>322</v>
      </c>
      <c r="S492">
        <v>1622</v>
      </c>
      <c r="T492" t="s">
        <v>34</v>
      </c>
      <c r="U492" t="s">
        <v>90</v>
      </c>
    </row>
    <row r="493" spans="1:21">
      <c r="A493" t="s">
        <v>837</v>
      </c>
      <c r="B493" t="s">
        <v>838</v>
      </c>
      <c r="C493" t="s">
        <v>121</v>
      </c>
      <c r="D493">
        <v>106000</v>
      </c>
      <c r="E493">
        <v>10000</v>
      </c>
      <c r="H493">
        <v>3</v>
      </c>
      <c r="I493" t="s">
        <v>89</v>
      </c>
      <c r="J493">
        <v>22.89</v>
      </c>
      <c r="K493">
        <v>17</v>
      </c>
      <c r="L493">
        <v>9</v>
      </c>
      <c r="M493" t="s">
        <v>689</v>
      </c>
      <c r="N493">
        <v>2</v>
      </c>
      <c r="O493">
        <v>4.67</v>
      </c>
      <c r="P493">
        <v>110380.12</v>
      </c>
      <c r="Q493">
        <v>95329.65</v>
      </c>
      <c r="R493">
        <v>322</v>
      </c>
      <c r="S493">
        <v>1622</v>
      </c>
      <c r="T493" t="s">
        <v>34</v>
      </c>
      <c r="U493" t="s">
        <v>90</v>
      </c>
    </row>
    <row r="494" spans="1:21">
      <c r="A494" t="s">
        <v>839</v>
      </c>
      <c r="B494" t="s">
        <v>838</v>
      </c>
      <c r="C494" t="s">
        <v>121</v>
      </c>
      <c r="D494">
        <v>108000</v>
      </c>
      <c r="E494">
        <v>10000</v>
      </c>
      <c r="H494">
        <v>6</v>
      </c>
      <c r="I494" t="s">
        <v>89</v>
      </c>
      <c r="J494">
        <v>22.89</v>
      </c>
      <c r="K494">
        <v>17</v>
      </c>
      <c r="L494">
        <v>9</v>
      </c>
      <c r="M494" t="s">
        <v>689</v>
      </c>
      <c r="N494">
        <v>2</v>
      </c>
      <c r="O494">
        <v>4.67</v>
      </c>
      <c r="P494">
        <v>110380.12</v>
      </c>
      <c r="Q494">
        <v>95329.65</v>
      </c>
      <c r="R494">
        <v>322</v>
      </c>
      <c r="S494">
        <v>1622</v>
      </c>
      <c r="T494" t="s">
        <v>34</v>
      </c>
      <c r="U494" t="s">
        <v>90</v>
      </c>
    </row>
    <row r="495" spans="1:21">
      <c r="A495" t="s">
        <v>840</v>
      </c>
      <c r="B495" t="s">
        <v>838</v>
      </c>
      <c r="C495" t="s">
        <v>121</v>
      </c>
      <c r="D495">
        <v>108000</v>
      </c>
      <c r="E495">
        <v>10000</v>
      </c>
      <c r="H495">
        <v>7</v>
      </c>
      <c r="I495" t="s">
        <v>89</v>
      </c>
      <c r="J495">
        <v>22.89</v>
      </c>
      <c r="K495">
        <v>17</v>
      </c>
      <c r="L495">
        <v>9</v>
      </c>
      <c r="M495" t="s">
        <v>689</v>
      </c>
      <c r="N495">
        <v>2</v>
      </c>
      <c r="O495">
        <v>4.67</v>
      </c>
      <c r="P495">
        <v>110380.12</v>
      </c>
      <c r="Q495">
        <v>95329.65</v>
      </c>
      <c r="R495">
        <v>322</v>
      </c>
      <c r="S495">
        <v>1622</v>
      </c>
      <c r="T495" t="s">
        <v>34</v>
      </c>
      <c r="U495" t="s">
        <v>90</v>
      </c>
    </row>
    <row r="496" spans="1:21">
      <c r="A496" t="s">
        <v>841</v>
      </c>
      <c r="B496" t="s">
        <v>838</v>
      </c>
      <c r="C496" t="s">
        <v>121</v>
      </c>
      <c r="D496">
        <v>111000</v>
      </c>
      <c r="E496">
        <v>10000</v>
      </c>
      <c r="H496">
        <v>8</v>
      </c>
      <c r="I496" t="s">
        <v>89</v>
      </c>
      <c r="J496">
        <v>22.89</v>
      </c>
      <c r="K496">
        <v>17</v>
      </c>
      <c r="L496">
        <v>9</v>
      </c>
      <c r="M496" t="s">
        <v>689</v>
      </c>
      <c r="N496">
        <v>2</v>
      </c>
      <c r="O496">
        <v>4.67</v>
      </c>
      <c r="P496">
        <v>110380.12</v>
      </c>
      <c r="Q496">
        <v>95329.65</v>
      </c>
      <c r="R496">
        <v>322</v>
      </c>
      <c r="S496">
        <v>1622</v>
      </c>
      <c r="T496" t="s">
        <v>34</v>
      </c>
      <c r="U496" t="s">
        <v>90</v>
      </c>
    </row>
    <row r="497" spans="1:21">
      <c r="A497" t="s">
        <v>842</v>
      </c>
      <c r="B497" t="s">
        <v>838</v>
      </c>
      <c r="C497" t="s">
        <v>121</v>
      </c>
      <c r="D497">
        <v>112000</v>
      </c>
      <c r="E497">
        <v>10000</v>
      </c>
      <c r="H497">
        <v>9</v>
      </c>
      <c r="I497" t="s">
        <v>89</v>
      </c>
      <c r="J497">
        <v>22.89</v>
      </c>
      <c r="K497">
        <v>17</v>
      </c>
      <c r="L497">
        <v>9</v>
      </c>
      <c r="M497" t="s">
        <v>689</v>
      </c>
      <c r="N497">
        <v>2</v>
      </c>
      <c r="O497">
        <v>4.67</v>
      </c>
      <c r="P497">
        <v>110380.12</v>
      </c>
      <c r="Q497">
        <v>95329.65</v>
      </c>
      <c r="R497">
        <v>322</v>
      </c>
      <c r="S497">
        <v>1622</v>
      </c>
      <c r="T497" t="s">
        <v>34</v>
      </c>
      <c r="U497" t="s">
        <v>90</v>
      </c>
    </row>
    <row r="498" spans="1:21">
      <c r="A498" t="s">
        <v>843</v>
      </c>
      <c r="B498" t="s">
        <v>844</v>
      </c>
      <c r="C498" t="s">
        <v>758</v>
      </c>
      <c r="D498">
        <v>109000</v>
      </c>
      <c r="E498">
        <v>5500</v>
      </c>
      <c r="G498">
        <v>109000</v>
      </c>
      <c r="H498">
        <v>2</v>
      </c>
      <c r="I498" t="s">
        <v>89</v>
      </c>
      <c r="J498">
        <v>20.81</v>
      </c>
      <c r="K498">
        <v>18</v>
      </c>
      <c r="L498">
        <v>3</v>
      </c>
      <c r="M498" t="s">
        <v>689</v>
      </c>
      <c r="N498">
        <v>5</v>
      </c>
      <c r="O498">
        <v>8.67</v>
      </c>
      <c r="P498">
        <v>110380.12</v>
      </c>
      <c r="Q498">
        <v>95329.65</v>
      </c>
      <c r="R498">
        <v>322</v>
      </c>
      <c r="S498">
        <v>1622</v>
      </c>
      <c r="T498" t="s">
        <v>34</v>
      </c>
      <c r="U498" t="s">
        <v>90</v>
      </c>
    </row>
    <row r="499" spans="1:21">
      <c r="A499" t="s">
        <v>845</v>
      </c>
      <c r="B499" t="s">
        <v>846</v>
      </c>
      <c r="C499" t="s">
        <v>41</v>
      </c>
      <c r="D499">
        <v>110000</v>
      </c>
      <c r="E499">
        <v>15000</v>
      </c>
      <c r="F499">
        <v>110000</v>
      </c>
      <c r="G499">
        <v>110000</v>
      </c>
      <c r="H499">
        <v>3</v>
      </c>
      <c r="I499" t="s">
        <v>89</v>
      </c>
      <c r="J499">
        <v>25.38</v>
      </c>
      <c r="K499">
        <v>8</v>
      </c>
      <c r="L499">
        <v>4</v>
      </c>
      <c r="M499" t="s">
        <v>689</v>
      </c>
      <c r="N499">
        <v>5</v>
      </c>
      <c r="O499">
        <v>7</v>
      </c>
      <c r="P499">
        <v>110380.12</v>
      </c>
      <c r="Q499">
        <v>95329.65</v>
      </c>
      <c r="R499">
        <v>322</v>
      </c>
      <c r="S499">
        <v>1622</v>
      </c>
      <c r="T499" t="s">
        <v>34</v>
      </c>
      <c r="U499" t="s">
        <v>31</v>
      </c>
    </row>
    <row r="500" spans="1:21">
      <c r="A500" t="s">
        <v>847</v>
      </c>
      <c r="B500" t="s">
        <v>848</v>
      </c>
      <c r="C500" t="s">
        <v>701</v>
      </c>
      <c r="D500">
        <v>59000</v>
      </c>
      <c r="E500">
        <v>8000</v>
      </c>
      <c r="H500">
        <v>1</v>
      </c>
      <c r="I500" t="s">
        <v>89</v>
      </c>
      <c r="J500">
        <v>19.239999999999998</v>
      </c>
      <c r="K500">
        <v>38</v>
      </c>
      <c r="L500">
        <v>4</v>
      </c>
      <c r="M500" t="s">
        <v>689</v>
      </c>
      <c r="N500">
        <v>7</v>
      </c>
      <c r="O500">
        <v>9</v>
      </c>
      <c r="P500">
        <v>110380.12</v>
      </c>
      <c r="Q500">
        <v>95329.65</v>
      </c>
      <c r="R500">
        <v>322</v>
      </c>
      <c r="S500">
        <v>1622</v>
      </c>
      <c r="T500" t="s">
        <v>108</v>
      </c>
      <c r="U500" t="s">
        <v>49</v>
      </c>
    </row>
    <row r="501" spans="1:21">
      <c r="A501" t="s">
        <v>849</v>
      </c>
      <c r="B501" t="s">
        <v>850</v>
      </c>
      <c r="C501" t="s">
        <v>701</v>
      </c>
      <c r="D501">
        <v>57000</v>
      </c>
      <c r="E501">
        <v>3000</v>
      </c>
      <c r="F501">
        <v>57000</v>
      </c>
      <c r="G501">
        <v>57000</v>
      </c>
      <c r="H501">
        <v>2</v>
      </c>
      <c r="I501" t="s">
        <v>89</v>
      </c>
      <c r="J501">
        <v>23.09</v>
      </c>
      <c r="K501">
        <v>48</v>
      </c>
      <c r="L501">
        <v>2</v>
      </c>
      <c r="M501" t="s">
        <v>689</v>
      </c>
      <c r="N501">
        <v>1</v>
      </c>
      <c r="O501">
        <v>7</v>
      </c>
      <c r="P501">
        <v>110380.12</v>
      </c>
      <c r="Q501">
        <v>95329.65</v>
      </c>
      <c r="R501">
        <v>322</v>
      </c>
      <c r="S501">
        <v>1622</v>
      </c>
      <c r="T501" t="s">
        <v>34</v>
      </c>
      <c r="U501" t="s">
        <v>42</v>
      </c>
    </row>
    <row r="502" spans="1:21">
      <c r="A502" t="s">
        <v>851</v>
      </c>
      <c r="B502" t="s">
        <v>852</v>
      </c>
      <c r="C502" t="s">
        <v>758</v>
      </c>
      <c r="D502">
        <v>55000</v>
      </c>
      <c r="E502">
        <v>2000</v>
      </c>
      <c r="F502">
        <v>55000</v>
      </c>
      <c r="H502">
        <v>1</v>
      </c>
      <c r="I502" t="s">
        <v>89</v>
      </c>
      <c r="J502">
        <v>13</v>
      </c>
      <c r="K502">
        <v>37</v>
      </c>
      <c r="L502">
        <v>2</v>
      </c>
      <c r="M502" t="s">
        <v>689</v>
      </c>
      <c r="N502">
        <v>6</v>
      </c>
      <c r="O502">
        <v>9.67</v>
      </c>
      <c r="P502">
        <v>110380.12</v>
      </c>
      <c r="Q502">
        <v>95329.65</v>
      </c>
      <c r="R502">
        <v>322</v>
      </c>
      <c r="S502">
        <v>1622</v>
      </c>
      <c r="T502" t="s">
        <v>108</v>
      </c>
      <c r="U502" t="s">
        <v>49</v>
      </c>
    </row>
    <row r="503" spans="1:21">
      <c r="A503" t="s">
        <v>853</v>
      </c>
      <c r="B503" t="s">
        <v>854</v>
      </c>
      <c r="C503" t="s">
        <v>709</v>
      </c>
      <c r="D503">
        <v>60000</v>
      </c>
      <c r="F503">
        <v>60000</v>
      </c>
      <c r="G503">
        <v>60000</v>
      </c>
      <c r="H503">
        <v>2</v>
      </c>
      <c r="I503" t="s">
        <v>89</v>
      </c>
      <c r="J503">
        <v>18</v>
      </c>
      <c r="K503">
        <v>42</v>
      </c>
      <c r="L503">
        <v>2</v>
      </c>
      <c r="M503" t="s">
        <v>689</v>
      </c>
      <c r="N503">
        <v>4</v>
      </c>
      <c r="O503">
        <v>5.33</v>
      </c>
      <c r="P503">
        <v>110380.12</v>
      </c>
      <c r="Q503">
        <v>95329.65</v>
      </c>
      <c r="R503">
        <v>322</v>
      </c>
      <c r="S503">
        <v>1622</v>
      </c>
      <c r="T503" t="s">
        <v>108</v>
      </c>
      <c r="U503" t="s">
        <v>42</v>
      </c>
    </row>
    <row r="504" spans="1:21">
      <c r="A504" t="s">
        <v>855</v>
      </c>
      <c r="B504" t="s">
        <v>856</v>
      </c>
      <c r="C504" t="s">
        <v>709</v>
      </c>
      <c r="D504">
        <v>34000</v>
      </c>
      <c r="E504">
        <v>1000</v>
      </c>
      <c r="F504">
        <v>45000</v>
      </c>
      <c r="G504">
        <v>34000</v>
      </c>
      <c r="H504">
        <v>1</v>
      </c>
      <c r="I504" t="s">
        <v>89</v>
      </c>
      <c r="J504">
        <v>15</v>
      </c>
      <c r="K504">
        <v>55</v>
      </c>
      <c r="L504">
        <v>2</v>
      </c>
      <c r="M504" t="s">
        <v>689</v>
      </c>
      <c r="N504">
        <v>8</v>
      </c>
      <c r="O504">
        <v>11</v>
      </c>
      <c r="P504">
        <v>110380.12</v>
      </c>
      <c r="Q504">
        <v>95329.65</v>
      </c>
      <c r="R504">
        <v>322</v>
      </c>
      <c r="S504">
        <v>1622</v>
      </c>
      <c r="T504" t="s">
        <v>108</v>
      </c>
      <c r="U504" t="s">
        <v>57</v>
      </c>
    </row>
    <row r="505" spans="1:21">
      <c r="A505" t="s">
        <v>857</v>
      </c>
      <c r="B505" t="s">
        <v>858</v>
      </c>
      <c r="C505" t="s">
        <v>709</v>
      </c>
      <c r="D505">
        <v>59000</v>
      </c>
      <c r="E505">
        <v>3000</v>
      </c>
      <c r="F505">
        <v>59000</v>
      </c>
      <c r="G505">
        <v>59000</v>
      </c>
      <c r="H505">
        <v>2</v>
      </c>
      <c r="I505" t="s">
        <v>89</v>
      </c>
      <c r="J505">
        <v>20</v>
      </c>
      <c r="K505">
        <v>54</v>
      </c>
      <c r="L505">
        <v>2</v>
      </c>
      <c r="M505" t="s">
        <v>689</v>
      </c>
      <c r="N505">
        <v>3</v>
      </c>
      <c r="O505">
        <v>5.33</v>
      </c>
      <c r="P505">
        <v>110380.12</v>
      </c>
      <c r="Q505">
        <v>95329.65</v>
      </c>
      <c r="R505">
        <v>322</v>
      </c>
      <c r="S505">
        <v>1622</v>
      </c>
      <c r="T505" t="s">
        <v>34</v>
      </c>
      <c r="U505" t="s">
        <v>57</v>
      </c>
    </row>
    <row r="506" spans="1:21">
      <c r="A506" t="s">
        <v>859</v>
      </c>
      <c r="B506" t="s">
        <v>860</v>
      </c>
      <c r="C506" t="s">
        <v>104</v>
      </c>
      <c r="D506">
        <v>82000</v>
      </c>
      <c r="E506">
        <v>3000</v>
      </c>
      <c r="F506">
        <v>82000</v>
      </c>
      <c r="G506">
        <v>82000</v>
      </c>
      <c r="H506">
        <v>1</v>
      </c>
      <c r="I506" t="s">
        <v>89</v>
      </c>
      <c r="J506">
        <v>20</v>
      </c>
      <c r="K506">
        <v>56</v>
      </c>
      <c r="L506">
        <v>2</v>
      </c>
      <c r="M506" t="s">
        <v>689</v>
      </c>
      <c r="N506">
        <v>3</v>
      </c>
      <c r="O506">
        <v>7.67</v>
      </c>
      <c r="P506">
        <v>110380.12</v>
      </c>
      <c r="Q506">
        <v>95329.65</v>
      </c>
      <c r="R506">
        <v>322</v>
      </c>
      <c r="S506">
        <v>1622</v>
      </c>
      <c r="T506" t="s">
        <v>34</v>
      </c>
      <c r="U506" t="s">
        <v>57</v>
      </c>
    </row>
    <row r="507" spans="1:21">
      <c r="A507" t="s">
        <v>861</v>
      </c>
      <c r="B507" t="s">
        <v>862</v>
      </c>
      <c r="C507" t="s">
        <v>104</v>
      </c>
      <c r="D507">
        <v>125000</v>
      </c>
      <c r="E507">
        <v>6500</v>
      </c>
      <c r="H507">
        <v>2</v>
      </c>
      <c r="I507" t="s">
        <v>89</v>
      </c>
      <c r="J507">
        <v>33.61</v>
      </c>
      <c r="K507">
        <v>15</v>
      </c>
      <c r="L507">
        <v>4</v>
      </c>
      <c r="M507" t="s">
        <v>689</v>
      </c>
      <c r="N507">
        <v>5</v>
      </c>
      <c r="O507">
        <v>7.67</v>
      </c>
      <c r="P507">
        <v>110380.12</v>
      </c>
      <c r="Q507">
        <v>95329.65</v>
      </c>
      <c r="R507">
        <v>322</v>
      </c>
      <c r="S507">
        <v>1622</v>
      </c>
      <c r="T507" t="s">
        <v>26</v>
      </c>
      <c r="U507" t="s">
        <v>90</v>
      </c>
    </row>
    <row r="508" spans="1:21">
      <c r="A508" t="s">
        <v>863</v>
      </c>
      <c r="B508" t="s">
        <v>864</v>
      </c>
      <c r="C508" t="s">
        <v>709</v>
      </c>
      <c r="D508">
        <v>77000</v>
      </c>
      <c r="E508">
        <v>6000</v>
      </c>
      <c r="F508">
        <v>77000</v>
      </c>
      <c r="G508">
        <v>77000</v>
      </c>
      <c r="H508">
        <v>2</v>
      </c>
      <c r="I508" t="s">
        <v>89</v>
      </c>
      <c r="J508">
        <v>18.48</v>
      </c>
      <c r="K508">
        <v>26</v>
      </c>
      <c r="L508">
        <v>4</v>
      </c>
      <c r="M508" t="s">
        <v>689</v>
      </c>
      <c r="N508">
        <v>6</v>
      </c>
      <c r="O508">
        <v>7</v>
      </c>
      <c r="P508">
        <v>110380.12</v>
      </c>
      <c r="Q508">
        <v>95329.65</v>
      </c>
      <c r="R508">
        <v>322</v>
      </c>
      <c r="S508">
        <v>1622</v>
      </c>
      <c r="T508" t="s">
        <v>108</v>
      </c>
      <c r="U508" t="s">
        <v>27</v>
      </c>
    </row>
    <row r="509" spans="1:21">
      <c r="A509" t="s">
        <v>865</v>
      </c>
      <c r="B509" t="s">
        <v>864</v>
      </c>
      <c r="C509" t="s">
        <v>709</v>
      </c>
      <c r="D509">
        <v>75000</v>
      </c>
      <c r="E509">
        <v>6000</v>
      </c>
      <c r="F509">
        <v>75000</v>
      </c>
      <c r="G509">
        <v>75000</v>
      </c>
      <c r="H509">
        <v>4</v>
      </c>
      <c r="I509" t="s">
        <v>89</v>
      </c>
      <c r="J509">
        <v>18.48</v>
      </c>
      <c r="K509">
        <v>26</v>
      </c>
      <c r="L509">
        <v>4</v>
      </c>
      <c r="M509" t="s">
        <v>689</v>
      </c>
      <c r="N509">
        <v>6</v>
      </c>
      <c r="O509">
        <v>7</v>
      </c>
      <c r="P509">
        <v>110380.12</v>
      </c>
      <c r="Q509">
        <v>95329.65</v>
      </c>
      <c r="R509">
        <v>322</v>
      </c>
      <c r="S509">
        <v>1622</v>
      </c>
      <c r="T509" t="s">
        <v>108</v>
      </c>
      <c r="U509" t="s">
        <v>27</v>
      </c>
    </row>
    <row r="510" spans="1:21">
      <c r="A510" t="s">
        <v>866</v>
      </c>
      <c r="B510" t="s">
        <v>864</v>
      </c>
      <c r="C510" t="s">
        <v>709</v>
      </c>
      <c r="D510">
        <v>78000</v>
      </c>
      <c r="E510">
        <v>6000</v>
      </c>
      <c r="F510">
        <v>78000</v>
      </c>
      <c r="G510">
        <v>78000</v>
      </c>
      <c r="H510">
        <v>4</v>
      </c>
      <c r="I510" t="s">
        <v>89</v>
      </c>
      <c r="J510">
        <v>18.48</v>
      </c>
      <c r="K510">
        <v>26</v>
      </c>
      <c r="L510">
        <v>4</v>
      </c>
      <c r="M510" t="s">
        <v>689</v>
      </c>
      <c r="N510">
        <v>6</v>
      </c>
      <c r="O510">
        <v>7</v>
      </c>
      <c r="P510">
        <v>110380.12</v>
      </c>
      <c r="Q510">
        <v>95329.65</v>
      </c>
      <c r="R510">
        <v>322</v>
      </c>
      <c r="S510">
        <v>1622</v>
      </c>
      <c r="T510" t="s">
        <v>108</v>
      </c>
      <c r="U510" t="s">
        <v>27</v>
      </c>
    </row>
    <row r="511" spans="1:21">
      <c r="A511" t="s">
        <v>867</v>
      </c>
      <c r="B511" t="s">
        <v>864</v>
      </c>
      <c r="C511" t="s">
        <v>709</v>
      </c>
      <c r="D511">
        <v>79000</v>
      </c>
      <c r="E511">
        <v>6000</v>
      </c>
      <c r="F511">
        <v>79000</v>
      </c>
      <c r="G511">
        <v>79000</v>
      </c>
      <c r="H511">
        <v>4</v>
      </c>
      <c r="I511" t="s">
        <v>89</v>
      </c>
      <c r="J511">
        <v>18.48</v>
      </c>
      <c r="K511">
        <v>26</v>
      </c>
      <c r="L511">
        <v>4</v>
      </c>
      <c r="M511" t="s">
        <v>689</v>
      </c>
      <c r="N511">
        <v>6</v>
      </c>
      <c r="O511">
        <v>7</v>
      </c>
      <c r="P511">
        <v>110380.12</v>
      </c>
      <c r="Q511">
        <v>95329.65</v>
      </c>
      <c r="R511">
        <v>322</v>
      </c>
      <c r="S511">
        <v>1622</v>
      </c>
      <c r="T511" t="s">
        <v>108</v>
      </c>
      <c r="U511" t="s">
        <v>27</v>
      </c>
    </row>
    <row r="512" spans="1:21">
      <c r="A512" t="s">
        <v>868</v>
      </c>
      <c r="B512" t="s">
        <v>869</v>
      </c>
      <c r="C512" t="s">
        <v>709</v>
      </c>
      <c r="D512">
        <v>58000</v>
      </c>
      <c r="F512">
        <v>58000</v>
      </c>
      <c r="G512">
        <v>58000</v>
      </c>
      <c r="H512">
        <v>2</v>
      </c>
      <c r="I512" t="s">
        <v>89</v>
      </c>
      <c r="J512">
        <v>18</v>
      </c>
      <c r="K512">
        <v>46</v>
      </c>
      <c r="L512">
        <v>2</v>
      </c>
      <c r="M512" t="s">
        <v>689</v>
      </c>
      <c r="N512">
        <v>4</v>
      </c>
      <c r="O512">
        <v>5.67</v>
      </c>
      <c r="P512">
        <v>110380.12</v>
      </c>
      <c r="Q512">
        <v>95329.65</v>
      </c>
      <c r="R512">
        <v>322</v>
      </c>
      <c r="S512">
        <v>1622</v>
      </c>
      <c r="T512" t="s">
        <v>108</v>
      </c>
      <c r="U512" t="s">
        <v>42</v>
      </c>
    </row>
    <row r="513" spans="1:21">
      <c r="A513" t="s">
        <v>870</v>
      </c>
      <c r="B513" t="s">
        <v>871</v>
      </c>
      <c r="C513" t="s">
        <v>696</v>
      </c>
      <c r="D513">
        <v>86000</v>
      </c>
      <c r="E513">
        <v>3000</v>
      </c>
      <c r="F513">
        <v>43000</v>
      </c>
      <c r="G513">
        <v>129000</v>
      </c>
      <c r="H513">
        <v>1</v>
      </c>
      <c r="I513" t="s">
        <v>89</v>
      </c>
      <c r="J513">
        <v>22.79</v>
      </c>
      <c r="K513">
        <v>17</v>
      </c>
      <c r="L513">
        <v>2</v>
      </c>
      <c r="M513" t="s">
        <v>689</v>
      </c>
      <c r="N513">
        <v>6</v>
      </c>
      <c r="O513">
        <v>9.33</v>
      </c>
      <c r="P513">
        <v>110380.12</v>
      </c>
      <c r="Q513">
        <v>95329.65</v>
      </c>
      <c r="R513">
        <v>322</v>
      </c>
      <c r="S513">
        <v>1622</v>
      </c>
      <c r="T513" t="s">
        <v>34</v>
      </c>
      <c r="U513" t="s">
        <v>90</v>
      </c>
    </row>
    <row r="514" spans="1:21">
      <c r="A514" t="s">
        <v>872</v>
      </c>
      <c r="B514" t="s">
        <v>873</v>
      </c>
      <c r="C514" t="s">
        <v>696</v>
      </c>
      <c r="D514">
        <v>67500</v>
      </c>
      <c r="E514">
        <v>2500</v>
      </c>
      <c r="F514">
        <v>67500</v>
      </c>
      <c r="G514">
        <v>67500</v>
      </c>
      <c r="H514">
        <v>1</v>
      </c>
      <c r="I514" t="s">
        <v>89</v>
      </c>
      <c r="J514">
        <v>20</v>
      </c>
      <c r="K514">
        <v>21</v>
      </c>
      <c r="L514">
        <v>2</v>
      </c>
      <c r="M514" t="s">
        <v>689</v>
      </c>
      <c r="N514">
        <v>8</v>
      </c>
      <c r="O514">
        <v>10.33</v>
      </c>
      <c r="P514">
        <v>110380.12</v>
      </c>
      <c r="Q514">
        <v>95329.65</v>
      </c>
      <c r="R514">
        <v>322</v>
      </c>
      <c r="S514">
        <v>1622</v>
      </c>
      <c r="T514" t="s">
        <v>34</v>
      </c>
      <c r="U514" t="s">
        <v>27</v>
      </c>
    </row>
    <row r="515" spans="1:21">
      <c r="A515" t="s">
        <v>874</v>
      </c>
      <c r="B515" t="s">
        <v>875</v>
      </c>
      <c r="C515" t="s">
        <v>758</v>
      </c>
      <c r="D515">
        <v>59000</v>
      </c>
      <c r="E515">
        <v>3000</v>
      </c>
      <c r="F515">
        <v>118000</v>
      </c>
      <c r="H515">
        <v>1</v>
      </c>
      <c r="I515" t="s">
        <v>89</v>
      </c>
      <c r="J515">
        <v>18.5</v>
      </c>
      <c r="K515">
        <v>32</v>
      </c>
      <c r="L515">
        <v>2</v>
      </c>
      <c r="M515" t="s">
        <v>689</v>
      </c>
      <c r="N515">
        <v>5</v>
      </c>
      <c r="O515">
        <v>9</v>
      </c>
      <c r="P515">
        <v>110380.12</v>
      </c>
      <c r="Q515">
        <v>95329.65</v>
      </c>
      <c r="R515">
        <v>322</v>
      </c>
      <c r="S515">
        <v>1622</v>
      </c>
      <c r="T515" t="s">
        <v>108</v>
      </c>
      <c r="U515" t="s">
        <v>49</v>
      </c>
    </row>
    <row r="516" spans="1:21">
      <c r="A516" t="s">
        <v>876</v>
      </c>
      <c r="B516" t="s">
        <v>875</v>
      </c>
      <c r="C516" t="s">
        <v>758</v>
      </c>
      <c r="D516">
        <v>65000</v>
      </c>
      <c r="E516">
        <v>3000</v>
      </c>
      <c r="F516">
        <v>130000</v>
      </c>
      <c r="H516">
        <v>2</v>
      </c>
      <c r="I516" t="s">
        <v>89</v>
      </c>
      <c r="J516">
        <v>18.22</v>
      </c>
      <c r="K516">
        <v>32</v>
      </c>
      <c r="L516">
        <v>2</v>
      </c>
      <c r="M516" t="s">
        <v>689</v>
      </c>
      <c r="N516">
        <v>5</v>
      </c>
      <c r="O516">
        <v>9</v>
      </c>
      <c r="P516">
        <v>110380.12</v>
      </c>
      <c r="Q516">
        <v>95329.65</v>
      </c>
      <c r="R516">
        <v>322</v>
      </c>
      <c r="S516">
        <v>1622</v>
      </c>
      <c r="T516" t="s">
        <v>108</v>
      </c>
      <c r="U516" t="s">
        <v>49</v>
      </c>
    </row>
    <row r="517" spans="1:21">
      <c r="A517" t="s">
        <v>877</v>
      </c>
      <c r="B517" t="s">
        <v>878</v>
      </c>
      <c r="C517" t="s">
        <v>758</v>
      </c>
      <c r="D517">
        <v>55000</v>
      </c>
      <c r="E517">
        <v>2000</v>
      </c>
      <c r="F517">
        <v>55000</v>
      </c>
      <c r="H517">
        <v>1</v>
      </c>
      <c r="I517" t="s">
        <v>89</v>
      </c>
      <c r="J517">
        <v>13</v>
      </c>
      <c r="K517">
        <v>37</v>
      </c>
      <c r="L517">
        <v>2</v>
      </c>
      <c r="M517" t="s">
        <v>689</v>
      </c>
      <c r="N517">
        <v>6</v>
      </c>
      <c r="O517">
        <v>9.67</v>
      </c>
      <c r="P517">
        <v>110380.12</v>
      </c>
      <c r="Q517">
        <v>95329.65</v>
      </c>
      <c r="R517">
        <v>322</v>
      </c>
      <c r="S517">
        <v>1622</v>
      </c>
      <c r="T517" t="s">
        <v>108</v>
      </c>
      <c r="U517" t="s">
        <v>49</v>
      </c>
    </row>
    <row r="518" spans="1:21">
      <c r="A518" t="s">
        <v>879</v>
      </c>
      <c r="B518" t="s">
        <v>880</v>
      </c>
      <c r="C518" t="s">
        <v>104</v>
      </c>
      <c r="D518">
        <v>75000</v>
      </c>
      <c r="E518">
        <v>3000</v>
      </c>
      <c r="F518">
        <v>75000</v>
      </c>
      <c r="G518">
        <v>75000</v>
      </c>
      <c r="H518">
        <v>1</v>
      </c>
      <c r="I518" t="s">
        <v>89</v>
      </c>
      <c r="J518">
        <v>18.23</v>
      </c>
      <c r="K518">
        <v>38</v>
      </c>
      <c r="L518">
        <v>2</v>
      </c>
      <c r="M518" t="s">
        <v>689</v>
      </c>
      <c r="N518">
        <v>3</v>
      </c>
      <c r="O518">
        <v>7.33</v>
      </c>
      <c r="P518">
        <v>110380.12</v>
      </c>
      <c r="Q518">
        <v>95329.65</v>
      </c>
      <c r="R518">
        <v>322</v>
      </c>
      <c r="S518">
        <v>1622</v>
      </c>
      <c r="T518" t="s">
        <v>108</v>
      </c>
      <c r="U518" t="s">
        <v>49</v>
      </c>
    </row>
    <row r="519" spans="1:21">
      <c r="A519" t="s">
        <v>881</v>
      </c>
      <c r="B519" t="s">
        <v>882</v>
      </c>
      <c r="C519" t="s">
        <v>696</v>
      </c>
      <c r="D519">
        <v>65000</v>
      </c>
      <c r="F519">
        <v>65000</v>
      </c>
      <c r="G519">
        <v>65000</v>
      </c>
      <c r="H519">
        <v>1</v>
      </c>
      <c r="I519" t="s">
        <v>89</v>
      </c>
      <c r="J519">
        <v>18.86</v>
      </c>
      <c r="K519">
        <v>39</v>
      </c>
      <c r="L519">
        <v>2</v>
      </c>
      <c r="M519" t="s">
        <v>689</v>
      </c>
      <c r="N519">
        <v>9</v>
      </c>
      <c r="O519">
        <v>11</v>
      </c>
      <c r="P519">
        <v>110380.12</v>
      </c>
      <c r="Q519">
        <v>95329.65</v>
      </c>
      <c r="R519">
        <v>322</v>
      </c>
      <c r="S519">
        <v>1622</v>
      </c>
      <c r="T519" t="s">
        <v>108</v>
      </c>
      <c r="U519" t="s">
        <v>49</v>
      </c>
    </row>
    <row r="520" spans="1:21">
      <c r="A520" t="s">
        <v>883</v>
      </c>
      <c r="B520" t="s">
        <v>882</v>
      </c>
      <c r="C520" t="s">
        <v>696</v>
      </c>
      <c r="D520">
        <v>65000</v>
      </c>
      <c r="F520">
        <v>65000</v>
      </c>
      <c r="G520">
        <v>65000</v>
      </c>
      <c r="H520">
        <v>2</v>
      </c>
      <c r="I520" t="s">
        <v>89</v>
      </c>
      <c r="J520">
        <v>18.86</v>
      </c>
      <c r="K520">
        <v>39</v>
      </c>
      <c r="L520">
        <v>2</v>
      </c>
      <c r="M520" t="s">
        <v>689</v>
      </c>
      <c r="N520">
        <v>9</v>
      </c>
      <c r="O520">
        <v>11</v>
      </c>
      <c r="P520">
        <v>110380.12</v>
      </c>
      <c r="Q520">
        <v>95329.65</v>
      </c>
      <c r="R520">
        <v>322</v>
      </c>
      <c r="S520">
        <v>1622</v>
      </c>
      <c r="T520" t="s">
        <v>108</v>
      </c>
      <c r="U520" t="s">
        <v>49</v>
      </c>
    </row>
    <row r="521" spans="1:21">
      <c r="A521" t="s">
        <v>884</v>
      </c>
      <c r="B521" t="s">
        <v>885</v>
      </c>
      <c r="C521" t="s">
        <v>696</v>
      </c>
      <c r="D521">
        <v>86000</v>
      </c>
      <c r="E521">
        <v>3000</v>
      </c>
      <c r="F521">
        <v>86000</v>
      </c>
      <c r="G521">
        <v>86000</v>
      </c>
      <c r="H521">
        <v>1</v>
      </c>
      <c r="I521" t="s">
        <v>89</v>
      </c>
      <c r="J521">
        <v>20.91</v>
      </c>
      <c r="K521">
        <v>4</v>
      </c>
      <c r="L521">
        <v>2</v>
      </c>
      <c r="M521" t="s">
        <v>689</v>
      </c>
      <c r="N521">
        <v>5</v>
      </c>
      <c r="O521">
        <v>9.33</v>
      </c>
      <c r="P521">
        <v>110380.12</v>
      </c>
      <c r="Q521">
        <v>95329.65</v>
      </c>
      <c r="R521">
        <v>322</v>
      </c>
      <c r="S521">
        <v>1622</v>
      </c>
      <c r="T521" t="s">
        <v>34</v>
      </c>
      <c r="U521" t="s">
        <v>31</v>
      </c>
    </row>
    <row r="522" spans="1:21">
      <c r="A522" t="s">
        <v>886</v>
      </c>
      <c r="B522" t="s">
        <v>887</v>
      </c>
      <c r="C522" t="s">
        <v>709</v>
      </c>
      <c r="D522">
        <v>34000</v>
      </c>
      <c r="E522">
        <v>1000</v>
      </c>
      <c r="F522">
        <v>45000</v>
      </c>
      <c r="G522">
        <v>34000</v>
      </c>
      <c r="H522">
        <v>1</v>
      </c>
      <c r="I522" t="s">
        <v>89</v>
      </c>
      <c r="J522">
        <v>15</v>
      </c>
      <c r="K522">
        <v>55</v>
      </c>
      <c r="L522">
        <v>2</v>
      </c>
      <c r="M522" t="s">
        <v>689</v>
      </c>
      <c r="N522">
        <v>8</v>
      </c>
      <c r="O522">
        <v>11</v>
      </c>
      <c r="P522">
        <v>110380.12</v>
      </c>
      <c r="Q522">
        <v>95329.65</v>
      </c>
      <c r="R522">
        <v>322</v>
      </c>
      <c r="S522">
        <v>1622</v>
      </c>
      <c r="T522" t="s">
        <v>108</v>
      </c>
      <c r="U522" t="s">
        <v>57</v>
      </c>
    </row>
    <row r="523" spans="1:21">
      <c r="A523" t="s">
        <v>888</v>
      </c>
      <c r="B523" t="s">
        <v>714</v>
      </c>
      <c r="C523" t="s">
        <v>104</v>
      </c>
      <c r="D523">
        <v>76000</v>
      </c>
      <c r="E523">
        <v>8000</v>
      </c>
      <c r="F523">
        <v>76000</v>
      </c>
      <c r="G523">
        <v>76000</v>
      </c>
      <c r="H523">
        <v>1</v>
      </c>
      <c r="I523" t="s">
        <v>89</v>
      </c>
      <c r="J523">
        <v>21.87</v>
      </c>
      <c r="K523">
        <v>17</v>
      </c>
      <c r="L523">
        <v>3</v>
      </c>
      <c r="M523" t="s">
        <v>689</v>
      </c>
      <c r="N523">
        <v>5</v>
      </c>
      <c r="O523">
        <v>7.67</v>
      </c>
      <c r="P523">
        <v>110380.12</v>
      </c>
      <c r="Q523">
        <v>95329.65</v>
      </c>
      <c r="R523">
        <v>322</v>
      </c>
      <c r="S523">
        <v>1622</v>
      </c>
      <c r="T523" t="s">
        <v>34</v>
      </c>
      <c r="U523" t="s">
        <v>90</v>
      </c>
    </row>
    <row r="524" spans="1:21">
      <c r="A524" t="s">
        <v>889</v>
      </c>
      <c r="B524" t="s">
        <v>890</v>
      </c>
      <c r="C524" t="s">
        <v>104</v>
      </c>
      <c r="D524">
        <v>63000</v>
      </c>
      <c r="E524">
        <v>3000</v>
      </c>
      <c r="F524">
        <v>63000</v>
      </c>
      <c r="G524">
        <v>63000</v>
      </c>
      <c r="H524">
        <v>1</v>
      </c>
      <c r="I524" t="s">
        <v>89</v>
      </c>
      <c r="J524">
        <v>18.43</v>
      </c>
      <c r="K524">
        <v>33</v>
      </c>
      <c r="L524">
        <v>3</v>
      </c>
      <c r="M524" t="s">
        <v>689</v>
      </c>
      <c r="N524">
        <v>4</v>
      </c>
      <c r="O524">
        <v>6.67</v>
      </c>
      <c r="P524">
        <v>110380.12</v>
      </c>
      <c r="Q524">
        <v>95329.65</v>
      </c>
      <c r="R524">
        <v>322</v>
      </c>
      <c r="S524">
        <v>1622</v>
      </c>
      <c r="T524" t="s">
        <v>108</v>
      </c>
      <c r="U524" t="s">
        <v>49</v>
      </c>
    </row>
    <row r="525" spans="1:21">
      <c r="A525" t="s">
        <v>891</v>
      </c>
      <c r="B525" t="s">
        <v>892</v>
      </c>
      <c r="C525" t="s">
        <v>41</v>
      </c>
      <c r="D525">
        <v>85000</v>
      </c>
      <c r="E525">
        <v>5000</v>
      </c>
      <c r="F525">
        <v>85000</v>
      </c>
      <c r="G525">
        <v>85000</v>
      </c>
      <c r="H525">
        <v>3</v>
      </c>
      <c r="I525" t="s">
        <v>89</v>
      </c>
      <c r="J525">
        <v>22.15</v>
      </c>
      <c r="K525">
        <v>30</v>
      </c>
      <c r="L525">
        <v>4</v>
      </c>
      <c r="M525" t="s">
        <v>689</v>
      </c>
      <c r="N525">
        <v>7</v>
      </c>
      <c r="O525">
        <v>12</v>
      </c>
      <c r="P525">
        <v>110380.12</v>
      </c>
      <c r="Q525">
        <v>95329.65</v>
      </c>
      <c r="R525">
        <v>322</v>
      </c>
      <c r="S525">
        <v>1622</v>
      </c>
      <c r="T525" t="s">
        <v>34</v>
      </c>
      <c r="U525" t="s">
        <v>27</v>
      </c>
    </row>
    <row r="526" spans="1:21">
      <c r="A526" t="s">
        <v>893</v>
      </c>
      <c r="B526" t="s">
        <v>894</v>
      </c>
      <c r="C526" t="s">
        <v>121</v>
      </c>
      <c r="D526">
        <v>108000</v>
      </c>
      <c r="E526">
        <v>10000</v>
      </c>
      <c r="F526">
        <v>108000</v>
      </c>
      <c r="H526">
        <v>2</v>
      </c>
      <c r="I526" t="s">
        <v>89</v>
      </c>
      <c r="J526">
        <v>23.28</v>
      </c>
      <c r="K526">
        <v>3</v>
      </c>
      <c r="L526">
        <v>4</v>
      </c>
      <c r="M526" t="s">
        <v>689</v>
      </c>
      <c r="N526">
        <v>3</v>
      </c>
      <c r="O526">
        <v>9</v>
      </c>
      <c r="P526">
        <v>110380.12</v>
      </c>
      <c r="Q526">
        <v>95329.65</v>
      </c>
      <c r="R526">
        <v>322</v>
      </c>
      <c r="S526">
        <v>1622</v>
      </c>
      <c r="T526" t="s">
        <v>34</v>
      </c>
      <c r="U526" t="s">
        <v>31</v>
      </c>
    </row>
    <row r="527" spans="1:21">
      <c r="A527" t="s">
        <v>895</v>
      </c>
      <c r="B527" t="s">
        <v>896</v>
      </c>
      <c r="C527" t="s">
        <v>696</v>
      </c>
      <c r="D527">
        <v>110000</v>
      </c>
      <c r="E527">
        <v>15000</v>
      </c>
      <c r="G527">
        <v>110000</v>
      </c>
      <c r="H527">
        <v>4</v>
      </c>
      <c r="I527" t="s">
        <v>89</v>
      </c>
      <c r="J527">
        <v>25.65</v>
      </c>
      <c r="K527">
        <v>9</v>
      </c>
      <c r="L527">
        <v>4</v>
      </c>
      <c r="M527" t="s">
        <v>689</v>
      </c>
      <c r="N527">
        <v>6</v>
      </c>
      <c r="O527">
        <v>12.33</v>
      </c>
      <c r="P527">
        <v>110380.12</v>
      </c>
      <c r="Q527">
        <v>95329.65</v>
      </c>
      <c r="R527">
        <v>322</v>
      </c>
      <c r="S527">
        <v>1622</v>
      </c>
      <c r="T527" t="s">
        <v>34</v>
      </c>
      <c r="U527" t="s">
        <v>31</v>
      </c>
    </row>
    <row r="528" spans="1:21">
      <c r="A528" t="s">
        <v>897</v>
      </c>
      <c r="B528" t="s">
        <v>898</v>
      </c>
      <c r="C528" t="s">
        <v>104</v>
      </c>
      <c r="D528">
        <v>99000</v>
      </c>
      <c r="E528">
        <v>13000</v>
      </c>
      <c r="G528">
        <v>99000</v>
      </c>
      <c r="H528">
        <v>1</v>
      </c>
      <c r="I528" t="s">
        <v>89</v>
      </c>
      <c r="J528">
        <v>26.1</v>
      </c>
      <c r="K528">
        <v>19</v>
      </c>
      <c r="L528">
        <v>7</v>
      </c>
      <c r="M528" t="s">
        <v>689</v>
      </c>
      <c r="N528">
        <v>6</v>
      </c>
      <c r="O528">
        <v>8</v>
      </c>
      <c r="P528">
        <v>110380.12</v>
      </c>
      <c r="Q528">
        <v>95329.65</v>
      </c>
      <c r="R528">
        <v>322</v>
      </c>
      <c r="S528">
        <v>1622</v>
      </c>
      <c r="T528" t="s">
        <v>34</v>
      </c>
      <c r="U528" t="s">
        <v>90</v>
      </c>
    </row>
    <row r="529" spans="1:21">
      <c r="A529" t="s">
        <v>899</v>
      </c>
      <c r="B529" t="s">
        <v>900</v>
      </c>
      <c r="C529" t="s">
        <v>121</v>
      </c>
      <c r="D529">
        <v>73000</v>
      </c>
      <c r="E529">
        <v>2000</v>
      </c>
      <c r="F529">
        <v>73000</v>
      </c>
      <c r="G529">
        <v>73000</v>
      </c>
      <c r="H529">
        <v>5</v>
      </c>
      <c r="I529" t="s">
        <v>89</v>
      </c>
      <c r="J529">
        <v>16.18</v>
      </c>
      <c r="K529">
        <v>37</v>
      </c>
      <c r="L529">
        <v>7</v>
      </c>
      <c r="M529" t="s">
        <v>689</v>
      </c>
      <c r="N529">
        <v>2</v>
      </c>
      <c r="O529">
        <v>6.67</v>
      </c>
      <c r="P529">
        <v>110380.12</v>
      </c>
      <c r="Q529">
        <v>95329.65</v>
      </c>
      <c r="R529">
        <v>322</v>
      </c>
      <c r="S529">
        <v>1622</v>
      </c>
      <c r="T529" t="s">
        <v>108</v>
      </c>
      <c r="U529" t="s">
        <v>49</v>
      </c>
    </row>
    <row r="530" spans="1:21">
      <c r="A530" t="s">
        <v>901</v>
      </c>
      <c r="B530" t="s">
        <v>902</v>
      </c>
      <c r="C530" t="s">
        <v>104</v>
      </c>
      <c r="D530">
        <v>70000</v>
      </c>
      <c r="E530">
        <v>7000</v>
      </c>
      <c r="F530">
        <v>70000</v>
      </c>
      <c r="G530">
        <v>70000</v>
      </c>
      <c r="H530">
        <v>2</v>
      </c>
      <c r="I530" t="s">
        <v>89</v>
      </c>
      <c r="J530">
        <v>20.07</v>
      </c>
      <c r="K530">
        <v>27</v>
      </c>
      <c r="L530">
        <v>8</v>
      </c>
      <c r="M530" t="s">
        <v>689</v>
      </c>
      <c r="N530">
        <v>5</v>
      </c>
      <c r="O530">
        <v>7.67</v>
      </c>
      <c r="P530">
        <v>110380.12</v>
      </c>
      <c r="Q530">
        <v>95329.65</v>
      </c>
      <c r="R530">
        <v>322</v>
      </c>
      <c r="S530">
        <v>1622</v>
      </c>
      <c r="T530" t="s">
        <v>34</v>
      </c>
      <c r="U530" t="s">
        <v>27</v>
      </c>
    </row>
    <row r="531" spans="1:21">
      <c r="A531" t="s">
        <v>903</v>
      </c>
      <c r="B531" t="s">
        <v>902</v>
      </c>
      <c r="C531" t="s">
        <v>104</v>
      </c>
      <c r="D531">
        <v>77000</v>
      </c>
      <c r="E531">
        <v>6000</v>
      </c>
      <c r="F531">
        <v>77000</v>
      </c>
      <c r="H531">
        <v>7</v>
      </c>
      <c r="I531" t="s">
        <v>89</v>
      </c>
      <c r="J531">
        <v>20.07</v>
      </c>
      <c r="K531">
        <v>27</v>
      </c>
      <c r="L531">
        <v>8</v>
      </c>
      <c r="M531" t="s">
        <v>689</v>
      </c>
      <c r="N531">
        <v>5</v>
      </c>
      <c r="O531">
        <v>7.67</v>
      </c>
      <c r="P531">
        <v>110380.12</v>
      </c>
      <c r="Q531">
        <v>95329.65</v>
      </c>
      <c r="R531">
        <v>322</v>
      </c>
      <c r="S531">
        <v>1622</v>
      </c>
      <c r="T531" t="s">
        <v>34</v>
      </c>
      <c r="U531" t="s">
        <v>27</v>
      </c>
    </row>
    <row r="532" spans="1:21">
      <c r="A532" t="s">
        <v>904</v>
      </c>
      <c r="B532" t="s">
        <v>905</v>
      </c>
      <c r="C532" t="s">
        <v>121</v>
      </c>
      <c r="D532">
        <v>106000</v>
      </c>
      <c r="E532">
        <v>10000</v>
      </c>
      <c r="H532">
        <v>3</v>
      </c>
      <c r="I532" t="s">
        <v>89</v>
      </c>
      <c r="J532">
        <v>22.89</v>
      </c>
      <c r="K532">
        <v>17</v>
      </c>
      <c r="L532">
        <v>9</v>
      </c>
      <c r="M532" t="s">
        <v>689</v>
      </c>
      <c r="N532">
        <v>2</v>
      </c>
      <c r="O532">
        <v>5.67</v>
      </c>
      <c r="P532">
        <v>110380.12</v>
      </c>
      <c r="Q532">
        <v>95329.65</v>
      </c>
      <c r="R532">
        <v>322</v>
      </c>
      <c r="S532">
        <v>1622</v>
      </c>
      <c r="T532" t="s">
        <v>34</v>
      </c>
      <c r="U532" t="s">
        <v>90</v>
      </c>
    </row>
    <row r="533" spans="1:21">
      <c r="A533" t="s">
        <v>906</v>
      </c>
      <c r="B533" t="s">
        <v>905</v>
      </c>
      <c r="C533" t="s">
        <v>121</v>
      </c>
      <c r="D533">
        <v>108000</v>
      </c>
      <c r="E533">
        <v>10000</v>
      </c>
      <c r="H533">
        <v>6</v>
      </c>
      <c r="I533" t="s">
        <v>89</v>
      </c>
      <c r="J533">
        <v>22.89</v>
      </c>
      <c r="K533">
        <v>17</v>
      </c>
      <c r="L533">
        <v>9</v>
      </c>
      <c r="M533" t="s">
        <v>689</v>
      </c>
      <c r="N533">
        <v>2</v>
      </c>
      <c r="O533">
        <v>5.67</v>
      </c>
      <c r="P533">
        <v>110380.12</v>
      </c>
      <c r="Q533">
        <v>95329.65</v>
      </c>
      <c r="R533">
        <v>322</v>
      </c>
      <c r="S533">
        <v>1622</v>
      </c>
      <c r="T533" t="s">
        <v>34</v>
      </c>
      <c r="U533" t="s">
        <v>90</v>
      </c>
    </row>
    <row r="534" spans="1:21">
      <c r="A534" t="s">
        <v>907</v>
      </c>
      <c r="B534" t="s">
        <v>908</v>
      </c>
      <c r="C534" t="s">
        <v>758</v>
      </c>
      <c r="D534">
        <v>92000</v>
      </c>
      <c r="E534">
        <v>5000</v>
      </c>
      <c r="H534">
        <v>1</v>
      </c>
      <c r="I534" t="s">
        <v>89</v>
      </c>
      <c r="J534">
        <v>19.739999999999998</v>
      </c>
      <c r="K534">
        <v>19</v>
      </c>
      <c r="L534">
        <v>4</v>
      </c>
      <c r="M534" t="s">
        <v>689</v>
      </c>
      <c r="N534">
        <v>6</v>
      </c>
      <c r="O534">
        <v>9</v>
      </c>
      <c r="P534">
        <v>110380.12</v>
      </c>
      <c r="Q534">
        <v>95329.65</v>
      </c>
      <c r="R534">
        <v>322</v>
      </c>
      <c r="S534">
        <v>1622</v>
      </c>
      <c r="T534" t="s">
        <v>108</v>
      </c>
      <c r="U534" t="s">
        <v>90</v>
      </c>
    </row>
    <row r="535" spans="1:21">
      <c r="A535" t="s">
        <v>909</v>
      </c>
      <c r="B535" t="s">
        <v>908</v>
      </c>
      <c r="C535" t="s">
        <v>758</v>
      </c>
      <c r="D535">
        <v>90000</v>
      </c>
      <c r="E535">
        <v>5000</v>
      </c>
      <c r="H535">
        <v>1</v>
      </c>
      <c r="I535" t="s">
        <v>89</v>
      </c>
      <c r="J535">
        <v>19.739999999999998</v>
      </c>
      <c r="K535">
        <v>19</v>
      </c>
      <c r="L535">
        <v>4</v>
      </c>
      <c r="M535" t="s">
        <v>689</v>
      </c>
      <c r="N535">
        <v>6</v>
      </c>
      <c r="O535">
        <v>9</v>
      </c>
      <c r="P535">
        <v>110380.12</v>
      </c>
      <c r="Q535">
        <v>95329.65</v>
      </c>
      <c r="R535">
        <v>322</v>
      </c>
      <c r="S535">
        <v>1622</v>
      </c>
      <c r="T535" t="s">
        <v>108</v>
      </c>
      <c r="U535" t="s">
        <v>90</v>
      </c>
    </row>
    <row r="536" spans="1:21">
      <c r="A536" t="s">
        <v>910</v>
      </c>
      <c r="B536" t="s">
        <v>911</v>
      </c>
      <c r="C536" t="s">
        <v>121</v>
      </c>
      <c r="D536">
        <v>79000</v>
      </c>
      <c r="E536">
        <v>3000</v>
      </c>
      <c r="F536">
        <v>158000</v>
      </c>
      <c r="G536">
        <v>158000</v>
      </c>
      <c r="H536">
        <v>2</v>
      </c>
      <c r="I536" t="s">
        <v>89</v>
      </c>
      <c r="J536">
        <v>26.4</v>
      </c>
      <c r="K536">
        <v>16</v>
      </c>
      <c r="L536">
        <v>2</v>
      </c>
      <c r="M536" t="s">
        <v>689</v>
      </c>
      <c r="N536">
        <v>3</v>
      </c>
      <c r="O536">
        <v>6.67</v>
      </c>
      <c r="P536">
        <v>110380.12</v>
      </c>
      <c r="Q536">
        <v>95329.65</v>
      </c>
      <c r="R536">
        <v>322</v>
      </c>
      <c r="S536">
        <v>1622</v>
      </c>
      <c r="T536" t="s">
        <v>34</v>
      </c>
      <c r="U536" t="s">
        <v>90</v>
      </c>
    </row>
    <row r="537" spans="1:21">
      <c r="A537" t="s">
        <v>912</v>
      </c>
      <c r="B537" t="s">
        <v>913</v>
      </c>
      <c r="C537" t="s">
        <v>104</v>
      </c>
      <c r="D537">
        <v>77000</v>
      </c>
      <c r="E537">
        <v>3000</v>
      </c>
      <c r="F537">
        <v>77000</v>
      </c>
      <c r="G537">
        <v>77000</v>
      </c>
      <c r="H537">
        <v>2</v>
      </c>
      <c r="I537" t="s">
        <v>89</v>
      </c>
      <c r="J537">
        <v>18.23</v>
      </c>
      <c r="K537">
        <v>38</v>
      </c>
      <c r="L537">
        <v>2</v>
      </c>
      <c r="M537" t="s">
        <v>689</v>
      </c>
      <c r="N537">
        <v>1</v>
      </c>
      <c r="O537">
        <v>7</v>
      </c>
      <c r="P537">
        <v>110380.12</v>
      </c>
      <c r="Q537">
        <v>95329.65</v>
      </c>
      <c r="R537">
        <v>322</v>
      </c>
      <c r="S537">
        <v>1622</v>
      </c>
      <c r="T537" t="s">
        <v>108</v>
      </c>
      <c r="U537" t="s">
        <v>49</v>
      </c>
    </row>
    <row r="538" spans="1:21">
      <c r="A538" t="s">
        <v>914</v>
      </c>
      <c r="B538" t="s">
        <v>915</v>
      </c>
      <c r="C538" t="s">
        <v>709</v>
      </c>
      <c r="D538">
        <v>108000</v>
      </c>
      <c r="E538">
        <v>2000</v>
      </c>
      <c r="F538">
        <v>108000</v>
      </c>
      <c r="G538">
        <v>108000</v>
      </c>
      <c r="H538">
        <v>2</v>
      </c>
      <c r="I538" t="s">
        <v>89</v>
      </c>
      <c r="J538">
        <v>25.51</v>
      </c>
      <c r="K538">
        <v>9</v>
      </c>
      <c r="L538">
        <v>2</v>
      </c>
      <c r="M538" t="s">
        <v>689</v>
      </c>
      <c r="N538">
        <v>5</v>
      </c>
      <c r="O538">
        <v>10</v>
      </c>
      <c r="P538">
        <v>110380.12</v>
      </c>
      <c r="Q538">
        <v>95329.65</v>
      </c>
      <c r="R538">
        <v>322</v>
      </c>
      <c r="S538">
        <v>1622</v>
      </c>
      <c r="T538" t="s">
        <v>34</v>
      </c>
      <c r="U538" t="s">
        <v>31</v>
      </c>
    </row>
    <row r="539" spans="1:21">
      <c r="A539" t="s">
        <v>916</v>
      </c>
      <c r="B539" t="s">
        <v>917</v>
      </c>
      <c r="C539" t="s">
        <v>121</v>
      </c>
      <c r="D539">
        <v>140000</v>
      </c>
      <c r="E539">
        <v>5000</v>
      </c>
      <c r="F539">
        <v>140000</v>
      </c>
      <c r="G539">
        <v>140000</v>
      </c>
      <c r="H539">
        <v>2</v>
      </c>
      <c r="I539" t="s">
        <v>89</v>
      </c>
      <c r="J539">
        <v>31.99</v>
      </c>
      <c r="K539">
        <v>24</v>
      </c>
      <c r="L539">
        <v>3</v>
      </c>
      <c r="M539" t="s">
        <v>689</v>
      </c>
      <c r="N539">
        <v>3</v>
      </c>
      <c r="O539">
        <v>10.33</v>
      </c>
      <c r="P539">
        <v>110380.12</v>
      </c>
      <c r="Q539">
        <v>95329.65</v>
      </c>
      <c r="R539">
        <v>322</v>
      </c>
      <c r="S539">
        <v>1622</v>
      </c>
      <c r="T539" t="s">
        <v>26</v>
      </c>
      <c r="U539" t="s">
        <v>27</v>
      </c>
    </row>
    <row r="540" spans="1:21">
      <c r="A540" t="s">
        <v>918</v>
      </c>
      <c r="B540" t="s">
        <v>919</v>
      </c>
      <c r="C540" t="s">
        <v>104</v>
      </c>
      <c r="D540">
        <v>96000</v>
      </c>
      <c r="E540">
        <v>2000</v>
      </c>
      <c r="F540">
        <v>96000</v>
      </c>
      <c r="G540">
        <v>96000</v>
      </c>
      <c r="H540">
        <v>1</v>
      </c>
      <c r="I540" t="s">
        <v>89</v>
      </c>
      <c r="J540">
        <v>21.06</v>
      </c>
      <c r="K540">
        <v>33</v>
      </c>
      <c r="L540">
        <v>3</v>
      </c>
      <c r="M540" t="s">
        <v>689</v>
      </c>
      <c r="N540">
        <v>2</v>
      </c>
      <c r="O540">
        <v>2</v>
      </c>
      <c r="P540">
        <v>110380.12</v>
      </c>
      <c r="Q540">
        <v>95329.65</v>
      </c>
      <c r="R540">
        <v>322</v>
      </c>
      <c r="S540">
        <v>1622</v>
      </c>
      <c r="T540" t="s">
        <v>34</v>
      </c>
      <c r="U540" t="s">
        <v>49</v>
      </c>
    </row>
    <row r="541" spans="1:21">
      <c r="A541" t="s">
        <v>920</v>
      </c>
      <c r="B541" t="s">
        <v>921</v>
      </c>
      <c r="C541" t="s">
        <v>121</v>
      </c>
      <c r="D541">
        <v>106000</v>
      </c>
      <c r="E541">
        <v>15000</v>
      </c>
      <c r="G541">
        <v>159000</v>
      </c>
      <c r="H541">
        <v>2</v>
      </c>
      <c r="I541" t="s">
        <v>89</v>
      </c>
      <c r="J541">
        <v>25.52</v>
      </c>
      <c r="K541">
        <v>7</v>
      </c>
      <c r="L541">
        <v>4</v>
      </c>
      <c r="M541" t="s">
        <v>689</v>
      </c>
      <c r="N541">
        <v>5</v>
      </c>
      <c r="O541">
        <v>8.33</v>
      </c>
      <c r="P541">
        <v>110380.12</v>
      </c>
      <c r="Q541">
        <v>95329.65</v>
      </c>
      <c r="R541">
        <v>322</v>
      </c>
      <c r="S541">
        <v>1622</v>
      </c>
      <c r="T541" t="s">
        <v>34</v>
      </c>
      <c r="U541" t="s">
        <v>31</v>
      </c>
    </row>
    <row r="542" spans="1:21">
      <c r="A542" t="s">
        <v>922</v>
      </c>
      <c r="B542" t="s">
        <v>921</v>
      </c>
      <c r="C542" t="s">
        <v>121</v>
      </c>
      <c r="D542">
        <v>108800</v>
      </c>
      <c r="E542">
        <v>8200</v>
      </c>
      <c r="F542">
        <v>108800</v>
      </c>
      <c r="G542">
        <v>108800</v>
      </c>
      <c r="H542">
        <v>2</v>
      </c>
      <c r="I542" t="s">
        <v>89</v>
      </c>
      <c r="J542">
        <v>25.52</v>
      </c>
      <c r="K542">
        <v>7</v>
      </c>
      <c r="L542">
        <v>4</v>
      </c>
      <c r="M542" t="s">
        <v>689</v>
      </c>
      <c r="N542">
        <v>5</v>
      </c>
      <c r="O542">
        <v>8.33</v>
      </c>
      <c r="P542">
        <v>110380.12</v>
      </c>
      <c r="Q542">
        <v>95329.65</v>
      </c>
      <c r="R542">
        <v>322</v>
      </c>
      <c r="S542">
        <v>1622</v>
      </c>
      <c r="T542" t="s">
        <v>34</v>
      </c>
      <c r="U542" t="s">
        <v>31</v>
      </c>
    </row>
    <row r="543" spans="1:21">
      <c r="A543" t="s">
        <v>923</v>
      </c>
      <c r="B543" t="s">
        <v>921</v>
      </c>
      <c r="C543" t="s">
        <v>121</v>
      </c>
      <c r="D543">
        <v>100000</v>
      </c>
      <c r="E543">
        <v>11000</v>
      </c>
      <c r="G543">
        <v>100000</v>
      </c>
      <c r="H543">
        <v>2</v>
      </c>
      <c r="I543" t="s">
        <v>89</v>
      </c>
      <c r="J543">
        <v>25.52</v>
      </c>
      <c r="K543">
        <v>7</v>
      </c>
      <c r="L543">
        <v>4</v>
      </c>
      <c r="M543" t="s">
        <v>689</v>
      </c>
      <c r="N543">
        <v>5</v>
      </c>
      <c r="O543">
        <v>8.33</v>
      </c>
      <c r="P543">
        <v>110380.12</v>
      </c>
      <c r="Q543">
        <v>95329.65</v>
      </c>
      <c r="R543">
        <v>322</v>
      </c>
      <c r="S543">
        <v>1622</v>
      </c>
      <c r="T543" t="s">
        <v>34</v>
      </c>
      <c r="U543" t="s">
        <v>31</v>
      </c>
    </row>
    <row r="544" spans="1:21">
      <c r="A544" t="s">
        <v>924</v>
      </c>
      <c r="B544" t="s">
        <v>921</v>
      </c>
      <c r="C544" t="s">
        <v>701</v>
      </c>
      <c r="D544">
        <v>100000</v>
      </c>
      <c r="E544">
        <v>14000</v>
      </c>
      <c r="G544">
        <v>100000</v>
      </c>
      <c r="H544">
        <v>2</v>
      </c>
      <c r="I544" t="s">
        <v>89</v>
      </c>
      <c r="J544">
        <v>25.64</v>
      </c>
      <c r="K544">
        <v>7</v>
      </c>
      <c r="L544">
        <v>4</v>
      </c>
      <c r="M544" t="s">
        <v>689</v>
      </c>
      <c r="N544">
        <v>6</v>
      </c>
      <c r="O544">
        <v>11.33</v>
      </c>
      <c r="P544">
        <v>110380.12</v>
      </c>
      <c r="Q544">
        <v>95329.65</v>
      </c>
      <c r="R544">
        <v>322</v>
      </c>
      <c r="S544">
        <v>1622</v>
      </c>
      <c r="T544" t="s">
        <v>34</v>
      </c>
      <c r="U544" t="s">
        <v>31</v>
      </c>
    </row>
    <row r="545" spans="1:21">
      <c r="A545" t="s">
        <v>925</v>
      </c>
      <c r="B545" t="s">
        <v>921</v>
      </c>
      <c r="C545" t="s">
        <v>701</v>
      </c>
      <c r="D545">
        <v>100000</v>
      </c>
      <c r="E545">
        <v>14000</v>
      </c>
      <c r="G545">
        <v>100000</v>
      </c>
      <c r="H545">
        <v>3</v>
      </c>
      <c r="I545" t="s">
        <v>89</v>
      </c>
      <c r="J545">
        <v>25.22</v>
      </c>
      <c r="K545">
        <v>7</v>
      </c>
      <c r="L545">
        <v>4</v>
      </c>
      <c r="M545" t="s">
        <v>689</v>
      </c>
      <c r="N545">
        <v>6</v>
      </c>
      <c r="O545">
        <v>11.33</v>
      </c>
      <c r="P545">
        <v>110380.12</v>
      </c>
      <c r="Q545">
        <v>95329.65</v>
      </c>
      <c r="R545">
        <v>322</v>
      </c>
      <c r="S545">
        <v>1622</v>
      </c>
      <c r="T545" t="s">
        <v>34</v>
      </c>
      <c r="U545" t="s">
        <v>31</v>
      </c>
    </row>
    <row r="546" spans="1:21">
      <c r="A546" t="s">
        <v>926</v>
      </c>
      <c r="B546" t="s">
        <v>921</v>
      </c>
      <c r="C546" t="s">
        <v>701</v>
      </c>
      <c r="D546">
        <v>100000</v>
      </c>
      <c r="E546">
        <v>14000</v>
      </c>
      <c r="G546">
        <v>100000</v>
      </c>
      <c r="H546">
        <v>4</v>
      </c>
      <c r="I546" t="s">
        <v>89</v>
      </c>
      <c r="J546">
        <v>25.2</v>
      </c>
      <c r="K546">
        <v>7</v>
      </c>
      <c r="L546">
        <v>4</v>
      </c>
      <c r="M546" t="s">
        <v>689</v>
      </c>
      <c r="N546">
        <v>6</v>
      </c>
      <c r="O546">
        <v>11.33</v>
      </c>
      <c r="P546">
        <v>110380.12</v>
      </c>
      <c r="Q546">
        <v>95329.65</v>
      </c>
      <c r="R546">
        <v>322</v>
      </c>
      <c r="S546">
        <v>1622</v>
      </c>
      <c r="T546" t="s">
        <v>34</v>
      </c>
      <c r="U546" t="s">
        <v>31</v>
      </c>
    </row>
    <row r="547" spans="1:21">
      <c r="A547" t="s">
        <v>927</v>
      </c>
      <c r="B547" t="s">
        <v>928</v>
      </c>
      <c r="C547" t="s">
        <v>41</v>
      </c>
      <c r="D547">
        <v>106000</v>
      </c>
      <c r="E547">
        <v>10000</v>
      </c>
      <c r="G547">
        <v>106000</v>
      </c>
      <c r="H547">
        <v>2</v>
      </c>
      <c r="I547" t="s">
        <v>89</v>
      </c>
      <c r="J547">
        <v>25.38</v>
      </c>
      <c r="K547">
        <v>8</v>
      </c>
      <c r="L547">
        <v>4</v>
      </c>
      <c r="M547" t="s">
        <v>689</v>
      </c>
      <c r="N547">
        <v>5</v>
      </c>
      <c r="O547">
        <v>7</v>
      </c>
      <c r="P547">
        <v>110380.12</v>
      </c>
      <c r="Q547">
        <v>95329.65</v>
      </c>
      <c r="R547">
        <v>322</v>
      </c>
      <c r="S547">
        <v>1622</v>
      </c>
      <c r="T547" t="s">
        <v>34</v>
      </c>
      <c r="U547" t="s">
        <v>31</v>
      </c>
    </row>
    <row r="548" spans="1:21">
      <c r="A548" t="s">
        <v>929</v>
      </c>
      <c r="B548" t="s">
        <v>928</v>
      </c>
      <c r="C548" t="s">
        <v>41</v>
      </c>
      <c r="D548">
        <v>110000</v>
      </c>
      <c r="E548">
        <v>15000</v>
      </c>
      <c r="F548">
        <v>110000</v>
      </c>
      <c r="G548">
        <v>110000</v>
      </c>
      <c r="H548">
        <v>2</v>
      </c>
      <c r="I548" t="s">
        <v>89</v>
      </c>
      <c r="J548">
        <v>25.38</v>
      </c>
      <c r="K548">
        <v>8</v>
      </c>
      <c r="L548">
        <v>4</v>
      </c>
      <c r="M548" t="s">
        <v>689</v>
      </c>
      <c r="N548">
        <v>5</v>
      </c>
      <c r="O548">
        <v>7</v>
      </c>
      <c r="P548">
        <v>110380.12</v>
      </c>
      <c r="Q548">
        <v>95329.65</v>
      </c>
      <c r="R548">
        <v>322</v>
      </c>
      <c r="S548">
        <v>1622</v>
      </c>
      <c r="T548" t="s">
        <v>34</v>
      </c>
      <c r="U548" t="s">
        <v>31</v>
      </c>
    </row>
    <row r="549" spans="1:21">
      <c r="A549" t="s">
        <v>930</v>
      </c>
      <c r="B549" t="s">
        <v>928</v>
      </c>
      <c r="C549" t="s">
        <v>41</v>
      </c>
      <c r="D549">
        <v>110000</v>
      </c>
      <c r="E549">
        <v>15000</v>
      </c>
      <c r="F549">
        <v>110000</v>
      </c>
      <c r="G549">
        <v>110000</v>
      </c>
      <c r="H549">
        <v>3</v>
      </c>
      <c r="I549" t="s">
        <v>89</v>
      </c>
      <c r="J549">
        <v>25.38</v>
      </c>
      <c r="K549">
        <v>8</v>
      </c>
      <c r="L549">
        <v>4</v>
      </c>
      <c r="M549" t="s">
        <v>689</v>
      </c>
      <c r="N549">
        <v>5</v>
      </c>
      <c r="O549">
        <v>7</v>
      </c>
      <c r="P549">
        <v>110380.12</v>
      </c>
      <c r="Q549">
        <v>95329.65</v>
      </c>
      <c r="R549">
        <v>322</v>
      </c>
      <c r="S549">
        <v>1622</v>
      </c>
      <c r="T549" t="s">
        <v>34</v>
      </c>
      <c r="U549" t="s">
        <v>31</v>
      </c>
    </row>
    <row r="550" spans="1:21">
      <c r="A550" t="s">
        <v>931</v>
      </c>
      <c r="B550" t="s">
        <v>932</v>
      </c>
      <c r="C550" t="s">
        <v>688</v>
      </c>
      <c r="D550">
        <v>75000</v>
      </c>
      <c r="E550">
        <v>7000</v>
      </c>
      <c r="F550">
        <v>75000</v>
      </c>
      <c r="G550">
        <v>75000</v>
      </c>
      <c r="H550">
        <v>3</v>
      </c>
      <c r="I550" t="s">
        <v>89</v>
      </c>
      <c r="J550">
        <v>20.9</v>
      </c>
      <c r="K550">
        <v>22</v>
      </c>
      <c r="L550">
        <v>5</v>
      </c>
      <c r="M550" t="s">
        <v>689</v>
      </c>
      <c r="N550">
        <v>9</v>
      </c>
      <c r="O550">
        <v>9.67</v>
      </c>
      <c r="P550">
        <v>110380.12</v>
      </c>
      <c r="Q550">
        <v>95329.65</v>
      </c>
      <c r="R550">
        <v>322</v>
      </c>
      <c r="S550">
        <v>1622</v>
      </c>
      <c r="T550" t="s">
        <v>34</v>
      </c>
      <c r="U550" t="s">
        <v>27</v>
      </c>
    </row>
    <row r="551" spans="1:21">
      <c r="A551" t="s">
        <v>933</v>
      </c>
      <c r="B551" t="s">
        <v>934</v>
      </c>
      <c r="C551" t="s">
        <v>688</v>
      </c>
      <c r="D551">
        <v>86000</v>
      </c>
      <c r="E551">
        <v>7000</v>
      </c>
      <c r="F551">
        <v>86000</v>
      </c>
      <c r="H551">
        <v>2</v>
      </c>
      <c r="I551" t="s">
        <v>89</v>
      </c>
      <c r="J551">
        <v>20.09</v>
      </c>
      <c r="K551">
        <v>30</v>
      </c>
      <c r="L551">
        <v>5</v>
      </c>
      <c r="M551" t="s">
        <v>689</v>
      </c>
      <c r="N551">
        <v>9</v>
      </c>
      <c r="O551">
        <v>13.33</v>
      </c>
      <c r="P551">
        <v>110380.12</v>
      </c>
      <c r="Q551">
        <v>95329.65</v>
      </c>
      <c r="R551">
        <v>322</v>
      </c>
      <c r="S551">
        <v>1622</v>
      </c>
      <c r="T551" t="s">
        <v>34</v>
      </c>
      <c r="U551" t="s">
        <v>27</v>
      </c>
    </row>
    <row r="552" spans="1:21">
      <c r="A552" t="s">
        <v>935</v>
      </c>
      <c r="B552" t="s">
        <v>731</v>
      </c>
      <c r="C552" t="s">
        <v>696</v>
      </c>
      <c r="D552">
        <v>122000</v>
      </c>
      <c r="E552">
        <v>5000</v>
      </c>
      <c r="F552">
        <v>122000</v>
      </c>
      <c r="G552">
        <v>122000</v>
      </c>
      <c r="H552">
        <v>2</v>
      </c>
      <c r="I552" t="s">
        <v>89</v>
      </c>
      <c r="J552">
        <v>25.38</v>
      </c>
      <c r="K552">
        <v>9</v>
      </c>
      <c r="L552">
        <v>3</v>
      </c>
      <c r="M552" t="s">
        <v>689</v>
      </c>
      <c r="N552">
        <v>5</v>
      </c>
      <c r="O552">
        <v>8.67</v>
      </c>
      <c r="P552">
        <v>110380.12</v>
      </c>
      <c r="Q552">
        <v>95329.65</v>
      </c>
      <c r="R552">
        <v>322</v>
      </c>
      <c r="S552">
        <v>1622</v>
      </c>
      <c r="T552" t="s">
        <v>34</v>
      </c>
      <c r="U552" t="s">
        <v>31</v>
      </c>
    </row>
    <row r="553" spans="1:21">
      <c r="A553" t="s">
        <v>936</v>
      </c>
      <c r="B553" t="s">
        <v>937</v>
      </c>
      <c r="C553" t="s">
        <v>701</v>
      </c>
      <c r="D553">
        <v>60000</v>
      </c>
      <c r="E553">
        <v>3000</v>
      </c>
      <c r="F553">
        <v>60000</v>
      </c>
      <c r="H553">
        <v>2</v>
      </c>
      <c r="I553" t="s">
        <v>89</v>
      </c>
      <c r="J553">
        <v>16.02</v>
      </c>
      <c r="K553">
        <v>25</v>
      </c>
      <c r="L553">
        <v>4</v>
      </c>
      <c r="M553" t="s">
        <v>689</v>
      </c>
      <c r="N553">
        <v>4</v>
      </c>
      <c r="O553">
        <v>6</v>
      </c>
      <c r="P553">
        <v>110380.12</v>
      </c>
      <c r="Q553">
        <v>95329.65</v>
      </c>
      <c r="R553">
        <v>322</v>
      </c>
      <c r="S553">
        <v>1622</v>
      </c>
      <c r="T553" t="s">
        <v>108</v>
      </c>
      <c r="U553" t="s">
        <v>27</v>
      </c>
    </row>
    <row r="554" spans="1:21">
      <c r="A554" t="s">
        <v>938</v>
      </c>
      <c r="B554" t="s">
        <v>939</v>
      </c>
      <c r="C554" t="s">
        <v>709</v>
      </c>
      <c r="D554">
        <v>107000</v>
      </c>
      <c r="E554">
        <v>15000</v>
      </c>
      <c r="H554">
        <v>3</v>
      </c>
      <c r="I554" t="s">
        <v>89</v>
      </c>
      <c r="J554">
        <v>23.5</v>
      </c>
      <c r="K554">
        <v>20</v>
      </c>
      <c r="L554">
        <v>7</v>
      </c>
      <c r="M554" t="s">
        <v>689</v>
      </c>
      <c r="N554">
        <v>3</v>
      </c>
      <c r="O554">
        <v>4</v>
      </c>
      <c r="P554">
        <v>110380.12</v>
      </c>
      <c r="Q554">
        <v>95329.65</v>
      </c>
      <c r="R554">
        <v>322</v>
      </c>
      <c r="S554">
        <v>1622</v>
      </c>
      <c r="T554" t="s">
        <v>34</v>
      </c>
      <c r="U554" t="s">
        <v>90</v>
      </c>
    </row>
    <row r="555" spans="1:21">
      <c r="A555" t="s">
        <v>940</v>
      </c>
      <c r="B555" t="s">
        <v>939</v>
      </c>
      <c r="C555" t="s">
        <v>709</v>
      </c>
      <c r="D555">
        <v>109000</v>
      </c>
      <c r="E555">
        <v>15000</v>
      </c>
      <c r="H555">
        <v>3</v>
      </c>
      <c r="I555" t="s">
        <v>89</v>
      </c>
      <c r="J555">
        <v>23.5</v>
      </c>
      <c r="K555">
        <v>20</v>
      </c>
      <c r="L555">
        <v>7</v>
      </c>
      <c r="M555" t="s">
        <v>689</v>
      </c>
      <c r="N555">
        <v>3</v>
      </c>
      <c r="O555">
        <v>4</v>
      </c>
      <c r="P555">
        <v>110380.12</v>
      </c>
      <c r="Q555">
        <v>95329.65</v>
      </c>
      <c r="R555">
        <v>322</v>
      </c>
      <c r="S555">
        <v>1622</v>
      </c>
      <c r="T555" t="s">
        <v>34</v>
      </c>
      <c r="U555" t="s">
        <v>90</v>
      </c>
    </row>
    <row r="556" spans="1:21">
      <c r="A556" t="s">
        <v>941</v>
      </c>
      <c r="B556" t="s">
        <v>942</v>
      </c>
      <c r="C556" t="s">
        <v>121</v>
      </c>
      <c r="D556">
        <v>100000</v>
      </c>
      <c r="E556">
        <v>5000</v>
      </c>
      <c r="F556">
        <v>100000</v>
      </c>
      <c r="H556">
        <v>4</v>
      </c>
      <c r="I556" t="s">
        <v>89</v>
      </c>
      <c r="J556">
        <v>25.37</v>
      </c>
      <c r="K556">
        <v>24</v>
      </c>
      <c r="L556">
        <v>4</v>
      </c>
      <c r="M556" t="s">
        <v>689</v>
      </c>
      <c r="N556">
        <v>4</v>
      </c>
      <c r="O556">
        <v>5.67</v>
      </c>
      <c r="P556">
        <v>110380.12</v>
      </c>
      <c r="Q556">
        <v>95329.65</v>
      </c>
      <c r="R556">
        <v>322</v>
      </c>
      <c r="S556">
        <v>1622</v>
      </c>
      <c r="T556" t="s">
        <v>34</v>
      </c>
      <c r="U556" t="s">
        <v>27</v>
      </c>
    </row>
    <row r="557" spans="1:21">
      <c r="A557" t="s">
        <v>943</v>
      </c>
      <c r="B557" t="s">
        <v>944</v>
      </c>
      <c r="C557" t="s">
        <v>709</v>
      </c>
      <c r="D557">
        <v>87000</v>
      </c>
      <c r="E557">
        <v>5000</v>
      </c>
      <c r="F557">
        <v>87000</v>
      </c>
      <c r="G557">
        <v>87000</v>
      </c>
      <c r="H557">
        <v>5</v>
      </c>
      <c r="I557" t="s">
        <v>89</v>
      </c>
      <c r="J557">
        <v>23.1</v>
      </c>
      <c r="K557">
        <v>32</v>
      </c>
      <c r="L557">
        <v>12</v>
      </c>
      <c r="M557" t="s">
        <v>689</v>
      </c>
      <c r="N557">
        <v>2</v>
      </c>
      <c r="O557">
        <v>5</v>
      </c>
      <c r="P557">
        <v>110380.12</v>
      </c>
      <c r="Q557">
        <v>95329.65</v>
      </c>
      <c r="R557">
        <v>322</v>
      </c>
      <c r="S557">
        <v>1622</v>
      </c>
      <c r="T557" t="s">
        <v>34</v>
      </c>
      <c r="U557" t="s">
        <v>49</v>
      </c>
    </row>
    <row r="558" spans="1:21">
      <c r="A558" t="s">
        <v>945</v>
      </c>
      <c r="B558" t="s">
        <v>946</v>
      </c>
      <c r="C558" t="s">
        <v>709</v>
      </c>
      <c r="D558">
        <v>108000</v>
      </c>
      <c r="E558">
        <v>2000</v>
      </c>
      <c r="F558">
        <v>108000</v>
      </c>
      <c r="G558">
        <v>108000</v>
      </c>
      <c r="H558">
        <v>1</v>
      </c>
      <c r="I558" t="s">
        <v>89</v>
      </c>
      <c r="J558">
        <v>25.51</v>
      </c>
      <c r="K558">
        <v>9</v>
      </c>
      <c r="L558">
        <v>2</v>
      </c>
      <c r="M558" t="s">
        <v>689</v>
      </c>
      <c r="N558">
        <v>5</v>
      </c>
      <c r="O558">
        <v>8.67</v>
      </c>
      <c r="P558">
        <v>110380.12</v>
      </c>
      <c r="Q558">
        <v>95329.65</v>
      </c>
      <c r="R558">
        <v>322</v>
      </c>
      <c r="S558">
        <v>1622</v>
      </c>
      <c r="T558" t="s">
        <v>34</v>
      </c>
      <c r="U558" t="s">
        <v>31</v>
      </c>
    </row>
    <row r="559" spans="1:21">
      <c r="A559" t="s">
        <v>945</v>
      </c>
      <c r="B559" t="s">
        <v>946</v>
      </c>
      <c r="C559" t="s">
        <v>709</v>
      </c>
      <c r="D559">
        <v>108000</v>
      </c>
      <c r="E559">
        <v>2000</v>
      </c>
      <c r="F559">
        <v>108000</v>
      </c>
      <c r="G559">
        <v>108000</v>
      </c>
      <c r="H559">
        <v>2</v>
      </c>
      <c r="I559" t="s">
        <v>89</v>
      </c>
      <c r="J559">
        <v>25.51</v>
      </c>
      <c r="K559">
        <v>9</v>
      </c>
      <c r="L559">
        <v>2</v>
      </c>
      <c r="M559" t="s">
        <v>689</v>
      </c>
      <c r="N559">
        <v>5</v>
      </c>
      <c r="O559">
        <v>8.67</v>
      </c>
      <c r="P559">
        <v>110380.12</v>
      </c>
      <c r="Q559">
        <v>95329.65</v>
      </c>
      <c r="R559">
        <v>322</v>
      </c>
      <c r="S559">
        <v>1622</v>
      </c>
      <c r="T559" t="s">
        <v>34</v>
      </c>
      <c r="U559" t="s">
        <v>31</v>
      </c>
    </row>
    <row r="560" spans="1:21">
      <c r="A560" t="s">
        <v>947</v>
      </c>
      <c r="B560" t="s">
        <v>948</v>
      </c>
      <c r="C560" t="s">
        <v>121</v>
      </c>
      <c r="D560">
        <v>140000</v>
      </c>
      <c r="E560">
        <v>5000</v>
      </c>
      <c r="F560">
        <v>140000</v>
      </c>
      <c r="G560">
        <v>140000</v>
      </c>
      <c r="H560">
        <v>2</v>
      </c>
      <c r="I560" t="s">
        <v>89</v>
      </c>
      <c r="J560">
        <v>31.99</v>
      </c>
      <c r="K560">
        <v>24</v>
      </c>
      <c r="L560">
        <v>3</v>
      </c>
      <c r="M560" t="s">
        <v>689</v>
      </c>
      <c r="N560">
        <v>2</v>
      </c>
      <c r="O560">
        <v>7</v>
      </c>
      <c r="P560">
        <v>110380.12</v>
      </c>
      <c r="Q560">
        <v>95329.65</v>
      </c>
      <c r="R560">
        <v>322</v>
      </c>
      <c r="S560">
        <v>1622</v>
      </c>
      <c r="T560" t="s">
        <v>26</v>
      </c>
      <c r="U560" t="s">
        <v>27</v>
      </c>
    </row>
    <row r="561" spans="1:21">
      <c r="A561" t="s">
        <v>949</v>
      </c>
      <c r="B561" t="s">
        <v>950</v>
      </c>
      <c r="C561" t="s">
        <v>696</v>
      </c>
      <c r="D561">
        <v>75000</v>
      </c>
      <c r="E561">
        <v>2000</v>
      </c>
      <c r="F561">
        <v>75000</v>
      </c>
      <c r="H561">
        <v>2</v>
      </c>
      <c r="I561" t="s">
        <v>89</v>
      </c>
      <c r="J561">
        <v>20.45</v>
      </c>
      <c r="K561">
        <v>26</v>
      </c>
      <c r="L561">
        <v>2</v>
      </c>
      <c r="M561" t="s">
        <v>689</v>
      </c>
      <c r="N561">
        <v>4</v>
      </c>
      <c r="O561">
        <v>8.67</v>
      </c>
      <c r="P561">
        <v>110380.12</v>
      </c>
      <c r="Q561">
        <v>95329.65</v>
      </c>
      <c r="R561">
        <v>322</v>
      </c>
      <c r="S561">
        <v>1622</v>
      </c>
      <c r="T561" t="s">
        <v>34</v>
      </c>
      <c r="U561" t="s">
        <v>27</v>
      </c>
    </row>
    <row r="562" spans="1:21">
      <c r="A562" t="s">
        <v>951</v>
      </c>
      <c r="B562" t="s">
        <v>952</v>
      </c>
      <c r="C562" t="s">
        <v>709</v>
      </c>
      <c r="D562">
        <v>162000</v>
      </c>
      <c r="E562">
        <v>15000</v>
      </c>
      <c r="F562">
        <v>162000</v>
      </c>
      <c r="H562">
        <v>2</v>
      </c>
      <c r="I562" t="s">
        <v>325</v>
      </c>
      <c r="J562">
        <v>33.08</v>
      </c>
      <c r="K562">
        <v>1</v>
      </c>
      <c r="L562">
        <v>5</v>
      </c>
      <c r="M562" t="s">
        <v>689</v>
      </c>
      <c r="N562">
        <v>10</v>
      </c>
      <c r="O562">
        <v>13</v>
      </c>
      <c r="P562">
        <v>110380.12</v>
      </c>
      <c r="Q562">
        <v>168453.81</v>
      </c>
      <c r="R562">
        <v>322</v>
      </c>
      <c r="S562">
        <v>788</v>
      </c>
      <c r="T562" t="s">
        <v>26</v>
      </c>
      <c r="U562" t="s">
        <v>31</v>
      </c>
    </row>
    <row r="563" spans="1:21">
      <c r="A563" t="s">
        <v>953</v>
      </c>
      <c r="B563" t="s">
        <v>954</v>
      </c>
      <c r="C563" t="s">
        <v>41</v>
      </c>
      <c r="D563">
        <v>163000</v>
      </c>
      <c r="F563">
        <v>163000</v>
      </c>
      <c r="G563">
        <v>81500</v>
      </c>
      <c r="H563">
        <v>1</v>
      </c>
      <c r="I563" t="s">
        <v>325</v>
      </c>
      <c r="J563">
        <v>44.91</v>
      </c>
      <c r="K563">
        <v>0</v>
      </c>
      <c r="L563">
        <v>2</v>
      </c>
      <c r="M563" t="s">
        <v>689</v>
      </c>
      <c r="N563">
        <v>6</v>
      </c>
      <c r="O563">
        <v>8</v>
      </c>
      <c r="P563">
        <v>110380.12</v>
      </c>
      <c r="Q563">
        <v>168453.81</v>
      </c>
      <c r="R563">
        <v>322</v>
      </c>
      <c r="S563">
        <v>788</v>
      </c>
      <c r="T563" t="s">
        <v>326</v>
      </c>
      <c r="U563" t="s">
        <v>81</v>
      </c>
    </row>
    <row r="564" spans="1:21">
      <c r="A564" t="s">
        <v>955</v>
      </c>
      <c r="B564" t="s">
        <v>956</v>
      </c>
      <c r="C564" t="s">
        <v>104</v>
      </c>
      <c r="D564">
        <v>189000</v>
      </c>
      <c r="F564">
        <v>189000</v>
      </c>
      <c r="G564">
        <v>226800</v>
      </c>
      <c r="H564">
        <v>1</v>
      </c>
      <c r="I564" t="s">
        <v>325</v>
      </c>
      <c r="J564">
        <v>55</v>
      </c>
      <c r="K564">
        <v>23</v>
      </c>
      <c r="L564">
        <v>5</v>
      </c>
      <c r="M564" t="s">
        <v>689</v>
      </c>
      <c r="N564">
        <v>3</v>
      </c>
      <c r="O564">
        <v>6</v>
      </c>
      <c r="P564">
        <v>110380.12</v>
      </c>
      <c r="Q564">
        <v>168453.81</v>
      </c>
      <c r="R564">
        <v>322</v>
      </c>
      <c r="S564">
        <v>788</v>
      </c>
      <c r="T564" t="s">
        <v>332</v>
      </c>
      <c r="U564" t="s">
        <v>27</v>
      </c>
    </row>
    <row r="565" spans="1:21">
      <c r="A565" t="s">
        <v>957</v>
      </c>
      <c r="B565" t="s">
        <v>956</v>
      </c>
      <c r="C565" t="s">
        <v>104</v>
      </c>
      <c r="D565">
        <v>196000</v>
      </c>
      <c r="F565">
        <v>196000</v>
      </c>
      <c r="G565">
        <v>235200</v>
      </c>
      <c r="H565">
        <v>1</v>
      </c>
      <c r="I565" t="s">
        <v>325</v>
      </c>
      <c r="J565">
        <v>55</v>
      </c>
      <c r="K565">
        <v>23</v>
      </c>
      <c r="L565">
        <v>5</v>
      </c>
      <c r="M565" t="s">
        <v>689</v>
      </c>
      <c r="N565">
        <v>3</v>
      </c>
      <c r="O565">
        <v>6</v>
      </c>
      <c r="P565">
        <v>110380.12</v>
      </c>
      <c r="Q565">
        <v>168453.81</v>
      </c>
      <c r="R565">
        <v>322</v>
      </c>
      <c r="S565">
        <v>788</v>
      </c>
      <c r="T565" t="s">
        <v>332</v>
      </c>
      <c r="U565" t="s">
        <v>27</v>
      </c>
    </row>
    <row r="566" spans="1:21">
      <c r="A566" t="s">
        <v>958</v>
      </c>
      <c r="B566" t="s">
        <v>959</v>
      </c>
      <c r="C566" t="s">
        <v>696</v>
      </c>
      <c r="D566">
        <v>145000</v>
      </c>
      <c r="E566">
        <v>6500</v>
      </c>
      <c r="G566">
        <v>217500</v>
      </c>
      <c r="H566">
        <v>1</v>
      </c>
      <c r="I566" t="s">
        <v>325</v>
      </c>
      <c r="J566">
        <v>42.2</v>
      </c>
      <c r="K566">
        <v>28</v>
      </c>
      <c r="L566">
        <v>2</v>
      </c>
      <c r="M566" t="s">
        <v>689</v>
      </c>
      <c r="N566">
        <v>7</v>
      </c>
      <c r="O566">
        <v>10.33</v>
      </c>
      <c r="P566">
        <v>110380.12</v>
      </c>
      <c r="Q566">
        <v>168453.81</v>
      </c>
      <c r="R566">
        <v>322</v>
      </c>
      <c r="S566">
        <v>788</v>
      </c>
      <c r="T566" t="s">
        <v>326</v>
      </c>
      <c r="U566" t="s">
        <v>27</v>
      </c>
    </row>
    <row r="567" spans="1:21">
      <c r="A567" t="s">
        <v>960</v>
      </c>
      <c r="B567" t="s">
        <v>961</v>
      </c>
      <c r="C567" t="s">
        <v>121</v>
      </c>
      <c r="D567">
        <v>165000</v>
      </c>
      <c r="E567">
        <v>15000</v>
      </c>
      <c r="F567">
        <v>165000</v>
      </c>
      <c r="G567">
        <v>165000</v>
      </c>
      <c r="H567">
        <v>1</v>
      </c>
      <c r="I567" t="s">
        <v>325</v>
      </c>
      <c r="J567">
        <v>40.1</v>
      </c>
      <c r="K567">
        <v>3</v>
      </c>
      <c r="L567">
        <v>7</v>
      </c>
      <c r="M567" t="s">
        <v>689</v>
      </c>
      <c r="N567">
        <v>6</v>
      </c>
      <c r="O567">
        <v>9</v>
      </c>
      <c r="P567">
        <v>110380.12</v>
      </c>
      <c r="Q567">
        <v>168453.81</v>
      </c>
      <c r="R567">
        <v>322</v>
      </c>
      <c r="S567">
        <v>788</v>
      </c>
      <c r="T567" t="s">
        <v>326</v>
      </c>
      <c r="U567" t="s">
        <v>31</v>
      </c>
    </row>
    <row r="568" spans="1:21">
      <c r="A568" t="s">
        <v>962</v>
      </c>
      <c r="B568" t="s">
        <v>963</v>
      </c>
      <c r="C568" t="s">
        <v>104</v>
      </c>
      <c r="D568">
        <v>160000</v>
      </c>
      <c r="E568">
        <v>12000</v>
      </c>
      <c r="G568">
        <v>320000</v>
      </c>
      <c r="H568">
        <v>4</v>
      </c>
      <c r="I568" t="s">
        <v>325</v>
      </c>
      <c r="J568">
        <v>52.35</v>
      </c>
      <c r="K568">
        <v>34</v>
      </c>
      <c r="L568">
        <v>12</v>
      </c>
      <c r="M568" t="s">
        <v>689</v>
      </c>
      <c r="N568">
        <v>2</v>
      </c>
      <c r="O568">
        <v>5.67</v>
      </c>
      <c r="P568">
        <v>110380.12</v>
      </c>
      <c r="Q568">
        <v>168453.81</v>
      </c>
      <c r="R568">
        <v>322</v>
      </c>
      <c r="S568">
        <v>788</v>
      </c>
      <c r="T568" t="s">
        <v>332</v>
      </c>
      <c r="U568" t="s">
        <v>49</v>
      </c>
    </row>
    <row r="569" spans="1:21">
      <c r="A569" t="s">
        <v>964</v>
      </c>
      <c r="B569" t="s">
        <v>965</v>
      </c>
      <c r="C569" t="s">
        <v>104</v>
      </c>
      <c r="D569">
        <v>157000</v>
      </c>
      <c r="E569">
        <v>6000</v>
      </c>
      <c r="G569">
        <v>235500</v>
      </c>
      <c r="H569">
        <v>1</v>
      </c>
      <c r="I569" t="s">
        <v>325</v>
      </c>
      <c r="J569">
        <v>45.8</v>
      </c>
      <c r="K569">
        <v>13</v>
      </c>
      <c r="L569">
        <v>2</v>
      </c>
      <c r="M569" t="s">
        <v>689</v>
      </c>
      <c r="N569">
        <v>6</v>
      </c>
      <c r="O569">
        <v>8</v>
      </c>
      <c r="P569">
        <v>110380.12</v>
      </c>
      <c r="Q569">
        <v>168453.81</v>
      </c>
      <c r="R569">
        <v>322</v>
      </c>
      <c r="S569">
        <v>788</v>
      </c>
      <c r="T569" t="s">
        <v>326</v>
      </c>
      <c r="U569" t="s">
        <v>90</v>
      </c>
    </row>
    <row r="570" spans="1:21">
      <c r="A570" t="s">
        <v>966</v>
      </c>
      <c r="B570" t="s">
        <v>967</v>
      </c>
      <c r="C570" t="s">
        <v>121</v>
      </c>
      <c r="D570">
        <v>146000</v>
      </c>
      <c r="E570">
        <v>9000</v>
      </c>
      <c r="H570">
        <v>4</v>
      </c>
      <c r="I570" t="s">
        <v>325</v>
      </c>
      <c r="J570">
        <v>30.1</v>
      </c>
      <c r="K570">
        <v>4</v>
      </c>
      <c r="L570">
        <v>4</v>
      </c>
      <c r="M570" t="s">
        <v>689</v>
      </c>
      <c r="N570">
        <v>5</v>
      </c>
      <c r="O570">
        <v>7.33</v>
      </c>
      <c r="P570">
        <v>110380.12</v>
      </c>
      <c r="Q570">
        <v>168453.81</v>
      </c>
      <c r="R570">
        <v>322</v>
      </c>
      <c r="S570">
        <v>788</v>
      </c>
      <c r="T570" t="s">
        <v>26</v>
      </c>
      <c r="U570" t="s">
        <v>31</v>
      </c>
    </row>
    <row r="571" spans="1:21">
      <c r="A571" t="s">
        <v>968</v>
      </c>
      <c r="B571" t="s">
        <v>969</v>
      </c>
      <c r="C571" t="s">
        <v>709</v>
      </c>
      <c r="D571">
        <v>166000</v>
      </c>
      <c r="E571">
        <v>12000</v>
      </c>
      <c r="F571">
        <v>166000</v>
      </c>
      <c r="G571">
        <v>199200</v>
      </c>
      <c r="H571">
        <v>5</v>
      </c>
      <c r="I571" t="s">
        <v>325</v>
      </c>
      <c r="J571">
        <v>46.56</v>
      </c>
      <c r="K571">
        <v>26</v>
      </c>
      <c r="L571">
        <v>6</v>
      </c>
      <c r="M571" t="s">
        <v>689</v>
      </c>
      <c r="N571">
        <v>3</v>
      </c>
      <c r="O571">
        <v>8.33</v>
      </c>
      <c r="P571">
        <v>110380.12</v>
      </c>
      <c r="Q571">
        <v>168453.81</v>
      </c>
      <c r="R571">
        <v>322</v>
      </c>
      <c r="S571">
        <v>788</v>
      </c>
      <c r="T571" t="s">
        <v>326</v>
      </c>
      <c r="U571" t="s">
        <v>27</v>
      </c>
    </row>
    <row r="572" spans="1:21">
      <c r="A572" t="s">
        <v>970</v>
      </c>
      <c r="B572" t="s">
        <v>971</v>
      </c>
      <c r="C572" t="s">
        <v>37</v>
      </c>
      <c r="D572">
        <v>135000</v>
      </c>
      <c r="E572">
        <v>15000</v>
      </c>
      <c r="F572">
        <v>135000</v>
      </c>
      <c r="G572">
        <v>135000</v>
      </c>
      <c r="H572">
        <v>2</v>
      </c>
      <c r="I572" t="s">
        <v>325</v>
      </c>
      <c r="J572">
        <v>38.93</v>
      </c>
      <c r="K572">
        <v>47</v>
      </c>
      <c r="L572">
        <v>9</v>
      </c>
      <c r="M572" t="s">
        <v>689</v>
      </c>
      <c r="N572">
        <v>8</v>
      </c>
      <c r="O572">
        <v>9.67</v>
      </c>
      <c r="P572">
        <v>110380.12</v>
      </c>
      <c r="Q572">
        <v>168453.81</v>
      </c>
      <c r="R572">
        <v>322</v>
      </c>
      <c r="S572">
        <v>788</v>
      </c>
      <c r="T572" t="s">
        <v>26</v>
      </c>
      <c r="U572" t="s">
        <v>42</v>
      </c>
    </row>
    <row r="573" spans="1:21">
      <c r="A573" t="s">
        <v>972</v>
      </c>
      <c r="B573" t="s">
        <v>973</v>
      </c>
      <c r="C573" t="s">
        <v>104</v>
      </c>
      <c r="D573">
        <v>189000</v>
      </c>
      <c r="F573">
        <v>189000</v>
      </c>
      <c r="G573">
        <v>189000</v>
      </c>
      <c r="H573">
        <v>1</v>
      </c>
      <c r="I573" t="s">
        <v>325</v>
      </c>
      <c r="J573">
        <v>55</v>
      </c>
      <c r="K573">
        <v>23</v>
      </c>
      <c r="L573">
        <v>5</v>
      </c>
      <c r="M573" t="s">
        <v>689</v>
      </c>
      <c r="N573">
        <v>3</v>
      </c>
      <c r="O573">
        <v>3.5</v>
      </c>
      <c r="P573">
        <v>110380.12</v>
      </c>
      <c r="Q573">
        <v>168453.81</v>
      </c>
      <c r="R573">
        <v>322</v>
      </c>
      <c r="S573">
        <v>788</v>
      </c>
      <c r="T573" t="s">
        <v>332</v>
      </c>
      <c r="U573" t="s">
        <v>27</v>
      </c>
    </row>
    <row r="574" spans="1:21">
      <c r="A574" t="s">
        <v>974</v>
      </c>
      <c r="B574" t="s">
        <v>973</v>
      </c>
      <c r="C574" t="s">
        <v>104</v>
      </c>
      <c r="D574">
        <v>196000</v>
      </c>
      <c r="F574">
        <v>196000</v>
      </c>
      <c r="G574">
        <v>235200</v>
      </c>
      <c r="H574">
        <v>1</v>
      </c>
      <c r="I574" t="s">
        <v>325</v>
      </c>
      <c r="J574">
        <v>55</v>
      </c>
      <c r="K574">
        <v>23</v>
      </c>
      <c r="L574">
        <v>5</v>
      </c>
      <c r="M574" t="s">
        <v>689</v>
      </c>
      <c r="N574">
        <v>3</v>
      </c>
      <c r="O574">
        <v>3.5</v>
      </c>
      <c r="P574">
        <v>110380.12</v>
      </c>
      <c r="Q574">
        <v>168453.81</v>
      </c>
      <c r="R574">
        <v>322</v>
      </c>
      <c r="S574">
        <v>788</v>
      </c>
      <c r="T574" t="s">
        <v>332</v>
      </c>
      <c r="U574" t="s">
        <v>27</v>
      </c>
    </row>
    <row r="575" spans="1:21">
      <c r="A575" t="s">
        <v>975</v>
      </c>
      <c r="B575" t="s">
        <v>976</v>
      </c>
      <c r="C575" t="s">
        <v>701</v>
      </c>
      <c r="D575">
        <v>170000</v>
      </c>
      <c r="E575">
        <v>15000</v>
      </c>
      <c r="F575">
        <v>170000</v>
      </c>
      <c r="G575">
        <v>170000</v>
      </c>
      <c r="H575">
        <v>8</v>
      </c>
      <c r="I575" t="s">
        <v>325</v>
      </c>
      <c r="J575">
        <v>51.84</v>
      </c>
      <c r="K575">
        <v>56</v>
      </c>
      <c r="L575">
        <v>8</v>
      </c>
      <c r="M575" t="s">
        <v>689</v>
      </c>
      <c r="N575">
        <v>9</v>
      </c>
      <c r="O575">
        <v>11.33</v>
      </c>
      <c r="P575">
        <v>110380.12</v>
      </c>
      <c r="Q575">
        <v>168453.81</v>
      </c>
      <c r="R575">
        <v>322</v>
      </c>
      <c r="S575">
        <v>788</v>
      </c>
      <c r="T575" t="s">
        <v>332</v>
      </c>
      <c r="U575" t="s">
        <v>57</v>
      </c>
    </row>
    <row r="576" spans="1:21">
      <c r="A576" t="s">
        <v>977</v>
      </c>
      <c r="B576" t="s">
        <v>978</v>
      </c>
      <c r="C576" t="s">
        <v>41</v>
      </c>
      <c r="D576">
        <v>163000</v>
      </c>
      <c r="F576">
        <v>163000</v>
      </c>
      <c r="G576">
        <v>81500</v>
      </c>
      <c r="H576">
        <v>2</v>
      </c>
      <c r="I576" t="s">
        <v>325</v>
      </c>
      <c r="J576">
        <v>44.91</v>
      </c>
      <c r="K576">
        <v>0</v>
      </c>
      <c r="L576">
        <v>2</v>
      </c>
      <c r="M576" t="s">
        <v>689</v>
      </c>
      <c r="N576">
        <v>5</v>
      </c>
      <c r="O576">
        <v>9.33</v>
      </c>
      <c r="P576">
        <v>110380.12</v>
      </c>
      <c r="Q576">
        <v>168453.81</v>
      </c>
      <c r="R576">
        <v>322</v>
      </c>
      <c r="S576">
        <v>788</v>
      </c>
      <c r="T576" t="s">
        <v>326</v>
      </c>
      <c r="U576" t="s">
        <v>81</v>
      </c>
    </row>
    <row r="577" spans="1:21">
      <c r="A577" t="s">
        <v>979</v>
      </c>
      <c r="B577" t="s">
        <v>980</v>
      </c>
      <c r="C577" t="s">
        <v>696</v>
      </c>
      <c r="D577">
        <v>145000</v>
      </c>
      <c r="E577">
        <v>6500</v>
      </c>
      <c r="G577">
        <v>217500</v>
      </c>
      <c r="H577">
        <v>1</v>
      </c>
      <c r="I577" t="s">
        <v>325</v>
      </c>
      <c r="J577">
        <v>42.2</v>
      </c>
      <c r="K577">
        <v>28</v>
      </c>
      <c r="L577">
        <v>2</v>
      </c>
      <c r="M577" t="s">
        <v>689</v>
      </c>
      <c r="N577">
        <v>7</v>
      </c>
      <c r="O577">
        <v>12.33</v>
      </c>
      <c r="P577">
        <v>110380.12</v>
      </c>
      <c r="Q577">
        <v>168453.81</v>
      </c>
      <c r="R577">
        <v>322</v>
      </c>
      <c r="S577">
        <v>788</v>
      </c>
      <c r="T577" t="s">
        <v>326</v>
      </c>
      <c r="U577" t="s">
        <v>27</v>
      </c>
    </row>
    <row r="578" spans="1:21">
      <c r="A578" t="s">
        <v>981</v>
      </c>
      <c r="B578" t="s">
        <v>982</v>
      </c>
      <c r="C578" t="s">
        <v>121</v>
      </c>
      <c r="D578">
        <v>160000</v>
      </c>
      <c r="E578">
        <v>150000</v>
      </c>
      <c r="H578">
        <v>4</v>
      </c>
      <c r="I578" t="s">
        <v>325</v>
      </c>
      <c r="J578">
        <v>30.96</v>
      </c>
      <c r="K578">
        <v>4</v>
      </c>
      <c r="L578">
        <v>10</v>
      </c>
      <c r="M578" t="s">
        <v>689</v>
      </c>
      <c r="N578">
        <v>2</v>
      </c>
      <c r="O578">
        <v>5</v>
      </c>
      <c r="P578">
        <v>110380.12</v>
      </c>
      <c r="Q578">
        <v>168453.81</v>
      </c>
      <c r="R578">
        <v>322</v>
      </c>
      <c r="S578">
        <v>788</v>
      </c>
      <c r="T578" t="s">
        <v>26</v>
      </c>
      <c r="U578" t="s">
        <v>31</v>
      </c>
    </row>
    <row r="579" spans="1:21">
      <c r="A579" t="s">
        <v>983</v>
      </c>
      <c r="B579" t="s">
        <v>984</v>
      </c>
      <c r="C579" t="s">
        <v>121</v>
      </c>
      <c r="D579">
        <v>158000</v>
      </c>
      <c r="E579">
        <v>8000</v>
      </c>
      <c r="F579">
        <v>158000</v>
      </c>
      <c r="G579">
        <v>158000</v>
      </c>
      <c r="H579">
        <v>4</v>
      </c>
      <c r="I579" t="s">
        <v>325</v>
      </c>
      <c r="J579">
        <v>40.51</v>
      </c>
      <c r="K579">
        <v>6</v>
      </c>
      <c r="L579">
        <v>4</v>
      </c>
      <c r="M579" t="s">
        <v>689</v>
      </c>
      <c r="N579">
        <v>4</v>
      </c>
      <c r="O579">
        <v>6.67</v>
      </c>
      <c r="P579">
        <v>110380.12</v>
      </c>
      <c r="Q579">
        <v>168453.81</v>
      </c>
      <c r="R579">
        <v>322</v>
      </c>
      <c r="S579">
        <v>788</v>
      </c>
      <c r="T579" t="s">
        <v>326</v>
      </c>
      <c r="U579" t="s">
        <v>31</v>
      </c>
    </row>
    <row r="580" spans="1:21">
      <c r="A580" t="s">
        <v>985</v>
      </c>
      <c r="B580" t="s">
        <v>986</v>
      </c>
      <c r="C580" t="s">
        <v>701</v>
      </c>
      <c r="D580">
        <v>170000</v>
      </c>
      <c r="E580">
        <v>15000</v>
      </c>
      <c r="F580">
        <v>170000</v>
      </c>
      <c r="G580">
        <v>170000</v>
      </c>
      <c r="H580">
        <v>8</v>
      </c>
      <c r="I580" t="s">
        <v>325</v>
      </c>
      <c r="J580">
        <v>51.84</v>
      </c>
      <c r="K580">
        <v>56</v>
      </c>
      <c r="L580">
        <v>8</v>
      </c>
      <c r="M580" t="s">
        <v>689</v>
      </c>
      <c r="N580">
        <v>9</v>
      </c>
      <c r="O580">
        <v>10.67</v>
      </c>
      <c r="P580">
        <v>110380.12</v>
      </c>
      <c r="Q580">
        <v>168453.81</v>
      </c>
      <c r="R580">
        <v>322</v>
      </c>
      <c r="S580">
        <v>788</v>
      </c>
      <c r="T580" t="s">
        <v>332</v>
      </c>
      <c r="U580" t="s">
        <v>57</v>
      </c>
    </row>
    <row r="581" spans="1:21">
      <c r="A581" t="s">
        <v>987</v>
      </c>
      <c r="B581" t="s">
        <v>939</v>
      </c>
      <c r="C581" t="s">
        <v>709</v>
      </c>
      <c r="D581">
        <v>203000</v>
      </c>
      <c r="E581">
        <v>20000</v>
      </c>
      <c r="F581">
        <v>203000</v>
      </c>
      <c r="G581">
        <v>203000</v>
      </c>
      <c r="H581">
        <v>4</v>
      </c>
      <c r="I581" t="s">
        <v>325</v>
      </c>
      <c r="J581">
        <v>41.4</v>
      </c>
      <c r="K581">
        <v>20</v>
      </c>
      <c r="L581">
        <v>7</v>
      </c>
      <c r="M581" t="s">
        <v>689</v>
      </c>
      <c r="N581">
        <v>3</v>
      </c>
      <c r="O581">
        <v>4</v>
      </c>
      <c r="P581">
        <v>110380.12</v>
      </c>
      <c r="Q581">
        <v>168453.81</v>
      </c>
      <c r="R581">
        <v>322</v>
      </c>
      <c r="S581">
        <v>788</v>
      </c>
      <c r="T581" t="s">
        <v>326</v>
      </c>
      <c r="U581" t="s">
        <v>90</v>
      </c>
    </row>
    <row r="582" spans="1:21">
      <c r="A582" t="s">
        <v>988</v>
      </c>
      <c r="B582" t="s">
        <v>989</v>
      </c>
      <c r="C582" t="s">
        <v>104</v>
      </c>
      <c r="D582">
        <v>129000</v>
      </c>
      <c r="E582">
        <v>3000</v>
      </c>
      <c r="F582">
        <v>129000</v>
      </c>
      <c r="G582">
        <v>129000</v>
      </c>
      <c r="H582">
        <v>2</v>
      </c>
      <c r="I582" t="s">
        <v>325</v>
      </c>
      <c r="J582">
        <v>38.86</v>
      </c>
      <c r="K582">
        <v>13</v>
      </c>
      <c r="L582">
        <v>2</v>
      </c>
      <c r="M582" t="s">
        <v>689</v>
      </c>
      <c r="N582">
        <v>5</v>
      </c>
      <c r="O582">
        <v>8.67</v>
      </c>
      <c r="P582">
        <v>110380.12</v>
      </c>
      <c r="Q582">
        <v>168453.81</v>
      </c>
      <c r="R582">
        <v>322</v>
      </c>
      <c r="S582">
        <v>788</v>
      </c>
      <c r="T582" t="s">
        <v>26</v>
      </c>
      <c r="U582" t="s">
        <v>90</v>
      </c>
    </row>
    <row r="583" spans="1:21">
      <c r="A583" t="s">
        <v>990</v>
      </c>
      <c r="B583" t="s">
        <v>991</v>
      </c>
      <c r="C583" t="s">
        <v>709</v>
      </c>
      <c r="D583">
        <v>44000</v>
      </c>
      <c r="E583">
        <v>2000</v>
      </c>
      <c r="H583">
        <v>2</v>
      </c>
      <c r="I583" t="s">
        <v>432</v>
      </c>
      <c r="J583">
        <v>7.4</v>
      </c>
      <c r="K583">
        <v>37</v>
      </c>
      <c r="L583">
        <v>3</v>
      </c>
      <c r="M583" t="s">
        <v>689</v>
      </c>
      <c r="N583">
        <v>5</v>
      </c>
      <c r="O583">
        <v>9.67</v>
      </c>
      <c r="P583">
        <v>110380.12</v>
      </c>
      <c r="Q583">
        <v>77692.34</v>
      </c>
      <c r="R583">
        <v>322</v>
      </c>
      <c r="S583">
        <v>1071</v>
      </c>
      <c r="T583" t="s">
        <v>231</v>
      </c>
      <c r="U583" t="s">
        <v>49</v>
      </c>
    </row>
    <row r="584" spans="1:21">
      <c r="A584" t="s">
        <v>992</v>
      </c>
      <c r="B584" t="s">
        <v>991</v>
      </c>
      <c r="C584" t="s">
        <v>709</v>
      </c>
      <c r="D584">
        <v>46000</v>
      </c>
      <c r="E584">
        <v>2000</v>
      </c>
      <c r="H584">
        <v>3</v>
      </c>
      <c r="I584" t="s">
        <v>432</v>
      </c>
      <c r="J584">
        <v>6.2</v>
      </c>
      <c r="K584">
        <v>37</v>
      </c>
      <c r="L584">
        <v>3</v>
      </c>
      <c r="M584" t="s">
        <v>689</v>
      </c>
      <c r="N584">
        <v>5</v>
      </c>
      <c r="O584">
        <v>9.67</v>
      </c>
      <c r="P584">
        <v>110380.12</v>
      </c>
      <c r="Q584">
        <v>77692.34</v>
      </c>
      <c r="R584">
        <v>322</v>
      </c>
      <c r="S584">
        <v>1071</v>
      </c>
      <c r="T584" t="s">
        <v>231</v>
      </c>
      <c r="U584" t="s">
        <v>49</v>
      </c>
    </row>
    <row r="585" spans="1:21">
      <c r="A585" t="s">
        <v>993</v>
      </c>
      <c r="B585" t="s">
        <v>991</v>
      </c>
      <c r="C585" t="s">
        <v>709</v>
      </c>
      <c r="D585">
        <v>44000</v>
      </c>
      <c r="E585">
        <v>2000</v>
      </c>
      <c r="H585">
        <v>3</v>
      </c>
      <c r="I585" t="s">
        <v>432</v>
      </c>
      <c r="J585">
        <v>7.7</v>
      </c>
      <c r="K585">
        <v>37</v>
      </c>
      <c r="L585">
        <v>3</v>
      </c>
      <c r="M585" t="s">
        <v>689</v>
      </c>
      <c r="N585">
        <v>5</v>
      </c>
      <c r="O585">
        <v>9.67</v>
      </c>
      <c r="P585">
        <v>110380.12</v>
      </c>
      <c r="Q585">
        <v>77692.34</v>
      </c>
      <c r="R585">
        <v>322</v>
      </c>
      <c r="S585">
        <v>1071</v>
      </c>
      <c r="T585" t="s">
        <v>231</v>
      </c>
      <c r="U585" t="s">
        <v>49</v>
      </c>
    </row>
    <row r="586" spans="1:21">
      <c r="A586" t="s">
        <v>994</v>
      </c>
      <c r="B586" t="s">
        <v>995</v>
      </c>
      <c r="C586" t="s">
        <v>709</v>
      </c>
      <c r="D586">
        <v>78000</v>
      </c>
      <c r="E586">
        <v>5000</v>
      </c>
      <c r="H586">
        <v>2</v>
      </c>
      <c r="I586" t="s">
        <v>432</v>
      </c>
      <c r="J586">
        <v>13.53</v>
      </c>
      <c r="K586">
        <v>6</v>
      </c>
      <c r="L586">
        <v>3</v>
      </c>
      <c r="M586" t="s">
        <v>689</v>
      </c>
      <c r="N586">
        <v>1</v>
      </c>
      <c r="O586">
        <v>8</v>
      </c>
      <c r="P586">
        <v>110380.12</v>
      </c>
      <c r="Q586">
        <v>77692.34</v>
      </c>
      <c r="R586">
        <v>322</v>
      </c>
      <c r="S586">
        <v>1071</v>
      </c>
      <c r="T586" t="s">
        <v>108</v>
      </c>
      <c r="U586" t="s">
        <v>31</v>
      </c>
    </row>
    <row r="587" spans="1:21">
      <c r="A587" t="s">
        <v>996</v>
      </c>
      <c r="B587" t="s">
        <v>995</v>
      </c>
      <c r="C587" t="s">
        <v>709</v>
      </c>
      <c r="D587">
        <v>78000</v>
      </c>
      <c r="E587">
        <v>5000</v>
      </c>
      <c r="H587">
        <v>2</v>
      </c>
      <c r="I587" t="s">
        <v>432</v>
      </c>
      <c r="J587">
        <v>9</v>
      </c>
      <c r="K587">
        <v>6</v>
      </c>
      <c r="L587">
        <v>3</v>
      </c>
      <c r="M587" t="s">
        <v>689</v>
      </c>
      <c r="N587">
        <v>1</v>
      </c>
      <c r="O587">
        <v>8</v>
      </c>
      <c r="P587">
        <v>110380.12</v>
      </c>
      <c r="Q587">
        <v>77692.34</v>
      </c>
      <c r="R587">
        <v>322</v>
      </c>
      <c r="S587">
        <v>1071</v>
      </c>
      <c r="T587" t="s">
        <v>231</v>
      </c>
      <c r="U587" t="s">
        <v>31</v>
      </c>
    </row>
    <row r="588" spans="1:21">
      <c r="A588" t="s">
        <v>997</v>
      </c>
      <c r="B588" t="s">
        <v>995</v>
      </c>
      <c r="C588" t="s">
        <v>709</v>
      </c>
      <c r="D588">
        <v>78000</v>
      </c>
      <c r="E588">
        <v>5000</v>
      </c>
      <c r="H588">
        <v>3</v>
      </c>
      <c r="I588" t="s">
        <v>432</v>
      </c>
      <c r="J588">
        <v>13.12</v>
      </c>
      <c r="K588">
        <v>6</v>
      </c>
      <c r="L588">
        <v>3</v>
      </c>
      <c r="M588" t="s">
        <v>689</v>
      </c>
      <c r="N588">
        <v>1</v>
      </c>
      <c r="O588">
        <v>8</v>
      </c>
      <c r="P588">
        <v>110380.12</v>
      </c>
      <c r="Q588">
        <v>77692.34</v>
      </c>
      <c r="R588">
        <v>322</v>
      </c>
      <c r="S588">
        <v>1071</v>
      </c>
      <c r="T588" t="s">
        <v>108</v>
      </c>
      <c r="U588" t="s">
        <v>31</v>
      </c>
    </row>
    <row r="589" spans="1:21">
      <c r="A589" t="s">
        <v>998</v>
      </c>
      <c r="B589" t="s">
        <v>995</v>
      </c>
      <c r="C589" t="s">
        <v>709</v>
      </c>
      <c r="D589">
        <v>78000</v>
      </c>
      <c r="E589">
        <v>5000</v>
      </c>
      <c r="H589">
        <v>3</v>
      </c>
      <c r="I589" t="s">
        <v>432</v>
      </c>
      <c r="J589">
        <v>9</v>
      </c>
      <c r="K589">
        <v>6</v>
      </c>
      <c r="L589">
        <v>3</v>
      </c>
      <c r="M589" t="s">
        <v>689</v>
      </c>
      <c r="N589">
        <v>1</v>
      </c>
      <c r="O589">
        <v>8</v>
      </c>
      <c r="P589">
        <v>110380.12</v>
      </c>
      <c r="Q589">
        <v>77692.34</v>
      </c>
      <c r="R589">
        <v>322</v>
      </c>
      <c r="S589">
        <v>1071</v>
      </c>
      <c r="T589" t="s">
        <v>231</v>
      </c>
      <c r="U589" t="s">
        <v>31</v>
      </c>
    </row>
    <row r="590" spans="1:21">
      <c r="A590" t="s">
        <v>999</v>
      </c>
      <c r="B590" t="s">
        <v>995</v>
      </c>
      <c r="C590" t="s">
        <v>709</v>
      </c>
      <c r="D590">
        <v>76000</v>
      </c>
      <c r="E590">
        <v>5000</v>
      </c>
      <c r="H590">
        <v>-1</v>
      </c>
      <c r="I590" t="s">
        <v>432</v>
      </c>
      <c r="J590">
        <v>9</v>
      </c>
      <c r="K590">
        <v>6</v>
      </c>
      <c r="L590">
        <v>3</v>
      </c>
      <c r="M590" t="s">
        <v>689</v>
      </c>
      <c r="N590">
        <v>1</v>
      </c>
      <c r="O590">
        <v>8</v>
      </c>
      <c r="P590">
        <v>110380.12</v>
      </c>
      <c r="Q590">
        <v>77692.34</v>
      </c>
      <c r="R590">
        <v>322</v>
      </c>
      <c r="S590">
        <v>1071</v>
      </c>
      <c r="T590" t="s">
        <v>231</v>
      </c>
      <c r="U590" t="s">
        <v>31</v>
      </c>
    </row>
    <row r="591" spans="1:21">
      <c r="A591" t="s">
        <v>1000</v>
      </c>
      <c r="B591" t="s">
        <v>1001</v>
      </c>
      <c r="C591" t="s">
        <v>758</v>
      </c>
      <c r="D591">
        <v>66000</v>
      </c>
      <c r="E591">
        <v>4000</v>
      </c>
      <c r="G591">
        <v>66000</v>
      </c>
      <c r="H591">
        <v>2</v>
      </c>
      <c r="I591" t="s">
        <v>432</v>
      </c>
      <c r="J591">
        <v>12.07</v>
      </c>
      <c r="K591">
        <v>2</v>
      </c>
      <c r="L591">
        <v>2</v>
      </c>
      <c r="M591" t="s">
        <v>689</v>
      </c>
      <c r="N591">
        <v>8</v>
      </c>
      <c r="O591">
        <v>14.33</v>
      </c>
      <c r="P591">
        <v>110380.12</v>
      </c>
      <c r="Q591">
        <v>77692.34</v>
      </c>
      <c r="R591">
        <v>322</v>
      </c>
      <c r="S591">
        <v>1071</v>
      </c>
      <c r="T591" t="s">
        <v>108</v>
      </c>
      <c r="U591" t="s">
        <v>31</v>
      </c>
    </row>
    <row r="592" spans="1:21">
      <c r="A592" t="s">
        <v>1002</v>
      </c>
      <c r="B592" t="s">
        <v>1003</v>
      </c>
      <c r="C592" t="s">
        <v>121</v>
      </c>
      <c r="D592">
        <v>97000</v>
      </c>
      <c r="E592">
        <v>18000</v>
      </c>
      <c r="F592">
        <v>97000</v>
      </c>
      <c r="H592">
        <v>2</v>
      </c>
      <c r="I592" t="s">
        <v>432</v>
      </c>
      <c r="J592">
        <v>18.399999999999999</v>
      </c>
      <c r="K592">
        <v>3</v>
      </c>
      <c r="L592">
        <v>4</v>
      </c>
      <c r="M592" t="s">
        <v>689</v>
      </c>
      <c r="N592">
        <v>1</v>
      </c>
      <c r="O592">
        <v>8</v>
      </c>
      <c r="P592">
        <v>110380.12</v>
      </c>
      <c r="Q592">
        <v>77692.34</v>
      </c>
      <c r="R592">
        <v>322</v>
      </c>
      <c r="S592">
        <v>1071</v>
      </c>
      <c r="T592" t="s">
        <v>108</v>
      </c>
      <c r="U592" t="s">
        <v>31</v>
      </c>
    </row>
    <row r="593" spans="1:21">
      <c r="A593" t="s">
        <v>1004</v>
      </c>
      <c r="B593" t="s">
        <v>1003</v>
      </c>
      <c r="C593" t="s">
        <v>121</v>
      </c>
      <c r="D593">
        <v>97000</v>
      </c>
      <c r="E593">
        <v>18000</v>
      </c>
      <c r="F593">
        <v>97000</v>
      </c>
      <c r="H593">
        <v>2</v>
      </c>
      <c r="I593" t="s">
        <v>432</v>
      </c>
      <c r="J593">
        <v>18.7</v>
      </c>
      <c r="K593">
        <v>3</v>
      </c>
      <c r="L593">
        <v>4</v>
      </c>
      <c r="M593" t="s">
        <v>689</v>
      </c>
      <c r="N593">
        <v>1</v>
      </c>
      <c r="O593">
        <v>8</v>
      </c>
      <c r="P593">
        <v>110380.12</v>
      </c>
      <c r="Q593">
        <v>77692.34</v>
      </c>
      <c r="R593">
        <v>322</v>
      </c>
      <c r="S593">
        <v>1071</v>
      </c>
      <c r="T593" t="s">
        <v>108</v>
      </c>
      <c r="U593" t="s">
        <v>31</v>
      </c>
    </row>
    <row r="594" spans="1:21">
      <c r="A594" t="s">
        <v>1005</v>
      </c>
      <c r="B594" t="s">
        <v>1006</v>
      </c>
      <c r="C594" t="s">
        <v>709</v>
      </c>
      <c r="D594">
        <v>63000</v>
      </c>
      <c r="E594">
        <v>4000</v>
      </c>
      <c r="H594">
        <v>1</v>
      </c>
      <c r="I594" t="s">
        <v>432</v>
      </c>
      <c r="J594">
        <v>11.66</v>
      </c>
      <c r="K594">
        <v>2</v>
      </c>
      <c r="L594">
        <v>2</v>
      </c>
      <c r="M594" t="s">
        <v>689</v>
      </c>
      <c r="N594">
        <v>5</v>
      </c>
      <c r="O594">
        <v>6.33</v>
      </c>
      <c r="P594">
        <v>110380.12</v>
      </c>
      <c r="Q594">
        <v>77692.34</v>
      </c>
      <c r="R594">
        <v>322</v>
      </c>
      <c r="S594">
        <v>1071</v>
      </c>
      <c r="T594" t="s">
        <v>108</v>
      </c>
      <c r="U594" t="s">
        <v>31</v>
      </c>
    </row>
    <row r="595" spans="1:21">
      <c r="A595" t="s">
        <v>1007</v>
      </c>
      <c r="B595" t="s">
        <v>1008</v>
      </c>
      <c r="C595" t="s">
        <v>709</v>
      </c>
      <c r="D595">
        <v>62000</v>
      </c>
      <c r="E595">
        <v>3000</v>
      </c>
      <c r="H595">
        <v>1</v>
      </c>
      <c r="I595" t="s">
        <v>432</v>
      </c>
      <c r="J595">
        <v>11.52</v>
      </c>
      <c r="K595">
        <v>13</v>
      </c>
      <c r="L595">
        <v>2</v>
      </c>
      <c r="M595" t="s">
        <v>689</v>
      </c>
      <c r="N595">
        <v>2</v>
      </c>
      <c r="O595">
        <v>7</v>
      </c>
      <c r="P595">
        <v>110380.12</v>
      </c>
      <c r="Q595">
        <v>77692.34</v>
      </c>
      <c r="R595">
        <v>322</v>
      </c>
      <c r="S595">
        <v>1071</v>
      </c>
      <c r="T595" t="s">
        <v>108</v>
      </c>
      <c r="U595" t="s">
        <v>90</v>
      </c>
    </row>
    <row r="596" spans="1:21">
      <c r="A596" t="s">
        <v>1009</v>
      </c>
      <c r="B596" t="s">
        <v>1008</v>
      </c>
      <c r="C596" t="s">
        <v>709</v>
      </c>
      <c r="D596">
        <v>65000</v>
      </c>
      <c r="E596">
        <v>3000</v>
      </c>
      <c r="H596">
        <v>2</v>
      </c>
      <c r="I596" t="s">
        <v>432</v>
      </c>
      <c r="J596">
        <v>10.23</v>
      </c>
      <c r="K596">
        <v>13</v>
      </c>
      <c r="L596">
        <v>2</v>
      </c>
      <c r="M596" t="s">
        <v>689</v>
      </c>
      <c r="N596">
        <v>2</v>
      </c>
      <c r="O596">
        <v>7</v>
      </c>
      <c r="P596">
        <v>110380.12</v>
      </c>
      <c r="Q596">
        <v>77692.34</v>
      </c>
      <c r="R596">
        <v>322</v>
      </c>
      <c r="S596">
        <v>1071</v>
      </c>
      <c r="T596" t="s">
        <v>108</v>
      </c>
      <c r="U596" t="s">
        <v>90</v>
      </c>
    </row>
    <row r="597" spans="1:21">
      <c r="A597" t="s">
        <v>1010</v>
      </c>
      <c r="B597" t="s">
        <v>1011</v>
      </c>
      <c r="C597" t="s">
        <v>709</v>
      </c>
      <c r="D597">
        <v>65000</v>
      </c>
      <c r="E597">
        <v>3000</v>
      </c>
      <c r="H597">
        <v>2</v>
      </c>
      <c r="I597" t="s">
        <v>432</v>
      </c>
      <c r="J597">
        <v>11.05</v>
      </c>
      <c r="K597">
        <v>13</v>
      </c>
      <c r="L597">
        <v>2</v>
      </c>
      <c r="M597" t="s">
        <v>689</v>
      </c>
      <c r="N597">
        <v>2</v>
      </c>
      <c r="O597">
        <v>7</v>
      </c>
      <c r="P597">
        <v>110380.12</v>
      </c>
      <c r="Q597">
        <v>77692.34</v>
      </c>
      <c r="R597">
        <v>322</v>
      </c>
      <c r="S597">
        <v>1071</v>
      </c>
      <c r="T597" t="s">
        <v>108</v>
      </c>
      <c r="U597" t="s">
        <v>90</v>
      </c>
    </row>
    <row r="598" spans="1:21">
      <c r="A598" t="s">
        <v>1012</v>
      </c>
      <c r="B598" t="s">
        <v>1013</v>
      </c>
      <c r="C598" t="s">
        <v>696</v>
      </c>
      <c r="D598">
        <v>65000</v>
      </c>
      <c r="F598">
        <v>65000</v>
      </c>
      <c r="G598">
        <v>65000</v>
      </c>
      <c r="H598">
        <v>2</v>
      </c>
      <c r="I598" t="s">
        <v>432</v>
      </c>
      <c r="J598">
        <v>19</v>
      </c>
      <c r="K598">
        <v>26</v>
      </c>
      <c r="L598">
        <v>2</v>
      </c>
      <c r="M598" t="s">
        <v>689</v>
      </c>
      <c r="N598">
        <v>6</v>
      </c>
      <c r="O598">
        <v>9</v>
      </c>
      <c r="P598">
        <v>110380.12</v>
      </c>
      <c r="Q598">
        <v>77692.34</v>
      </c>
      <c r="R598">
        <v>322</v>
      </c>
      <c r="S598">
        <v>1071</v>
      </c>
      <c r="T598" t="s">
        <v>108</v>
      </c>
      <c r="U598" t="s">
        <v>27</v>
      </c>
    </row>
    <row r="599" spans="1:21">
      <c r="A599" t="s">
        <v>1014</v>
      </c>
      <c r="B599" t="s">
        <v>1015</v>
      </c>
      <c r="C599" t="s">
        <v>701</v>
      </c>
      <c r="D599">
        <v>64000</v>
      </c>
      <c r="E599">
        <v>4000</v>
      </c>
      <c r="G599">
        <v>64000</v>
      </c>
      <c r="H599">
        <v>2</v>
      </c>
      <c r="I599" t="s">
        <v>432</v>
      </c>
      <c r="J599">
        <v>10.07</v>
      </c>
      <c r="K599">
        <v>7</v>
      </c>
      <c r="L599">
        <v>2</v>
      </c>
      <c r="M599" t="s">
        <v>689</v>
      </c>
      <c r="N599">
        <v>5</v>
      </c>
      <c r="O599">
        <v>8.67</v>
      </c>
      <c r="P599">
        <v>110380.12</v>
      </c>
      <c r="Q599">
        <v>77692.34</v>
      </c>
      <c r="R599">
        <v>322</v>
      </c>
      <c r="S599">
        <v>1071</v>
      </c>
      <c r="T599" t="s">
        <v>108</v>
      </c>
      <c r="U599" t="s">
        <v>31</v>
      </c>
    </row>
    <row r="600" spans="1:21">
      <c r="A600" t="s">
        <v>1016</v>
      </c>
      <c r="B600" t="s">
        <v>1017</v>
      </c>
      <c r="C600" t="s">
        <v>709</v>
      </c>
      <c r="D600">
        <v>77000</v>
      </c>
      <c r="E600">
        <v>11000</v>
      </c>
      <c r="G600">
        <v>77000</v>
      </c>
      <c r="H600">
        <v>1</v>
      </c>
      <c r="I600" t="s">
        <v>432</v>
      </c>
      <c r="J600">
        <v>12</v>
      </c>
      <c r="K600">
        <v>19</v>
      </c>
      <c r="L600">
        <v>2</v>
      </c>
      <c r="M600" t="s">
        <v>689</v>
      </c>
      <c r="N600">
        <v>5</v>
      </c>
      <c r="O600">
        <v>7.33</v>
      </c>
      <c r="P600">
        <v>110380.12</v>
      </c>
      <c r="Q600">
        <v>77692.34</v>
      </c>
      <c r="R600">
        <v>322</v>
      </c>
      <c r="S600">
        <v>1071</v>
      </c>
      <c r="T600" t="s">
        <v>108</v>
      </c>
      <c r="U600" t="s">
        <v>90</v>
      </c>
    </row>
    <row r="601" spans="1:21">
      <c r="A601" t="s">
        <v>1018</v>
      </c>
      <c r="B601" t="s">
        <v>1019</v>
      </c>
      <c r="C601" t="s">
        <v>758</v>
      </c>
      <c r="D601">
        <v>82000</v>
      </c>
      <c r="E601">
        <v>3000</v>
      </c>
      <c r="F601">
        <v>82000</v>
      </c>
      <c r="G601">
        <v>82000</v>
      </c>
      <c r="H601">
        <v>1</v>
      </c>
      <c r="I601" t="s">
        <v>432</v>
      </c>
      <c r="J601">
        <v>18.89</v>
      </c>
      <c r="K601">
        <v>22</v>
      </c>
      <c r="L601">
        <v>2</v>
      </c>
      <c r="M601" t="s">
        <v>689</v>
      </c>
      <c r="N601">
        <v>8</v>
      </c>
      <c r="O601">
        <v>11</v>
      </c>
      <c r="P601">
        <v>110380.12</v>
      </c>
      <c r="Q601">
        <v>77692.34</v>
      </c>
      <c r="R601">
        <v>322</v>
      </c>
      <c r="S601">
        <v>1071</v>
      </c>
      <c r="T601" t="s">
        <v>108</v>
      </c>
      <c r="U601" t="s">
        <v>27</v>
      </c>
    </row>
    <row r="602" spans="1:21">
      <c r="A602" t="s">
        <v>1020</v>
      </c>
      <c r="B602" t="s">
        <v>1021</v>
      </c>
      <c r="C602" t="s">
        <v>104</v>
      </c>
      <c r="D602">
        <v>62000</v>
      </c>
      <c r="E602">
        <v>3000</v>
      </c>
      <c r="H602">
        <v>2</v>
      </c>
      <c r="I602" t="s">
        <v>432</v>
      </c>
      <c r="J602">
        <v>20</v>
      </c>
      <c r="K602">
        <v>37</v>
      </c>
      <c r="L602">
        <v>2</v>
      </c>
      <c r="M602" t="s">
        <v>689</v>
      </c>
      <c r="N602">
        <v>3</v>
      </c>
      <c r="O602">
        <v>5</v>
      </c>
      <c r="P602">
        <v>110380.12</v>
      </c>
      <c r="Q602">
        <v>77692.34</v>
      </c>
      <c r="R602">
        <v>322</v>
      </c>
      <c r="S602">
        <v>1071</v>
      </c>
      <c r="T602" t="s">
        <v>34</v>
      </c>
      <c r="U602" t="s">
        <v>49</v>
      </c>
    </row>
    <row r="603" spans="1:21">
      <c r="A603" t="s">
        <v>1022</v>
      </c>
      <c r="B603" t="s">
        <v>1023</v>
      </c>
      <c r="C603" t="s">
        <v>104</v>
      </c>
      <c r="D603">
        <v>65000</v>
      </c>
      <c r="E603">
        <v>5000</v>
      </c>
      <c r="F603">
        <v>65000</v>
      </c>
      <c r="G603">
        <v>65000</v>
      </c>
      <c r="H603">
        <v>2</v>
      </c>
      <c r="I603" t="s">
        <v>432</v>
      </c>
      <c r="J603">
        <v>14.47</v>
      </c>
      <c r="K603">
        <v>36</v>
      </c>
      <c r="L603">
        <v>10</v>
      </c>
      <c r="M603" t="s">
        <v>689</v>
      </c>
      <c r="N603">
        <v>1</v>
      </c>
      <c r="O603">
        <v>6.67</v>
      </c>
      <c r="P603">
        <v>110380.12</v>
      </c>
      <c r="Q603">
        <v>77692.34</v>
      </c>
      <c r="R603">
        <v>322</v>
      </c>
      <c r="S603">
        <v>1071</v>
      </c>
      <c r="T603" t="s">
        <v>108</v>
      </c>
      <c r="U603" t="s">
        <v>49</v>
      </c>
    </row>
    <row r="604" spans="1:21">
      <c r="A604" t="s">
        <v>1024</v>
      </c>
      <c r="B604" t="s">
        <v>1023</v>
      </c>
      <c r="C604" t="s">
        <v>104</v>
      </c>
      <c r="D604">
        <v>65000</v>
      </c>
      <c r="F604">
        <v>65000</v>
      </c>
      <c r="G604">
        <v>65000</v>
      </c>
      <c r="H604">
        <v>2</v>
      </c>
      <c r="I604" t="s">
        <v>432</v>
      </c>
      <c r="J604">
        <v>16.940000000000001</v>
      </c>
      <c r="K604">
        <v>36</v>
      </c>
      <c r="L604">
        <v>10</v>
      </c>
      <c r="M604" t="s">
        <v>689</v>
      </c>
      <c r="N604">
        <v>1</v>
      </c>
      <c r="O604">
        <v>6.67</v>
      </c>
      <c r="P604">
        <v>110380.12</v>
      </c>
      <c r="Q604">
        <v>77692.34</v>
      </c>
      <c r="R604">
        <v>322</v>
      </c>
      <c r="S604">
        <v>1071</v>
      </c>
      <c r="T604" t="s">
        <v>108</v>
      </c>
      <c r="U604" t="s">
        <v>49</v>
      </c>
    </row>
    <row r="605" spans="1:21">
      <c r="A605" t="s">
        <v>1025</v>
      </c>
      <c r="B605" t="s">
        <v>1023</v>
      </c>
      <c r="C605" t="s">
        <v>104</v>
      </c>
      <c r="D605">
        <v>64000</v>
      </c>
      <c r="E605">
        <v>4000</v>
      </c>
      <c r="F605">
        <v>64000</v>
      </c>
      <c r="H605">
        <v>4</v>
      </c>
      <c r="I605" t="s">
        <v>432</v>
      </c>
      <c r="J605">
        <v>16.940000000000001</v>
      </c>
      <c r="K605">
        <v>36</v>
      </c>
      <c r="L605">
        <v>10</v>
      </c>
      <c r="M605" t="s">
        <v>689</v>
      </c>
      <c r="N605">
        <v>1</v>
      </c>
      <c r="O605">
        <v>6.67</v>
      </c>
      <c r="P605">
        <v>110380.12</v>
      </c>
      <c r="Q605">
        <v>77692.34</v>
      </c>
      <c r="R605">
        <v>322</v>
      </c>
      <c r="S605">
        <v>1071</v>
      </c>
      <c r="T605" t="s">
        <v>108</v>
      </c>
      <c r="U605" t="s">
        <v>49</v>
      </c>
    </row>
    <row r="606" spans="1:21">
      <c r="A606" t="s">
        <v>1026</v>
      </c>
      <c r="B606" t="s">
        <v>1027</v>
      </c>
      <c r="C606" t="s">
        <v>709</v>
      </c>
      <c r="D606">
        <v>67000</v>
      </c>
      <c r="F606">
        <v>67000</v>
      </c>
      <c r="G606">
        <v>67000</v>
      </c>
      <c r="H606">
        <v>1</v>
      </c>
      <c r="I606" t="s">
        <v>432</v>
      </c>
      <c r="J606">
        <v>20.25</v>
      </c>
      <c r="K606">
        <v>35</v>
      </c>
      <c r="L606">
        <v>2</v>
      </c>
      <c r="M606" t="s">
        <v>689</v>
      </c>
      <c r="N606">
        <v>4</v>
      </c>
      <c r="O606">
        <v>5</v>
      </c>
      <c r="P606">
        <v>110380.12</v>
      </c>
      <c r="Q606">
        <v>77692.34</v>
      </c>
      <c r="R606">
        <v>322</v>
      </c>
      <c r="S606">
        <v>1071</v>
      </c>
      <c r="T606" t="s">
        <v>34</v>
      </c>
      <c r="U606" t="s">
        <v>49</v>
      </c>
    </row>
    <row r="607" spans="1:21">
      <c r="A607" t="s">
        <v>1028</v>
      </c>
      <c r="B607" t="s">
        <v>1029</v>
      </c>
      <c r="C607" t="s">
        <v>758</v>
      </c>
      <c r="D607">
        <v>80000</v>
      </c>
      <c r="E607">
        <v>2000</v>
      </c>
      <c r="F607">
        <v>80000</v>
      </c>
      <c r="H607">
        <v>1</v>
      </c>
      <c r="I607" t="s">
        <v>432</v>
      </c>
      <c r="J607">
        <v>26.43</v>
      </c>
      <c r="K607">
        <v>30</v>
      </c>
      <c r="L607">
        <v>2</v>
      </c>
      <c r="M607" t="s">
        <v>689</v>
      </c>
      <c r="N607">
        <v>6</v>
      </c>
      <c r="O607">
        <v>10</v>
      </c>
      <c r="P607">
        <v>110380.12</v>
      </c>
      <c r="Q607">
        <v>77692.34</v>
      </c>
      <c r="R607">
        <v>322</v>
      </c>
      <c r="S607">
        <v>1071</v>
      </c>
      <c r="T607" t="s">
        <v>34</v>
      </c>
      <c r="U607" t="s">
        <v>27</v>
      </c>
    </row>
    <row r="608" spans="1:21">
      <c r="A608" t="s">
        <v>1030</v>
      </c>
      <c r="B608" t="s">
        <v>1031</v>
      </c>
      <c r="C608" t="s">
        <v>121</v>
      </c>
      <c r="D608">
        <v>73000</v>
      </c>
      <c r="E608">
        <v>6000</v>
      </c>
      <c r="F608">
        <v>73000</v>
      </c>
      <c r="G608">
        <v>73000</v>
      </c>
      <c r="H608">
        <v>2</v>
      </c>
      <c r="I608" t="s">
        <v>432</v>
      </c>
      <c r="J608">
        <v>17.98</v>
      </c>
      <c r="K608">
        <v>32</v>
      </c>
      <c r="L608">
        <v>7</v>
      </c>
      <c r="M608" t="s">
        <v>689</v>
      </c>
      <c r="N608">
        <v>3</v>
      </c>
      <c r="O608">
        <v>6.33</v>
      </c>
      <c r="P608">
        <v>110380.12</v>
      </c>
      <c r="Q608">
        <v>77692.34</v>
      </c>
      <c r="R608">
        <v>322</v>
      </c>
      <c r="S608">
        <v>1071</v>
      </c>
      <c r="T608" t="s">
        <v>108</v>
      </c>
      <c r="U608" t="s">
        <v>49</v>
      </c>
    </row>
    <row r="609" spans="1:21">
      <c r="A609" t="s">
        <v>1032</v>
      </c>
      <c r="B609" t="s">
        <v>1033</v>
      </c>
      <c r="C609" t="s">
        <v>696</v>
      </c>
      <c r="D609">
        <v>77000</v>
      </c>
      <c r="E609">
        <v>3000</v>
      </c>
      <c r="F609">
        <v>77000</v>
      </c>
      <c r="G609">
        <v>77000</v>
      </c>
      <c r="H609">
        <v>1</v>
      </c>
      <c r="I609" t="s">
        <v>432</v>
      </c>
      <c r="J609">
        <v>20.5</v>
      </c>
      <c r="K609">
        <v>9</v>
      </c>
      <c r="L609">
        <v>2</v>
      </c>
      <c r="M609" t="s">
        <v>689</v>
      </c>
      <c r="N609">
        <v>3</v>
      </c>
      <c r="O609">
        <v>8.67</v>
      </c>
      <c r="P609">
        <v>110380.12</v>
      </c>
      <c r="Q609">
        <v>77692.34</v>
      </c>
      <c r="R609">
        <v>322</v>
      </c>
      <c r="S609">
        <v>1071</v>
      </c>
      <c r="T609" t="s">
        <v>34</v>
      </c>
      <c r="U609" t="s">
        <v>31</v>
      </c>
    </row>
    <row r="610" spans="1:21">
      <c r="A610" t="s">
        <v>1034</v>
      </c>
      <c r="B610" t="s">
        <v>1035</v>
      </c>
      <c r="C610" t="s">
        <v>701</v>
      </c>
      <c r="D610">
        <v>84000</v>
      </c>
      <c r="E610">
        <v>5000</v>
      </c>
      <c r="F610">
        <v>84000</v>
      </c>
      <c r="H610">
        <v>1</v>
      </c>
      <c r="I610" t="s">
        <v>432</v>
      </c>
      <c r="J610">
        <v>18.899999999999999</v>
      </c>
      <c r="K610">
        <v>11</v>
      </c>
      <c r="L610">
        <v>3</v>
      </c>
      <c r="M610" t="s">
        <v>689</v>
      </c>
      <c r="N610">
        <v>5</v>
      </c>
      <c r="O610">
        <v>6.33</v>
      </c>
      <c r="P610">
        <v>110380.12</v>
      </c>
      <c r="Q610">
        <v>77692.34</v>
      </c>
      <c r="R610">
        <v>322</v>
      </c>
      <c r="S610">
        <v>1071</v>
      </c>
      <c r="T610" t="s">
        <v>108</v>
      </c>
      <c r="U610" t="s">
        <v>90</v>
      </c>
    </row>
    <row r="611" spans="1:21">
      <c r="A611" t="s">
        <v>1036</v>
      </c>
      <c r="B611" t="s">
        <v>1037</v>
      </c>
      <c r="C611" t="s">
        <v>696</v>
      </c>
      <c r="D611">
        <v>48000</v>
      </c>
      <c r="E611">
        <v>2000</v>
      </c>
      <c r="H611">
        <v>1</v>
      </c>
      <c r="I611" t="s">
        <v>432</v>
      </c>
      <c r="J611">
        <v>17.940000000000001</v>
      </c>
      <c r="K611">
        <v>41</v>
      </c>
      <c r="L611">
        <v>2</v>
      </c>
      <c r="M611" t="s">
        <v>689</v>
      </c>
      <c r="N611">
        <v>5</v>
      </c>
      <c r="O611">
        <v>6.67</v>
      </c>
      <c r="P611">
        <v>110380.12</v>
      </c>
      <c r="Q611">
        <v>77692.34</v>
      </c>
      <c r="R611">
        <v>322</v>
      </c>
      <c r="S611">
        <v>1071</v>
      </c>
      <c r="T611" t="s">
        <v>108</v>
      </c>
      <c r="U611" t="s">
        <v>42</v>
      </c>
    </row>
    <row r="612" spans="1:21">
      <c r="A612" t="s">
        <v>1038</v>
      </c>
      <c r="B612" t="s">
        <v>1039</v>
      </c>
      <c r="C612" t="s">
        <v>712</v>
      </c>
      <c r="D612">
        <v>55000</v>
      </c>
      <c r="E612">
        <v>3000</v>
      </c>
      <c r="H612">
        <v>1</v>
      </c>
      <c r="I612" t="s">
        <v>432</v>
      </c>
      <c r="J612">
        <v>10.01</v>
      </c>
      <c r="K612">
        <v>15</v>
      </c>
      <c r="L612">
        <v>2</v>
      </c>
      <c r="M612" t="s">
        <v>689</v>
      </c>
      <c r="N612">
        <v>9</v>
      </c>
      <c r="O612">
        <v>15</v>
      </c>
      <c r="P612">
        <v>110380.12</v>
      </c>
      <c r="Q612">
        <v>77692.34</v>
      </c>
      <c r="R612">
        <v>322</v>
      </c>
      <c r="S612">
        <v>1071</v>
      </c>
      <c r="T612" t="s">
        <v>108</v>
      </c>
      <c r="U612" t="s">
        <v>90</v>
      </c>
    </row>
    <row r="613" spans="1:21">
      <c r="A613" t="s">
        <v>1040</v>
      </c>
      <c r="B613" t="s">
        <v>1041</v>
      </c>
      <c r="C613" t="s">
        <v>709</v>
      </c>
      <c r="D613">
        <v>45000</v>
      </c>
      <c r="F613">
        <v>45000</v>
      </c>
      <c r="H613">
        <v>3</v>
      </c>
      <c r="I613" t="s">
        <v>432</v>
      </c>
      <c r="J613">
        <v>12</v>
      </c>
      <c r="K613">
        <v>57</v>
      </c>
      <c r="L613">
        <v>3</v>
      </c>
      <c r="M613" t="s">
        <v>689</v>
      </c>
      <c r="N613">
        <v>4</v>
      </c>
      <c r="O613">
        <v>7.33</v>
      </c>
      <c r="P613">
        <v>110380.12</v>
      </c>
      <c r="Q613">
        <v>77692.34</v>
      </c>
      <c r="R613">
        <v>322</v>
      </c>
      <c r="S613">
        <v>1071</v>
      </c>
      <c r="T613" t="s">
        <v>108</v>
      </c>
      <c r="U613" t="s">
        <v>57</v>
      </c>
    </row>
    <row r="614" spans="1:21">
      <c r="A614" t="s">
        <v>1042</v>
      </c>
      <c r="B614" t="s">
        <v>1043</v>
      </c>
      <c r="C614" t="s">
        <v>701</v>
      </c>
      <c r="D614">
        <v>53000</v>
      </c>
      <c r="E614">
        <v>7000</v>
      </c>
      <c r="F614">
        <v>53000</v>
      </c>
      <c r="G614">
        <v>53000</v>
      </c>
      <c r="H614">
        <v>1</v>
      </c>
      <c r="I614" t="s">
        <v>432</v>
      </c>
      <c r="J614">
        <v>14.85</v>
      </c>
      <c r="K614">
        <v>42</v>
      </c>
      <c r="L614">
        <v>2</v>
      </c>
      <c r="M614" t="s">
        <v>689</v>
      </c>
      <c r="N614">
        <v>4</v>
      </c>
      <c r="O614">
        <v>8.67</v>
      </c>
      <c r="P614">
        <v>110380.12</v>
      </c>
      <c r="Q614">
        <v>77692.34</v>
      </c>
      <c r="R614">
        <v>322</v>
      </c>
      <c r="S614">
        <v>1071</v>
      </c>
      <c r="T614" t="s">
        <v>108</v>
      </c>
      <c r="U614" t="s">
        <v>42</v>
      </c>
    </row>
    <row r="615" spans="1:21">
      <c r="A615" t="s">
        <v>1044</v>
      </c>
      <c r="B615" t="s">
        <v>1043</v>
      </c>
      <c r="C615" t="s">
        <v>701</v>
      </c>
      <c r="D615">
        <v>53000</v>
      </c>
      <c r="E615">
        <v>7000</v>
      </c>
      <c r="F615">
        <v>53000</v>
      </c>
      <c r="G615">
        <v>53000</v>
      </c>
      <c r="H615">
        <v>1</v>
      </c>
      <c r="I615" t="s">
        <v>432</v>
      </c>
      <c r="J615">
        <v>15.02</v>
      </c>
      <c r="K615">
        <v>42</v>
      </c>
      <c r="L615">
        <v>2</v>
      </c>
      <c r="M615" t="s">
        <v>689</v>
      </c>
      <c r="N615">
        <v>4</v>
      </c>
      <c r="O615">
        <v>8.67</v>
      </c>
      <c r="P615">
        <v>110380.12</v>
      </c>
      <c r="Q615">
        <v>77692.34</v>
      </c>
      <c r="R615">
        <v>322</v>
      </c>
      <c r="S615">
        <v>1071</v>
      </c>
      <c r="T615" t="s">
        <v>108</v>
      </c>
      <c r="U615" t="s">
        <v>42</v>
      </c>
    </row>
    <row r="616" spans="1:21">
      <c r="A616" t="s">
        <v>1045</v>
      </c>
      <c r="B616" t="s">
        <v>1046</v>
      </c>
      <c r="C616" t="s">
        <v>121</v>
      </c>
      <c r="D616">
        <v>57000</v>
      </c>
      <c r="E616">
        <v>3000</v>
      </c>
      <c r="H616">
        <v>2</v>
      </c>
      <c r="I616" t="s">
        <v>432</v>
      </c>
      <c r="J616">
        <v>12.92</v>
      </c>
      <c r="K616">
        <v>10</v>
      </c>
      <c r="L616">
        <v>2</v>
      </c>
      <c r="M616" t="s">
        <v>689</v>
      </c>
      <c r="N616">
        <v>7</v>
      </c>
      <c r="O616">
        <v>11.33</v>
      </c>
      <c r="P616">
        <v>110380.12</v>
      </c>
      <c r="Q616">
        <v>77692.34</v>
      </c>
      <c r="R616">
        <v>322</v>
      </c>
      <c r="S616">
        <v>1071</v>
      </c>
      <c r="T616" t="s">
        <v>108</v>
      </c>
      <c r="U616" t="s">
        <v>31</v>
      </c>
    </row>
    <row r="617" spans="1:21">
      <c r="A617" t="s">
        <v>1047</v>
      </c>
      <c r="B617" t="s">
        <v>1046</v>
      </c>
      <c r="C617" t="s">
        <v>121</v>
      </c>
      <c r="D617">
        <v>57000</v>
      </c>
      <c r="E617">
        <v>3000</v>
      </c>
      <c r="H617">
        <v>2</v>
      </c>
      <c r="I617" t="s">
        <v>432</v>
      </c>
      <c r="J617">
        <v>13.17</v>
      </c>
      <c r="K617">
        <v>10</v>
      </c>
      <c r="L617">
        <v>2</v>
      </c>
      <c r="M617" t="s">
        <v>689</v>
      </c>
      <c r="N617">
        <v>7</v>
      </c>
      <c r="O617">
        <v>11.33</v>
      </c>
      <c r="P617">
        <v>110380.12</v>
      </c>
      <c r="Q617">
        <v>77692.34</v>
      </c>
      <c r="R617">
        <v>322</v>
      </c>
      <c r="S617">
        <v>1071</v>
      </c>
      <c r="T617" t="s">
        <v>108</v>
      </c>
      <c r="U617" t="s">
        <v>31</v>
      </c>
    </row>
    <row r="618" spans="1:21">
      <c r="A618" t="s">
        <v>1048</v>
      </c>
      <c r="B618" t="s">
        <v>1049</v>
      </c>
      <c r="C618" t="s">
        <v>121</v>
      </c>
      <c r="D618">
        <v>86000</v>
      </c>
      <c r="E618">
        <v>5000</v>
      </c>
      <c r="H618">
        <v>3</v>
      </c>
      <c r="I618" t="s">
        <v>432</v>
      </c>
      <c r="J618">
        <v>18</v>
      </c>
      <c r="K618">
        <v>6</v>
      </c>
      <c r="L618">
        <v>5</v>
      </c>
      <c r="M618" t="s">
        <v>689</v>
      </c>
      <c r="N618">
        <v>5</v>
      </c>
      <c r="O618">
        <v>8.67</v>
      </c>
      <c r="P618">
        <v>110380.12</v>
      </c>
      <c r="Q618">
        <v>77692.34</v>
      </c>
      <c r="R618">
        <v>322</v>
      </c>
      <c r="S618">
        <v>1071</v>
      </c>
      <c r="T618" t="s">
        <v>108</v>
      </c>
      <c r="U618" t="s">
        <v>31</v>
      </c>
    </row>
    <row r="619" spans="1:21">
      <c r="A619" t="s">
        <v>1050</v>
      </c>
      <c r="B619" t="s">
        <v>1051</v>
      </c>
      <c r="C619" t="s">
        <v>701</v>
      </c>
      <c r="D619">
        <v>59000</v>
      </c>
      <c r="E619">
        <v>3000</v>
      </c>
      <c r="H619">
        <v>2</v>
      </c>
      <c r="I619" t="s">
        <v>432</v>
      </c>
      <c r="J619">
        <v>9.9700000000000006</v>
      </c>
      <c r="K619">
        <v>17</v>
      </c>
      <c r="L619">
        <v>2</v>
      </c>
      <c r="M619" t="s">
        <v>689</v>
      </c>
      <c r="N619">
        <v>7</v>
      </c>
      <c r="O619">
        <v>11.67</v>
      </c>
      <c r="P619">
        <v>110380.12</v>
      </c>
      <c r="Q619">
        <v>77692.34</v>
      </c>
      <c r="R619">
        <v>322</v>
      </c>
      <c r="S619">
        <v>1071</v>
      </c>
      <c r="T619" t="s">
        <v>231</v>
      </c>
      <c r="U619" t="s">
        <v>90</v>
      </c>
    </row>
    <row r="620" spans="1:21">
      <c r="A620" t="s">
        <v>1052</v>
      </c>
      <c r="B620" t="s">
        <v>1053</v>
      </c>
      <c r="C620" t="s">
        <v>104</v>
      </c>
      <c r="D620">
        <v>65000</v>
      </c>
      <c r="E620">
        <v>5000</v>
      </c>
      <c r="F620">
        <v>65000</v>
      </c>
      <c r="G620">
        <v>65000</v>
      </c>
      <c r="H620">
        <v>2</v>
      </c>
      <c r="I620" t="s">
        <v>432</v>
      </c>
      <c r="J620">
        <v>16.47</v>
      </c>
      <c r="K620">
        <v>33</v>
      </c>
      <c r="L620">
        <v>5</v>
      </c>
      <c r="M620" t="s">
        <v>689</v>
      </c>
      <c r="N620">
        <v>1</v>
      </c>
      <c r="O620">
        <v>6</v>
      </c>
      <c r="P620">
        <v>110380.12</v>
      </c>
      <c r="Q620">
        <v>77692.34</v>
      </c>
      <c r="R620">
        <v>322</v>
      </c>
      <c r="S620">
        <v>1071</v>
      </c>
      <c r="T620" t="s">
        <v>108</v>
      </c>
      <c r="U620" t="s">
        <v>49</v>
      </c>
    </row>
    <row r="621" spans="1:21">
      <c r="A621" t="s">
        <v>1054</v>
      </c>
      <c r="B621" t="s">
        <v>1053</v>
      </c>
      <c r="C621" t="s">
        <v>104</v>
      </c>
      <c r="D621">
        <v>70000</v>
      </c>
      <c r="E621">
        <v>5000</v>
      </c>
      <c r="F621">
        <v>70000</v>
      </c>
      <c r="G621">
        <v>70000</v>
      </c>
      <c r="H621">
        <v>2</v>
      </c>
      <c r="I621" t="s">
        <v>432</v>
      </c>
      <c r="J621">
        <v>16.47</v>
      </c>
      <c r="K621">
        <v>33</v>
      </c>
      <c r="L621">
        <v>5</v>
      </c>
      <c r="M621" t="s">
        <v>689</v>
      </c>
      <c r="N621">
        <v>1</v>
      </c>
      <c r="O621">
        <v>6</v>
      </c>
      <c r="P621">
        <v>110380.12</v>
      </c>
      <c r="Q621">
        <v>77692.34</v>
      </c>
      <c r="R621">
        <v>322</v>
      </c>
      <c r="S621">
        <v>1071</v>
      </c>
      <c r="T621" t="s">
        <v>108</v>
      </c>
      <c r="U621" t="s">
        <v>49</v>
      </c>
    </row>
    <row r="622" spans="1:21">
      <c r="A622" t="s">
        <v>1055</v>
      </c>
      <c r="B622" t="s">
        <v>1053</v>
      </c>
      <c r="C622" t="s">
        <v>104</v>
      </c>
      <c r="D622">
        <v>72000</v>
      </c>
      <c r="E622">
        <v>5000</v>
      </c>
      <c r="F622">
        <v>72000</v>
      </c>
      <c r="G622">
        <v>72000</v>
      </c>
      <c r="H622">
        <v>2</v>
      </c>
      <c r="I622" t="s">
        <v>432</v>
      </c>
      <c r="J622">
        <v>19.95</v>
      </c>
      <c r="K622">
        <v>33</v>
      </c>
      <c r="L622">
        <v>5</v>
      </c>
      <c r="M622" t="s">
        <v>689</v>
      </c>
      <c r="N622">
        <v>1</v>
      </c>
      <c r="O622">
        <v>6</v>
      </c>
      <c r="P622">
        <v>110380.12</v>
      </c>
      <c r="Q622">
        <v>77692.34</v>
      </c>
      <c r="R622">
        <v>322</v>
      </c>
      <c r="S622">
        <v>1071</v>
      </c>
      <c r="T622" t="s">
        <v>108</v>
      </c>
      <c r="U622" t="s">
        <v>49</v>
      </c>
    </row>
    <row r="623" spans="1:21">
      <c r="A623" t="s">
        <v>1056</v>
      </c>
      <c r="B623" t="s">
        <v>1057</v>
      </c>
      <c r="C623" t="s">
        <v>701</v>
      </c>
      <c r="D623">
        <v>52000</v>
      </c>
      <c r="E623">
        <v>3000</v>
      </c>
      <c r="F623">
        <v>52000</v>
      </c>
      <c r="G623">
        <v>52000</v>
      </c>
      <c r="H623">
        <v>3</v>
      </c>
      <c r="I623" t="s">
        <v>432</v>
      </c>
      <c r="J623">
        <v>14.31</v>
      </c>
      <c r="K623">
        <v>23</v>
      </c>
      <c r="L623">
        <v>3</v>
      </c>
      <c r="M623" t="s">
        <v>689</v>
      </c>
      <c r="N623">
        <v>7</v>
      </c>
      <c r="O623">
        <v>11</v>
      </c>
      <c r="P623">
        <v>110380.12</v>
      </c>
      <c r="Q623">
        <v>77692.34</v>
      </c>
      <c r="R623">
        <v>322</v>
      </c>
      <c r="S623">
        <v>1071</v>
      </c>
      <c r="T623" t="s">
        <v>108</v>
      </c>
      <c r="U623" t="s">
        <v>27</v>
      </c>
    </row>
    <row r="624" spans="1:21">
      <c r="A624" t="s">
        <v>1058</v>
      </c>
      <c r="B624" t="s">
        <v>1059</v>
      </c>
      <c r="C624" t="s">
        <v>709</v>
      </c>
      <c r="D624">
        <v>69000</v>
      </c>
      <c r="E624">
        <v>8000</v>
      </c>
      <c r="F624">
        <v>69000</v>
      </c>
      <c r="G624">
        <v>69000</v>
      </c>
      <c r="H624">
        <v>2</v>
      </c>
      <c r="I624" t="s">
        <v>432</v>
      </c>
      <c r="J624">
        <v>16.5</v>
      </c>
      <c r="K624">
        <v>30</v>
      </c>
      <c r="L624">
        <v>4</v>
      </c>
      <c r="M624" t="s">
        <v>689</v>
      </c>
      <c r="N624">
        <v>4</v>
      </c>
      <c r="O624">
        <v>8</v>
      </c>
      <c r="P624">
        <v>110380.12</v>
      </c>
      <c r="Q624">
        <v>77692.34</v>
      </c>
      <c r="R624">
        <v>322</v>
      </c>
      <c r="S624">
        <v>1071</v>
      </c>
      <c r="T624" t="s">
        <v>108</v>
      </c>
      <c r="U624" t="s">
        <v>27</v>
      </c>
    </row>
    <row r="625" spans="1:21">
      <c r="A625" t="s">
        <v>1060</v>
      </c>
      <c r="B625" t="s">
        <v>790</v>
      </c>
      <c r="C625" t="s">
        <v>104</v>
      </c>
      <c r="D625">
        <v>96000</v>
      </c>
      <c r="E625">
        <v>2000</v>
      </c>
      <c r="F625">
        <v>96000</v>
      </c>
      <c r="G625">
        <v>96000</v>
      </c>
      <c r="H625">
        <v>1</v>
      </c>
      <c r="I625" t="s">
        <v>432</v>
      </c>
      <c r="J625">
        <v>21.06</v>
      </c>
      <c r="K625">
        <v>33</v>
      </c>
      <c r="L625">
        <v>3</v>
      </c>
      <c r="M625" t="s">
        <v>689</v>
      </c>
      <c r="N625">
        <v>5</v>
      </c>
      <c r="O625">
        <v>7</v>
      </c>
      <c r="P625">
        <v>110380.12</v>
      </c>
      <c r="Q625">
        <v>77692.34</v>
      </c>
      <c r="R625">
        <v>322</v>
      </c>
      <c r="S625">
        <v>1071</v>
      </c>
      <c r="T625" t="s">
        <v>34</v>
      </c>
      <c r="U625" t="s">
        <v>49</v>
      </c>
    </row>
    <row r="626" spans="1:21">
      <c r="A626" t="s">
        <v>1061</v>
      </c>
      <c r="B626" t="s">
        <v>790</v>
      </c>
      <c r="C626" t="s">
        <v>104</v>
      </c>
      <c r="D626">
        <v>100000</v>
      </c>
      <c r="E626">
        <v>2000</v>
      </c>
      <c r="F626">
        <v>100000</v>
      </c>
      <c r="G626">
        <v>100000</v>
      </c>
      <c r="H626">
        <v>2</v>
      </c>
      <c r="I626" t="s">
        <v>432</v>
      </c>
      <c r="J626">
        <v>21.06</v>
      </c>
      <c r="K626">
        <v>33</v>
      </c>
      <c r="L626">
        <v>3</v>
      </c>
      <c r="M626" t="s">
        <v>689</v>
      </c>
      <c r="N626">
        <v>5</v>
      </c>
      <c r="O626">
        <v>7</v>
      </c>
      <c r="P626">
        <v>110380.12</v>
      </c>
      <c r="Q626">
        <v>77692.34</v>
      </c>
      <c r="R626">
        <v>322</v>
      </c>
      <c r="S626">
        <v>1071</v>
      </c>
      <c r="T626" t="s">
        <v>34</v>
      </c>
      <c r="U626" t="s">
        <v>49</v>
      </c>
    </row>
    <row r="627" spans="1:21">
      <c r="A627" t="s">
        <v>1062</v>
      </c>
      <c r="B627" t="s">
        <v>790</v>
      </c>
      <c r="C627" t="s">
        <v>104</v>
      </c>
      <c r="D627">
        <v>92000</v>
      </c>
      <c r="E627">
        <v>2000</v>
      </c>
      <c r="F627">
        <v>92000</v>
      </c>
      <c r="G627">
        <v>92000</v>
      </c>
      <c r="H627">
        <v>3</v>
      </c>
      <c r="I627" t="s">
        <v>432</v>
      </c>
      <c r="J627">
        <v>21.06</v>
      </c>
      <c r="K627">
        <v>33</v>
      </c>
      <c r="L627">
        <v>3</v>
      </c>
      <c r="M627" t="s">
        <v>689</v>
      </c>
      <c r="N627">
        <v>5</v>
      </c>
      <c r="O627">
        <v>7</v>
      </c>
      <c r="P627">
        <v>110380.12</v>
      </c>
      <c r="Q627">
        <v>77692.34</v>
      </c>
      <c r="R627">
        <v>322</v>
      </c>
      <c r="S627">
        <v>1071</v>
      </c>
      <c r="T627" t="s">
        <v>34</v>
      </c>
      <c r="U627" t="s">
        <v>49</v>
      </c>
    </row>
    <row r="628" spans="1:21">
      <c r="A628" t="s">
        <v>1063</v>
      </c>
      <c r="B628" t="s">
        <v>1064</v>
      </c>
      <c r="C628" t="s">
        <v>696</v>
      </c>
      <c r="D628">
        <v>66000</v>
      </c>
      <c r="E628">
        <v>2000</v>
      </c>
      <c r="F628">
        <v>66000</v>
      </c>
      <c r="G628">
        <v>66000</v>
      </c>
      <c r="H628">
        <v>2</v>
      </c>
      <c r="I628" t="s">
        <v>432</v>
      </c>
      <c r="J628">
        <v>20.7</v>
      </c>
      <c r="K628">
        <v>31</v>
      </c>
      <c r="L628">
        <v>2</v>
      </c>
      <c r="M628" t="s">
        <v>689</v>
      </c>
      <c r="N628">
        <v>5</v>
      </c>
      <c r="O628">
        <v>8.33</v>
      </c>
      <c r="P628">
        <v>110380.12</v>
      </c>
      <c r="Q628">
        <v>77692.34</v>
      </c>
      <c r="R628">
        <v>322</v>
      </c>
      <c r="S628">
        <v>1071</v>
      </c>
      <c r="T628" t="s">
        <v>34</v>
      </c>
      <c r="U628" t="s">
        <v>49</v>
      </c>
    </row>
    <row r="629" spans="1:21">
      <c r="A629" t="s">
        <v>1065</v>
      </c>
      <c r="B629" t="s">
        <v>1066</v>
      </c>
      <c r="C629" t="s">
        <v>104</v>
      </c>
      <c r="D629">
        <v>62000</v>
      </c>
      <c r="F629">
        <v>62000</v>
      </c>
      <c r="H629">
        <v>2</v>
      </c>
      <c r="I629" t="s">
        <v>432</v>
      </c>
      <c r="J629">
        <v>18.149999999999999</v>
      </c>
      <c r="K629">
        <v>38</v>
      </c>
      <c r="L629">
        <v>2</v>
      </c>
      <c r="M629" t="s">
        <v>689</v>
      </c>
      <c r="N629">
        <v>4</v>
      </c>
      <c r="O629">
        <v>7</v>
      </c>
      <c r="P629">
        <v>110380.12</v>
      </c>
      <c r="Q629">
        <v>77692.34</v>
      </c>
      <c r="R629">
        <v>322</v>
      </c>
      <c r="S629">
        <v>1071</v>
      </c>
      <c r="T629" t="s">
        <v>108</v>
      </c>
      <c r="U629" t="s">
        <v>49</v>
      </c>
    </row>
    <row r="630" spans="1:21">
      <c r="A630" t="s">
        <v>1067</v>
      </c>
      <c r="B630" t="s">
        <v>1068</v>
      </c>
      <c r="C630" t="s">
        <v>121</v>
      </c>
      <c r="D630">
        <v>58000</v>
      </c>
      <c r="E630">
        <v>2000</v>
      </c>
      <c r="F630">
        <v>58000</v>
      </c>
      <c r="H630">
        <v>1</v>
      </c>
      <c r="I630" t="s">
        <v>432</v>
      </c>
      <c r="J630">
        <v>17.12</v>
      </c>
      <c r="K630">
        <v>36</v>
      </c>
      <c r="L630">
        <v>2</v>
      </c>
      <c r="M630" t="s">
        <v>689</v>
      </c>
      <c r="N630">
        <v>2</v>
      </c>
      <c r="O630">
        <v>6</v>
      </c>
      <c r="P630">
        <v>110380.12</v>
      </c>
      <c r="Q630">
        <v>77692.34</v>
      </c>
      <c r="R630">
        <v>322</v>
      </c>
      <c r="S630">
        <v>1071</v>
      </c>
      <c r="T630" t="s">
        <v>108</v>
      </c>
      <c r="U630" t="s">
        <v>49</v>
      </c>
    </row>
    <row r="631" spans="1:21">
      <c r="A631" t="s">
        <v>1069</v>
      </c>
      <c r="B631" t="s">
        <v>1070</v>
      </c>
      <c r="C631" t="s">
        <v>104</v>
      </c>
      <c r="D631">
        <v>80000</v>
      </c>
      <c r="E631">
        <v>6000</v>
      </c>
      <c r="F631">
        <v>80000</v>
      </c>
      <c r="H631">
        <v>4</v>
      </c>
      <c r="I631" t="s">
        <v>432</v>
      </c>
      <c r="J631">
        <v>22.43</v>
      </c>
      <c r="K631">
        <v>30</v>
      </c>
      <c r="L631">
        <v>9</v>
      </c>
      <c r="M631" t="s">
        <v>689</v>
      </c>
      <c r="N631">
        <v>2</v>
      </c>
      <c r="O631">
        <v>5.33</v>
      </c>
      <c r="P631">
        <v>110380.12</v>
      </c>
      <c r="Q631">
        <v>77692.34</v>
      </c>
      <c r="R631">
        <v>322</v>
      </c>
      <c r="S631">
        <v>1071</v>
      </c>
      <c r="T631" t="s">
        <v>34</v>
      </c>
      <c r="U631" t="s">
        <v>27</v>
      </c>
    </row>
    <row r="632" spans="1:21">
      <c r="A632" t="s">
        <v>1071</v>
      </c>
      <c r="B632" t="s">
        <v>1072</v>
      </c>
      <c r="C632" t="s">
        <v>688</v>
      </c>
      <c r="D632">
        <v>75000</v>
      </c>
      <c r="E632">
        <v>3000</v>
      </c>
      <c r="F632">
        <v>75000</v>
      </c>
      <c r="H632">
        <v>3</v>
      </c>
      <c r="I632" t="s">
        <v>432</v>
      </c>
      <c r="J632">
        <v>22</v>
      </c>
      <c r="K632">
        <v>42</v>
      </c>
      <c r="L632">
        <v>3</v>
      </c>
      <c r="M632" t="s">
        <v>689</v>
      </c>
      <c r="N632">
        <v>7</v>
      </c>
      <c r="O632">
        <v>10</v>
      </c>
      <c r="P632">
        <v>110380.12</v>
      </c>
      <c r="Q632">
        <v>77692.34</v>
      </c>
      <c r="R632">
        <v>322</v>
      </c>
      <c r="S632">
        <v>1071</v>
      </c>
      <c r="T632" t="s">
        <v>34</v>
      </c>
      <c r="U632" t="s">
        <v>42</v>
      </c>
    </row>
    <row r="633" spans="1:21">
      <c r="A633" t="s">
        <v>1073</v>
      </c>
      <c r="B633" t="s">
        <v>1074</v>
      </c>
      <c r="C633" t="s">
        <v>121</v>
      </c>
      <c r="D633">
        <v>73000</v>
      </c>
      <c r="F633">
        <v>73000</v>
      </c>
      <c r="G633">
        <v>73000</v>
      </c>
      <c r="H633">
        <v>1</v>
      </c>
      <c r="I633" t="s">
        <v>432</v>
      </c>
      <c r="J633">
        <v>9.14</v>
      </c>
      <c r="K633">
        <v>7</v>
      </c>
      <c r="L633">
        <v>3</v>
      </c>
      <c r="M633" t="s">
        <v>689</v>
      </c>
      <c r="N633">
        <v>6</v>
      </c>
      <c r="O633">
        <v>9.67</v>
      </c>
      <c r="P633">
        <v>110380.12</v>
      </c>
      <c r="Q633">
        <v>77692.34</v>
      </c>
      <c r="R633">
        <v>322</v>
      </c>
      <c r="S633">
        <v>1071</v>
      </c>
      <c r="T633" t="s">
        <v>231</v>
      </c>
      <c r="U633" t="s">
        <v>31</v>
      </c>
    </row>
    <row r="634" spans="1:21">
      <c r="A634" t="s">
        <v>1075</v>
      </c>
      <c r="B634" t="s">
        <v>1076</v>
      </c>
      <c r="C634" t="s">
        <v>709</v>
      </c>
      <c r="D634">
        <v>59000</v>
      </c>
      <c r="E634">
        <v>2000</v>
      </c>
      <c r="F634">
        <v>59000</v>
      </c>
      <c r="H634">
        <v>1</v>
      </c>
      <c r="I634" t="s">
        <v>432</v>
      </c>
      <c r="J634">
        <v>20.16</v>
      </c>
      <c r="K634">
        <v>39</v>
      </c>
      <c r="L634">
        <v>3</v>
      </c>
      <c r="M634" t="s">
        <v>689</v>
      </c>
      <c r="N634">
        <v>3</v>
      </c>
      <c r="O634">
        <v>7.33</v>
      </c>
      <c r="P634">
        <v>110380.12</v>
      </c>
      <c r="Q634">
        <v>77692.34</v>
      </c>
      <c r="R634">
        <v>322</v>
      </c>
      <c r="S634">
        <v>1071</v>
      </c>
      <c r="T634" t="s">
        <v>34</v>
      </c>
      <c r="U634" t="s">
        <v>49</v>
      </c>
    </row>
    <row r="635" spans="1:21">
      <c r="A635" t="s">
        <v>1077</v>
      </c>
      <c r="B635" t="s">
        <v>813</v>
      </c>
      <c r="C635" t="s">
        <v>701</v>
      </c>
      <c r="D635">
        <v>80000</v>
      </c>
      <c r="E635">
        <v>9000</v>
      </c>
      <c r="F635">
        <v>80000</v>
      </c>
      <c r="G635">
        <v>80000</v>
      </c>
      <c r="H635">
        <v>3</v>
      </c>
      <c r="I635" t="s">
        <v>432</v>
      </c>
      <c r="J635">
        <v>19.78</v>
      </c>
      <c r="K635">
        <v>18</v>
      </c>
      <c r="L635">
        <v>7</v>
      </c>
      <c r="M635" t="s">
        <v>689</v>
      </c>
      <c r="N635">
        <v>4</v>
      </c>
      <c r="O635">
        <v>9.33</v>
      </c>
      <c r="P635">
        <v>110380.12</v>
      </c>
      <c r="Q635">
        <v>77692.34</v>
      </c>
      <c r="R635">
        <v>322</v>
      </c>
      <c r="S635">
        <v>1071</v>
      </c>
      <c r="T635" t="s">
        <v>108</v>
      </c>
      <c r="U635" t="s">
        <v>90</v>
      </c>
    </row>
    <row r="636" spans="1:21">
      <c r="A636" t="s">
        <v>1078</v>
      </c>
      <c r="B636" t="s">
        <v>1079</v>
      </c>
      <c r="C636" t="s">
        <v>41</v>
      </c>
      <c r="D636">
        <v>64000</v>
      </c>
      <c r="E636">
        <v>5000</v>
      </c>
      <c r="H636">
        <v>1</v>
      </c>
      <c r="I636" t="s">
        <v>432</v>
      </c>
      <c r="J636">
        <v>14.56</v>
      </c>
      <c r="K636">
        <v>46</v>
      </c>
      <c r="L636">
        <v>3</v>
      </c>
      <c r="M636" t="s">
        <v>689</v>
      </c>
      <c r="N636">
        <v>6</v>
      </c>
      <c r="O636">
        <v>7.33</v>
      </c>
      <c r="P636">
        <v>110380.12</v>
      </c>
      <c r="Q636">
        <v>77692.34</v>
      </c>
      <c r="R636">
        <v>322</v>
      </c>
      <c r="S636">
        <v>1071</v>
      </c>
      <c r="T636" t="s">
        <v>108</v>
      </c>
      <c r="U636" t="s">
        <v>42</v>
      </c>
    </row>
    <row r="637" spans="1:21">
      <c r="A637" t="s">
        <v>1080</v>
      </c>
      <c r="B637" t="s">
        <v>1081</v>
      </c>
      <c r="C637" t="s">
        <v>121</v>
      </c>
      <c r="D637">
        <v>63000</v>
      </c>
      <c r="F637">
        <v>63000</v>
      </c>
      <c r="G637">
        <v>63000</v>
      </c>
      <c r="H637">
        <v>2</v>
      </c>
      <c r="I637" t="s">
        <v>432</v>
      </c>
      <c r="J637">
        <v>21</v>
      </c>
      <c r="K637">
        <v>39</v>
      </c>
      <c r="L637">
        <v>2</v>
      </c>
      <c r="M637" t="s">
        <v>689</v>
      </c>
      <c r="N637">
        <v>2</v>
      </c>
      <c r="O637">
        <v>6</v>
      </c>
      <c r="P637">
        <v>110380.12</v>
      </c>
      <c r="Q637">
        <v>77692.34</v>
      </c>
      <c r="R637">
        <v>322</v>
      </c>
      <c r="S637">
        <v>1071</v>
      </c>
      <c r="T637" t="s">
        <v>34</v>
      </c>
      <c r="U637" t="s">
        <v>49</v>
      </c>
    </row>
    <row r="638" spans="1:21">
      <c r="A638" t="s">
        <v>1082</v>
      </c>
      <c r="B638" t="s">
        <v>1083</v>
      </c>
      <c r="C638" t="s">
        <v>688</v>
      </c>
      <c r="D638">
        <v>58000</v>
      </c>
      <c r="E638">
        <v>4000</v>
      </c>
      <c r="F638">
        <v>58000</v>
      </c>
      <c r="H638">
        <v>1</v>
      </c>
      <c r="I638" t="s">
        <v>432</v>
      </c>
      <c r="J638">
        <v>16.7</v>
      </c>
      <c r="K638">
        <v>38</v>
      </c>
      <c r="L638">
        <v>3</v>
      </c>
      <c r="M638" t="s">
        <v>689</v>
      </c>
      <c r="N638">
        <v>6</v>
      </c>
      <c r="O638">
        <v>9.33</v>
      </c>
      <c r="P638">
        <v>110380.12</v>
      </c>
      <c r="Q638">
        <v>77692.34</v>
      </c>
      <c r="R638">
        <v>322</v>
      </c>
      <c r="S638">
        <v>1071</v>
      </c>
      <c r="T638" t="s">
        <v>108</v>
      </c>
      <c r="U638" t="s">
        <v>49</v>
      </c>
    </row>
    <row r="639" spans="1:21">
      <c r="A639" t="s">
        <v>1084</v>
      </c>
      <c r="B639" t="s">
        <v>1085</v>
      </c>
      <c r="C639" t="s">
        <v>41</v>
      </c>
      <c r="D639">
        <v>67000</v>
      </c>
      <c r="E639">
        <v>4000</v>
      </c>
      <c r="H639">
        <v>4</v>
      </c>
      <c r="I639" t="s">
        <v>432</v>
      </c>
      <c r="J639">
        <v>17.010000000000002</v>
      </c>
      <c r="K639">
        <v>32</v>
      </c>
      <c r="L639">
        <v>5</v>
      </c>
      <c r="M639" t="s">
        <v>689</v>
      </c>
      <c r="N639">
        <v>6</v>
      </c>
      <c r="O639">
        <v>9.67</v>
      </c>
      <c r="P639">
        <v>110380.12</v>
      </c>
      <c r="Q639">
        <v>77692.34</v>
      </c>
      <c r="R639">
        <v>322</v>
      </c>
      <c r="S639">
        <v>1071</v>
      </c>
      <c r="T639" t="s">
        <v>108</v>
      </c>
      <c r="U639" t="s">
        <v>49</v>
      </c>
    </row>
    <row r="640" spans="1:21">
      <c r="A640" t="s">
        <v>1086</v>
      </c>
      <c r="B640" t="s">
        <v>1087</v>
      </c>
      <c r="C640" t="s">
        <v>758</v>
      </c>
      <c r="D640">
        <v>69000</v>
      </c>
      <c r="E640">
        <v>2500</v>
      </c>
      <c r="F640">
        <v>69000</v>
      </c>
      <c r="H640">
        <v>2</v>
      </c>
      <c r="I640" t="s">
        <v>432</v>
      </c>
      <c r="J640">
        <v>14.23</v>
      </c>
      <c r="K640">
        <v>9</v>
      </c>
      <c r="L640">
        <v>2</v>
      </c>
      <c r="M640" t="s">
        <v>689</v>
      </c>
      <c r="N640">
        <v>7</v>
      </c>
      <c r="O640">
        <v>11.33</v>
      </c>
      <c r="P640">
        <v>110380.12</v>
      </c>
      <c r="Q640">
        <v>77692.34</v>
      </c>
      <c r="R640">
        <v>322</v>
      </c>
      <c r="S640">
        <v>1071</v>
      </c>
      <c r="T640" t="s">
        <v>108</v>
      </c>
      <c r="U640" t="s">
        <v>31</v>
      </c>
    </row>
    <row r="641" spans="1:21">
      <c r="A641" t="s">
        <v>1088</v>
      </c>
      <c r="B641" t="s">
        <v>1089</v>
      </c>
      <c r="C641" t="s">
        <v>696</v>
      </c>
      <c r="D641">
        <v>78000</v>
      </c>
      <c r="E641">
        <v>7000</v>
      </c>
      <c r="F641">
        <v>78000</v>
      </c>
      <c r="G641">
        <v>78000</v>
      </c>
      <c r="H641">
        <v>1</v>
      </c>
      <c r="I641" t="s">
        <v>432</v>
      </c>
      <c r="J641">
        <v>18.010000000000002</v>
      </c>
      <c r="K641">
        <v>2</v>
      </c>
      <c r="L641">
        <v>2</v>
      </c>
      <c r="M641" t="s">
        <v>689</v>
      </c>
      <c r="N641">
        <v>6</v>
      </c>
      <c r="O641">
        <v>10.33</v>
      </c>
      <c r="P641">
        <v>110380.12</v>
      </c>
      <c r="Q641">
        <v>77692.34</v>
      </c>
      <c r="R641">
        <v>322</v>
      </c>
      <c r="S641">
        <v>1071</v>
      </c>
      <c r="T641" t="s">
        <v>108</v>
      </c>
      <c r="U641" t="s">
        <v>31</v>
      </c>
    </row>
    <row r="642" spans="1:21">
      <c r="A642" t="s">
        <v>1090</v>
      </c>
      <c r="B642" t="s">
        <v>1091</v>
      </c>
      <c r="C642" t="s">
        <v>709</v>
      </c>
      <c r="D642">
        <v>49000</v>
      </c>
      <c r="E642">
        <v>5000</v>
      </c>
      <c r="H642">
        <v>1</v>
      </c>
      <c r="I642" t="s">
        <v>432</v>
      </c>
      <c r="J642">
        <v>10</v>
      </c>
      <c r="K642">
        <v>19</v>
      </c>
      <c r="L642">
        <v>2</v>
      </c>
      <c r="M642" t="s">
        <v>689</v>
      </c>
      <c r="N642">
        <v>5</v>
      </c>
      <c r="O642">
        <v>8.67</v>
      </c>
      <c r="P642">
        <v>110380.12</v>
      </c>
      <c r="Q642">
        <v>77692.34</v>
      </c>
      <c r="R642">
        <v>322</v>
      </c>
      <c r="S642">
        <v>1071</v>
      </c>
      <c r="T642" t="s">
        <v>108</v>
      </c>
      <c r="U642" t="s">
        <v>90</v>
      </c>
    </row>
    <row r="643" spans="1:21">
      <c r="A643" t="s">
        <v>1092</v>
      </c>
      <c r="B643" t="s">
        <v>1091</v>
      </c>
      <c r="C643" t="s">
        <v>709</v>
      </c>
      <c r="D643">
        <v>77000</v>
      </c>
      <c r="E643">
        <v>11000</v>
      </c>
      <c r="G643">
        <v>77000</v>
      </c>
      <c r="H643">
        <v>1</v>
      </c>
      <c r="I643" t="s">
        <v>432</v>
      </c>
      <c r="J643">
        <v>12</v>
      </c>
      <c r="K643">
        <v>19</v>
      </c>
      <c r="L643">
        <v>2</v>
      </c>
      <c r="M643" t="s">
        <v>689</v>
      </c>
      <c r="N643">
        <v>5</v>
      </c>
      <c r="O643">
        <v>8.67</v>
      </c>
      <c r="P643">
        <v>110380.12</v>
      </c>
      <c r="Q643">
        <v>77692.34</v>
      </c>
      <c r="R643">
        <v>322</v>
      </c>
      <c r="S643">
        <v>1071</v>
      </c>
      <c r="T643" t="s">
        <v>108</v>
      </c>
      <c r="U643" t="s">
        <v>90</v>
      </c>
    </row>
    <row r="644" spans="1:21">
      <c r="A644" t="s">
        <v>1093</v>
      </c>
      <c r="B644" t="s">
        <v>1094</v>
      </c>
      <c r="C644" t="s">
        <v>709</v>
      </c>
      <c r="D644">
        <v>69000</v>
      </c>
      <c r="E644">
        <v>8000</v>
      </c>
      <c r="F644">
        <v>69000</v>
      </c>
      <c r="G644">
        <v>69000</v>
      </c>
      <c r="H644">
        <v>2</v>
      </c>
      <c r="I644" t="s">
        <v>432</v>
      </c>
      <c r="J644">
        <v>16.5</v>
      </c>
      <c r="K644">
        <v>30</v>
      </c>
      <c r="L644">
        <v>4</v>
      </c>
      <c r="M644" t="s">
        <v>689</v>
      </c>
      <c r="N644">
        <v>4</v>
      </c>
      <c r="O644">
        <v>7</v>
      </c>
      <c r="P644">
        <v>110380.12</v>
      </c>
      <c r="Q644">
        <v>77692.34</v>
      </c>
      <c r="R644">
        <v>322</v>
      </c>
      <c r="S644">
        <v>1071</v>
      </c>
      <c r="T644" t="s">
        <v>108</v>
      </c>
      <c r="U644" t="s">
        <v>27</v>
      </c>
    </row>
    <row r="645" spans="1:21">
      <c r="A645" t="s">
        <v>1095</v>
      </c>
      <c r="B645" t="s">
        <v>1096</v>
      </c>
      <c r="C645" t="s">
        <v>709</v>
      </c>
      <c r="D645">
        <v>77000</v>
      </c>
      <c r="E645">
        <v>3000</v>
      </c>
      <c r="F645">
        <v>77000</v>
      </c>
      <c r="G645">
        <v>77000</v>
      </c>
      <c r="H645">
        <v>2</v>
      </c>
      <c r="I645" t="s">
        <v>432</v>
      </c>
      <c r="J645">
        <v>20.25</v>
      </c>
      <c r="K645">
        <v>12</v>
      </c>
      <c r="L645">
        <v>5</v>
      </c>
      <c r="M645" t="s">
        <v>689</v>
      </c>
      <c r="N645">
        <v>3</v>
      </c>
      <c r="O645">
        <v>5.67</v>
      </c>
      <c r="P645">
        <v>110380.12</v>
      </c>
      <c r="Q645">
        <v>77692.34</v>
      </c>
      <c r="R645">
        <v>322</v>
      </c>
      <c r="S645">
        <v>1071</v>
      </c>
      <c r="T645" t="s">
        <v>34</v>
      </c>
      <c r="U645" t="s">
        <v>90</v>
      </c>
    </row>
    <row r="646" spans="1:21">
      <c r="A646" t="s">
        <v>1097</v>
      </c>
      <c r="B646" t="s">
        <v>1098</v>
      </c>
      <c r="C646" t="s">
        <v>701</v>
      </c>
      <c r="D646">
        <v>57000</v>
      </c>
      <c r="E646">
        <v>3000</v>
      </c>
      <c r="F646">
        <v>57000</v>
      </c>
      <c r="G646">
        <v>57000</v>
      </c>
      <c r="H646">
        <v>2</v>
      </c>
      <c r="I646" t="s">
        <v>432</v>
      </c>
      <c r="J646">
        <v>14.32</v>
      </c>
      <c r="K646">
        <v>37</v>
      </c>
      <c r="L646">
        <v>2</v>
      </c>
      <c r="M646" t="s">
        <v>689</v>
      </c>
      <c r="N646">
        <v>1</v>
      </c>
      <c r="O646">
        <v>5</v>
      </c>
      <c r="P646">
        <v>110380.12</v>
      </c>
      <c r="Q646">
        <v>77692.34</v>
      </c>
      <c r="R646">
        <v>322</v>
      </c>
      <c r="S646">
        <v>1071</v>
      </c>
      <c r="T646" t="s">
        <v>108</v>
      </c>
      <c r="U646" t="s">
        <v>49</v>
      </c>
    </row>
    <row r="647" spans="1:21">
      <c r="A647" t="s">
        <v>1099</v>
      </c>
      <c r="B647" t="s">
        <v>1100</v>
      </c>
      <c r="C647" t="s">
        <v>712</v>
      </c>
      <c r="D647">
        <v>55000</v>
      </c>
      <c r="E647">
        <v>3000</v>
      </c>
      <c r="H647">
        <v>1</v>
      </c>
      <c r="I647" t="s">
        <v>432</v>
      </c>
      <c r="J647">
        <v>10.01</v>
      </c>
      <c r="K647">
        <v>15</v>
      </c>
      <c r="L647">
        <v>2</v>
      </c>
      <c r="M647" t="s">
        <v>689</v>
      </c>
      <c r="N647">
        <v>9</v>
      </c>
      <c r="O647">
        <v>10.67</v>
      </c>
      <c r="P647">
        <v>110380.12</v>
      </c>
      <c r="Q647">
        <v>77692.34</v>
      </c>
      <c r="R647">
        <v>322</v>
      </c>
      <c r="S647">
        <v>1071</v>
      </c>
      <c r="T647" t="s">
        <v>108</v>
      </c>
      <c r="U647" t="s">
        <v>90</v>
      </c>
    </row>
    <row r="648" spans="1:21">
      <c r="A648" t="s">
        <v>1101</v>
      </c>
      <c r="B648" t="s">
        <v>871</v>
      </c>
      <c r="C648" t="s">
        <v>701</v>
      </c>
      <c r="D648">
        <v>59000</v>
      </c>
      <c r="E648">
        <v>3000</v>
      </c>
      <c r="H648">
        <v>2</v>
      </c>
      <c r="I648" t="s">
        <v>432</v>
      </c>
      <c r="J648">
        <v>9.9700000000000006</v>
      </c>
      <c r="K648">
        <v>17</v>
      </c>
      <c r="L648">
        <v>2</v>
      </c>
      <c r="M648" t="s">
        <v>689</v>
      </c>
      <c r="N648">
        <v>7</v>
      </c>
      <c r="O648">
        <v>11.67</v>
      </c>
      <c r="P648">
        <v>110380.12</v>
      </c>
      <c r="Q648">
        <v>77692.34</v>
      </c>
      <c r="R648">
        <v>322</v>
      </c>
      <c r="S648">
        <v>1071</v>
      </c>
      <c r="T648" t="s">
        <v>231</v>
      </c>
      <c r="U648" t="s">
        <v>90</v>
      </c>
    </row>
    <row r="649" spans="1:21">
      <c r="A649" t="s">
        <v>1102</v>
      </c>
      <c r="B649" t="s">
        <v>871</v>
      </c>
      <c r="C649" t="s">
        <v>701</v>
      </c>
      <c r="D649">
        <v>60000</v>
      </c>
      <c r="E649">
        <v>3000</v>
      </c>
      <c r="H649">
        <v>2</v>
      </c>
      <c r="I649" t="s">
        <v>432</v>
      </c>
      <c r="J649">
        <v>9.9700000000000006</v>
      </c>
      <c r="K649">
        <v>17</v>
      </c>
      <c r="L649">
        <v>2</v>
      </c>
      <c r="M649" t="s">
        <v>689</v>
      </c>
      <c r="N649">
        <v>7</v>
      </c>
      <c r="O649">
        <v>11.67</v>
      </c>
      <c r="P649">
        <v>110380.12</v>
      </c>
      <c r="Q649">
        <v>77692.34</v>
      </c>
      <c r="R649">
        <v>322</v>
      </c>
      <c r="S649">
        <v>1071</v>
      </c>
      <c r="T649" t="s">
        <v>231</v>
      </c>
      <c r="U649" t="s">
        <v>90</v>
      </c>
    </row>
    <row r="650" spans="1:21">
      <c r="A650" t="s">
        <v>1103</v>
      </c>
      <c r="B650" t="s">
        <v>1104</v>
      </c>
      <c r="C650" t="s">
        <v>758</v>
      </c>
      <c r="D650">
        <v>64000</v>
      </c>
      <c r="E650">
        <v>4000</v>
      </c>
      <c r="G650">
        <v>64000</v>
      </c>
      <c r="H650">
        <v>1</v>
      </c>
      <c r="I650" t="s">
        <v>432</v>
      </c>
      <c r="J650">
        <v>12.07</v>
      </c>
      <c r="K650">
        <v>2</v>
      </c>
      <c r="L650">
        <v>2</v>
      </c>
      <c r="M650" t="s">
        <v>689</v>
      </c>
      <c r="N650">
        <v>8</v>
      </c>
      <c r="O650">
        <v>10.67</v>
      </c>
      <c r="P650">
        <v>110380.12</v>
      </c>
      <c r="Q650">
        <v>77692.34</v>
      </c>
      <c r="R650">
        <v>322</v>
      </c>
      <c r="S650">
        <v>1071</v>
      </c>
      <c r="T650" t="s">
        <v>108</v>
      </c>
      <c r="U650" t="s">
        <v>31</v>
      </c>
    </row>
    <row r="651" spans="1:21">
      <c r="A651" t="s">
        <v>1105</v>
      </c>
      <c r="B651" t="s">
        <v>1106</v>
      </c>
      <c r="C651" t="s">
        <v>758</v>
      </c>
      <c r="D651">
        <v>80000</v>
      </c>
      <c r="E651">
        <v>2000</v>
      </c>
      <c r="F651">
        <v>80000</v>
      </c>
      <c r="H651">
        <v>1</v>
      </c>
      <c r="I651" t="s">
        <v>432</v>
      </c>
      <c r="J651">
        <v>26.43</v>
      </c>
      <c r="K651">
        <v>30</v>
      </c>
      <c r="L651">
        <v>2</v>
      </c>
      <c r="M651" t="s">
        <v>689</v>
      </c>
      <c r="N651">
        <v>5</v>
      </c>
      <c r="O651">
        <v>9.67</v>
      </c>
      <c r="P651">
        <v>110380.12</v>
      </c>
      <c r="Q651">
        <v>77692.34</v>
      </c>
      <c r="R651">
        <v>322</v>
      </c>
      <c r="S651">
        <v>1071</v>
      </c>
      <c r="T651" t="s">
        <v>34</v>
      </c>
      <c r="U651" t="s">
        <v>27</v>
      </c>
    </row>
    <row r="652" spans="1:21">
      <c r="A652" t="s">
        <v>1107</v>
      </c>
      <c r="B652" t="s">
        <v>1108</v>
      </c>
      <c r="C652" t="s">
        <v>121</v>
      </c>
      <c r="D652">
        <v>58000</v>
      </c>
      <c r="E652">
        <v>2000</v>
      </c>
      <c r="F652">
        <v>58000</v>
      </c>
      <c r="H652">
        <v>1</v>
      </c>
      <c r="I652" t="s">
        <v>432</v>
      </c>
      <c r="J652">
        <v>17.12</v>
      </c>
      <c r="K652">
        <v>36</v>
      </c>
      <c r="L652">
        <v>2</v>
      </c>
      <c r="M652" t="s">
        <v>689</v>
      </c>
      <c r="N652">
        <v>2</v>
      </c>
      <c r="O652">
        <v>6</v>
      </c>
      <c r="P652">
        <v>110380.12</v>
      </c>
      <c r="Q652">
        <v>77692.34</v>
      </c>
      <c r="R652">
        <v>322</v>
      </c>
      <c r="S652">
        <v>1071</v>
      </c>
      <c r="T652" t="s">
        <v>108</v>
      </c>
      <c r="U652" t="s">
        <v>49</v>
      </c>
    </row>
    <row r="653" spans="1:21">
      <c r="A653" t="s">
        <v>1109</v>
      </c>
      <c r="B653" t="s">
        <v>880</v>
      </c>
      <c r="C653" t="s">
        <v>104</v>
      </c>
      <c r="D653">
        <v>62000</v>
      </c>
      <c r="F653">
        <v>62000</v>
      </c>
      <c r="H653">
        <v>2</v>
      </c>
      <c r="I653" t="s">
        <v>432</v>
      </c>
      <c r="J653">
        <v>18.149999999999999</v>
      </c>
      <c r="K653">
        <v>38</v>
      </c>
      <c r="L653">
        <v>2</v>
      </c>
      <c r="M653" t="s">
        <v>689</v>
      </c>
      <c r="N653">
        <v>4</v>
      </c>
      <c r="O653">
        <v>7</v>
      </c>
      <c r="P653">
        <v>110380.12</v>
      </c>
      <c r="Q653">
        <v>77692.34</v>
      </c>
      <c r="R653">
        <v>322</v>
      </c>
      <c r="S653">
        <v>1071</v>
      </c>
      <c r="T653" t="s">
        <v>108</v>
      </c>
      <c r="U653" t="s">
        <v>49</v>
      </c>
    </row>
    <row r="654" spans="1:21">
      <c r="A654" t="s">
        <v>1110</v>
      </c>
      <c r="B654" t="s">
        <v>1111</v>
      </c>
      <c r="C654" t="s">
        <v>696</v>
      </c>
      <c r="D654">
        <v>77000</v>
      </c>
      <c r="E654">
        <v>3000</v>
      </c>
      <c r="F654">
        <v>77000</v>
      </c>
      <c r="G654">
        <v>77000</v>
      </c>
      <c r="H654">
        <v>1</v>
      </c>
      <c r="I654" t="s">
        <v>432</v>
      </c>
      <c r="J654">
        <v>20.5</v>
      </c>
      <c r="K654">
        <v>9</v>
      </c>
      <c r="L654">
        <v>2</v>
      </c>
      <c r="M654" t="s">
        <v>689</v>
      </c>
      <c r="N654">
        <v>3</v>
      </c>
      <c r="O654">
        <v>6.33</v>
      </c>
      <c r="P654">
        <v>110380.12</v>
      </c>
      <c r="Q654">
        <v>77692.34</v>
      </c>
      <c r="R654">
        <v>322</v>
      </c>
      <c r="S654">
        <v>1071</v>
      </c>
      <c r="T654" t="s">
        <v>34</v>
      </c>
      <c r="U654" t="s">
        <v>31</v>
      </c>
    </row>
    <row r="655" spans="1:21">
      <c r="A655" t="s">
        <v>1112</v>
      </c>
      <c r="B655" t="s">
        <v>1111</v>
      </c>
      <c r="C655" t="s">
        <v>758</v>
      </c>
      <c r="D655">
        <v>69000</v>
      </c>
      <c r="E655">
        <v>2500</v>
      </c>
      <c r="F655">
        <v>69000</v>
      </c>
      <c r="H655">
        <v>2</v>
      </c>
      <c r="I655" t="s">
        <v>432</v>
      </c>
      <c r="J655">
        <v>14.23</v>
      </c>
      <c r="K655">
        <v>9</v>
      </c>
      <c r="L655">
        <v>2</v>
      </c>
      <c r="M655" t="s">
        <v>689</v>
      </c>
      <c r="N655">
        <v>7</v>
      </c>
      <c r="O655">
        <v>13</v>
      </c>
      <c r="P655">
        <v>110380.12</v>
      </c>
      <c r="Q655">
        <v>77692.34</v>
      </c>
      <c r="R655">
        <v>322</v>
      </c>
      <c r="S655">
        <v>1071</v>
      </c>
      <c r="T655" t="s">
        <v>108</v>
      </c>
      <c r="U655" t="s">
        <v>31</v>
      </c>
    </row>
    <row r="656" spans="1:21">
      <c r="A656" t="s">
        <v>1113</v>
      </c>
      <c r="B656" t="s">
        <v>1114</v>
      </c>
      <c r="C656" t="s">
        <v>701</v>
      </c>
      <c r="D656">
        <v>52000</v>
      </c>
      <c r="E656">
        <v>3000</v>
      </c>
      <c r="F656">
        <v>52000</v>
      </c>
      <c r="G656">
        <v>52000</v>
      </c>
      <c r="H656">
        <v>3</v>
      </c>
      <c r="I656" t="s">
        <v>432</v>
      </c>
      <c r="J656">
        <v>14.31</v>
      </c>
      <c r="K656">
        <v>23</v>
      </c>
      <c r="L656">
        <v>3</v>
      </c>
      <c r="M656" t="s">
        <v>689</v>
      </c>
      <c r="N656">
        <v>7</v>
      </c>
      <c r="O656">
        <v>8.33</v>
      </c>
      <c r="P656">
        <v>110380.12</v>
      </c>
      <c r="Q656">
        <v>77692.34</v>
      </c>
      <c r="R656">
        <v>322</v>
      </c>
      <c r="S656">
        <v>1071</v>
      </c>
      <c r="T656" t="s">
        <v>108</v>
      </c>
      <c r="U656" t="s">
        <v>27</v>
      </c>
    </row>
    <row r="657" spans="1:21">
      <c r="A657" t="s">
        <v>1115</v>
      </c>
      <c r="B657" t="s">
        <v>1116</v>
      </c>
      <c r="C657" t="s">
        <v>696</v>
      </c>
      <c r="D657">
        <v>69000</v>
      </c>
      <c r="E657">
        <v>3000</v>
      </c>
      <c r="H657">
        <v>3</v>
      </c>
      <c r="I657" t="s">
        <v>432</v>
      </c>
      <c r="J657">
        <v>15.54</v>
      </c>
      <c r="K657">
        <v>40</v>
      </c>
      <c r="L657">
        <v>4</v>
      </c>
      <c r="M657" t="s">
        <v>689</v>
      </c>
      <c r="N657">
        <v>5</v>
      </c>
      <c r="O657">
        <v>7.33</v>
      </c>
      <c r="P657">
        <v>110380.12</v>
      </c>
      <c r="Q657">
        <v>77692.34</v>
      </c>
      <c r="R657">
        <v>322</v>
      </c>
      <c r="S657">
        <v>1071</v>
      </c>
      <c r="T657" t="s">
        <v>108</v>
      </c>
      <c r="U657" t="s">
        <v>49</v>
      </c>
    </row>
    <row r="658" spans="1:21">
      <c r="A658" t="s">
        <v>1117</v>
      </c>
      <c r="B658" t="s">
        <v>1118</v>
      </c>
      <c r="C658" t="s">
        <v>121</v>
      </c>
      <c r="D658">
        <v>70000</v>
      </c>
      <c r="E658">
        <v>3000</v>
      </c>
      <c r="F658">
        <v>70000</v>
      </c>
      <c r="H658">
        <v>4</v>
      </c>
      <c r="I658" t="s">
        <v>432</v>
      </c>
      <c r="J658">
        <v>23</v>
      </c>
      <c r="K658">
        <v>42</v>
      </c>
      <c r="L658">
        <v>4</v>
      </c>
      <c r="M658" t="s">
        <v>689</v>
      </c>
      <c r="N658">
        <v>6</v>
      </c>
      <c r="O658">
        <v>8.67</v>
      </c>
      <c r="P658">
        <v>110380.12</v>
      </c>
      <c r="Q658">
        <v>77692.34</v>
      </c>
      <c r="R658">
        <v>322</v>
      </c>
      <c r="S658">
        <v>1071</v>
      </c>
      <c r="T658" t="s">
        <v>34</v>
      </c>
      <c r="U658" t="s">
        <v>42</v>
      </c>
    </row>
    <row r="659" spans="1:21">
      <c r="A659" t="s">
        <v>1119</v>
      </c>
      <c r="B659" t="s">
        <v>1120</v>
      </c>
      <c r="C659" t="s">
        <v>104</v>
      </c>
      <c r="D659">
        <v>65000</v>
      </c>
      <c r="E659">
        <v>5000</v>
      </c>
      <c r="F659">
        <v>65000</v>
      </c>
      <c r="G659">
        <v>65000</v>
      </c>
      <c r="H659">
        <v>2</v>
      </c>
      <c r="I659" t="s">
        <v>432</v>
      </c>
      <c r="J659">
        <v>16.47</v>
      </c>
      <c r="K659">
        <v>33</v>
      </c>
      <c r="L659">
        <v>5</v>
      </c>
      <c r="M659" t="s">
        <v>689</v>
      </c>
      <c r="N659">
        <v>1</v>
      </c>
      <c r="O659">
        <v>2.33</v>
      </c>
      <c r="P659">
        <v>110380.12</v>
      </c>
      <c r="Q659">
        <v>77692.34</v>
      </c>
      <c r="R659">
        <v>322</v>
      </c>
      <c r="S659">
        <v>1071</v>
      </c>
      <c r="T659" t="s">
        <v>108</v>
      </c>
      <c r="U659" t="s">
        <v>49</v>
      </c>
    </row>
    <row r="660" spans="1:21">
      <c r="A660" t="s">
        <v>1121</v>
      </c>
      <c r="B660" t="s">
        <v>1122</v>
      </c>
      <c r="C660" t="s">
        <v>121</v>
      </c>
      <c r="D660">
        <v>104000</v>
      </c>
      <c r="E660">
        <v>15000</v>
      </c>
      <c r="H660">
        <v>2</v>
      </c>
      <c r="I660" t="s">
        <v>432</v>
      </c>
      <c r="J660">
        <v>24.09</v>
      </c>
      <c r="K660">
        <v>18</v>
      </c>
      <c r="L660">
        <v>7</v>
      </c>
      <c r="M660" t="s">
        <v>689</v>
      </c>
      <c r="N660">
        <v>6</v>
      </c>
      <c r="O660">
        <v>10.67</v>
      </c>
      <c r="P660">
        <v>110380.12</v>
      </c>
      <c r="Q660">
        <v>77692.34</v>
      </c>
      <c r="R660">
        <v>322</v>
      </c>
      <c r="S660">
        <v>1071</v>
      </c>
      <c r="T660" t="s">
        <v>34</v>
      </c>
      <c r="U660" t="s">
        <v>90</v>
      </c>
    </row>
    <row r="661" spans="1:21">
      <c r="A661" t="s">
        <v>1123</v>
      </c>
      <c r="B661" t="s">
        <v>1124</v>
      </c>
      <c r="C661" t="s">
        <v>696</v>
      </c>
      <c r="D661">
        <v>124000</v>
      </c>
      <c r="E661">
        <v>15000</v>
      </c>
      <c r="F661">
        <v>124000</v>
      </c>
      <c r="G661">
        <v>124000</v>
      </c>
      <c r="H661">
        <v>3</v>
      </c>
      <c r="I661" t="s">
        <v>432</v>
      </c>
      <c r="J661">
        <v>25.65</v>
      </c>
      <c r="K661">
        <v>5</v>
      </c>
      <c r="L661">
        <v>5</v>
      </c>
      <c r="M661" t="s">
        <v>689</v>
      </c>
      <c r="N661">
        <v>2</v>
      </c>
      <c r="O661">
        <v>8</v>
      </c>
      <c r="P661">
        <v>110380.12</v>
      </c>
      <c r="Q661">
        <v>77692.34</v>
      </c>
      <c r="R661">
        <v>322</v>
      </c>
      <c r="S661">
        <v>1071</v>
      </c>
      <c r="T661" t="s">
        <v>34</v>
      </c>
      <c r="U661" t="s">
        <v>31</v>
      </c>
    </row>
    <row r="662" spans="1:21">
      <c r="A662" t="s">
        <v>1125</v>
      </c>
      <c r="B662" t="s">
        <v>1124</v>
      </c>
      <c r="C662" t="s">
        <v>696</v>
      </c>
      <c r="D662">
        <v>130000</v>
      </c>
      <c r="E662">
        <v>15000</v>
      </c>
      <c r="G662">
        <v>130000</v>
      </c>
      <c r="H662">
        <v>3</v>
      </c>
      <c r="I662" t="s">
        <v>432</v>
      </c>
      <c r="J662">
        <v>25.65</v>
      </c>
      <c r="K662">
        <v>5</v>
      </c>
      <c r="L662">
        <v>5</v>
      </c>
      <c r="M662" t="s">
        <v>689</v>
      </c>
      <c r="N662">
        <v>2</v>
      </c>
      <c r="O662">
        <v>8</v>
      </c>
      <c r="P662">
        <v>110380.12</v>
      </c>
      <c r="Q662">
        <v>77692.34</v>
      </c>
      <c r="R662">
        <v>322</v>
      </c>
      <c r="S662">
        <v>1071</v>
      </c>
      <c r="T662" t="s">
        <v>34</v>
      </c>
      <c r="U662" t="s">
        <v>31</v>
      </c>
    </row>
    <row r="663" spans="1:21">
      <c r="A663" t="s">
        <v>1126</v>
      </c>
      <c r="B663" t="s">
        <v>1127</v>
      </c>
      <c r="C663" t="s">
        <v>121</v>
      </c>
      <c r="D663">
        <v>86000</v>
      </c>
      <c r="E663">
        <v>5000</v>
      </c>
      <c r="H663">
        <v>3</v>
      </c>
      <c r="I663" t="s">
        <v>432</v>
      </c>
      <c r="J663">
        <v>18</v>
      </c>
      <c r="K663">
        <v>6</v>
      </c>
      <c r="L663">
        <v>5</v>
      </c>
      <c r="M663" t="s">
        <v>689</v>
      </c>
      <c r="N663">
        <v>3</v>
      </c>
      <c r="O663">
        <v>7.33</v>
      </c>
      <c r="P663">
        <v>110380.12</v>
      </c>
      <c r="Q663">
        <v>77692.34</v>
      </c>
      <c r="R663">
        <v>322</v>
      </c>
      <c r="S663">
        <v>1071</v>
      </c>
      <c r="T663" t="s">
        <v>108</v>
      </c>
      <c r="U663" t="s">
        <v>31</v>
      </c>
    </row>
    <row r="664" spans="1:21">
      <c r="A664" t="s">
        <v>1128</v>
      </c>
      <c r="B664" t="s">
        <v>1129</v>
      </c>
      <c r="C664" t="s">
        <v>701</v>
      </c>
      <c r="D664">
        <v>80000</v>
      </c>
      <c r="E664">
        <v>9000</v>
      </c>
      <c r="F664">
        <v>80000</v>
      </c>
      <c r="G664">
        <v>80000</v>
      </c>
      <c r="H664">
        <v>3</v>
      </c>
      <c r="I664" t="s">
        <v>432</v>
      </c>
      <c r="J664">
        <v>19.78</v>
      </c>
      <c r="K664">
        <v>18</v>
      </c>
      <c r="L664">
        <v>7</v>
      </c>
      <c r="M664" t="s">
        <v>689</v>
      </c>
      <c r="N664">
        <v>2</v>
      </c>
      <c r="O664">
        <v>6</v>
      </c>
      <c r="P664">
        <v>110380.12</v>
      </c>
      <c r="Q664">
        <v>77692.34</v>
      </c>
      <c r="R664">
        <v>322</v>
      </c>
      <c r="S664">
        <v>1071</v>
      </c>
      <c r="T664" t="s">
        <v>108</v>
      </c>
      <c r="U664" t="s">
        <v>90</v>
      </c>
    </row>
    <row r="665" spans="1:21">
      <c r="A665" t="s">
        <v>1130</v>
      </c>
      <c r="B665" t="s">
        <v>1131</v>
      </c>
      <c r="C665" t="s">
        <v>121</v>
      </c>
      <c r="D665">
        <v>57000</v>
      </c>
      <c r="E665">
        <v>3000</v>
      </c>
      <c r="H665">
        <v>2</v>
      </c>
      <c r="I665" t="s">
        <v>432</v>
      </c>
      <c r="J665">
        <v>12.92</v>
      </c>
      <c r="K665">
        <v>10</v>
      </c>
      <c r="L665">
        <v>2</v>
      </c>
      <c r="M665" t="s">
        <v>689</v>
      </c>
      <c r="N665">
        <v>7</v>
      </c>
      <c r="O665">
        <v>11.33</v>
      </c>
      <c r="P665">
        <v>110380.12</v>
      </c>
      <c r="Q665">
        <v>77692.34</v>
      </c>
      <c r="R665">
        <v>322</v>
      </c>
      <c r="S665">
        <v>1071</v>
      </c>
      <c r="T665" t="s">
        <v>108</v>
      </c>
      <c r="U665" t="s">
        <v>31</v>
      </c>
    </row>
    <row r="666" spans="1:21">
      <c r="A666" t="s">
        <v>1132</v>
      </c>
      <c r="B666" t="s">
        <v>1131</v>
      </c>
      <c r="C666" t="s">
        <v>121</v>
      </c>
      <c r="D666">
        <v>57000</v>
      </c>
      <c r="E666">
        <v>3000</v>
      </c>
      <c r="H666">
        <v>2</v>
      </c>
      <c r="I666" t="s">
        <v>432</v>
      </c>
      <c r="J666">
        <v>13.17</v>
      </c>
      <c r="K666">
        <v>10</v>
      </c>
      <c r="L666">
        <v>2</v>
      </c>
      <c r="M666" t="s">
        <v>689</v>
      </c>
      <c r="N666">
        <v>7</v>
      </c>
      <c r="O666">
        <v>11.33</v>
      </c>
      <c r="P666">
        <v>110380.12</v>
      </c>
      <c r="Q666">
        <v>77692.34</v>
      </c>
      <c r="R666">
        <v>322</v>
      </c>
      <c r="S666">
        <v>1071</v>
      </c>
      <c r="T666" t="s">
        <v>108</v>
      </c>
      <c r="U666" t="s">
        <v>31</v>
      </c>
    </row>
    <row r="667" spans="1:21">
      <c r="A667" t="s">
        <v>1133</v>
      </c>
      <c r="B667" t="s">
        <v>1134</v>
      </c>
      <c r="C667" t="s">
        <v>696</v>
      </c>
      <c r="D667">
        <v>66000</v>
      </c>
      <c r="E667">
        <v>2000</v>
      </c>
      <c r="F667">
        <v>66000</v>
      </c>
      <c r="G667">
        <v>66000</v>
      </c>
      <c r="H667">
        <v>2</v>
      </c>
      <c r="I667" t="s">
        <v>432</v>
      </c>
      <c r="J667">
        <v>20.7</v>
      </c>
      <c r="K667">
        <v>31</v>
      </c>
      <c r="L667">
        <v>2</v>
      </c>
      <c r="M667" t="s">
        <v>689</v>
      </c>
      <c r="N667">
        <v>5</v>
      </c>
      <c r="O667">
        <v>9.33</v>
      </c>
      <c r="P667">
        <v>110380.12</v>
      </c>
      <c r="Q667">
        <v>77692.34</v>
      </c>
      <c r="R667">
        <v>322</v>
      </c>
      <c r="S667">
        <v>1071</v>
      </c>
      <c r="T667" t="s">
        <v>34</v>
      </c>
      <c r="U667" t="s">
        <v>49</v>
      </c>
    </row>
    <row r="668" spans="1:21">
      <c r="A668" t="s">
        <v>1135</v>
      </c>
      <c r="B668" t="s">
        <v>1136</v>
      </c>
      <c r="C668" t="s">
        <v>701</v>
      </c>
      <c r="D668">
        <v>84000</v>
      </c>
      <c r="E668">
        <v>5000</v>
      </c>
      <c r="F668">
        <v>84000</v>
      </c>
      <c r="H668">
        <v>1</v>
      </c>
      <c r="I668" t="s">
        <v>432</v>
      </c>
      <c r="J668">
        <v>18.899999999999999</v>
      </c>
      <c r="K668">
        <v>11</v>
      </c>
      <c r="L668">
        <v>3</v>
      </c>
      <c r="M668" t="s">
        <v>689</v>
      </c>
      <c r="N668">
        <v>5</v>
      </c>
      <c r="O668">
        <v>6.33</v>
      </c>
      <c r="P668">
        <v>110380.12</v>
      </c>
      <c r="Q668">
        <v>77692.34</v>
      </c>
      <c r="R668">
        <v>322</v>
      </c>
      <c r="S668">
        <v>1071</v>
      </c>
      <c r="T668" t="s">
        <v>108</v>
      </c>
      <c r="U668" t="s">
        <v>90</v>
      </c>
    </row>
    <row r="669" spans="1:21">
      <c r="A669" t="s">
        <v>1137</v>
      </c>
      <c r="B669" t="s">
        <v>919</v>
      </c>
      <c r="C669" t="s">
        <v>104</v>
      </c>
      <c r="D669">
        <v>96000</v>
      </c>
      <c r="E669">
        <v>2000</v>
      </c>
      <c r="F669">
        <v>96000</v>
      </c>
      <c r="G669">
        <v>96000</v>
      </c>
      <c r="H669">
        <v>1</v>
      </c>
      <c r="I669" t="s">
        <v>432</v>
      </c>
      <c r="J669">
        <v>21.06</v>
      </c>
      <c r="K669">
        <v>33</v>
      </c>
      <c r="L669">
        <v>3</v>
      </c>
      <c r="M669" t="s">
        <v>689</v>
      </c>
      <c r="N669">
        <v>2</v>
      </c>
      <c r="O669">
        <v>2</v>
      </c>
      <c r="P669">
        <v>110380.12</v>
      </c>
      <c r="Q669">
        <v>77692.34</v>
      </c>
      <c r="R669">
        <v>322</v>
      </c>
      <c r="S669">
        <v>1071</v>
      </c>
      <c r="T669" t="s">
        <v>34</v>
      </c>
      <c r="U669" t="s">
        <v>49</v>
      </c>
    </row>
    <row r="670" spans="1:21">
      <c r="A670" t="s">
        <v>1138</v>
      </c>
      <c r="B670" t="s">
        <v>919</v>
      </c>
      <c r="C670" t="s">
        <v>104</v>
      </c>
      <c r="D670">
        <v>100000</v>
      </c>
      <c r="E670">
        <v>2000</v>
      </c>
      <c r="F670">
        <v>100000</v>
      </c>
      <c r="G670">
        <v>100000</v>
      </c>
      <c r="H670">
        <v>2</v>
      </c>
      <c r="I670" t="s">
        <v>432</v>
      </c>
      <c r="J670">
        <v>21.06</v>
      </c>
      <c r="K670">
        <v>33</v>
      </c>
      <c r="L670">
        <v>3</v>
      </c>
      <c r="M670" t="s">
        <v>689</v>
      </c>
      <c r="N670">
        <v>2</v>
      </c>
      <c r="O670">
        <v>2</v>
      </c>
      <c r="P670">
        <v>110380.12</v>
      </c>
      <c r="Q670">
        <v>77692.34</v>
      </c>
      <c r="R670">
        <v>322</v>
      </c>
      <c r="S670">
        <v>1071</v>
      </c>
      <c r="T670" t="s">
        <v>34</v>
      </c>
      <c r="U670" t="s">
        <v>49</v>
      </c>
    </row>
    <row r="671" spans="1:21">
      <c r="A671" t="s">
        <v>1139</v>
      </c>
      <c r="B671" t="s">
        <v>919</v>
      </c>
      <c r="C671" t="s">
        <v>104</v>
      </c>
      <c r="D671">
        <v>92000</v>
      </c>
      <c r="E671">
        <v>2000</v>
      </c>
      <c r="F671">
        <v>92000</v>
      </c>
      <c r="G671">
        <v>92000</v>
      </c>
      <c r="H671">
        <v>3</v>
      </c>
      <c r="I671" t="s">
        <v>432</v>
      </c>
      <c r="J671">
        <v>21.06</v>
      </c>
      <c r="K671">
        <v>33</v>
      </c>
      <c r="L671">
        <v>3</v>
      </c>
      <c r="M671" t="s">
        <v>689</v>
      </c>
      <c r="N671">
        <v>2</v>
      </c>
      <c r="O671">
        <v>2</v>
      </c>
      <c r="P671">
        <v>110380.12</v>
      </c>
      <c r="Q671">
        <v>77692.34</v>
      </c>
      <c r="R671">
        <v>322</v>
      </c>
      <c r="S671">
        <v>1071</v>
      </c>
      <c r="T671" t="s">
        <v>34</v>
      </c>
      <c r="U671" t="s">
        <v>49</v>
      </c>
    </row>
    <row r="672" spans="1:21">
      <c r="A672" t="s">
        <v>1140</v>
      </c>
      <c r="B672" t="s">
        <v>1141</v>
      </c>
      <c r="C672" t="s">
        <v>709</v>
      </c>
      <c r="D672">
        <v>44000</v>
      </c>
      <c r="E672">
        <v>2000</v>
      </c>
      <c r="H672">
        <v>2</v>
      </c>
      <c r="I672" t="s">
        <v>432</v>
      </c>
      <c r="J672">
        <v>7.4</v>
      </c>
      <c r="K672">
        <v>37</v>
      </c>
      <c r="L672">
        <v>3</v>
      </c>
      <c r="M672" t="s">
        <v>689</v>
      </c>
      <c r="N672">
        <v>5</v>
      </c>
      <c r="O672">
        <v>15</v>
      </c>
      <c r="P672">
        <v>110380.12</v>
      </c>
      <c r="Q672">
        <v>77692.34</v>
      </c>
      <c r="R672">
        <v>322</v>
      </c>
      <c r="S672">
        <v>1071</v>
      </c>
      <c r="T672" t="s">
        <v>231</v>
      </c>
      <c r="U672" t="s">
        <v>49</v>
      </c>
    </row>
    <row r="673" spans="1:21">
      <c r="A673" t="s">
        <v>1142</v>
      </c>
      <c r="B673" t="s">
        <v>1141</v>
      </c>
      <c r="C673" t="s">
        <v>709</v>
      </c>
      <c r="D673">
        <v>46000</v>
      </c>
      <c r="E673">
        <v>2000</v>
      </c>
      <c r="H673">
        <v>3</v>
      </c>
      <c r="I673" t="s">
        <v>432</v>
      </c>
      <c r="J673">
        <v>6.2</v>
      </c>
      <c r="K673">
        <v>37</v>
      </c>
      <c r="L673">
        <v>3</v>
      </c>
      <c r="M673" t="s">
        <v>689</v>
      </c>
      <c r="N673">
        <v>5</v>
      </c>
      <c r="O673">
        <v>15</v>
      </c>
      <c r="P673">
        <v>110380.12</v>
      </c>
      <c r="Q673">
        <v>77692.34</v>
      </c>
      <c r="R673">
        <v>322</v>
      </c>
      <c r="S673">
        <v>1071</v>
      </c>
      <c r="T673" t="s">
        <v>231</v>
      </c>
      <c r="U673" t="s">
        <v>49</v>
      </c>
    </row>
    <row r="674" spans="1:21">
      <c r="A674" t="s">
        <v>1143</v>
      </c>
      <c r="B674" t="s">
        <v>1141</v>
      </c>
      <c r="C674" t="s">
        <v>709</v>
      </c>
      <c r="D674">
        <v>44000</v>
      </c>
      <c r="E674">
        <v>2000</v>
      </c>
      <c r="H674">
        <v>3</v>
      </c>
      <c r="I674" t="s">
        <v>432</v>
      </c>
      <c r="J674">
        <v>7.7</v>
      </c>
      <c r="K674">
        <v>37</v>
      </c>
      <c r="L674">
        <v>3</v>
      </c>
      <c r="M674" t="s">
        <v>689</v>
      </c>
      <c r="N674">
        <v>5</v>
      </c>
      <c r="O674">
        <v>15</v>
      </c>
      <c r="P674">
        <v>110380.12</v>
      </c>
      <c r="Q674">
        <v>77692.34</v>
      </c>
      <c r="R674">
        <v>322</v>
      </c>
      <c r="S674">
        <v>1071</v>
      </c>
      <c r="T674" t="s">
        <v>231</v>
      </c>
      <c r="U674" t="s">
        <v>49</v>
      </c>
    </row>
    <row r="675" spans="1:21">
      <c r="A675" t="s">
        <v>1144</v>
      </c>
      <c r="B675" t="s">
        <v>1145</v>
      </c>
      <c r="C675" t="s">
        <v>709</v>
      </c>
      <c r="D675">
        <v>78000</v>
      </c>
      <c r="E675">
        <v>6000</v>
      </c>
      <c r="H675">
        <v>1</v>
      </c>
      <c r="I675" t="s">
        <v>432</v>
      </c>
      <c r="J675">
        <v>13.12</v>
      </c>
      <c r="K675">
        <v>6</v>
      </c>
      <c r="L675">
        <v>3</v>
      </c>
      <c r="M675" t="s">
        <v>689</v>
      </c>
      <c r="N675">
        <v>1</v>
      </c>
      <c r="O675">
        <v>5.33</v>
      </c>
      <c r="P675">
        <v>110380.12</v>
      </c>
      <c r="Q675">
        <v>77692.34</v>
      </c>
      <c r="R675">
        <v>322</v>
      </c>
      <c r="S675">
        <v>1071</v>
      </c>
      <c r="T675" t="s">
        <v>108</v>
      </c>
      <c r="U675" t="s">
        <v>31</v>
      </c>
    </row>
    <row r="676" spans="1:21">
      <c r="A676" t="s">
        <v>1146</v>
      </c>
      <c r="B676" t="s">
        <v>1145</v>
      </c>
      <c r="C676" t="s">
        <v>709</v>
      </c>
      <c r="D676">
        <v>78000</v>
      </c>
      <c r="E676">
        <v>5000</v>
      </c>
      <c r="H676">
        <v>1</v>
      </c>
      <c r="I676" t="s">
        <v>432</v>
      </c>
      <c r="J676">
        <v>9.25</v>
      </c>
      <c r="K676">
        <v>6</v>
      </c>
      <c r="L676">
        <v>3</v>
      </c>
      <c r="M676" t="s">
        <v>689</v>
      </c>
      <c r="N676">
        <v>1</v>
      </c>
      <c r="O676">
        <v>5.33</v>
      </c>
      <c r="P676">
        <v>110380.12</v>
      </c>
      <c r="Q676">
        <v>77692.34</v>
      </c>
      <c r="R676">
        <v>322</v>
      </c>
      <c r="S676">
        <v>1071</v>
      </c>
      <c r="T676" t="s">
        <v>231</v>
      </c>
      <c r="U676" t="s">
        <v>31</v>
      </c>
    </row>
    <row r="677" spans="1:21">
      <c r="A677" t="s">
        <v>1147</v>
      </c>
      <c r="B677" t="s">
        <v>1145</v>
      </c>
      <c r="C677" t="s">
        <v>709</v>
      </c>
      <c r="D677">
        <v>76000</v>
      </c>
      <c r="E677">
        <v>5000</v>
      </c>
      <c r="H677">
        <v>1</v>
      </c>
      <c r="I677" t="s">
        <v>432</v>
      </c>
      <c r="J677">
        <v>9</v>
      </c>
      <c r="K677">
        <v>6</v>
      </c>
      <c r="L677">
        <v>3</v>
      </c>
      <c r="M677" t="s">
        <v>689</v>
      </c>
      <c r="N677">
        <v>1</v>
      </c>
      <c r="O677">
        <v>5.33</v>
      </c>
      <c r="P677">
        <v>110380.12</v>
      </c>
      <c r="Q677">
        <v>77692.34</v>
      </c>
      <c r="R677">
        <v>322</v>
      </c>
      <c r="S677">
        <v>1071</v>
      </c>
      <c r="T677" t="s">
        <v>231</v>
      </c>
      <c r="U677" t="s">
        <v>31</v>
      </c>
    </row>
    <row r="678" spans="1:21">
      <c r="A678" t="s">
        <v>1148</v>
      </c>
      <c r="B678" t="s">
        <v>1145</v>
      </c>
      <c r="C678" t="s">
        <v>709</v>
      </c>
      <c r="D678">
        <v>78000</v>
      </c>
      <c r="E678">
        <v>5000</v>
      </c>
      <c r="H678">
        <v>3</v>
      </c>
      <c r="I678" t="s">
        <v>432</v>
      </c>
      <c r="J678">
        <v>13.04</v>
      </c>
      <c r="K678">
        <v>6</v>
      </c>
      <c r="L678">
        <v>3</v>
      </c>
      <c r="M678" t="s">
        <v>689</v>
      </c>
      <c r="N678">
        <v>1</v>
      </c>
      <c r="O678">
        <v>5.33</v>
      </c>
      <c r="P678">
        <v>110380.12</v>
      </c>
      <c r="Q678">
        <v>77692.34</v>
      </c>
      <c r="R678">
        <v>322</v>
      </c>
      <c r="S678">
        <v>1071</v>
      </c>
      <c r="T678" t="s">
        <v>108</v>
      </c>
      <c r="U678" t="s">
        <v>31</v>
      </c>
    </row>
    <row r="679" spans="1:21">
      <c r="A679" t="s">
        <v>1149</v>
      </c>
      <c r="B679" t="s">
        <v>1145</v>
      </c>
      <c r="C679" t="s">
        <v>709</v>
      </c>
      <c r="D679">
        <v>78000</v>
      </c>
      <c r="E679">
        <v>5000</v>
      </c>
      <c r="H679">
        <v>3</v>
      </c>
      <c r="I679" t="s">
        <v>432</v>
      </c>
      <c r="J679">
        <v>9</v>
      </c>
      <c r="K679">
        <v>6</v>
      </c>
      <c r="L679">
        <v>3</v>
      </c>
      <c r="M679" t="s">
        <v>689</v>
      </c>
      <c r="N679">
        <v>1</v>
      </c>
      <c r="O679">
        <v>5.33</v>
      </c>
      <c r="P679">
        <v>110380.12</v>
      </c>
      <c r="Q679">
        <v>77692.34</v>
      </c>
      <c r="R679">
        <v>322</v>
      </c>
      <c r="S679">
        <v>1071</v>
      </c>
      <c r="T679" t="s">
        <v>231</v>
      </c>
      <c r="U679" t="s">
        <v>31</v>
      </c>
    </row>
    <row r="680" spans="1:21">
      <c r="A680" t="s">
        <v>1150</v>
      </c>
      <c r="B680" t="s">
        <v>1151</v>
      </c>
      <c r="C680" t="s">
        <v>701</v>
      </c>
      <c r="D680">
        <v>87000</v>
      </c>
      <c r="E680">
        <v>10000</v>
      </c>
      <c r="H680">
        <v>4</v>
      </c>
      <c r="I680" t="s">
        <v>432</v>
      </c>
      <c r="J680">
        <v>20.11</v>
      </c>
      <c r="K680">
        <v>2</v>
      </c>
      <c r="L680">
        <v>4</v>
      </c>
      <c r="M680" t="s">
        <v>689</v>
      </c>
      <c r="N680">
        <v>5</v>
      </c>
      <c r="O680">
        <v>11</v>
      </c>
      <c r="P680">
        <v>110380.12</v>
      </c>
      <c r="Q680">
        <v>77692.34</v>
      </c>
      <c r="R680">
        <v>322</v>
      </c>
      <c r="S680">
        <v>1071</v>
      </c>
      <c r="T680" t="s">
        <v>34</v>
      </c>
      <c r="U680" t="s">
        <v>31</v>
      </c>
    </row>
    <row r="681" spans="1:21">
      <c r="A681" t="s">
        <v>1152</v>
      </c>
      <c r="B681" t="s">
        <v>984</v>
      </c>
      <c r="C681" t="s">
        <v>121</v>
      </c>
      <c r="D681">
        <v>89000</v>
      </c>
      <c r="E681">
        <v>3000</v>
      </c>
      <c r="H681">
        <v>2</v>
      </c>
      <c r="I681" t="s">
        <v>432</v>
      </c>
      <c r="J681">
        <v>18.04</v>
      </c>
      <c r="K681">
        <v>6</v>
      </c>
      <c r="L681">
        <v>4</v>
      </c>
      <c r="M681" t="s">
        <v>689</v>
      </c>
      <c r="N681">
        <v>2</v>
      </c>
      <c r="O681">
        <v>7.33</v>
      </c>
      <c r="P681">
        <v>110380.12</v>
      </c>
      <c r="Q681">
        <v>77692.34</v>
      </c>
      <c r="R681">
        <v>322</v>
      </c>
      <c r="S681">
        <v>1071</v>
      </c>
      <c r="T681" t="s">
        <v>108</v>
      </c>
      <c r="U681" t="s">
        <v>31</v>
      </c>
    </row>
    <row r="682" spans="1:21">
      <c r="A682" t="s">
        <v>1153</v>
      </c>
      <c r="B682" t="s">
        <v>1154</v>
      </c>
      <c r="C682" t="s">
        <v>701</v>
      </c>
      <c r="D682">
        <v>65000</v>
      </c>
      <c r="E682">
        <v>2000</v>
      </c>
      <c r="F682">
        <v>65000</v>
      </c>
      <c r="H682">
        <v>2</v>
      </c>
      <c r="I682" t="s">
        <v>432</v>
      </c>
      <c r="J682">
        <v>18</v>
      </c>
      <c r="K682">
        <v>36</v>
      </c>
      <c r="L682">
        <v>3</v>
      </c>
      <c r="M682" t="s">
        <v>689</v>
      </c>
      <c r="N682">
        <v>6</v>
      </c>
      <c r="O682">
        <v>9</v>
      </c>
      <c r="P682">
        <v>110380.12</v>
      </c>
      <c r="Q682">
        <v>77692.34</v>
      </c>
      <c r="R682">
        <v>322</v>
      </c>
      <c r="S682">
        <v>1071</v>
      </c>
      <c r="T682" t="s">
        <v>108</v>
      </c>
      <c r="U682" t="s">
        <v>49</v>
      </c>
    </row>
    <row r="683" spans="1:21">
      <c r="A683" t="s">
        <v>1155</v>
      </c>
      <c r="B683" t="s">
        <v>989</v>
      </c>
      <c r="C683" t="s">
        <v>104</v>
      </c>
      <c r="D683">
        <v>91000</v>
      </c>
      <c r="E683">
        <v>4000</v>
      </c>
      <c r="F683">
        <v>91000</v>
      </c>
      <c r="G683">
        <v>91000</v>
      </c>
      <c r="H683">
        <v>1</v>
      </c>
      <c r="I683" t="s">
        <v>432</v>
      </c>
      <c r="J683">
        <v>26.12</v>
      </c>
      <c r="K683">
        <v>13</v>
      </c>
      <c r="L683">
        <v>2</v>
      </c>
      <c r="M683" t="s">
        <v>689</v>
      </c>
      <c r="N683">
        <v>5</v>
      </c>
      <c r="O683">
        <v>8.67</v>
      </c>
      <c r="P683">
        <v>110380.12</v>
      </c>
      <c r="Q683">
        <v>77692.34</v>
      </c>
      <c r="R683">
        <v>322</v>
      </c>
      <c r="S683">
        <v>1071</v>
      </c>
      <c r="T683" t="s">
        <v>34</v>
      </c>
      <c r="U683" t="s">
        <v>90</v>
      </c>
    </row>
    <row r="684" spans="1:21">
      <c r="A684" t="s">
        <v>1156</v>
      </c>
      <c r="B684" t="s">
        <v>1157</v>
      </c>
      <c r="C684" t="s">
        <v>121</v>
      </c>
      <c r="D684">
        <v>89000</v>
      </c>
      <c r="E684">
        <v>3000</v>
      </c>
      <c r="H684">
        <v>2</v>
      </c>
      <c r="I684" t="s">
        <v>432</v>
      </c>
      <c r="J684">
        <v>18.04</v>
      </c>
      <c r="K684">
        <v>6</v>
      </c>
      <c r="L684">
        <v>4</v>
      </c>
      <c r="M684" t="s">
        <v>689</v>
      </c>
      <c r="N684">
        <v>2</v>
      </c>
      <c r="O684">
        <v>7.33</v>
      </c>
      <c r="P684">
        <v>110380.12</v>
      </c>
      <c r="Q684">
        <v>77692.34</v>
      </c>
      <c r="R684">
        <v>322</v>
      </c>
      <c r="S684">
        <v>1071</v>
      </c>
      <c r="T684" t="s">
        <v>108</v>
      </c>
      <c r="U684" t="s">
        <v>31</v>
      </c>
    </row>
    <row r="685" spans="1:21">
      <c r="A685" t="s">
        <v>1158</v>
      </c>
      <c r="B685" t="s">
        <v>1159</v>
      </c>
      <c r="C685" t="s">
        <v>701</v>
      </c>
      <c r="D685">
        <v>87000</v>
      </c>
      <c r="E685">
        <v>10000</v>
      </c>
      <c r="H685">
        <v>4</v>
      </c>
      <c r="I685" t="s">
        <v>432</v>
      </c>
      <c r="J685">
        <v>20.11</v>
      </c>
      <c r="K685">
        <v>2</v>
      </c>
      <c r="L685">
        <v>4</v>
      </c>
      <c r="M685" t="s">
        <v>689</v>
      </c>
      <c r="N685">
        <v>8</v>
      </c>
      <c r="O685">
        <v>11.33</v>
      </c>
      <c r="P685">
        <v>110380.12</v>
      </c>
      <c r="Q685">
        <v>77692.34</v>
      </c>
      <c r="R685">
        <v>322</v>
      </c>
      <c r="S685">
        <v>1071</v>
      </c>
      <c r="T685" t="s">
        <v>34</v>
      </c>
      <c r="U685" t="s">
        <v>31</v>
      </c>
    </row>
    <row r="686" spans="1:21">
      <c r="A686" t="s">
        <v>1160</v>
      </c>
      <c r="B686" t="s">
        <v>1100</v>
      </c>
      <c r="C686" t="s">
        <v>696</v>
      </c>
      <c r="D686">
        <v>90000</v>
      </c>
      <c r="E686">
        <v>3000</v>
      </c>
      <c r="F686">
        <v>90000</v>
      </c>
      <c r="H686">
        <v>1</v>
      </c>
      <c r="I686" t="s">
        <v>1161</v>
      </c>
      <c r="J686">
        <v>17.100000000000001</v>
      </c>
      <c r="K686">
        <v>15</v>
      </c>
      <c r="L686">
        <v>2</v>
      </c>
      <c r="M686" t="s">
        <v>689</v>
      </c>
      <c r="N686">
        <v>5</v>
      </c>
      <c r="O686">
        <v>10.67</v>
      </c>
      <c r="P686">
        <v>110380.12</v>
      </c>
      <c r="Q686">
        <v>92000</v>
      </c>
      <c r="R686">
        <v>322</v>
      </c>
      <c r="S686">
        <v>9</v>
      </c>
      <c r="T686" t="s">
        <v>108</v>
      </c>
      <c r="U686" t="s">
        <v>90</v>
      </c>
    </row>
    <row r="687" spans="1:21">
      <c r="A687" t="s">
        <v>1162</v>
      </c>
      <c r="B687" t="s">
        <v>961</v>
      </c>
      <c r="C687" t="s">
        <v>121</v>
      </c>
      <c r="D687">
        <v>295000</v>
      </c>
      <c r="E687">
        <v>25000</v>
      </c>
      <c r="F687">
        <v>590000</v>
      </c>
      <c r="G687">
        <v>295000</v>
      </c>
      <c r="H687">
        <v>2</v>
      </c>
      <c r="I687" t="s">
        <v>555</v>
      </c>
      <c r="J687">
        <v>71.23</v>
      </c>
      <c r="K687">
        <v>3</v>
      </c>
      <c r="L687">
        <v>7</v>
      </c>
      <c r="M687" t="s">
        <v>689</v>
      </c>
      <c r="N687">
        <v>6</v>
      </c>
      <c r="O687">
        <v>9</v>
      </c>
      <c r="P687">
        <v>110380.12</v>
      </c>
      <c r="Q687">
        <v>207063.41</v>
      </c>
      <c r="R687">
        <v>322</v>
      </c>
      <c r="S687">
        <v>41</v>
      </c>
      <c r="T687" t="s">
        <v>596</v>
      </c>
      <c r="U687" t="s">
        <v>31</v>
      </c>
    </row>
    <row r="688" spans="1:21">
      <c r="A688" t="s">
        <v>1163</v>
      </c>
      <c r="B688" t="s">
        <v>1164</v>
      </c>
      <c r="C688" t="s">
        <v>121</v>
      </c>
      <c r="D688">
        <v>175000</v>
      </c>
      <c r="E688">
        <v>2000</v>
      </c>
      <c r="F688">
        <v>175000</v>
      </c>
      <c r="G688">
        <v>350000</v>
      </c>
      <c r="H688">
        <v>2</v>
      </c>
      <c r="I688" t="s">
        <v>559</v>
      </c>
      <c r="J688">
        <v>57.34</v>
      </c>
      <c r="K688">
        <v>5</v>
      </c>
      <c r="L688">
        <v>3</v>
      </c>
      <c r="M688" t="s">
        <v>689</v>
      </c>
      <c r="N688">
        <v>4</v>
      </c>
      <c r="O688">
        <v>7.33</v>
      </c>
      <c r="P688">
        <v>110380.12</v>
      </c>
      <c r="Q688">
        <v>141491.45000000001</v>
      </c>
      <c r="R688">
        <v>322</v>
      </c>
      <c r="S688">
        <v>117</v>
      </c>
      <c r="T688" t="s">
        <v>332</v>
      </c>
      <c r="U688" t="s">
        <v>31</v>
      </c>
    </row>
    <row r="689" spans="1:21">
      <c r="A689" t="s">
        <v>1165</v>
      </c>
      <c r="B689" t="s">
        <v>1145</v>
      </c>
      <c r="C689" t="s">
        <v>121</v>
      </c>
      <c r="D689">
        <v>175000</v>
      </c>
      <c r="E689">
        <v>2000</v>
      </c>
      <c r="F689">
        <v>175000</v>
      </c>
      <c r="G689">
        <v>350000</v>
      </c>
      <c r="H689">
        <v>2</v>
      </c>
      <c r="I689" t="s">
        <v>559</v>
      </c>
      <c r="J689">
        <v>57.34</v>
      </c>
      <c r="K689">
        <v>6</v>
      </c>
      <c r="L689">
        <v>3</v>
      </c>
      <c r="M689" t="s">
        <v>689</v>
      </c>
      <c r="N689">
        <v>4</v>
      </c>
      <c r="O689">
        <v>11</v>
      </c>
      <c r="P689">
        <v>110380.12</v>
      </c>
      <c r="Q689">
        <v>141491.45000000001</v>
      </c>
      <c r="R689">
        <v>322</v>
      </c>
      <c r="S689">
        <v>117</v>
      </c>
      <c r="T689" t="s">
        <v>332</v>
      </c>
      <c r="U689" t="s">
        <v>31</v>
      </c>
    </row>
    <row r="690" spans="1:21">
      <c r="A690" t="s">
        <v>1166</v>
      </c>
      <c r="B690" t="s">
        <v>1167</v>
      </c>
      <c r="C690" t="s">
        <v>701</v>
      </c>
      <c r="D690">
        <v>104000</v>
      </c>
      <c r="E690">
        <v>3000</v>
      </c>
      <c r="F690">
        <v>104000</v>
      </c>
      <c r="G690">
        <v>104000</v>
      </c>
      <c r="H690">
        <v>1</v>
      </c>
      <c r="I690" t="s">
        <v>573</v>
      </c>
      <c r="J690">
        <v>35</v>
      </c>
      <c r="K690">
        <v>32</v>
      </c>
      <c r="L690">
        <v>3</v>
      </c>
      <c r="M690" t="s">
        <v>689</v>
      </c>
      <c r="N690">
        <v>5</v>
      </c>
      <c r="O690">
        <v>8.67</v>
      </c>
      <c r="P690">
        <v>110380.12</v>
      </c>
      <c r="Q690">
        <v>117441.44</v>
      </c>
      <c r="R690">
        <v>322</v>
      </c>
      <c r="S690">
        <v>111</v>
      </c>
      <c r="T690" t="s">
        <v>26</v>
      </c>
      <c r="U690" t="s">
        <v>49</v>
      </c>
    </row>
    <row r="691" spans="1:21">
      <c r="A691" t="s">
        <v>1168</v>
      </c>
      <c r="B691" t="s">
        <v>813</v>
      </c>
      <c r="C691" t="s">
        <v>701</v>
      </c>
      <c r="D691">
        <v>155000</v>
      </c>
      <c r="E691">
        <v>15000</v>
      </c>
      <c r="H691">
        <v>5</v>
      </c>
      <c r="I691" t="s">
        <v>573</v>
      </c>
      <c r="J691">
        <v>39.92</v>
      </c>
      <c r="K691">
        <v>18</v>
      </c>
      <c r="L691">
        <v>7</v>
      </c>
      <c r="M691" t="s">
        <v>689</v>
      </c>
      <c r="N691">
        <v>4</v>
      </c>
      <c r="O691">
        <v>9.33</v>
      </c>
      <c r="P691">
        <v>110380.12</v>
      </c>
      <c r="Q691">
        <v>117441.44</v>
      </c>
      <c r="R691">
        <v>322</v>
      </c>
      <c r="S691">
        <v>111</v>
      </c>
      <c r="T691" t="s">
        <v>26</v>
      </c>
      <c r="U691" t="s">
        <v>90</v>
      </c>
    </row>
    <row r="692" spans="1:21">
      <c r="A692" t="s">
        <v>1169</v>
      </c>
      <c r="B692" t="s">
        <v>813</v>
      </c>
      <c r="C692" t="s">
        <v>701</v>
      </c>
      <c r="D692">
        <v>150000</v>
      </c>
      <c r="E692">
        <v>15000</v>
      </c>
      <c r="H692">
        <v>5</v>
      </c>
      <c r="I692" t="s">
        <v>573</v>
      </c>
      <c r="J692">
        <v>39.92</v>
      </c>
      <c r="K692">
        <v>18</v>
      </c>
      <c r="L692">
        <v>7</v>
      </c>
      <c r="M692" t="s">
        <v>689</v>
      </c>
      <c r="N692">
        <v>4</v>
      </c>
      <c r="O692">
        <v>9.33</v>
      </c>
      <c r="P692">
        <v>110380.12</v>
      </c>
      <c r="Q692">
        <v>117441.44</v>
      </c>
      <c r="R692">
        <v>322</v>
      </c>
      <c r="S692">
        <v>111</v>
      </c>
      <c r="T692" t="s">
        <v>26</v>
      </c>
      <c r="U692" t="s">
        <v>90</v>
      </c>
    </row>
    <row r="693" spans="1:21">
      <c r="A693" t="s">
        <v>1170</v>
      </c>
      <c r="B693" t="s">
        <v>818</v>
      </c>
      <c r="C693" t="s">
        <v>104</v>
      </c>
      <c r="D693">
        <v>122000</v>
      </c>
      <c r="E693">
        <v>3000</v>
      </c>
      <c r="F693">
        <v>122000</v>
      </c>
      <c r="G693">
        <v>122000</v>
      </c>
      <c r="H693">
        <v>3</v>
      </c>
      <c r="I693" t="s">
        <v>573</v>
      </c>
      <c r="J693">
        <v>38.479999999999997</v>
      </c>
      <c r="K693">
        <v>33</v>
      </c>
      <c r="L693">
        <v>3</v>
      </c>
      <c r="M693" t="s">
        <v>689</v>
      </c>
      <c r="N693">
        <v>4</v>
      </c>
      <c r="O693">
        <v>6</v>
      </c>
      <c r="P693">
        <v>110380.12</v>
      </c>
      <c r="Q693">
        <v>117441.44</v>
      </c>
      <c r="R693">
        <v>322</v>
      </c>
      <c r="S693">
        <v>111</v>
      </c>
      <c r="T693" t="s">
        <v>26</v>
      </c>
      <c r="U693" t="s">
        <v>49</v>
      </c>
    </row>
    <row r="694" spans="1:21">
      <c r="A694" t="s">
        <v>1171</v>
      </c>
      <c r="B694" t="s">
        <v>1172</v>
      </c>
      <c r="C694" t="s">
        <v>104</v>
      </c>
      <c r="D694">
        <v>87000</v>
      </c>
      <c r="F694">
        <v>87000</v>
      </c>
      <c r="G694">
        <v>87000</v>
      </c>
      <c r="H694">
        <v>2</v>
      </c>
      <c r="I694" t="s">
        <v>573</v>
      </c>
      <c r="J694">
        <v>30</v>
      </c>
      <c r="K694">
        <v>66</v>
      </c>
      <c r="L694">
        <v>2</v>
      </c>
      <c r="M694" t="s">
        <v>689</v>
      </c>
      <c r="N694">
        <v>3</v>
      </c>
      <c r="O694">
        <v>6</v>
      </c>
      <c r="P694">
        <v>110380.12</v>
      </c>
      <c r="Q694">
        <v>117441.44</v>
      </c>
      <c r="R694">
        <v>322</v>
      </c>
      <c r="S694">
        <v>111</v>
      </c>
      <c r="T694" t="s">
        <v>26</v>
      </c>
      <c r="U694" t="s">
        <v>38</v>
      </c>
    </row>
    <row r="695" spans="1:21">
      <c r="A695" t="s">
        <v>1173</v>
      </c>
      <c r="B695" t="s">
        <v>1174</v>
      </c>
      <c r="C695" t="s">
        <v>104</v>
      </c>
      <c r="D695">
        <v>110000</v>
      </c>
      <c r="F695">
        <v>110000</v>
      </c>
      <c r="G695">
        <v>110000</v>
      </c>
      <c r="H695">
        <v>2</v>
      </c>
      <c r="I695" t="s">
        <v>573</v>
      </c>
      <c r="J695">
        <v>37.700000000000003</v>
      </c>
      <c r="K695">
        <v>47</v>
      </c>
      <c r="L695">
        <v>4</v>
      </c>
      <c r="M695" t="s">
        <v>689</v>
      </c>
      <c r="N695">
        <v>1</v>
      </c>
      <c r="O695">
        <v>5.67</v>
      </c>
      <c r="P695">
        <v>110380.12</v>
      </c>
      <c r="Q695">
        <v>117441.44</v>
      </c>
      <c r="R695">
        <v>322</v>
      </c>
      <c r="S695">
        <v>111</v>
      </c>
      <c r="T695" t="s">
        <v>26</v>
      </c>
      <c r="U695" t="s">
        <v>42</v>
      </c>
    </row>
    <row r="696" spans="1:21">
      <c r="A696" t="s">
        <v>1175</v>
      </c>
      <c r="B696" t="s">
        <v>1118</v>
      </c>
      <c r="C696" t="s">
        <v>712</v>
      </c>
      <c r="D696">
        <v>125000</v>
      </c>
      <c r="E696">
        <v>7000</v>
      </c>
      <c r="F696">
        <v>125000</v>
      </c>
      <c r="H696">
        <v>4</v>
      </c>
      <c r="I696" t="s">
        <v>573</v>
      </c>
      <c r="J696">
        <v>40.03</v>
      </c>
      <c r="K696">
        <v>42</v>
      </c>
      <c r="L696">
        <v>4</v>
      </c>
      <c r="M696" t="s">
        <v>689</v>
      </c>
      <c r="N696">
        <v>10</v>
      </c>
      <c r="O696">
        <v>10</v>
      </c>
      <c r="P696">
        <v>110380.12</v>
      </c>
      <c r="Q696">
        <v>117441.44</v>
      </c>
      <c r="R696">
        <v>322</v>
      </c>
      <c r="S696">
        <v>111</v>
      </c>
      <c r="T696" t="s">
        <v>326</v>
      </c>
      <c r="U696" t="s">
        <v>42</v>
      </c>
    </row>
    <row r="697" spans="1:21">
      <c r="A697" t="s">
        <v>1176</v>
      </c>
      <c r="B697" t="s">
        <v>1177</v>
      </c>
      <c r="C697" t="s">
        <v>758</v>
      </c>
      <c r="D697">
        <v>240000</v>
      </c>
      <c r="E697">
        <v>10000</v>
      </c>
      <c r="F697">
        <v>240000</v>
      </c>
      <c r="G697">
        <v>240000</v>
      </c>
      <c r="H697">
        <v>1</v>
      </c>
      <c r="I697" t="s">
        <v>585</v>
      </c>
      <c r="J697">
        <v>59.62</v>
      </c>
      <c r="K697">
        <v>0</v>
      </c>
      <c r="L697">
        <v>3</v>
      </c>
      <c r="M697" t="s">
        <v>689</v>
      </c>
      <c r="N697">
        <v>9</v>
      </c>
      <c r="O697">
        <v>10</v>
      </c>
      <c r="P697">
        <v>110380.12</v>
      </c>
      <c r="Q697">
        <v>232352.65</v>
      </c>
      <c r="R697">
        <v>322</v>
      </c>
      <c r="S697">
        <v>359</v>
      </c>
      <c r="T697" t="s">
        <v>332</v>
      </c>
      <c r="U697" t="s">
        <v>81</v>
      </c>
    </row>
    <row r="698" spans="1:21">
      <c r="A698" t="s">
        <v>1176</v>
      </c>
      <c r="B698" t="s">
        <v>1177</v>
      </c>
      <c r="C698" t="s">
        <v>758</v>
      </c>
      <c r="D698">
        <v>240000</v>
      </c>
      <c r="E698">
        <v>10000</v>
      </c>
      <c r="F698">
        <v>240000</v>
      </c>
      <c r="G698">
        <v>240000</v>
      </c>
      <c r="H698">
        <v>2</v>
      </c>
      <c r="I698" t="s">
        <v>585</v>
      </c>
      <c r="J698">
        <v>59.62</v>
      </c>
      <c r="K698">
        <v>0</v>
      </c>
      <c r="L698">
        <v>3</v>
      </c>
      <c r="M698" t="s">
        <v>689</v>
      </c>
      <c r="N698">
        <v>9</v>
      </c>
      <c r="O698">
        <v>10</v>
      </c>
      <c r="P698">
        <v>110380.12</v>
      </c>
      <c r="Q698">
        <v>232352.65</v>
      </c>
      <c r="R698">
        <v>322</v>
      </c>
      <c r="S698">
        <v>359</v>
      </c>
      <c r="T698" t="s">
        <v>332</v>
      </c>
      <c r="U698" t="s">
        <v>81</v>
      </c>
    </row>
    <row r="699" spans="1:21">
      <c r="A699" t="s">
        <v>1176</v>
      </c>
      <c r="B699" t="s">
        <v>1177</v>
      </c>
      <c r="C699" t="s">
        <v>758</v>
      </c>
      <c r="D699">
        <v>240000</v>
      </c>
      <c r="E699">
        <v>10000</v>
      </c>
      <c r="F699">
        <v>240000</v>
      </c>
      <c r="G699">
        <v>240000</v>
      </c>
      <c r="H699">
        <v>3</v>
      </c>
      <c r="I699" t="s">
        <v>585</v>
      </c>
      <c r="J699">
        <v>59.62</v>
      </c>
      <c r="K699">
        <v>0</v>
      </c>
      <c r="L699">
        <v>3</v>
      </c>
      <c r="M699" t="s">
        <v>689</v>
      </c>
      <c r="N699">
        <v>9</v>
      </c>
      <c r="O699">
        <v>10</v>
      </c>
      <c r="P699">
        <v>110380.12</v>
      </c>
      <c r="Q699">
        <v>232352.65</v>
      </c>
      <c r="R699">
        <v>322</v>
      </c>
      <c r="S699">
        <v>359</v>
      </c>
      <c r="T699" t="s">
        <v>332</v>
      </c>
      <c r="U699" t="s">
        <v>81</v>
      </c>
    </row>
    <row r="700" spans="1:21">
      <c r="A700" t="s">
        <v>1178</v>
      </c>
      <c r="B700" t="s">
        <v>1177</v>
      </c>
      <c r="C700" t="s">
        <v>758</v>
      </c>
      <c r="D700">
        <v>243000</v>
      </c>
      <c r="E700">
        <v>10000</v>
      </c>
      <c r="F700">
        <v>243000</v>
      </c>
      <c r="G700">
        <v>243000</v>
      </c>
      <c r="H700">
        <v>1</v>
      </c>
      <c r="I700" t="s">
        <v>585</v>
      </c>
      <c r="J700">
        <v>61.28</v>
      </c>
      <c r="K700">
        <v>0</v>
      </c>
      <c r="L700">
        <v>3</v>
      </c>
      <c r="M700" t="s">
        <v>689</v>
      </c>
      <c r="N700">
        <v>9</v>
      </c>
      <c r="O700">
        <v>10</v>
      </c>
      <c r="P700">
        <v>110380.12</v>
      </c>
      <c r="Q700">
        <v>232352.65</v>
      </c>
      <c r="R700">
        <v>322</v>
      </c>
      <c r="S700">
        <v>359</v>
      </c>
      <c r="T700" t="s">
        <v>593</v>
      </c>
      <c r="U700" t="s">
        <v>81</v>
      </c>
    </row>
    <row r="701" spans="1:21">
      <c r="A701" t="s">
        <v>1178</v>
      </c>
      <c r="B701" t="s">
        <v>1177</v>
      </c>
      <c r="C701" t="s">
        <v>758</v>
      </c>
      <c r="D701">
        <v>243000</v>
      </c>
      <c r="E701">
        <v>10000</v>
      </c>
      <c r="F701">
        <v>243000</v>
      </c>
      <c r="G701">
        <v>243000</v>
      </c>
      <c r="H701">
        <v>2</v>
      </c>
      <c r="I701" t="s">
        <v>585</v>
      </c>
      <c r="J701">
        <v>61.28</v>
      </c>
      <c r="K701">
        <v>0</v>
      </c>
      <c r="L701">
        <v>3</v>
      </c>
      <c r="M701" t="s">
        <v>689</v>
      </c>
      <c r="N701">
        <v>9</v>
      </c>
      <c r="O701">
        <v>10</v>
      </c>
      <c r="P701">
        <v>110380.12</v>
      </c>
      <c r="Q701">
        <v>232352.65</v>
      </c>
      <c r="R701">
        <v>322</v>
      </c>
      <c r="S701">
        <v>359</v>
      </c>
      <c r="T701" t="s">
        <v>593</v>
      </c>
      <c r="U701" t="s">
        <v>81</v>
      </c>
    </row>
    <row r="702" spans="1:21">
      <c r="A702" t="s">
        <v>1178</v>
      </c>
      <c r="B702" t="s">
        <v>1177</v>
      </c>
      <c r="C702" t="s">
        <v>758</v>
      </c>
      <c r="D702">
        <v>243000</v>
      </c>
      <c r="E702">
        <v>10000</v>
      </c>
      <c r="F702">
        <v>243000</v>
      </c>
      <c r="G702">
        <v>243000</v>
      </c>
      <c r="H702">
        <v>3</v>
      </c>
      <c r="I702" t="s">
        <v>585</v>
      </c>
      <c r="J702">
        <v>61.28</v>
      </c>
      <c r="K702">
        <v>0</v>
      </c>
      <c r="L702">
        <v>3</v>
      </c>
      <c r="M702" t="s">
        <v>689</v>
      </c>
      <c r="N702">
        <v>9</v>
      </c>
      <c r="O702">
        <v>10</v>
      </c>
      <c r="P702">
        <v>110380.12</v>
      </c>
      <c r="Q702">
        <v>232352.65</v>
      </c>
      <c r="R702">
        <v>322</v>
      </c>
      <c r="S702">
        <v>359</v>
      </c>
      <c r="T702" t="s">
        <v>593</v>
      </c>
      <c r="U702" t="s">
        <v>81</v>
      </c>
    </row>
    <row r="703" spans="1:21">
      <c r="A703" t="s">
        <v>1179</v>
      </c>
      <c r="B703" t="s">
        <v>1177</v>
      </c>
      <c r="C703" t="s">
        <v>758</v>
      </c>
      <c r="D703">
        <v>245000</v>
      </c>
      <c r="E703">
        <v>10000</v>
      </c>
      <c r="F703">
        <v>245000</v>
      </c>
      <c r="G703">
        <v>245000</v>
      </c>
      <c r="H703">
        <v>1</v>
      </c>
      <c r="I703" t="s">
        <v>585</v>
      </c>
      <c r="J703">
        <v>67.489999999999995</v>
      </c>
      <c r="K703">
        <v>0</v>
      </c>
      <c r="L703">
        <v>3</v>
      </c>
      <c r="M703" t="s">
        <v>689</v>
      </c>
      <c r="N703">
        <v>9</v>
      </c>
      <c r="O703">
        <v>10</v>
      </c>
      <c r="P703">
        <v>110380.12</v>
      </c>
      <c r="Q703">
        <v>232352.65</v>
      </c>
      <c r="R703">
        <v>322</v>
      </c>
      <c r="S703">
        <v>359</v>
      </c>
      <c r="T703" t="s">
        <v>593</v>
      </c>
      <c r="U703" t="s">
        <v>81</v>
      </c>
    </row>
    <row r="704" spans="1:21">
      <c r="A704" t="s">
        <v>1179</v>
      </c>
      <c r="B704" t="s">
        <v>1177</v>
      </c>
      <c r="C704" t="s">
        <v>758</v>
      </c>
      <c r="D704">
        <v>245000</v>
      </c>
      <c r="E704">
        <v>10000</v>
      </c>
      <c r="F704">
        <v>245000</v>
      </c>
      <c r="G704">
        <v>245000</v>
      </c>
      <c r="H704">
        <v>2</v>
      </c>
      <c r="I704" t="s">
        <v>585</v>
      </c>
      <c r="J704">
        <v>67.489999999999995</v>
      </c>
      <c r="K704">
        <v>0</v>
      </c>
      <c r="L704">
        <v>3</v>
      </c>
      <c r="M704" t="s">
        <v>689</v>
      </c>
      <c r="N704">
        <v>9</v>
      </c>
      <c r="O704">
        <v>10</v>
      </c>
      <c r="P704">
        <v>110380.12</v>
      </c>
      <c r="Q704">
        <v>232352.65</v>
      </c>
      <c r="R704">
        <v>322</v>
      </c>
      <c r="S704">
        <v>359</v>
      </c>
      <c r="T704" t="s">
        <v>593</v>
      </c>
      <c r="U704" t="s">
        <v>81</v>
      </c>
    </row>
    <row r="705" spans="1:21">
      <c r="A705" t="s">
        <v>1179</v>
      </c>
      <c r="B705" t="s">
        <v>1177</v>
      </c>
      <c r="C705" t="s">
        <v>758</v>
      </c>
      <c r="D705">
        <v>245000</v>
      </c>
      <c r="E705">
        <v>10000</v>
      </c>
      <c r="F705">
        <v>245000</v>
      </c>
      <c r="G705">
        <v>245000</v>
      </c>
      <c r="H705">
        <v>3</v>
      </c>
      <c r="I705" t="s">
        <v>585</v>
      </c>
      <c r="J705">
        <v>67.489999999999995</v>
      </c>
      <c r="K705">
        <v>0</v>
      </c>
      <c r="L705">
        <v>3</v>
      </c>
      <c r="M705" t="s">
        <v>689</v>
      </c>
      <c r="N705">
        <v>9</v>
      </c>
      <c r="O705">
        <v>10</v>
      </c>
      <c r="P705">
        <v>110380.12</v>
      </c>
      <c r="Q705">
        <v>232352.65</v>
      </c>
      <c r="R705">
        <v>322</v>
      </c>
      <c r="S705">
        <v>359</v>
      </c>
      <c r="T705" t="s">
        <v>593</v>
      </c>
      <c r="U705" t="s">
        <v>81</v>
      </c>
    </row>
    <row r="706" spans="1:21">
      <c r="A706" t="s">
        <v>1180</v>
      </c>
      <c r="B706" t="s">
        <v>1177</v>
      </c>
      <c r="C706" t="s">
        <v>758</v>
      </c>
      <c r="D706">
        <v>255000</v>
      </c>
      <c r="E706">
        <v>10000</v>
      </c>
      <c r="F706">
        <v>255000</v>
      </c>
      <c r="G706">
        <v>255000</v>
      </c>
      <c r="H706">
        <v>1</v>
      </c>
      <c r="I706" t="s">
        <v>585</v>
      </c>
      <c r="J706">
        <v>67.900000000000006</v>
      </c>
      <c r="K706">
        <v>0</v>
      </c>
      <c r="L706">
        <v>3</v>
      </c>
      <c r="M706" t="s">
        <v>689</v>
      </c>
      <c r="N706">
        <v>9</v>
      </c>
      <c r="O706">
        <v>10</v>
      </c>
      <c r="P706">
        <v>110380.12</v>
      </c>
      <c r="Q706">
        <v>232352.65</v>
      </c>
      <c r="R706">
        <v>322</v>
      </c>
      <c r="S706">
        <v>359</v>
      </c>
      <c r="T706" t="s">
        <v>593</v>
      </c>
      <c r="U706" t="s">
        <v>81</v>
      </c>
    </row>
    <row r="707" spans="1:21">
      <c r="A707" t="s">
        <v>1180</v>
      </c>
      <c r="B707" t="s">
        <v>1177</v>
      </c>
      <c r="C707" t="s">
        <v>758</v>
      </c>
      <c r="D707">
        <v>255000</v>
      </c>
      <c r="E707">
        <v>10000</v>
      </c>
      <c r="F707">
        <v>255000</v>
      </c>
      <c r="G707">
        <v>255000</v>
      </c>
      <c r="H707">
        <v>2</v>
      </c>
      <c r="I707" t="s">
        <v>585</v>
      </c>
      <c r="J707">
        <v>67.900000000000006</v>
      </c>
      <c r="K707">
        <v>0</v>
      </c>
      <c r="L707">
        <v>3</v>
      </c>
      <c r="M707" t="s">
        <v>689</v>
      </c>
      <c r="N707">
        <v>9</v>
      </c>
      <c r="O707">
        <v>10</v>
      </c>
      <c r="P707">
        <v>110380.12</v>
      </c>
      <c r="Q707">
        <v>232352.65</v>
      </c>
      <c r="R707">
        <v>322</v>
      </c>
      <c r="S707">
        <v>359</v>
      </c>
      <c r="T707" t="s">
        <v>593</v>
      </c>
      <c r="U707" t="s">
        <v>81</v>
      </c>
    </row>
    <row r="708" spans="1:21">
      <c r="A708" t="s">
        <v>1180</v>
      </c>
      <c r="B708" t="s">
        <v>1177</v>
      </c>
      <c r="C708" t="s">
        <v>758</v>
      </c>
      <c r="D708">
        <v>255000</v>
      </c>
      <c r="E708">
        <v>10000</v>
      </c>
      <c r="F708">
        <v>255000</v>
      </c>
      <c r="G708">
        <v>255000</v>
      </c>
      <c r="H708">
        <v>3</v>
      </c>
      <c r="I708" t="s">
        <v>585</v>
      </c>
      <c r="J708">
        <v>67.900000000000006</v>
      </c>
      <c r="K708">
        <v>0</v>
      </c>
      <c r="L708">
        <v>3</v>
      </c>
      <c r="M708" t="s">
        <v>689</v>
      </c>
      <c r="N708">
        <v>9</v>
      </c>
      <c r="O708">
        <v>10</v>
      </c>
      <c r="P708">
        <v>110380.12</v>
      </c>
      <c r="Q708">
        <v>232352.65</v>
      </c>
      <c r="R708">
        <v>322</v>
      </c>
      <c r="S708">
        <v>359</v>
      </c>
      <c r="T708" t="s">
        <v>593</v>
      </c>
      <c r="U708" t="s">
        <v>81</v>
      </c>
    </row>
    <row r="709" spans="1:21">
      <c r="A709" t="s">
        <v>1181</v>
      </c>
      <c r="B709" t="s">
        <v>961</v>
      </c>
      <c r="C709" t="s">
        <v>121</v>
      </c>
      <c r="D709">
        <v>260000</v>
      </c>
      <c r="E709">
        <v>20000</v>
      </c>
      <c r="F709">
        <v>260000</v>
      </c>
      <c r="G709">
        <v>260000</v>
      </c>
      <c r="H709">
        <v>5</v>
      </c>
      <c r="I709" t="s">
        <v>585</v>
      </c>
      <c r="J709">
        <v>54.51</v>
      </c>
      <c r="K709">
        <v>3</v>
      </c>
      <c r="L709">
        <v>7</v>
      </c>
      <c r="M709" t="s">
        <v>689</v>
      </c>
      <c r="N709">
        <v>6</v>
      </c>
      <c r="O709">
        <v>9</v>
      </c>
      <c r="P709">
        <v>110380.12</v>
      </c>
      <c r="Q709">
        <v>232352.65</v>
      </c>
      <c r="R709">
        <v>322</v>
      </c>
      <c r="S709">
        <v>359</v>
      </c>
      <c r="T709" t="s">
        <v>332</v>
      </c>
      <c r="U709" t="s">
        <v>31</v>
      </c>
    </row>
    <row r="710" spans="1:21">
      <c r="A710" t="s">
        <v>1182</v>
      </c>
      <c r="B710" t="s">
        <v>961</v>
      </c>
      <c r="C710" t="s">
        <v>121</v>
      </c>
      <c r="D710">
        <v>280000</v>
      </c>
      <c r="E710">
        <v>20000</v>
      </c>
      <c r="F710">
        <v>280000</v>
      </c>
      <c r="G710">
        <v>280000</v>
      </c>
      <c r="H710">
        <v>5</v>
      </c>
      <c r="I710" t="s">
        <v>585</v>
      </c>
      <c r="J710">
        <v>54.51</v>
      </c>
      <c r="K710">
        <v>3</v>
      </c>
      <c r="L710">
        <v>7</v>
      </c>
      <c r="M710" t="s">
        <v>689</v>
      </c>
      <c r="N710">
        <v>6</v>
      </c>
      <c r="O710">
        <v>9</v>
      </c>
      <c r="P710">
        <v>110380.12</v>
      </c>
      <c r="Q710">
        <v>232352.65</v>
      </c>
      <c r="R710">
        <v>322</v>
      </c>
      <c r="S710">
        <v>359</v>
      </c>
      <c r="T710" t="s">
        <v>332</v>
      </c>
      <c r="U710" t="s">
        <v>31</v>
      </c>
    </row>
    <row r="711" spans="1:21">
      <c r="A711" t="s">
        <v>1183</v>
      </c>
      <c r="B711" t="s">
        <v>1184</v>
      </c>
      <c r="C711" t="s">
        <v>758</v>
      </c>
      <c r="D711">
        <v>210000</v>
      </c>
      <c r="E711">
        <v>10000</v>
      </c>
      <c r="F711">
        <v>210000</v>
      </c>
      <c r="G711">
        <v>210000</v>
      </c>
      <c r="H711">
        <v>2</v>
      </c>
      <c r="I711" t="s">
        <v>585</v>
      </c>
      <c r="J711">
        <v>74.7</v>
      </c>
      <c r="K711">
        <v>35</v>
      </c>
      <c r="L711">
        <v>3</v>
      </c>
      <c r="M711" t="s">
        <v>689</v>
      </c>
      <c r="N711">
        <v>7</v>
      </c>
      <c r="O711">
        <v>8.67</v>
      </c>
      <c r="P711">
        <v>110380.12</v>
      </c>
      <c r="Q711">
        <v>232352.65</v>
      </c>
      <c r="R711">
        <v>322</v>
      </c>
      <c r="S711">
        <v>359</v>
      </c>
      <c r="T711" t="s">
        <v>596</v>
      </c>
      <c r="U711" t="s">
        <v>49</v>
      </c>
    </row>
    <row r="712" spans="1:21">
      <c r="A712" t="s">
        <v>1185</v>
      </c>
      <c r="B712" t="s">
        <v>1186</v>
      </c>
      <c r="C712" t="s">
        <v>121</v>
      </c>
      <c r="D712">
        <v>152000</v>
      </c>
      <c r="F712">
        <v>152000</v>
      </c>
      <c r="G712">
        <v>152000</v>
      </c>
      <c r="H712">
        <v>1</v>
      </c>
      <c r="I712" t="s">
        <v>585</v>
      </c>
      <c r="J712">
        <v>57</v>
      </c>
      <c r="K712">
        <v>30</v>
      </c>
      <c r="L712">
        <v>2</v>
      </c>
      <c r="M712" t="s">
        <v>689</v>
      </c>
      <c r="N712">
        <v>6</v>
      </c>
      <c r="O712">
        <v>8.67</v>
      </c>
      <c r="P712">
        <v>110380.12</v>
      </c>
      <c r="Q712">
        <v>232352.65</v>
      </c>
      <c r="R712">
        <v>322</v>
      </c>
      <c r="S712">
        <v>359</v>
      </c>
      <c r="T712" t="s">
        <v>332</v>
      </c>
      <c r="U712" t="s">
        <v>27</v>
      </c>
    </row>
    <row r="713" spans="1:21">
      <c r="A713" t="s">
        <v>1187</v>
      </c>
      <c r="B713" t="s">
        <v>1188</v>
      </c>
      <c r="C713" t="s">
        <v>121</v>
      </c>
      <c r="D713">
        <v>132000</v>
      </c>
      <c r="E713">
        <v>3000</v>
      </c>
      <c r="F713">
        <v>132000</v>
      </c>
      <c r="G713">
        <v>132000</v>
      </c>
      <c r="H713">
        <v>4</v>
      </c>
      <c r="I713" t="s">
        <v>585</v>
      </c>
      <c r="J713">
        <v>49.58</v>
      </c>
      <c r="K713">
        <v>31</v>
      </c>
      <c r="L713">
        <v>4</v>
      </c>
      <c r="M713" t="s">
        <v>689</v>
      </c>
      <c r="N713">
        <v>1</v>
      </c>
      <c r="O713">
        <v>3.67</v>
      </c>
      <c r="P713">
        <v>110380.12</v>
      </c>
      <c r="Q713">
        <v>232352.65</v>
      </c>
      <c r="R713">
        <v>322</v>
      </c>
      <c r="S713">
        <v>359</v>
      </c>
      <c r="T713" t="s">
        <v>326</v>
      </c>
      <c r="U713" t="s">
        <v>49</v>
      </c>
    </row>
    <row r="714" spans="1:21">
      <c r="A714" t="s">
        <v>1189</v>
      </c>
      <c r="B714" t="s">
        <v>973</v>
      </c>
      <c r="C714" t="s">
        <v>104</v>
      </c>
      <c r="D714">
        <v>236000</v>
      </c>
      <c r="E714">
        <v>14000</v>
      </c>
      <c r="F714">
        <v>236000</v>
      </c>
      <c r="G714">
        <v>236000</v>
      </c>
      <c r="H714">
        <v>5</v>
      </c>
      <c r="I714" t="s">
        <v>585</v>
      </c>
      <c r="J714">
        <v>65</v>
      </c>
      <c r="K714">
        <v>23</v>
      </c>
      <c r="L714">
        <v>5</v>
      </c>
      <c r="M714" t="s">
        <v>689</v>
      </c>
      <c r="N714">
        <v>3</v>
      </c>
      <c r="O714">
        <v>3.5</v>
      </c>
      <c r="P714">
        <v>110380.12</v>
      </c>
      <c r="Q714">
        <v>232352.65</v>
      </c>
      <c r="R714">
        <v>322</v>
      </c>
      <c r="S714">
        <v>359</v>
      </c>
      <c r="T714" t="s">
        <v>593</v>
      </c>
      <c r="U714" t="s">
        <v>27</v>
      </c>
    </row>
    <row r="715" spans="1:21">
      <c r="A715" t="s">
        <v>1190</v>
      </c>
      <c r="B715" t="s">
        <v>1122</v>
      </c>
      <c r="C715" t="s">
        <v>121</v>
      </c>
      <c r="D715">
        <v>222000</v>
      </c>
      <c r="E715">
        <v>25000</v>
      </c>
      <c r="F715">
        <v>222000</v>
      </c>
      <c r="H715">
        <v>7</v>
      </c>
      <c r="I715" t="s">
        <v>585</v>
      </c>
      <c r="J715">
        <v>61.57</v>
      </c>
      <c r="K715">
        <v>18</v>
      </c>
      <c r="L715">
        <v>7</v>
      </c>
      <c r="M715" t="s">
        <v>689</v>
      </c>
      <c r="N715">
        <v>6</v>
      </c>
      <c r="O715">
        <v>10.67</v>
      </c>
      <c r="P715">
        <v>110380.12</v>
      </c>
      <c r="Q715">
        <v>232352.65</v>
      </c>
      <c r="R715">
        <v>322</v>
      </c>
      <c r="S715">
        <v>359</v>
      </c>
      <c r="T715" t="s">
        <v>593</v>
      </c>
      <c r="U715" t="s">
        <v>90</v>
      </c>
    </row>
    <row r="716" spans="1:21">
      <c r="A716" t="s">
        <v>1191</v>
      </c>
      <c r="B716" t="s">
        <v>1192</v>
      </c>
      <c r="C716" t="s">
        <v>121</v>
      </c>
      <c r="D716">
        <v>280000</v>
      </c>
      <c r="E716">
        <v>20000</v>
      </c>
      <c r="F716">
        <v>280000</v>
      </c>
      <c r="G716">
        <v>280000</v>
      </c>
      <c r="H716">
        <v>5</v>
      </c>
      <c r="I716" t="s">
        <v>585</v>
      </c>
      <c r="J716">
        <v>54.51</v>
      </c>
      <c r="K716">
        <v>3</v>
      </c>
      <c r="L716">
        <v>7</v>
      </c>
      <c r="M716" t="s">
        <v>689</v>
      </c>
      <c r="N716">
        <v>6</v>
      </c>
      <c r="O716">
        <v>11.67</v>
      </c>
      <c r="P716">
        <v>110380.12</v>
      </c>
      <c r="Q716">
        <v>232352.65</v>
      </c>
      <c r="R716">
        <v>322</v>
      </c>
      <c r="S716">
        <v>359</v>
      </c>
      <c r="T716" t="s">
        <v>332</v>
      </c>
      <c r="U716" t="s">
        <v>31</v>
      </c>
    </row>
    <row r="717" spans="1:21">
      <c r="A717" t="s">
        <v>1193</v>
      </c>
      <c r="B717" t="s">
        <v>1194</v>
      </c>
      <c r="C717" t="s">
        <v>104</v>
      </c>
      <c r="D717">
        <v>165000</v>
      </c>
      <c r="E717">
        <v>5000</v>
      </c>
      <c r="F717">
        <v>165000</v>
      </c>
      <c r="G717">
        <v>165000</v>
      </c>
      <c r="H717">
        <v>1</v>
      </c>
      <c r="I717" t="s">
        <v>647</v>
      </c>
      <c r="J717">
        <v>54.64</v>
      </c>
      <c r="K717">
        <v>37</v>
      </c>
      <c r="L717">
        <v>3</v>
      </c>
      <c r="M717" t="s">
        <v>689</v>
      </c>
      <c r="N717">
        <v>5</v>
      </c>
      <c r="O717">
        <v>6</v>
      </c>
      <c r="P717">
        <v>110380.12</v>
      </c>
      <c r="Q717">
        <v>184333.33</v>
      </c>
      <c r="R717">
        <v>322</v>
      </c>
      <c r="S717">
        <v>18</v>
      </c>
      <c r="T717" t="s">
        <v>332</v>
      </c>
      <c r="U717" t="s">
        <v>49</v>
      </c>
    </row>
    <row r="718" spans="1:21">
      <c r="A718" t="s">
        <v>1195</v>
      </c>
      <c r="B718" t="s">
        <v>1196</v>
      </c>
      <c r="C718" t="s">
        <v>121</v>
      </c>
      <c r="D718">
        <v>195000</v>
      </c>
      <c r="E718">
        <v>5000</v>
      </c>
      <c r="F718">
        <v>195000</v>
      </c>
      <c r="G718">
        <v>195000</v>
      </c>
      <c r="H718">
        <v>3</v>
      </c>
      <c r="I718" t="s">
        <v>647</v>
      </c>
      <c r="J718">
        <v>79.489999999999995</v>
      </c>
      <c r="K718">
        <v>45</v>
      </c>
      <c r="L718">
        <v>3</v>
      </c>
      <c r="M718" t="s">
        <v>689</v>
      </c>
      <c r="N718">
        <v>6</v>
      </c>
      <c r="O718">
        <v>8.67</v>
      </c>
      <c r="P718">
        <v>110380.12</v>
      </c>
      <c r="Q718">
        <v>184333.33</v>
      </c>
      <c r="R718">
        <v>322</v>
      </c>
      <c r="S718">
        <v>18</v>
      </c>
      <c r="T718" t="s">
        <v>596</v>
      </c>
      <c r="U718" t="s">
        <v>42</v>
      </c>
    </row>
    <row r="719" spans="1:21">
      <c r="A719" t="s">
        <v>1197</v>
      </c>
      <c r="B719" t="s">
        <v>1198</v>
      </c>
      <c r="C719" t="s">
        <v>696</v>
      </c>
      <c r="D719">
        <v>148000</v>
      </c>
      <c r="F719">
        <v>148000</v>
      </c>
      <c r="G719">
        <v>148000</v>
      </c>
      <c r="H719">
        <v>1</v>
      </c>
      <c r="I719" t="s">
        <v>652</v>
      </c>
      <c r="J719">
        <v>46.26</v>
      </c>
      <c r="K719">
        <v>50</v>
      </c>
      <c r="L719">
        <v>2</v>
      </c>
      <c r="M719" t="s">
        <v>689</v>
      </c>
      <c r="N719">
        <v>6</v>
      </c>
      <c r="O719">
        <v>10</v>
      </c>
      <c r="P719">
        <v>110380.12</v>
      </c>
      <c r="Q719">
        <v>163600</v>
      </c>
      <c r="R719">
        <v>322</v>
      </c>
      <c r="S719">
        <v>5</v>
      </c>
      <c r="T719" t="s">
        <v>326</v>
      </c>
      <c r="U719" t="s">
        <v>42</v>
      </c>
    </row>
    <row r="720" spans="1:21">
      <c r="A720" t="s">
        <v>1197</v>
      </c>
      <c r="B720" t="s">
        <v>1198</v>
      </c>
      <c r="C720" t="s">
        <v>696</v>
      </c>
      <c r="D720">
        <v>148000</v>
      </c>
      <c r="F720">
        <v>148000</v>
      </c>
      <c r="G720">
        <v>148000</v>
      </c>
      <c r="H720">
        <v>2</v>
      </c>
      <c r="I720" t="s">
        <v>652</v>
      </c>
      <c r="J720">
        <v>46.26</v>
      </c>
      <c r="K720">
        <v>50</v>
      </c>
      <c r="L720">
        <v>2</v>
      </c>
      <c r="M720" t="s">
        <v>689</v>
      </c>
      <c r="N720">
        <v>6</v>
      </c>
      <c r="O720">
        <v>10</v>
      </c>
      <c r="P720">
        <v>110380.12</v>
      </c>
      <c r="Q720">
        <v>163600</v>
      </c>
      <c r="R720">
        <v>322</v>
      </c>
      <c r="S720">
        <v>5</v>
      </c>
      <c r="T720" t="s">
        <v>326</v>
      </c>
      <c r="U720" t="s">
        <v>42</v>
      </c>
    </row>
    <row r="721" spans="1:21">
      <c r="A721" t="s">
        <v>1199</v>
      </c>
      <c r="B721" t="s">
        <v>687</v>
      </c>
      <c r="C721" t="s">
        <v>688</v>
      </c>
      <c r="D721">
        <v>226000</v>
      </c>
      <c r="E721">
        <v>4000</v>
      </c>
      <c r="F721">
        <v>226000</v>
      </c>
      <c r="G721">
        <v>226000</v>
      </c>
      <c r="H721">
        <v>1</v>
      </c>
      <c r="I721" t="s">
        <v>654</v>
      </c>
      <c r="J721">
        <v>64.75</v>
      </c>
      <c r="K721">
        <v>30</v>
      </c>
      <c r="L721">
        <v>4</v>
      </c>
      <c r="M721" t="s">
        <v>689</v>
      </c>
      <c r="N721">
        <v>7</v>
      </c>
      <c r="O721">
        <v>10.33</v>
      </c>
      <c r="P721">
        <v>110380.12</v>
      </c>
      <c r="Q721">
        <v>288705.81</v>
      </c>
      <c r="R721">
        <v>322</v>
      </c>
      <c r="S721">
        <v>155</v>
      </c>
      <c r="T721" t="s">
        <v>593</v>
      </c>
      <c r="U721" t="s">
        <v>27</v>
      </c>
    </row>
    <row r="722" spans="1:21">
      <c r="A722" t="s">
        <v>1200</v>
      </c>
      <c r="B722" t="s">
        <v>1177</v>
      </c>
      <c r="C722" t="s">
        <v>758</v>
      </c>
      <c r="D722">
        <v>290000</v>
      </c>
      <c r="E722">
        <v>10000</v>
      </c>
      <c r="F722">
        <v>290000</v>
      </c>
      <c r="G722">
        <v>290000</v>
      </c>
      <c r="H722">
        <v>1</v>
      </c>
      <c r="I722" t="s">
        <v>654</v>
      </c>
      <c r="J722">
        <v>76.38</v>
      </c>
      <c r="K722">
        <v>0</v>
      </c>
      <c r="L722">
        <v>3</v>
      </c>
      <c r="M722" t="s">
        <v>689</v>
      </c>
      <c r="N722">
        <v>9</v>
      </c>
      <c r="O722">
        <v>10</v>
      </c>
      <c r="P722">
        <v>110380.12</v>
      </c>
      <c r="Q722">
        <v>288705.81</v>
      </c>
      <c r="R722">
        <v>322</v>
      </c>
      <c r="S722">
        <v>155</v>
      </c>
      <c r="T722" t="s">
        <v>596</v>
      </c>
      <c r="U722" t="s">
        <v>81</v>
      </c>
    </row>
    <row r="723" spans="1:21">
      <c r="A723" t="s">
        <v>1200</v>
      </c>
      <c r="B723" t="s">
        <v>1177</v>
      </c>
      <c r="C723" t="s">
        <v>758</v>
      </c>
      <c r="D723">
        <v>290000</v>
      </c>
      <c r="E723">
        <v>10000</v>
      </c>
      <c r="F723">
        <v>290000</v>
      </c>
      <c r="G723">
        <v>290000</v>
      </c>
      <c r="H723">
        <v>2</v>
      </c>
      <c r="I723" t="s">
        <v>654</v>
      </c>
      <c r="J723">
        <v>76.38</v>
      </c>
      <c r="K723">
        <v>0</v>
      </c>
      <c r="L723">
        <v>3</v>
      </c>
      <c r="M723" t="s">
        <v>689</v>
      </c>
      <c r="N723">
        <v>9</v>
      </c>
      <c r="O723">
        <v>10</v>
      </c>
      <c r="P723">
        <v>110380.12</v>
      </c>
      <c r="Q723">
        <v>288705.81</v>
      </c>
      <c r="R723">
        <v>322</v>
      </c>
      <c r="S723">
        <v>155</v>
      </c>
      <c r="T723" t="s">
        <v>596</v>
      </c>
      <c r="U723" t="s">
        <v>81</v>
      </c>
    </row>
    <row r="724" spans="1:21">
      <c r="A724" t="s">
        <v>1200</v>
      </c>
      <c r="B724" t="s">
        <v>1177</v>
      </c>
      <c r="C724" t="s">
        <v>758</v>
      </c>
      <c r="D724">
        <v>290000</v>
      </c>
      <c r="E724">
        <v>10000</v>
      </c>
      <c r="F724">
        <v>290000</v>
      </c>
      <c r="G724">
        <v>290000</v>
      </c>
      <c r="H724">
        <v>3</v>
      </c>
      <c r="I724" t="s">
        <v>654</v>
      </c>
      <c r="J724">
        <v>76.38</v>
      </c>
      <c r="K724">
        <v>0</v>
      </c>
      <c r="L724">
        <v>3</v>
      </c>
      <c r="M724" t="s">
        <v>689</v>
      </c>
      <c r="N724">
        <v>9</v>
      </c>
      <c r="O724">
        <v>10</v>
      </c>
      <c r="P724">
        <v>110380.12</v>
      </c>
      <c r="Q724">
        <v>288705.81</v>
      </c>
      <c r="R724">
        <v>322</v>
      </c>
      <c r="S724">
        <v>155</v>
      </c>
      <c r="T724" t="s">
        <v>596</v>
      </c>
      <c r="U724" t="s">
        <v>81</v>
      </c>
    </row>
    <row r="725" spans="1:21">
      <c r="A725" t="s">
        <v>1201</v>
      </c>
      <c r="B725" t="s">
        <v>1177</v>
      </c>
      <c r="C725" t="s">
        <v>758</v>
      </c>
      <c r="D725">
        <v>300000</v>
      </c>
      <c r="E725">
        <v>10000</v>
      </c>
      <c r="F725">
        <v>300000</v>
      </c>
      <c r="G725">
        <v>300000</v>
      </c>
      <c r="H725">
        <v>1</v>
      </c>
      <c r="I725" t="s">
        <v>654</v>
      </c>
      <c r="J725">
        <v>78.87</v>
      </c>
      <c r="K725">
        <v>0</v>
      </c>
      <c r="L725">
        <v>3</v>
      </c>
      <c r="M725" t="s">
        <v>689</v>
      </c>
      <c r="N725">
        <v>9</v>
      </c>
      <c r="O725">
        <v>10</v>
      </c>
      <c r="P725">
        <v>110380.12</v>
      </c>
      <c r="Q725">
        <v>288705.81</v>
      </c>
      <c r="R725">
        <v>322</v>
      </c>
      <c r="S725">
        <v>155</v>
      </c>
      <c r="T725" t="s">
        <v>596</v>
      </c>
      <c r="U725" t="s">
        <v>81</v>
      </c>
    </row>
    <row r="726" spans="1:21">
      <c r="A726" t="s">
        <v>1201</v>
      </c>
      <c r="B726" t="s">
        <v>1177</v>
      </c>
      <c r="C726" t="s">
        <v>758</v>
      </c>
      <c r="D726">
        <v>300000</v>
      </c>
      <c r="E726">
        <v>10000</v>
      </c>
      <c r="F726">
        <v>300000</v>
      </c>
      <c r="G726">
        <v>300000</v>
      </c>
      <c r="H726">
        <v>2</v>
      </c>
      <c r="I726" t="s">
        <v>654</v>
      </c>
      <c r="J726">
        <v>78.87</v>
      </c>
      <c r="K726">
        <v>0</v>
      </c>
      <c r="L726">
        <v>3</v>
      </c>
      <c r="M726" t="s">
        <v>689</v>
      </c>
      <c r="N726">
        <v>9</v>
      </c>
      <c r="O726">
        <v>10</v>
      </c>
      <c r="P726">
        <v>110380.12</v>
      </c>
      <c r="Q726">
        <v>288705.81</v>
      </c>
      <c r="R726">
        <v>322</v>
      </c>
      <c r="S726">
        <v>155</v>
      </c>
      <c r="T726" t="s">
        <v>596</v>
      </c>
      <c r="U726" t="s">
        <v>81</v>
      </c>
    </row>
    <row r="727" spans="1:21">
      <c r="A727" t="s">
        <v>1201</v>
      </c>
      <c r="B727" t="s">
        <v>1177</v>
      </c>
      <c r="C727" t="s">
        <v>758</v>
      </c>
      <c r="D727">
        <v>300000</v>
      </c>
      <c r="E727">
        <v>10000</v>
      </c>
      <c r="F727">
        <v>300000</v>
      </c>
      <c r="G727">
        <v>300000</v>
      </c>
      <c r="H727">
        <v>3</v>
      </c>
      <c r="I727" t="s">
        <v>654</v>
      </c>
      <c r="J727">
        <v>78.87</v>
      </c>
      <c r="K727">
        <v>0</v>
      </c>
      <c r="L727">
        <v>3</v>
      </c>
      <c r="M727" t="s">
        <v>689</v>
      </c>
      <c r="N727">
        <v>9</v>
      </c>
      <c r="O727">
        <v>10</v>
      </c>
      <c r="P727">
        <v>110380.12</v>
      </c>
      <c r="Q727">
        <v>288705.81</v>
      </c>
      <c r="R727">
        <v>322</v>
      </c>
      <c r="S727">
        <v>155</v>
      </c>
      <c r="T727" t="s">
        <v>596</v>
      </c>
      <c r="U727" t="s">
        <v>81</v>
      </c>
    </row>
    <row r="728" spans="1:21">
      <c r="A728" t="s">
        <v>1202</v>
      </c>
      <c r="B728" t="s">
        <v>1177</v>
      </c>
      <c r="C728" t="s">
        <v>758</v>
      </c>
      <c r="D728">
        <v>280000</v>
      </c>
      <c r="E728">
        <v>10000</v>
      </c>
      <c r="F728">
        <v>280000</v>
      </c>
      <c r="G728">
        <v>280000</v>
      </c>
      <c r="H728">
        <v>1</v>
      </c>
      <c r="I728" t="s">
        <v>654</v>
      </c>
      <c r="J728">
        <v>68.11</v>
      </c>
      <c r="K728">
        <v>0</v>
      </c>
      <c r="L728">
        <v>3</v>
      </c>
      <c r="M728" t="s">
        <v>689</v>
      </c>
      <c r="N728">
        <v>9</v>
      </c>
      <c r="O728">
        <v>10</v>
      </c>
      <c r="P728">
        <v>110380.12</v>
      </c>
      <c r="Q728">
        <v>288705.81</v>
      </c>
      <c r="R728">
        <v>322</v>
      </c>
      <c r="S728">
        <v>155</v>
      </c>
      <c r="T728" t="s">
        <v>593</v>
      </c>
      <c r="U728" t="s">
        <v>81</v>
      </c>
    </row>
    <row r="729" spans="1:21">
      <c r="A729" t="s">
        <v>1203</v>
      </c>
      <c r="B729" t="s">
        <v>1177</v>
      </c>
      <c r="C729" t="s">
        <v>758</v>
      </c>
      <c r="D729">
        <v>295000</v>
      </c>
      <c r="E729">
        <v>10000</v>
      </c>
      <c r="F729">
        <v>295000</v>
      </c>
      <c r="G729">
        <v>295000</v>
      </c>
      <c r="H729">
        <v>1</v>
      </c>
      <c r="I729" t="s">
        <v>654</v>
      </c>
      <c r="J729">
        <v>70.599999999999994</v>
      </c>
      <c r="K729">
        <v>0</v>
      </c>
      <c r="L729">
        <v>3</v>
      </c>
      <c r="M729" t="s">
        <v>689</v>
      </c>
      <c r="N729">
        <v>9</v>
      </c>
      <c r="O729">
        <v>10</v>
      </c>
      <c r="P729">
        <v>110380.12</v>
      </c>
      <c r="Q729">
        <v>288705.81</v>
      </c>
      <c r="R729">
        <v>322</v>
      </c>
      <c r="S729">
        <v>155</v>
      </c>
      <c r="T729" t="s">
        <v>596</v>
      </c>
      <c r="U729" t="s">
        <v>81</v>
      </c>
    </row>
    <row r="730" spans="1:21">
      <c r="A730" t="s">
        <v>1204</v>
      </c>
      <c r="B730" t="s">
        <v>956</v>
      </c>
      <c r="C730" t="s">
        <v>104</v>
      </c>
      <c r="D730">
        <v>315000</v>
      </c>
      <c r="F730">
        <v>315000</v>
      </c>
      <c r="G730">
        <v>378000</v>
      </c>
      <c r="H730">
        <v>4</v>
      </c>
      <c r="I730" t="s">
        <v>654</v>
      </c>
      <c r="J730">
        <v>84.25</v>
      </c>
      <c r="K730">
        <v>23</v>
      </c>
      <c r="L730">
        <v>5</v>
      </c>
      <c r="M730" t="s">
        <v>689</v>
      </c>
      <c r="N730">
        <v>3</v>
      </c>
      <c r="O730">
        <v>6</v>
      </c>
      <c r="P730">
        <v>110380.12</v>
      </c>
      <c r="Q730">
        <v>288705.81</v>
      </c>
      <c r="R730">
        <v>322</v>
      </c>
      <c r="S730">
        <v>155</v>
      </c>
      <c r="T730" t="s">
        <v>413</v>
      </c>
      <c r="U730" t="s">
        <v>27</v>
      </c>
    </row>
    <row r="731" spans="1:21">
      <c r="A731" t="s">
        <v>1205</v>
      </c>
      <c r="B731" t="s">
        <v>706</v>
      </c>
      <c r="C731" t="s">
        <v>121</v>
      </c>
      <c r="D731">
        <v>210000</v>
      </c>
      <c r="E731">
        <v>10000</v>
      </c>
      <c r="F731">
        <v>210000</v>
      </c>
      <c r="G731">
        <v>210000</v>
      </c>
      <c r="H731">
        <v>5</v>
      </c>
      <c r="I731" t="s">
        <v>654</v>
      </c>
      <c r="J731">
        <v>71.58</v>
      </c>
      <c r="K731">
        <v>43</v>
      </c>
      <c r="L731">
        <v>6</v>
      </c>
      <c r="M731" t="s">
        <v>689</v>
      </c>
      <c r="N731">
        <v>5</v>
      </c>
      <c r="O731">
        <v>6</v>
      </c>
      <c r="P731">
        <v>110380.12</v>
      </c>
      <c r="Q731">
        <v>288705.81</v>
      </c>
      <c r="R731">
        <v>322</v>
      </c>
      <c r="S731">
        <v>155</v>
      </c>
      <c r="T731" t="s">
        <v>596</v>
      </c>
      <c r="U731" t="s">
        <v>42</v>
      </c>
    </row>
    <row r="732" spans="1:21">
      <c r="A732" t="s">
        <v>1206</v>
      </c>
      <c r="B732" t="s">
        <v>1207</v>
      </c>
      <c r="C732" t="s">
        <v>37</v>
      </c>
      <c r="D732">
        <v>210000</v>
      </c>
      <c r="E732">
        <v>15000</v>
      </c>
      <c r="F732">
        <v>210000</v>
      </c>
      <c r="G732">
        <v>210000</v>
      </c>
      <c r="H732">
        <v>2</v>
      </c>
      <c r="I732" t="s">
        <v>654</v>
      </c>
      <c r="J732">
        <v>68.14</v>
      </c>
      <c r="K732">
        <v>55</v>
      </c>
      <c r="L732">
        <v>9</v>
      </c>
      <c r="M732" t="s">
        <v>689</v>
      </c>
      <c r="N732">
        <v>7</v>
      </c>
      <c r="O732">
        <v>9.33</v>
      </c>
      <c r="P732">
        <v>110380.12</v>
      </c>
      <c r="Q732">
        <v>288705.81</v>
      </c>
      <c r="R732">
        <v>322</v>
      </c>
      <c r="S732">
        <v>155</v>
      </c>
      <c r="T732" t="s">
        <v>593</v>
      </c>
      <c r="U732" t="s">
        <v>57</v>
      </c>
    </row>
    <row r="733" spans="1:21">
      <c r="A733" t="s">
        <v>1208</v>
      </c>
      <c r="B733" t="s">
        <v>1207</v>
      </c>
      <c r="C733" t="s">
        <v>37</v>
      </c>
      <c r="D733">
        <v>230000</v>
      </c>
      <c r="E733">
        <v>15000</v>
      </c>
      <c r="F733">
        <v>230000</v>
      </c>
      <c r="G733">
        <v>230000</v>
      </c>
      <c r="H733">
        <v>2</v>
      </c>
      <c r="I733" t="s">
        <v>654</v>
      </c>
      <c r="J733">
        <v>68.14</v>
      </c>
      <c r="K733">
        <v>55</v>
      </c>
      <c r="L733">
        <v>9</v>
      </c>
      <c r="M733" t="s">
        <v>689</v>
      </c>
      <c r="N733">
        <v>7</v>
      </c>
      <c r="O733">
        <v>9.33</v>
      </c>
      <c r="P733">
        <v>110380.12</v>
      </c>
      <c r="Q733">
        <v>288705.81</v>
      </c>
      <c r="R733">
        <v>322</v>
      </c>
      <c r="S733">
        <v>155</v>
      </c>
      <c r="T733" t="s">
        <v>593</v>
      </c>
      <c r="U733" t="s">
        <v>57</v>
      </c>
    </row>
    <row r="734" spans="1:21">
      <c r="A734" t="s">
        <v>1209</v>
      </c>
      <c r="B734" t="s">
        <v>1210</v>
      </c>
      <c r="C734" t="s">
        <v>37</v>
      </c>
      <c r="D734">
        <v>230000</v>
      </c>
      <c r="E734">
        <v>15000</v>
      </c>
      <c r="F734">
        <v>230000</v>
      </c>
      <c r="G734">
        <v>230000</v>
      </c>
      <c r="H734">
        <v>2</v>
      </c>
      <c r="I734" t="s">
        <v>654</v>
      </c>
      <c r="J734">
        <v>68.14</v>
      </c>
      <c r="K734">
        <v>55</v>
      </c>
      <c r="L734">
        <v>9</v>
      </c>
      <c r="M734" t="s">
        <v>689</v>
      </c>
      <c r="N734">
        <v>7</v>
      </c>
      <c r="O734">
        <v>13.67</v>
      </c>
      <c r="P734">
        <v>110380.12</v>
      </c>
      <c r="Q734">
        <v>288705.81</v>
      </c>
      <c r="R734">
        <v>322</v>
      </c>
      <c r="S734">
        <v>155</v>
      </c>
      <c r="T734" t="s">
        <v>593</v>
      </c>
      <c r="U734" t="s">
        <v>57</v>
      </c>
    </row>
    <row r="735" spans="1:21">
      <c r="A735" t="s">
        <v>1211</v>
      </c>
      <c r="B735" t="s">
        <v>1212</v>
      </c>
      <c r="C735" t="s">
        <v>758</v>
      </c>
      <c r="D735">
        <v>278000</v>
      </c>
      <c r="F735">
        <v>278000</v>
      </c>
      <c r="G735">
        <v>278000</v>
      </c>
      <c r="H735">
        <v>1</v>
      </c>
      <c r="I735" t="s">
        <v>654</v>
      </c>
      <c r="J735">
        <v>67.95</v>
      </c>
      <c r="K735">
        <v>10</v>
      </c>
      <c r="L735">
        <v>3</v>
      </c>
      <c r="M735" t="s">
        <v>689</v>
      </c>
      <c r="N735">
        <v>8</v>
      </c>
      <c r="O735">
        <v>11.67</v>
      </c>
      <c r="P735">
        <v>110380.12</v>
      </c>
      <c r="Q735">
        <v>288705.81</v>
      </c>
      <c r="R735">
        <v>322</v>
      </c>
      <c r="S735">
        <v>155</v>
      </c>
      <c r="T735" t="s">
        <v>593</v>
      </c>
      <c r="U735" t="s">
        <v>31</v>
      </c>
    </row>
    <row r="736" spans="1:21">
      <c r="A736" t="s">
        <v>1211</v>
      </c>
      <c r="B736" t="s">
        <v>1212</v>
      </c>
      <c r="C736" t="s">
        <v>758</v>
      </c>
      <c r="D736">
        <v>278000</v>
      </c>
      <c r="F736">
        <v>278000</v>
      </c>
      <c r="G736">
        <v>278000</v>
      </c>
      <c r="H736">
        <v>2</v>
      </c>
      <c r="I736" t="s">
        <v>654</v>
      </c>
      <c r="J736">
        <v>67.95</v>
      </c>
      <c r="K736">
        <v>10</v>
      </c>
      <c r="L736">
        <v>3</v>
      </c>
      <c r="M736" t="s">
        <v>689</v>
      </c>
      <c r="N736">
        <v>8</v>
      </c>
      <c r="O736">
        <v>11.67</v>
      </c>
      <c r="P736">
        <v>110380.12</v>
      </c>
      <c r="Q736">
        <v>288705.81</v>
      </c>
      <c r="R736">
        <v>322</v>
      </c>
      <c r="S736">
        <v>155</v>
      </c>
      <c r="T736" t="s">
        <v>593</v>
      </c>
      <c r="U736" t="s">
        <v>31</v>
      </c>
    </row>
    <row r="737" spans="1:21">
      <c r="A737" t="s">
        <v>1211</v>
      </c>
      <c r="B737" t="s">
        <v>1212</v>
      </c>
      <c r="C737" t="s">
        <v>758</v>
      </c>
      <c r="D737">
        <v>278000</v>
      </c>
      <c r="F737">
        <v>278000</v>
      </c>
      <c r="G737">
        <v>278000</v>
      </c>
      <c r="H737">
        <v>3</v>
      </c>
      <c r="I737" t="s">
        <v>654</v>
      </c>
      <c r="J737">
        <v>67.95</v>
      </c>
      <c r="K737">
        <v>10</v>
      </c>
      <c r="L737">
        <v>3</v>
      </c>
      <c r="M737" t="s">
        <v>689</v>
      </c>
      <c r="N737">
        <v>8</v>
      </c>
      <c r="O737">
        <v>11.67</v>
      </c>
      <c r="P737">
        <v>110380.12</v>
      </c>
      <c r="Q737">
        <v>288705.81</v>
      </c>
      <c r="R737">
        <v>322</v>
      </c>
      <c r="S737">
        <v>155</v>
      </c>
      <c r="T737" t="s">
        <v>593</v>
      </c>
      <c r="U737" t="s">
        <v>31</v>
      </c>
    </row>
    <row r="738" spans="1:21">
      <c r="A738" t="s">
        <v>1213</v>
      </c>
      <c r="B738" t="s">
        <v>721</v>
      </c>
      <c r="C738" t="s">
        <v>688</v>
      </c>
      <c r="D738">
        <v>226000</v>
      </c>
      <c r="E738">
        <v>4000</v>
      </c>
      <c r="F738">
        <v>226000</v>
      </c>
      <c r="G738">
        <v>226000</v>
      </c>
      <c r="H738">
        <v>1</v>
      </c>
      <c r="I738" t="s">
        <v>654</v>
      </c>
      <c r="J738">
        <v>64.75</v>
      </c>
      <c r="K738">
        <v>30</v>
      </c>
      <c r="L738">
        <v>4</v>
      </c>
      <c r="M738" t="s">
        <v>689</v>
      </c>
      <c r="N738">
        <v>7</v>
      </c>
      <c r="O738">
        <v>10.33</v>
      </c>
      <c r="P738">
        <v>110380.12</v>
      </c>
      <c r="Q738">
        <v>288705.81</v>
      </c>
      <c r="R738">
        <v>322</v>
      </c>
      <c r="S738">
        <v>155</v>
      </c>
      <c r="T738" t="s">
        <v>593</v>
      </c>
      <c r="U738" t="s">
        <v>27</v>
      </c>
    </row>
    <row r="739" spans="1:21">
      <c r="A739" t="s">
        <v>1214</v>
      </c>
      <c r="B739" t="s">
        <v>1215</v>
      </c>
      <c r="C739" t="s">
        <v>1216</v>
      </c>
      <c r="D739">
        <v>146000</v>
      </c>
      <c r="E739">
        <v>8000</v>
      </c>
      <c r="G739">
        <v>146000</v>
      </c>
      <c r="H739">
        <v>2</v>
      </c>
      <c r="I739" t="s">
        <v>24</v>
      </c>
      <c r="J739">
        <v>27.13</v>
      </c>
      <c r="K739">
        <v>7</v>
      </c>
      <c r="L739">
        <v>4</v>
      </c>
      <c r="M739" t="s">
        <v>1217</v>
      </c>
      <c r="N739">
        <v>9</v>
      </c>
      <c r="O739">
        <v>11.67</v>
      </c>
      <c r="P739">
        <v>125484.85</v>
      </c>
      <c r="Q739">
        <v>123325.96</v>
      </c>
      <c r="R739">
        <v>33</v>
      </c>
      <c r="S739">
        <v>339</v>
      </c>
      <c r="T739" t="s">
        <v>34</v>
      </c>
      <c r="U739" t="s">
        <v>31</v>
      </c>
    </row>
    <row r="740" spans="1:21">
      <c r="A740" t="s">
        <v>1218</v>
      </c>
      <c r="B740" t="s">
        <v>1219</v>
      </c>
      <c r="C740" t="s">
        <v>1216</v>
      </c>
      <c r="D740">
        <v>146000</v>
      </c>
      <c r="E740">
        <v>8000</v>
      </c>
      <c r="G740">
        <v>146000</v>
      </c>
      <c r="H740">
        <v>2</v>
      </c>
      <c r="I740" t="s">
        <v>24</v>
      </c>
      <c r="J740">
        <v>27.13</v>
      </c>
      <c r="K740">
        <v>6</v>
      </c>
      <c r="L740">
        <v>4</v>
      </c>
      <c r="M740" t="s">
        <v>1217</v>
      </c>
      <c r="N740">
        <v>9</v>
      </c>
      <c r="O740">
        <v>13.33</v>
      </c>
      <c r="P740">
        <v>125484.85</v>
      </c>
      <c r="Q740">
        <v>123325.96</v>
      </c>
      <c r="R740">
        <v>33</v>
      </c>
      <c r="S740">
        <v>339</v>
      </c>
      <c r="T740" t="s">
        <v>34</v>
      </c>
      <c r="U740" t="s">
        <v>31</v>
      </c>
    </row>
    <row r="741" spans="1:21">
      <c r="A741" t="s">
        <v>1220</v>
      </c>
      <c r="B741" t="s">
        <v>1221</v>
      </c>
      <c r="C741" t="s">
        <v>1222</v>
      </c>
      <c r="D741">
        <v>118000</v>
      </c>
      <c r="E741">
        <v>12000</v>
      </c>
      <c r="F741">
        <v>118000</v>
      </c>
      <c r="G741">
        <v>118000</v>
      </c>
      <c r="H741">
        <v>3</v>
      </c>
      <c r="I741" t="s">
        <v>89</v>
      </c>
      <c r="J741">
        <v>21.6</v>
      </c>
      <c r="K741">
        <v>2</v>
      </c>
      <c r="L741">
        <v>4</v>
      </c>
      <c r="M741" t="s">
        <v>1217</v>
      </c>
      <c r="N741">
        <v>7</v>
      </c>
      <c r="O741">
        <v>11.33</v>
      </c>
      <c r="P741">
        <v>125484.85</v>
      </c>
      <c r="Q741">
        <v>95329.65</v>
      </c>
      <c r="R741">
        <v>33</v>
      </c>
      <c r="S741">
        <v>1622</v>
      </c>
      <c r="T741" t="s">
        <v>34</v>
      </c>
      <c r="U741" t="s">
        <v>31</v>
      </c>
    </row>
    <row r="742" spans="1:21">
      <c r="A742" t="s">
        <v>1223</v>
      </c>
      <c r="B742" t="s">
        <v>1224</v>
      </c>
      <c r="C742" t="s">
        <v>1225</v>
      </c>
      <c r="D742">
        <v>97000</v>
      </c>
      <c r="E742">
        <v>15000</v>
      </c>
      <c r="G742">
        <v>97000</v>
      </c>
      <c r="H742">
        <v>12</v>
      </c>
      <c r="I742" t="s">
        <v>89</v>
      </c>
      <c r="J742">
        <v>21.18</v>
      </c>
      <c r="K742">
        <v>25</v>
      </c>
      <c r="L742">
        <v>12</v>
      </c>
      <c r="M742" t="s">
        <v>1217</v>
      </c>
      <c r="N742">
        <v>4</v>
      </c>
      <c r="O742">
        <v>9</v>
      </c>
      <c r="P742">
        <v>125484.85</v>
      </c>
      <c r="Q742">
        <v>95329.65</v>
      </c>
      <c r="R742">
        <v>33</v>
      </c>
      <c r="S742">
        <v>1622</v>
      </c>
      <c r="T742" t="s">
        <v>34</v>
      </c>
      <c r="U742" t="s">
        <v>27</v>
      </c>
    </row>
    <row r="743" spans="1:21">
      <c r="A743" t="s">
        <v>1226</v>
      </c>
      <c r="B743" t="s">
        <v>1227</v>
      </c>
      <c r="C743" t="s">
        <v>1228</v>
      </c>
      <c r="D743">
        <v>117000</v>
      </c>
      <c r="E743">
        <v>10000</v>
      </c>
      <c r="G743">
        <v>117000</v>
      </c>
      <c r="H743">
        <v>2</v>
      </c>
      <c r="I743" t="s">
        <v>89</v>
      </c>
      <c r="J743">
        <v>25.23</v>
      </c>
      <c r="K743">
        <v>13</v>
      </c>
      <c r="L743">
        <v>7</v>
      </c>
      <c r="M743" t="s">
        <v>1217</v>
      </c>
      <c r="N743">
        <v>7</v>
      </c>
      <c r="O743">
        <v>10.67</v>
      </c>
      <c r="P743">
        <v>125484.85</v>
      </c>
      <c r="Q743">
        <v>95329.65</v>
      </c>
      <c r="R743">
        <v>33</v>
      </c>
      <c r="S743">
        <v>1622</v>
      </c>
      <c r="T743" t="s">
        <v>34</v>
      </c>
      <c r="U743" t="s">
        <v>90</v>
      </c>
    </row>
    <row r="744" spans="1:21">
      <c r="A744" t="s">
        <v>1229</v>
      </c>
      <c r="B744" t="s">
        <v>1230</v>
      </c>
      <c r="C744" t="s">
        <v>1231</v>
      </c>
      <c r="D744">
        <v>89000</v>
      </c>
      <c r="E744">
        <v>10000</v>
      </c>
      <c r="G744">
        <v>89000</v>
      </c>
      <c r="H744">
        <v>2</v>
      </c>
      <c r="I744" t="s">
        <v>89</v>
      </c>
      <c r="J744">
        <v>21.94</v>
      </c>
      <c r="K744">
        <v>21</v>
      </c>
      <c r="L744">
        <v>9</v>
      </c>
      <c r="M744" t="s">
        <v>1217</v>
      </c>
      <c r="N744">
        <v>5</v>
      </c>
      <c r="O744">
        <v>10</v>
      </c>
      <c r="P744">
        <v>125484.85</v>
      </c>
      <c r="Q744">
        <v>95329.65</v>
      </c>
      <c r="R744">
        <v>33</v>
      </c>
      <c r="S744">
        <v>1622</v>
      </c>
      <c r="T744" t="s">
        <v>34</v>
      </c>
      <c r="U744" t="s">
        <v>27</v>
      </c>
    </row>
    <row r="745" spans="1:21">
      <c r="A745" t="s">
        <v>1232</v>
      </c>
      <c r="B745" t="s">
        <v>1230</v>
      </c>
      <c r="C745" t="s">
        <v>1231</v>
      </c>
      <c r="D745">
        <v>98000</v>
      </c>
      <c r="E745">
        <v>12000</v>
      </c>
      <c r="F745">
        <v>98000</v>
      </c>
      <c r="G745">
        <v>98000</v>
      </c>
      <c r="H745">
        <v>8</v>
      </c>
      <c r="I745" t="s">
        <v>89</v>
      </c>
      <c r="J745">
        <v>21.78</v>
      </c>
      <c r="K745">
        <v>21</v>
      </c>
      <c r="L745">
        <v>9</v>
      </c>
      <c r="M745" t="s">
        <v>1217</v>
      </c>
      <c r="N745">
        <v>5</v>
      </c>
      <c r="O745">
        <v>10</v>
      </c>
      <c r="P745">
        <v>125484.85</v>
      </c>
      <c r="Q745">
        <v>95329.65</v>
      </c>
      <c r="R745">
        <v>33</v>
      </c>
      <c r="S745">
        <v>1622</v>
      </c>
      <c r="T745" t="s">
        <v>34</v>
      </c>
      <c r="U745" t="s">
        <v>27</v>
      </c>
    </row>
    <row r="746" spans="1:21">
      <c r="A746" t="s">
        <v>1233</v>
      </c>
      <c r="B746" t="s">
        <v>1234</v>
      </c>
      <c r="C746" t="s">
        <v>1225</v>
      </c>
      <c r="D746">
        <v>80000</v>
      </c>
      <c r="E746">
        <v>3000</v>
      </c>
      <c r="F746">
        <v>80000</v>
      </c>
      <c r="H746">
        <v>2</v>
      </c>
      <c r="I746" t="s">
        <v>89</v>
      </c>
      <c r="J746">
        <v>21.48</v>
      </c>
      <c r="K746">
        <v>60</v>
      </c>
      <c r="L746">
        <v>2</v>
      </c>
      <c r="M746" t="s">
        <v>1217</v>
      </c>
      <c r="N746">
        <v>8</v>
      </c>
      <c r="O746">
        <v>11</v>
      </c>
      <c r="P746">
        <v>125484.85</v>
      </c>
      <c r="Q746">
        <v>95329.65</v>
      </c>
      <c r="R746">
        <v>33</v>
      </c>
      <c r="S746">
        <v>1622</v>
      </c>
      <c r="T746" t="s">
        <v>34</v>
      </c>
      <c r="U746" t="s">
        <v>57</v>
      </c>
    </row>
    <row r="747" spans="1:21">
      <c r="A747" t="s">
        <v>1235</v>
      </c>
      <c r="B747" t="s">
        <v>1236</v>
      </c>
      <c r="C747" t="s">
        <v>1225</v>
      </c>
      <c r="D747">
        <v>97000</v>
      </c>
      <c r="E747">
        <v>15000</v>
      </c>
      <c r="G747">
        <v>97000</v>
      </c>
      <c r="H747">
        <v>12</v>
      </c>
      <c r="I747" t="s">
        <v>89</v>
      </c>
      <c r="J747">
        <v>21.18</v>
      </c>
      <c r="K747">
        <v>25</v>
      </c>
      <c r="L747">
        <v>12</v>
      </c>
      <c r="M747" t="s">
        <v>1217</v>
      </c>
      <c r="N747">
        <v>4</v>
      </c>
      <c r="O747">
        <v>9</v>
      </c>
      <c r="P747">
        <v>125484.85</v>
      </c>
      <c r="Q747">
        <v>95329.65</v>
      </c>
      <c r="R747">
        <v>33</v>
      </c>
      <c r="S747">
        <v>1622</v>
      </c>
      <c r="T747" t="s">
        <v>34</v>
      </c>
      <c r="U747" t="s">
        <v>27</v>
      </c>
    </row>
    <row r="748" spans="1:21">
      <c r="A748" t="s">
        <v>1237</v>
      </c>
      <c r="B748" t="s">
        <v>1238</v>
      </c>
      <c r="C748" t="s">
        <v>1225</v>
      </c>
      <c r="D748">
        <v>80000</v>
      </c>
      <c r="E748">
        <v>3000</v>
      </c>
      <c r="F748">
        <v>80000</v>
      </c>
      <c r="H748">
        <v>2</v>
      </c>
      <c r="I748" t="s">
        <v>89</v>
      </c>
      <c r="J748">
        <v>21.48</v>
      </c>
      <c r="K748">
        <v>60</v>
      </c>
      <c r="L748">
        <v>2</v>
      </c>
      <c r="M748" t="s">
        <v>1217</v>
      </c>
      <c r="N748">
        <v>7</v>
      </c>
      <c r="O748">
        <v>10.67</v>
      </c>
      <c r="P748">
        <v>125484.85</v>
      </c>
      <c r="Q748">
        <v>95329.65</v>
      </c>
      <c r="R748">
        <v>33</v>
      </c>
      <c r="S748">
        <v>1622</v>
      </c>
      <c r="T748" t="s">
        <v>34</v>
      </c>
      <c r="U748" t="s">
        <v>57</v>
      </c>
    </row>
    <row r="749" spans="1:21">
      <c r="A749" t="s">
        <v>1239</v>
      </c>
      <c r="B749" t="s">
        <v>1240</v>
      </c>
      <c r="C749" t="s">
        <v>1216</v>
      </c>
      <c r="D749">
        <v>83000</v>
      </c>
      <c r="E749">
        <v>7000</v>
      </c>
      <c r="F749">
        <v>83000</v>
      </c>
      <c r="G749">
        <v>83000</v>
      </c>
      <c r="H749">
        <v>1</v>
      </c>
      <c r="I749" t="s">
        <v>89</v>
      </c>
      <c r="J749">
        <v>19.87</v>
      </c>
      <c r="K749">
        <v>21</v>
      </c>
      <c r="L749">
        <v>4</v>
      </c>
      <c r="M749" t="s">
        <v>1217</v>
      </c>
      <c r="N749">
        <v>8</v>
      </c>
      <c r="O749">
        <v>12.67</v>
      </c>
      <c r="P749">
        <v>125484.85</v>
      </c>
      <c r="Q749">
        <v>95329.65</v>
      </c>
      <c r="R749">
        <v>33</v>
      </c>
      <c r="S749">
        <v>1622</v>
      </c>
      <c r="T749" t="s">
        <v>108</v>
      </c>
      <c r="U749" t="s">
        <v>27</v>
      </c>
    </row>
    <row r="750" spans="1:21">
      <c r="A750" t="s">
        <v>1241</v>
      </c>
      <c r="B750" t="s">
        <v>1242</v>
      </c>
      <c r="C750" t="s">
        <v>1222</v>
      </c>
      <c r="D750">
        <v>118000</v>
      </c>
      <c r="E750">
        <v>12000</v>
      </c>
      <c r="F750">
        <v>118000</v>
      </c>
      <c r="G750">
        <v>118000</v>
      </c>
      <c r="H750">
        <v>3</v>
      </c>
      <c r="I750" t="s">
        <v>89</v>
      </c>
      <c r="J750">
        <v>21.6</v>
      </c>
      <c r="K750">
        <v>2</v>
      </c>
      <c r="L750">
        <v>4</v>
      </c>
      <c r="M750" t="s">
        <v>1217</v>
      </c>
      <c r="N750">
        <v>9</v>
      </c>
      <c r="O750">
        <v>12.33</v>
      </c>
      <c r="P750">
        <v>125484.85</v>
      </c>
      <c r="Q750">
        <v>95329.65</v>
      </c>
      <c r="R750">
        <v>33</v>
      </c>
      <c r="S750">
        <v>1622</v>
      </c>
      <c r="T750" t="s">
        <v>34</v>
      </c>
      <c r="U750" t="s">
        <v>31</v>
      </c>
    </row>
    <row r="751" spans="1:21">
      <c r="A751" t="s">
        <v>1243</v>
      </c>
      <c r="B751" t="s">
        <v>1244</v>
      </c>
      <c r="C751" t="s">
        <v>1228</v>
      </c>
      <c r="D751">
        <v>117000</v>
      </c>
      <c r="E751">
        <v>10000</v>
      </c>
      <c r="G751">
        <v>117000</v>
      </c>
      <c r="H751">
        <v>2</v>
      </c>
      <c r="I751" t="s">
        <v>89</v>
      </c>
      <c r="J751">
        <v>25.23</v>
      </c>
      <c r="K751">
        <v>13</v>
      </c>
      <c r="L751">
        <v>7</v>
      </c>
      <c r="M751" t="s">
        <v>1217</v>
      </c>
      <c r="N751">
        <v>7</v>
      </c>
      <c r="O751">
        <v>10.33</v>
      </c>
      <c r="P751">
        <v>125484.85</v>
      </c>
      <c r="Q751">
        <v>95329.65</v>
      </c>
      <c r="R751">
        <v>33</v>
      </c>
      <c r="S751">
        <v>1622</v>
      </c>
      <c r="T751" t="s">
        <v>34</v>
      </c>
      <c r="U751" t="s">
        <v>90</v>
      </c>
    </row>
    <row r="752" spans="1:21">
      <c r="A752" t="s">
        <v>1245</v>
      </c>
      <c r="B752" t="s">
        <v>1246</v>
      </c>
      <c r="C752" t="s">
        <v>1231</v>
      </c>
      <c r="D752">
        <v>89000</v>
      </c>
      <c r="E752">
        <v>10000</v>
      </c>
      <c r="G752">
        <v>89000</v>
      </c>
      <c r="H752">
        <v>2</v>
      </c>
      <c r="I752" t="s">
        <v>89</v>
      </c>
      <c r="J752">
        <v>21.94</v>
      </c>
      <c r="K752">
        <v>21</v>
      </c>
      <c r="L752">
        <v>9</v>
      </c>
      <c r="M752" t="s">
        <v>1217</v>
      </c>
      <c r="N752">
        <v>5</v>
      </c>
      <c r="O752">
        <v>10</v>
      </c>
      <c r="P752">
        <v>125484.85</v>
      </c>
      <c r="Q752">
        <v>95329.65</v>
      </c>
      <c r="R752">
        <v>33</v>
      </c>
      <c r="S752">
        <v>1622</v>
      </c>
      <c r="T752" t="s">
        <v>34</v>
      </c>
      <c r="U752" t="s">
        <v>27</v>
      </c>
    </row>
    <row r="753" spans="1:21">
      <c r="A753" t="s">
        <v>1247</v>
      </c>
      <c r="B753" t="s">
        <v>1246</v>
      </c>
      <c r="C753" t="s">
        <v>1231</v>
      </c>
      <c r="D753">
        <v>98000</v>
      </c>
      <c r="E753">
        <v>12000</v>
      </c>
      <c r="F753">
        <v>98000</v>
      </c>
      <c r="G753">
        <v>98000</v>
      </c>
      <c r="H753">
        <v>8</v>
      </c>
      <c r="I753" t="s">
        <v>89</v>
      </c>
      <c r="J753">
        <v>21.78</v>
      </c>
      <c r="K753">
        <v>21</v>
      </c>
      <c r="L753">
        <v>9</v>
      </c>
      <c r="M753" t="s">
        <v>1217</v>
      </c>
      <c r="N753">
        <v>5</v>
      </c>
      <c r="O753">
        <v>10</v>
      </c>
      <c r="P753">
        <v>125484.85</v>
      </c>
      <c r="Q753">
        <v>95329.65</v>
      </c>
      <c r="R753">
        <v>33</v>
      </c>
      <c r="S753">
        <v>1622</v>
      </c>
      <c r="T753" t="s">
        <v>34</v>
      </c>
      <c r="U753" t="s">
        <v>27</v>
      </c>
    </row>
    <row r="754" spans="1:21">
      <c r="A754" t="s">
        <v>1248</v>
      </c>
      <c r="B754" t="s">
        <v>1249</v>
      </c>
      <c r="C754" t="s">
        <v>1231</v>
      </c>
      <c r="D754">
        <v>220000</v>
      </c>
      <c r="E754">
        <v>10000</v>
      </c>
      <c r="F754">
        <v>220000</v>
      </c>
      <c r="G754">
        <v>220000</v>
      </c>
      <c r="H754">
        <v>3</v>
      </c>
      <c r="I754" t="s">
        <v>325</v>
      </c>
      <c r="J754">
        <v>41.7</v>
      </c>
      <c r="K754">
        <v>8</v>
      </c>
      <c r="L754">
        <v>9</v>
      </c>
      <c r="M754" t="s">
        <v>1217</v>
      </c>
      <c r="N754">
        <v>9</v>
      </c>
      <c r="O754">
        <v>11.67</v>
      </c>
      <c r="P754">
        <v>125484.85</v>
      </c>
      <c r="Q754">
        <v>168453.81</v>
      </c>
      <c r="R754">
        <v>33</v>
      </c>
      <c r="S754">
        <v>788</v>
      </c>
      <c r="T754" t="s">
        <v>326</v>
      </c>
      <c r="U754" t="s">
        <v>31</v>
      </c>
    </row>
    <row r="755" spans="1:21">
      <c r="A755" t="s">
        <v>1250</v>
      </c>
      <c r="B755" t="s">
        <v>1249</v>
      </c>
      <c r="C755" t="s">
        <v>1231</v>
      </c>
      <c r="D755">
        <v>164000</v>
      </c>
      <c r="E755">
        <v>10000</v>
      </c>
      <c r="F755">
        <v>164000</v>
      </c>
      <c r="H755">
        <v>4</v>
      </c>
      <c r="I755" t="s">
        <v>325</v>
      </c>
      <c r="J755">
        <v>31.52</v>
      </c>
      <c r="K755">
        <v>8</v>
      </c>
      <c r="L755">
        <v>9</v>
      </c>
      <c r="M755" t="s">
        <v>1217</v>
      </c>
      <c r="N755">
        <v>9</v>
      </c>
      <c r="O755">
        <v>11.67</v>
      </c>
      <c r="P755">
        <v>125484.85</v>
      </c>
      <c r="Q755">
        <v>168453.81</v>
      </c>
      <c r="R755">
        <v>33</v>
      </c>
      <c r="S755">
        <v>788</v>
      </c>
      <c r="T755" t="s">
        <v>26</v>
      </c>
      <c r="U755" t="s">
        <v>31</v>
      </c>
    </row>
    <row r="756" spans="1:21">
      <c r="A756" t="s">
        <v>1251</v>
      </c>
      <c r="B756" t="s">
        <v>1252</v>
      </c>
      <c r="C756" t="s">
        <v>1231</v>
      </c>
      <c r="D756">
        <v>200000</v>
      </c>
      <c r="E756">
        <v>12000</v>
      </c>
      <c r="F756">
        <v>200000</v>
      </c>
      <c r="G756">
        <v>300000</v>
      </c>
      <c r="H756">
        <v>4</v>
      </c>
      <c r="I756" t="s">
        <v>325</v>
      </c>
      <c r="J756">
        <v>46.6</v>
      </c>
      <c r="K756">
        <v>4</v>
      </c>
      <c r="L756">
        <v>10</v>
      </c>
      <c r="M756" t="s">
        <v>1217</v>
      </c>
      <c r="N756">
        <v>7</v>
      </c>
      <c r="O756">
        <v>10.33</v>
      </c>
      <c r="P756">
        <v>125484.85</v>
      </c>
      <c r="Q756">
        <v>168453.81</v>
      </c>
      <c r="R756">
        <v>33</v>
      </c>
      <c r="S756">
        <v>788</v>
      </c>
      <c r="T756" t="s">
        <v>326</v>
      </c>
      <c r="U756" t="s">
        <v>31</v>
      </c>
    </row>
    <row r="757" spans="1:21">
      <c r="A757" t="s">
        <v>1253</v>
      </c>
      <c r="B757" t="s">
        <v>1254</v>
      </c>
      <c r="C757" t="s">
        <v>1228</v>
      </c>
      <c r="D757">
        <v>177000</v>
      </c>
      <c r="E757">
        <v>15000</v>
      </c>
      <c r="H757">
        <v>2</v>
      </c>
      <c r="I757" t="s">
        <v>325</v>
      </c>
      <c r="J757">
        <v>30.8</v>
      </c>
      <c r="K757">
        <v>1</v>
      </c>
      <c r="L757">
        <v>5</v>
      </c>
      <c r="M757" t="s">
        <v>1217</v>
      </c>
      <c r="N757">
        <v>6</v>
      </c>
      <c r="O757">
        <v>9.33</v>
      </c>
      <c r="P757">
        <v>125484.85</v>
      </c>
      <c r="Q757">
        <v>168453.81</v>
      </c>
      <c r="R757">
        <v>33</v>
      </c>
      <c r="S757">
        <v>788</v>
      </c>
      <c r="T757" t="s">
        <v>26</v>
      </c>
      <c r="U757" t="s">
        <v>31</v>
      </c>
    </row>
    <row r="758" spans="1:21">
      <c r="A758" t="s">
        <v>1255</v>
      </c>
      <c r="B758" t="s">
        <v>1256</v>
      </c>
      <c r="C758" t="s">
        <v>1228</v>
      </c>
      <c r="D758">
        <v>177000</v>
      </c>
      <c r="E758">
        <v>15000</v>
      </c>
      <c r="H758">
        <v>2</v>
      </c>
      <c r="I758" t="s">
        <v>325</v>
      </c>
      <c r="J758">
        <v>30.8</v>
      </c>
      <c r="K758">
        <v>1</v>
      </c>
      <c r="L758">
        <v>5</v>
      </c>
      <c r="M758" t="s">
        <v>1217</v>
      </c>
      <c r="N758">
        <v>6</v>
      </c>
      <c r="O758">
        <v>9.33</v>
      </c>
      <c r="P758">
        <v>125484.85</v>
      </c>
      <c r="Q758">
        <v>168453.81</v>
      </c>
      <c r="R758">
        <v>33</v>
      </c>
      <c r="S758">
        <v>788</v>
      </c>
      <c r="T758" t="s">
        <v>26</v>
      </c>
      <c r="U758" t="s">
        <v>31</v>
      </c>
    </row>
    <row r="759" spans="1:21">
      <c r="A759" t="s">
        <v>1257</v>
      </c>
      <c r="B759" t="s">
        <v>1258</v>
      </c>
      <c r="C759" t="s">
        <v>1222</v>
      </c>
      <c r="D759">
        <v>165000</v>
      </c>
      <c r="E759">
        <v>5000</v>
      </c>
      <c r="F759">
        <v>165000</v>
      </c>
      <c r="G759">
        <v>165000</v>
      </c>
      <c r="H759">
        <v>7</v>
      </c>
      <c r="I759" t="s">
        <v>325</v>
      </c>
      <c r="J759">
        <v>39.25</v>
      </c>
      <c r="K759">
        <v>19</v>
      </c>
      <c r="L759">
        <v>11</v>
      </c>
      <c r="M759" t="s">
        <v>1217</v>
      </c>
      <c r="N759">
        <v>3</v>
      </c>
      <c r="O759">
        <v>11</v>
      </c>
      <c r="P759">
        <v>125484.85</v>
      </c>
      <c r="Q759">
        <v>168453.81</v>
      </c>
      <c r="R759">
        <v>33</v>
      </c>
      <c r="S759">
        <v>788</v>
      </c>
      <c r="T759" t="s">
        <v>26</v>
      </c>
      <c r="U759" t="s">
        <v>90</v>
      </c>
    </row>
    <row r="760" spans="1:21">
      <c r="A760" t="s">
        <v>1259</v>
      </c>
      <c r="B760" t="s">
        <v>1260</v>
      </c>
      <c r="C760" t="s">
        <v>1222</v>
      </c>
      <c r="D760">
        <v>56000</v>
      </c>
      <c r="E760">
        <v>3000</v>
      </c>
      <c r="H760">
        <v>3</v>
      </c>
      <c r="I760" t="s">
        <v>432</v>
      </c>
      <c r="J760">
        <v>14.1</v>
      </c>
      <c r="K760">
        <v>41</v>
      </c>
      <c r="L760">
        <v>4</v>
      </c>
      <c r="M760" t="s">
        <v>1217</v>
      </c>
      <c r="N760">
        <v>5</v>
      </c>
      <c r="O760">
        <v>10</v>
      </c>
      <c r="P760">
        <v>125484.85</v>
      </c>
      <c r="Q760">
        <v>77692.34</v>
      </c>
      <c r="R760">
        <v>33</v>
      </c>
      <c r="S760">
        <v>1071</v>
      </c>
      <c r="T760" t="s">
        <v>108</v>
      </c>
      <c r="U760" t="s">
        <v>42</v>
      </c>
    </row>
    <row r="761" spans="1:21">
      <c r="A761" t="s">
        <v>1261</v>
      </c>
      <c r="B761" t="s">
        <v>1262</v>
      </c>
      <c r="C761" t="s">
        <v>1225</v>
      </c>
      <c r="D761">
        <v>64000</v>
      </c>
      <c r="E761">
        <v>10000</v>
      </c>
      <c r="H761">
        <v>2</v>
      </c>
      <c r="I761" t="s">
        <v>432</v>
      </c>
      <c r="J761">
        <v>11.38</v>
      </c>
      <c r="K761">
        <v>10</v>
      </c>
      <c r="L761">
        <v>2</v>
      </c>
      <c r="M761" t="s">
        <v>1217</v>
      </c>
      <c r="N761">
        <v>5</v>
      </c>
      <c r="O761">
        <v>10.67</v>
      </c>
      <c r="P761">
        <v>125484.85</v>
      </c>
      <c r="Q761">
        <v>77692.34</v>
      </c>
      <c r="R761">
        <v>33</v>
      </c>
      <c r="S761">
        <v>1071</v>
      </c>
      <c r="T761" t="s">
        <v>108</v>
      </c>
      <c r="U761" t="s">
        <v>31</v>
      </c>
    </row>
    <row r="762" spans="1:21">
      <c r="A762" t="s">
        <v>1263</v>
      </c>
      <c r="B762" t="s">
        <v>1264</v>
      </c>
      <c r="C762" t="s">
        <v>1231</v>
      </c>
      <c r="D762">
        <v>74000</v>
      </c>
      <c r="E762">
        <v>5000</v>
      </c>
      <c r="F762">
        <v>74000</v>
      </c>
      <c r="G762">
        <v>74000</v>
      </c>
      <c r="H762">
        <v>1</v>
      </c>
      <c r="I762" t="s">
        <v>432</v>
      </c>
      <c r="J762">
        <v>9.01</v>
      </c>
      <c r="K762">
        <v>9</v>
      </c>
      <c r="L762">
        <v>2</v>
      </c>
      <c r="M762" t="s">
        <v>1217</v>
      </c>
      <c r="N762">
        <v>8</v>
      </c>
      <c r="O762">
        <v>12</v>
      </c>
      <c r="P762">
        <v>125484.85</v>
      </c>
      <c r="Q762">
        <v>77692.34</v>
      </c>
      <c r="R762">
        <v>33</v>
      </c>
      <c r="S762">
        <v>1071</v>
      </c>
      <c r="T762" t="s">
        <v>231</v>
      </c>
      <c r="U762" t="s">
        <v>31</v>
      </c>
    </row>
    <row r="763" spans="1:21">
      <c r="A763" t="s">
        <v>1265</v>
      </c>
      <c r="B763" t="s">
        <v>1266</v>
      </c>
      <c r="C763" t="s">
        <v>1222</v>
      </c>
      <c r="D763">
        <v>66000</v>
      </c>
      <c r="E763">
        <v>2000</v>
      </c>
      <c r="F763">
        <v>66000</v>
      </c>
      <c r="H763">
        <v>1</v>
      </c>
      <c r="I763" t="s">
        <v>432</v>
      </c>
      <c r="J763">
        <v>17</v>
      </c>
      <c r="K763">
        <v>37</v>
      </c>
      <c r="L763">
        <v>4</v>
      </c>
      <c r="M763" t="s">
        <v>1217</v>
      </c>
      <c r="N763">
        <v>7</v>
      </c>
      <c r="O763">
        <v>12.33</v>
      </c>
      <c r="P763">
        <v>125484.85</v>
      </c>
      <c r="Q763">
        <v>77692.34</v>
      </c>
      <c r="R763">
        <v>33</v>
      </c>
      <c r="S763">
        <v>1071</v>
      </c>
      <c r="T763" t="s">
        <v>108</v>
      </c>
      <c r="U763" t="s">
        <v>49</v>
      </c>
    </row>
    <row r="764" spans="1:21">
      <c r="A764" t="s">
        <v>1267</v>
      </c>
      <c r="B764" t="s">
        <v>1268</v>
      </c>
      <c r="C764" t="s">
        <v>1225</v>
      </c>
      <c r="D764">
        <v>115000</v>
      </c>
      <c r="E764">
        <v>25000</v>
      </c>
      <c r="H764">
        <v>3</v>
      </c>
      <c r="I764" t="s">
        <v>432</v>
      </c>
      <c r="J764">
        <v>25.14</v>
      </c>
      <c r="K764">
        <v>8</v>
      </c>
      <c r="L764">
        <v>4</v>
      </c>
      <c r="M764" t="s">
        <v>1217</v>
      </c>
      <c r="N764">
        <v>8</v>
      </c>
      <c r="O764">
        <v>11.67</v>
      </c>
      <c r="P764">
        <v>125484.85</v>
      </c>
      <c r="Q764">
        <v>77692.34</v>
      </c>
      <c r="R764">
        <v>33</v>
      </c>
      <c r="S764">
        <v>1071</v>
      </c>
      <c r="T764" t="s">
        <v>34</v>
      </c>
      <c r="U764" t="s">
        <v>31</v>
      </c>
    </row>
    <row r="765" spans="1:21">
      <c r="A765" t="s">
        <v>1269</v>
      </c>
      <c r="B765" t="s">
        <v>1270</v>
      </c>
      <c r="C765" t="s">
        <v>1231</v>
      </c>
      <c r="D765">
        <v>74000</v>
      </c>
      <c r="E765">
        <v>5000</v>
      </c>
      <c r="F765">
        <v>74000</v>
      </c>
      <c r="G765">
        <v>74000</v>
      </c>
      <c r="H765">
        <v>1</v>
      </c>
      <c r="I765" t="s">
        <v>432</v>
      </c>
      <c r="J765">
        <v>9.01</v>
      </c>
      <c r="K765">
        <v>9</v>
      </c>
      <c r="L765">
        <v>2</v>
      </c>
      <c r="M765" t="s">
        <v>1217</v>
      </c>
      <c r="N765">
        <v>8</v>
      </c>
      <c r="O765">
        <v>11.67</v>
      </c>
      <c r="P765">
        <v>125484.85</v>
      </c>
      <c r="Q765">
        <v>77692.34</v>
      </c>
      <c r="R765">
        <v>33</v>
      </c>
      <c r="S765">
        <v>1071</v>
      </c>
      <c r="T765" t="s">
        <v>231</v>
      </c>
      <c r="U765" t="s">
        <v>31</v>
      </c>
    </row>
    <row r="766" spans="1:21">
      <c r="A766" t="s">
        <v>1271</v>
      </c>
      <c r="B766" t="s">
        <v>1272</v>
      </c>
      <c r="C766" t="s">
        <v>1222</v>
      </c>
      <c r="D766">
        <v>66000</v>
      </c>
      <c r="E766">
        <v>2000</v>
      </c>
      <c r="F766">
        <v>66000</v>
      </c>
      <c r="H766">
        <v>1</v>
      </c>
      <c r="I766" t="s">
        <v>432</v>
      </c>
      <c r="J766">
        <v>17</v>
      </c>
      <c r="K766">
        <v>37</v>
      </c>
      <c r="L766">
        <v>4</v>
      </c>
      <c r="M766" t="s">
        <v>1217</v>
      </c>
      <c r="N766">
        <v>7</v>
      </c>
      <c r="O766">
        <v>12.33</v>
      </c>
      <c r="P766">
        <v>125484.85</v>
      </c>
      <c r="Q766">
        <v>77692.34</v>
      </c>
      <c r="R766">
        <v>33</v>
      </c>
      <c r="S766">
        <v>1071</v>
      </c>
      <c r="T766" t="s">
        <v>108</v>
      </c>
      <c r="U766" t="s">
        <v>49</v>
      </c>
    </row>
    <row r="767" spans="1:21">
      <c r="A767" t="s">
        <v>1273</v>
      </c>
      <c r="B767" t="s">
        <v>1274</v>
      </c>
      <c r="C767" t="s">
        <v>1231</v>
      </c>
      <c r="D767">
        <v>150000</v>
      </c>
      <c r="F767">
        <v>150000</v>
      </c>
      <c r="G767">
        <v>150000</v>
      </c>
      <c r="H767">
        <v>3</v>
      </c>
      <c r="I767" t="s">
        <v>559</v>
      </c>
      <c r="J767">
        <v>35.1</v>
      </c>
      <c r="K767">
        <v>56</v>
      </c>
      <c r="L767">
        <v>12</v>
      </c>
      <c r="M767" t="s">
        <v>1217</v>
      </c>
      <c r="N767">
        <v>5</v>
      </c>
      <c r="O767">
        <v>8.67</v>
      </c>
      <c r="P767">
        <v>125484.85</v>
      </c>
      <c r="Q767">
        <v>141491.45000000001</v>
      </c>
      <c r="R767">
        <v>33</v>
      </c>
      <c r="S767">
        <v>117</v>
      </c>
      <c r="T767" t="s">
        <v>26</v>
      </c>
      <c r="U767" t="s">
        <v>57</v>
      </c>
    </row>
    <row r="768" spans="1:21">
      <c r="A768" t="s">
        <v>1275</v>
      </c>
      <c r="B768" t="s">
        <v>1276</v>
      </c>
      <c r="C768" t="s">
        <v>1231</v>
      </c>
      <c r="D768">
        <v>150000</v>
      </c>
      <c r="F768">
        <v>150000</v>
      </c>
      <c r="G768">
        <v>150000</v>
      </c>
      <c r="H768">
        <v>3</v>
      </c>
      <c r="I768" t="s">
        <v>559</v>
      </c>
      <c r="J768">
        <v>35.1</v>
      </c>
      <c r="K768">
        <v>56</v>
      </c>
      <c r="L768">
        <v>12</v>
      </c>
      <c r="M768" t="s">
        <v>1217</v>
      </c>
      <c r="N768">
        <v>5</v>
      </c>
      <c r="O768">
        <v>8.67</v>
      </c>
      <c r="P768">
        <v>125484.85</v>
      </c>
      <c r="Q768">
        <v>141491.45000000001</v>
      </c>
      <c r="R768">
        <v>33</v>
      </c>
      <c r="S768">
        <v>117</v>
      </c>
      <c r="T768" t="s">
        <v>26</v>
      </c>
      <c r="U768" t="s">
        <v>57</v>
      </c>
    </row>
    <row r="769" spans="1:21">
      <c r="A769" t="s">
        <v>1277</v>
      </c>
      <c r="B769" t="s">
        <v>1252</v>
      </c>
      <c r="C769" t="s">
        <v>1231</v>
      </c>
      <c r="D769">
        <v>155000</v>
      </c>
      <c r="E769">
        <v>12000</v>
      </c>
      <c r="F769">
        <v>155000</v>
      </c>
      <c r="G769">
        <v>232500</v>
      </c>
      <c r="H769">
        <v>6</v>
      </c>
      <c r="I769" t="s">
        <v>573</v>
      </c>
      <c r="J769">
        <v>32.56</v>
      </c>
      <c r="K769">
        <v>4</v>
      </c>
      <c r="L769">
        <v>10</v>
      </c>
      <c r="M769" t="s">
        <v>1217</v>
      </c>
      <c r="N769">
        <v>7</v>
      </c>
      <c r="O769">
        <v>10.33</v>
      </c>
      <c r="P769">
        <v>125484.85</v>
      </c>
      <c r="Q769">
        <v>117441.44</v>
      </c>
      <c r="R769">
        <v>33</v>
      </c>
      <c r="S769">
        <v>111</v>
      </c>
      <c r="T769" t="s">
        <v>26</v>
      </c>
      <c r="U769" t="s">
        <v>31</v>
      </c>
    </row>
    <row r="770" spans="1:21">
      <c r="A770" t="s">
        <v>1278</v>
      </c>
      <c r="B770" t="s">
        <v>1249</v>
      </c>
      <c r="C770" t="s">
        <v>1231</v>
      </c>
      <c r="D770">
        <v>225000</v>
      </c>
      <c r="E770">
        <v>10000</v>
      </c>
      <c r="F770">
        <v>225000</v>
      </c>
      <c r="G770">
        <v>225000</v>
      </c>
      <c r="H770">
        <v>7</v>
      </c>
      <c r="I770" t="s">
        <v>585</v>
      </c>
      <c r="J770">
        <v>41.7</v>
      </c>
      <c r="K770">
        <v>8</v>
      </c>
      <c r="L770">
        <v>9</v>
      </c>
      <c r="M770" t="s">
        <v>1217</v>
      </c>
      <c r="N770">
        <v>9</v>
      </c>
      <c r="O770">
        <v>11.67</v>
      </c>
      <c r="P770">
        <v>125484.85</v>
      </c>
      <c r="Q770">
        <v>232352.65</v>
      </c>
      <c r="R770">
        <v>33</v>
      </c>
      <c r="S770">
        <v>359</v>
      </c>
      <c r="T770" t="s">
        <v>326</v>
      </c>
      <c r="U770" t="s">
        <v>31</v>
      </c>
    </row>
    <row r="771" spans="1:21">
      <c r="A771" t="s">
        <v>1279</v>
      </c>
      <c r="B771" t="s">
        <v>1280</v>
      </c>
      <c r="C771" t="s">
        <v>1225</v>
      </c>
      <c r="D771">
        <v>270000</v>
      </c>
      <c r="F771">
        <v>540000</v>
      </c>
      <c r="G771">
        <v>270000</v>
      </c>
      <c r="H771">
        <v>2</v>
      </c>
      <c r="I771" t="s">
        <v>585</v>
      </c>
      <c r="J771">
        <v>61.29</v>
      </c>
      <c r="K771">
        <v>26</v>
      </c>
      <c r="L771">
        <v>9</v>
      </c>
      <c r="M771" t="s">
        <v>1217</v>
      </c>
      <c r="N771">
        <v>6</v>
      </c>
      <c r="O771">
        <v>11.33</v>
      </c>
      <c r="P771">
        <v>125484.85</v>
      </c>
      <c r="Q771">
        <v>232352.65</v>
      </c>
      <c r="R771">
        <v>33</v>
      </c>
      <c r="S771">
        <v>359</v>
      </c>
      <c r="T771" t="s">
        <v>593</v>
      </c>
      <c r="U771" t="s">
        <v>27</v>
      </c>
    </row>
    <row r="772" spans="1:21">
      <c r="A772" t="s">
        <v>1281</v>
      </c>
      <c r="B772" t="s">
        <v>1282</v>
      </c>
      <c r="C772" t="s">
        <v>1283</v>
      </c>
      <c r="D772">
        <v>151000</v>
      </c>
      <c r="E772">
        <v>10000</v>
      </c>
      <c r="H772">
        <v>3</v>
      </c>
      <c r="I772" t="s">
        <v>24</v>
      </c>
      <c r="J772">
        <v>27.96</v>
      </c>
      <c r="K772">
        <v>3</v>
      </c>
      <c r="L772">
        <v>11</v>
      </c>
      <c r="M772" t="s">
        <v>1284</v>
      </c>
      <c r="N772">
        <v>8</v>
      </c>
      <c r="O772">
        <v>13</v>
      </c>
      <c r="P772">
        <v>133470.28</v>
      </c>
      <c r="Q772">
        <v>123325.96</v>
      </c>
      <c r="R772">
        <v>286</v>
      </c>
      <c r="S772">
        <v>339</v>
      </c>
      <c r="T772" t="s">
        <v>34</v>
      </c>
      <c r="U772" t="s">
        <v>31</v>
      </c>
    </row>
    <row r="773" spans="1:21">
      <c r="A773" t="s">
        <v>1285</v>
      </c>
      <c r="B773" t="s">
        <v>1282</v>
      </c>
      <c r="C773" t="s">
        <v>1283</v>
      </c>
      <c r="D773">
        <v>146000</v>
      </c>
      <c r="E773">
        <v>10000</v>
      </c>
      <c r="H773">
        <v>4</v>
      </c>
      <c r="I773" t="s">
        <v>24</v>
      </c>
      <c r="J773">
        <v>27.96</v>
      </c>
      <c r="K773">
        <v>3</v>
      </c>
      <c r="L773">
        <v>11</v>
      </c>
      <c r="M773" t="s">
        <v>1284</v>
      </c>
      <c r="N773">
        <v>8</v>
      </c>
      <c r="O773">
        <v>13</v>
      </c>
      <c r="P773">
        <v>133470.28</v>
      </c>
      <c r="Q773">
        <v>123325.96</v>
      </c>
      <c r="R773">
        <v>286</v>
      </c>
      <c r="S773">
        <v>339</v>
      </c>
      <c r="T773" t="s">
        <v>34</v>
      </c>
      <c r="U773" t="s">
        <v>31</v>
      </c>
    </row>
    <row r="774" spans="1:21">
      <c r="A774" t="s">
        <v>1286</v>
      </c>
      <c r="B774" t="s">
        <v>1282</v>
      </c>
      <c r="C774" t="s">
        <v>1283</v>
      </c>
      <c r="D774">
        <v>152000</v>
      </c>
      <c r="E774">
        <v>10000</v>
      </c>
      <c r="H774">
        <v>4</v>
      </c>
      <c r="I774" t="s">
        <v>24</v>
      </c>
      <c r="J774">
        <v>27.96</v>
      </c>
      <c r="K774">
        <v>3</v>
      </c>
      <c r="L774">
        <v>11</v>
      </c>
      <c r="M774" t="s">
        <v>1284</v>
      </c>
      <c r="N774">
        <v>8</v>
      </c>
      <c r="O774">
        <v>13</v>
      </c>
      <c r="P774">
        <v>133470.28</v>
      </c>
      <c r="Q774">
        <v>123325.96</v>
      </c>
      <c r="R774">
        <v>286</v>
      </c>
      <c r="S774">
        <v>339</v>
      </c>
      <c r="T774" t="s">
        <v>34</v>
      </c>
      <c r="U774" t="s">
        <v>31</v>
      </c>
    </row>
    <row r="775" spans="1:21">
      <c r="A775" t="s">
        <v>1287</v>
      </c>
      <c r="B775" t="s">
        <v>1282</v>
      </c>
      <c r="C775" t="s">
        <v>1283</v>
      </c>
      <c r="D775">
        <v>146000</v>
      </c>
      <c r="E775">
        <v>10000</v>
      </c>
      <c r="H775">
        <v>8</v>
      </c>
      <c r="I775" t="s">
        <v>24</v>
      </c>
      <c r="J775">
        <v>25.86</v>
      </c>
      <c r="K775">
        <v>3</v>
      </c>
      <c r="L775">
        <v>11</v>
      </c>
      <c r="M775" t="s">
        <v>1284</v>
      </c>
      <c r="N775">
        <v>8</v>
      </c>
      <c r="O775">
        <v>13</v>
      </c>
      <c r="P775">
        <v>133470.28</v>
      </c>
      <c r="Q775">
        <v>123325.96</v>
      </c>
      <c r="R775">
        <v>286</v>
      </c>
      <c r="S775">
        <v>339</v>
      </c>
      <c r="T775" t="s">
        <v>34</v>
      </c>
      <c r="U775" t="s">
        <v>31</v>
      </c>
    </row>
    <row r="776" spans="1:21">
      <c r="A776" t="s">
        <v>1288</v>
      </c>
      <c r="B776" t="s">
        <v>1282</v>
      </c>
      <c r="C776" t="s">
        <v>1283</v>
      </c>
      <c r="D776">
        <v>152000</v>
      </c>
      <c r="E776">
        <v>10000</v>
      </c>
      <c r="H776">
        <v>8</v>
      </c>
      <c r="I776" t="s">
        <v>24</v>
      </c>
      <c r="J776">
        <v>25.86</v>
      </c>
      <c r="K776">
        <v>3</v>
      </c>
      <c r="L776">
        <v>11</v>
      </c>
      <c r="M776" t="s">
        <v>1284</v>
      </c>
      <c r="N776">
        <v>8</v>
      </c>
      <c r="O776">
        <v>13</v>
      </c>
      <c r="P776">
        <v>133470.28</v>
      </c>
      <c r="Q776">
        <v>123325.96</v>
      </c>
      <c r="R776">
        <v>286</v>
      </c>
      <c r="S776">
        <v>339</v>
      </c>
      <c r="T776" t="s">
        <v>34</v>
      </c>
      <c r="U776" t="s">
        <v>31</v>
      </c>
    </row>
    <row r="777" spans="1:21">
      <c r="A777" t="s">
        <v>1289</v>
      </c>
      <c r="B777" t="s">
        <v>1290</v>
      </c>
      <c r="C777" t="s">
        <v>1291</v>
      </c>
      <c r="D777">
        <v>125000</v>
      </c>
      <c r="E777">
        <v>10000</v>
      </c>
      <c r="F777">
        <v>125000</v>
      </c>
      <c r="G777">
        <v>125000</v>
      </c>
      <c r="H777">
        <v>2</v>
      </c>
      <c r="I777" t="s">
        <v>24</v>
      </c>
      <c r="J777">
        <v>25.28</v>
      </c>
      <c r="K777">
        <v>4</v>
      </c>
      <c r="L777">
        <v>14</v>
      </c>
      <c r="M777" t="s">
        <v>1284</v>
      </c>
      <c r="N777">
        <v>7</v>
      </c>
      <c r="O777">
        <v>8.67</v>
      </c>
      <c r="P777">
        <v>133470.28</v>
      </c>
      <c r="Q777">
        <v>123325.96</v>
      </c>
      <c r="R777">
        <v>286</v>
      </c>
      <c r="S777">
        <v>339</v>
      </c>
      <c r="T777" t="s">
        <v>34</v>
      </c>
      <c r="U777" t="s">
        <v>31</v>
      </c>
    </row>
    <row r="778" spans="1:21">
      <c r="A778" t="s">
        <v>1292</v>
      </c>
      <c r="B778" t="s">
        <v>1293</v>
      </c>
      <c r="C778" t="s">
        <v>1294</v>
      </c>
      <c r="D778">
        <v>169000</v>
      </c>
      <c r="E778">
        <v>5000</v>
      </c>
      <c r="F778">
        <v>169000</v>
      </c>
      <c r="G778">
        <v>338000</v>
      </c>
      <c r="H778">
        <v>2</v>
      </c>
      <c r="I778" t="s">
        <v>24</v>
      </c>
      <c r="J778">
        <v>35.270000000000003</v>
      </c>
      <c r="K778">
        <v>3</v>
      </c>
      <c r="L778">
        <v>3</v>
      </c>
      <c r="M778" t="s">
        <v>1284</v>
      </c>
      <c r="N778">
        <v>11</v>
      </c>
      <c r="O778">
        <v>12.33</v>
      </c>
      <c r="P778">
        <v>133470.28</v>
      </c>
      <c r="Q778">
        <v>123325.96</v>
      </c>
      <c r="R778">
        <v>286</v>
      </c>
      <c r="S778">
        <v>339</v>
      </c>
      <c r="T778" t="s">
        <v>26</v>
      </c>
      <c r="U778" t="s">
        <v>31</v>
      </c>
    </row>
    <row r="779" spans="1:21">
      <c r="A779" t="s">
        <v>1295</v>
      </c>
      <c r="B779" t="s">
        <v>1296</v>
      </c>
      <c r="C779" t="s">
        <v>1291</v>
      </c>
      <c r="D779">
        <v>92000</v>
      </c>
      <c r="E779">
        <v>2000</v>
      </c>
      <c r="F779">
        <v>92000</v>
      </c>
      <c r="G779">
        <v>92000</v>
      </c>
      <c r="H779">
        <v>1</v>
      </c>
      <c r="I779" t="s">
        <v>24</v>
      </c>
      <c r="J779">
        <v>37</v>
      </c>
      <c r="K779">
        <v>40</v>
      </c>
      <c r="L779">
        <v>3</v>
      </c>
      <c r="M779" t="s">
        <v>1284</v>
      </c>
      <c r="N779">
        <v>7</v>
      </c>
      <c r="O779">
        <v>10.67</v>
      </c>
      <c r="P779">
        <v>133470.28</v>
      </c>
      <c r="Q779">
        <v>123325.96</v>
      </c>
      <c r="R779">
        <v>286</v>
      </c>
      <c r="S779">
        <v>339</v>
      </c>
      <c r="T779" t="s">
        <v>26</v>
      </c>
      <c r="U779" t="s">
        <v>49</v>
      </c>
    </row>
    <row r="780" spans="1:21">
      <c r="A780" t="s">
        <v>1297</v>
      </c>
      <c r="B780" t="s">
        <v>1298</v>
      </c>
      <c r="C780" t="s">
        <v>1294</v>
      </c>
      <c r="D780">
        <v>169000</v>
      </c>
      <c r="E780">
        <v>5000</v>
      </c>
      <c r="F780">
        <v>169000</v>
      </c>
      <c r="G780">
        <v>338000</v>
      </c>
      <c r="H780">
        <v>2</v>
      </c>
      <c r="I780" t="s">
        <v>24</v>
      </c>
      <c r="J780">
        <v>35.270000000000003</v>
      </c>
      <c r="K780">
        <v>3</v>
      </c>
      <c r="L780">
        <v>3</v>
      </c>
      <c r="M780" t="s">
        <v>1284</v>
      </c>
      <c r="N780">
        <v>11</v>
      </c>
      <c r="O780">
        <v>13</v>
      </c>
      <c r="P780">
        <v>133470.28</v>
      </c>
      <c r="Q780">
        <v>123325.96</v>
      </c>
      <c r="R780">
        <v>286</v>
      </c>
      <c r="S780">
        <v>339</v>
      </c>
      <c r="T780" t="s">
        <v>26</v>
      </c>
      <c r="U780" t="s">
        <v>31</v>
      </c>
    </row>
    <row r="781" spans="1:21">
      <c r="A781" t="s">
        <v>1299</v>
      </c>
      <c r="B781" t="s">
        <v>1300</v>
      </c>
      <c r="C781" t="s">
        <v>1283</v>
      </c>
      <c r="D781">
        <v>151000</v>
      </c>
      <c r="E781">
        <v>10000</v>
      </c>
      <c r="H781">
        <v>3</v>
      </c>
      <c r="I781" t="s">
        <v>24</v>
      </c>
      <c r="J781">
        <v>27.96</v>
      </c>
      <c r="K781">
        <v>3</v>
      </c>
      <c r="L781">
        <v>11</v>
      </c>
      <c r="M781" t="s">
        <v>1284</v>
      </c>
      <c r="N781">
        <v>8</v>
      </c>
      <c r="O781">
        <v>14.33</v>
      </c>
      <c r="P781">
        <v>133470.28</v>
      </c>
      <c r="Q781">
        <v>123325.96</v>
      </c>
      <c r="R781">
        <v>286</v>
      </c>
      <c r="S781">
        <v>339</v>
      </c>
      <c r="T781" t="s">
        <v>34</v>
      </c>
      <c r="U781" t="s">
        <v>31</v>
      </c>
    </row>
    <row r="782" spans="1:21">
      <c r="A782" t="s">
        <v>1301</v>
      </c>
      <c r="B782" t="s">
        <v>1300</v>
      </c>
      <c r="C782" t="s">
        <v>1283</v>
      </c>
      <c r="D782">
        <v>142000</v>
      </c>
      <c r="E782">
        <v>10000</v>
      </c>
      <c r="H782">
        <v>4</v>
      </c>
      <c r="I782" t="s">
        <v>24</v>
      </c>
      <c r="J782">
        <v>25.34</v>
      </c>
      <c r="K782">
        <v>3</v>
      </c>
      <c r="L782">
        <v>11</v>
      </c>
      <c r="M782" t="s">
        <v>1284</v>
      </c>
      <c r="N782">
        <v>8</v>
      </c>
      <c r="O782">
        <v>14.33</v>
      </c>
      <c r="P782">
        <v>133470.28</v>
      </c>
      <c r="Q782">
        <v>123325.96</v>
      </c>
      <c r="R782">
        <v>286</v>
      </c>
      <c r="S782">
        <v>339</v>
      </c>
      <c r="T782" t="s">
        <v>34</v>
      </c>
      <c r="U782" t="s">
        <v>31</v>
      </c>
    </row>
    <row r="783" spans="1:21">
      <c r="A783" t="s">
        <v>1302</v>
      </c>
      <c r="B783" t="s">
        <v>1300</v>
      </c>
      <c r="C783" t="s">
        <v>1283</v>
      </c>
      <c r="D783">
        <v>152000</v>
      </c>
      <c r="E783">
        <v>10000</v>
      </c>
      <c r="H783">
        <v>8</v>
      </c>
      <c r="I783" t="s">
        <v>24</v>
      </c>
      <c r="J783">
        <v>25.86</v>
      </c>
      <c r="K783">
        <v>3</v>
      </c>
      <c r="L783">
        <v>11</v>
      </c>
      <c r="M783" t="s">
        <v>1284</v>
      </c>
      <c r="N783">
        <v>8</v>
      </c>
      <c r="O783">
        <v>14.33</v>
      </c>
      <c r="P783">
        <v>133470.28</v>
      </c>
      <c r="Q783">
        <v>123325.96</v>
      </c>
      <c r="R783">
        <v>286</v>
      </c>
      <c r="S783">
        <v>339</v>
      </c>
      <c r="T783" t="s">
        <v>34</v>
      </c>
      <c r="U783" t="s">
        <v>31</v>
      </c>
    </row>
    <row r="784" spans="1:21">
      <c r="A784" t="s">
        <v>1303</v>
      </c>
      <c r="B784" t="s">
        <v>1304</v>
      </c>
      <c r="C784" t="s">
        <v>1291</v>
      </c>
      <c r="D784">
        <v>92000</v>
      </c>
      <c r="E784">
        <v>2000</v>
      </c>
      <c r="F784">
        <v>92000</v>
      </c>
      <c r="G784">
        <v>92000</v>
      </c>
      <c r="H784">
        <v>1</v>
      </c>
      <c r="I784" t="s">
        <v>24</v>
      </c>
      <c r="J784">
        <v>37</v>
      </c>
      <c r="K784">
        <v>40</v>
      </c>
      <c r="L784">
        <v>3</v>
      </c>
      <c r="M784" t="s">
        <v>1284</v>
      </c>
      <c r="N784">
        <v>7</v>
      </c>
      <c r="O784">
        <v>12.67</v>
      </c>
      <c r="P784">
        <v>133470.28</v>
      </c>
      <c r="Q784">
        <v>123325.96</v>
      </c>
      <c r="R784">
        <v>286</v>
      </c>
      <c r="S784">
        <v>339</v>
      </c>
      <c r="T784" t="s">
        <v>26</v>
      </c>
      <c r="U784" t="s">
        <v>49</v>
      </c>
    </row>
    <row r="785" spans="1:21">
      <c r="A785" t="s">
        <v>1305</v>
      </c>
      <c r="B785" t="s">
        <v>1306</v>
      </c>
      <c r="C785" t="s">
        <v>1291</v>
      </c>
      <c r="D785">
        <v>125000</v>
      </c>
      <c r="E785">
        <v>10000</v>
      </c>
      <c r="F785">
        <v>125000</v>
      </c>
      <c r="G785">
        <v>125000</v>
      </c>
      <c r="H785">
        <v>2</v>
      </c>
      <c r="I785" t="s">
        <v>24</v>
      </c>
      <c r="J785">
        <v>25.28</v>
      </c>
      <c r="K785">
        <v>4</v>
      </c>
      <c r="L785">
        <v>14</v>
      </c>
      <c r="M785" t="s">
        <v>1284</v>
      </c>
      <c r="N785">
        <v>7</v>
      </c>
      <c r="O785">
        <v>12</v>
      </c>
      <c r="P785">
        <v>133470.28</v>
      </c>
      <c r="Q785">
        <v>123325.96</v>
      </c>
      <c r="R785">
        <v>286</v>
      </c>
      <c r="S785">
        <v>339</v>
      </c>
      <c r="T785" t="s">
        <v>34</v>
      </c>
      <c r="U785" t="s">
        <v>31</v>
      </c>
    </row>
    <row r="786" spans="1:21">
      <c r="A786" t="s">
        <v>1307</v>
      </c>
      <c r="B786" t="s">
        <v>1306</v>
      </c>
      <c r="C786" t="s">
        <v>1291</v>
      </c>
      <c r="D786">
        <v>133000</v>
      </c>
      <c r="E786">
        <v>10000</v>
      </c>
      <c r="F786">
        <v>133000</v>
      </c>
      <c r="G786">
        <v>133000</v>
      </c>
      <c r="H786">
        <v>9</v>
      </c>
      <c r="I786" t="s">
        <v>24</v>
      </c>
      <c r="J786">
        <v>25.28</v>
      </c>
      <c r="K786">
        <v>4</v>
      </c>
      <c r="L786">
        <v>14</v>
      </c>
      <c r="M786" t="s">
        <v>1284</v>
      </c>
      <c r="N786">
        <v>7</v>
      </c>
      <c r="O786">
        <v>12</v>
      </c>
      <c r="P786">
        <v>133470.28</v>
      </c>
      <c r="Q786">
        <v>123325.96</v>
      </c>
      <c r="R786">
        <v>286</v>
      </c>
      <c r="S786">
        <v>339</v>
      </c>
      <c r="T786" t="s">
        <v>34</v>
      </c>
      <c r="U786" t="s">
        <v>31</v>
      </c>
    </row>
    <row r="787" spans="1:21">
      <c r="A787" t="s">
        <v>1308</v>
      </c>
      <c r="B787" t="s">
        <v>1309</v>
      </c>
      <c r="C787" t="s">
        <v>1310</v>
      </c>
      <c r="D787">
        <v>160000</v>
      </c>
      <c r="E787">
        <v>12000</v>
      </c>
      <c r="F787">
        <v>160000</v>
      </c>
      <c r="H787">
        <v>2</v>
      </c>
      <c r="I787" t="s">
        <v>24</v>
      </c>
      <c r="J787">
        <v>33.49</v>
      </c>
      <c r="K787">
        <v>4</v>
      </c>
      <c r="L787">
        <v>4</v>
      </c>
      <c r="M787" t="s">
        <v>1284</v>
      </c>
      <c r="N787">
        <v>10</v>
      </c>
      <c r="O787">
        <v>12</v>
      </c>
      <c r="P787">
        <v>133470.28</v>
      </c>
      <c r="Q787">
        <v>123325.96</v>
      </c>
      <c r="R787">
        <v>286</v>
      </c>
      <c r="S787">
        <v>339</v>
      </c>
      <c r="T787" t="s">
        <v>26</v>
      </c>
      <c r="U787" t="s">
        <v>31</v>
      </c>
    </row>
    <row r="788" spans="1:21">
      <c r="A788" t="s">
        <v>1311</v>
      </c>
      <c r="B788" t="s">
        <v>1312</v>
      </c>
      <c r="C788" t="s">
        <v>1291</v>
      </c>
      <c r="D788">
        <v>88000</v>
      </c>
      <c r="E788">
        <v>7000</v>
      </c>
      <c r="G788">
        <v>88000</v>
      </c>
      <c r="H788">
        <v>5</v>
      </c>
      <c r="I788" t="s">
        <v>24</v>
      </c>
      <c r="J788">
        <v>28.19</v>
      </c>
      <c r="K788">
        <v>57</v>
      </c>
      <c r="L788">
        <v>5</v>
      </c>
      <c r="M788" t="s">
        <v>1284</v>
      </c>
      <c r="N788">
        <v>10</v>
      </c>
      <c r="O788">
        <v>10</v>
      </c>
      <c r="P788">
        <v>133470.28</v>
      </c>
      <c r="Q788">
        <v>123325.96</v>
      </c>
      <c r="R788">
        <v>286</v>
      </c>
      <c r="S788">
        <v>339</v>
      </c>
      <c r="T788" t="s">
        <v>34</v>
      </c>
      <c r="U788" t="s">
        <v>57</v>
      </c>
    </row>
    <row r="789" spans="1:21">
      <c r="A789" t="s">
        <v>1313</v>
      </c>
      <c r="B789" t="s">
        <v>1282</v>
      </c>
      <c r="C789" t="s">
        <v>1283</v>
      </c>
      <c r="D789">
        <v>167000</v>
      </c>
      <c r="E789">
        <v>10000</v>
      </c>
      <c r="H789">
        <v>4</v>
      </c>
      <c r="I789" t="s">
        <v>89</v>
      </c>
      <c r="J789">
        <v>30.51</v>
      </c>
      <c r="K789">
        <v>3</v>
      </c>
      <c r="L789">
        <v>11</v>
      </c>
      <c r="M789" t="s">
        <v>1284</v>
      </c>
      <c r="N789">
        <v>8</v>
      </c>
      <c r="O789">
        <v>13</v>
      </c>
      <c r="P789">
        <v>133470.28</v>
      </c>
      <c r="Q789">
        <v>95329.65</v>
      </c>
      <c r="R789">
        <v>286</v>
      </c>
      <c r="S789">
        <v>1622</v>
      </c>
      <c r="T789" t="s">
        <v>26</v>
      </c>
      <c r="U789" t="s">
        <v>31</v>
      </c>
    </row>
    <row r="790" spans="1:21">
      <c r="A790" t="s">
        <v>1314</v>
      </c>
      <c r="B790" t="s">
        <v>1282</v>
      </c>
      <c r="C790" t="s">
        <v>1283</v>
      </c>
      <c r="D790">
        <v>150000</v>
      </c>
      <c r="E790">
        <v>10000</v>
      </c>
      <c r="H790">
        <v>6</v>
      </c>
      <c r="I790" t="s">
        <v>89</v>
      </c>
      <c r="J790">
        <v>30.51</v>
      </c>
      <c r="K790">
        <v>3</v>
      </c>
      <c r="L790">
        <v>11</v>
      </c>
      <c r="M790" t="s">
        <v>1284</v>
      </c>
      <c r="N790">
        <v>8</v>
      </c>
      <c r="O790">
        <v>13</v>
      </c>
      <c r="P790">
        <v>133470.28</v>
      </c>
      <c r="Q790">
        <v>95329.65</v>
      </c>
      <c r="R790">
        <v>286</v>
      </c>
      <c r="S790">
        <v>1622</v>
      </c>
      <c r="T790" t="s">
        <v>26</v>
      </c>
      <c r="U790" t="s">
        <v>31</v>
      </c>
    </row>
    <row r="791" spans="1:21">
      <c r="A791" t="s">
        <v>1315</v>
      </c>
      <c r="B791" t="s">
        <v>1316</v>
      </c>
      <c r="C791" t="s">
        <v>1216</v>
      </c>
      <c r="D791">
        <v>85000</v>
      </c>
      <c r="E791">
        <v>5000</v>
      </c>
      <c r="H791">
        <v>3</v>
      </c>
      <c r="I791" t="s">
        <v>89</v>
      </c>
      <c r="J791">
        <v>16.79</v>
      </c>
      <c r="K791">
        <v>5</v>
      </c>
      <c r="L791">
        <v>3</v>
      </c>
      <c r="M791" t="s">
        <v>1284</v>
      </c>
      <c r="N791">
        <v>12</v>
      </c>
      <c r="O791">
        <v>14</v>
      </c>
      <c r="P791">
        <v>133470.28</v>
      </c>
      <c r="Q791">
        <v>95329.65</v>
      </c>
      <c r="R791">
        <v>286</v>
      </c>
      <c r="S791">
        <v>1622</v>
      </c>
      <c r="T791" t="s">
        <v>108</v>
      </c>
      <c r="U791" t="s">
        <v>31</v>
      </c>
    </row>
    <row r="792" spans="1:21">
      <c r="A792" t="s">
        <v>1317</v>
      </c>
      <c r="B792" t="s">
        <v>1318</v>
      </c>
      <c r="C792" t="s">
        <v>1283</v>
      </c>
      <c r="D792">
        <v>125000</v>
      </c>
      <c r="E792">
        <v>15000</v>
      </c>
      <c r="H792">
        <v>2</v>
      </c>
      <c r="I792" t="s">
        <v>89</v>
      </c>
      <c r="J792">
        <v>28.35</v>
      </c>
      <c r="K792">
        <v>5</v>
      </c>
      <c r="L792">
        <v>4</v>
      </c>
      <c r="M792" t="s">
        <v>1284</v>
      </c>
      <c r="N792">
        <v>10</v>
      </c>
      <c r="O792">
        <v>12.33</v>
      </c>
      <c r="P792">
        <v>133470.28</v>
      </c>
      <c r="Q792">
        <v>95329.65</v>
      </c>
      <c r="R792">
        <v>286</v>
      </c>
      <c r="S792">
        <v>1622</v>
      </c>
      <c r="T792" t="s">
        <v>34</v>
      </c>
      <c r="U792" t="s">
        <v>31</v>
      </c>
    </row>
    <row r="793" spans="1:21">
      <c r="A793" t="s">
        <v>1319</v>
      </c>
      <c r="B793" t="s">
        <v>1320</v>
      </c>
      <c r="C793" t="s">
        <v>1283</v>
      </c>
      <c r="D793">
        <v>110000</v>
      </c>
      <c r="E793">
        <v>6000</v>
      </c>
      <c r="F793">
        <v>110000</v>
      </c>
      <c r="G793">
        <v>110000</v>
      </c>
      <c r="H793">
        <v>2</v>
      </c>
      <c r="I793" t="s">
        <v>89</v>
      </c>
      <c r="J793">
        <v>33.950000000000003</v>
      </c>
      <c r="K793">
        <v>27</v>
      </c>
      <c r="L793">
        <v>2</v>
      </c>
      <c r="M793" t="s">
        <v>1284</v>
      </c>
      <c r="N793">
        <v>10</v>
      </c>
      <c r="O793">
        <v>14</v>
      </c>
      <c r="P793">
        <v>133470.28</v>
      </c>
      <c r="Q793">
        <v>95329.65</v>
      </c>
      <c r="R793">
        <v>286</v>
      </c>
      <c r="S793">
        <v>1622</v>
      </c>
      <c r="T793" t="s">
        <v>26</v>
      </c>
      <c r="U793" t="s">
        <v>27</v>
      </c>
    </row>
    <row r="794" spans="1:21">
      <c r="A794" t="s">
        <v>1321</v>
      </c>
      <c r="B794" t="s">
        <v>1322</v>
      </c>
      <c r="C794" t="s">
        <v>1291</v>
      </c>
      <c r="D794">
        <v>132000</v>
      </c>
      <c r="E794">
        <v>10000</v>
      </c>
      <c r="F794">
        <v>132000</v>
      </c>
      <c r="G794">
        <v>132000</v>
      </c>
      <c r="H794">
        <v>4</v>
      </c>
      <c r="I794" t="s">
        <v>89</v>
      </c>
      <c r="J794">
        <v>25.74</v>
      </c>
      <c r="K794">
        <v>8</v>
      </c>
      <c r="L794">
        <v>7</v>
      </c>
      <c r="M794" t="s">
        <v>1284</v>
      </c>
      <c r="N794">
        <v>8</v>
      </c>
      <c r="O794">
        <v>10.33</v>
      </c>
      <c r="P794">
        <v>133470.28</v>
      </c>
      <c r="Q794">
        <v>95329.65</v>
      </c>
      <c r="R794">
        <v>286</v>
      </c>
      <c r="S794">
        <v>1622</v>
      </c>
      <c r="T794" t="s">
        <v>34</v>
      </c>
      <c r="U794" t="s">
        <v>31</v>
      </c>
    </row>
    <row r="795" spans="1:21">
      <c r="A795" t="s">
        <v>1323</v>
      </c>
      <c r="B795" t="s">
        <v>1322</v>
      </c>
      <c r="C795" t="s">
        <v>1291</v>
      </c>
      <c r="D795">
        <v>125000</v>
      </c>
      <c r="E795">
        <v>10000</v>
      </c>
      <c r="F795">
        <v>125000</v>
      </c>
      <c r="G795">
        <v>125000</v>
      </c>
      <c r="H795">
        <v>5</v>
      </c>
      <c r="I795" t="s">
        <v>89</v>
      </c>
      <c r="J795">
        <v>26.07</v>
      </c>
      <c r="K795">
        <v>8</v>
      </c>
      <c r="L795">
        <v>7</v>
      </c>
      <c r="M795" t="s">
        <v>1284</v>
      </c>
      <c r="N795">
        <v>8</v>
      </c>
      <c r="O795">
        <v>10.33</v>
      </c>
      <c r="P795">
        <v>133470.28</v>
      </c>
      <c r="Q795">
        <v>95329.65</v>
      </c>
      <c r="R795">
        <v>286</v>
      </c>
      <c r="S795">
        <v>1622</v>
      </c>
      <c r="T795" t="s">
        <v>34</v>
      </c>
      <c r="U795" t="s">
        <v>31</v>
      </c>
    </row>
    <row r="796" spans="1:21">
      <c r="A796" t="s">
        <v>1324</v>
      </c>
      <c r="B796" t="s">
        <v>1322</v>
      </c>
      <c r="C796" t="s">
        <v>1291</v>
      </c>
      <c r="D796">
        <v>148000</v>
      </c>
      <c r="E796">
        <v>10000</v>
      </c>
      <c r="F796">
        <v>148000</v>
      </c>
      <c r="G796">
        <v>148000</v>
      </c>
      <c r="H796">
        <v>5</v>
      </c>
      <c r="I796" t="s">
        <v>89</v>
      </c>
      <c r="J796">
        <v>29.22</v>
      </c>
      <c r="K796">
        <v>8</v>
      </c>
      <c r="L796">
        <v>7</v>
      </c>
      <c r="M796" t="s">
        <v>1284</v>
      </c>
      <c r="N796">
        <v>8</v>
      </c>
      <c r="O796">
        <v>10.33</v>
      </c>
      <c r="P796">
        <v>133470.28</v>
      </c>
      <c r="Q796">
        <v>95329.65</v>
      </c>
      <c r="R796">
        <v>286</v>
      </c>
      <c r="S796">
        <v>1622</v>
      </c>
      <c r="T796" t="s">
        <v>34</v>
      </c>
      <c r="U796" t="s">
        <v>31</v>
      </c>
    </row>
    <row r="797" spans="1:21">
      <c r="A797" t="s">
        <v>1325</v>
      </c>
      <c r="B797" t="s">
        <v>1326</v>
      </c>
      <c r="C797" t="s">
        <v>1283</v>
      </c>
      <c r="D797">
        <v>36000</v>
      </c>
      <c r="E797">
        <v>4000</v>
      </c>
      <c r="F797">
        <v>36000</v>
      </c>
      <c r="G797">
        <v>36000</v>
      </c>
      <c r="H797">
        <v>2</v>
      </c>
      <c r="I797" t="s">
        <v>89</v>
      </c>
      <c r="J797">
        <v>12</v>
      </c>
      <c r="K797">
        <v>50</v>
      </c>
      <c r="L797">
        <v>2</v>
      </c>
      <c r="M797" t="s">
        <v>1284</v>
      </c>
      <c r="N797">
        <v>5</v>
      </c>
      <c r="O797">
        <v>13.67</v>
      </c>
      <c r="P797">
        <v>133470.28</v>
      </c>
      <c r="Q797">
        <v>95329.65</v>
      </c>
      <c r="R797">
        <v>286</v>
      </c>
      <c r="S797">
        <v>1622</v>
      </c>
      <c r="T797" t="s">
        <v>108</v>
      </c>
      <c r="U797" t="s">
        <v>42</v>
      </c>
    </row>
    <row r="798" spans="1:21">
      <c r="A798" t="s">
        <v>1327</v>
      </c>
      <c r="B798" t="s">
        <v>1328</v>
      </c>
      <c r="C798" t="s">
        <v>1283</v>
      </c>
      <c r="D798">
        <v>86000</v>
      </c>
      <c r="E798">
        <v>2000</v>
      </c>
      <c r="F798">
        <v>86000</v>
      </c>
      <c r="H798">
        <v>3</v>
      </c>
      <c r="I798" t="s">
        <v>89</v>
      </c>
      <c r="J798">
        <v>25.92</v>
      </c>
      <c r="K798">
        <v>29</v>
      </c>
      <c r="L798">
        <v>3</v>
      </c>
      <c r="M798" t="s">
        <v>1284</v>
      </c>
      <c r="N798">
        <v>7</v>
      </c>
      <c r="O798">
        <v>14</v>
      </c>
      <c r="P798">
        <v>133470.28</v>
      </c>
      <c r="Q798">
        <v>95329.65</v>
      </c>
      <c r="R798">
        <v>286</v>
      </c>
      <c r="S798">
        <v>1622</v>
      </c>
      <c r="T798" t="s">
        <v>34</v>
      </c>
      <c r="U798" t="s">
        <v>27</v>
      </c>
    </row>
    <row r="799" spans="1:21">
      <c r="A799" t="s">
        <v>1329</v>
      </c>
      <c r="B799" t="s">
        <v>1330</v>
      </c>
      <c r="C799" t="s">
        <v>1331</v>
      </c>
      <c r="D799">
        <v>130000</v>
      </c>
      <c r="E799">
        <v>8000</v>
      </c>
      <c r="F799">
        <v>130000</v>
      </c>
      <c r="G799">
        <v>130000</v>
      </c>
      <c r="H799">
        <v>3</v>
      </c>
      <c r="I799" t="s">
        <v>89</v>
      </c>
      <c r="J799">
        <v>21.56</v>
      </c>
      <c r="K799">
        <v>17</v>
      </c>
      <c r="L799">
        <v>10</v>
      </c>
      <c r="M799" t="s">
        <v>1284</v>
      </c>
      <c r="N799">
        <v>6</v>
      </c>
      <c r="O799">
        <v>13.33</v>
      </c>
      <c r="P799">
        <v>133470.28</v>
      </c>
      <c r="Q799">
        <v>95329.65</v>
      </c>
      <c r="R799">
        <v>286</v>
      </c>
      <c r="S799">
        <v>1622</v>
      </c>
      <c r="T799" t="s">
        <v>34</v>
      </c>
      <c r="U799" t="s">
        <v>90</v>
      </c>
    </row>
    <row r="800" spans="1:21">
      <c r="A800" t="s">
        <v>1332</v>
      </c>
      <c r="B800" t="s">
        <v>1333</v>
      </c>
      <c r="C800" t="s">
        <v>1294</v>
      </c>
      <c r="D800">
        <v>82000</v>
      </c>
      <c r="E800">
        <v>3000</v>
      </c>
      <c r="H800">
        <v>3</v>
      </c>
      <c r="I800" t="s">
        <v>89</v>
      </c>
      <c r="J800">
        <v>21.12</v>
      </c>
      <c r="K800">
        <v>19</v>
      </c>
      <c r="L800">
        <v>3</v>
      </c>
      <c r="M800" t="s">
        <v>1284</v>
      </c>
      <c r="N800">
        <v>11</v>
      </c>
      <c r="O800">
        <v>12.33</v>
      </c>
      <c r="P800">
        <v>133470.28</v>
      </c>
      <c r="Q800">
        <v>95329.65</v>
      </c>
      <c r="R800">
        <v>286</v>
      </c>
      <c r="S800">
        <v>1622</v>
      </c>
      <c r="T800" t="s">
        <v>34</v>
      </c>
      <c r="U800" t="s">
        <v>90</v>
      </c>
    </row>
    <row r="801" spans="1:21">
      <c r="A801" t="s">
        <v>1334</v>
      </c>
      <c r="B801" t="s">
        <v>1333</v>
      </c>
      <c r="C801" t="s">
        <v>1294</v>
      </c>
      <c r="D801">
        <v>82000</v>
      </c>
      <c r="E801">
        <v>3000</v>
      </c>
      <c r="H801">
        <v>3</v>
      </c>
      <c r="I801" t="s">
        <v>89</v>
      </c>
      <c r="J801">
        <v>21.94</v>
      </c>
      <c r="K801">
        <v>19</v>
      </c>
      <c r="L801">
        <v>3</v>
      </c>
      <c r="M801" t="s">
        <v>1284</v>
      </c>
      <c r="N801">
        <v>11</v>
      </c>
      <c r="O801">
        <v>12.33</v>
      </c>
      <c r="P801">
        <v>133470.28</v>
      </c>
      <c r="Q801">
        <v>95329.65</v>
      </c>
      <c r="R801">
        <v>286</v>
      </c>
      <c r="S801">
        <v>1622</v>
      </c>
      <c r="T801" t="s">
        <v>34</v>
      </c>
      <c r="U801" t="s">
        <v>90</v>
      </c>
    </row>
    <row r="802" spans="1:21">
      <c r="A802" t="s">
        <v>1335</v>
      </c>
      <c r="B802" t="s">
        <v>1336</v>
      </c>
      <c r="C802" t="s">
        <v>1283</v>
      </c>
      <c r="D802">
        <v>121000</v>
      </c>
      <c r="E802">
        <v>6000</v>
      </c>
      <c r="F802">
        <v>121000</v>
      </c>
      <c r="H802">
        <v>1</v>
      </c>
      <c r="I802" t="s">
        <v>89</v>
      </c>
      <c r="J802">
        <v>26.85</v>
      </c>
      <c r="K802">
        <v>20</v>
      </c>
      <c r="L802">
        <v>7</v>
      </c>
      <c r="M802" t="s">
        <v>1284</v>
      </c>
      <c r="N802">
        <v>5</v>
      </c>
      <c r="O802">
        <v>14.67</v>
      </c>
      <c r="P802">
        <v>133470.28</v>
      </c>
      <c r="Q802">
        <v>95329.65</v>
      </c>
      <c r="R802">
        <v>286</v>
      </c>
      <c r="S802">
        <v>1622</v>
      </c>
      <c r="T802" t="s">
        <v>34</v>
      </c>
      <c r="U802" t="s">
        <v>90</v>
      </c>
    </row>
    <row r="803" spans="1:21">
      <c r="A803" t="s">
        <v>1337</v>
      </c>
      <c r="B803" t="s">
        <v>1338</v>
      </c>
      <c r="C803" t="s">
        <v>1291</v>
      </c>
      <c r="D803">
        <v>73000</v>
      </c>
      <c r="E803">
        <v>2000</v>
      </c>
      <c r="F803">
        <v>73000</v>
      </c>
      <c r="G803">
        <v>73000</v>
      </c>
      <c r="H803">
        <v>1</v>
      </c>
      <c r="I803" t="s">
        <v>89</v>
      </c>
      <c r="J803">
        <v>20.09</v>
      </c>
      <c r="K803">
        <v>32</v>
      </c>
      <c r="L803">
        <v>2</v>
      </c>
      <c r="M803" t="s">
        <v>1284</v>
      </c>
      <c r="N803">
        <v>8</v>
      </c>
      <c r="O803">
        <v>15.33</v>
      </c>
      <c r="P803">
        <v>133470.28</v>
      </c>
      <c r="Q803">
        <v>95329.65</v>
      </c>
      <c r="R803">
        <v>286</v>
      </c>
      <c r="S803">
        <v>1622</v>
      </c>
      <c r="T803" t="s">
        <v>34</v>
      </c>
      <c r="U803" t="s">
        <v>49</v>
      </c>
    </row>
    <row r="804" spans="1:21">
      <c r="A804" t="s">
        <v>1339</v>
      </c>
      <c r="B804" t="s">
        <v>1340</v>
      </c>
      <c r="C804" t="s">
        <v>1283</v>
      </c>
      <c r="D804">
        <v>92000</v>
      </c>
      <c r="E804">
        <v>4000</v>
      </c>
      <c r="F804">
        <v>92000</v>
      </c>
      <c r="G804">
        <v>92000</v>
      </c>
      <c r="H804">
        <v>4</v>
      </c>
      <c r="I804" t="s">
        <v>89</v>
      </c>
      <c r="J804">
        <v>21.51</v>
      </c>
      <c r="K804">
        <v>30</v>
      </c>
      <c r="L804">
        <v>4</v>
      </c>
      <c r="M804" t="s">
        <v>1284</v>
      </c>
      <c r="N804">
        <v>4</v>
      </c>
      <c r="O804">
        <v>13.67</v>
      </c>
      <c r="P804">
        <v>133470.28</v>
      </c>
      <c r="Q804">
        <v>95329.65</v>
      </c>
      <c r="R804">
        <v>286</v>
      </c>
      <c r="S804">
        <v>1622</v>
      </c>
      <c r="T804" t="s">
        <v>34</v>
      </c>
      <c r="U804" t="s">
        <v>27</v>
      </c>
    </row>
    <row r="805" spans="1:21">
      <c r="A805" t="s">
        <v>1341</v>
      </c>
      <c r="B805" t="s">
        <v>1342</v>
      </c>
      <c r="C805" t="s">
        <v>1283</v>
      </c>
      <c r="D805">
        <v>74000</v>
      </c>
      <c r="E805">
        <v>2500</v>
      </c>
      <c r="F805">
        <v>74000</v>
      </c>
      <c r="G805">
        <v>74000</v>
      </c>
      <c r="H805">
        <v>1</v>
      </c>
      <c r="I805" t="s">
        <v>89</v>
      </c>
      <c r="J805">
        <v>23.5</v>
      </c>
      <c r="K805">
        <v>44</v>
      </c>
      <c r="L805">
        <v>2</v>
      </c>
      <c r="M805" t="s">
        <v>1284</v>
      </c>
      <c r="N805">
        <v>4</v>
      </c>
      <c r="O805">
        <v>12.33</v>
      </c>
      <c r="P805">
        <v>133470.28</v>
      </c>
      <c r="Q805">
        <v>95329.65</v>
      </c>
      <c r="R805">
        <v>286</v>
      </c>
      <c r="S805">
        <v>1622</v>
      </c>
      <c r="T805" t="s">
        <v>34</v>
      </c>
      <c r="U805" t="s">
        <v>42</v>
      </c>
    </row>
    <row r="806" spans="1:21">
      <c r="A806" t="s">
        <v>1343</v>
      </c>
      <c r="B806" t="s">
        <v>1344</v>
      </c>
      <c r="C806" t="s">
        <v>1310</v>
      </c>
      <c r="D806">
        <v>78000</v>
      </c>
      <c r="E806">
        <v>5000</v>
      </c>
      <c r="F806">
        <v>78000</v>
      </c>
      <c r="G806">
        <v>78000</v>
      </c>
      <c r="H806">
        <v>1</v>
      </c>
      <c r="I806" t="s">
        <v>89</v>
      </c>
      <c r="J806">
        <v>20.3</v>
      </c>
      <c r="K806">
        <v>36</v>
      </c>
      <c r="L806">
        <v>4</v>
      </c>
      <c r="M806" t="s">
        <v>1284</v>
      </c>
      <c r="N806">
        <v>10</v>
      </c>
      <c r="O806">
        <v>10</v>
      </c>
      <c r="P806">
        <v>133470.28</v>
      </c>
      <c r="Q806">
        <v>95329.65</v>
      </c>
      <c r="R806">
        <v>286</v>
      </c>
      <c r="S806">
        <v>1622</v>
      </c>
      <c r="T806" t="s">
        <v>34</v>
      </c>
      <c r="U806" t="s">
        <v>49</v>
      </c>
    </row>
    <row r="807" spans="1:21">
      <c r="A807" t="s">
        <v>1345</v>
      </c>
      <c r="B807" t="s">
        <v>1346</v>
      </c>
      <c r="C807" t="s">
        <v>1291</v>
      </c>
      <c r="D807">
        <v>102000</v>
      </c>
      <c r="E807">
        <v>3000</v>
      </c>
      <c r="H807">
        <v>2</v>
      </c>
      <c r="I807" t="s">
        <v>89</v>
      </c>
      <c r="J807">
        <v>21.08</v>
      </c>
      <c r="K807">
        <v>3</v>
      </c>
      <c r="L807">
        <v>4</v>
      </c>
      <c r="M807" t="s">
        <v>1284</v>
      </c>
      <c r="N807">
        <v>8</v>
      </c>
      <c r="O807">
        <v>14</v>
      </c>
      <c r="P807">
        <v>133470.28</v>
      </c>
      <c r="Q807">
        <v>95329.65</v>
      </c>
      <c r="R807">
        <v>286</v>
      </c>
      <c r="S807">
        <v>1622</v>
      </c>
      <c r="T807" t="s">
        <v>34</v>
      </c>
      <c r="U807" t="s">
        <v>31</v>
      </c>
    </row>
    <row r="808" spans="1:21">
      <c r="A808" t="s">
        <v>1347</v>
      </c>
      <c r="B808" t="s">
        <v>1348</v>
      </c>
      <c r="C808" t="s">
        <v>1310</v>
      </c>
      <c r="D808">
        <v>84000</v>
      </c>
      <c r="E808">
        <v>6000</v>
      </c>
      <c r="G808">
        <v>84000</v>
      </c>
      <c r="H808">
        <v>2</v>
      </c>
      <c r="I808" t="s">
        <v>89</v>
      </c>
      <c r="J808">
        <v>20.28</v>
      </c>
      <c r="K808">
        <v>12</v>
      </c>
      <c r="L808">
        <v>3</v>
      </c>
      <c r="M808" t="s">
        <v>1284</v>
      </c>
      <c r="N808">
        <v>9</v>
      </c>
      <c r="O808">
        <v>10.33</v>
      </c>
      <c r="P808">
        <v>133470.28</v>
      </c>
      <c r="Q808">
        <v>95329.65</v>
      </c>
      <c r="R808">
        <v>286</v>
      </c>
      <c r="S808">
        <v>1622</v>
      </c>
      <c r="T808" t="s">
        <v>34</v>
      </c>
      <c r="U808" t="s">
        <v>90</v>
      </c>
    </row>
    <row r="809" spans="1:21">
      <c r="A809" t="s">
        <v>1349</v>
      </c>
      <c r="B809" t="s">
        <v>1348</v>
      </c>
      <c r="C809" t="s">
        <v>1310</v>
      </c>
      <c r="D809">
        <v>84000</v>
      </c>
      <c r="E809">
        <v>6000</v>
      </c>
      <c r="G809">
        <v>84000</v>
      </c>
      <c r="H809">
        <v>3</v>
      </c>
      <c r="I809" t="s">
        <v>89</v>
      </c>
      <c r="J809">
        <v>20.28</v>
      </c>
      <c r="K809">
        <v>12</v>
      </c>
      <c r="L809">
        <v>3</v>
      </c>
      <c r="M809" t="s">
        <v>1284</v>
      </c>
      <c r="N809">
        <v>9</v>
      </c>
      <c r="O809">
        <v>10.33</v>
      </c>
      <c r="P809">
        <v>133470.28</v>
      </c>
      <c r="Q809">
        <v>95329.65</v>
      </c>
      <c r="R809">
        <v>286</v>
      </c>
      <c r="S809">
        <v>1622</v>
      </c>
      <c r="T809" t="s">
        <v>34</v>
      </c>
      <c r="U809" t="s">
        <v>90</v>
      </c>
    </row>
    <row r="810" spans="1:21">
      <c r="A810" t="s">
        <v>1350</v>
      </c>
      <c r="B810" t="s">
        <v>1351</v>
      </c>
      <c r="C810" t="s">
        <v>1283</v>
      </c>
      <c r="D810">
        <v>65000</v>
      </c>
      <c r="F810">
        <v>65000</v>
      </c>
      <c r="G810">
        <v>65000</v>
      </c>
      <c r="H810">
        <v>2</v>
      </c>
      <c r="I810" t="s">
        <v>89</v>
      </c>
      <c r="J810">
        <v>20</v>
      </c>
      <c r="K810">
        <v>59</v>
      </c>
      <c r="L810">
        <v>2</v>
      </c>
      <c r="M810" t="s">
        <v>1284</v>
      </c>
      <c r="N810">
        <v>10</v>
      </c>
      <c r="O810">
        <v>11</v>
      </c>
      <c r="P810">
        <v>133470.28</v>
      </c>
      <c r="Q810">
        <v>95329.65</v>
      </c>
      <c r="R810">
        <v>286</v>
      </c>
      <c r="S810">
        <v>1622</v>
      </c>
      <c r="T810" t="s">
        <v>34</v>
      </c>
      <c r="U810" t="s">
        <v>57</v>
      </c>
    </row>
    <row r="811" spans="1:21">
      <c r="A811" t="s">
        <v>1352</v>
      </c>
      <c r="B811" t="s">
        <v>1353</v>
      </c>
      <c r="C811" t="s">
        <v>1283</v>
      </c>
      <c r="D811">
        <v>70000</v>
      </c>
      <c r="E811">
        <v>3000</v>
      </c>
      <c r="F811">
        <v>70000</v>
      </c>
      <c r="H811">
        <v>2</v>
      </c>
      <c r="I811" t="s">
        <v>89</v>
      </c>
      <c r="J811">
        <v>18.5</v>
      </c>
      <c r="K811">
        <v>45</v>
      </c>
      <c r="L811">
        <v>2</v>
      </c>
      <c r="M811" t="s">
        <v>1284</v>
      </c>
      <c r="N811">
        <v>4</v>
      </c>
      <c r="O811">
        <v>12.33</v>
      </c>
      <c r="P811">
        <v>133470.28</v>
      </c>
      <c r="Q811">
        <v>95329.65</v>
      </c>
      <c r="R811">
        <v>286</v>
      </c>
      <c r="S811">
        <v>1622</v>
      </c>
      <c r="T811" t="s">
        <v>108</v>
      </c>
      <c r="U811" t="s">
        <v>42</v>
      </c>
    </row>
    <row r="812" spans="1:21">
      <c r="A812" t="s">
        <v>1354</v>
      </c>
      <c r="B812" t="s">
        <v>1355</v>
      </c>
      <c r="C812" t="s">
        <v>1310</v>
      </c>
      <c r="D812">
        <v>58000</v>
      </c>
      <c r="F812">
        <v>58000</v>
      </c>
      <c r="G812">
        <v>58000</v>
      </c>
      <c r="H812">
        <v>2</v>
      </c>
      <c r="I812" t="s">
        <v>89</v>
      </c>
      <c r="J812">
        <v>17</v>
      </c>
      <c r="K812">
        <v>79</v>
      </c>
      <c r="L812">
        <v>2</v>
      </c>
      <c r="M812" t="s">
        <v>1284</v>
      </c>
      <c r="N812">
        <v>10</v>
      </c>
      <c r="O812">
        <v>12.33</v>
      </c>
      <c r="P812">
        <v>133470.28</v>
      </c>
      <c r="Q812">
        <v>95329.65</v>
      </c>
      <c r="R812">
        <v>286</v>
      </c>
      <c r="S812">
        <v>1622</v>
      </c>
      <c r="T812" t="s">
        <v>108</v>
      </c>
      <c r="U812" t="s">
        <v>38</v>
      </c>
    </row>
    <row r="813" spans="1:21">
      <c r="A813" t="s">
        <v>1356</v>
      </c>
      <c r="B813" t="s">
        <v>1357</v>
      </c>
      <c r="C813" t="s">
        <v>1283</v>
      </c>
      <c r="D813">
        <v>146000</v>
      </c>
      <c r="E813">
        <v>12000</v>
      </c>
      <c r="F813">
        <v>146000</v>
      </c>
      <c r="G813">
        <v>146000</v>
      </c>
      <c r="H813">
        <v>3</v>
      </c>
      <c r="I813" t="s">
        <v>89</v>
      </c>
      <c r="J813">
        <v>25.22</v>
      </c>
      <c r="K813">
        <v>6</v>
      </c>
      <c r="L813">
        <v>5</v>
      </c>
      <c r="M813" t="s">
        <v>1284</v>
      </c>
      <c r="N813">
        <v>6</v>
      </c>
      <c r="O813">
        <v>13.67</v>
      </c>
      <c r="P813">
        <v>133470.28</v>
      </c>
      <c r="Q813">
        <v>95329.65</v>
      </c>
      <c r="R813">
        <v>286</v>
      </c>
      <c r="S813">
        <v>1622</v>
      </c>
      <c r="T813" t="s">
        <v>34</v>
      </c>
      <c r="U813" t="s">
        <v>31</v>
      </c>
    </row>
    <row r="814" spans="1:21">
      <c r="A814" t="s">
        <v>1358</v>
      </c>
      <c r="B814" t="s">
        <v>1357</v>
      </c>
      <c r="C814" t="s">
        <v>1283</v>
      </c>
      <c r="D814">
        <v>151000</v>
      </c>
      <c r="E814">
        <v>12000</v>
      </c>
      <c r="F814">
        <v>151000</v>
      </c>
      <c r="G814">
        <v>151000</v>
      </c>
      <c r="H814">
        <v>3</v>
      </c>
      <c r="I814" t="s">
        <v>89</v>
      </c>
      <c r="J814">
        <v>25.22</v>
      </c>
      <c r="K814">
        <v>6</v>
      </c>
      <c r="L814">
        <v>5</v>
      </c>
      <c r="M814" t="s">
        <v>1284</v>
      </c>
      <c r="N814">
        <v>6</v>
      </c>
      <c r="O814">
        <v>13.67</v>
      </c>
      <c r="P814">
        <v>133470.28</v>
      </c>
      <c r="Q814">
        <v>95329.65</v>
      </c>
      <c r="R814">
        <v>286</v>
      </c>
      <c r="S814">
        <v>1622</v>
      </c>
      <c r="T814" t="s">
        <v>34</v>
      </c>
      <c r="U814" t="s">
        <v>31</v>
      </c>
    </row>
    <row r="815" spans="1:21">
      <c r="A815" t="s">
        <v>1359</v>
      </c>
      <c r="B815" t="s">
        <v>1357</v>
      </c>
      <c r="C815" t="s">
        <v>1283</v>
      </c>
      <c r="D815">
        <v>147000</v>
      </c>
      <c r="E815">
        <v>12000</v>
      </c>
      <c r="F815">
        <v>147000</v>
      </c>
      <c r="G815">
        <v>147000</v>
      </c>
      <c r="H815">
        <v>4</v>
      </c>
      <c r="I815" t="s">
        <v>89</v>
      </c>
      <c r="J815">
        <v>25.3</v>
      </c>
      <c r="K815">
        <v>6</v>
      </c>
      <c r="L815">
        <v>5</v>
      </c>
      <c r="M815" t="s">
        <v>1284</v>
      </c>
      <c r="N815">
        <v>6</v>
      </c>
      <c r="O815">
        <v>13.67</v>
      </c>
      <c r="P815">
        <v>133470.28</v>
      </c>
      <c r="Q815">
        <v>95329.65</v>
      </c>
      <c r="R815">
        <v>286</v>
      </c>
      <c r="S815">
        <v>1622</v>
      </c>
      <c r="T815" t="s">
        <v>34</v>
      </c>
      <c r="U815" t="s">
        <v>31</v>
      </c>
    </row>
    <row r="816" spans="1:21">
      <c r="A816" t="s">
        <v>1360</v>
      </c>
      <c r="B816" t="s">
        <v>1357</v>
      </c>
      <c r="C816" t="s">
        <v>1283</v>
      </c>
      <c r="D816">
        <v>152000</v>
      </c>
      <c r="E816">
        <v>12000</v>
      </c>
      <c r="F816">
        <v>152000</v>
      </c>
      <c r="G816">
        <v>152000</v>
      </c>
      <c r="H816">
        <v>4</v>
      </c>
      <c r="I816" t="s">
        <v>89</v>
      </c>
      <c r="J816">
        <v>25.3</v>
      </c>
      <c r="K816">
        <v>6</v>
      </c>
      <c r="L816">
        <v>5</v>
      </c>
      <c r="M816" t="s">
        <v>1284</v>
      </c>
      <c r="N816">
        <v>6</v>
      </c>
      <c r="O816">
        <v>13.67</v>
      </c>
      <c r="P816">
        <v>133470.28</v>
      </c>
      <c r="Q816">
        <v>95329.65</v>
      </c>
      <c r="R816">
        <v>286</v>
      </c>
      <c r="S816">
        <v>1622</v>
      </c>
      <c r="T816" t="s">
        <v>34</v>
      </c>
      <c r="U816" t="s">
        <v>31</v>
      </c>
    </row>
    <row r="817" spans="1:21">
      <c r="A817" t="s">
        <v>1361</v>
      </c>
      <c r="B817" t="s">
        <v>1357</v>
      </c>
      <c r="C817" t="s">
        <v>1283</v>
      </c>
      <c r="D817">
        <v>148000</v>
      </c>
      <c r="E817">
        <v>12000</v>
      </c>
      <c r="F817">
        <v>148000</v>
      </c>
      <c r="G817">
        <v>148000</v>
      </c>
      <c r="H817">
        <v>5</v>
      </c>
      <c r="I817" t="s">
        <v>89</v>
      </c>
      <c r="J817">
        <v>25.15</v>
      </c>
      <c r="K817">
        <v>6</v>
      </c>
      <c r="L817">
        <v>5</v>
      </c>
      <c r="M817" t="s">
        <v>1284</v>
      </c>
      <c r="N817">
        <v>6</v>
      </c>
      <c r="O817">
        <v>13.67</v>
      </c>
      <c r="P817">
        <v>133470.28</v>
      </c>
      <c r="Q817">
        <v>95329.65</v>
      </c>
      <c r="R817">
        <v>286</v>
      </c>
      <c r="S817">
        <v>1622</v>
      </c>
      <c r="T817" t="s">
        <v>34</v>
      </c>
      <c r="U817" t="s">
        <v>31</v>
      </c>
    </row>
    <row r="818" spans="1:21">
      <c r="A818" t="s">
        <v>1362</v>
      </c>
      <c r="B818" t="s">
        <v>1357</v>
      </c>
      <c r="C818" t="s">
        <v>1283</v>
      </c>
      <c r="D818">
        <v>153000</v>
      </c>
      <c r="E818">
        <v>12000</v>
      </c>
      <c r="F818">
        <v>153000</v>
      </c>
      <c r="G818">
        <v>153000</v>
      </c>
      <c r="H818">
        <v>5</v>
      </c>
      <c r="I818" t="s">
        <v>89</v>
      </c>
      <c r="J818">
        <v>25.15</v>
      </c>
      <c r="K818">
        <v>6</v>
      </c>
      <c r="L818">
        <v>5</v>
      </c>
      <c r="M818" t="s">
        <v>1284</v>
      </c>
      <c r="N818">
        <v>6</v>
      </c>
      <c r="O818">
        <v>13.67</v>
      </c>
      <c r="P818">
        <v>133470.28</v>
      </c>
      <c r="Q818">
        <v>95329.65</v>
      </c>
      <c r="R818">
        <v>286</v>
      </c>
      <c r="S818">
        <v>1622</v>
      </c>
      <c r="T818" t="s">
        <v>34</v>
      </c>
      <c r="U818" t="s">
        <v>31</v>
      </c>
    </row>
    <row r="819" spans="1:21">
      <c r="A819" t="s">
        <v>1363</v>
      </c>
      <c r="B819" t="s">
        <v>1357</v>
      </c>
      <c r="C819" t="s">
        <v>1283</v>
      </c>
      <c r="D819">
        <v>148000</v>
      </c>
      <c r="E819">
        <v>12000</v>
      </c>
      <c r="F819">
        <v>148000</v>
      </c>
      <c r="G819">
        <v>148000</v>
      </c>
      <c r="H819">
        <v>5</v>
      </c>
      <c r="I819" t="s">
        <v>89</v>
      </c>
      <c r="J819">
        <v>25.3</v>
      </c>
      <c r="K819">
        <v>6</v>
      </c>
      <c r="L819">
        <v>5</v>
      </c>
      <c r="M819" t="s">
        <v>1284</v>
      </c>
      <c r="N819">
        <v>6</v>
      </c>
      <c r="O819">
        <v>13.67</v>
      </c>
      <c r="P819">
        <v>133470.28</v>
      </c>
      <c r="Q819">
        <v>95329.65</v>
      </c>
      <c r="R819">
        <v>286</v>
      </c>
      <c r="S819">
        <v>1622</v>
      </c>
      <c r="T819" t="s">
        <v>34</v>
      </c>
      <c r="U819" t="s">
        <v>31</v>
      </c>
    </row>
    <row r="820" spans="1:21">
      <c r="A820" t="s">
        <v>1364</v>
      </c>
      <c r="B820" t="s">
        <v>1357</v>
      </c>
      <c r="C820" t="s">
        <v>1283</v>
      </c>
      <c r="D820">
        <v>153000</v>
      </c>
      <c r="E820">
        <v>12000</v>
      </c>
      <c r="F820">
        <v>153000</v>
      </c>
      <c r="G820">
        <v>153000</v>
      </c>
      <c r="H820">
        <v>5</v>
      </c>
      <c r="I820" t="s">
        <v>89</v>
      </c>
      <c r="J820">
        <v>25.3</v>
      </c>
      <c r="K820">
        <v>6</v>
      </c>
      <c r="L820">
        <v>5</v>
      </c>
      <c r="M820" t="s">
        <v>1284</v>
      </c>
      <c r="N820">
        <v>6</v>
      </c>
      <c r="O820">
        <v>13.67</v>
      </c>
      <c r="P820">
        <v>133470.28</v>
      </c>
      <c r="Q820">
        <v>95329.65</v>
      </c>
      <c r="R820">
        <v>286</v>
      </c>
      <c r="S820">
        <v>1622</v>
      </c>
      <c r="T820" t="s">
        <v>34</v>
      </c>
      <c r="U820" t="s">
        <v>31</v>
      </c>
    </row>
    <row r="821" spans="1:21">
      <c r="A821" t="s">
        <v>1365</v>
      </c>
      <c r="B821" t="s">
        <v>1366</v>
      </c>
      <c r="C821" t="s">
        <v>1283</v>
      </c>
      <c r="D821">
        <v>115000</v>
      </c>
      <c r="E821">
        <v>3500</v>
      </c>
      <c r="F821">
        <v>115000</v>
      </c>
      <c r="G821">
        <v>115000</v>
      </c>
      <c r="H821">
        <v>2</v>
      </c>
      <c r="I821" t="s">
        <v>89</v>
      </c>
      <c r="J821">
        <v>30</v>
      </c>
      <c r="K821">
        <v>16</v>
      </c>
      <c r="L821">
        <v>3</v>
      </c>
      <c r="M821" t="s">
        <v>1284</v>
      </c>
      <c r="N821">
        <v>5</v>
      </c>
      <c r="O821">
        <v>8</v>
      </c>
      <c r="P821">
        <v>133470.28</v>
      </c>
      <c r="Q821">
        <v>95329.65</v>
      </c>
      <c r="R821">
        <v>286</v>
      </c>
      <c r="S821">
        <v>1622</v>
      </c>
      <c r="T821" t="s">
        <v>26</v>
      </c>
      <c r="U821" t="s">
        <v>90</v>
      </c>
    </row>
    <row r="822" spans="1:21">
      <c r="A822" t="s">
        <v>1367</v>
      </c>
      <c r="B822" t="s">
        <v>1368</v>
      </c>
      <c r="C822" t="s">
        <v>1291</v>
      </c>
      <c r="D822">
        <v>77000</v>
      </c>
      <c r="E822">
        <v>2000</v>
      </c>
      <c r="F822">
        <v>77000</v>
      </c>
      <c r="G822">
        <v>77000</v>
      </c>
      <c r="H822">
        <v>1</v>
      </c>
      <c r="I822" t="s">
        <v>89</v>
      </c>
      <c r="J822">
        <v>20</v>
      </c>
      <c r="K822">
        <v>24</v>
      </c>
      <c r="L822">
        <v>2</v>
      </c>
      <c r="M822" t="s">
        <v>1284</v>
      </c>
      <c r="N822">
        <v>9</v>
      </c>
      <c r="O822">
        <v>9.33</v>
      </c>
      <c r="P822">
        <v>133470.28</v>
      </c>
      <c r="Q822">
        <v>95329.65</v>
      </c>
      <c r="R822">
        <v>286</v>
      </c>
      <c r="S822">
        <v>1622</v>
      </c>
      <c r="T822" t="s">
        <v>34</v>
      </c>
      <c r="U822" t="s">
        <v>27</v>
      </c>
    </row>
    <row r="823" spans="1:21">
      <c r="A823" t="s">
        <v>1369</v>
      </c>
      <c r="B823" t="s">
        <v>1370</v>
      </c>
      <c r="C823" t="s">
        <v>1283</v>
      </c>
      <c r="D823">
        <v>76000</v>
      </c>
      <c r="E823">
        <v>3000</v>
      </c>
      <c r="F823">
        <v>76000</v>
      </c>
      <c r="H823">
        <v>2</v>
      </c>
      <c r="I823" t="s">
        <v>89</v>
      </c>
      <c r="J823">
        <v>20</v>
      </c>
      <c r="K823">
        <v>32</v>
      </c>
      <c r="L823">
        <v>3</v>
      </c>
      <c r="M823" t="s">
        <v>1284</v>
      </c>
      <c r="N823">
        <v>7</v>
      </c>
      <c r="O823">
        <v>11.33</v>
      </c>
      <c r="P823">
        <v>133470.28</v>
      </c>
      <c r="Q823">
        <v>95329.65</v>
      </c>
      <c r="R823">
        <v>286</v>
      </c>
      <c r="S823">
        <v>1622</v>
      </c>
      <c r="T823" t="s">
        <v>34</v>
      </c>
      <c r="U823" t="s">
        <v>49</v>
      </c>
    </row>
    <row r="824" spans="1:21">
      <c r="A824" t="s">
        <v>1371</v>
      </c>
      <c r="B824" t="s">
        <v>1372</v>
      </c>
      <c r="C824" t="s">
        <v>1291</v>
      </c>
      <c r="D824">
        <v>69000</v>
      </c>
      <c r="E824">
        <v>5000</v>
      </c>
      <c r="G824">
        <v>69000</v>
      </c>
      <c r="H824">
        <v>5</v>
      </c>
      <c r="I824" t="s">
        <v>89</v>
      </c>
      <c r="J824">
        <v>19.04</v>
      </c>
      <c r="K824">
        <v>35</v>
      </c>
      <c r="L824">
        <v>5</v>
      </c>
      <c r="M824" t="s">
        <v>1284</v>
      </c>
      <c r="N824">
        <v>8</v>
      </c>
      <c r="O824">
        <v>11.33</v>
      </c>
      <c r="P824">
        <v>133470.28</v>
      </c>
      <c r="Q824">
        <v>95329.65</v>
      </c>
      <c r="R824">
        <v>286</v>
      </c>
      <c r="S824">
        <v>1622</v>
      </c>
      <c r="T824" t="s">
        <v>108</v>
      </c>
      <c r="U824" t="s">
        <v>49</v>
      </c>
    </row>
    <row r="825" spans="1:21">
      <c r="A825" t="s">
        <v>1373</v>
      </c>
      <c r="B825" t="s">
        <v>1374</v>
      </c>
      <c r="C825" t="s">
        <v>1310</v>
      </c>
      <c r="D825">
        <v>87000</v>
      </c>
      <c r="F825">
        <v>87000</v>
      </c>
      <c r="G825">
        <v>87000</v>
      </c>
      <c r="H825">
        <v>1</v>
      </c>
      <c r="I825" t="s">
        <v>89</v>
      </c>
      <c r="J825">
        <v>22.95</v>
      </c>
      <c r="K825">
        <v>19</v>
      </c>
      <c r="L825">
        <v>3</v>
      </c>
      <c r="M825" t="s">
        <v>1284</v>
      </c>
      <c r="N825">
        <v>6</v>
      </c>
      <c r="O825">
        <v>11.67</v>
      </c>
      <c r="P825">
        <v>133470.28</v>
      </c>
      <c r="Q825">
        <v>95329.65</v>
      </c>
      <c r="R825">
        <v>286</v>
      </c>
      <c r="S825">
        <v>1622</v>
      </c>
      <c r="T825" t="s">
        <v>34</v>
      </c>
      <c r="U825" t="s">
        <v>90</v>
      </c>
    </row>
    <row r="826" spans="1:21">
      <c r="A826" t="s">
        <v>1375</v>
      </c>
      <c r="B826" t="s">
        <v>1376</v>
      </c>
      <c r="C826" t="s">
        <v>1283</v>
      </c>
      <c r="D826">
        <v>126000</v>
      </c>
      <c r="E826">
        <v>11000</v>
      </c>
      <c r="G826">
        <v>252000</v>
      </c>
      <c r="H826">
        <v>1</v>
      </c>
      <c r="I826" t="s">
        <v>89</v>
      </c>
      <c r="J826">
        <v>26.82</v>
      </c>
      <c r="K826">
        <v>8</v>
      </c>
      <c r="L826">
        <v>10</v>
      </c>
      <c r="M826" t="s">
        <v>1284</v>
      </c>
      <c r="N826">
        <v>10</v>
      </c>
      <c r="O826">
        <v>12</v>
      </c>
      <c r="P826">
        <v>133470.28</v>
      </c>
      <c r="Q826">
        <v>95329.65</v>
      </c>
      <c r="R826">
        <v>286</v>
      </c>
      <c r="S826">
        <v>1622</v>
      </c>
      <c r="T826" t="s">
        <v>34</v>
      </c>
      <c r="U826" t="s">
        <v>31</v>
      </c>
    </row>
    <row r="827" spans="1:21">
      <c r="A827" t="s">
        <v>1377</v>
      </c>
      <c r="B827" t="s">
        <v>1378</v>
      </c>
      <c r="C827" t="s">
        <v>1379</v>
      </c>
      <c r="D827">
        <v>100000</v>
      </c>
      <c r="E827">
        <v>10000</v>
      </c>
      <c r="G827">
        <v>100000</v>
      </c>
      <c r="H827">
        <v>5</v>
      </c>
      <c r="I827" t="s">
        <v>89</v>
      </c>
      <c r="J827">
        <v>20.25</v>
      </c>
      <c r="K827">
        <v>14</v>
      </c>
      <c r="L827">
        <v>8</v>
      </c>
      <c r="M827" t="s">
        <v>1284</v>
      </c>
      <c r="N827">
        <v>10</v>
      </c>
      <c r="O827">
        <v>16</v>
      </c>
      <c r="P827">
        <v>133470.28</v>
      </c>
      <c r="Q827">
        <v>95329.65</v>
      </c>
      <c r="R827">
        <v>286</v>
      </c>
      <c r="S827">
        <v>1622</v>
      </c>
      <c r="T827" t="s">
        <v>34</v>
      </c>
      <c r="U827" t="s">
        <v>90</v>
      </c>
    </row>
    <row r="828" spans="1:21">
      <c r="A828" t="s">
        <v>1380</v>
      </c>
      <c r="B828" t="s">
        <v>1381</v>
      </c>
      <c r="C828" t="s">
        <v>1291</v>
      </c>
      <c r="D828">
        <v>133000</v>
      </c>
      <c r="E828">
        <v>10000</v>
      </c>
      <c r="H828">
        <v>4</v>
      </c>
      <c r="I828" t="s">
        <v>89</v>
      </c>
      <c r="J828">
        <v>25.45</v>
      </c>
      <c r="K828">
        <v>6</v>
      </c>
      <c r="L828">
        <v>8</v>
      </c>
      <c r="M828" t="s">
        <v>1284</v>
      </c>
      <c r="N828">
        <v>8</v>
      </c>
      <c r="O828">
        <v>10</v>
      </c>
      <c r="P828">
        <v>133470.28</v>
      </c>
      <c r="Q828">
        <v>95329.65</v>
      </c>
      <c r="R828">
        <v>286</v>
      </c>
      <c r="S828">
        <v>1622</v>
      </c>
      <c r="T828" t="s">
        <v>34</v>
      </c>
      <c r="U828" t="s">
        <v>31</v>
      </c>
    </row>
    <row r="829" spans="1:21">
      <c r="A829" t="s">
        <v>1382</v>
      </c>
      <c r="B829" t="s">
        <v>1383</v>
      </c>
      <c r="C829" t="s">
        <v>1283</v>
      </c>
      <c r="D829">
        <v>100000</v>
      </c>
      <c r="G829">
        <v>100000</v>
      </c>
      <c r="H829">
        <v>2</v>
      </c>
      <c r="I829" t="s">
        <v>89</v>
      </c>
      <c r="J829">
        <v>21.03</v>
      </c>
      <c r="K829">
        <v>6</v>
      </c>
      <c r="L829">
        <v>3</v>
      </c>
      <c r="M829" t="s">
        <v>1284</v>
      </c>
      <c r="N829">
        <v>6</v>
      </c>
      <c r="O829">
        <v>11.67</v>
      </c>
      <c r="P829">
        <v>133470.28</v>
      </c>
      <c r="Q829">
        <v>95329.65</v>
      </c>
      <c r="R829">
        <v>286</v>
      </c>
      <c r="S829">
        <v>1622</v>
      </c>
      <c r="T829" t="s">
        <v>34</v>
      </c>
      <c r="U829" t="s">
        <v>31</v>
      </c>
    </row>
    <row r="830" spans="1:21">
      <c r="A830" t="s">
        <v>1384</v>
      </c>
      <c r="B830" t="s">
        <v>1385</v>
      </c>
      <c r="C830" t="s">
        <v>1386</v>
      </c>
      <c r="D830">
        <v>110000</v>
      </c>
      <c r="E830">
        <v>15000</v>
      </c>
      <c r="H830">
        <v>10</v>
      </c>
      <c r="I830" t="s">
        <v>89</v>
      </c>
      <c r="J830">
        <v>20.43</v>
      </c>
      <c r="K830">
        <v>20</v>
      </c>
      <c r="L830">
        <v>11</v>
      </c>
      <c r="M830" t="s">
        <v>1284</v>
      </c>
      <c r="N830">
        <v>1</v>
      </c>
      <c r="O830">
        <v>11.67</v>
      </c>
      <c r="P830">
        <v>133470.28</v>
      </c>
      <c r="Q830">
        <v>95329.65</v>
      </c>
      <c r="R830">
        <v>286</v>
      </c>
      <c r="S830">
        <v>1622</v>
      </c>
      <c r="T830" t="s">
        <v>34</v>
      </c>
      <c r="U830" t="s">
        <v>90</v>
      </c>
    </row>
    <row r="831" spans="1:21">
      <c r="A831" t="s">
        <v>1387</v>
      </c>
      <c r="B831" t="s">
        <v>1385</v>
      </c>
      <c r="C831" t="s">
        <v>1386</v>
      </c>
      <c r="D831">
        <v>130000</v>
      </c>
      <c r="E831">
        <v>15000</v>
      </c>
      <c r="H831">
        <v>9</v>
      </c>
      <c r="I831" t="s">
        <v>89</v>
      </c>
      <c r="J831">
        <v>20.43</v>
      </c>
      <c r="K831">
        <v>20</v>
      </c>
      <c r="L831">
        <v>11</v>
      </c>
      <c r="M831" t="s">
        <v>1284</v>
      </c>
      <c r="N831">
        <v>1</v>
      </c>
      <c r="O831">
        <v>11.67</v>
      </c>
      <c r="P831">
        <v>133470.28</v>
      </c>
      <c r="Q831">
        <v>95329.65</v>
      </c>
      <c r="R831">
        <v>286</v>
      </c>
      <c r="S831">
        <v>1622</v>
      </c>
      <c r="T831" t="s">
        <v>34</v>
      </c>
      <c r="U831" t="s">
        <v>90</v>
      </c>
    </row>
    <row r="832" spans="1:21">
      <c r="A832" t="s">
        <v>1388</v>
      </c>
      <c r="B832" t="s">
        <v>1389</v>
      </c>
      <c r="C832" t="s">
        <v>1291</v>
      </c>
      <c r="D832">
        <v>53000</v>
      </c>
      <c r="F832">
        <v>53000</v>
      </c>
      <c r="G832">
        <v>53000</v>
      </c>
      <c r="H832">
        <v>2</v>
      </c>
      <c r="I832" t="s">
        <v>89</v>
      </c>
      <c r="J832">
        <v>17.3</v>
      </c>
      <c r="K832">
        <v>66</v>
      </c>
      <c r="L832">
        <v>2</v>
      </c>
      <c r="M832" t="s">
        <v>1284</v>
      </c>
      <c r="N832">
        <v>10</v>
      </c>
      <c r="O832">
        <v>11.67</v>
      </c>
      <c r="P832">
        <v>133470.28</v>
      </c>
      <c r="Q832">
        <v>95329.65</v>
      </c>
      <c r="R832">
        <v>286</v>
      </c>
      <c r="S832">
        <v>1622</v>
      </c>
      <c r="T832" t="s">
        <v>108</v>
      </c>
      <c r="U832" t="s">
        <v>38</v>
      </c>
    </row>
    <row r="833" spans="1:21">
      <c r="A833" t="s">
        <v>1390</v>
      </c>
      <c r="B833" t="s">
        <v>1391</v>
      </c>
      <c r="C833" t="s">
        <v>1283</v>
      </c>
      <c r="D833">
        <v>65000</v>
      </c>
      <c r="F833">
        <v>65000</v>
      </c>
      <c r="G833">
        <v>65000</v>
      </c>
      <c r="H833">
        <v>2</v>
      </c>
      <c r="I833" t="s">
        <v>89</v>
      </c>
      <c r="J833">
        <v>18</v>
      </c>
      <c r="K833">
        <v>59</v>
      </c>
      <c r="L833">
        <v>2</v>
      </c>
      <c r="M833" t="s">
        <v>1284</v>
      </c>
      <c r="N833">
        <v>8</v>
      </c>
      <c r="O833">
        <v>10.33</v>
      </c>
      <c r="P833">
        <v>133470.28</v>
      </c>
      <c r="Q833">
        <v>95329.65</v>
      </c>
      <c r="R833">
        <v>286</v>
      </c>
      <c r="S833">
        <v>1622</v>
      </c>
      <c r="T833" t="s">
        <v>108</v>
      </c>
      <c r="U833" t="s">
        <v>57</v>
      </c>
    </row>
    <row r="834" spans="1:21">
      <c r="A834" t="s">
        <v>1392</v>
      </c>
      <c r="B834" t="s">
        <v>1393</v>
      </c>
      <c r="C834" t="s">
        <v>1310</v>
      </c>
      <c r="D834">
        <v>52000</v>
      </c>
      <c r="F834">
        <v>52000</v>
      </c>
      <c r="G834">
        <v>52000</v>
      </c>
      <c r="H834">
        <v>2</v>
      </c>
      <c r="I834" t="s">
        <v>89</v>
      </c>
      <c r="J834">
        <v>21.5</v>
      </c>
      <c r="K834">
        <v>47</v>
      </c>
      <c r="L834">
        <v>2</v>
      </c>
      <c r="M834" t="s">
        <v>1284</v>
      </c>
      <c r="N834">
        <v>7</v>
      </c>
      <c r="O834">
        <v>11.67</v>
      </c>
      <c r="P834">
        <v>133470.28</v>
      </c>
      <c r="Q834">
        <v>95329.65</v>
      </c>
      <c r="R834">
        <v>286</v>
      </c>
      <c r="S834">
        <v>1622</v>
      </c>
      <c r="T834" t="s">
        <v>34</v>
      </c>
      <c r="U834" t="s">
        <v>42</v>
      </c>
    </row>
    <row r="835" spans="1:21">
      <c r="A835" t="s">
        <v>1394</v>
      </c>
      <c r="B835" t="s">
        <v>1395</v>
      </c>
      <c r="C835" t="s">
        <v>1283</v>
      </c>
      <c r="D835">
        <v>93000</v>
      </c>
      <c r="E835">
        <v>6000</v>
      </c>
      <c r="F835">
        <v>93000</v>
      </c>
      <c r="G835">
        <v>93000</v>
      </c>
      <c r="H835">
        <v>1</v>
      </c>
      <c r="I835" t="s">
        <v>89</v>
      </c>
      <c r="J835">
        <v>24.09</v>
      </c>
      <c r="K835">
        <v>15</v>
      </c>
      <c r="L835">
        <v>3</v>
      </c>
      <c r="M835" t="s">
        <v>1284</v>
      </c>
      <c r="N835">
        <v>6</v>
      </c>
      <c r="O835">
        <v>10</v>
      </c>
      <c r="P835">
        <v>133470.28</v>
      </c>
      <c r="Q835">
        <v>95329.65</v>
      </c>
      <c r="R835">
        <v>286</v>
      </c>
      <c r="S835">
        <v>1622</v>
      </c>
      <c r="T835" t="s">
        <v>34</v>
      </c>
      <c r="U835" t="s">
        <v>90</v>
      </c>
    </row>
    <row r="836" spans="1:21">
      <c r="A836" t="s">
        <v>1396</v>
      </c>
      <c r="B836" t="s">
        <v>1395</v>
      </c>
      <c r="C836" t="s">
        <v>1283</v>
      </c>
      <c r="D836">
        <v>95000</v>
      </c>
      <c r="E836">
        <v>6000</v>
      </c>
      <c r="F836">
        <v>95000</v>
      </c>
      <c r="G836">
        <v>95000</v>
      </c>
      <c r="H836">
        <v>3</v>
      </c>
      <c r="I836" t="s">
        <v>89</v>
      </c>
      <c r="J836">
        <v>24.09</v>
      </c>
      <c r="K836">
        <v>15</v>
      </c>
      <c r="L836">
        <v>3</v>
      </c>
      <c r="M836" t="s">
        <v>1284</v>
      </c>
      <c r="N836">
        <v>6</v>
      </c>
      <c r="O836">
        <v>10</v>
      </c>
      <c r="P836">
        <v>133470.28</v>
      </c>
      <c r="Q836">
        <v>95329.65</v>
      </c>
      <c r="R836">
        <v>286</v>
      </c>
      <c r="S836">
        <v>1622</v>
      </c>
      <c r="T836" t="s">
        <v>34</v>
      </c>
      <c r="U836" t="s">
        <v>90</v>
      </c>
    </row>
    <row r="837" spans="1:21">
      <c r="A837" t="s">
        <v>1397</v>
      </c>
      <c r="B837" t="s">
        <v>1398</v>
      </c>
      <c r="C837" t="s">
        <v>1283</v>
      </c>
      <c r="D837">
        <v>64000</v>
      </c>
      <c r="E837">
        <v>5500</v>
      </c>
      <c r="F837">
        <v>60000</v>
      </c>
      <c r="G837">
        <v>64000</v>
      </c>
      <c r="H837">
        <v>1</v>
      </c>
      <c r="I837" t="s">
        <v>89</v>
      </c>
      <c r="J837">
        <v>21.26</v>
      </c>
      <c r="K837">
        <v>34</v>
      </c>
      <c r="L837">
        <v>2</v>
      </c>
      <c r="M837" t="s">
        <v>1284</v>
      </c>
      <c r="N837">
        <v>8</v>
      </c>
      <c r="O837">
        <v>12.67</v>
      </c>
      <c r="P837">
        <v>133470.28</v>
      </c>
      <c r="Q837">
        <v>95329.65</v>
      </c>
      <c r="R837">
        <v>286</v>
      </c>
      <c r="S837">
        <v>1622</v>
      </c>
      <c r="T837" t="s">
        <v>34</v>
      </c>
      <c r="U837" t="s">
        <v>49</v>
      </c>
    </row>
    <row r="838" spans="1:21">
      <c r="A838" t="s">
        <v>1399</v>
      </c>
      <c r="B838" t="s">
        <v>1400</v>
      </c>
      <c r="C838" t="s">
        <v>1283</v>
      </c>
      <c r="D838">
        <v>126000</v>
      </c>
      <c r="E838">
        <v>11000</v>
      </c>
      <c r="G838">
        <v>252000</v>
      </c>
      <c r="H838">
        <v>1</v>
      </c>
      <c r="I838" t="s">
        <v>89</v>
      </c>
      <c r="J838">
        <v>26.82</v>
      </c>
      <c r="K838">
        <v>8</v>
      </c>
      <c r="L838">
        <v>10</v>
      </c>
      <c r="M838" t="s">
        <v>1284</v>
      </c>
      <c r="N838">
        <v>8</v>
      </c>
      <c r="O838">
        <v>13</v>
      </c>
      <c r="P838">
        <v>133470.28</v>
      </c>
      <c r="Q838">
        <v>95329.65</v>
      </c>
      <c r="R838">
        <v>286</v>
      </c>
      <c r="S838">
        <v>1622</v>
      </c>
      <c r="T838" t="s">
        <v>34</v>
      </c>
      <c r="U838" t="s">
        <v>31</v>
      </c>
    </row>
    <row r="839" spans="1:21">
      <c r="A839" t="s">
        <v>1401</v>
      </c>
      <c r="B839" t="s">
        <v>1402</v>
      </c>
      <c r="C839" t="s">
        <v>1386</v>
      </c>
      <c r="D839">
        <v>130000</v>
      </c>
      <c r="E839">
        <v>15000</v>
      </c>
      <c r="H839">
        <v>9</v>
      </c>
      <c r="I839" t="s">
        <v>89</v>
      </c>
      <c r="J839">
        <v>20.43</v>
      </c>
      <c r="K839">
        <v>20</v>
      </c>
      <c r="L839">
        <v>11</v>
      </c>
      <c r="M839" t="s">
        <v>1284</v>
      </c>
      <c r="N839">
        <v>1</v>
      </c>
      <c r="O839">
        <v>11</v>
      </c>
      <c r="P839">
        <v>133470.28</v>
      </c>
      <c r="Q839">
        <v>95329.65</v>
      </c>
      <c r="R839">
        <v>286</v>
      </c>
      <c r="S839">
        <v>1622</v>
      </c>
      <c r="T839" t="s">
        <v>34</v>
      </c>
      <c r="U839" t="s">
        <v>90</v>
      </c>
    </row>
    <row r="840" spans="1:21">
      <c r="A840" t="s">
        <v>1403</v>
      </c>
      <c r="B840" t="s">
        <v>1404</v>
      </c>
      <c r="C840" t="s">
        <v>1283</v>
      </c>
      <c r="D840">
        <v>115000</v>
      </c>
      <c r="E840">
        <v>3000</v>
      </c>
      <c r="F840">
        <v>115000</v>
      </c>
      <c r="G840">
        <v>115000</v>
      </c>
      <c r="H840">
        <v>6</v>
      </c>
      <c r="I840" t="s">
        <v>89</v>
      </c>
      <c r="J840">
        <v>28</v>
      </c>
      <c r="K840">
        <v>60</v>
      </c>
      <c r="L840">
        <v>11</v>
      </c>
      <c r="M840" t="s">
        <v>1284</v>
      </c>
      <c r="N840">
        <v>10</v>
      </c>
      <c r="O840">
        <v>15.33</v>
      </c>
      <c r="P840">
        <v>133470.28</v>
      </c>
      <c r="Q840">
        <v>95329.65</v>
      </c>
      <c r="R840">
        <v>286</v>
      </c>
      <c r="S840">
        <v>1622</v>
      </c>
      <c r="T840" t="s">
        <v>34</v>
      </c>
      <c r="U840" t="s">
        <v>57</v>
      </c>
    </row>
    <row r="841" spans="1:21">
      <c r="A841" t="s">
        <v>1405</v>
      </c>
      <c r="B841" t="s">
        <v>1406</v>
      </c>
      <c r="C841" t="s">
        <v>1310</v>
      </c>
      <c r="D841">
        <v>119000</v>
      </c>
      <c r="E841">
        <v>12000</v>
      </c>
      <c r="F841">
        <v>119000</v>
      </c>
      <c r="G841">
        <v>119000</v>
      </c>
      <c r="H841">
        <v>6</v>
      </c>
      <c r="I841" t="s">
        <v>89</v>
      </c>
      <c r="J841">
        <v>25.8</v>
      </c>
      <c r="K841">
        <v>5</v>
      </c>
      <c r="L841">
        <v>13</v>
      </c>
      <c r="M841" t="s">
        <v>1284</v>
      </c>
      <c r="N841">
        <v>8</v>
      </c>
      <c r="O841">
        <v>13</v>
      </c>
      <c r="P841">
        <v>133470.28</v>
      </c>
      <c r="Q841">
        <v>95329.65</v>
      </c>
      <c r="R841">
        <v>286</v>
      </c>
      <c r="S841">
        <v>1622</v>
      </c>
      <c r="T841" t="s">
        <v>34</v>
      </c>
      <c r="U841" t="s">
        <v>31</v>
      </c>
    </row>
    <row r="842" spans="1:21">
      <c r="A842" t="s">
        <v>1407</v>
      </c>
      <c r="B842" t="s">
        <v>1408</v>
      </c>
      <c r="C842" t="s">
        <v>1291</v>
      </c>
      <c r="D842">
        <v>107000</v>
      </c>
      <c r="E842">
        <v>3000</v>
      </c>
      <c r="F842">
        <v>107000</v>
      </c>
      <c r="G842">
        <v>107000</v>
      </c>
      <c r="H842">
        <v>2</v>
      </c>
      <c r="I842" t="s">
        <v>89</v>
      </c>
      <c r="J842">
        <v>24.84</v>
      </c>
      <c r="K842">
        <v>27</v>
      </c>
      <c r="L842">
        <v>2</v>
      </c>
      <c r="M842" t="s">
        <v>1284</v>
      </c>
      <c r="N842">
        <v>7</v>
      </c>
      <c r="O842">
        <v>10.67</v>
      </c>
      <c r="P842">
        <v>133470.28</v>
      </c>
      <c r="Q842">
        <v>95329.65</v>
      </c>
      <c r="R842">
        <v>286</v>
      </c>
      <c r="S842">
        <v>1622</v>
      </c>
      <c r="T842" t="s">
        <v>34</v>
      </c>
      <c r="U842" t="s">
        <v>27</v>
      </c>
    </row>
    <row r="843" spans="1:21">
      <c r="A843" t="s">
        <v>1409</v>
      </c>
      <c r="B843" t="s">
        <v>1408</v>
      </c>
      <c r="C843" t="s">
        <v>1283</v>
      </c>
      <c r="D843">
        <v>110000</v>
      </c>
      <c r="E843">
        <v>6000</v>
      </c>
      <c r="F843">
        <v>110000</v>
      </c>
      <c r="G843">
        <v>110000</v>
      </c>
      <c r="H843">
        <v>2</v>
      </c>
      <c r="I843" t="s">
        <v>89</v>
      </c>
      <c r="J843">
        <v>33.950000000000003</v>
      </c>
      <c r="K843">
        <v>27</v>
      </c>
      <c r="L843">
        <v>2</v>
      </c>
      <c r="M843" t="s">
        <v>1284</v>
      </c>
      <c r="N843">
        <v>10</v>
      </c>
      <c r="O843">
        <v>14</v>
      </c>
      <c r="P843">
        <v>133470.28</v>
      </c>
      <c r="Q843">
        <v>95329.65</v>
      </c>
      <c r="R843">
        <v>286</v>
      </c>
      <c r="S843">
        <v>1622</v>
      </c>
      <c r="T843" t="s">
        <v>26</v>
      </c>
      <c r="U843" t="s">
        <v>27</v>
      </c>
    </row>
    <row r="844" spans="1:21">
      <c r="A844" t="s">
        <v>1410</v>
      </c>
      <c r="B844" t="s">
        <v>1411</v>
      </c>
      <c r="C844" t="s">
        <v>1283</v>
      </c>
      <c r="D844">
        <v>64000</v>
      </c>
      <c r="E844">
        <v>5500</v>
      </c>
      <c r="F844">
        <v>60000</v>
      </c>
      <c r="G844">
        <v>64000</v>
      </c>
      <c r="H844">
        <v>1</v>
      </c>
      <c r="I844" t="s">
        <v>89</v>
      </c>
      <c r="J844">
        <v>21.26</v>
      </c>
      <c r="K844">
        <v>34</v>
      </c>
      <c r="L844">
        <v>2</v>
      </c>
      <c r="M844" t="s">
        <v>1284</v>
      </c>
      <c r="N844">
        <v>8</v>
      </c>
      <c r="O844">
        <v>12.67</v>
      </c>
      <c r="P844">
        <v>133470.28</v>
      </c>
      <c r="Q844">
        <v>95329.65</v>
      </c>
      <c r="R844">
        <v>286</v>
      </c>
      <c r="S844">
        <v>1622</v>
      </c>
      <c r="T844" t="s">
        <v>34</v>
      </c>
      <c r="U844" t="s">
        <v>49</v>
      </c>
    </row>
    <row r="845" spans="1:21">
      <c r="A845" t="s">
        <v>1412</v>
      </c>
      <c r="B845" t="s">
        <v>1413</v>
      </c>
      <c r="C845" t="s">
        <v>1310</v>
      </c>
      <c r="D845">
        <v>52000</v>
      </c>
      <c r="F845">
        <v>52000</v>
      </c>
      <c r="G845">
        <v>52000</v>
      </c>
      <c r="H845">
        <v>2</v>
      </c>
      <c r="I845" t="s">
        <v>89</v>
      </c>
      <c r="J845">
        <v>21.5</v>
      </c>
      <c r="K845">
        <v>47</v>
      </c>
      <c r="L845">
        <v>2</v>
      </c>
      <c r="M845" t="s">
        <v>1284</v>
      </c>
      <c r="N845">
        <v>7</v>
      </c>
      <c r="O845">
        <v>11.67</v>
      </c>
      <c r="P845">
        <v>133470.28</v>
      </c>
      <c r="Q845">
        <v>95329.65</v>
      </c>
      <c r="R845">
        <v>286</v>
      </c>
      <c r="S845">
        <v>1622</v>
      </c>
      <c r="T845" t="s">
        <v>34</v>
      </c>
      <c r="U845" t="s">
        <v>42</v>
      </c>
    </row>
    <row r="846" spans="1:21">
      <c r="A846" t="s">
        <v>1414</v>
      </c>
      <c r="B846" t="s">
        <v>1415</v>
      </c>
      <c r="C846" t="s">
        <v>1283</v>
      </c>
      <c r="D846">
        <v>36000</v>
      </c>
      <c r="E846">
        <v>4000</v>
      </c>
      <c r="F846">
        <v>36000</v>
      </c>
      <c r="G846">
        <v>36000</v>
      </c>
      <c r="H846">
        <v>2</v>
      </c>
      <c r="I846" t="s">
        <v>89</v>
      </c>
      <c r="J846">
        <v>12</v>
      </c>
      <c r="K846">
        <v>55</v>
      </c>
      <c r="L846">
        <v>2</v>
      </c>
      <c r="M846" t="s">
        <v>1284</v>
      </c>
      <c r="N846">
        <v>4</v>
      </c>
      <c r="O846">
        <v>12</v>
      </c>
      <c r="P846">
        <v>133470.28</v>
      </c>
      <c r="Q846">
        <v>95329.65</v>
      </c>
      <c r="R846">
        <v>286</v>
      </c>
      <c r="S846">
        <v>1622</v>
      </c>
      <c r="T846" t="s">
        <v>108</v>
      </c>
      <c r="U846" t="s">
        <v>57</v>
      </c>
    </row>
    <row r="847" spans="1:21">
      <c r="A847" t="s">
        <v>1416</v>
      </c>
      <c r="B847" t="s">
        <v>1417</v>
      </c>
      <c r="C847" t="s">
        <v>1283</v>
      </c>
      <c r="D847">
        <v>82000</v>
      </c>
      <c r="E847">
        <v>3000</v>
      </c>
      <c r="G847">
        <v>82000</v>
      </c>
      <c r="H847">
        <v>2</v>
      </c>
      <c r="I847" t="s">
        <v>89</v>
      </c>
      <c r="J847">
        <v>17.75</v>
      </c>
      <c r="K847">
        <v>13</v>
      </c>
      <c r="L847">
        <v>3</v>
      </c>
      <c r="M847" t="s">
        <v>1284</v>
      </c>
      <c r="N847">
        <v>9</v>
      </c>
      <c r="O847">
        <v>13.67</v>
      </c>
      <c r="P847">
        <v>133470.28</v>
      </c>
      <c r="Q847">
        <v>95329.65</v>
      </c>
      <c r="R847">
        <v>286</v>
      </c>
      <c r="S847">
        <v>1622</v>
      </c>
      <c r="T847" t="s">
        <v>108</v>
      </c>
      <c r="U847" t="s">
        <v>90</v>
      </c>
    </row>
    <row r="848" spans="1:21">
      <c r="A848" t="s">
        <v>1418</v>
      </c>
      <c r="B848" t="s">
        <v>1419</v>
      </c>
      <c r="C848" t="s">
        <v>1283</v>
      </c>
      <c r="D848">
        <v>93000</v>
      </c>
      <c r="E848">
        <v>6000</v>
      </c>
      <c r="F848">
        <v>93000</v>
      </c>
      <c r="G848">
        <v>93000</v>
      </c>
      <c r="H848">
        <v>1</v>
      </c>
      <c r="I848" t="s">
        <v>89</v>
      </c>
      <c r="J848">
        <v>24.09</v>
      </c>
      <c r="K848">
        <v>15</v>
      </c>
      <c r="L848">
        <v>3</v>
      </c>
      <c r="M848" t="s">
        <v>1284</v>
      </c>
      <c r="N848">
        <v>6</v>
      </c>
      <c r="O848">
        <v>10.67</v>
      </c>
      <c r="P848">
        <v>133470.28</v>
      </c>
      <c r="Q848">
        <v>95329.65</v>
      </c>
      <c r="R848">
        <v>286</v>
      </c>
      <c r="S848">
        <v>1622</v>
      </c>
      <c r="T848" t="s">
        <v>34</v>
      </c>
      <c r="U848" t="s">
        <v>90</v>
      </c>
    </row>
    <row r="849" spans="1:21">
      <c r="A849" t="s">
        <v>1420</v>
      </c>
      <c r="B849" t="s">
        <v>1419</v>
      </c>
      <c r="C849" t="s">
        <v>1283</v>
      </c>
      <c r="D849">
        <v>95000</v>
      </c>
      <c r="E849">
        <v>6000</v>
      </c>
      <c r="F849">
        <v>95000</v>
      </c>
      <c r="G849">
        <v>95000</v>
      </c>
      <c r="H849">
        <v>3</v>
      </c>
      <c r="I849" t="s">
        <v>89</v>
      </c>
      <c r="J849">
        <v>24.09</v>
      </c>
      <c r="K849">
        <v>15</v>
      </c>
      <c r="L849">
        <v>3</v>
      </c>
      <c r="M849" t="s">
        <v>1284</v>
      </c>
      <c r="N849">
        <v>6</v>
      </c>
      <c r="O849">
        <v>10.67</v>
      </c>
      <c r="P849">
        <v>133470.28</v>
      </c>
      <c r="Q849">
        <v>95329.65</v>
      </c>
      <c r="R849">
        <v>286</v>
      </c>
      <c r="S849">
        <v>1622</v>
      </c>
      <c r="T849" t="s">
        <v>34</v>
      </c>
      <c r="U849" t="s">
        <v>90</v>
      </c>
    </row>
    <row r="850" spans="1:21">
      <c r="A850" t="s">
        <v>1421</v>
      </c>
      <c r="B850" t="s">
        <v>1422</v>
      </c>
      <c r="C850" t="s">
        <v>1294</v>
      </c>
      <c r="D850">
        <v>82000</v>
      </c>
      <c r="E850">
        <v>3000</v>
      </c>
      <c r="H850">
        <v>3</v>
      </c>
      <c r="I850" t="s">
        <v>89</v>
      </c>
      <c r="J850">
        <v>21.94</v>
      </c>
      <c r="K850">
        <v>19</v>
      </c>
      <c r="L850">
        <v>3</v>
      </c>
      <c r="M850" t="s">
        <v>1284</v>
      </c>
      <c r="N850">
        <v>10</v>
      </c>
      <c r="O850">
        <v>14.67</v>
      </c>
      <c r="P850">
        <v>133470.28</v>
      </c>
      <c r="Q850">
        <v>95329.65</v>
      </c>
      <c r="R850">
        <v>286</v>
      </c>
      <c r="S850">
        <v>1622</v>
      </c>
      <c r="T850" t="s">
        <v>34</v>
      </c>
      <c r="U850" t="s">
        <v>90</v>
      </c>
    </row>
    <row r="851" spans="1:21">
      <c r="A851" t="s">
        <v>1423</v>
      </c>
      <c r="B851" t="s">
        <v>1424</v>
      </c>
      <c r="C851" t="s">
        <v>1379</v>
      </c>
      <c r="D851">
        <v>85000</v>
      </c>
      <c r="E851">
        <v>7000</v>
      </c>
      <c r="F851">
        <v>85000</v>
      </c>
      <c r="G851">
        <v>85000</v>
      </c>
      <c r="H851">
        <v>1</v>
      </c>
      <c r="I851" t="s">
        <v>89</v>
      </c>
      <c r="J851">
        <v>19.21</v>
      </c>
      <c r="K851">
        <v>20</v>
      </c>
      <c r="L851">
        <v>3</v>
      </c>
      <c r="M851" t="s">
        <v>1284</v>
      </c>
      <c r="N851">
        <v>4</v>
      </c>
      <c r="O851">
        <v>12.67</v>
      </c>
      <c r="P851">
        <v>133470.28</v>
      </c>
      <c r="Q851">
        <v>95329.65</v>
      </c>
      <c r="R851">
        <v>286</v>
      </c>
      <c r="S851">
        <v>1622</v>
      </c>
      <c r="T851" t="s">
        <v>108</v>
      </c>
      <c r="U851" t="s">
        <v>90</v>
      </c>
    </row>
    <row r="852" spans="1:21">
      <c r="A852" t="s">
        <v>1425</v>
      </c>
      <c r="B852" t="s">
        <v>1424</v>
      </c>
      <c r="C852" t="s">
        <v>1310</v>
      </c>
      <c r="D852">
        <v>85000</v>
      </c>
      <c r="E852">
        <v>2000</v>
      </c>
      <c r="F852">
        <v>85000</v>
      </c>
      <c r="G852">
        <v>85000</v>
      </c>
      <c r="H852">
        <v>2</v>
      </c>
      <c r="I852" t="s">
        <v>89</v>
      </c>
      <c r="J852">
        <v>23.66</v>
      </c>
      <c r="K852">
        <v>20</v>
      </c>
      <c r="L852">
        <v>3</v>
      </c>
      <c r="M852" t="s">
        <v>1284</v>
      </c>
      <c r="N852">
        <v>8</v>
      </c>
      <c r="O852">
        <v>10</v>
      </c>
      <c r="P852">
        <v>133470.28</v>
      </c>
      <c r="Q852">
        <v>95329.65</v>
      </c>
      <c r="R852">
        <v>286</v>
      </c>
      <c r="S852">
        <v>1622</v>
      </c>
      <c r="T852" t="s">
        <v>34</v>
      </c>
      <c r="U852" t="s">
        <v>90</v>
      </c>
    </row>
    <row r="853" spans="1:21">
      <c r="A853" t="s">
        <v>1426</v>
      </c>
      <c r="B853" t="s">
        <v>1427</v>
      </c>
      <c r="C853" t="s">
        <v>1283</v>
      </c>
      <c r="D853">
        <v>86000</v>
      </c>
      <c r="E853">
        <v>2000</v>
      </c>
      <c r="F853">
        <v>86000</v>
      </c>
      <c r="H853">
        <v>3</v>
      </c>
      <c r="I853" t="s">
        <v>89</v>
      </c>
      <c r="J853">
        <v>25.92</v>
      </c>
      <c r="K853">
        <v>28</v>
      </c>
      <c r="L853">
        <v>3</v>
      </c>
      <c r="M853" t="s">
        <v>1284</v>
      </c>
      <c r="N853">
        <v>7</v>
      </c>
      <c r="O853">
        <v>12</v>
      </c>
      <c r="P853">
        <v>133470.28</v>
      </c>
      <c r="Q853">
        <v>95329.65</v>
      </c>
      <c r="R853">
        <v>286</v>
      </c>
      <c r="S853">
        <v>1622</v>
      </c>
      <c r="T853" t="s">
        <v>34</v>
      </c>
      <c r="U853" t="s">
        <v>27</v>
      </c>
    </row>
    <row r="854" spans="1:21">
      <c r="A854" t="s">
        <v>1428</v>
      </c>
      <c r="B854" t="s">
        <v>1429</v>
      </c>
      <c r="C854" t="s">
        <v>1310</v>
      </c>
      <c r="D854">
        <v>130000</v>
      </c>
      <c r="E854">
        <v>6000</v>
      </c>
      <c r="F854">
        <v>130000</v>
      </c>
      <c r="G854">
        <v>130000</v>
      </c>
      <c r="H854">
        <v>2</v>
      </c>
      <c r="I854" t="s">
        <v>89</v>
      </c>
      <c r="J854">
        <v>30.17</v>
      </c>
      <c r="K854">
        <v>3</v>
      </c>
      <c r="L854">
        <v>3</v>
      </c>
      <c r="M854" t="s">
        <v>1284</v>
      </c>
      <c r="N854">
        <v>9</v>
      </c>
      <c r="O854">
        <v>9.33</v>
      </c>
      <c r="P854">
        <v>133470.28</v>
      </c>
      <c r="Q854">
        <v>95329.65</v>
      </c>
      <c r="R854">
        <v>286</v>
      </c>
      <c r="S854">
        <v>1622</v>
      </c>
      <c r="T854" t="s">
        <v>26</v>
      </c>
      <c r="U854" t="s">
        <v>31</v>
      </c>
    </row>
    <row r="855" spans="1:21">
      <c r="A855" t="s">
        <v>1430</v>
      </c>
      <c r="B855" t="s">
        <v>1304</v>
      </c>
      <c r="C855" t="s">
        <v>1294</v>
      </c>
      <c r="D855">
        <v>79000</v>
      </c>
      <c r="E855">
        <v>3000</v>
      </c>
      <c r="F855">
        <v>79000</v>
      </c>
      <c r="G855">
        <v>79000</v>
      </c>
      <c r="H855">
        <v>2</v>
      </c>
      <c r="I855" t="s">
        <v>89</v>
      </c>
      <c r="J855">
        <v>18.559999999999999</v>
      </c>
      <c r="K855">
        <v>40</v>
      </c>
      <c r="L855">
        <v>3</v>
      </c>
      <c r="M855" t="s">
        <v>1284</v>
      </c>
      <c r="N855">
        <v>12</v>
      </c>
      <c r="O855">
        <v>13</v>
      </c>
      <c r="P855">
        <v>133470.28</v>
      </c>
      <c r="Q855">
        <v>95329.65</v>
      </c>
      <c r="R855">
        <v>286</v>
      </c>
      <c r="S855">
        <v>1622</v>
      </c>
      <c r="T855" t="s">
        <v>108</v>
      </c>
      <c r="U855" t="s">
        <v>49</v>
      </c>
    </row>
    <row r="856" spans="1:21">
      <c r="A856" t="s">
        <v>1431</v>
      </c>
      <c r="B856" t="s">
        <v>1432</v>
      </c>
      <c r="C856" t="s">
        <v>1294</v>
      </c>
      <c r="D856">
        <v>97000</v>
      </c>
      <c r="E856">
        <v>3000</v>
      </c>
      <c r="F856">
        <v>97000</v>
      </c>
      <c r="G856">
        <v>97000</v>
      </c>
      <c r="H856">
        <v>1</v>
      </c>
      <c r="I856" t="s">
        <v>89</v>
      </c>
      <c r="J856">
        <v>19.399999999999999</v>
      </c>
      <c r="K856">
        <v>7</v>
      </c>
      <c r="L856">
        <v>3</v>
      </c>
      <c r="M856" t="s">
        <v>1284</v>
      </c>
      <c r="N856">
        <v>10</v>
      </c>
      <c r="O856">
        <v>12.33</v>
      </c>
      <c r="P856">
        <v>133470.28</v>
      </c>
      <c r="Q856">
        <v>95329.65</v>
      </c>
      <c r="R856">
        <v>286</v>
      </c>
      <c r="S856">
        <v>1622</v>
      </c>
      <c r="T856" t="s">
        <v>108</v>
      </c>
      <c r="U856" t="s">
        <v>31</v>
      </c>
    </row>
    <row r="857" spans="1:21">
      <c r="A857" t="s">
        <v>1433</v>
      </c>
      <c r="B857" t="s">
        <v>1434</v>
      </c>
      <c r="C857" t="s">
        <v>1283</v>
      </c>
      <c r="D857">
        <v>92000</v>
      </c>
      <c r="E857">
        <v>4000</v>
      </c>
      <c r="F857">
        <v>92000</v>
      </c>
      <c r="G857">
        <v>92000</v>
      </c>
      <c r="H857">
        <v>4</v>
      </c>
      <c r="I857" t="s">
        <v>89</v>
      </c>
      <c r="J857">
        <v>21.51</v>
      </c>
      <c r="K857">
        <v>30</v>
      </c>
      <c r="L857">
        <v>4</v>
      </c>
      <c r="M857" t="s">
        <v>1284</v>
      </c>
      <c r="N857">
        <v>4</v>
      </c>
      <c r="O857">
        <v>13.67</v>
      </c>
      <c r="P857">
        <v>133470.28</v>
      </c>
      <c r="Q857">
        <v>95329.65</v>
      </c>
      <c r="R857">
        <v>286</v>
      </c>
      <c r="S857">
        <v>1622</v>
      </c>
      <c r="T857" t="s">
        <v>34</v>
      </c>
      <c r="U857" t="s">
        <v>27</v>
      </c>
    </row>
    <row r="858" spans="1:21">
      <c r="A858" t="s">
        <v>1435</v>
      </c>
      <c r="B858" t="s">
        <v>1436</v>
      </c>
      <c r="C858" t="s">
        <v>1310</v>
      </c>
      <c r="D858">
        <v>78000</v>
      </c>
      <c r="E858">
        <v>5000</v>
      </c>
      <c r="F858">
        <v>78000</v>
      </c>
      <c r="G858">
        <v>78000</v>
      </c>
      <c r="H858">
        <v>1</v>
      </c>
      <c r="I858" t="s">
        <v>89</v>
      </c>
      <c r="J858">
        <v>20.3</v>
      </c>
      <c r="K858">
        <v>36</v>
      </c>
      <c r="L858">
        <v>4</v>
      </c>
      <c r="M858" t="s">
        <v>1284</v>
      </c>
      <c r="N858">
        <v>10</v>
      </c>
      <c r="O858">
        <v>10</v>
      </c>
      <c r="P858">
        <v>133470.28</v>
      </c>
      <c r="Q858">
        <v>95329.65</v>
      </c>
      <c r="R858">
        <v>286</v>
      </c>
      <c r="S858">
        <v>1622</v>
      </c>
      <c r="T858" t="s">
        <v>34</v>
      </c>
      <c r="U858" t="s">
        <v>49</v>
      </c>
    </row>
    <row r="859" spans="1:21">
      <c r="A859" t="s">
        <v>1437</v>
      </c>
      <c r="B859" t="s">
        <v>1438</v>
      </c>
      <c r="C859" t="s">
        <v>1283</v>
      </c>
      <c r="D859">
        <v>61000</v>
      </c>
      <c r="F859">
        <v>61000</v>
      </c>
      <c r="H859">
        <v>2</v>
      </c>
      <c r="I859" t="s">
        <v>89</v>
      </c>
      <c r="J859">
        <v>14.25</v>
      </c>
      <c r="K859">
        <v>40</v>
      </c>
      <c r="L859">
        <v>4</v>
      </c>
      <c r="M859" t="s">
        <v>1284</v>
      </c>
      <c r="N859">
        <v>4</v>
      </c>
      <c r="O859">
        <v>12</v>
      </c>
      <c r="P859">
        <v>133470.28</v>
      </c>
      <c r="Q859">
        <v>95329.65</v>
      </c>
      <c r="R859">
        <v>286</v>
      </c>
      <c r="S859">
        <v>1622</v>
      </c>
      <c r="T859" t="s">
        <v>108</v>
      </c>
      <c r="U859" t="s">
        <v>49</v>
      </c>
    </row>
    <row r="860" spans="1:21">
      <c r="A860" t="s">
        <v>1439</v>
      </c>
      <c r="B860" t="s">
        <v>1440</v>
      </c>
      <c r="C860" t="s">
        <v>1283</v>
      </c>
      <c r="D860">
        <v>93000</v>
      </c>
      <c r="E860">
        <v>9000</v>
      </c>
      <c r="F860">
        <v>93000</v>
      </c>
      <c r="G860">
        <v>93000</v>
      </c>
      <c r="H860">
        <v>3</v>
      </c>
      <c r="I860" t="s">
        <v>89</v>
      </c>
      <c r="J860">
        <v>24.71</v>
      </c>
      <c r="K860">
        <v>54</v>
      </c>
      <c r="L860">
        <v>4</v>
      </c>
      <c r="M860" t="s">
        <v>1284</v>
      </c>
      <c r="N860">
        <v>6</v>
      </c>
      <c r="O860">
        <v>14</v>
      </c>
      <c r="P860">
        <v>133470.28</v>
      </c>
      <c r="Q860">
        <v>95329.65</v>
      </c>
      <c r="R860">
        <v>286</v>
      </c>
      <c r="S860">
        <v>1622</v>
      </c>
      <c r="T860" t="s">
        <v>34</v>
      </c>
      <c r="U860" t="s">
        <v>57</v>
      </c>
    </row>
    <row r="861" spans="1:21">
      <c r="A861" t="s">
        <v>1441</v>
      </c>
      <c r="B861" t="s">
        <v>1442</v>
      </c>
      <c r="C861" t="s">
        <v>1283</v>
      </c>
      <c r="D861">
        <v>146000</v>
      </c>
      <c r="E861">
        <v>12000</v>
      </c>
      <c r="F861">
        <v>146000</v>
      </c>
      <c r="G861">
        <v>146000</v>
      </c>
      <c r="H861">
        <v>3</v>
      </c>
      <c r="I861" t="s">
        <v>89</v>
      </c>
      <c r="J861">
        <v>25.22</v>
      </c>
      <c r="K861">
        <v>6</v>
      </c>
      <c r="L861">
        <v>5</v>
      </c>
      <c r="M861" t="s">
        <v>1284</v>
      </c>
      <c r="N861">
        <v>5</v>
      </c>
      <c r="O861">
        <v>13.33</v>
      </c>
      <c r="P861">
        <v>133470.28</v>
      </c>
      <c r="Q861">
        <v>95329.65</v>
      </c>
      <c r="R861">
        <v>286</v>
      </c>
      <c r="S861">
        <v>1622</v>
      </c>
      <c r="T861" t="s">
        <v>34</v>
      </c>
      <c r="U861" t="s">
        <v>31</v>
      </c>
    </row>
    <row r="862" spans="1:21">
      <c r="A862" t="s">
        <v>1443</v>
      </c>
      <c r="B862" t="s">
        <v>1442</v>
      </c>
      <c r="C862" t="s">
        <v>1283</v>
      </c>
      <c r="D862">
        <v>147000</v>
      </c>
      <c r="E862">
        <v>12000</v>
      </c>
      <c r="F862">
        <v>147000</v>
      </c>
      <c r="G862">
        <v>147000</v>
      </c>
      <c r="H862">
        <v>4</v>
      </c>
      <c r="I862" t="s">
        <v>89</v>
      </c>
      <c r="J862">
        <v>25.3</v>
      </c>
      <c r="K862">
        <v>6</v>
      </c>
      <c r="L862">
        <v>5</v>
      </c>
      <c r="M862" t="s">
        <v>1284</v>
      </c>
      <c r="N862">
        <v>5</v>
      </c>
      <c r="O862">
        <v>13.33</v>
      </c>
      <c r="P862">
        <v>133470.28</v>
      </c>
      <c r="Q862">
        <v>95329.65</v>
      </c>
      <c r="R862">
        <v>286</v>
      </c>
      <c r="S862">
        <v>1622</v>
      </c>
      <c r="T862" t="s">
        <v>34</v>
      </c>
      <c r="U862" t="s">
        <v>31</v>
      </c>
    </row>
    <row r="863" spans="1:21">
      <c r="A863" t="s">
        <v>1444</v>
      </c>
      <c r="B863" t="s">
        <v>1442</v>
      </c>
      <c r="C863" t="s">
        <v>1283</v>
      </c>
      <c r="D863">
        <v>152000</v>
      </c>
      <c r="E863">
        <v>12000</v>
      </c>
      <c r="F863">
        <v>152000</v>
      </c>
      <c r="G863">
        <v>152000</v>
      </c>
      <c r="H863">
        <v>4</v>
      </c>
      <c r="I863" t="s">
        <v>89</v>
      </c>
      <c r="J863">
        <v>25.3</v>
      </c>
      <c r="K863">
        <v>6</v>
      </c>
      <c r="L863">
        <v>5</v>
      </c>
      <c r="M863" t="s">
        <v>1284</v>
      </c>
      <c r="N863">
        <v>5</v>
      </c>
      <c r="O863">
        <v>13.33</v>
      </c>
      <c r="P863">
        <v>133470.28</v>
      </c>
      <c r="Q863">
        <v>95329.65</v>
      </c>
      <c r="R863">
        <v>286</v>
      </c>
      <c r="S863">
        <v>1622</v>
      </c>
      <c r="T863" t="s">
        <v>34</v>
      </c>
      <c r="U863" t="s">
        <v>31</v>
      </c>
    </row>
    <row r="864" spans="1:21">
      <c r="A864" t="s">
        <v>1445</v>
      </c>
      <c r="B864" t="s">
        <v>1442</v>
      </c>
      <c r="C864" t="s">
        <v>1283</v>
      </c>
      <c r="D864">
        <v>148000</v>
      </c>
      <c r="E864">
        <v>12000</v>
      </c>
      <c r="F864">
        <v>148000</v>
      </c>
      <c r="G864">
        <v>148000</v>
      </c>
      <c r="H864">
        <v>5</v>
      </c>
      <c r="I864" t="s">
        <v>89</v>
      </c>
      <c r="J864">
        <v>25.15</v>
      </c>
      <c r="K864">
        <v>6</v>
      </c>
      <c r="L864">
        <v>5</v>
      </c>
      <c r="M864" t="s">
        <v>1284</v>
      </c>
      <c r="N864">
        <v>5</v>
      </c>
      <c r="O864">
        <v>13.33</v>
      </c>
      <c r="P864">
        <v>133470.28</v>
      </c>
      <c r="Q864">
        <v>95329.65</v>
      </c>
      <c r="R864">
        <v>286</v>
      </c>
      <c r="S864">
        <v>1622</v>
      </c>
      <c r="T864" t="s">
        <v>34</v>
      </c>
      <c r="U864" t="s">
        <v>31</v>
      </c>
    </row>
    <row r="865" spans="1:21">
      <c r="A865" t="s">
        <v>1446</v>
      </c>
      <c r="B865" t="s">
        <v>1442</v>
      </c>
      <c r="C865" t="s">
        <v>1283</v>
      </c>
      <c r="D865">
        <v>148000</v>
      </c>
      <c r="E865">
        <v>12000</v>
      </c>
      <c r="F865">
        <v>148000</v>
      </c>
      <c r="G865">
        <v>148000</v>
      </c>
      <c r="H865">
        <v>5</v>
      </c>
      <c r="I865" t="s">
        <v>89</v>
      </c>
      <c r="J865">
        <v>25.3</v>
      </c>
      <c r="K865">
        <v>6</v>
      </c>
      <c r="L865">
        <v>5</v>
      </c>
      <c r="M865" t="s">
        <v>1284</v>
      </c>
      <c r="N865">
        <v>5</v>
      </c>
      <c r="O865">
        <v>13.33</v>
      </c>
      <c r="P865">
        <v>133470.28</v>
      </c>
      <c r="Q865">
        <v>95329.65</v>
      </c>
      <c r="R865">
        <v>286</v>
      </c>
      <c r="S865">
        <v>1622</v>
      </c>
      <c r="T865" t="s">
        <v>34</v>
      </c>
      <c r="U865" t="s">
        <v>31</v>
      </c>
    </row>
    <row r="866" spans="1:21">
      <c r="A866" t="s">
        <v>1447</v>
      </c>
      <c r="B866" t="s">
        <v>1448</v>
      </c>
      <c r="C866" t="s">
        <v>1283</v>
      </c>
      <c r="D866">
        <v>160000</v>
      </c>
      <c r="E866">
        <v>8000</v>
      </c>
      <c r="F866">
        <v>320000</v>
      </c>
      <c r="G866">
        <v>176000</v>
      </c>
      <c r="H866">
        <v>2</v>
      </c>
      <c r="I866" t="s">
        <v>89</v>
      </c>
      <c r="J866">
        <v>42.33</v>
      </c>
      <c r="K866">
        <v>35</v>
      </c>
      <c r="L866">
        <v>7</v>
      </c>
      <c r="M866" t="s">
        <v>1284</v>
      </c>
      <c r="N866">
        <v>10</v>
      </c>
      <c r="O866">
        <v>13.33</v>
      </c>
      <c r="P866">
        <v>133470.28</v>
      </c>
      <c r="Q866">
        <v>95329.65</v>
      </c>
      <c r="R866">
        <v>286</v>
      </c>
      <c r="S866">
        <v>1622</v>
      </c>
      <c r="T866" t="s">
        <v>326</v>
      </c>
      <c r="U866" t="s">
        <v>49</v>
      </c>
    </row>
    <row r="867" spans="1:21">
      <c r="A867" t="s">
        <v>1449</v>
      </c>
      <c r="B867" t="s">
        <v>1450</v>
      </c>
      <c r="C867" t="s">
        <v>1291</v>
      </c>
      <c r="D867">
        <v>125000</v>
      </c>
      <c r="E867">
        <v>10000</v>
      </c>
      <c r="F867">
        <v>125000</v>
      </c>
      <c r="G867">
        <v>125000</v>
      </c>
      <c r="H867">
        <v>5</v>
      </c>
      <c r="I867" t="s">
        <v>89</v>
      </c>
      <c r="J867">
        <v>26.07</v>
      </c>
      <c r="K867">
        <v>8</v>
      </c>
      <c r="L867">
        <v>7</v>
      </c>
      <c r="M867" t="s">
        <v>1284</v>
      </c>
      <c r="N867">
        <v>9</v>
      </c>
      <c r="O867">
        <v>9.33</v>
      </c>
      <c r="P867">
        <v>133470.28</v>
      </c>
      <c r="Q867">
        <v>95329.65</v>
      </c>
      <c r="R867">
        <v>286</v>
      </c>
      <c r="S867">
        <v>1622</v>
      </c>
      <c r="T867" t="s">
        <v>34</v>
      </c>
      <c r="U867" t="s">
        <v>31</v>
      </c>
    </row>
    <row r="868" spans="1:21">
      <c r="A868" t="s">
        <v>1451</v>
      </c>
      <c r="B868" t="s">
        <v>1450</v>
      </c>
      <c r="C868" t="s">
        <v>1291</v>
      </c>
      <c r="D868">
        <v>148000</v>
      </c>
      <c r="E868">
        <v>10000</v>
      </c>
      <c r="F868">
        <v>148000</v>
      </c>
      <c r="G868">
        <v>148000</v>
      </c>
      <c r="H868">
        <v>5</v>
      </c>
      <c r="I868" t="s">
        <v>89</v>
      </c>
      <c r="J868">
        <v>29.22</v>
      </c>
      <c r="K868">
        <v>8</v>
      </c>
      <c r="L868">
        <v>7</v>
      </c>
      <c r="M868" t="s">
        <v>1284</v>
      </c>
      <c r="N868">
        <v>9</v>
      </c>
      <c r="O868">
        <v>9.33</v>
      </c>
      <c r="P868">
        <v>133470.28</v>
      </c>
      <c r="Q868">
        <v>95329.65</v>
      </c>
      <c r="R868">
        <v>286</v>
      </c>
      <c r="S868">
        <v>1622</v>
      </c>
      <c r="T868" t="s">
        <v>34</v>
      </c>
      <c r="U868" t="s">
        <v>31</v>
      </c>
    </row>
    <row r="869" spans="1:21">
      <c r="A869" t="s">
        <v>1452</v>
      </c>
      <c r="B869" t="s">
        <v>1453</v>
      </c>
      <c r="C869" t="s">
        <v>1379</v>
      </c>
      <c r="D869">
        <v>143000</v>
      </c>
      <c r="E869">
        <v>5000</v>
      </c>
      <c r="F869">
        <v>143000</v>
      </c>
      <c r="G869">
        <v>143000</v>
      </c>
      <c r="H869">
        <v>8</v>
      </c>
      <c r="I869" t="s">
        <v>89</v>
      </c>
      <c r="J869">
        <v>29.56</v>
      </c>
      <c r="K869">
        <v>20</v>
      </c>
      <c r="L869">
        <v>8</v>
      </c>
      <c r="M869" t="s">
        <v>1284</v>
      </c>
      <c r="N869">
        <v>4</v>
      </c>
      <c r="O869">
        <v>12</v>
      </c>
      <c r="P869">
        <v>133470.28</v>
      </c>
      <c r="Q869">
        <v>95329.65</v>
      </c>
      <c r="R869">
        <v>286</v>
      </c>
      <c r="S869">
        <v>1622</v>
      </c>
      <c r="T869" t="s">
        <v>34</v>
      </c>
      <c r="U869" t="s">
        <v>90</v>
      </c>
    </row>
    <row r="870" spans="1:21">
      <c r="A870" t="s">
        <v>1454</v>
      </c>
      <c r="B870" t="s">
        <v>1455</v>
      </c>
      <c r="C870" t="s">
        <v>1291</v>
      </c>
      <c r="D870">
        <v>133000</v>
      </c>
      <c r="E870">
        <v>10000</v>
      </c>
      <c r="H870">
        <v>4</v>
      </c>
      <c r="I870" t="s">
        <v>89</v>
      </c>
      <c r="J870">
        <v>25.45</v>
      </c>
      <c r="K870">
        <v>6</v>
      </c>
      <c r="L870">
        <v>8</v>
      </c>
      <c r="M870" t="s">
        <v>1284</v>
      </c>
      <c r="N870">
        <v>8</v>
      </c>
      <c r="O870">
        <v>10.33</v>
      </c>
      <c r="P870">
        <v>133470.28</v>
      </c>
      <c r="Q870">
        <v>95329.65</v>
      </c>
      <c r="R870">
        <v>286</v>
      </c>
      <c r="S870">
        <v>1622</v>
      </c>
      <c r="T870" t="s">
        <v>34</v>
      </c>
      <c r="U870" t="s">
        <v>31</v>
      </c>
    </row>
    <row r="871" spans="1:21">
      <c r="A871" t="s">
        <v>1456</v>
      </c>
      <c r="B871" t="s">
        <v>1457</v>
      </c>
      <c r="C871" t="s">
        <v>1386</v>
      </c>
      <c r="D871">
        <v>132000</v>
      </c>
      <c r="E871">
        <v>10000</v>
      </c>
      <c r="F871">
        <v>132000</v>
      </c>
      <c r="G871">
        <v>264000</v>
      </c>
      <c r="H871">
        <v>6</v>
      </c>
      <c r="I871" t="s">
        <v>89</v>
      </c>
      <c r="J871">
        <v>26.73</v>
      </c>
      <c r="K871">
        <v>11</v>
      </c>
      <c r="L871">
        <v>9</v>
      </c>
      <c r="M871" t="s">
        <v>1284</v>
      </c>
      <c r="N871">
        <v>2</v>
      </c>
      <c r="O871">
        <v>11.67</v>
      </c>
      <c r="P871">
        <v>133470.28</v>
      </c>
      <c r="Q871">
        <v>95329.65</v>
      </c>
      <c r="R871">
        <v>286</v>
      </c>
      <c r="S871">
        <v>1622</v>
      </c>
      <c r="T871" t="s">
        <v>34</v>
      </c>
      <c r="U871" t="s">
        <v>90</v>
      </c>
    </row>
    <row r="872" spans="1:21">
      <c r="A872" t="s">
        <v>1458</v>
      </c>
      <c r="B872" t="s">
        <v>1457</v>
      </c>
      <c r="C872" t="s">
        <v>1386</v>
      </c>
      <c r="D872">
        <v>134000</v>
      </c>
      <c r="E872">
        <v>10000</v>
      </c>
      <c r="F872">
        <v>134000</v>
      </c>
      <c r="G872">
        <v>268000</v>
      </c>
      <c r="H872">
        <v>7</v>
      </c>
      <c r="I872" t="s">
        <v>89</v>
      </c>
      <c r="J872">
        <v>26.73</v>
      </c>
      <c r="K872">
        <v>11</v>
      </c>
      <c r="L872">
        <v>9</v>
      </c>
      <c r="M872" t="s">
        <v>1284</v>
      </c>
      <c r="N872">
        <v>2</v>
      </c>
      <c r="O872">
        <v>11.67</v>
      </c>
      <c r="P872">
        <v>133470.28</v>
      </c>
      <c r="Q872">
        <v>95329.65</v>
      </c>
      <c r="R872">
        <v>286</v>
      </c>
      <c r="S872">
        <v>1622</v>
      </c>
      <c r="T872" t="s">
        <v>34</v>
      </c>
      <c r="U872" t="s">
        <v>90</v>
      </c>
    </row>
    <row r="873" spans="1:21">
      <c r="A873" t="s">
        <v>1459</v>
      </c>
      <c r="B873" t="s">
        <v>1460</v>
      </c>
      <c r="C873" t="s">
        <v>1283</v>
      </c>
      <c r="D873">
        <v>152000</v>
      </c>
      <c r="E873">
        <v>13000</v>
      </c>
      <c r="H873">
        <v>8</v>
      </c>
      <c r="I873" t="s">
        <v>89</v>
      </c>
      <c r="J873">
        <v>28.42</v>
      </c>
      <c r="K873">
        <v>2</v>
      </c>
      <c r="L873">
        <v>9</v>
      </c>
      <c r="M873" t="s">
        <v>1284</v>
      </c>
      <c r="N873">
        <v>10</v>
      </c>
      <c r="O873">
        <v>11</v>
      </c>
      <c r="P873">
        <v>133470.28</v>
      </c>
      <c r="Q873">
        <v>95329.65</v>
      </c>
      <c r="R873">
        <v>286</v>
      </c>
      <c r="S873">
        <v>1622</v>
      </c>
      <c r="T873" t="s">
        <v>34</v>
      </c>
      <c r="U873" t="s">
        <v>31</v>
      </c>
    </row>
    <row r="874" spans="1:21">
      <c r="A874" t="s">
        <v>1461</v>
      </c>
      <c r="B874" t="s">
        <v>1462</v>
      </c>
      <c r="C874" t="s">
        <v>1291</v>
      </c>
      <c r="D874">
        <v>69000</v>
      </c>
      <c r="E874">
        <v>5000</v>
      </c>
      <c r="G874">
        <v>69000</v>
      </c>
      <c r="H874">
        <v>5</v>
      </c>
      <c r="I874" t="s">
        <v>89</v>
      </c>
      <c r="J874">
        <v>19.04</v>
      </c>
      <c r="K874">
        <v>35</v>
      </c>
      <c r="L874">
        <v>6</v>
      </c>
      <c r="M874" t="s">
        <v>1284</v>
      </c>
      <c r="N874">
        <v>9</v>
      </c>
      <c r="O874">
        <v>11.67</v>
      </c>
      <c r="P874">
        <v>133470.28</v>
      </c>
      <c r="Q874">
        <v>95329.65</v>
      </c>
      <c r="R874">
        <v>286</v>
      </c>
      <c r="S874">
        <v>1622</v>
      </c>
      <c r="T874" t="s">
        <v>108</v>
      </c>
      <c r="U874" t="s">
        <v>49</v>
      </c>
    </row>
    <row r="875" spans="1:21">
      <c r="A875" t="s">
        <v>1463</v>
      </c>
      <c r="B875" t="s">
        <v>1464</v>
      </c>
      <c r="C875" t="s">
        <v>1283</v>
      </c>
      <c r="D875">
        <v>125000</v>
      </c>
      <c r="E875">
        <v>15000</v>
      </c>
      <c r="H875">
        <v>2</v>
      </c>
      <c r="I875" t="s">
        <v>89</v>
      </c>
      <c r="J875">
        <v>28.35</v>
      </c>
      <c r="K875">
        <v>5</v>
      </c>
      <c r="L875">
        <v>8</v>
      </c>
      <c r="M875" t="s">
        <v>1284</v>
      </c>
      <c r="N875">
        <v>10</v>
      </c>
      <c r="O875">
        <v>13</v>
      </c>
      <c r="P875">
        <v>133470.28</v>
      </c>
      <c r="Q875">
        <v>95329.65</v>
      </c>
      <c r="R875">
        <v>286</v>
      </c>
      <c r="S875">
        <v>1622</v>
      </c>
      <c r="T875" t="s">
        <v>34</v>
      </c>
      <c r="U875" t="s">
        <v>31</v>
      </c>
    </row>
    <row r="876" spans="1:21">
      <c r="A876" t="s">
        <v>1465</v>
      </c>
      <c r="B876" t="s">
        <v>1466</v>
      </c>
      <c r="C876" t="s">
        <v>1283</v>
      </c>
      <c r="D876">
        <v>74000</v>
      </c>
      <c r="E876">
        <v>2500</v>
      </c>
      <c r="F876">
        <v>74000</v>
      </c>
      <c r="G876">
        <v>74000</v>
      </c>
      <c r="H876">
        <v>1</v>
      </c>
      <c r="I876" t="s">
        <v>89</v>
      </c>
      <c r="J876">
        <v>23.5</v>
      </c>
      <c r="K876">
        <v>44</v>
      </c>
      <c r="L876">
        <v>2</v>
      </c>
      <c r="M876" t="s">
        <v>1284</v>
      </c>
      <c r="N876">
        <v>4</v>
      </c>
      <c r="O876">
        <v>13</v>
      </c>
      <c r="P876">
        <v>133470.28</v>
      </c>
      <c r="Q876">
        <v>95329.65</v>
      </c>
      <c r="R876">
        <v>286</v>
      </c>
      <c r="S876">
        <v>1622</v>
      </c>
      <c r="T876" t="s">
        <v>34</v>
      </c>
      <c r="U876" t="s">
        <v>42</v>
      </c>
    </row>
    <row r="877" spans="1:21">
      <c r="A877" t="s">
        <v>1467</v>
      </c>
      <c r="B877" t="s">
        <v>1468</v>
      </c>
      <c r="C877" t="s">
        <v>1283</v>
      </c>
      <c r="D877">
        <v>62000</v>
      </c>
      <c r="E877">
        <v>5000</v>
      </c>
      <c r="H877">
        <v>2</v>
      </c>
      <c r="I877" t="s">
        <v>89</v>
      </c>
      <c r="J877">
        <v>14.25</v>
      </c>
      <c r="K877">
        <v>42</v>
      </c>
      <c r="L877">
        <v>4</v>
      </c>
      <c r="M877" t="s">
        <v>1284</v>
      </c>
      <c r="N877">
        <v>4</v>
      </c>
      <c r="O877">
        <v>12</v>
      </c>
      <c r="P877">
        <v>133470.28</v>
      </c>
      <c r="Q877">
        <v>95329.65</v>
      </c>
      <c r="R877">
        <v>286</v>
      </c>
      <c r="S877">
        <v>1622</v>
      </c>
      <c r="T877" t="s">
        <v>108</v>
      </c>
      <c r="U877" t="s">
        <v>42</v>
      </c>
    </row>
    <row r="878" spans="1:21">
      <c r="A878" t="s">
        <v>1469</v>
      </c>
      <c r="B878" t="s">
        <v>1470</v>
      </c>
      <c r="C878" t="s">
        <v>1283</v>
      </c>
      <c r="D878">
        <v>121000</v>
      </c>
      <c r="E878">
        <v>6000</v>
      </c>
      <c r="F878">
        <v>121000</v>
      </c>
      <c r="H878">
        <v>1</v>
      </c>
      <c r="I878" t="s">
        <v>89</v>
      </c>
      <c r="J878">
        <v>26.85</v>
      </c>
      <c r="K878">
        <v>20</v>
      </c>
      <c r="L878">
        <v>7</v>
      </c>
      <c r="M878" t="s">
        <v>1284</v>
      </c>
      <c r="N878">
        <v>5</v>
      </c>
      <c r="O878">
        <v>14</v>
      </c>
      <c r="P878">
        <v>133470.28</v>
      </c>
      <c r="Q878">
        <v>95329.65</v>
      </c>
      <c r="R878">
        <v>286</v>
      </c>
      <c r="S878">
        <v>1622</v>
      </c>
      <c r="T878" t="s">
        <v>34</v>
      </c>
      <c r="U878" t="s">
        <v>90</v>
      </c>
    </row>
    <row r="879" spans="1:21">
      <c r="A879" t="s">
        <v>1471</v>
      </c>
      <c r="B879" t="s">
        <v>1472</v>
      </c>
      <c r="C879" t="s">
        <v>1283</v>
      </c>
      <c r="D879">
        <v>147000</v>
      </c>
      <c r="E879">
        <v>13000</v>
      </c>
      <c r="H879">
        <v>2</v>
      </c>
      <c r="I879" t="s">
        <v>89</v>
      </c>
      <c r="J879">
        <v>28.38</v>
      </c>
      <c r="K879">
        <v>2</v>
      </c>
      <c r="L879">
        <v>9</v>
      </c>
      <c r="M879" t="s">
        <v>1284</v>
      </c>
      <c r="N879">
        <v>10</v>
      </c>
      <c r="O879">
        <v>10.67</v>
      </c>
      <c r="P879">
        <v>133470.28</v>
      </c>
      <c r="Q879">
        <v>95329.65</v>
      </c>
      <c r="R879">
        <v>286</v>
      </c>
      <c r="S879">
        <v>1622</v>
      </c>
      <c r="T879" t="s">
        <v>34</v>
      </c>
      <c r="U879" t="s">
        <v>31</v>
      </c>
    </row>
    <row r="880" spans="1:21">
      <c r="A880" t="s">
        <v>1473</v>
      </c>
      <c r="B880" t="s">
        <v>1472</v>
      </c>
      <c r="C880" t="s">
        <v>1283</v>
      </c>
      <c r="D880">
        <v>152000</v>
      </c>
      <c r="E880">
        <v>13000</v>
      </c>
      <c r="H880">
        <v>8</v>
      </c>
      <c r="I880" t="s">
        <v>89</v>
      </c>
      <c r="J880">
        <v>28.42</v>
      </c>
      <c r="K880">
        <v>2</v>
      </c>
      <c r="L880">
        <v>9</v>
      </c>
      <c r="M880" t="s">
        <v>1284</v>
      </c>
      <c r="N880">
        <v>10</v>
      </c>
      <c r="O880">
        <v>10.67</v>
      </c>
      <c r="P880">
        <v>133470.28</v>
      </c>
      <c r="Q880">
        <v>95329.65</v>
      </c>
      <c r="R880">
        <v>286</v>
      </c>
      <c r="S880">
        <v>1622</v>
      </c>
      <c r="T880" t="s">
        <v>34</v>
      </c>
      <c r="U880" t="s">
        <v>31</v>
      </c>
    </row>
    <row r="881" spans="1:21">
      <c r="A881" t="s">
        <v>1474</v>
      </c>
      <c r="B881" t="s">
        <v>1475</v>
      </c>
      <c r="C881" t="s">
        <v>1283</v>
      </c>
      <c r="D881">
        <v>130000</v>
      </c>
      <c r="E881">
        <v>4300</v>
      </c>
      <c r="G881">
        <v>130000</v>
      </c>
      <c r="H881">
        <v>3</v>
      </c>
      <c r="I881" t="s">
        <v>325</v>
      </c>
      <c r="J881">
        <v>37.39</v>
      </c>
      <c r="K881">
        <v>6</v>
      </c>
      <c r="L881">
        <v>3</v>
      </c>
      <c r="M881" t="s">
        <v>1284</v>
      </c>
      <c r="N881">
        <v>7</v>
      </c>
      <c r="O881">
        <v>10.33</v>
      </c>
      <c r="P881">
        <v>133470.28</v>
      </c>
      <c r="Q881">
        <v>168453.81</v>
      </c>
      <c r="R881">
        <v>286</v>
      </c>
      <c r="S881">
        <v>788</v>
      </c>
      <c r="T881" t="s">
        <v>26</v>
      </c>
      <c r="U881" t="s">
        <v>31</v>
      </c>
    </row>
    <row r="882" spans="1:21">
      <c r="A882" t="s">
        <v>1476</v>
      </c>
      <c r="B882" t="s">
        <v>1318</v>
      </c>
      <c r="C882" t="s">
        <v>1283</v>
      </c>
      <c r="D882">
        <v>195000</v>
      </c>
      <c r="E882">
        <v>15000</v>
      </c>
      <c r="H882">
        <v>1</v>
      </c>
      <c r="I882" t="s">
        <v>325</v>
      </c>
      <c r="J882">
        <v>46.35</v>
      </c>
      <c r="K882">
        <v>5</v>
      </c>
      <c r="L882">
        <v>4</v>
      </c>
      <c r="M882" t="s">
        <v>1284</v>
      </c>
      <c r="N882">
        <v>10</v>
      </c>
      <c r="O882">
        <v>12.33</v>
      </c>
      <c r="P882">
        <v>133470.28</v>
      </c>
      <c r="Q882">
        <v>168453.81</v>
      </c>
      <c r="R882">
        <v>286</v>
      </c>
      <c r="S882">
        <v>788</v>
      </c>
      <c r="T882" t="s">
        <v>326</v>
      </c>
      <c r="U882" t="s">
        <v>31</v>
      </c>
    </row>
    <row r="883" spans="1:21">
      <c r="A883" t="s">
        <v>1477</v>
      </c>
      <c r="B883" t="s">
        <v>1478</v>
      </c>
      <c r="C883" t="s">
        <v>1294</v>
      </c>
      <c r="D883">
        <v>192000</v>
      </c>
      <c r="E883">
        <v>15000</v>
      </c>
      <c r="G883">
        <v>96000</v>
      </c>
      <c r="H883">
        <v>4</v>
      </c>
      <c r="I883" t="s">
        <v>325</v>
      </c>
      <c r="J883">
        <v>40.409999999999997</v>
      </c>
      <c r="K883">
        <v>5</v>
      </c>
      <c r="L883">
        <v>4</v>
      </c>
      <c r="M883" t="s">
        <v>1284</v>
      </c>
      <c r="N883">
        <v>9</v>
      </c>
      <c r="O883">
        <v>12.67</v>
      </c>
      <c r="P883">
        <v>133470.28</v>
      </c>
      <c r="Q883">
        <v>168453.81</v>
      </c>
      <c r="R883">
        <v>286</v>
      </c>
      <c r="S883">
        <v>788</v>
      </c>
      <c r="T883" t="s">
        <v>326</v>
      </c>
      <c r="U883" t="s">
        <v>31</v>
      </c>
    </row>
    <row r="884" spans="1:21">
      <c r="A884" t="s">
        <v>1479</v>
      </c>
      <c r="B884" t="s">
        <v>1478</v>
      </c>
      <c r="C884" t="s">
        <v>1294</v>
      </c>
      <c r="D884">
        <v>200000</v>
      </c>
      <c r="E884">
        <v>15000</v>
      </c>
      <c r="G884">
        <v>100000</v>
      </c>
      <c r="H884">
        <v>4</v>
      </c>
      <c r="I884" t="s">
        <v>325</v>
      </c>
      <c r="J884">
        <v>40.409999999999997</v>
      </c>
      <c r="K884">
        <v>5</v>
      </c>
      <c r="L884">
        <v>4</v>
      </c>
      <c r="M884" t="s">
        <v>1284</v>
      </c>
      <c r="N884">
        <v>9</v>
      </c>
      <c r="O884">
        <v>12.67</v>
      </c>
      <c r="P884">
        <v>133470.28</v>
      </c>
      <c r="Q884">
        <v>168453.81</v>
      </c>
      <c r="R884">
        <v>286</v>
      </c>
      <c r="S884">
        <v>788</v>
      </c>
      <c r="T884" t="s">
        <v>326</v>
      </c>
      <c r="U884" t="s">
        <v>31</v>
      </c>
    </row>
    <row r="885" spans="1:21">
      <c r="A885" t="s">
        <v>1480</v>
      </c>
      <c r="B885" t="s">
        <v>1478</v>
      </c>
      <c r="C885" t="s">
        <v>1294</v>
      </c>
      <c r="D885">
        <v>194000</v>
      </c>
      <c r="E885">
        <v>15000</v>
      </c>
      <c r="G885">
        <v>97000</v>
      </c>
      <c r="H885">
        <v>4</v>
      </c>
      <c r="I885" t="s">
        <v>325</v>
      </c>
      <c r="J885">
        <v>40.770000000000003</v>
      </c>
      <c r="K885">
        <v>5</v>
      </c>
      <c r="L885">
        <v>4</v>
      </c>
      <c r="M885" t="s">
        <v>1284</v>
      </c>
      <c r="N885">
        <v>9</v>
      </c>
      <c r="O885">
        <v>12.67</v>
      </c>
      <c r="P885">
        <v>133470.28</v>
      </c>
      <c r="Q885">
        <v>168453.81</v>
      </c>
      <c r="R885">
        <v>286</v>
      </c>
      <c r="S885">
        <v>788</v>
      </c>
      <c r="T885" t="s">
        <v>326</v>
      </c>
      <c r="U885" t="s">
        <v>31</v>
      </c>
    </row>
    <row r="886" spans="1:21">
      <c r="A886" t="s">
        <v>1481</v>
      </c>
      <c r="B886" t="s">
        <v>1482</v>
      </c>
      <c r="C886" t="s">
        <v>1291</v>
      </c>
      <c r="D886">
        <v>126000</v>
      </c>
      <c r="E886">
        <v>18000</v>
      </c>
      <c r="G886">
        <v>63000</v>
      </c>
      <c r="H886">
        <v>2</v>
      </c>
      <c r="I886" t="s">
        <v>325</v>
      </c>
      <c r="J886">
        <v>25</v>
      </c>
      <c r="K886">
        <v>0</v>
      </c>
      <c r="L886">
        <v>5</v>
      </c>
      <c r="M886" t="s">
        <v>1284</v>
      </c>
      <c r="N886">
        <v>7</v>
      </c>
      <c r="O886">
        <v>11.33</v>
      </c>
      <c r="P886">
        <v>133470.28</v>
      </c>
      <c r="Q886">
        <v>168453.81</v>
      </c>
      <c r="R886">
        <v>286</v>
      </c>
      <c r="S886">
        <v>788</v>
      </c>
      <c r="T886" t="s">
        <v>34</v>
      </c>
      <c r="U886" t="s">
        <v>81</v>
      </c>
    </row>
    <row r="887" spans="1:21">
      <c r="A887" t="s">
        <v>1483</v>
      </c>
      <c r="B887" t="s">
        <v>1482</v>
      </c>
      <c r="C887" t="s">
        <v>1291</v>
      </c>
      <c r="D887">
        <v>149000</v>
      </c>
      <c r="E887">
        <v>18000</v>
      </c>
      <c r="G887">
        <v>149000</v>
      </c>
      <c r="H887">
        <v>3</v>
      </c>
      <c r="I887" t="s">
        <v>325</v>
      </c>
      <c r="J887">
        <v>25</v>
      </c>
      <c r="K887">
        <v>0</v>
      </c>
      <c r="L887">
        <v>5</v>
      </c>
      <c r="M887" t="s">
        <v>1284</v>
      </c>
      <c r="N887">
        <v>7</v>
      </c>
      <c r="O887">
        <v>11.33</v>
      </c>
      <c r="P887">
        <v>133470.28</v>
      </c>
      <c r="Q887">
        <v>168453.81</v>
      </c>
      <c r="R887">
        <v>286</v>
      </c>
      <c r="S887">
        <v>788</v>
      </c>
      <c r="T887" t="s">
        <v>34</v>
      </c>
      <c r="U887" t="s">
        <v>81</v>
      </c>
    </row>
    <row r="888" spans="1:21">
      <c r="A888" t="s">
        <v>1484</v>
      </c>
      <c r="B888" t="s">
        <v>1482</v>
      </c>
      <c r="C888" t="s">
        <v>1291</v>
      </c>
      <c r="D888">
        <v>140000</v>
      </c>
      <c r="E888">
        <v>18000</v>
      </c>
      <c r="G888">
        <v>140000</v>
      </c>
      <c r="H888">
        <v>5</v>
      </c>
      <c r="I888" t="s">
        <v>325</v>
      </c>
      <c r="J888">
        <v>27.28</v>
      </c>
      <c r="K888">
        <v>0</v>
      </c>
      <c r="L888">
        <v>5</v>
      </c>
      <c r="M888" t="s">
        <v>1284</v>
      </c>
      <c r="N888">
        <v>7</v>
      </c>
      <c r="O888">
        <v>11.33</v>
      </c>
      <c r="P888">
        <v>133470.28</v>
      </c>
      <c r="Q888">
        <v>168453.81</v>
      </c>
      <c r="R888">
        <v>286</v>
      </c>
      <c r="S888">
        <v>788</v>
      </c>
      <c r="T888" t="s">
        <v>34</v>
      </c>
      <c r="U888" t="s">
        <v>81</v>
      </c>
    </row>
    <row r="889" spans="1:21">
      <c r="A889" t="s">
        <v>1485</v>
      </c>
      <c r="B889" t="s">
        <v>1486</v>
      </c>
      <c r="C889" t="s">
        <v>1294</v>
      </c>
      <c r="D889">
        <v>155000</v>
      </c>
      <c r="E889">
        <v>5000</v>
      </c>
      <c r="F889">
        <v>155000</v>
      </c>
      <c r="H889">
        <v>4</v>
      </c>
      <c r="I889" t="s">
        <v>325</v>
      </c>
      <c r="J889">
        <v>39.35</v>
      </c>
      <c r="K889">
        <v>22</v>
      </c>
      <c r="L889">
        <v>4</v>
      </c>
      <c r="M889" t="s">
        <v>1284</v>
      </c>
      <c r="N889">
        <v>11</v>
      </c>
      <c r="O889">
        <v>11.67</v>
      </c>
      <c r="P889">
        <v>133470.28</v>
      </c>
      <c r="Q889">
        <v>168453.81</v>
      </c>
      <c r="R889">
        <v>286</v>
      </c>
      <c r="S889">
        <v>788</v>
      </c>
      <c r="T889" t="s">
        <v>26</v>
      </c>
      <c r="U889" t="s">
        <v>27</v>
      </c>
    </row>
    <row r="890" spans="1:21">
      <c r="A890" t="s">
        <v>1487</v>
      </c>
      <c r="B890" t="s">
        <v>1488</v>
      </c>
      <c r="C890" t="s">
        <v>1310</v>
      </c>
      <c r="D890">
        <v>189000</v>
      </c>
      <c r="E890">
        <v>15000</v>
      </c>
      <c r="F890">
        <v>189000</v>
      </c>
      <c r="H890">
        <v>2</v>
      </c>
      <c r="I890" t="s">
        <v>325</v>
      </c>
      <c r="J890">
        <v>40.71</v>
      </c>
      <c r="K890">
        <v>3</v>
      </c>
      <c r="L890">
        <v>4</v>
      </c>
      <c r="M890" t="s">
        <v>1284</v>
      </c>
      <c r="N890">
        <v>10</v>
      </c>
      <c r="O890">
        <v>11.33</v>
      </c>
      <c r="P890">
        <v>133470.28</v>
      </c>
      <c r="Q890">
        <v>168453.81</v>
      </c>
      <c r="R890">
        <v>286</v>
      </c>
      <c r="S890">
        <v>788</v>
      </c>
      <c r="T890" t="s">
        <v>326</v>
      </c>
      <c r="U890" t="s">
        <v>31</v>
      </c>
    </row>
    <row r="891" spans="1:21">
      <c r="A891" t="s">
        <v>1489</v>
      </c>
      <c r="B891" t="s">
        <v>1490</v>
      </c>
      <c r="C891" t="s">
        <v>1294</v>
      </c>
      <c r="D891">
        <v>188000</v>
      </c>
      <c r="E891">
        <v>6000</v>
      </c>
      <c r="G891">
        <v>188000</v>
      </c>
      <c r="H891">
        <v>3</v>
      </c>
      <c r="I891" t="s">
        <v>325</v>
      </c>
      <c r="J891">
        <v>42.39</v>
      </c>
      <c r="K891">
        <v>4</v>
      </c>
      <c r="L891">
        <v>3</v>
      </c>
      <c r="M891" t="s">
        <v>1284</v>
      </c>
      <c r="N891">
        <v>10</v>
      </c>
      <c r="O891">
        <v>14</v>
      </c>
      <c r="P891">
        <v>133470.28</v>
      </c>
      <c r="Q891">
        <v>168453.81</v>
      </c>
      <c r="R891">
        <v>286</v>
      </c>
      <c r="S891">
        <v>788</v>
      </c>
      <c r="T891" t="s">
        <v>326</v>
      </c>
      <c r="U891" t="s">
        <v>31</v>
      </c>
    </row>
    <row r="892" spans="1:21">
      <c r="A892" t="s">
        <v>1491</v>
      </c>
      <c r="B892" t="s">
        <v>1490</v>
      </c>
      <c r="C892" t="s">
        <v>1294</v>
      </c>
      <c r="D892">
        <v>194000</v>
      </c>
      <c r="E892">
        <v>6000</v>
      </c>
      <c r="G892">
        <v>194000</v>
      </c>
      <c r="H892">
        <v>3</v>
      </c>
      <c r="I892" t="s">
        <v>325</v>
      </c>
      <c r="J892">
        <v>42.39</v>
      </c>
      <c r="K892">
        <v>4</v>
      </c>
      <c r="L892">
        <v>3</v>
      </c>
      <c r="M892" t="s">
        <v>1284</v>
      </c>
      <c r="N892">
        <v>10</v>
      </c>
      <c r="O892">
        <v>14</v>
      </c>
      <c r="P892">
        <v>133470.28</v>
      </c>
      <c r="Q892">
        <v>168453.81</v>
      </c>
      <c r="R892">
        <v>286</v>
      </c>
      <c r="S892">
        <v>788</v>
      </c>
      <c r="T892" t="s">
        <v>326</v>
      </c>
      <c r="U892" t="s">
        <v>31</v>
      </c>
    </row>
    <row r="893" spans="1:21">
      <c r="A893" t="s">
        <v>1492</v>
      </c>
      <c r="B893" t="s">
        <v>1493</v>
      </c>
      <c r="C893" t="s">
        <v>1283</v>
      </c>
      <c r="D893">
        <v>172000</v>
      </c>
      <c r="E893">
        <v>10000</v>
      </c>
      <c r="F893">
        <v>172000</v>
      </c>
      <c r="G893">
        <v>344000</v>
      </c>
      <c r="H893">
        <v>4</v>
      </c>
      <c r="I893" t="s">
        <v>325</v>
      </c>
      <c r="J893">
        <v>37.31</v>
      </c>
      <c r="K893">
        <v>16</v>
      </c>
      <c r="L893">
        <v>5</v>
      </c>
      <c r="M893" t="s">
        <v>1284</v>
      </c>
      <c r="N893">
        <v>3</v>
      </c>
      <c r="O893">
        <v>9</v>
      </c>
      <c r="P893">
        <v>133470.28</v>
      </c>
      <c r="Q893">
        <v>168453.81</v>
      </c>
      <c r="R893">
        <v>286</v>
      </c>
      <c r="S893">
        <v>788</v>
      </c>
      <c r="T893" t="s">
        <v>26</v>
      </c>
      <c r="U893" t="s">
        <v>90</v>
      </c>
    </row>
    <row r="894" spans="1:21">
      <c r="A894" t="s">
        <v>1494</v>
      </c>
      <c r="B894" t="s">
        <v>1495</v>
      </c>
      <c r="C894" t="s">
        <v>1294</v>
      </c>
      <c r="D894">
        <v>88000</v>
      </c>
      <c r="F894">
        <v>88000</v>
      </c>
      <c r="G894">
        <v>88000</v>
      </c>
      <c r="H894">
        <v>1</v>
      </c>
      <c r="I894" t="s">
        <v>325</v>
      </c>
      <c r="J894">
        <v>38.880000000000003</v>
      </c>
      <c r="K894">
        <v>34</v>
      </c>
      <c r="L894">
        <v>2</v>
      </c>
      <c r="M894" t="s">
        <v>1284</v>
      </c>
      <c r="N894">
        <v>10</v>
      </c>
      <c r="O894">
        <v>12.67</v>
      </c>
      <c r="P894">
        <v>133470.28</v>
      </c>
      <c r="Q894">
        <v>168453.81</v>
      </c>
      <c r="R894">
        <v>286</v>
      </c>
      <c r="S894">
        <v>788</v>
      </c>
      <c r="T894" t="s">
        <v>26</v>
      </c>
      <c r="U894" t="s">
        <v>49</v>
      </c>
    </row>
    <row r="895" spans="1:21">
      <c r="A895" t="s">
        <v>1496</v>
      </c>
      <c r="B895" t="s">
        <v>1497</v>
      </c>
      <c r="C895" t="s">
        <v>1310</v>
      </c>
      <c r="D895">
        <v>190000</v>
      </c>
      <c r="E895">
        <v>20000</v>
      </c>
      <c r="F895">
        <v>190000</v>
      </c>
      <c r="H895">
        <v>1</v>
      </c>
      <c r="I895" t="s">
        <v>325</v>
      </c>
      <c r="J895">
        <v>40.21</v>
      </c>
      <c r="K895">
        <v>0</v>
      </c>
      <c r="L895">
        <v>4</v>
      </c>
      <c r="M895" t="s">
        <v>1284</v>
      </c>
      <c r="N895">
        <v>11</v>
      </c>
      <c r="O895">
        <v>12</v>
      </c>
      <c r="P895">
        <v>133470.28</v>
      </c>
      <c r="Q895">
        <v>168453.81</v>
      </c>
      <c r="R895">
        <v>286</v>
      </c>
      <c r="S895">
        <v>788</v>
      </c>
      <c r="T895" t="s">
        <v>326</v>
      </c>
      <c r="U895" t="s">
        <v>81</v>
      </c>
    </row>
    <row r="896" spans="1:21">
      <c r="A896" t="s">
        <v>1498</v>
      </c>
      <c r="B896" t="s">
        <v>1497</v>
      </c>
      <c r="C896" t="s">
        <v>1310</v>
      </c>
      <c r="D896">
        <v>160000</v>
      </c>
      <c r="E896">
        <v>15000</v>
      </c>
      <c r="F896">
        <v>160000</v>
      </c>
      <c r="H896">
        <v>2</v>
      </c>
      <c r="I896" t="s">
        <v>325</v>
      </c>
      <c r="J896">
        <v>30.75</v>
      </c>
      <c r="K896">
        <v>0</v>
      </c>
      <c r="L896">
        <v>4</v>
      </c>
      <c r="M896" t="s">
        <v>1284</v>
      </c>
      <c r="N896">
        <v>11</v>
      </c>
      <c r="O896">
        <v>12</v>
      </c>
      <c r="P896">
        <v>133470.28</v>
      </c>
      <c r="Q896">
        <v>168453.81</v>
      </c>
      <c r="R896">
        <v>286</v>
      </c>
      <c r="S896">
        <v>788</v>
      </c>
      <c r="T896" t="s">
        <v>26</v>
      </c>
      <c r="U896" t="s">
        <v>81</v>
      </c>
    </row>
    <row r="897" spans="1:21">
      <c r="A897" t="s">
        <v>1499</v>
      </c>
      <c r="B897" t="s">
        <v>1497</v>
      </c>
      <c r="C897" t="s">
        <v>1310</v>
      </c>
      <c r="D897">
        <v>200000</v>
      </c>
      <c r="E897">
        <v>20000</v>
      </c>
      <c r="F897">
        <v>200000</v>
      </c>
      <c r="H897">
        <v>2</v>
      </c>
      <c r="I897" t="s">
        <v>325</v>
      </c>
      <c r="J897">
        <v>40.21</v>
      </c>
      <c r="K897">
        <v>0</v>
      </c>
      <c r="L897">
        <v>4</v>
      </c>
      <c r="M897" t="s">
        <v>1284</v>
      </c>
      <c r="N897">
        <v>11</v>
      </c>
      <c r="O897">
        <v>12</v>
      </c>
      <c r="P897">
        <v>133470.28</v>
      </c>
      <c r="Q897">
        <v>168453.81</v>
      </c>
      <c r="R897">
        <v>286</v>
      </c>
      <c r="S897">
        <v>788</v>
      </c>
      <c r="T897" t="s">
        <v>326</v>
      </c>
      <c r="U897" t="s">
        <v>81</v>
      </c>
    </row>
    <row r="898" spans="1:21">
      <c r="A898" t="s">
        <v>1500</v>
      </c>
      <c r="B898" t="s">
        <v>1497</v>
      </c>
      <c r="C898" t="s">
        <v>1310</v>
      </c>
      <c r="D898">
        <v>165000</v>
      </c>
      <c r="E898">
        <v>15000</v>
      </c>
      <c r="F898">
        <v>165000</v>
      </c>
      <c r="H898">
        <v>3</v>
      </c>
      <c r="I898" t="s">
        <v>325</v>
      </c>
      <c r="J898">
        <v>30.75</v>
      </c>
      <c r="K898">
        <v>0</v>
      </c>
      <c r="L898">
        <v>4</v>
      </c>
      <c r="M898" t="s">
        <v>1284</v>
      </c>
      <c r="N898">
        <v>11</v>
      </c>
      <c r="O898">
        <v>12</v>
      </c>
      <c r="P898">
        <v>133470.28</v>
      </c>
      <c r="Q898">
        <v>168453.81</v>
      </c>
      <c r="R898">
        <v>286</v>
      </c>
      <c r="S898">
        <v>788</v>
      </c>
      <c r="T898" t="s">
        <v>26</v>
      </c>
      <c r="U898" t="s">
        <v>81</v>
      </c>
    </row>
    <row r="899" spans="1:21">
      <c r="A899" t="s">
        <v>1501</v>
      </c>
      <c r="B899" t="s">
        <v>1497</v>
      </c>
      <c r="C899" t="s">
        <v>1310</v>
      </c>
      <c r="D899">
        <v>205000</v>
      </c>
      <c r="E899">
        <v>20000</v>
      </c>
      <c r="F899">
        <v>205000</v>
      </c>
      <c r="H899">
        <v>3</v>
      </c>
      <c r="I899" t="s">
        <v>325</v>
      </c>
      <c r="J899">
        <v>40.21</v>
      </c>
      <c r="K899">
        <v>0</v>
      </c>
      <c r="L899">
        <v>4</v>
      </c>
      <c r="M899" t="s">
        <v>1284</v>
      </c>
      <c r="N899">
        <v>11</v>
      </c>
      <c r="O899">
        <v>12</v>
      </c>
      <c r="P899">
        <v>133470.28</v>
      </c>
      <c r="Q899">
        <v>168453.81</v>
      </c>
      <c r="R899">
        <v>286</v>
      </c>
      <c r="S899">
        <v>788</v>
      </c>
      <c r="T899" t="s">
        <v>326</v>
      </c>
      <c r="U899" t="s">
        <v>81</v>
      </c>
    </row>
    <row r="900" spans="1:21">
      <c r="A900" t="s">
        <v>1502</v>
      </c>
      <c r="B900" t="s">
        <v>1497</v>
      </c>
      <c r="C900" t="s">
        <v>1310</v>
      </c>
      <c r="D900">
        <v>210000</v>
      </c>
      <c r="E900">
        <v>20000</v>
      </c>
      <c r="F900">
        <v>210000</v>
      </c>
      <c r="H900">
        <v>4</v>
      </c>
      <c r="I900" t="s">
        <v>325</v>
      </c>
      <c r="J900">
        <v>40.21</v>
      </c>
      <c r="K900">
        <v>0</v>
      </c>
      <c r="L900">
        <v>4</v>
      </c>
      <c r="M900" t="s">
        <v>1284</v>
      </c>
      <c r="N900">
        <v>11</v>
      </c>
      <c r="O900">
        <v>12</v>
      </c>
      <c r="P900">
        <v>133470.28</v>
      </c>
      <c r="Q900">
        <v>168453.81</v>
      </c>
      <c r="R900">
        <v>286</v>
      </c>
      <c r="S900">
        <v>788</v>
      </c>
      <c r="T900" t="s">
        <v>326</v>
      </c>
      <c r="U900" t="s">
        <v>81</v>
      </c>
    </row>
    <row r="901" spans="1:21">
      <c r="A901" t="s">
        <v>1503</v>
      </c>
      <c r="B901" t="s">
        <v>1504</v>
      </c>
      <c r="C901" t="s">
        <v>1283</v>
      </c>
      <c r="D901">
        <v>150000</v>
      </c>
      <c r="E901">
        <v>10000</v>
      </c>
      <c r="F901">
        <v>150000</v>
      </c>
      <c r="H901">
        <v>6</v>
      </c>
      <c r="I901" t="s">
        <v>325</v>
      </c>
      <c r="J901">
        <v>38.979999999999997</v>
      </c>
      <c r="K901">
        <v>21</v>
      </c>
      <c r="L901">
        <v>10</v>
      </c>
      <c r="M901" t="s">
        <v>1284</v>
      </c>
      <c r="N901">
        <v>11</v>
      </c>
      <c r="O901">
        <v>12.67</v>
      </c>
      <c r="P901">
        <v>133470.28</v>
      </c>
      <c r="Q901">
        <v>168453.81</v>
      </c>
      <c r="R901">
        <v>286</v>
      </c>
      <c r="S901">
        <v>788</v>
      </c>
      <c r="T901" t="s">
        <v>26</v>
      </c>
      <c r="U901" t="s">
        <v>27</v>
      </c>
    </row>
    <row r="902" spans="1:21">
      <c r="A902" t="s">
        <v>1505</v>
      </c>
      <c r="B902" t="s">
        <v>1506</v>
      </c>
      <c r="C902" t="s">
        <v>1283</v>
      </c>
      <c r="D902">
        <v>130000</v>
      </c>
      <c r="E902">
        <v>10000</v>
      </c>
      <c r="F902">
        <v>130000</v>
      </c>
      <c r="H902">
        <v>4</v>
      </c>
      <c r="I902" t="s">
        <v>325</v>
      </c>
      <c r="J902">
        <v>43.26</v>
      </c>
      <c r="K902">
        <v>37</v>
      </c>
      <c r="L902">
        <v>6</v>
      </c>
      <c r="M902" t="s">
        <v>1284</v>
      </c>
      <c r="N902">
        <v>8</v>
      </c>
      <c r="O902">
        <v>13</v>
      </c>
      <c r="P902">
        <v>133470.28</v>
      </c>
      <c r="Q902">
        <v>168453.81</v>
      </c>
      <c r="R902">
        <v>286</v>
      </c>
      <c r="S902">
        <v>788</v>
      </c>
      <c r="T902" t="s">
        <v>326</v>
      </c>
      <c r="U902" t="s">
        <v>49</v>
      </c>
    </row>
    <row r="903" spans="1:21">
      <c r="A903" t="s">
        <v>1507</v>
      </c>
      <c r="B903" t="s">
        <v>1290</v>
      </c>
      <c r="C903" t="s">
        <v>1291</v>
      </c>
      <c r="D903">
        <v>133000</v>
      </c>
      <c r="E903">
        <v>10000</v>
      </c>
      <c r="F903">
        <v>133000</v>
      </c>
      <c r="G903">
        <v>133000</v>
      </c>
      <c r="H903">
        <v>9</v>
      </c>
      <c r="I903" t="s">
        <v>325</v>
      </c>
      <c r="J903">
        <v>25.28</v>
      </c>
      <c r="K903">
        <v>4</v>
      </c>
      <c r="L903">
        <v>14</v>
      </c>
      <c r="M903" t="s">
        <v>1284</v>
      </c>
      <c r="N903">
        <v>7</v>
      </c>
      <c r="O903">
        <v>8.67</v>
      </c>
      <c r="P903">
        <v>133470.28</v>
      </c>
      <c r="Q903">
        <v>168453.81</v>
      </c>
      <c r="R903">
        <v>286</v>
      </c>
      <c r="S903">
        <v>788</v>
      </c>
      <c r="T903" t="s">
        <v>34</v>
      </c>
      <c r="U903" t="s">
        <v>31</v>
      </c>
    </row>
    <row r="904" spans="1:21">
      <c r="A904" t="s">
        <v>1508</v>
      </c>
      <c r="B904" t="s">
        <v>1509</v>
      </c>
      <c r="C904" t="s">
        <v>1310</v>
      </c>
      <c r="D904">
        <v>153000</v>
      </c>
      <c r="E904">
        <v>3000</v>
      </c>
      <c r="F904">
        <v>153000</v>
      </c>
      <c r="G904">
        <v>153000</v>
      </c>
      <c r="H904">
        <v>1</v>
      </c>
      <c r="I904" t="s">
        <v>325</v>
      </c>
      <c r="J904">
        <v>43.89</v>
      </c>
      <c r="K904">
        <v>14</v>
      </c>
      <c r="L904">
        <v>3</v>
      </c>
      <c r="M904" t="s">
        <v>1284</v>
      </c>
      <c r="N904">
        <v>8</v>
      </c>
      <c r="O904">
        <v>14</v>
      </c>
      <c r="P904">
        <v>133470.28</v>
      </c>
      <c r="Q904">
        <v>168453.81</v>
      </c>
      <c r="R904">
        <v>286</v>
      </c>
      <c r="S904">
        <v>788</v>
      </c>
      <c r="T904" t="s">
        <v>326</v>
      </c>
      <c r="U904" t="s">
        <v>90</v>
      </c>
    </row>
    <row r="905" spans="1:21">
      <c r="A905" t="s">
        <v>1510</v>
      </c>
      <c r="B905" t="s">
        <v>1511</v>
      </c>
      <c r="C905" t="s">
        <v>1310</v>
      </c>
      <c r="D905">
        <v>170000</v>
      </c>
      <c r="F905">
        <v>170000</v>
      </c>
      <c r="G905">
        <v>340000</v>
      </c>
      <c r="H905">
        <v>3</v>
      </c>
      <c r="I905" t="s">
        <v>325</v>
      </c>
      <c r="J905">
        <v>46.97</v>
      </c>
      <c r="K905">
        <v>5</v>
      </c>
      <c r="L905">
        <v>3</v>
      </c>
      <c r="M905" t="s">
        <v>1284</v>
      </c>
      <c r="N905">
        <v>7</v>
      </c>
      <c r="O905">
        <v>11.67</v>
      </c>
      <c r="P905">
        <v>133470.28</v>
      </c>
      <c r="Q905">
        <v>168453.81</v>
      </c>
      <c r="R905">
        <v>286</v>
      </c>
      <c r="S905">
        <v>788</v>
      </c>
      <c r="T905" t="s">
        <v>326</v>
      </c>
      <c r="U905" t="s">
        <v>31</v>
      </c>
    </row>
    <row r="906" spans="1:21">
      <c r="A906" t="s">
        <v>1512</v>
      </c>
      <c r="B906" t="s">
        <v>1357</v>
      </c>
      <c r="C906" t="s">
        <v>1283</v>
      </c>
      <c r="D906">
        <v>227000</v>
      </c>
      <c r="E906">
        <v>15000</v>
      </c>
      <c r="F906">
        <v>227000</v>
      </c>
      <c r="G906">
        <v>227000</v>
      </c>
      <c r="H906">
        <v>4</v>
      </c>
      <c r="I906" t="s">
        <v>325</v>
      </c>
      <c r="J906">
        <v>40.33</v>
      </c>
      <c r="K906">
        <v>6</v>
      </c>
      <c r="L906">
        <v>5</v>
      </c>
      <c r="M906" t="s">
        <v>1284</v>
      </c>
      <c r="N906">
        <v>6</v>
      </c>
      <c r="O906">
        <v>13.67</v>
      </c>
      <c r="P906">
        <v>133470.28</v>
      </c>
      <c r="Q906">
        <v>168453.81</v>
      </c>
      <c r="R906">
        <v>286</v>
      </c>
      <c r="S906">
        <v>788</v>
      </c>
      <c r="T906" t="s">
        <v>326</v>
      </c>
      <c r="U906" t="s">
        <v>31</v>
      </c>
    </row>
    <row r="907" spans="1:21">
      <c r="A907" t="s">
        <v>1513</v>
      </c>
      <c r="B907" t="s">
        <v>1293</v>
      </c>
      <c r="C907" t="s">
        <v>1294</v>
      </c>
      <c r="D907">
        <v>168000</v>
      </c>
      <c r="E907">
        <v>5000</v>
      </c>
      <c r="F907">
        <v>168000</v>
      </c>
      <c r="G907">
        <v>252000</v>
      </c>
      <c r="H907">
        <v>2</v>
      </c>
      <c r="I907" t="s">
        <v>325</v>
      </c>
      <c r="J907">
        <v>35.799999999999997</v>
      </c>
      <c r="K907">
        <v>3</v>
      </c>
      <c r="L907">
        <v>3</v>
      </c>
      <c r="M907" t="s">
        <v>1284</v>
      </c>
      <c r="N907">
        <v>11</v>
      </c>
      <c r="O907">
        <v>12.33</v>
      </c>
      <c r="P907">
        <v>133470.28</v>
      </c>
      <c r="Q907">
        <v>168453.81</v>
      </c>
      <c r="R907">
        <v>286</v>
      </c>
      <c r="S907">
        <v>788</v>
      </c>
      <c r="T907" t="s">
        <v>26</v>
      </c>
      <c r="U907" t="s">
        <v>31</v>
      </c>
    </row>
    <row r="908" spans="1:21">
      <c r="A908" t="s">
        <v>1514</v>
      </c>
      <c r="B908" t="s">
        <v>1515</v>
      </c>
      <c r="C908" t="s">
        <v>1291</v>
      </c>
      <c r="D908">
        <v>253000</v>
      </c>
      <c r="E908">
        <v>10000</v>
      </c>
      <c r="F908">
        <v>253000</v>
      </c>
      <c r="H908">
        <v>8</v>
      </c>
      <c r="I908" t="s">
        <v>325</v>
      </c>
      <c r="J908">
        <v>47.33</v>
      </c>
      <c r="K908">
        <v>3</v>
      </c>
      <c r="L908">
        <v>8</v>
      </c>
      <c r="M908" t="s">
        <v>1284</v>
      </c>
      <c r="N908">
        <v>9</v>
      </c>
      <c r="O908">
        <v>12.67</v>
      </c>
      <c r="P908">
        <v>133470.28</v>
      </c>
      <c r="Q908">
        <v>168453.81</v>
      </c>
      <c r="R908">
        <v>286</v>
      </c>
      <c r="S908">
        <v>788</v>
      </c>
      <c r="T908" t="s">
        <v>326</v>
      </c>
      <c r="U908" t="s">
        <v>31</v>
      </c>
    </row>
    <row r="909" spans="1:21">
      <c r="A909" t="s">
        <v>1516</v>
      </c>
      <c r="B909" t="s">
        <v>1515</v>
      </c>
      <c r="C909" t="s">
        <v>1291</v>
      </c>
      <c r="D909">
        <v>248000</v>
      </c>
      <c r="E909">
        <v>15000</v>
      </c>
      <c r="F909">
        <v>248000</v>
      </c>
      <c r="H909">
        <v>8</v>
      </c>
      <c r="I909" t="s">
        <v>325</v>
      </c>
      <c r="J909">
        <v>47.79</v>
      </c>
      <c r="K909">
        <v>3</v>
      </c>
      <c r="L909">
        <v>8</v>
      </c>
      <c r="M909" t="s">
        <v>1284</v>
      </c>
      <c r="N909">
        <v>9</v>
      </c>
      <c r="O909">
        <v>12.67</v>
      </c>
      <c r="P909">
        <v>133470.28</v>
      </c>
      <c r="Q909">
        <v>168453.81</v>
      </c>
      <c r="R909">
        <v>286</v>
      </c>
      <c r="S909">
        <v>788</v>
      </c>
      <c r="T909" t="s">
        <v>326</v>
      </c>
      <c r="U909" t="s">
        <v>31</v>
      </c>
    </row>
    <row r="910" spans="1:21">
      <c r="A910" t="s">
        <v>1517</v>
      </c>
      <c r="B910" t="s">
        <v>1518</v>
      </c>
      <c r="C910" t="s">
        <v>1283</v>
      </c>
      <c r="D910">
        <v>131000</v>
      </c>
      <c r="E910">
        <v>12000</v>
      </c>
      <c r="F910">
        <v>131000</v>
      </c>
      <c r="G910">
        <v>131000</v>
      </c>
      <c r="H910">
        <v>1</v>
      </c>
      <c r="I910" t="s">
        <v>325</v>
      </c>
      <c r="J910">
        <v>31.39</v>
      </c>
      <c r="K910">
        <v>6</v>
      </c>
      <c r="L910">
        <v>3</v>
      </c>
      <c r="M910" t="s">
        <v>1284</v>
      </c>
      <c r="N910">
        <v>9</v>
      </c>
      <c r="O910">
        <v>10.33</v>
      </c>
      <c r="P910">
        <v>133470.28</v>
      </c>
      <c r="Q910">
        <v>168453.81</v>
      </c>
      <c r="R910">
        <v>286</v>
      </c>
      <c r="S910">
        <v>788</v>
      </c>
      <c r="T910" t="s">
        <v>26</v>
      </c>
      <c r="U910" t="s">
        <v>31</v>
      </c>
    </row>
    <row r="911" spans="1:21">
      <c r="A911" t="s">
        <v>1519</v>
      </c>
      <c r="B911" t="s">
        <v>1520</v>
      </c>
      <c r="C911" t="s">
        <v>1283</v>
      </c>
      <c r="D911">
        <v>160000</v>
      </c>
      <c r="E911">
        <v>4000</v>
      </c>
      <c r="F911">
        <v>160000</v>
      </c>
      <c r="G911">
        <v>160000</v>
      </c>
      <c r="H911">
        <v>2</v>
      </c>
      <c r="I911" t="s">
        <v>325</v>
      </c>
      <c r="J911">
        <v>37.83</v>
      </c>
      <c r="K911">
        <v>7</v>
      </c>
      <c r="L911">
        <v>3</v>
      </c>
      <c r="M911" t="s">
        <v>1284</v>
      </c>
      <c r="N911">
        <v>4</v>
      </c>
      <c r="O911">
        <v>13</v>
      </c>
      <c r="P911">
        <v>133470.28</v>
      </c>
      <c r="Q911">
        <v>168453.81</v>
      </c>
      <c r="R911">
        <v>286</v>
      </c>
      <c r="S911">
        <v>788</v>
      </c>
      <c r="T911" t="s">
        <v>26</v>
      </c>
      <c r="U911" t="s">
        <v>31</v>
      </c>
    </row>
    <row r="912" spans="1:21">
      <c r="A912" t="s">
        <v>1521</v>
      </c>
      <c r="B912" t="s">
        <v>1522</v>
      </c>
      <c r="C912" t="s">
        <v>1283</v>
      </c>
      <c r="D912">
        <v>180000</v>
      </c>
      <c r="E912">
        <v>10000</v>
      </c>
      <c r="F912">
        <v>180000</v>
      </c>
      <c r="G912">
        <v>180000</v>
      </c>
      <c r="H912">
        <v>3</v>
      </c>
      <c r="I912" t="s">
        <v>325</v>
      </c>
      <c r="J912">
        <v>40.32</v>
      </c>
      <c r="K912">
        <v>25</v>
      </c>
      <c r="L912">
        <v>4</v>
      </c>
      <c r="M912" t="s">
        <v>1284</v>
      </c>
      <c r="N912">
        <v>3</v>
      </c>
      <c r="O912">
        <v>12.67</v>
      </c>
      <c r="P912">
        <v>133470.28</v>
      </c>
      <c r="Q912">
        <v>168453.81</v>
      </c>
      <c r="R912">
        <v>286</v>
      </c>
      <c r="S912">
        <v>788</v>
      </c>
      <c r="T912" t="s">
        <v>326</v>
      </c>
      <c r="U912" t="s">
        <v>27</v>
      </c>
    </row>
    <row r="913" spans="1:21">
      <c r="A913" t="s">
        <v>1523</v>
      </c>
      <c r="B913" t="s">
        <v>1298</v>
      </c>
      <c r="C913" t="s">
        <v>1294</v>
      </c>
      <c r="D913">
        <v>168000</v>
      </c>
      <c r="E913">
        <v>5000</v>
      </c>
      <c r="F913">
        <v>168000</v>
      </c>
      <c r="G913">
        <v>252000</v>
      </c>
      <c r="H913">
        <v>2</v>
      </c>
      <c r="I913" t="s">
        <v>325</v>
      </c>
      <c r="J913">
        <v>35.799999999999997</v>
      </c>
      <c r="K913">
        <v>3</v>
      </c>
      <c r="L913">
        <v>3</v>
      </c>
      <c r="M913" t="s">
        <v>1284</v>
      </c>
      <c r="N913">
        <v>11</v>
      </c>
      <c r="O913">
        <v>13</v>
      </c>
      <c r="P913">
        <v>133470.28</v>
      </c>
      <c r="Q913">
        <v>168453.81</v>
      </c>
      <c r="R913">
        <v>286</v>
      </c>
      <c r="S913">
        <v>788</v>
      </c>
      <c r="T913" t="s">
        <v>26</v>
      </c>
      <c r="U913" t="s">
        <v>31</v>
      </c>
    </row>
    <row r="914" spans="1:21">
      <c r="A914" t="s">
        <v>1524</v>
      </c>
      <c r="B914" t="s">
        <v>1525</v>
      </c>
      <c r="C914" t="s">
        <v>1283</v>
      </c>
      <c r="D914">
        <v>218000</v>
      </c>
      <c r="F914">
        <v>218000</v>
      </c>
      <c r="G914">
        <v>218000</v>
      </c>
      <c r="H914">
        <v>6</v>
      </c>
      <c r="I914" t="s">
        <v>325</v>
      </c>
      <c r="J914">
        <v>50.22</v>
      </c>
      <c r="K914">
        <v>21</v>
      </c>
      <c r="L914">
        <v>10</v>
      </c>
      <c r="M914" t="s">
        <v>1284</v>
      </c>
      <c r="N914">
        <v>10</v>
      </c>
      <c r="O914">
        <v>12.33</v>
      </c>
      <c r="P914">
        <v>133470.28</v>
      </c>
      <c r="Q914">
        <v>168453.81</v>
      </c>
      <c r="R914">
        <v>286</v>
      </c>
      <c r="S914">
        <v>788</v>
      </c>
      <c r="T914" t="s">
        <v>332</v>
      </c>
      <c r="U914" t="s">
        <v>27</v>
      </c>
    </row>
    <row r="915" spans="1:21">
      <c r="A915" t="s">
        <v>1526</v>
      </c>
      <c r="B915" t="s">
        <v>1527</v>
      </c>
      <c r="C915" t="s">
        <v>1310</v>
      </c>
      <c r="D915">
        <v>137000</v>
      </c>
      <c r="E915">
        <v>6000</v>
      </c>
      <c r="F915">
        <v>137000</v>
      </c>
      <c r="G915">
        <v>137000</v>
      </c>
      <c r="H915">
        <v>3</v>
      </c>
      <c r="I915" t="s">
        <v>325</v>
      </c>
      <c r="J915">
        <v>35.86</v>
      </c>
      <c r="K915">
        <v>10</v>
      </c>
      <c r="L915">
        <v>3</v>
      </c>
      <c r="M915" t="s">
        <v>1284</v>
      </c>
      <c r="N915">
        <v>9</v>
      </c>
      <c r="O915">
        <v>12</v>
      </c>
      <c r="P915">
        <v>133470.28</v>
      </c>
      <c r="Q915">
        <v>168453.81</v>
      </c>
      <c r="R915">
        <v>286</v>
      </c>
      <c r="S915">
        <v>788</v>
      </c>
      <c r="T915" t="s">
        <v>26</v>
      </c>
      <c r="U915" t="s">
        <v>31</v>
      </c>
    </row>
    <row r="916" spans="1:21">
      <c r="A916" t="s">
        <v>1528</v>
      </c>
      <c r="B916" t="s">
        <v>1529</v>
      </c>
      <c r="C916" t="s">
        <v>1294</v>
      </c>
      <c r="D916">
        <v>188000</v>
      </c>
      <c r="E916">
        <v>6000</v>
      </c>
      <c r="G916">
        <v>188000</v>
      </c>
      <c r="H916">
        <v>3</v>
      </c>
      <c r="I916" t="s">
        <v>325</v>
      </c>
      <c r="J916">
        <v>42.39</v>
      </c>
      <c r="K916">
        <v>4</v>
      </c>
      <c r="L916">
        <v>3</v>
      </c>
      <c r="M916" t="s">
        <v>1284</v>
      </c>
      <c r="N916">
        <v>10</v>
      </c>
      <c r="O916">
        <v>13.67</v>
      </c>
      <c r="P916">
        <v>133470.28</v>
      </c>
      <c r="Q916">
        <v>168453.81</v>
      </c>
      <c r="R916">
        <v>286</v>
      </c>
      <c r="S916">
        <v>788</v>
      </c>
      <c r="T916" t="s">
        <v>326</v>
      </c>
      <c r="U916" t="s">
        <v>31</v>
      </c>
    </row>
    <row r="917" spans="1:21">
      <c r="A917" t="s">
        <v>1530</v>
      </c>
      <c r="B917" t="s">
        <v>1529</v>
      </c>
      <c r="C917" t="s">
        <v>1294</v>
      </c>
      <c r="D917">
        <v>194000</v>
      </c>
      <c r="E917">
        <v>6000</v>
      </c>
      <c r="G917">
        <v>194000</v>
      </c>
      <c r="H917">
        <v>3</v>
      </c>
      <c r="I917" t="s">
        <v>325</v>
      </c>
      <c r="J917">
        <v>42.39</v>
      </c>
      <c r="K917">
        <v>4</v>
      </c>
      <c r="L917">
        <v>3</v>
      </c>
      <c r="M917" t="s">
        <v>1284</v>
      </c>
      <c r="N917">
        <v>10</v>
      </c>
      <c r="O917">
        <v>13.67</v>
      </c>
      <c r="P917">
        <v>133470.28</v>
      </c>
      <c r="Q917">
        <v>168453.81</v>
      </c>
      <c r="R917">
        <v>286</v>
      </c>
      <c r="S917">
        <v>788</v>
      </c>
      <c r="T917" t="s">
        <v>326</v>
      </c>
      <c r="U917" t="s">
        <v>31</v>
      </c>
    </row>
    <row r="918" spans="1:21">
      <c r="A918" t="s">
        <v>1531</v>
      </c>
      <c r="B918" t="s">
        <v>1532</v>
      </c>
      <c r="C918" t="s">
        <v>1283</v>
      </c>
      <c r="D918">
        <v>181000</v>
      </c>
      <c r="E918">
        <v>9000</v>
      </c>
      <c r="F918">
        <v>181000</v>
      </c>
      <c r="G918">
        <v>362000</v>
      </c>
      <c r="H918">
        <v>2</v>
      </c>
      <c r="I918" t="s">
        <v>325</v>
      </c>
      <c r="J918">
        <v>44.49</v>
      </c>
      <c r="K918">
        <v>5</v>
      </c>
      <c r="L918">
        <v>3</v>
      </c>
      <c r="M918" t="s">
        <v>1284</v>
      </c>
      <c r="N918">
        <v>10</v>
      </c>
      <c r="O918">
        <v>11</v>
      </c>
      <c r="P918">
        <v>133470.28</v>
      </c>
      <c r="Q918">
        <v>168453.81</v>
      </c>
      <c r="R918">
        <v>286</v>
      </c>
      <c r="S918">
        <v>788</v>
      </c>
      <c r="T918" t="s">
        <v>326</v>
      </c>
      <c r="U918" t="s">
        <v>31</v>
      </c>
    </row>
    <row r="919" spans="1:21">
      <c r="A919" t="s">
        <v>1533</v>
      </c>
      <c r="B919" t="s">
        <v>1534</v>
      </c>
      <c r="C919" t="s">
        <v>1283</v>
      </c>
      <c r="D919">
        <v>130000</v>
      </c>
      <c r="E919">
        <v>4300</v>
      </c>
      <c r="G919">
        <v>130000</v>
      </c>
      <c r="H919">
        <v>3</v>
      </c>
      <c r="I919" t="s">
        <v>325</v>
      </c>
      <c r="J919">
        <v>37.39</v>
      </c>
      <c r="K919">
        <v>6</v>
      </c>
      <c r="L919">
        <v>3</v>
      </c>
      <c r="M919" t="s">
        <v>1284</v>
      </c>
      <c r="N919">
        <v>7</v>
      </c>
      <c r="O919">
        <v>10.33</v>
      </c>
      <c r="P919">
        <v>133470.28</v>
      </c>
      <c r="Q919">
        <v>168453.81</v>
      </c>
      <c r="R919">
        <v>286</v>
      </c>
      <c r="S919">
        <v>788</v>
      </c>
      <c r="T919" t="s">
        <v>26</v>
      </c>
      <c r="U919" t="s">
        <v>31</v>
      </c>
    </row>
    <row r="920" spans="1:21">
      <c r="A920" t="s">
        <v>1535</v>
      </c>
      <c r="B920" t="s">
        <v>1432</v>
      </c>
      <c r="C920" t="s">
        <v>1283</v>
      </c>
      <c r="D920">
        <v>160000</v>
      </c>
      <c r="E920">
        <v>4000</v>
      </c>
      <c r="F920">
        <v>160000</v>
      </c>
      <c r="G920">
        <v>160000</v>
      </c>
      <c r="H920">
        <v>2</v>
      </c>
      <c r="I920" t="s">
        <v>325</v>
      </c>
      <c r="J920">
        <v>37.83</v>
      </c>
      <c r="K920">
        <v>7</v>
      </c>
      <c r="L920">
        <v>3</v>
      </c>
      <c r="M920" t="s">
        <v>1284</v>
      </c>
      <c r="N920">
        <v>2</v>
      </c>
      <c r="O920">
        <v>11.33</v>
      </c>
      <c r="P920">
        <v>133470.28</v>
      </c>
      <c r="Q920">
        <v>168453.81</v>
      </c>
      <c r="R920">
        <v>286</v>
      </c>
      <c r="S920">
        <v>788</v>
      </c>
      <c r="T920" t="s">
        <v>26</v>
      </c>
      <c r="U920" t="s">
        <v>31</v>
      </c>
    </row>
    <row r="921" spans="1:21">
      <c r="A921" t="s">
        <v>1536</v>
      </c>
      <c r="B921" t="s">
        <v>1537</v>
      </c>
      <c r="C921" t="s">
        <v>1283</v>
      </c>
      <c r="D921">
        <v>180000</v>
      </c>
      <c r="E921">
        <v>10000</v>
      </c>
      <c r="F921">
        <v>180000</v>
      </c>
      <c r="G921">
        <v>180000</v>
      </c>
      <c r="H921">
        <v>3</v>
      </c>
      <c r="I921" t="s">
        <v>325</v>
      </c>
      <c r="J921">
        <v>40.32</v>
      </c>
      <c r="K921">
        <v>25</v>
      </c>
      <c r="L921">
        <v>4</v>
      </c>
      <c r="M921" t="s">
        <v>1284</v>
      </c>
      <c r="N921">
        <v>3</v>
      </c>
      <c r="O921">
        <v>7</v>
      </c>
      <c r="P921">
        <v>133470.28</v>
      </c>
      <c r="Q921">
        <v>168453.81</v>
      </c>
      <c r="R921">
        <v>286</v>
      </c>
      <c r="S921">
        <v>788</v>
      </c>
      <c r="T921" t="s">
        <v>326</v>
      </c>
      <c r="U921" t="s">
        <v>27</v>
      </c>
    </row>
    <row r="922" spans="1:21">
      <c r="A922" t="s">
        <v>1538</v>
      </c>
      <c r="B922" t="s">
        <v>1539</v>
      </c>
      <c r="C922" t="s">
        <v>1294</v>
      </c>
      <c r="D922">
        <v>192000</v>
      </c>
      <c r="E922">
        <v>15000</v>
      </c>
      <c r="G922">
        <v>96000</v>
      </c>
      <c r="H922">
        <v>4</v>
      </c>
      <c r="I922" t="s">
        <v>325</v>
      </c>
      <c r="J922">
        <v>40.409999999999997</v>
      </c>
      <c r="K922">
        <v>5</v>
      </c>
      <c r="L922">
        <v>4</v>
      </c>
      <c r="M922" t="s">
        <v>1284</v>
      </c>
      <c r="N922">
        <v>10</v>
      </c>
      <c r="O922">
        <v>13.67</v>
      </c>
      <c r="P922">
        <v>133470.28</v>
      </c>
      <c r="Q922">
        <v>168453.81</v>
      </c>
      <c r="R922">
        <v>286</v>
      </c>
      <c r="S922">
        <v>788</v>
      </c>
      <c r="T922" t="s">
        <v>326</v>
      </c>
      <c r="U922" t="s">
        <v>31</v>
      </c>
    </row>
    <row r="923" spans="1:21">
      <c r="A923" t="s">
        <v>1540</v>
      </c>
      <c r="B923" t="s">
        <v>1539</v>
      </c>
      <c r="C923" t="s">
        <v>1294</v>
      </c>
      <c r="D923">
        <v>200000</v>
      </c>
      <c r="E923">
        <v>15000</v>
      </c>
      <c r="G923">
        <v>100000</v>
      </c>
      <c r="H923">
        <v>4</v>
      </c>
      <c r="I923" t="s">
        <v>325</v>
      </c>
      <c r="J923">
        <v>40.409999999999997</v>
      </c>
      <c r="K923">
        <v>5</v>
      </c>
      <c r="L923">
        <v>4</v>
      </c>
      <c r="M923" t="s">
        <v>1284</v>
      </c>
      <c r="N923">
        <v>10</v>
      </c>
      <c r="O923">
        <v>13.67</v>
      </c>
      <c r="P923">
        <v>133470.28</v>
      </c>
      <c r="Q923">
        <v>168453.81</v>
      </c>
      <c r="R923">
        <v>286</v>
      </c>
      <c r="S923">
        <v>788</v>
      </c>
      <c r="T923" t="s">
        <v>326</v>
      </c>
      <c r="U923" t="s">
        <v>31</v>
      </c>
    </row>
    <row r="924" spans="1:21">
      <c r="A924" t="s">
        <v>1541</v>
      </c>
      <c r="B924" t="s">
        <v>1539</v>
      </c>
      <c r="C924" t="s">
        <v>1294</v>
      </c>
      <c r="D924">
        <v>194000</v>
      </c>
      <c r="E924">
        <v>15000</v>
      </c>
      <c r="G924">
        <v>97000</v>
      </c>
      <c r="H924">
        <v>4</v>
      </c>
      <c r="I924" t="s">
        <v>325</v>
      </c>
      <c r="J924">
        <v>40.770000000000003</v>
      </c>
      <c r="K924">
        <v>5</v>
      </c>
      <c r="L924">
        <v>4</v>
      </c>
      <c r="M924" t="s">
        <v>1284</v>
      </c>
      <c r="N924">
        <v>10</v>
      </c>
      <c r="O924">
        <v>13.67</v>
      </c>
      <c r="P924">
        <v>133470.28</v>
      </c>
      <c r="Q924">
        <v>168453.81</v>
      </c>
      <c r="R924">
        <v>286</v>
      </c>
      <c r="S924">
        <v>788</v>
      </c>
      <c r="T924" t="s">
        <v>326</v>
      </c>
      <c r="U924" t="s">
        <v>31</v>
      </c>
    </row>
    <row r="925" spans="1:21">
      <c r="A925" t="s">
        <v>1542</v>
      </c>
      <c r="B925" t="s">
        <v>1543</v>
      </c>
      <c r="C925" t="s">
        <v>1291</v>
      </c>
      <c r="D925">
        <v>126000</v>
      </c>
      <c r="E925">
        <v>18000</v>
      </c>
      <c r="G925">
        <v>63000</v>
      </c>
      <c r="H925">
        <v>2</v>
      </c>
      <c r="I925" t="s">
        <v>325</v>
      </c>
      <c r="J925">
        <v>25</v>
      </c>
      <c r="K925">
        <v>0</v>
      </c>
      <c r="L925">
        <v>5</v>
      </c>
      <c r="M925" t="s">
        <v>1284</v>
      </c>
      <c r="N925">
        <v>7</v>
      </c>
      <c r="O925">
        <v>11.33</v>
      </c>
      <c r="P925">
        <v>133470.28</v>
      </c>
      <c r="Q925">
        <v>168453.81</v>
      </c>
      <c r="R925">
        <v>286</v>
      </c>
      <c r="S925">
        <v>788</v>
      </c>
      <c r="T925" t="s">
        <v>34</v>
      </c>
      <c r="U925" t="s">
        <v>81</v>
      </c>
    </row>
    <row r="926" spans="1:21">
      <c r="A926" t="s">
        <v>1544</v>
      </c>
      <c r="B926" t="s">
        <v>1545</v>
      </c>
      <c r="C926" t="s">
        <v>1283</v>
      </c>
      <c r="D926">
        <v>172000</v>
      </c>
      <c r="E926">
        <v>10000</v>
      </c>
      <c r="F926">
        <v>172000</v>
      </c>
      <c r="G926">
        <v>344000</v>
      </c>
      <c r="H926">
        <v>4</v>
      </c>
      <c r="I926" t="s">
        <v>325</v>
      </c>
      <c r="J926">
        <v>37.31</v>
      </c>
      <c r="K926">
        <v>16</v>
      </c>
      <c r="L926">
        <v>5</v>
      </c>
      <c r="M926" t="s">
        <v>1284</v>
      </c>
      <c r="N926">
        <v>3</v>
      </c>
      <c r="O926">
        <v>9</v>
      </c>
      <c r="P926">
        <v>133470.28</v>
      </c>
      <c r="Q926">
        <v>168453.81</v>
      </c>
      <c r="R926">
        <v>286</v>
      </c>
      <c r="S926">
        <v>788</v>
      </c>
      <c r="T926" t="s">
        <v>26</v>
      </c>
      <c r="U926" t="s">
        <v>90</v>
      </c>
    </row>
    <row r="927" spans="1:21">
      <c r="A927" t="s">
        <v>1546</v>
      </c>
      <c r="B927" t="s">
        <v>1442</v>
      </c>
      <c r="C927" t="s">
        <v>1283</v>
      </c>
      <c r="D927">
        <v>224000</v>
      </c>
      <c r="E927">
        <v>15000</v>
      </c>
      <c r="F927">
        <v>224000</v>
      </c>
      <c r="G927">
        <v>224000</v>
      </c>
      <c r="H927">
        <v>1</v>
      </c>
      <c r="I927" t="s">
        <v>325</v>
      </c>
      <c r="J927">
        <v>40.159999999999997</v>
      </c>
      <c r="K927">
        <v>6</v>
      </c>
      <c r="L927">
        <v>5</v>
      </c>
      <c r="M927" t="s">
        <v>1284</v>
      </c>
      <c r="N927">
        <v>5</v>
      </c>
      <c r="O927">
        <v>13.33</v>
      </c>
      <c r="P927">
        <v>133470.28</v>
      </c>
      <c r="Q927">
        <v>168453.81</v>
      </c>
      <c r="R927">
        <v>286</v>
      </c>
      <c r="S927">
        <v>788</v>
      </c>
      <c r="T927" t="s">
        <v>326</v>
      </c>
      <c r="U927" t="s">
        <v>31</v>
      </c>
    </row>
    <row r="928" spans="1:21">
      <c r="A928" t="s">
        <v>1547</v>
      </c>
      <c r="B928" t="s">
        <v>1442</v>
      </c>
      <c r="C928" t="s">
        <v>1283</v>
      </c>
      <c r="D928">
        <v>227000</v>
      </c>
      <c r="E928">
        <v>15000</v>
      </c>
      <c r="F928">
        <v>227000</v>
      </c>
      <c r="G928">
        <v>227000</v>
      </c>
      <c r="H928">
        <v>4</v>
      </c>
      <c r="I928" t="s">
        <v>325</v>
      </c>
      <c r="J928">
        <v>40.33</v>
      </c>
      <c r="K928">
        <v>6</v>
      </c>
      <c r="L928">
        <v>5</v>
      </c>
      <c r="M928" t="s">
        <v>1284</v>
      </c>
      <c r="N928">
        <v>5</v>
      </c>
      <c r="O928">
        <v>13.33</v>
      </c>
      <c r="P928">
        <v>133470.28</v>
      </c>
      <c r="Q928">
        <v>168453.81</v>
      </c>
      <c r="R928">
        <v>286</v>
      </c>
      <c r="S928">
        <v>788</v>
      </c>
      <c r="T928" t="s">
        <v>326</v>
      </c>
      <c r="U928" t="s">
        <v>31</v>
      </c>
    </row>
    <row r="929" spans="1:21">
      <c r="A929" t="s">
        <v>1548</v>
      </c>
      <c r="B929" t="s">
        <v>1549</v>
      </c>
      <c r="C929" t="s">
        <v>1283</v>
      </c>
      <c r="D929">
        <v>130000</v>
      </c>
      <c r="E929">
        <v>10000</v>
      </c>
      <c r="F929">
        <v>130000</v>
      </c>
      <c r="H929">
        <v>4</v>
      </c>
      <c r="I929" t="s">
        <v>325</v>
      </c>
      <c r="J929">
        <v>43.26</v>
      </c>
      <c r="K929">
        <v>37</v>
      </c>
      <c r="L929">
        <v>6</v>
      </c>
      <c r="M929" t="s">
        <v>1284</v>
      </c>
      <c r="N929">
        <v>9</v>
      </c>
      <c r="O929">
        <v>12.67</v>
      </c>
      <c r="P929">
        <v>133470.28</v>
      </c>
      <c r="Q929">
        <v>168453.81</v>
      </c>
      <c r="R929">
        <v>286</v>
      </c>
      <c r="S929">
        <v>788</v>
      </c>
      <c r="T929" t="s">
        <v>326</v>
      </c>
      <c r="U929" t="s">
        <v>49</v>
      </c>
    </row>
    <row r="930" spans="1:21">
      <c r="A930" t="s">
        <v>1550</v>
      </c>
      <c r="B930" t="s">
        <v>1453</v>
      </c>
      <c r="C930" t="s">
        <v>1379</v>
      </c>
      <c r="D930">
        <v>150000</v>
      </c>
      <c r="E930">
        <v>10000</v>
      </c>
      <c r="G930">
        <v>150000</v>
      </c>
      <c r="H930">
        <v>6</v>
      </c>
      <c r="I930" t="s">
        <v>325</v>
      </c>
      <c r="J930">
        <v>40.81</v>
      </c>
      <c r="K930">
        <v>20</v>
      </c>
      <c r="L930">
        <v>8</v>
      </c>
      <c r="M930" t="s">
        <v>1284</v>
      </c>
      <c r="N930">
        <v>4</v>
      </c>
      <c r="O930">
        <v>12</v>
      </c>
      <c r="P930">
        <v>133470.28</v>
      </c>
      <c r="Q930">
        <v>168453.81</v>
      </c>
      <c r="R930">
        <v>286</v>
      </c>
      <c r="S930">
        <v>788</v>
      </c>
      <c r="T930" t="s">
        <v>326</v>
      </c>
      <c r="U930" t="s">
        <v>90</v>
      </c>
    </row>
    <row r="931" spans="1:21">
      <c r="A931" t="s">
        <v>1551</v>
      </c>
      <c r="B931" t="s">
        <v>1552</v>
      </c>
      <c r="C931" t="s">
        <v>1294</v>
      </c>
      <c r="D931">
        <v>155000</v>
      </c>
      <c r="E931">
        <v>5000</v>
      </c>
      <c r="F931">
        <v>155000</v>
      </c>
      <c r="H931">
        <v>4</v>
      </c>
      <c r="I931" t="s">
        <v>325</v>
      </c>
      <c r="J931">
        <v>39.35</v>
      </c>
      <c r="K931">
        <v>22</v>
      </c>
      <c r="L931">
        <v>5</v>
      </c>
      <c r="M931" t="s">
        <v>1284</v>
      </c>
      <c r="N931">
        <v>11</v>
      </c>
      <c r="O931">
        <v>12.67</v>
      </c>
      <c r="P931">
        <v>133470.28</v>
      </c>
      <c r="Q931">
        <v>168453.81</v>
      </c>
      <c r="R931">
        <v>286</v>
      </c>
      <c r="S931">
        <v>788</v>
      </c>
      <c r="T931" t="s">
        <v>26</v>
      </c>
      <c r="U931" t="s">
        <v>27</v>
      </c>
    </row>
    <row r="932" spans="1:21">
      <c r="A932" t="s">
        <v>1553</v>
      </c>
      <c r="B932" t="s">
        <v>1464</v>
      </c>
      <c r="C932" t="s">
        <v>1283</v>
      </c>
      <c r="D932">
        <v>195000</v>
      </c>
      <c r="E932">
        <v>15000</v>
      </c>
      <c r="H932">
        <v>1</v>
      </c>
      <c r="I932" t="s">
        <v>325</v>
      </c>
      <c r="J932">
        <v>46.35</v>
      </c>
      <c r="K932">
        <v>5</v>
      </c>
      <c r="L932">
        <v>8</v>
      </c>
      <c r="M932" t="s">
        <v>1284</v>
      </c>
      <c r="N932">
        <v>10</v>
      </c>
      <c r="O932">
        <v>13</v>
      </c>
      <c r="P932">
        <v>133470.28</v>
      </c>
      <c r="Q932">
        <v>168453.81</v>
      </c>
      <c r="R932">
        <v>286</v>
      </c>
      <c r="S932">
        <v>788</v>
      </c>
      <c r="T932" t="s">
        <v>326</v>
      </c>
      <c r="U932" t="s">
        <v>31</v>
      </c>
    </row>
    <row r="933" spans="1:21">
      <c r="A933" t="s">
        <v>1554</v>
      </c>
      <c r="B933" t="s">
        <v>1309</v>
      </c>
      <c r="C933" t="s">
        <v>1310</v>
      </c>
      <c r="D933">
        <v>189000</v>
      </c>
      <c r="E933">
        <v>15000</v>
      </c>
      <c r="F933">
        <v>189000</v>
      </c>
      <c r="H933">
        <v>2</v>
      </c>
      <c r="I933" t="s">
        <v>325</v>
      </c>
      <c r="J933">
        <v>40.71</v>
      </c>
      <c r="K933">
        <v>4</v>
      </c>
      <c r="L933">
        <v>4</v>
      </c>
      <c r="M933" t="s">
        <v>1284</v>
      </c>
      <c r="N933">
        <v>10</v>
      </c>
      <c r="O933">
        <v>12</v>
      </c>
      <c r="P933">
        <v>133470.28</v>
      </c>
      <c r="Q933">
        <v>168453.81</v>
      </c>
      <c r="R933">
        <v>286</v>
      </c>
      <c r="S933">
        <v>788</v>
      </c>
      <c r="T933" t="s">
        <v>326</v>
      </c>
      <c r="U933" t="s">
        <v>31</v>
      </c>
    </row>
    <row r="934" spans="1:21">
      <c r="A934" t="s">
        <v>1555</v>
      </c>
      <c r="B934" t="s">
        <v>1556</v>
      </c>
      <c r="C934" t="s">
        <v>1291</v>
      </c>
      <c r="D934">
        <v>146000</v>
      </c>
      <c r="E934">
        <v>6000</v>
      </c>
      <c r="F934">
        <v>146000</v>
      </c>
      <c r="G934">
        <v>146000</v>
      </c>
      <c r="H934">
        <v>5</v>
      </c>
      <c r="I934" t="s">
        <v>325</v>
      </c>
      <c r="J934">
        <v>34.82</v>
      </c>
      <c r="K934">
        <v>4</v>
      </c>
      <c r="L934">
        <v>5</v>
      </c>
      <c r="M934" t="s">
        <v>1284</v>
      </c>
      <c r="N934">
        <v>11</v>
      </c>
      <c r="O934">
        <v>14</v>
      </c>
      <c r="P934">
        <v>133470.28</v>
      </c>
      <c r="Q934">
        <v>168453.81</v>
      </c>
      <c r="R934">
        <v>286</v>
      </c>
      <c r="S934">
        <v>788</v>
      </c>
      <c r="T934" t="s">
        <v>26</v>
      </c>
      <c r="U934" t="s">
        <v>31</v>
      </c>
    </row>
    <row r="935" spans="1:21">
      <c r="A935" t="s">
        <v>1557</v>
      </c>
      <c r="B935" t="s">
        <v>1558</v>
      </c>
      <c r="C935" t="s">
        <v>1283</v>
      </c>
      <c r="D935">
        <v>181000</v>
      </c>
      <c r="E935">
        <v>9000</v>
      </c>
      <c r="F935">
        <v>181000</v>
      </c>
      <c r="G935">
        <v>362000</v>
      </c>
      <c r="H935">
        <v>2</v>
      </c>
      <c r="I935" t="s">
        <v>325</v>
      </c>
      <c r="J935">
        <v>44.49</v>
      </c>
      <c r="K935">
        <v>5</v>
      </c>
      <c r="L935">
        <v>3</v>
      </c>
      <c r="M935" t="s">
        <v>1284</v>
      </c>
      <c r="N935">
        <v>10</v>
      </c>
      <c r="O935">
        <v>11</v>
      </c>
      <c r="P935">
        <v>133470.28</v>
      </c>
      <c r="Q935">
        <v>168453.81</v>
      </c>
      <c r="R935">
        <v>286</v>
      </c>
      <c r="S935">
        <v>788</v>
      </c>
      <c r="T935" t="s">
        <v>326</v>
      </c>
      <c r="U935" t="s">
        <v>31</v>
      </c>
    </row>
    <row r="936" spans="1:21">
      <c r="A936" t="s">
        <v>1559</v>
      </c>
      <c r="B936" t="s">
        <v>1560</v>
      </c>
      <c r="C936" t="s">
        <v>1283</v>
      </c>
      <c r="D936">
        <v>70000</v>
      </c>
      <c r="E936">
        <v>4000</v>
      </c>
      <c r="G936">
        <v>70000</v>
      </c>
      <c r="H936">
        <v>1</v>
      </c>
      <c r="I936" t="s">
        <v>432</v>
      </c>
      <c r="J936">
        <v>10.07</v>
      </c>
      <c r="K936">
        <v>10</v>
      </c>
      <c r="L936">
        <v>2</v>
      </c>
      <c r="M936" t="s">
        <v>1284</v>
      </c>
      <c r="N936">
        <v>8</v>
      </c>
      <c r="O936">
        <v>14.33</v>
      </c>
      <c r="P936">
        <v>133470.28</v>
      </c>
      <c r="Q936">
        <v>77692.34</v>
      </c>
      <c r="R936">
        <v>286</v>
      </c>
      <c r="S936">
        <v>1071</v>
      </c>
      <c r="T936" t="s">
        <v>108</v>
      </c>
      <c r="U936" t="s">
        <v>31</v>
      </c>
    </row>
    <row r="937" spans="1:21">
      <c r="A937" t="s">
        <v>1561</v>
      </c>
      <c r="B937" t="s">
        <v>1560</v>
      </c>
      <c r="C937" t="s">
        <v>1283</v>
      </c>
      <c r="D937">
        <v>69000</v>
      </c>
      <c r="E937">
        <v>4000</v>
      </c>
      <c r="G937">
        <v>69000</v>
      </c>
      <c r="H937">
        <v>1</v>
      </c>
      <c r="I937" t="s">
        <v>432</v>
      </c>
      <c r="J937">
        <v>10.08</v>
      </c>
      <c r="K937">
        <v>10</v>
      </c>
      <c r="L937">
        <v>2</v>
      </c>
      <c r="M937" t="s">
        <v>1284</v>
      </c>
      <c r="N937">
        <v>8</v>
      </c>
      <c r="O937">
        <v>14.33</v>
      </c>
      <c r="P937">
        <v>133470.28</v>
      </c>
      <c r="Q937">
        <v>77692.34</v>
      </c>
      <c r="R937">
        <v>286</v>
      </c>
      <c r="S937">
        <v>1071</v>
      </c>
      <c r="T937" t="s">
        <v>108</v>
      </c>
      <c r="U937" t="s">
        <v>31</v>
      </c>
    </row>
    <row r="938" spans="1:21">
      <c r="A938" t="s">
        <v>1562</v>
      </c>
      <c r="B938" t="s">
        <v>1563</v>
      </c>
      <c r="C938" t="s">
        <v>1291</v>
      </c>
      <c r="D938">
        <v>70000</v>
      </c>
      <c r="E938">
        <v>4000</v>
      </c>
      <c r="G938">
        <v>70000</v>
      </c>
      <c r="H938">
        <v>1</v>
      </c>
      <c r="I938" t="s">
        <v>432</v>
      </c>
      <c r="J938">
        <v>12.36</v>
      </c>
      <c r="K938">
        <v>10</v>
      </c>
      <c r="L938">
        <v>2</v>
      </c>
      <c r="M938" t="s">
        <v>1284</v>
      </c>
      <c r="N938">
        <v>10</v>
      </c>
      <c r="O938">
        <v>13</v>
      </c>
      <c r="P938">
        <v>133470.28</v>
      </c>
      <c r="Q938">
        <v>77692.34</v>
      </c>
      <c r="R938">
        <v>286</v>
      </c>
      <c r="S938">
        <v>1071</v>
      </c>
      <c r="T938" t="s">
        <v>108</v>
      </c>
      <c r="U938" t="s">
        <v>31</v>
      </c>
    </row>
    <row r="939" spans="1:21">
      <c r="A939" t="s">
        <v>1564</v>
      </c>
      <c r="B939" t="s">
        <v>1563</v>
      </c>
      <c r="C939" t="s">
        <v>1291</v>
      </c>
      <c r="D939">
        <v>74000</v>
      </c>
      <c r="E939">
        <v>4000</v>
      </c>
      <c r="G939">
        <v>74000</v>
      </c>
      <c r="H939">
        <v>2</v>
      </c>
      <c r="I939" t="s">
        <v>432</v>
      </c>
      <c r="J939">
        <v>10.1</v>
      </c>
      <c r="K939">
        <v>10</v>
      </c>
      <c r="L939">
        <v>2</v>
      </c>
      <c r="M939" t="s">
        <v>1284</v>
      </c>
      <c r="N939">
        <v>10</v>
      </c>
      <c r="O939">
        <v>13</v>
      </c>
      <c r="P939">
        <v>133470.28</v>
      </c>
      <c r="Q939">
        <v>77692.34</v>
      </c>
      <c r="R939">
        <v>286</v>
      </c>
      <c r="S939">
        <v>1071</v>
      </c>
      <c r="T939" t="s">
        <v>108</v>
      </c>
      <c r="U939" t="s">
        <v>31</v>
      </c>
    </row>
    <row r="940" spans="1:21">
      <c r="A940" t="s">
        <v>1565</v>
      </c>
      <c r="B940" t="s">
        <v>1566</v>
      </c>
      <c r="C940" t="s">
        <v>1283</v>
      </c>
      <c r="D940">
        <v>69000</v>
      </c>
      <c r="E940">
        <v>3000</v>
      </c>
      <c r="H940">
        <v>1</v>
      </c>
      <c r="I940" t="s">
        <v>432</v>
      </c>
      <c r="J940">
        <v>11.34</v>
      </c>
      <c r="K940">
        <v>10</v>
      </c>
      <c r="L940">
        <v>2</v>
      </c>
      <c r="M940" t="s">
        <v>1284</v>
      </c>
      <c r="N940">
        <v>7</v>
      </c>
      <c r="O940">
        <v>13.67</v>
      </c>
      <c r="P940">
        <v>133470.28</v>
      </c>
      <c r="Q940">
        <v>77692.34</v>
      </c>
      <c r="R940">
        <v>286</v>
      </c>
      <c r="S940">
        <v>1071</v>
      </c>
      <c r="T940" t="s">
        <v>108</v>
      </c>
      <c r="U940" t="s">
        <v>31</v>
      </c>
    </row>
    <row r="941" spans="1:21">
      <c r="A941" t="s">
        <v>1567</v>
      </c>
      <c r="B941" t="s">
        <v>1478</v>
      </c>
      <c r="C941" t="s">
        <v>1294</v>
      </c>
      <c r="D941">
        <v>126000</v>
      </c>
      <c r="E941">
        <v>10000</v>
      </c>
      <c r="G941">
        <v>63000</v>
      </c>
      <c r="H941">
        <v>3</v>
      </c>
      <c r="I941" t="s">
        <v>432</v>
      </c>
      <c r="J941">
        <v>25.57</v>
      </c>
      <c r="K941">
        <v>5</v>
      </c>
      <c r="L941">
        <v>4</v>
      </c>
      <c r="M941" t="s">
        <v>1284</v>
      </c>
      <c r="N941">
        <v>9</v>
      </c>
      <c r="O941">
        <v>12.67</v>
      </c>
      <c r="P941">
        <v>133470.28</v>
      </c>
      <c r="Q941">
        <v>77692.34</v>
      </c>
      <c r="R941">
        <v>286</v>
      </c>
      <c r="S941">
        <v>1071</v>
      </c>
      <c r="T941" t="s">
        <v>34</v>
      </c>
      <c r="U941" t="s">
        <v>31</v>
      </c>
    </row>
    <row r="942" spans="1:21">
      <c r="A942" t="s">
        <v>1568</v>
      </c>
      <c r="B942" t="s">
        <v>1478</v>
      </c>
      <c r="C942" t="s">
        <v>1294</v>
      </c>
      <c r="D942">
        <v>130000</v>
      </c>
      <c r="E942">
        <v>10000</v>
      </c>
      <c r="G942">
        <v>65000</v>
      </c>
      <c r="H942">
        <v>3</v>
      </c>
      <c r="I942" t="s">
        <v>432</v>
      </c>
      <c r="J942">
        <v>25.57</v>
      </c>
      <c r="K942">
        <v>5</v>
      </c>
      <c r="L942">
        <v>4</v>
      </c>
      <c r="M942" t="s">
        <v>1284</v>
      </c>
      <c r="N942">
        <v>9</v>
      </c>
      <c r="O942">
        <v>12.67</v>
      </c>
      <c r="P942">
        <v>133470.28</v>
      </c>
      <c r="Q942">
        <v>77692.34</v>
      </c>
      <c r="R942">
        <v>286</v>
      </c>
      <c r="S942">
        <v>1071</v>
      </c>
      <c r="T942" t="s">
        <v>34</v>
      </c>
      <c r="U942" t="s">
        <v>31</v>
      </c>
    </row>
    <row r="943" spans="1:21">
      <c r="A943" t="s">
        <v>1569</v>
      </c>
      <c r="B943" t="s">
        <v>1478</v>
      </c>
      <c r="C943" t="s">
        <v>1294</v>
      </c>
      <c r="D943">
        <v>130000</v>
      </c>
      <c r="E943">
        <v>10000</v>
      </c>
      <c r="G943">
        <v>65000</v>
      </c>
      <c r="H943">
        <v>4</v>
      </c>
      <c r="I943" t="s">
        <v>432</v>
      </c>
      <c r="J943">
        <v>25.57</v>
      </c>
      <c r="K943">
        <v>5</v>
      </c>
      <c r="L943">
        <v>4</v>
      </c>
      <c r="M943" t="s">
        <v>1284</v>
      </c>
      <c r="N943">
        <v>9</v>
      </c>
      <c r="O943">
        <v>12.67</v>
      </c>
      <c r="P943">
        <v>133470.28</v>
      </c>
      <c r="Q943">
        <v>77692.34</v>
      </c>
      <c r="R943">
        <v>286</v>
      </c>
      <c r="S943">
        <v>1071</v>
      </c>
      <c r="T943" t="s">
        <v>34</v>
      </c>
      <c r="U943" t="s">
        <v>31</v>
      </c>
    </row>
    <row r="944" spans="1:21">
      <c r="A944" t="s">
        <v>1570</v>
      </c>
      <c r="B944" t="s">
        <v>1571</v>
      </c>
      <c r="C944" t="s">
        <v>1283</v>
      </c>
      <c r="D944">
        <v>65000</v>
      </c>
      <c r="F944">
        <v>65000</v>
      </c>
      <c r="G944">
        <v>65000</v>
      </c>
      <c r="H944">
        <v>4</v>
      </c>
      <c r="I944" t="s">
        <v>432</v>
      </c>
      <c r="J944">
        <v>17.899999999999999</v>
      </c>
      <c r="K944">
        <v>35</v>
      </c>
      <c r="L944">
        <v>4</v>
      </c>
      <c r="M944" t="s">
        <v>1284</v>
      </c>
      <c r="N944">
        <v>7</v>
      </c>
      <c r="O944">
        <v>14.33</v>
      </c>
      <c r="P944">
        <v>133470.28</v>
      </c>
      <c r="Q944">
        <v>77692.34</v>
      </c>
      <c r="R944">
        <v>286</v>
      </c>
      <c r="S944">
        <v>1071</v>
      </c>
      <c r="T944" t="s">
        <v>108</v>
      </c>
      <c r="U944" t="s">
        <v>49</v>
      </c>
    </row>
    <row r="945" spans="1:21">
      <c r="A945" t="s">
        <v>1572</v>
      </c>
      <c r="B945" t="s">
        <v>1573</v>
      </c>
      <c r="C945" t="s">
        <v>1283</v>
      </c>
      <c r="D945">
        <v>59000</v>
      </c>
      <c r="E945">
        <v>2000</v>
      </c>
      <c r="H945">
        <v>3</v>
      </c>
      <c r="I945" t="s">
        <v>432</v>
      </c>
      <c r="J945">
        <v>17.73</v>
      </c>
      <c r="K945">
        <v>36</v>
      </c>
      <c r="L945">
        <v>3</v>
      </c>
      <c r="M945" t="s">
        <v>1284</v>
      </c>
      <c r="N945">
        <v>9</v>
      </c>
      <c r="O945">
        <v>12.67</v>
      </c>
      <c r="P945">
        <v>133470.28</v>
      </c>
      <c r="Q945">
        <v>77692.34</v>
      </c>
      <c r="R945">
        <v>286</v>
      </c>
      <c r="S945">
        <v>1071</v>
      </c>
      <c r="T945" t="s">
        <v>108</v>
      </c>
      <c r="U945" t="s">
        <v>49</v>
      </c>
    </row>
    <row r="946" spans="1:21">
      <c r="A946" t="s">
        <v>1574</v>
      </c>
      <c r="B946" t="s">
        <v>1575</v>
      </c>
      <c r="C946" t="s">
        <v>1310</v>
      </c>
      <c r="D946">
        <v>61000</v>
      </c>
      <c r="E946">
        <v>2000</v>
      </c>
      <c r="F946">
        <v>61000</v>
      </c>
      <c r="G946">
        <v>61000</v>
      </c>
      <c r="H946">
        <v>1</v>
      </c>
      <c r="I946" t="s">
        <v>432</v>
      </c>
      <c r="J946">
        <v>20</v>
      </c>
      <c r="K946">
        <v>38</v>
      </c>
      <c r="L946">
        <v>2</v>
      </c>
      <c r="M946" t="s">
        <v>1284</v>
      </c>
      <c r="N946">
        <v>8</v>
      </c>
      <c r="O946">
        <v>12.33</v>
      </c>
      <c r="P946">
        <v>133470.28</v>
      </c>
      <c r="Q946">
        <v>77692.34</v>
      </c>
      <c r="R946">
        <v>286</v>
      </c>
      <c r="S946">
        <v>1071</v>
      </c>
      <c r="T946" t="s">
        <v>34</v>
      </c>
      <c r="U946" t="s">
        <v>49</v>
      </c>
    </row>
    <row r="947" spans="1:21">
      <c r="A947" t="s">
        <v>1576</v>
      </c>
      <c r="B947" t="s">
        <v>1577</v>
      </c>
      <c r="C947" t="s">
        <v>1291</v>
      </c>
      <c r="D947">
        <v>75000</v>
      </c>
      <c r="E947">
        <v>5000</v>
      </c>
      <c r="F947">
        <v>75000</v>
      </c>
      <c r="G947">
        <v>75000</v>
      </c>
      <c r="H947">
        <v>4</v>
      </c>
      <c r="I947" t="s">
        <v>432</v>
      </c>
      <c r="J947">
        <v>24.6</v>
      </c>
      <c r="K947">
        <v>42</v>
      </c>
      <c r="L947">
        <v>5</v>
      </c>
      <c r="M947" t="s">
        <v>1284</v>
      </c>
      <c r="N947">
        <v>7</v>
      </c>
      <c r="O947">
        <v>12.67</v>
      </c>
      <c r="P947">
        <v>133470.28</v>
      </c>
      <c r="Q947">
        <v>77692.34</v>
      </c>
      <c r="R947">
        <v>286</v>
      </c>
      <c r="S947">
        <v>1071</v>
      </c>
      <c r="T947" t="s">
        <v>34</v>
      </c>
      <c r="U947" t="s">
        <v>42</v>
      </c>
    </row>
    <row r="948" spans="1:21">
      <c r="A948" t="s">
        <v>1578</v>
      </c>
      <c r="B948" t="s">
        <v>1579</v>
      </c>
      <c r="C948" t="s">
        <v>1310</v>
      </c>
      <c r="D948">
        <v>95000</v>
      </c>
      <c r="E948">
        <v>8000</v>
      </c>
      <c r="F948">
        <v>95000</v>
      </c>
      <c r="H948">
        <v>4</v>
      </c>
      <c r="I948" t="s">
        <v>432</v>
      </c>
      <c r="J948">
        <v>19.11</v>
      </c>
      <c r="K948">
        <v>4</v>
      </c>
      <c r="L948">
        <v>6</v>
      </c>
      <c r="M948" t="s">
        <v>1284</v>
      </c>
      <c r="N948">
        <v>6</v>
      </c>
      <c r="O948">
        <v>11.67</v>
      </c>
      <c r="P948">
        <v>133470.28</v>
      </c>
      <c r="Q948">
        <v>77692.34</v>
      </c>
      <c r="R948">
        <v>286</v>
      </c>
      <c r="S948">
        <v>1071</v>
      </c>
      <c r="T948" t="s">
        <v>108</v>
      </c>
      <c r="U948" t="s">
        <v>31</v>
      </c>
    </row>
    <row r="949" spans="1:21">
      <c r="A949" t="s">
        <v>1580</v>
      </c>
      <c r="B949" t="s">
        <v>1497</v>
      </c>
      <c r="C949" t="s">
        <v>1310</v>
      </c>
      <c r="D949">
        <v>115000</v>
      </c>
      <c r="E949">
        <v>15000</v>
      </c>
      <c r="F949">
        <v>115000</v>
      </c>
      <c r="H949">
        <v>1</v>
      </c>
      <c r="I949" t="s">
        <v>432</v>
      </c>
      <c r="J949">
        <v>23.07</v>
      </c>
      <c r="K949">
        <v>0</v>
      </c>
      <c r="L949">
        <v>4</v>
      </c>
      <c r="M949" t="s">
        <v>1284</v>
      </c>
      <c r="N949">
        <v>11</v>
      </c>
      <c r="O949">
        <v>12</v>
      </c>
      <c r="P949">
        <v>133470.28</v>
      </c>
      <c r="Q949">
        <v>77692.34</v>
      </c>
      <c r="R949">
        <v>286</v>
      </c>
      <c r="S949">
        <v>1071</v>
      </c>
      <c r="T949" t="s">
        <v>34</v>
      </c>
      <c r="U949" t="s">
        <v>81</v>
      </c>
    </row>
    <row r="950" spans="1:21">
      <c r="A950" t="s">
        <v>1581</v>
      </c>
      <c r="B950" t="s">
        <v>1497</v>
      </c>
      <c r="C950" t="s">
        <v>1310</v>
      </c>
      <c r="D950">
        <v>140000</v>
      </c>
      <c r="E950">
        <v>15000</v>
      </c>
      <c r="F950">
        <v>140000</v>
      </c>
      <c r="H950">
        <v>4</v>
      </c>
      <c r="I950" t="s">
        <v>432</v>
      </c>
      <c r="J950">
        <v>26.27</v>
      </c>
      <c r="K950">
        <v>0</v>
      </c>
      <c r="L950">
        <v>4</v>
      </c>
      <c r="M950" t="s">
        <v>1284</v>
      </c>
      <c r="N950">
        <v>11</v>
      </c>
      <c r="O950">
        <v>12</v>
      </c>
      <c r="P950">
        <v>133470.28</v>
      </c>
      <c r="Q950">
        <v>77692.34</v>
      </c>
      <c r="R950">
        <v>286</v>
      </c>
      <c r="S950">
        <v>1071</v>
      </c>
      <c r="T950" t="s">
        <v>34</v>
      </c>
      <c r="U950" t="s">
        <v>81</v>
      </c>
    </row>
    <row r="951" spans="1:21">
      <c r="A951" t="s">
        <v>1582</v>
      </c>
      <c r="B951" t="s">
        <v>1583</v>
      </c>
      <c r="C951" t="s">
        <v>1291</v>
      </c>
      <c r="D951">
        <v>98000</v>
      </c>
      <c r="F951">
        <v>98000</v>
      </c>
      <c r="G951">
        <v>98000</v>
      </c>
      <c r="H951">
        <v>3</v>
      </c>
      <c r="I951" t="s">
        <v>432</v>
      </c>
      <c r="J951">
        <v>29.06</v>
      </c>
      <c r="K951">
        <v>24</v>
      </c>
      <c r="L951">
        <v>8</v>
      </c>
      <c r="M951" t="s">
        <v>1284</v>
      </c>
      <c r="N951">
        <v>9</v>
      </c>
      <c r="O951">
        <v>15.33</v>
      </c>
      <c r="P951">
        <v>133470.28</v>
      </c>
      <c r="Q951">
        <v>77692.34</v>
      </c>
      <c r="R951">
        <v>286</v>
      </c>
      <c r="S951">
        <v>1071</v>
      </c>
      <c r="T951" t="s">
        <v>34</v>
      </c>
      <c r="U951" t="s">
        <v>27</v>
      </c>
    </row>
    <row r="952" spans="1:21">
      <c r="A952" t="s">
        <v>1584</v>
      </c>
      <c r="B952" t="s">
        <v>1585</v>
      </c>
      <c r="C952" t="s">
        <v>1283</v>
      </c>
      <c r="D952">
        <v>54000</v>
      </c>
      <c r="F952">
        <v>54000</v>
      </c>
      <c r="G952">
        <v>54000</v>
      </c>
      <c r="H952">
        <v>1</v>
      </c>
      <c r="I952" t="s">
        <v>432</v>
      </c>
      <c r="J952">
        <v>10</v>
      </c>
      <c r="K952">
        <v>64</v>
      </c>
      <c r="L952">
        <v>3</v>
      </c>
      <c r="M952" t="s">
        <v>1284</v>
      </c>
      <c r="N952">
        <v>8</v>
      </c>
      <c r="O952">
        <v>11.67</v>
      </c>
      <c r="P952">
        <v>133470.28</v>
      </c>
      <c r="Q952">
        <v>77692.34</v>
      </c>
      <c r="R952">
        <v>286</v>
      </c>
      <c r="S952">
        <v>1071</v>
      </c>
      <c r="T952" t="s">
        <v>108</v>
      </c>
      <c r="U952" t="s">
        <v>38</v>
      </c>
    </row>
    <row r="953" spans="1:21">
      <c r="A953" t="s">
        <v>1586</v>
      </c>
      <c r="B953" t="s">
        <v>1587</v>
      </c>
      <c r="C953" t="s">
        <v>1379</v>
      </c>
      <c r="D953">
        <v>143000</v>
      </c>
      <c r="E953">
        <v>5000</v>
      </c>
      <c r="F953">
        <v>143000</v>
      </c>
      <c r="G953">
        <v>143000</v>
      </c>
      <c r="H953">
        <v>8</v>
      </c>
      <c r="I953" t="s">
        <v>432</v>
      </c>
      <c r="J953">
        <v>29.56</v>
      </c>
      <c r="K953">
        <v>20</v>
      </c>
      <c r="L953">
        <v>8</v>
      </c>
      <c r="M953" t="s">
        <v>1284</v>
      </c>
      <c r="N953">
        <v>4</v>
      </c>
      <c r="O953">
        <v>13</v>
      </c>
      <c r="P953">
        <v>133470.28</v>
      </c>
      <c r="Q953">
        <v>77692.34</v>
      </c>
      <c r="R953">
        <v>286</v>
      </c>
      <c r="S953">
        <v>1071</v>
      </c>
      <c r="T953" t="s">
        <v>34</v>
      </c>
      <c r="U953" t="s">
        <v>90</v>
      </c>
    </row>
    <row r="954" spans="1:21">
      <c r="A954" t="s">
        <v>1588</v>
      </c>
      <c r="B954" t="s">
        <v>1589</v>
      </c>
      <c r="C954" t="s">
        <v>1310</v>
      </c>
      <c r="D954">
        <v>55000</v>
      </c>
      <c r="F954">
        <v>55000</v>
      </c>
      <c r="G954">
        <v>55000</v>
      </c>
      <c r="H954">
        <v>1</v>
      </c>
      <c r="I954" t="s">
        <v>432</v>
      </c>
      <c r="J954">
        <v>12.7</v>
      </c>
      <c r="K954">
        <v>42</v>
      </c>
      <c r="L954">
        <v>5</v>
      </c>
      <c r="M954" t="s">
        <v>1284</v>
      </c>
      <c r="N954">
        <v>11</v>
      </c>
      <c r="O954">
        <v>12.33</v>
      </c>
      <c r="P954">
        <v>133470.28</v>
      </c>
      <c r="Q954">
        <v>77692.34</v>
      </c>
      <c r="R954">
        <v>286</v>
      </c>
      <c r="S954">
        <v>1071</v>
      </c>
      <c r="T954" t="s">
        <v>108</v>
      </c>
      <c r="U954" t="s">
        <v>42</v>
      </c>
    </row>
    <row r="955" spans="1:21">
      <c r="A955" t="s">
        <v>1590</v>
      </c>
      <c r="B955" t="s">
        <v>1589</v>
      </c>
      <c r="C955" t="s">
        <v>1310</v>
      </c>
      <c r="D955">
        <v>50000</v>
      </c>
      <c r="E955">
        <v>4000</v>
      </c>
      <c r="H955">
        <v>3</v>
      </c>
      <c r="I955" t="s">
        <v>432</v>
      </c>
      <c r="J955">
        <v>12.62</v>
      </c>
      <c r="K955">
        <v>42</v>
      </c>
      <c r="L955">
        <v>5</v>
      </c>
      <c r="M955" t="s">
        <v>1284</v>
      </c>
      <c r="N955">
        <v>11</v>
      </c>
      <c r="O955">
        <v>12.33</v>
      </c>
      <c r="P955">
        <v>133470.28</v>
      </c>
      <c r="Q955">
        <v>77692.34</v>
      </c>
      <c r="R955">
        <v>286</v>
      </c>
      <c r="S955">
        <v>1071</v>
      </c>
      <c r="T955" t="s">
        <v>108</v>
      </c>
      <c r="U955" t="s">
        <v>42</v>
      </c>
    </row>
    <row r="956" spans="1:21">
      <c r="A956" t="s">
        <v>1591</v>
      </c>
      <c r="B956" t="s">
        <v>1589</v>
      </c>
      <c r="C956" t="s">
        <v>1310</v>
      </c>
      <c r="D956">
        <v>54000</v>
      </c>
      <c r="E956">
        <v>4000</v>
      </c>
      <c r="G956">
        <v>54000</v>
      </c>
      <c r="H956">
        <v>3</v>
      </c>
      <c r="I956" t="s">
        <v>432</v>
      </c>
      <c r="J956">
        <v>12.7</v>
      </c>
      <c r="K956">
        <v>42</v>
      </c>
      <c r="L956">
        <v>5</v>
      </c>
      <c r="M956" t="s">
        <v>1284</v>
      </c>
      <c r="N956">
        <v>11</v>
      </c>
      <c r="O956">
        <v>12.33</v>
      </c>
      <c r="P956">
        <v>133470.28</v>
      </c>
      <c r="Q956">
        <v>77692.34</v>
      </c>
      <c r="R956">
        <v>286</v>
      </c>
      <c r="S956">
        <v>1071</v>
      </c>
      <c r="T956" t="s">
        <v>108</v>
      </c>
      <c r="U956" t="s">
        <v>42</v>
      </c>
    </row>
    <row r="957" spans="1:21">
      <c r="A957" t="s">
        <v>1592</v>
      </c>
      <c r="B957" t="s">
        <v>1589</v>
      </c>
      <c r="C957" t="s">
        <v>1310</v>
      </c>
      <c r="D957">
        <v>58000</v>
      </c>
      <c r="E957">
        <v>5800</v>
      </c>
      <c r="F957">
        <v>58000</v>
      </c>
      <c r="G957">
        <v>58000</v>
      </c>
      <c r="H957">
        <v>3</v>
      </c>
      <c r="I957" t="s">
        <v>432</v>
      </c>
      <c r="J957">
        <v>12.7</v>
      </c>
      <c r="K957">
        <v>42</v>
      </c>
      <c r="L957">
        <v>5</v>
      </c>
      <c r="M957" t="s">
        <v>1284</v>
      </c>
      <c r="N957">
        <v>11</v>
      </c>
      <c r="O957">
        <v>12.33</v>
      </c>
      <c r="P957">
        <v>133470.28</v>
      </c>
      <c r="Q957">
        <v>77692.34</v>
      </c>
      <c r="R957">
        <v>286</v>
      </c>
      <c r="S957">
        <v>1071</v>
      </c>
      <c r="T957" t="s">
        <v>108</v>
      </c>
      <c r="U957" t="s">
        <v>42</v>
      </c>
    </row>
    <row r="958" spans="1:21">
      <c r="A958" t="s">
        <v>1593</v>
      </c>
      <c r="B958" t="s">
        <v>1594</v>
      </c>
      <c r="C958" t="s">
        <v>1283</v>
      </c>
      <c r="D958">
        <v>61000</v>
      </c>
      <c r="F958">
        <v>61000</v>
      </c>
      <c r="H958">
        <v>2</v>
      </c>
      <c r="I958" t="s">
        <v>432</v>
      </c>
      <c r="J958">
        <v>14.25</v>
      </c>
      <c r="K958">
        <v>41</v>
      </c>
      <c r="L958">
        <v>4</v>
      </c>
      <c r="M958" t="s">
        <v>1284</v>
      </c>
      <c r="N958">
        <v>4</v>
      </c>
      <c r="O958">
        <v>13.33</v>
      </c>
      <c r="P958">
        <v>133470.28</v>
      </c>
      <c r="Q958">
        <v>77692.34</v>
      </c>
      <c r="R958">
        <v>286</v>
      </c>
      <c r="S958">
        <v>1071</v>
      </c>
      <c r="T958" t="s">
        <v>108</v>
      </c>
      <c r="U958" t="s">
        <v>42</v>
      </c>
    </row>
    <row r="959" spans="1:21">
      <c r="A959" t="s">
        <v>1595</v>
      </c>
      <c r="B959" t="s">
        <v>1596</v>
      </c>
      <c r="C959" t="s">
        <v>1310</v>
      </c>
      <c r="D959">
        <v>28000</v>
      </c>
      <c r="E959">
        <v>2000</v>
      </c>
      <c r="F959">
        <v>28000</v>
      </c>
      <c r="G959">
        <v>28000</v>
      </c>
      <c r="H959">
        <v>2</v>
      </c>
      <c r="I959" t="s">
        <v>432</v>
      </c>
      <c r="J959">
        <v>10</v>
      </c>
      <c r="K959">
        <v>58</v>
      </c>
      <c r="L959">
        <v>2</v>
      </c>
      <c r="M959" t="s">
        <v>1284</v>
      </c>
      <c r="N959">
        <v>9</v>
      </c>
      <c r="O959">
        <v>10.33</v>
      </c>
      <c r="P959">
        <v>133470.28</v>
      </c>
      <c r="Q959">
        <v>77692.34</v>
      </c>
      <c r="R959">
        <v>286</v>
      </c>
      <c r="S959">
        <v>1071</v>
      </c>
      <c r="T959" t="s">
        <v>108</v>
      </c>
      <c r="U959" t="s">
        <v>57</v>
      </c>
    </row>
    <row r="960" spans="1:21">
      <c r="A960" t="s">
        <v>1597</v>
      </c>
      <c r="B960" t="s">
        <v>1596</v>
      </c>
      <c r="C960" t="s">
        <v>1310</v>
      </c>
      <c r="D960">
        <v>33000</v>
      </c>
      <c r="E960">
        <v>2000</v>
      </c>
      <c r="F960">
        <v>33000</v>
      </c>
      <c r="G960">
        <v>33000</v>
      </c>
      <c r="H960">
        <v>2</v>
      </c>
      <c r="I960" t="s">
        <v>432</v>
      </c>
      <c r="J960">
        <v>12</v>
      </c>
      <c r="K960">
        <v>58</v>
      </c>
      <c r="L960">
        <v>2</v>
      </c>
      <c r="M960" t="s">
        <v>1284</v>
      </c>
      <c r="N960">
        <v>9</v>
      </c>
      <c r="O960">
        <v>10.33</v>
      </c>
      <c r="P960">
        <v>133470.28</v>
      </c>
      <c r="Q960">
        <v>77692.34</v>
      </c>
      <c r="R960">
        <v>286</v>
      </c>
      <c r="S960">
        <v>1071</v>
      </c>
      <c r="T960" t="s">
        <v>108</v>
      </c>
      <c r="U960" t="s">
        <v>57</v>
      </c>
    </row>
    <row r="961" spans="1:21">
      <c r="A961" t="s">
        <v>1598</v>
      </c>
      <c r="B961" t="s">
        <v>1599</v>
      </c>
      <c r="C961" t="s">
        <v>1283</v>
      </c>
      <c r="D961">
        <v>60000</v>
      </c>
      <c r="E961">
        <v>3000</v>
      </c>
      <c r="F961">
        <v>60000</v>
      </c>
      <c r="H961">
        <v>2</v>
      </c>
      <c r="I961" t="s">
        <v>432</v>
      </c>
      <c r="J961">
        <v>12.51</v>
      </c>
      <c r="K961">
        <v>42</v>
      </c>
      <c r="L961">
        <v>4</v>
      </c>
      <c r="M961" t="s">
        <v>1284</v>
      </c>
      <c r="N961">
        <v>8</v>
      </c>
      <c r="O961">
        <v>14</v>
      </c>
      <c r="P961">
        <v>133470.28</v>
      </c>
      <c r="Q961">
        <v>77692.34</v>
      </c>
      <c r="R961">
        <v>286</v>
      </c>
      <c r="S961">
        <v>1071</v>
      </c>
      <c r="T961" t="s">
        <v>108</v>
      </c>
      <c r="U961" t="s">
        <v>42</v>
      </c>
    </row>
    <row r="962" spans="1:21">
      <c r="A962" t="s">
        <v>1600</v>
      </c>
      <c r="B962" t="s">
        <v>1599</v>
      </c>
      <c r="C962" t="s">
        <v>1283</v>
      </c>
      <c r="D962">
        <v>62000</v>
      </c>
      <c r="E962">
        <v>5000</v>
      </c>
      <c r="H962">
        <v>2</v>
      </c>
      <c r="I962" t="s">
        <v>432</v>
      </c>
      <c r="J962">
        <v>14.25</v>
      </c>
      <c r="K962">
        <v>42</v>
      </c>
      <c r="L962">
        <v>4</v>
      </c>
      <c r="M962" t="s">
        <v>1284</v>
      </c>
      <c r="N962">
        <v>8</v>
      </c>
      <c r="O962">
        <v>14</v>
      </c>
      <c r="P962">
        <v>133470.28</v>
      </c>
      <c r="Q962">
        <v>77692.34</v>
      </c>
      <c r="R962">
        <v>286</v>
      </c>
      <c r="S962">
        <v>1071</v>
      </c>
      <c r="T962" t="s">
        <v>108</v>
      </c>
      <c r="U962" t="s">
        <v>42</v>
      </c>
    </row>
    <row r="963" spans="1:21">
      <c r="A963" t="s">
        <v>1601</v>
      </c>
      <c r="B963" t="s">
        <v>1599</v>
      </c>
      <c r="C963" t="s">
        <v>1283</v>
      </c>
      <c r="D963">
        <v>68000</v>
      </c>
      <c r="E963">
        <v>5000</v>
      </c>
      <c r="H963">
        <v>2</v>
      </c>
      <c r="I963" t="s">
        <v>432</v>
      </c>
      <c r="J963">
        <v>14.25</v>
      </c>
      <c r="K963">
        <v>42</v>
      </c>
      <c r="L963">
        <v>4</v>
      </c>
      <c r="M963" t="s">
        <v>1284</v>
      </c>
      <c r="N963">
        <v>8</v>
      </c>
      <c r="O963">
        <v>14</v>
      </c>
      <c r="P963">
        <v>133470.28</v>
      </c>
      <c r="Q963">
        <v>77692.34</v>
      </c>
      <c r="R963">
        <v>286</v>
      </c>
      <c r="S963">
        <v>1071</v>
      </c>
      <c r="T963" t="s">
        <v>108</v>
      </c>
      <c r="U963" t="s">
        <v>42</v>
      </c>
    </row>
    <row r="964" spans="1:21">
      <c r="A964" t="s">
        <v>1602</v>
      </c>
      <c r="B964" t="s">
        <v>1603</v>
      </c>
      <c r="C964" t="s">
        <v>1386</v>
      </c>
      <c r="D964">
        <v>86000</v>
      </c>
      <c r="E964">
        <v>3000</v>
      </c>
      <c r="H964">
        <v>1</v>
      </c>
      <c r="I964" t="s">
        <v>432</v>
      </c>
      <c r="J964">
        <v>17.420000000000002</v>
      </c>
      <c r="K964">
        <v>6</v>
      </c>
      <c r="L964">
        <v>4</v>
      </c>
      <c r="M964" t="s">
        <v>1284</v>
      </c>
      <c r="N964">
        <v>5</v>
      </c>
      <c r="O964">
        <v>13.67</v>
      </c>
      <c r="P964">
        <v>133470.28</v>
      </c>
      <c r="Q964">
        <v>77692.34</v>
      </c>
      <c r="R964">
        <v>286</v>
      </c>
      <c r="S964">
        <v>1071</v>
      </c>
      <c r="T964" t="s">
        <v>108</v>
      </c>
      <c r="U964" t="s">
        <v>31</v>
      </c>
    </row>
    <row r="965" spans="1:21">
      <c r="A965" t="s">
        <v>1604</v>
      </c>
      <c r="B965" t="s">
        <v>1605</v>
      </c>
      <c r="C965" t="s">
        <v>1283</v>
      </c>
      <c r="D965">
        <v>73000</v>
      </c>
      <c r="E965">
        <v>4000</v>
      </c>
      <c r="H965">
        <v>1</v>
      </c>
      <c r="I965" t="s">
        <v>432</v>
      </c>
      <c r="J965">
        <v>10.86</v>
      </c>
      <c r="K965">
        <v>10</v>
      </c>
      <c r="L965">
        <v>2</v>
      </c>
      <c r="M965" t="s">
        <v>1284</v>
      </c>
      <c r="N965">
        <v>8</v>
      </c>
      <c r="O965">
        <v>14.67</v>
      </c>
      <c r="P965">
        <v>133470.28</v>
      </c>
      <c r="Q965">
        <v>77692.34</v>
      </c>
      <c r="R965">
        <v>286</v>
      </c>
      <c r="S965">
        <v>1071</v>
      </c>
      <c r="T965" t="s">
        <v>108</v>
      </c>
      <c r="U965" t="s">
        <v>31</v>
      </c>
    </row>
    <row r="966" spans="1:21">
      <c r="A966" t="s">
        <v>1606</v>
      </c>
      <c r="B966" t="s">
        <v>1607</v>
      </c>
      <c r="C966" t="s">
        <v>1294</v>
      </c>
      <c r="D966">
        <v>84000</v>
      </c>
      <c r="E966">
        <v>3000</v>
      </c>
      <c r="F966">
        <v>84000</v>
      </c>
      <c r="G966">
        <v>84000</v>
      </c>
      <c r="H966">
        <v>3</v>
      </c>
      <c r="I966" t="s">
        <v>432</v>
      </c>
      <c r="J966">
        <v>18.23</v>
      </c>
      <c r="K966">
        <v>40</v>
      </c>
      <c r="L966">
        <v>3</v>
      </c>
      <c r="M966" t="s">
        <v>1284</v>
      </c>
      <c r="N966">
        <v>12</v>
      </c>
      <c r="O966">
        <v>12.33</v>
      </c>
      <c r="P966">
        <v>133470.28</v>
      </c>
      <c r="Q966">
        <v>77692.34</v>
      </c>
      <c r="R966">
        <v>286</v>
      </c>
      <c r="S966">
        <v>1071</v>
      </c>
      <c r="T966" t="s">
        <v>108</v>
      </c>
      <c r="U966" t="s">
        <v>49</v>
      </c>
    </row>
    <row r="967" spans="1:21">
      <c r="A967" t="s">
        <v>1608</v>
      </c>
      <c r="B967" t="s">
        <v>1515</v>
      </c>
      <c r="C967" t="s">
        <v>1291</v>
      </c>
      <c r="D967">
        <v>134000</v>
      </c>
      <c r="E967">
        <v>10000</v>
      </c>
      <c r="F967">
        <v>134000</v>
      </c>
      <c r="H967">
        <v>5</v>
      </c>
      <c r="I967" t="s">
        <v>432</v>
      </c>
      <c r="J967">
        <v>25.55</v>
      </c>
      <c r="K967">
        <v>3</v>
      </c>
      <c r="L967">
        <v>8</v>
      </c>
      <c r="M967" t="s">
        <v>1284</v>
      </c>
      <c r="N967">
        <v>9</v>
      </c>
      <c r="O967">
        <v>12.67</v>
      </c>
      <c r="P967">
        <v>133470.28</v>
      </c>
      <c r="Q967">
        <v>77692.34</v>
      </c>
      <c r="R967">
        <v>286</v>
      </c>
      <c r="S967">
        <v>1071</v>
      </c>
      <c r="T967" t="s">
        <v>34</v>
      </c>
      <c r="U967" t="s">
        <v>31</v>
      </c>
    </row>
    <row r="968" spans="1:21">
      <c r="A968" t="s">
        <v>1609</v>
      </c>
      <c r="B968" t="s">
        <v>1372</v>
      </c>
      <c r="C968" t="s">
        <v>1291</v>
      </c>
      <c r="D968">
        <v>199500</v>
      </c>
      <c r="E968">
        <v>33000</v>
      </c>
      <c r="F968">
        <v>543900</v>
      </c>
      <c r="H968">
        <v>-1</v>
      </c>
      <c r="I968" t="s">
        <v>432</v>
      </c>
      <c r="J968">
        <v>32.6</v>
      </c>
      <c r="K968">
        <v>35</v>
      </c>
      <c r="L968">
        <v>5</v>
      </c>
      <c r="M968" t="s">
        <v>1284</v>
      </c>
      <c r="N968">
        <v>8</v>
      </c>
      <c r="O968">
        <v>11.33</v>
      </c>
      <c r="P968">
        <v>133470.28</v>
      </c>
      <c r="Q968">
        <v>77692.34</v>
      </c>
      <c r="R968">
        <v>286</v>
      </c>
      <c r="S968">
        <v>1071</v>
      </c>
      <c r="T968" t="s">
        <v>26</v>
      </c>
      <c r="U968" t="s">
        <v>49</v>
      </c>
    </row>
    <row r="969" spans="1:21">
      <c r="A969" t="s">
        <v>1610</v>
      </c>
      <c r="B969" t="s">
        <v>1611</v>
      </c>
      <c r="C969" t="s">
        <v>1283</v>
      </c>
      <c r="D969">
        <v>75000</v>
      </c>
      <c r="F969">
        <v>75000</v>
      </c>
      <c r="G969">
        <v>75000</v>
      </c>
      <c r="H969">
        <v>11</v>
      </c>
      <c r="I969" t="s">
        <v>432</v>
      </c>
      <c r="J969">
        <v>18.36</v>
      </c>
      <c r="K969">
        <v>42</v>
      </c>
      <c r="L969">
        <v>11</v>
      </c>
      <c r="M969" t="s">
        <v>1284</v>
      </c>
      <c r="N969">
        <v>5</v>
      </c>
      <c r="O969">
        <v>12.33</v>
      </c>
      <c r="P969">
        <v>133470.28</v>
      </c>
      <c r="Q969">
        <v>77692.34</v>
      </c>
      <c r="R969">
        <v>286</v>
      </c>
      <c r="S969">
        <v>1071</v>
      </c>
      <c r="T969" t="s">
        <v>108</v>
      </c>
      <c r="U969" t="s">
        <v>42</v>
      </c>
    </row>
    <row r="970" spans="1:21">
      <c r="A970" t="s">
        <v>1612</v>
      </c>
      <c r="B970" t="s">
        <v>1381</v>
      </c>
      <c r="C970" t="s">
        <v>1291</v>
      </c>
      <c r="D970">
        <v>131000</v>
      </c>
      <c r="E970">
        <v>10000</v>
      </c>
      <c r="H970">
        <v>2</v>
      </c>
      <c r="I970" t="s">
        <v>432</v>
      </c>
      <c r="J970">
        <v>25.35</v>
      </c>
      <c r="K970">
        <v>6</v>
      </c>
      <c r="L970">
        <v>8</v>
      </c>
      <c r="M970" t="s">
        <v>1284</v>
      </c>
      <c r="N970">
        <v>8</v>
      </c>
      <c r="O970">
        <v>10</v>
      </c>
      <c r="P970">
        <v>133470.28</v>
      </c>
      <c r="Q970">
        <v>77692.34</v>
      </c>
      <c r="R970">
        <v>286</v>
      </c>
      <c r="S970">
        <v>1071</v>
      </c>
      <c r="T970" t="s">
        <v>34</v>
      </c>
      <c r="U970" t="s">
        <v>31</v>
      </c>
    </row>
    <row r="971" spans="1:21">
      <c r="A971" t="s">
        <v>1613</v>
      </c>
      <c r="B971" t="s">
        <v>1614</v>
      </c>
      <c r="C971" t="s">
        <v>1294</v>
      </c>
      <c r="D971">
        <v>44000</v>
      </c>
      <c r="E971">
        <v>2000</v>
      </c>
      <c r="F971">
        <v>44000</v>
      </c>
      <c r="H971">
        <v>1</v>
      </c>
      <c r="I971" t="s">
        <v>432</v>
      </c>
      <c r="J971">
        <v>13</v>
      </c>
      <c r="K971">
        <v>39</v>
      </c>
      <c r="L971">
        <v>2</v>
      </c>
      <c r="M971" t="s">
        <v>1284</v>
      </c>
      <c r="N971">
        <v>10</v>
      </c>
      <c r="O971">
        <v>13.67</v>
      </c>
      <c r="P971">
        <v>133470.28</v>
      </c>
      <c r="Q971">
        <v>77692.34</v>
      </c>
      <c r="R971">
        <v>286</v>
      </c>
      <c r="S971">
        <v>1071</v>
      </c>
      <c r="T971" t="s">
        <v>108</v>
      </c>
      <c r="U971" t="s">
        <v>49</v>
      </c>
    </row>
    <row r="972" spans="1:21">
      <c r="A972" t="s">
        <v>1615</v>
      </c>
      <c r="B972" t="s">
        <v>1616</v>
      </c>
      <c r="C972" t="s">
        <v>1294</v>
      </c>
      <c r="D972">
        <v>92000</v>
      </c>
      <c r="E972">
        <v>2000</v>
      </c>
      <c r="H972">
        <v>2</v>
      </c>
      <c r="I972" t="s">
        <v>432</v>
      </c>
      <c r="J972">
        <v>25.68</v>
      </c>
      <c r="K972">
        <v>60</v>
      </c>
      <c r="L972">
        <v>3</v>
      </c>
      <c r="M972" t="s">
        <v>1284</v>
      </c>
      <c r="N972">
        <v>12</v>
      </c>
      <c r="O972">
        <v>15</v>
      </c>
      <c r="P972">
        <v>133470.28</v>
      </c>
      <c r="Q972">
        <v>77692.34</v>
      </c>
      <c r="R972">
        <v>286</v>
      </c>
      <c r="S972">
        <v>1071</v>
      </c>
      <c r="T972" t="s">
        <v>34</v>
      </c>
      <c r="U972" t="s">
        <v>57</v>
      </c>
    </row>
    <row r="973" spans="1:21">
      <c r="A973" t="s">
        <v>1617</v>
      </c>
      <c r="B973" t="s">
        <v>1618</v>
      </c>
      <c r="C973" t="s">
        <v>1291</v>
      </c>
      <c r="D973">
        <v>75000</v>
      </c>
      <c r="F973">
        <v>75000</v>
      </c>
      <c r="G973">
        <v>75000</v>
      </c>
      <c r="H973">
        <v>3</v>
      </c>
      <c r="I973" t="s">
        <v>432</v>
      </c>
      <c r="J973">
        <v>25</v>
      </c>
      <c r="K973">
        <v>37</v>
      </c>
      <c r="L973">
        <v>3</v>
      </c>
      <c r="M973" t="s">
        <v>1284</v>
      </c>
      <c r="N973">
        <v>7</v>
      </c>
      <c r="O973">
        <v>10.67</v>
      </c>
      <c r="P973">
        <v>133470.28</v>
      </c>
      <c r="Q973">
        <v>77692.34</v>
      </c>
      <c r="R973">
        <v>286</v>
      </c>
      <c r="S973">
        <v>1071</v>
      </c>
      <c r="T973" t="s">
        <v>34</v>
      </c>
      <c r="U973" t="s">
        <v>49</v>
      </c>
    </row>
    <row r="974" spans="1:21">
      <c r="A974" t="s">
        <v>1619</v>
      </c>
      <c r="B974" t="s">
        <v>1620</v>
      </c>
      <c r="C974" t="s">
        <v>1386</v>
      </c>
      <c r="D974">
        <v>65000</v>
      </c>
      <c r="F974">
        <v>65000</v>
      </c>
      <c r="G974">
        <v>65000</v>
      </c>
      <c r="H974">
        <v>3</v>
      </c>
      <c r="I974" t="s">
        <v>432</v>
      </c>
      <c r="J974">
        <v>15</v>
      </c>
      <c r="K974">
        <v>38</v>
      </c>
      <c r="L974">
        <v>4</v>
      </c>
      <c r="M974" t="s">
        <v>1284</v>
      </c>
      <c r="N974">
        <v>2</v>
      </c>
      <c r="O974">
        <v>11.67</v>
      </c>
      <c r="P974">
        <v>133470.28</v>
      </c>
      <c r="Q974">
        <v>77692.34</v>
      </c>
      <c r="R974">
        <v>286</v>
      </c>
      <c r="S974">
        <v>1071</v>
      </c>
      <c r="T974" t="s">
        <v>108</v>
      </c>
      <c r="U974" t="s">
        <v>49</v>
      </c>
    </row>
    <row r="975" spans="1:21">
      <c r="A975" t="s">
        <v>1621</v>
      </c>
      <c r="B975" t="s">
        <v>1622</v>
      </c>
      <c r="C975" t="s">
        <v>1291</v>
      </c>
      <c r="D975">
        <v>88000</v>
      </c>
      <c r="E975">
        <v>7000</v>
      </c>
      <c r="G975">
        <v>88000</v>
      </c>
      <c r="H975">
        <v>5</v>
      </c>
      <c r="I975" t="s">
        <v>432</v>
      </c>
      <c r="J975">
        <v>28.19</v>
      </c>
      <c r="K975">
        <v>57</v>
      </c>
      <c r="L975">
        <v>5</v>
      </c>
      <c r="M975" t="s">
        <v>1284</v>
      </c>
      <c r="N975">
        <v>10</v>
      </c>
      <c r="O975">
        <v>11.67</v>
      </c>
      <c r="P975">
        <v>133470.28</v>
      </c>
      <c r="Q975">
        <v>77692.34</v>
      </c>
      <c r="R975">
        <v>286</v>
      </c>
      <c r="S975">
        <v>1071</v>
      </c>
      <c r="T975" t="s">
        <v>34</v>
      </c>
      <c r="U975" t="s">
        <v>57</v>
      </c>
    </row>
    <row r="976" spans="1:21">
      <c r="A976" t="s">
        <v>1623</v>
      </c>
      <c r="B976" t="s">
        <v>1624</v>
      </c>
      <c r="C976" t="s">
        <v>1291</v>
      </c>
      <c r="D976">
        <v>66000</v>
      </c>
      <c r="E976">
        <v>2000</v>
      </c>
      <c r="H976">
        <v>3</v>
      </c>
      <c r="I976" t="s">
        <v>432</v>
      </c>
      <c r="J976">
        <v>13.59</v>
      </c>
      <c r="K976">
        <v>47</v>
      </c>
      <c r="L976">
        <v>3</v>
      </c>
      <c r="M976" t="s">
        <v>1284</v>
      </c>
      <c r="N976">
        <v>8</v>
      </c>
      <c r="O976">
        <v>8.67</v>
      </c>
      <c r="P976">
        <v>133470.28</v>
      </c>
      <c r="Q976">
        <v>77692.34</v>
      </c>
      <c r="R976">
        <v>286</v>
      </c>
      <c r="S976">
        <v>1071</v>
      </c>
      <c r="T976" t="s">
        <v>108</v>
      </c>
      <c r="U976" t="s">
        <v>42</v>
      </c>
    </row>
    <row r="977" spans="1:21">
      <c r="A977" t="s">
        <v>1625</v>
      </c>
      <c r="B977" t="s">
        <v>1626</v>
      </c>
      <c r="C977" t="s">
        <v>1283</v>
      </c>
      <c r="D977">
        <v>70000</v>
      </c>
      <c r="E977">
        <v>4000</v>
      </c>
      <c r="G977">
        <v>70000</v>
      </c>
      <c r="H977">
        <v>1</v>
      </c>
      <c r="I977" t="s">
        <v>432</v>
      </c>
      <c r="J977">
        <v>10.07</v>
      </c>
      <c r="K977">
        <v>10</v>
      </c>
      <c r="L977">
        <v>2</v>
      </c>
      <c r="M977" t="s">
        <v>1284</v>
      </c>
      <c r="N977">
        <v>8</v>
      </c>
      <c r="O977">
        <v>14.67</v>
      </c>
      <c r="P977">
        <v>133470.28</v>
      </c>
      <c r="Q977">
        <v>77692.34</v>
      </c>
      <c r="R977">
        <v>286</v>
      </c>
      <c r="S977">
        <v>1071</v>
      </c>
      <c r="T977" t="s">
        <v>108</v>
      </c>
      <c r="U977" t="s">
        <v>31</v>
      </c>
    </row>
    <row r="978" spans="1:21">
      <c r="A978" t="s">
        <v>1627</v>
      </c>
      <c r="B978" t="s">
        <v>1626</v>
      </c>
      <c r="C978" t="s">
        <v>1291</v>
      </c>
      <c r="D978">
        <v>67000</v>
      </c>
      <c r="E978">
        <v>4000</v>
      </c>
      <c r="H978">
        <v>1</v>
      </c>
      <c r="I978" t="s">
        <v>432</v>
      </c>
      <c r="J978">
        <v>10.1</v>
      </c>
      <c r="K978">
        <v>10</v>
      </c>
      <c r="L978">
        <v>2</v>
      </c>
      <c r="M978" t="s">
        <v>1284</v>
      </c>
      <c r="N978">
        <v>9</v>
      </c>
      <c r="O978">
        <v>10.33</v>
      </c>
      <c r="P978">
        <v>133470.28</v>
      </c>
      <c r="Q978">
        <v>77692.34</v>
      </c>
      <c r="R978">
        <v>286</v>
      </c>
      <c r="S978">
        <v>1071</v>
      </c>
      <c r="T978" t="s">
        <v>108</v>
      </c>
      <c r="U978" t="s">
        <v>31</v>
      </c>
    </row>
    <row r="979" spans="1:21">
      <c r="A979" t="s">
        <v>1628</v>
      </c>
      <c r="B979" t="s">
        <v>1626</v>
      </c>
      <c r="C979" t="s">
        <v>1283</v>
      </c>
      <c r="D979">
        <v>73000</v>
      </c>
      <c r="E979">
        <v>4000</v>
      </c>
      <c r="H979">
        <v>1</v>
      </c>
      <c r="I979" t="s">
        <v>432</v>
      </c>
      <c r="J979">
        <v>10.86</v>
      </c>
      <c r="K979">
        <v>10</v>
      </c>
      <c r="L979">
        <v>2</v>
      </c>
      <c r="M979" t="s">
        <v>1284</v>
      </c>
      <c r="N979">
        <v>8</v>
      </c>
      <c r="O979">
        <v>11</v>
      </c>
      <c r="P979">
        <v>133470.28</v>
      </c>
      <c r="Q979">
        <v>77692.34</v>
      </c>
      <c r="R979">
        <v>286</v>
      </c>
      <c r="S979">
        <v>1071</v>
      </c>
      <c r="T979" t="s">
        <v>108</v>
      </c>
      <c r="U979" t="s">
        <v>31</v>
      </c>
    </row>
    <row r="980" spans="1:21">
      <c r="A980" t="s">
        <v>1629</v>
      </c>
      <c r="B980" t="s">
        <v>1626</v>
      </c>
      <c r="C980" t="s">
        <v>1291</v>
      </c>
      <c r="D980">
        <v>70000</v>
      </c>
      <c r="E980">
        <v>4000</v>
      </c>
      <c r="G980">
        <v>70000</v>
      </c>
      <c r="H980">
        <v>1</v>
      </c>
      <c r="I980" t="s">
        <v>432</v>
      </c>
      <c r="J980">
        <v>12.36</v>
      </c>
      <c r="K980">
        <v>10</v>
      </c>
      <c r="L980">
        <v>2</v>
      </c>
      <c r="M980" t="s">
        <v>1284</v>
      </c>
      <c r="N980">
        <v>9</v>
      </c>
      <c r="O980">
        <v>10.33</v>
      </c>
      <c r="P980">
        <v>133470.28</v>
      </c>
      <c r="Q980">
        <v>77692.34</v>
      </c>
      <c r="R980">
        <v>286</v>
      </c>
      <c r="S980">
        <v>1071</v>
      </c>
      <c r="T980" t="s">
        <v>108</v>
      </c>
      <c r="U980" t="s">
        <v>31</v>
      </c>
    </row>
    <row r="981" spans="1:21">
      <c r="A981" t="s">
        <v>1630</v>
      </c>
      <c r="B981" t="s">
        <v>1626</v>
      </c>
      <c r="C981" t="s">
        <v>1283</v>
      </c>
      <c r="D981">
        <v>70000</v>
      </c>
      <c r="E981">
        <v>4000</v>
      </c>
      <c r="G981">
        <v>70000</v>
      </c>
      <c r="H981">
        <v>2</v>
      </c>
      <c r="I981" t="s">
        <v>432</v>
      </c>
      <c r="J981">
        <v>10.07</v>
      </c>
      <c r="K981">
        <v>10</v>
      </c>
      <c r="L981">
        <v>2</v>
      </c>
      <c r="M981" t="s">
        <v>1284</v>
      </c>
      <c r="N981">
        <v>8</v>
      </c>
      <c r="O981">
        <v>14.67</v>
      </c>
      <c r="P981">
        <v>133470.28</v>
      </c>
      <c r="Q981">
        <v>77692.34</v>
      </c>
      <c r="R981">
        <v>286</v>
      </c>
      <c r="S981">
        <v>1071</v>
      </c>
      <c r="T981" t="s">
        <v>108</v>
      </c>
      <c r="U981" t="s">
        <v>31</v>
      </c>
    </row>
    <row r="982" spans="1:21">
      <c r="A982" t="s">
        <v>1631</v>
      </c>
      <c r="B982" t="s">
        <v>1626</v>
      </c>
      <c r="C982" t="s">
        <v>1283</v>
      </c>
      <c r="D982">
        <v>71000</v>
      </c>
      <c r="E982">
        <v>4000</v>
      </c>
      <c r="G982">
        <v>71000</v>
      </c>
      <c r="H982">
        <v>2</v>
      </c>
      <c r="I982" t="s">
        <v>432</v>
      </c>
      <c r="J982">
        <v>10.08</v>
      </c>
      <c r="K982">
        <v>10</v>
      </c>
      <c r="L982">
        <v>2</v>
      </c>
      <c r="M982" t="s">
        <v>1284</v>
      </c>
      <c r="N982">
        <v>8</v>
      </c>
      <c r="O982">
        <v>14.67</v>
      </c>
      <c r="P982">
        <v>133470.28</v>
      </c>
      <c r="Q982">
        <v>77692.34</v>
      </c>
      <c r="R982">
        <v>286</v>
      </c>
      <c r="S982">
        <v>1071</v>
      </c>
      <c r="T982" t="s">
        <v>108</v>
      </c>
      <c r="U982" t="s">
        <v>31</v>
      </c>
    </row>
    <row r="983" spans="1:21">
      <c r="A983" t="s">
        <v>1632</v>
      </c>
      <c r="B983" t="s">
        <v>1626</v>
      </c>
      <c r="C983" t="s">
        <v>1291</v>
      </c>
      <c r="D983">
        <v>74000</v>
      </c>
      <c r="E983">
        <v>4000</v>
      </c>
      <c r="G983">
        <v>74000</v>
      </c>
      <c r="H983">
        <v>2</v>
      </c>
      <c r="I983" t="s">
        <v>432</v>
      </c>
      <c r="J983">
        <v>12.36</v>
      </c>
      <c r="K983">
        <v>10</v>
      </c>
      <c r="L983">
        <v>2</v>
      </c>
      <c r="M983" t="s">
        <v>1284</v>
      </c>
      <c r="N983">
        <v>9</v>
      </c>
      <c r="O983">
        <v>10.33</v>
      </c>
      <c r="P983">
        <v>133470.28</v>
      </c>
      <c r="Q983">
        <v>77692.34</v>
      </c>
      <c r="R983">
        <v>286</v>
      </c>
      <c r="S983">
        <v>1071</v>
      </c>
      <c r="T983" t="s">
        <v>108</v>
      </c>
      <c r="U983" t="s">
        <v>31</v>
      </c>
    </row>
    <row r="984" spans="1:21">
      <c r="A984" t="s">
        <v>1633</v>
      </c>
      <c r="B984" t="s">
        <v>1634</v>
      </c>
      <c r="C984" t="s">
        <v>1283</v>
      </c>
      <c r="D984">
        <v>70000</v>
      </c>
      <c r="E984">
        <v>4000</v>
      </c>
      <c r="H984">
        <v>2</v>
      </c>
      <c r="I984" t="s">
        <v>432</v>
      </c>
      <c r="J984">
        <v>10.210000000000001</v>
      </c>
      <c r="K984">
        <v>7</v>
      </c>
      <c r="L984">
        <v>2</v>
      </c>
      <c r="M984" t="s">
        <v>1284</v>
      </c>
      <c r="N984">
        <v>5</v>
      </c>
      <c r="O984">
        <v>14</v>
      </c>
      <c r="P984">
        <v>133470.28</v>
      </c>
      <c r="Q984">
        <v>77692.34</v>
      </c>
      <c r="R984">
        <v>286</v>
      </c>
      <c r="S984">
        <v>1071</v>
      </c>
      <c r="T984" t="s">
        <v>108</v>
      </c>
      <c r="U984" t="s">
        <v>31</v>
      </c>
    </row>
    <row r="985" spans="1:21">
      <c r="A985" t="s">
        <v>1635</v>
      </c>
      <c r="B985" t="s">
        <v>1636</v>
      </c>
      <c r="C985" t="s">
        <v>1379</v>
      </c>
      <c r="D985">
        <v>95000</v>
      </c>
      <c r="E985">
        <v>3000</v>
      </c>
      <c r="F985">
        <v>95000</v>
      </c>
      <c r="G985">
        <v>95000</v>
      </c>
      <c r="H985">
        <v>1</v>
      </c>
      <c r="I985" t="s">
        <v>432</v>
      </c>
      <c r="J985">
        <v>22.61</v>
      </c>
      <c r="K985">
        <v>8</v>
      </c>
      <c r="L985">
        <v>2</v>
      </c>
      <c r="M985" t="s">
        <v>1284</v>
      </c>
      <c r="N985">
        <v>5</v>
      </c>
      <c r="O985">
        <v>13.67</v>
      </c>
      <c r="P985">
        <v>133470.28</v>
      </c>
      <c r="Q985">
        <v>77692.34</v>
      </c>
      <c r="R985">
        <v>286</v>
      </c>
      <c r="S985">
        <v>1071</v>
      </c>
      <c r="T985" t="s">
        <v>34</v>
      </c>
      <c r="U985" t="s">
        <v>31</v>
      </c>
    </row>
    <row r="986" spans="1:21">
      <c r="A986" t="s">
        <v>1637</v>
      </c>
      <c r="B986" t="s">
        <v>1638</v>
      </c>
      <c r="C986" t="s">
        <v>1294</v>
      </c>
      <c r="D986">
        <v>73000</v>
      </c>
      <c r="E986">
        <v>2000</v>
      </c>
      <c r="F986">
        <v>73000</v>
      </c>
      <c r="G986">
        <v>73000</v>
      </c>
      <c r="H986">
        <v>2</v>
      </c>
      <c r="I986" t="s">
        <v>432</v>
      </c>
      <c r="J986">
        <v>16.2</v>
      </c>
      <c r="K986">
        <v>24</v>
      </c>
      <c r="L986">
        <v>3</v>
      </c>
      <c r="M986" t="s">
        <v>1284</v>
      </c>
      <c r="N986">
        <v>10</v>
      </c>
      <c r="O986">
        <v>10.67</v>
      </c>
      <c r="P986">
        <v>133470.28</v>
      </c>
      <c r="Q986">
        <v>77692.34</v>
      </c>
      <c r="R986">
        <v>286</v>
      </c>
      <c r="S986">
        <v>1071</v>
      </c>
      <c r="T986" t="s">
        <v>108</v>
      </c>
      <c r="U986" t="s">
        <v>27</v>
      </c>
    </row>
    <row r="987" spans="1:21">
      <c r="A987" t="s">
        <v>1639</v>
      </c>
      <c r="B987" t="s">
        <v>1304</v>
      </c>
      <c r="C987" t="s">
        <v>1283</v>
      </c>
      <c r="D987">
        <v>63000</v>
      </c>
      <c r="F987">
        <v>63000</v>
      </c>
      <c r="G987">
        <v>63000</v>
      </c>
      <c r="H987">
        <v>2</v>
      </c>
      <c r="I987" t="s">
        <v>432</v>
      </c>
      <c r="J987">
        <v>17</v>
      </c>
      <c r="K987">
        <v>40</v>
      </c>
      <c r="L987">
        <v>3</v>
      </c>
      <c r="M987" t="s">
        <v>1284</v>
      </c>
      <c r="N987">
        <v>10</v>
      </c>
      <c r="O987">
        <v>14</v>
      </c>
      <c r="P987">
        <v>133470.28</v>
      </c>
      <c r="Q987">
        <v>77692.34</v>
      </c>
      <c r="R987">
        <v>286</v>
      </c>
      <c r="S987">
        <v>1071</v>
      </c>
      <c r="T987" t="s">
        <v>108</v>
      </c>
      <c r="U987" t="s">
        <v>49</v>
      </c>
    </row>
    <row r="988" spans="1:21">
      <c r="A988" t="s">
        <v>1640</v>
      </c>
      <c r="B988" t="s">
        <v>1304</v>
      </c>
      <c r="C988" t="s">
        <v>1294</v>
      </c>
      <c r="D988">
        <v>77000</v>
      </c>
      <c r="E988">
        <v>3000</v>
      </c>
      <c r="F988">
        <v>77000</v>
      </c>
      <c r="G988">
        <v>77000</v>
      </c>
      <c r="H988">
        <v>3</v>
      </c>
      <c r="I988" t="s">
        <v>432</v>
      </c>
      <c r="J988">
        <v>18.23</v>
      </c>
      <c r="K988">
        <v>40</v>
      </c>
      <c r="L988">
        <v>3</v>
      </c>
      <c r="M988" t="s">
        <v>1284</v>
      </c>
      <c r="N988">
        <v>12</v>
      </c>
      <c r="O988">
        <v>13</v>
      </c>
      <c r="P988">
        <v>133470.28</v>
      </c>
      <c r="Q988">
        <v>77692.34</v>
      </c>
      <c r="R988">
        <v>286</v>
      </c>
      <c r="S988">
        <v>1071</v>
      </c>
      <c r="T988" t="s">
        <v>108</v>
      </c>
      <c r="U988" t="s">
        <v>49</v>
      </c>
    </row>
    <row r="989" spans="1:21">
      <c r="A989" t="s">
        <v>1641</v>
      </c>
      <c r="B989" t="s">
        <v>1432</v>
      </c>
      <c r="C989" t="s">
        <v>1294</v>
      </c>
      <c r="D989">
        <v>97000</v>
      </c>
      <c r="E989">
        <v>3000</v>
      </c>
      <c r="F989">
        <v>97000</v>
      </c>
      <c r="H989">
        <v>1</v>
      </c>
      <c r="I989" t="s">
        <v>432</v>
      </c>
      <c r="J989">
        <v>19.399999999999999</v>
      </c>
      <c r="K989">
        <v>7</v>
      </c>
      <c r="L989">
        <v>3</v>
      </c>
      <c r="M989" t="s">
        <v>1284</v>
      </c>
      <c r="N989">
        <v>10</v>
      </c>
      <c r="O989">
        <v>12.33</v>
      </c>
      <c r="P989">
        <v>133470.28</v>
      </c>
      <c r="Q989">
        <v>77692.34</v>
      </c>
      <c r="R989">
        <v>286</v>
      </c>
      <c r="S989">
        <v>1071</v>
      </c>
      <c r="T989" t="s">
        <v>108</v>
      </c>
      <c r="U989" t="s">
        <v>31</v>
      </c>
    </row>
    <row r="990" spans="1:21">
      <c r="A990" t="s">
        <v>1642</v>
      </c>
      <c r="B990" t="s">
        <v>1643</v>
      </c>
      <c r="C990" t="s">
        <v>1283</v>
      </c>
      <c r="D990">
        <v>70000</v>
      </c>
      <c r="E990">
        <v>2000</v>
      </c>
      <c r="F990">
        <v>70000</v>
      </c>
      <c r="G990">
        <v>70000</v>
      </c>
      <c r="H990">
        <v>1</v>
      </c>
      <c r="I990" t="s">
        <v>432</v>
      </c>
      <c r="J990">
        <v>19</v>
      </c>
      <c r="K990">
        <v>28</v>
      </c>
      <c r="L990">
        <v>4</v>
      </c>
      <c r="M990" t="s">
        <v>1284</v>
      </c>
      <c r="N990">
        <v>4</v>
      </c>
      <c r="O990">
        <v>12</v>
      </c>
      <c r="P990">
        <v>133470.28</v>
      </c>
      <c r="Q990">
        <v>77692.34</v>
      </c>
      <c r="R990">
        <v>286</v>
      </c>
      <c r="S990">
        <v>1071</v>
      </c>
      <c r="T990" t="s">
        <v>108</v>
      </c>
      <c r="U990" t="s">
        <v>27</v>
      </c>
    </row>
    <row r="991" spans="1:21">
      <c r="A991" t="s">
        <v>1644</v>
      </c>
      <c r="B991" t="s">
        <v>1645</v>
      </c>
      <c r="C991" t="s">
        <v>1291</v>
      </c>
      <c r="D991">
        <v>120000</v>
      </c>
      <c r="E991">
        <v>5000</v>
      </c>
      <c r="F991">
        <v>120000</v>
      </c>
      <c r="G991">
        <v>120000</v>
      </c>
      <c r="H991">
        <v>4</v>
      </c>
      <c r="I991" t="s">
        <v>432</v>
      </c>
      <c r="J991">
        <v>38.15</v>
      </c>
      <c r="K991">
        <v>34</v>
      </c>
      <c r="L991">
        <v>4</v>
      </c>
      <c r="M991" t="s">
        <v>1284</v>
      </c>
      <c r="N991">
        <v>8</v>
      </c>
      <c r="O991">
        <v>8</v>
      </c>
      <c r="P991">
        <v>133470.28</v>
      </c>
      <c r="Q991">
        <v>77692.34</v>
      </c>
      <c r="R991">
        <v>286</v>
      </c>
      <c r="S991">
        <v>1071</v>
      </c>
      <c r="T991" t="s">
        <v>26</v>
      </c>
      <c r="U991" t="s">
        <v>49</v>
      </c>
    </row>
    <row r="992" spans="1:21">
      <c r="A992" t="s">
        <v>1646</v>
      </c>
      <c r="B992" t="s">
        <v>1539</v>
      </c>
      <c r="C992" t="s">
        <v>1294</v>
      </c>
      <c r="D992">
        <v>126000</v>
      </c>
      <c r="E992">
        <v>10000</v>
      </c>
      <c r="G992">
        <v>63000</v>
      </c>
      <c r="H992">
        <v>3</v>
      </c>
      <c r="I992" t="s">
        <v>432</v>
      </c>
      <c r="J992">
        <v>25.57</v>
      </c>
      <c r="K992">
        <v>5</v>
      </c>
      <c r="L992">
        <v>4</v>
      </c>
      <c r="M992" t="s">
        <v>1284</v>
      </c>
      <c r="N992">
        <v>10</v>
      </c>
      <c r="O992">
        <v>13.67</v>
      </c>
      <c r="P992">
        <v>133470.28</v>
      </c>
      <c r="Q992">
        <v>77692.34</v>
      </c>
      <c r="R992">
        <v>286</v>
      </c>
      <c r="S992">
        <v>1071</v>
      </c>
      <c r="T992" t="s">
        <v>34</v>
      </c>
      <c r="U992" t="s">
        <v>31</v>
      </c>
    </row>
    <row r="993" spans="1:21">
      <c r="A993" t="s">
        <v>1647</v>
      </c>
      <c r="B993" t="s">
        <v>1539</v>
      </c>
      <c r="C993" t="s">
        <v>1294</v>
      </c>
      <c r="D993">
        <v>125000</v>
      </c>
      <c r="E993">
        <v>10000</v>
      </c>
      <c r="G993">
        <v>62500</v>
      </c>
      <c r="H993">
        <v>4</v>
      </c>
      <c r="I993" t="s">
        <v>432</v>
      </c>
      <c r="J993">
        <v>25.51</v>
      </c>
      <c r="K993">
        <v>5</v>
      </c>
      <c r="L993">
        <v>4</v>
      </c>
      <c r="M993" t="s">
        <v>1284</v>
      </c>
      <c r="N993">
        <v>10</v>
      </c>
      <c r="O993">
        <v>13.67</v>
      </c>
      <c r="P993">
        <v>133470.28</v>
      </c>
      <c r="Q993">
        <v>77692.34</v>
      </c>
      <c r="R993">
        <v>286</v>
      </c>
      <c r="S993">
        <v>1071</v>
      </c>
      <c r="T993" t="s">
        <v>34</v>
      </c>
      <c r="U993" t="s">
        <v>31</v>
      </c>
    </row>
    <row r="994" spans="1:21">
      <c r="A994" t="s">
        <v>1648</v>
      </c>
      <c r="B994" t="s">
        <v>1539</v>
      </c>
      <c r="C994" t="s">
        <v>1294</v>
      </c>
      <c r="D994">
        <v>130000</v>
      </c>
      <c r="E994">
        <v>10000</v>
      </c>
      <c r="G994">
        <v>65000</v>
      </c>
      <c r="H994">
        <v>4</v>
      </c>
      <c r="I994" t="s">
        <v>432</v>
      </c>
      <c r="J994">
        <v>25.57</v>
      </c>
      <c r="K994">
        <v>5</v>
      </c>
      <c r="L994">
        <v>4</v>
      </c>
      <c r="M994" t="s">
        <v>1284</v>
      </c>
      <c r="N994">
        <v>10</v>
      </c>
      <c r="O994">
        <v>13.67</v>
      </c>
      <c r="P994">
        <v>133470.28</v>
      </c>
      <c r="Q994">
        <v>77692.34</v>
      </c>
      <c r="R994">
        <v>286</v>
      </c>
      <c r="S994">
        <v>1071</v>
      </c>
      <c r="T994" t="s">
        <v>34</v>
      </c>
      <c r="U994" t="s">
        <v>31</v>
      </c>
    </row>
    <row r="995" spans="1:21">
      <c r="A995" t="s">
        <v>1649</v>
      </c>
      <c r="B995" t="s">
        <v>1650</v>
      </c>
      <c r="C995" t="s">
        <v>1283</v>
      </c>
      <c r="D995">
        <v>80000</v>
      </c>
      <c r="E995">
        <v>5000</v>
      </c>
      <c r="F995">
        <v>80000</v>
      </c>
      <c r="G995">
        <v>80000</v>
      </c>
      <c r="H995">
        <v>4</v>
      </c>
      <c r="I995" t="s">
        <v>432</v>
      </c>
      <c r="J995">
        <v>20</v>
      </c>
      <c r="K995">
        <v>44</v>
      </c>
      <c r="L995">
        <v>5</v>
      </c>
      <c r="M995" t="s">
        <v>1284</v>
      </c>
      <c r="N995">
        <v>2</v>
      </c>
      <c r="O995">
        <v>11.67</v>
      </c>
      <c r="P995">
        <v>133470.28</v>
      </c>
      <c r="Q995">
        <v>77692.34</v>
      </c>
      <c r="R995">
        <v>286</v>
      </c>
      <c r="S995">
        <v>1071</v>
      </c>
      <c r="T995" t="s">
        <v>34</v>
      </c>
      <c r="U995" t="s">
        <v>42</v>
      </c>
    </row>
    <row r="996" spans="1:21">
      <c r="A996" t="s">
        <v>1651</v>
      </c>
      <c r="B996" t="s">
        <v>1652</v>
      </c>
      <c r="C996" t="s">
        <v>1310</v>
      </c>
      <c r="D996">
        <v>95000</v>
      </c>
      <c r="E996">
        <v>8000</v>
      </c>
      <c r="F996">
        <v>95000</v>
      </c>
      <c r="H996">
        <v>3</v>
      </c>
      <c r="I996" t="s">
        <v>432</v>
      </c>
      <c r="J996">
        <v>19</v>
      </c>
      <c r="K996">
        <v>4</v>
      </c>
      <c r="L996">
        <v>5</v>
      </c>
      <c r="M996" t="s">
        <v>1284</v>
      </c>
      <c r="N996">
        <v>6</v>
      </c>
      <c r="O996">
        <v>11</v>
      </c>
      <c r="P996">
        <v>133470.28</v>
      </c>
      <c r="Q996">
        <v>77692.34</v>
      </c>
      <c r="R996">
        <v>286</v>
      </c>
      <c r="S996">
        <v>1071</v>
      </c>
      <c r="T996" t="s">
        <v>108</v>
      </c>
      <c r="U996" t="s">
        <v>31</v>
      </c>
    </row>
    <row r="997" spans="1:21">
      <c r="A997" t="s">
        <v>1653</v>
      </c>
      <c r="B997" t="s">
        <v>1652</v>
      </c>
      <c r="C997" t="s">
        <v>1310</v>
      </c>
      <c r="D997">
        <v>95000</v>
      </c>
      <c r="E997">
        <v>8000</v>
      </c>
      <c r="F997">
        <v>95000</v>
      </c>
      <c r="H997">
        <v>5</v>
      </c>
      <c r="I997" t="s">
        <v>432</v>
      </c>
      <c r="J997">
        <v>19</v>
      </c>
      <c r="K997">
        <v>4</v>
      </c>
      <c r="L997">
        <v>5</v>
      </c>
      <c r="M997" t="s">
        <v>1284</v>
      </c>
      <c r="N997">
        <v>6</v>
      </c>
      <c r="O997">
        <v>11</v>
      </c>
      <c r="P997">
        <v>133470.28</v>
      </c>
      <c r="Q997">
        <v>77692.34</v>
      </c>
      <c r="R997">
        <v>286</v>
      </c>
      <c r="S997">
        <v>1071</v>
      </c>
      <c r="T997" t="s">
        <v>108</v>
      </c>
      <c r="U997" t="s">
        <v>31</v>
      </c>
    </row>
    <row r="998" spans="1:21">
      <c r="A998" t="s">
        <v>1654</v>
      </c>
      <c r="B998" t="s">
        <v>1655</v>
      </c>
      <c r="C998" t="s">
        <v>1656</v>
      </c>
      <c r="D998">
        <v>80000</v>
      </c>
      <c r="E998">
        <v>8000</v>
      </c>
      <c r="F998">
        <v>80000</v>
      </c>
      <c r="H998">
        <v>6</v>
      </c>
      <c r="I998" t="s">
        <v>432</v>
      </c>
      <c r="J998">
        <v>20.37</v>
      </c>
      <c r="K998">
        <v>25</v>
      </c>
      <c r="L998">
        <v>8</v>
      </c>
      <c r="M998" t="s">
        <v>1284</v>
      </c>
      <c r="N998">
        <v>3</v>
      </c>
      <c r="O998">
        <v>9.67</v>
      </c>
      <c r="P998">
        <v>133470.28</v>
      </c>
      <c r="Q998">
        <v>77692.34</v>
      </c>
      <c r="R998">
        <v>286</v>
      </c>
      <c r="S998">
        <v>1071</v>
      </c>
      <c r="T998" t="s">
        <v>34</v>
      </c>
      <c r="U998" t="s">
        <v>27</v>
      </c>
    </row>
    <row r="999" spans="1:21">
      <c r="A999" t="s">
        <v>1657</v>
      </c>
      <c r="B999" t="s">
        <v>1455</v>
      </c>
      <c r="C999" t="s">
        <v>1291</v>
      </c>
      <c r="D999">
        <v>131000</v>
      </c>
      <c r="E999">
        <v>10000</v>
      </c>
      <c r="H999">
        <v>2</v>
      </c>
      <c r="I999" t="s">
        <v>432</v>
      </c>
      <c r="J999">
        <v>25.35</v>
      </c>
      <c r="K999">
        <v>6</v>
      </c>
      <c r="L999">
        <v>8</v>
      </c>
      <c r="M999" t="s">
        <v>1284</v>
      </c>
      <c r="N999">
        <v>8</v>
      </c>
      <c r="O999">
        <v>10.33</v>
      </c>
      <c r="P999">
        <v>133470.28</v>
      </c>
      <c r="Q999">
        <v>77692.34</v>
      </c>
      <c r="R999">
        <v>286</v>
      </c>
      <c r="S999">
        <v>1071</v>
      </c>
      <c r="T999" t="s">
        <v>34</v>
      </c>
      <c r="U999" t="s">
        <v>31</v>
      </c>
    </row>
    <row r="1000" spans="1:21">
      <c r="A1000" t="s">
        <v>1658</v>
      </c>
      <c r="B1000" t="s">
        <v>1659</v>
      </c>
      <c r="C1000" t="s">
        <v>1310</v>
      </c>
      <c r="D1000">
        <v>55000</v>
      </c>
      <c r="F1000">
        <v>55000</v>
      </c>
      <c r="G1000">
        <v>55000</v>
      </c>
      <c r="H1000">
        <v>1</v>
      </c>
      <c r="I1000" t="s">
        <v>432</v>
      </c>
      <c r="J1000">
        <v>12.7</v>
      </c>
      <c r="K1000">
        <v>42</v>
      </c>
      <c r="L1000">
        <v>5</v>
      </c>
      <c r="M1000" t="s">
        <v>1284</v>
      </c>
      <c r="N1000">
        <v>11</v>
      </c>
      <c r="O1000">
        <v>12.33</v>
      </c>
      <c r="P1000">
        <v>133470.28</v>
      </c>
      <c r="Q1000">
        <v>77692.34</v>
      </c>
      <c r="R1000">
        <v>286</v>
      </c>
      <c r="S1000">
        <v>1071</v>
      </c>
      <c r="T1000" t="s">
        <v>108</v>
      </c>
      <c r="U1000" t="s">
        <v>42</v>
      </c>
    </row>
    <row r="1001" spans="1:21">
      <c r="A1001" t="s">
        <v>1660</v>
      </c>
      <c r="B1001" t="s">
        <v>1659</v>
      </c>
      <c r="C1001" t="s">
        <v>1310</v>
      </c>
      <c r="D1001">
        <v>54000</v>
      </c>
      <c r="E1001">
        <v>4000</v>
      </c>
      <c r="G1001">
        <v>54000</v>
      </c>
      <c r="H1001">
        <v>3</v>
      </c>
      <c r="I1001" t="s">
        <v>432</v>
      </c>
      <c r="J1001">
        <v>12.7</v>
      </c>
      <c r="K1001">
        <v>42</v>
      </c>
      <c r="L1001">
        <v>5</v>
      </c>
      <c r="M1001" t="s">
        <v>1284</v>
      </c>
      <c r="N1001">
        <v>11</v>
      </c>
      <c r="O1001">
        <v>12.33</v>
      </c>
      <c r="P1001">
        <v>133470.28</v>
      </c>
      <c r="Q1001">
        <v>77692.34</v>
      </c>
      <c r="R1001">
        <v>286</v>
      </c>
      <c r="S1001">
        <v>1071</v>
      </c>
      <c r="T1001" t="s">
        <v>108</v>
      </c>
      <c r="U1001" t="s">
        <v>42</v>
      </c>
    </row>
    <row r="1002" spans="1:21">
      <c r="A1002" t="s">
        <v>1661</v>
      </c>
      <c r="B1002" t="s">
        <v>1659</v>
      </c>
      <c r="C1002" t="s">
        <v>1310</v>
      </c>
      <c r="D1002">
        <v>58000</v>
      </c>
      <c r="E1002">
        <v>5800</v>
      </c>
      <c r="F1002">
        <v>58000</v>
      </c>
      <c r="G1002">
        <v>58000</v>
      </c>
      <c r="H1002">
        <v>3</v>
      </c>
      <c r="I1002" t="s">
        <v>432</v>
      </c>
      <c r="J1002">
        <v>12.7</v>
      </c>
      <c r="K1002">
        <v>42</v>
      </c>
      <c r="L1002">
        <v>5</v>
      </c>
      <c r="M1002" t="s">
        <v>1284</v>
      </c>
      <c r="N1002">
        <v>11</v>
      </c>
      <c r="O1002">
        <v>12.33</v>
      </c>
      <c r="P1002">
        <v>133470.28</v>
      </c>
      <c r="Q1002">
        <v>77692.34</v>
      </c>
      <c r="R1002">
        <v>286</v>
      </c>
      <c r="S1002">
        <v>1071</v>
      </c>
      <c r="T1002" t="s">
        <v>108</v>
      </c>
      <c r="U1002" t="s">
        <v>42</v>
      </c>
    </row>
    <row r="1003" spans="1:21">
      <c r="A1003" t="s">
        <v>1662</v>
      </c>
      <c r="B1003" t="s">
        <v>1663</v>
      </c>
      <c r="C1003" t="s">
        <v>1283</v>
      </c>
      <c r="D1003">
        <v>119000</v>
      </c>
      <c r="E1003">
        <v>5000</v>
      </c>
      <c r="F1003">
        <v>119000</v>
      </c>
      <c r="G1003">
        <v>119000</v>
      </c>
      <c r="H1003">
        <v>1</v>
      </c>
      <c r="I1003" t="s">
        <v>432</v>
      </c>
      <c r="J1003">
        <v>25</v>
      </c>
      <c r="K1003">
        <v>8</v>
      </c>
      <c r="L1003">
        <v>6</v>
      </c>
      <c r="M1003" t="s">
        <v>1284</v>
      </c>
      <c r="N1003">
        <v>10</v>
      </c>
      <c r="O1003">
        <v>14.33</v>
      </c>
      <c r="P1003">
        <v>133470.28</v>
      </c>
      <c r="Q1003">
        <v>77692.34</v>
      </c>
      <c r="R1003">
        <v>286</v>
      </c>
      <c r="S1003">
        <v>1071</v>
      </c>
      <c r="T1003" t="s">
        <v>34</v>
      </c>
      <c r="U1003" t="s">
        <v>31</v>
      </c>
    </row>
    <row r="1004" spans="1:21">
      <c r="A1004" t="s">
        <v>1664</v>
      </c>
      <c r="B1004" t="s">
        <v>1665</v>
      </c>
      <c r="C1004" t="s">
        <v>1283</v>
      </c>
      <c r="D1004">
        <v>127000</v>
      </c>
      <c r="E1004">
        <v>6000</v>
      </c>
      <c r="F1004">
        <v>127000</v>
      </c>
      <c r="G1004">
        <v>127000</v>
      </c>
      <c r="H1004">
        <v>3</v>
      </c>
      <c r="I1004" t="s">
        <v>432</v>
      </c>
      <c r="J1004">
        <v>25.92</v>
      </c>
      <c r="K1004">
        <v>10</v>
      </c>
      <c r="L1004">
        <v>4</v>
      </c>
      <c r="M1004" t="s">
        <v>1284</v>
      </c>
      <c r="N1004">
        <v>7</v>
      </c>
      <c r="O1004">
        <v>14</v>
      </c>
      <c r="P1004">
        <v>133470.28</v>
      </c>
      <c r="Q1004">
        <v>77692.34</v>
      </c>
      <c r="R1004">
        <v>286</v>
      </c>
      <c r="S1004">
        <v>1071</v>
      </c>
      <c r="T1004" t="s">
        <v>34</v>
      </c>
      <c r="U1004" t="s">
        <v>31</v>
      </c>
    </row>
    <row r="1005" spans="1:21">
      <c r="A1005" t="s">
        <v>1666</v>
      </c>
      <c r="B1005" t="s">
        <v>1667</v>
      </c>
      <c r="C1005" t="s">
        <v>1283</v>
      </c>
      <c r="D1005">
        <v>65000</v>
      </c>
      <c r="F1005">
        <v>65000</v>
      </c>
      <c r="G1005">
        <v>65000</v>
      </c>
      <c r="H1005">
        <v>4</v>
      </c>
      <c r="I1005" t="s">
        <v>432</v>
      </c>
      <c r="J1005">
        <v>17.899999999999999</v>
      </c>
      <c r="K1005">
        <v>35</v>
      </c>
      <c r="L1005">
        <v>4</v>
      </c>
      <c r="M1005" t="s">
        <v>1284</v>
      </c>
      <c r="N1005">
        <v>7</v>
      </c>
      <c r="O1005">
        <v>10.67</v>
      </c>
      <c r="P1005">
        <v>133470.28</v>
      </c>
      <c r="Q1005">
        <v>77692.34</v>
      </c>
      <c r="R1005">
        <v>286</v>
      </c>
      <c r="S1005">
        <v>1071</v>
      </c>
      <c r="T1005" t="s">
        <v>108</v>
      </c>
      <c r="U1005" t="s">
        <v>49</v>
      </c>
    </row>
    <row r="1006" spans="1:21">
      <c r="A1006" t="s">
        <v>1668</v>
      </c>
      <c r="B1006" t="s">
        <v>1669</v>
      </c>
      <c r="C1006" t="s">
        <v>1386</v>
      </c>
      <c r="D1006">
        <v>86000</v>
      </c>
      <c r="E1006">
        <v>3000</v>
      </c>
      <c r="H1006">
        <v>1</v>
      </c>
      <c r="I1006" t="s">
        <v>432</v>
      </c>
      <c r="J1006">
        <v>17.420000000000002</v>
      </c>
      <c r="K1006">
        <v>6</v>
      </c>
      <c r="L1006">
        <v>4</v>
      </c>
      <c r="M1006" t="s">
        <v>1284</v>
      </c>
      <c r="N1006">
        <v>5</v>
      </c>
      <c r="O1006">
        <v>13.67</v>
      </c>
      <c r="P1006">
        <v>133470.28</v>
      </c>
      <c r="Q1006">
        <v>77692.34</v>
      </c>
      <c r="R1006">
        <v>286</v>
      </c>
      <c r="S1006">
        <v>1071</v>
      </c>
      <c r="T1006" t="s">
        <v>108</v>
      </c>
      <c r="U1006" t="s">
        <v>31</v>
      </c>
    </row>
    <row r="1007" spans="1:21">
      <c r="A1007" t="s">
        <v>1670</v>
      </c>
      <c r="B1007" t="s">
        <v>1312</v>
      </c>
      <c r="C1007" t="s">
        <v>1291</v>
      </c>
      <c r="D1007">
        <v>88000</v>
      </c>
      <c r="E1007">
        <v>7000</v>
      </c>
      <c r="G1007">
        <v>88000</v>
      </c>
      <c r="H1007">
        <v>5</v>
      </c>
      <c r="I1007" t="s">
        <v>432</v>
      </c>
      <c r="J1007">
        <v>28.19</v>
      </c>
      <c r="K1007">
        <v>57</v>
      </c>
      <c r="L1007">
        <v>5</v>
      </c>
      <c r="M1007" t="s">
        <v>1284</v>
      </c>
      <c r="N1007">
        <v>10</v>
      </c>
      <c r="O1007">
        <v>10</v>
      </c>
      <c r="P1007">
        <v>133470.28</v>
      </c>
      <c r="Q1007">
        <v>77692.34</v>
      </c>
      <c r="R1007">
        <v>286</v>
      </c>
      <c r="S1007">
        <v>1071</v>
      </c>
      <c r="T1007" t="s">
        <v>34</v>
      </c>
      <c r="U1007" t="s">
        <v>57</v>
      </c>
    </row>
    <row r="1008" spans="1:21">
      <c r="A1008" t="s">
        <v>1671</v>
      </c>
      <c r="B1008" t="s">
        <v>1672</v>
      </c>
      <c r="C1008" t="s">
        <v>1283</v>
      </c>
      <c r="D1008">
        <v>119000</v>
      </c>
      <c r="E1008">
        <v>5000</v>
      </c>
      <c r="F1008">
        <v>119000</v>
      </c>
      <c r="G1008">
        <v>119000</v>
      </c>
      <c r="H1008">
        <v>1</v>
      </c>
      <c r="I1008" t="s">
        <v>432</v>
      </c>
      <c r="J1008">
        <v>25</v>
      </c>
      <c r="K1008">
        <v>8</v>
      </c>
      <c r="L1008">
        <v>5</v>
      </c>
      <c r="M1008" t="s">
        <v>1284</v>
      </c>
      <c r="N1008">
        <v>10</v>
      </c>
      <c r="O1008">
        <v>13.67</v>
      </c>
      <c r="P1008">
        <v>133470.28</v>
      </c>
      <c r="Q1008">
        <v>77692.34</v>
      </c>
      <c r="R1008">
        <v>286</v>
      </c>
      <c r="S1008">
        <v>1071</v>
      </c>
      <c r="T1008" t="s">
        <v>34</v>
      </c>
      <c r="U1008" t="s">
        <v>31</v>
      </c>
    </row>
    <row r="1009" spans="1:21">
      <c r="A1009" t="s">
        <v>1673</v>
      </c>
      <c r="B1009" t="s">
        <v>1672</v>
      </c>
      <c r="C1009" t="s">
        <v>1283</v>
      </c>
      <c r="D1009">
        <v>123000</v>
      </c>
      <c r="E1009">
        <v>5000</v>
      </c>
      <c r="F1009">
        <v>123000</v>
      </c>
      <c r="G1009">
        <v>123000</v>
      </c>
      <c r="H1009">
        <v>2</v>
      </c>
      <c r="I1009" t="s">
        <v>432</v>
      </c>
      <c r="J1009">
        <v>25</v>
      </c>
      <c r="K1009">
        <v>8</v>
      </c>
      <c r="L1009">
        <v>5</v>
      </c>
      <c r="M1009" t="s">
        <v>1284</v>
      </c>
      <c r="N1009">
        <v>10</v>
      </c>
      <c r="O1009">
        <v>13.67</v>
      </c>
      <c r="P1009">
        <v>133470.28</v>
      </c>
      <c r="Q1009">
        <v>77692.34</v>
      </c>
      <c r="R1009">
        <v>286</v>
      </c>
      <c r="S1009">
        <v>1071</v>
      </c>
      <c r="T1009" t="s">
        <v>34</v>
      </c>
      <c r="U1009" t="s">
        <v>31</v>
      </c>
    </row>
    <row r="1010" spans="1:21">
      <c r="A1010" t="s">
        <v>1674</v>
      </c>
      <c r="B1010" t="s">
        <v>1675</v>
      </c>
      <c r="C1010" t="s">
        <v>1310</v>
      </c>
      <c r="D1010">
        <v>188000</v>
      </c>
      <c r="E1010">
        <v>8000</v>
      </c>
      <c r="H1010">
        <v>3</v>
      </c>
      <c r="I1010" t="s">
        <v>559</v>
      </c>
      <c r="J1010">
        <v>39.49</v>
      </c>
      <c r="K1010">
        <v>28</v>
      </c>
      <c r="L1010">
        <v>5</v>
      </c>
      <c r="M1010" t="s">
        <v>1284</v>
      </c>
      <c r="N1010">
        <v>10</v>
      </c>
      <c r="O1010">
        <v>11.67</v>
      </c>
      <c r="P1010">
        <v>133470.28</v>
      </c>
      <c r="Q1010">
        <v>141491.45000000001</v>
      </c>
      <c r="R1010">
        <v>286</v>
      </c>
      <c r="S1010">
        <v>117</v>
      </c>
      <c r="T1010" t="s">
        <v>26</v>
      </c>
      <c r="U1010" t="s">
        <v>27</v>
      </c>
    </row>
    <row r="1011" spans="1:21">
      <c r="A1011" t="s">
        <v>1676</v>
      </c>
      <c r="B1011" t="s">
        <v>1677</v>
      </c>
      <c r="C1011" t="s">
        <v>1310</v>
      </c>
      <c r="D1011">
        <v>120000</v>
      </c>
      <c r="E1011">
        <v>5000</v>
      </c>
      <c r="F1011">
        <v>120000</v>
      </c>
      <c r="G1011">
        <v>120000</v>
      </c>
      <c r="H1011">
        <v>2</v>
      </c>
      <c r="I1011" t="s">
        <v>559</v>
      </c>
      <c r="J1011">
        <v>40</v>
      </c>
      <c r="K1011">
        <v>38</v>
      </c>
      <c r="L1011">
        <v>3</v>
      </c>
      <c r="M1011" t="s">
        <v>1284</v>
      </c>
      <c r="N1011">
        <v>9</v>
      </c>
      <c r="O1011">
        <v>9.67</v>
      </c>
      <c r="P1011">
        <v>133470.28</v>
      </c>
      <c r="Q1011">
        <v>141491.45000000001</v>
      </c>
      <c r="R1011">
        <v>286</v>
      </c>
      <c r="S1011">
        <v>117</v>
      </c>
      <c r="T1011" t="s">
        <v>326</v>
      </c>
      <c r="U1011" t="s">
        <v>49</v>
      </c>
    </row>
    <row r="1012" spans="1:21">
      <c r="A1012" t="s">
        <v>1678</v>
      </c>
      <c r="B1012" t="s">
        <v>1679</v>
      </c>
      <c r="C1012" t="s">
        <v>1283</v>
      </c>
      <c r="D1012">
        <v>107000</v>
      </c>
      <c r="E1012">
        <v>3400</v>
      </c>
      <c r="F1012">
        <v>107000</v>
      </c>
      <c r="G1012">
        <v>107000</v>
      </c>
      <c r="H1012">
        <v>1</v>
      </c>
      <c r="I1012" t="s">
        <v>559</v>
      </c>
      <c r="J1012">
        <v>35.549999999999997</v>
      </c>
      <c r="K1012">
        <v>44</v>
      </c>
      <c r="L1012">
        <v>3</v>
      </c>
      <c r="M1012" t="s">
        <v>1284</v>
      </c>
      <c r="N1012">
        <v>6</v>
      </c>
      <c r="O1012">
        <v>13.67</v>
      </c>
      <c r="P1012">
        <v>133470.28</v>
      </c>
      <c r="Q1012">
        <v>141491.45000000001</v>
      </c>
      <c r="R1012">
        <v>286</v>
      </c>
      <c r="S1012">
        <v>117</v>
      </c>
      <c r="T1012" t="s">
        <v>26</v>
      </c>
      <c r="U1012" t="s">
        <v>42</v>
      </c>
    </row>
    <row r="1013" spans="1:21">
      <c r="A1013" t="s">
        <v>1680</v>
      </c>
      <c r="B1013" t="s">
        <v>1679</v>
      </c>
      <c r="C1013" t="s">
        <v>1283</v>
      </c>
      <c r="D1013">
        <v>110000</v>
      </c>
      <c r="E1013">
        <v>3400</v>
      </c>
      <c r="F1013">
        <v>110000</v>
      </c>
      <c r="G1013">
        <v>110000</v>
      </c>
      <c r="H1013">
        <v>2</v>
      </c>
      <c r="I1013" t="s">
        <v>559</v>
      </c>
      <c r="J1013">
        <v>35.53</v>
      </c>
      <c r="K1013">
        <v>44</v>
      </c>
      <c r="L1013">
        <v>3</v>
      </c>
      <c r="M1013" t="s">
        <v>1284</v>
      </c>
      <c r="N1013">
        <v>6</v>
      </c>
      <c r="O1013">
        <v>13.67</v>
      </c>
      <c r="P1013">
        <v>133470.28</v>
      </c>
      <c r="Q1013">
        <v>141491.45000000001</v>
      </c>
      <c r="R1013">
        <v>286</v>
      </c>
      <c r="S1013">
        <v>117</v>
      </c>
      <c r="T1013" t="s">
        <v>26</v>
      </c>
      <c r="U1013" t="s">
        <v>42</v>
      </c>
    </row>
    <row r="1014" spans="1:21">
      <c r="A1014" t="s">
        <v>1681</v>
      </c>
      <c r="B1014" t="s">
        <v>1682</v>
      </c>
      <c r="C1014" t="s">
        <v>1283</v>
      </c>
      <c r="D1014">
        <v>107000</v>
      </c>
      <c r="E1014">
        <v>3400</v>
      </c>
      <c r="F1014">
        <v>107000</v>
      </c>
      <c r="G1014">
        <v>107000</v>
      </c>
      <c r="H1014">
        <v>1</v>
      </c>
      <c r="I1014" t="s">
        <v>559</v>
      </c>
      <c r="J1014">
        <v>35.549999999999997</v>
      </c>
      <c r="K1014">
        <v>44</v>
      </c>
      <c r="L1014">
        <v>3</v>
      </c>
      <c r="M1014" t="s">
        <v>1284</v>
      </c>
      <c r="N1014">
        <v>6</v>
      </c>
      <c r="O1014">
        <v>11.67</v>
      </c>
      <c r="P1014">
        <v>133470.28</v>
      </c>
      <c r="Q1014">
        <v>141491.45000000001</v>
      </c>
      <c r="R1014">
        <v>286</v>
      </c>
      <c r="S1014">
        <v>117</v>
      </c>
      <c r="T1014" t="s">
        <v>26</v>
      </c>
      <c r="U1014" t="s">
        <v>42</v>
      </c>
    </row>
    <row r="1015" spans="1:21">
      <c r="A1015" t="s">
        <v>1683</v>
      </c>
      <c r="B1015" t="s">
        <v>1682</v>
      </c>
      <c r="C1015" t="s">
        <v>1283</v>
      </c>
      <c r="D1015">
        <v>110000</v>
      </c>
      <c r="E1015">
        <v>3400</v>
      </c>
      <c r="F1015">
        <v>110000</v>
      </c>
      <c r="G1015">
        <v>110000</v>
      </c>
      <c r="H1015">
        <v>3</v>
      </c>
      <c r="I1015" t="s">
        <v>559</v>
      </c>
      <c r="J1015">
        <v>35.549999999999997</v>
      </c>
      <c r="K1015">
        <v>44</v>
      </c>
      <c r="L1015">
        <v>3</v>
      </c>
      <c r="M1015" t="s">
        <v>1284</v>
      </c>
      <c r="N1015">
        <v>6</v>
      </c>
      <c r="O1015">
        <v>11.67</v>
      </c>
      <c r="P1015">
        <v>133470.28</v>
      </c>
      <c r="Q1015">
        <v>141491.45000000001</v>
      </c>
      <c r="R1015">
        <v>286</v>
      </c>
      <c r="S1015">
        <v>117</v>
      </c>
      <c r="T1015" t="s">
        <v>26</v>
      </c>
      <c r="U1015" t="s">
        <v>42</v>
      </c>
    </row>
    <row r="1016" spans="1:21">
      <c r="A1016" t="s">
        <v>1684</v>
      </c>
      <c r="B1016" t="s">
        <v>1663</v>
      </c>
      <c r="C1016" t="s">
        <v>1283</v>
      </c>
      <c r="D1016">
        <v>212000</v>
      </c>
      <c r="E1016">
        <v>7000</v>
      </c>
      <c r="F1016">
        <v>212000</v>
      </c>
      <c r="G1016">
        <v>212000</v>
      </c>
      <c r="H1016">
        <v>5</v>
      </c>
      <c r="I1016" t="s">
        <v>559</v>
      </c>
      <c r="J1016">
        <v>40.01</v>
      </c>
      <c r="K1016">
        <v>8</v>
      </c>
      <c r="L1016">
        <v>6</v>
      </c>
      <c r="M1016" t="s">
        <v>1284</v>
      </c>
      <c r="N1016">
        <v>10</v>
      </c>
      <c r="O1016">
        <v>14.33</v>
      </c>
      <c r="P1016">
        <v>133470.28</v>
      </c>
      <c r="Q1016">
        <v>141491.45000000001</v>
      </c>
      <c r="R1016">
        <v>286</v>
      </c>
      <c r="S1016">
        <v>117</v>
      </c>
      <c r="T1016" t="s">
        <v>326</v>
      </c>
      <c r="U1016" t="s">
        <v>31</v>
      </c>
    </row>
    <row r="1017" spans="1:21">
      <c r="A1017" t="s">
        <v>1685</v>
      </c>
      <c r="B1017" t="s">
        <v>1686</v>
      </c>
      <c r="C1017" t="s">
        <v>1291</v>
      </c>
      <c r="D1017">
        <v>127000</v>
      </c>
      <c r="E1017">
        <v>3000</v>
      </c>
      <c r="F1017">
        <v>127000</v>
      </c>
      <c r="G1017">
        <v>127000</v>
      </c>
      <c r="H1017">
        <v>2</v>
      </c>
      <c r="I1017" t="s">
        <v>573</v>
      </c>
      <c r="J1017">
        <v>32.92</v>
      </c>
      <c r="K1017">
        <v>18</v>
      </c>
      <c r="L1017">
        <v>2</v>
      </c>
      <c r="M1017" t="s">
        <v>1284</v>
      </c>
      <c r="N1017">
        <v>8</v>
      </c>
      <c r="O1017">
        <v>8</v>
      </c>
      <c r="P1017">
        <v>133470.28</v>
      </c>
      <c r="Q1017">
        <v>117441.44</v>
      </c>
      <c r="R1017">
        <v>286</v>
      </c>
      <c r="S1017">
        <v>111</v>
      </c>
      <c r="T1017" t="s">
        <v>26</v>
      </c>
      <c r="U1017" t="s">
        <v>90</v>
      </c>
    </row>
    <row r="1018" spans="1:21">
      <c r="A1018" t="s">
        <v>1687</v>
      </c>
      <c r="B1018" t="s">
        <v>1688</v>
      </c>
      <c r="C1018" t="s">
        <v>1379</v>
      </c>
      <c r="D1018">
        <v>147000</v>
      </c>
      <c r="E1018">
        <v>10000</v>
      </c>
      <c r="F1018">
        <v>147000</v>
      </c>
      <c r="G1018">
        <v>147000</v>
      </c>
      <c r="H1018">
        <v>4</v>
      </c>
      <c r="I1018" t="s">
        <v>573</v>
      </c>
      <c r="J1018">
        <v>25.1</v>
      </c>
      <c r="K1018">
        <v>7</v>
      </c>
      <c r="L1018">
        <v>8</v>
      </c>
      <c r="M1018" t="s">
        <v>1284</v>
      </c>
      <c r="N1018">
        <v>5</v>
      </c>
      <c r="O1018">
        <v>14</v>
      </c>
      <c r="P1018">
        <v>133470.28</v>
      </c>
      <c r="Q1018">
        <v>117441.44</v>
      </c>
      <c r="R1018">
        <v>286</v>
      </c>
      <c r="S1018">
        <v>111</v>
      </c>
      <c r="T1018" t="s">
        <v>34</v>
      </c>
      <c r="U1018" t="s">
        <v>31</v>
      </c>
    </row>
    <row r="1019" spans="1:21">
      <c r="A1019" t="s">
        <v>1689</v>
      </c>
      <c r="B1019" t="s">
        <v>1622</v>
      </c>
      <c r="C1019" t="s">
        <v>1291</v>
      </c>
      <c r="D1019">
        <v>101000</v>
      </c>
      <c r="E1019">
        <v>7000</v>
      </c>
      <c r="G1019">
        <v>101000</v>
      </c>
      <c r="H1019">
        <v>3</v>
      </c>
      <c r="I1019" t="s">
        <v>573</v>
      </c>
      <c r="J1019">
        <v>34.369999999999997</v>
      </c>
      <c r="K1019">
        <v>57</v>
      </c>
      <c r="L1019">
        <v>5</v>
      </c>
      <c r="M1019" t="s">
        <v>1284</v>
      </c>
      <c r="N1019">
        <v>10</v>
      </c>
      <c r="O1019">
        <v>11.67</v>
      </c>
      <c r="P1019">
        <v>133470.28</v>
      </c>
      <c r="Q1019">
        <v>117441.44</v>
      </c>
      <c r="R1019">
        <v>286</v>
      </c>
      <c r="S1019">
        <v>111</v>
      </c>
      <c r="T1019" t="s">
        <v>26</v>
      </c>
      <c r="U1019" t="s">
        <v>57</v>
      </c>
    </row>
    <row r="1020" spans="1:21">
      <c r="A1020" t="s">
        <v>1690</v>
      </c>
      <c r="B1020" t="s">
        <v>1622</v>
      </c>
      <c r="C1020" t="s">
        <v>1291</v>
      </c>
      <c r="D1020">
        <v>88000</v>
      </c>
      <c r="E1020">
        <v>7000</v>
      </c>
      <c r="G1020">
        <v>88000</v>
      </c>
      <c r="H1020">
        <v>5</v>
      </c>
      <c r="I1020" t="s">
        <v>573</v>
      </c>
      <c r="J1020">
        <v>28.19</v>
      </c>
      <c r="K1020">
        <v>57</v>
      </c>
      <c r="L1020">
        <v>5</v>
      </c>
      <c r="M1020" t="s">
        <v>1284</v>
      </c>
      <c r="N1020">
        <v>10</v>
      </c>
      <c r="O1020">
        <v>11.67</v>
      </c>
      <c r="P1020">
        <v>133470.28</v>
      </c>
      <c r="Q1020">
        <v>117441.44</v>
      </c>
      <c r="R1020">
        <v>286</v>
      </c>
      <c r="S1020">
        <v>111</v>
      </c>
      <c r="T1020" t="s">
        <v>34</v>
      </c>
      <c r="U1020" t="s">
        <v>57</v>
      </c>
    </row>
    <row r="1021" spans="1:21">
      <c r="A1021" t="s">
        <v>1691</v>
      </c>
      <c r="B1021" t="s">
        <v>1692</v>
      </c>
      <c r="C1021" t="s">
        <v>1291</v>
      </c>
      <c r="D1021">
        <v>122000</v>
      </c>
      <c r="E1021">
        <v>3000</v>
      </c>
      <c r="F1021">
        <v>122000</v>
      </c>
      <c r="G1021">
        <v>122000</v>
      </c>
      <c r="H1021">
        <v>2</v>
      </c>
      <c r="I1021" t="s">
        <v>573</v>
      </c>
      <c r="J1021">
        <v>31.81</v>
      </c>
      <c r="K1021">
        <v>18</v>
      </c>
      <c r="L1021">
        <v>2</v>
      </c>
      <c r="M1021" t="s">
        <v>1284</v>
      </c>
      <c r="N1021">
        <v>8</v>
      </c>
      <c r="O1021">
        <v>12</v>
      </c>
      <c r="P1021">
        <v>133470.28</v>
      </c>
      <c r="Q1021">
        <v>117441.44</v>
      </c>
      <c r="R1021">
        <v>286</v>
      </c>
      <c r="S1021">
        <v>111</v>
      </c>
      <c r="T1021" t="s">
        <v>26</v>
      </c>
      <c r="U1021" t="s">
        <v>90</v>
      </c>
    </row>
    <row r="1022" spans="1:21">
      <c r="A1022" t="s">
        <v>1693</v>
      </c>
      <c r="B1022" t="s">
        <v>1692</v>
      </c>
      <c r="C1022" t="s">
        <v>1291</v>
      </c>
      <c r="D1022">
        <v>127000</v>
      </c>
      <c r="E1022">
        <v>3000</v>
      </c>
      <c r="F1022">
        <v>127000</v>
      </c>
      <c r="G1022">
        <v>127000</v>
      </c>
      <c r="H1022">
        <v>2</v>
      </c>
      <c r="I1022" t="s">
        <v>573</v>
      </c>
      <c r="J1022">
        <v>40</v>
      </c>
      <c r="K1022">
        <v>18</v>
      </c>
      <c r="L1022">
        <v>2</v>
      </c>
      <c r="M1022" t="s">
        <v>1284</v>
      </c>
      <c r="N1022">
        <v>8</v>
      </c>
      <c r="O1022">
        <v>12</v>
      </c>
      <c r="P1022">
        <v>133470.28</v>
      </c>
      <c r="Q1022">
        <v>117441.44</v>
      </c>
      <c r="R1022">
        <v>286</v>
      </c>
      <c r="S1022">
        <v>111</v>
      </c>
      <c r="T1022" t="s">
        <v>326</v>
      </c>
      <c r="U1022" t="s">
        <v>90</v>
      </c>
    </row>
    <row r="1023" spans="1:21">
      <c r="A1023" t="s">
        <v>1694</v>
      </c>
      <c r="B1023" t="s">
        <v>1455</v>
      </c>
      <c r="C1023" t="s">
        <v>1379</v>
      </c>
      <c r="D1023">
        <v>147000</v>
      </c>
      <c r="E1023">
        <v>10000</v>
      </c>
      <c r="F1023">
        <v>147000</v>
      </c>
      <c r="G1023">
        <v>147000</v>
      </c>
      <c r="H1023">
        <v>4</v>
      </c>
      <c r="I1023" t="s">
        <v>573</v>
      </c>
      <c r="J1023">
        <v>25.1</v>
      </c>
      <c r="K1023">
        <v>6</v>
      </c>
      <c r="L1023">
        <v>8</v>
      </c>
      <c r="M1023" t="s">
        <v>1284</v>
      </c>
      <c r="N1023">
        <v>5</v>
      </c>
      <c r="O1023">
        <v>12.33</v>
      </c>
      <c r="P1023">
        <v>133470.28</v>
      </c>
      <c r="Q1023">
        <v>117441.44</v>
      </c>
      <c r="R1023">
        <v>286</v>
      </c>
      <c r="S1023">
        <v>111</v>
      </c>
      <c r="T1023" t="s">
        <v>34</v>
      </c>
      <c r="U1023" t="s">
        <v>31</v>
      </c>
    </row>
    <row r="1024" spans="1:21">
      <c r="A1024" t="s">
        <v>1695</v>
      </c>
      <c r="B1024" t="s">
        <v>1312</v>
      </c>
      <c r="C1024" t="s">
        <v>1291</v>
      </c>
      <c r="D1024">
        <v>101000</v>
      </c>
      <c r="E1024">
        <v>7000</v>
      </c>
      <c r="G1024">
        <v>101000</v>
      </c>
      <c r="H1024">
        <v>3</v>
      </c>
      <c r="I1024" t="s">
        <v>573</v>
      </c>
      <c r="J1024">
        <v>34.369999999999997</v>
      </c>
      <c r="K1024">
        <v>57</v>
      </c>
      <c r="L1024">
        <v>5</v>
      </c>
      <c r="M1024" t="s">
        <v>1284</v>
      </c>
      <c r="N1024">
        <v>10</v>
      </c>
      <c r="O1024">
        <v>10</v>
      </c>
      <c r="P1024">
        <v>133470.28</v>
      </c>
      <c r="Q1024">
        <v>117441.44</v>
      </c>
      <c r="R1024">
        <v>286</v>
      </c>
      <c r="S1024">
        <v>111</v>
      </c>
      <c r="T1024" t="s">
        <v>26</v>
      </c>
      <c r="U1024" t="s">
        <v>57</v>
      </c>
    </row>
    <row r="1025" spans="1:21">
      <c r="A1025" t="s">
        <v>1696</v>
      </c>
      <c r="B1025" t="s">
        <v>1482</v>
      </c>
      <c r="C1025" t="s">
        <v>1291</v>
      </c>
      <c r="D1025">
        <v>190000</v>
      </c>
      <c r="E1025">
        <v>18000</v>
      </c>
      <c r="G1025">
        <v>95000</v>
      </c>
      <c r="H1025">
        <v>2</v>
      </c>
      <c r="I1025" t="s">
        <v>585</v>
      </c>
      <c r="J1025">
        <v>40</v>
      </c>
      <c r="K1025">
        <v>0</v>
      </c>
      <c r="L1025">
        <v>5</v>
      </c>
      <c r="M1025" t="s">
        <v>1284</v>
      </c>
      <c r="N1025">
        <v>7</v>
      </c>
      <c r="O1025">
        <v>11.33</v>
      </c>
      <c r="P1025">
        <v>133470.28</v>
      </c>
      <c r="Q1025">
        <v>232352.65</v>
      </c>
      <c r="R1025">
        <v>286</v>
      </c>
      <c r="S1025">
        <v>359</v>
      </c>
      <c r="T1025" t="s">
        <v>326</v>
      </c>
      <c r="U1025" t="s">
        <v>81</v>
      </c>
    </row>
    <row r="1026" spans="1:21">
      <c r="A1026" t="s">
        <v>1697</v>
      </c>
      <c r="B1026" t="s">
        <v>1482</v>
      </c>
      <c r="C1026" t="s">
        <v>1291</v>
      </c>
      <c r="D1026">
        <v>212000</v>
      </c>
      <c r="E1026">
        <v>18000</v>
      </c>
      <c r="G1026">
        <v>212000</v>
      </c>
      <c r="H1026">
        <v>3</v>
      </c>
      <c r="I1026" t="s">
        <v>585</v>
      </c>
      <c r="J1026">
        <v>40.04</v>
      </c>
      <c r="K1026">
        <v>0</v>
      </c>
      <c r="L1026">
        <v>5</v>
      </c>
      <c r="M1026" t="s">
        <v>1284</v>
      </c>
      <c r="N1026">
        <v>7</v>
      </c>
      <c r="O1026">
        <v>11.33</v>
      </c>
      <c r="P1026">
        <v>133470.28</v>
      </c>
      <c r="Q1026">
        <v>232352.65</v>
      </c>
      <c r="R1026">
        <v>286</v>
      </c>
      <c r="S1026">
        <v>359</v>
      </c>
      <c r="T1026" t="s">
        <v>326</v>
      </c>
      <c r="U1026" t="s">
        <v>81</v>
      </c>
    </row>
    <row r="1027" spans="1:21">
      <c r="A1027" t="s">
        <v>1698</v>
      </c>
      <c r="B1027" t="s">
        <v>1482</v>
      </c>
      <c r="C1027" t="s">
        <v>1291</v>
      </c>
      <c r="D1027">
        <v>211000</v>
      </c>
      <c r="E1027">
        <v>18000</v>
      </c>
      <c r="G1027">
        <v>211000</v>
      </c>
      <c r="H1027">
        <v>3</v>
      </c>
      <c r="I1027" t="s">
        <v>585</v>
      </c>
      <c r="J1027">
        <v>40</v>
      </c>
      <c r="K1027">
        <v>0</v>
      </c>
      <c r="L1027">
        <v>5</v>
      </c>
      <c r="M1027" t="s">
        <v>1284</v>
      </c>
      <c r="N1027">
        <v>7</v>
      </c>
      <c r="O1027">
        <v>11.33</v>
      </c>
      <c r="P1027">
        <v>133470.28</v>
      </c>
      <c r="Q1027">
        <v>232352.65</v>
      </c>
      <c r="R1027">
        <v>286</v>
      </c>
      <c r="S1027">
        <v>359</v>
      </c>
      <c r="T1027" t="s">
        <v>326</v>
      </c>
      <c r="U1027" t="s">
        <v>81</v>
      </c>
    </row>
    <row r="1028" spans="1:21">
      <c r="A1028" t="s">
        <v>1699</v>
      </c>
      <c r="B1028" t="s">
        <v>1482</v>
      </c>
      <c r="C1028" t="s">
        <v>1291</v>
      </c>
      <c r="D1028">
        <v>212000</v>
      </c>
      <c r="E1028">
        <v>18000</v>
      </c>
      <c r="G1028">
        <v>212000</v>
      </c>
      <c r="H1028">
        <v>4</v>
      </c>
      <c r="I1028" t="s">
        <v>585</v>
      </c>
      <c r="J1028">
        <v>40</v>
      </c>
      <c r="K1028">
        <v>0</v>
      </c>
      <c r="L1028">
        <v>5</v>
      </c>
      <c r="M1028" t="s">
        <v>1284</v>
      </c>
      <c r="N1028">
        <v>7</v>
      </c>
      <c r="O1028">
        <v>11.33</v>
      </c>
      <c r="P1028">
        <v>133470.28</v>
      </c>
      <c r="Q1028">
        <v>232352.65</v>
      </c>
      <c r="R1028">
        <v>286</v>
      </c>
      <c r="S1028">
        <v>359</v>
      </c>
      <c r="T1028" t="s">
        <v>326</v>
      </c>
      <c r="U1028" t="s">
        <v>81</v>
      </c>
    </row>
    <row r="1029" spans="1:21">
      <c r="A1029" t="s">
        <v>1700</v>
      </c>
      <c r="B1029" t="s">
        <v>1482</v>
      </c>
      <c r="C1029" t="s">
        <v>1291</v>
      </c>
      <c r="D1029">
        <v>220000</v>
      </c>
      <c r="E1029">
        <v>18000</v>
      </c>
      <c r="G1029">
        <v>220000</v>
      </c>
      <c r="H1029">
        <v>5</v>
      </c>
      <c r="I1029" t="s">
        <v>585</v>
      </c>
      <c r="J1029">
        <v>40.04</v>
      </c>
      <c r="K1029">
        <v>0</v>
      </c>
      <c r="L1029">
        <v>5</v>
      </c>
      <c r="M1029" t="s">
        <v>1284</v>
      </c>
      <c r="N1029">
        <v>7</v>
      </c>
      <c r="O1029">
        <v>11.33</v>
      </c>
      <c r="P1029">
        <v>133470.28</v>
      </c>
      <c r="Q1029">
        <v>232352.65</v>
      </c>
      <c r="R1029">
        <v>286</v>
      </c>
      <c r="S1029">
        <v>359</v>
      </c>
      <c r="T1029" t="s">
        <v>326</v>
      </c>
      <c r="U1029" t="s">
        <v>81</v>
      </c>
    </row>
    <row r="1030" spans="1:21">
      <c r="A1030" t="s">
        <v>1701</v>
      </c>
      <c r="B1030" t="s">
        <v>1702</v>
      </c>
      <c r="C1030" t="s">
        <v>1703</v>
      </c>
      <c r="D1030">
        <v>330000</v>
      </c>
      <c r="E1030">
        <v>10000</v>
      </c>
      <c r="F1030">
        <v>330000</v>
      </c>
      <c r="G1030">
        <v>330000</v>
      </c>
      <c r="H1030">
        <v>10</v>
      </c>
      <c r="I1030" t="s">
        <v>585</v>
      </c>
      <c r="J1030">
        <v>64.72</v>
      </c>
      <c r="K1030">
        <v>32</v>
      </c>
      <c r="L1030">
        <v>30</v>
      </c>
      <c r="M1030" t="s">
        <v>1284</v>
      </c>
      <c r="N1030">
        <v>5</v>
      </c>
      <c r="O1030">
        <v>12.33</v>
      </c>
      <c r="P1030">
        <v>133470.28</v>
      </c>
      <c r="Q1030">
        <v>232352.65</v>
      </c>
      <c r="R1030">
        <v>286</v>
      </c>
      <c r="S1030">
        <v>359</v>
      </c>
      <c r="T1030" t="s">
        <v>593</v>
      </c>
      <c r="U1030" t="s">
        <v>49</v>
      </c>
    </row>
    <row r="1031" spans="1:21">
      <c r="A1031" t="s">
        <v>1704</v>
      </c>
      <c r="B1031" t="s">
        <v>1705</v>
      </c>
      <c r="C1031" t="s">
        <v>1310</v>
      </c>
      <c r="D1031">
        <v>175000</v>
      </c>
      <c r="E1031">
        <v>10000</v>
      </c>
      <c r="F1031">
        <v>175000</v>
      </c>
      <c r="G1031">
        <v>175000</v>
      </c>
      <c r="H1031">
        <v>1</v>
      </c>
      <c r="I1031" t="s">
        <v>585</v>
      </c>
      <c r="J1031">
        <v>50.8</v>
      </c>
      <c r="K1031">
        <v>25</v>
      </c>
      <c r="L1031">
        <v>5</v>
      </c>
      <c r="M1031" t="s">
        <v>1284</v>
      </c>
      <c r="N1031">
        <v>10</v>
      </c>
      <c r="O1031">
        <v>11.33</v>
      </c>
      <c r="P1031">
        <v>133470.28</v>
      </c>
      <c r="Q1031">
        <v>232352.65</v>
      </c>
      <c r="R1031">
        <v>286</v>
      </c>
      <c r="S1031">
        <v>359</v>
      </c>
      <c r="T1031" t="s">
        <v>332</v>
      </c>
      <c r="U1031" t="s">
        <v>27</v>
      </c>
    </row>
    <row r="1032" spans="1:21">
      <c r="A1032" t="s">
        <v>1706</v>
      </c>
      <c r="B1032" t="s">
        <v>1707</v>
      </c>
      <c r="C1032" t="s">
        <v>1379</v>
      </c>
      <c r="D1032">
        <v>265000</v>
      </c>
      <c r="F1032">
        <v>265000</v>
      </c>
      <c r="G1032">
        <v>265000</v>
      </c>
      <c r="H1032">
        <v>3</v>
      </c>
      <c r="I1032" t="s">
        <v>585</v>
      </c>
      <c r="J1032">
        <v>75.430000000000007</v>
      </c>
      <c r="K1032">
        <v>32</v>
      </c>
      <c r="L1032">
        <v>4</v>
      </c>
      <c r="M1032" t="s">
        <v>1284</v>
      </c>
      <c r="N1032">
        <v>5</v>
      </c>
      <c r="O1032">
        <v>14.67</v>
      </c>
      <c r="P1032">
        <v>133470.28</v>
      </c>
      <c r="Q1032">
        <v>232352.65</v>
      </c>
      <c r="R1032">
        <v>286</v>
      </c>
      <c r="S1032">
        <v>359</v>
      </c>
      <c r="T1032" t="s">
        <v>596</v>
      </c>
      <c r="U1032" t="s">
        <v>49</v>
      </c>
    </row>
    <row r="1033" spans="1:21">
      <c r="A1033" s="13" t="s">
        <v>1708</v>
      </c>
      <c r="B1033" t="s">
        <v>1709</v>
      </c>
      <c r="C1033" t="s">
        <v>1310</v>
      </c>
      <c r="D1033">
        <v>198000</v>
      </c>
      <c r="F1033">
        <v>198000</v>
      </c>
      <c r="G1033">
        <v>198000</v>
      </c>
      <c r="H1033">
        <v>3</v>
      </c>
      <c r="I1033" t="s">
        <v>585</v>
      </c>
      <c r="J1033">
        <v>61.31</v>
      </c>
      <c r="K1033">
        <v>19</v>
      </c>
      <c r="L1033">
        <v>3</v>
      </c>
      <c r="M1033" t="s">
        <v>1284</v>
      </c>
      <c r="N1033">
        <v>6</v>
      </c>
      <c r="O1033">
        <v>12.67</v>
      </c>
      <c r="P1033">
        <v>133470.28</v>
      </c>
      <c r="Q1033">
        <v>232352.65</v>
      </c>
      <c r="R1033">
        <v>286</v>
      </c>
      <c r="S1033">
        <v>359</v>
      </c>
      <c r="T1033" t="s">
        <v>593</v>
      </c>
      <c r="U1033" t="s">
        <v>90</v>
      </c>
    </row>
    <row r="1034" spans="1:21">
      <c r="A1034" t="s">
        <v>1710</v>
      </c>
      <c r="B1034" t="s">
        <v>1357</v>
      </c>
      <c r="C1034" t="s">
        <v>1283</v>
      </c>
      <c r="D1034">
        <v>281000</v>
      </c>
      <c r="E1034">
        <v>18000</v>
      </c>
      <c r="F1034">
        <v>281000</v>
      </c>
      <c r="G1034">
        <v>281000</v>
      </c>
      <c r="H1034">
        <v>2</v>
      </c>
      <c r="I1034" t="s">
        <v>585</v>
      </c>
      <c r="J1034">
        <v>50.43</v>
      </c>
      <c r="K1034">
        <v>6</v>
      </c>
      <c r="L1034">
        <v>5</v>
      </c>
      <c r="M1034" t="s">
        <v>1284</v>
      </c>
      <c r="N1034">
        <v>6</v>
      </c>
      <c r="O1034">
        <v>13.67</v>
      </c>
      <c r="P1034">
        <v>133470.28</v>
      </c>
      <c r="Q1034">
        <v>232352.65</v>
      </c>
      <c r="R1034">
        <v>286</v>
      </c>
      <c r="S1034">
        <v>359</v>
      </c>
      <c r="T1034" t="s">
        <v>332</v>
      </c>
      <c r="U1034" t="s">
        <v>31</v>
      </c>
    </row>
    <row r="1035" spans="1:21">
      <c r="A1035" t="s">
        <v>1711</v>
      </c>
      <c r="B1035" t="s">
        <v>1712</v>
      </c>
      <c r="C1035" t="s">
        <v>1283</v>
      </c>
      <c r="D1035">
        <v>230000</v>
      </c>
      <c r="E1035">
        <v>10000</v>
      </c>
      <c r="F1035">
        <v>230000</v>
      </c>
      <c r="G1035">
        <v>230000</v>
      </c>
      <c r="H1035">
        <v>6</v>
      </c>
      <c r="I1035" t="s">
        <v>585</v>
      </c>
      <c r="J1035">
        <v>60.25</v>
      </c>
      <c r="K1035">
        <v>28</v>
      </c>
      <c r="L1035">
        <v>7</v>
      </c>
      <c r="M1035" t="s">
        <v>1284</v>
      </c>
      <c r="N1035">
        <v>6</v>
      </c>
      <c r="O1035">
        <v>12.67</v>
      </c>
      <c r="P1035">
        <v>133470.28</v>
      </c>
      <c r="Q1035">
        <v>232352.65</v>
      </c>
      <c r="R1035">
        <v>286</v>
      </c>
      <c r="S1035">
        <v>359</v>
      </c>
      <c r="T1035" t="s">
        <v>593</v>
      </c>
      <c r="U1035" t="s">
        <v>27</v>
      </c>
    </row>
    <row r="1036" spans="1:21">
      <c r="A1036" t="s">
        <v>1713</v>
      </c>
      <c r="B1036" t="s">
        <v>1422</v>
      </c>
      <c r="C1036" t="s">
        <v>1310</v>
      </c>
      <c r="D1036">
        <v>198000</v>
      </c>
      <c r="F1036">
        <v>198000</v>
      </c>
      <c r="G1036">
        <v>198000</v>
      </c>
      <c r="H1036">
        <v>3</v>
      </c>
      <c r="I1036" t="s">
        <v>585</v>
      </c>
      <c r="J1036">
        <v>61.31</v>
      </c>
      <c r="K1036">
        <v>19</v>
      </c>
      <c r="L1036">
        <v>3</v>
      </c>
      <c r="M1036" t="s">
        <v>1284</v>
      </c>
      <c r="N1036">
        <v>6</v>
      </c>
      <c r="O1036">
        <v>11.67</v>
      </c>
      <c r="P1036">
        <v>133470.28</v>
      </c>
      <c r="Q1036">
        <v>232352.65</v>
      </c>
      <c r="R1036">
        <v>286</v>
      </c>
      <c r="S1036">
        <v>359</v>
      </c>
      <c r="T1036" t="s">
        <v>593</v>
      </c>
      <c r="U1036" t="s">
        <v>90</v>
      </c>
    </row>
    <row r="1037" spans="1:21">
      <c r="A1037" t="s">
        <v>1714</v>
      </c>
      <c r="B1037" t="s">
        <v>1440</v>
      </c>
      <c r="C1037" t="s">
        <v>1283</v>
      </c>
      <c r="D1037">
        <v>190000</v>
      </c>
      <c r="E1037">
        <v>9000</v>
      </c>
      <c r="F1037">
        <v>190000</v>
      </c>
      <c r="G1037">
        <v>190000</v>
      </c>
      <c r="H1037">
        <v>2</v>
      </c>
      <c r="I1037" t="s">
        <v>585</v>
      </c>
      <c r="J1037">
        <v>52.73</v>
      </c>
      <c r="K1037">
        <v>54</v>
      </c>
      <c r="L1037">
        <v>4</v>
      </c>
      <c r="M1037" t="s">
        <v>1284</v>
      </c>
      <c r="N1037">
        <v>6</v>
      </c>
      <c r="O1037">
        <v>14</v>
      </c>
      <c r="P1037">
        <v>133470.28</v>
      </c>
      <c r="Q1037">
        <v>232352.65</v>
      </c>
      <c r="R1037">
        <v>286</v>
      </c>
      <c r="S1037">
        <v>359</v>
      </c>
      <c r="T1037" t="s">
        <v>332</v>
      </c>
      <c r="U1037" t="s">
        <v>57</v>
      </c>
    </row>
    <row r="1038" spans="1:21">
      <c r="A1038" t="s">
        <v>1715</v>
      </c>
      <c r="B1038" t="s">
        <v>1543</v>
      </c>
      <c r="C1038" t="s">
        <v>1291</v>
      </c>
      <c r="D1038">
        <v>190000</v>
      </c>
      <c r="E1038">
        <v>18000</v>
      </c>
      <c r="G1038">
        <v>95000</v>
      </c>
      <c r="H1038">
        <v>2</v>
      </c>
      <c r="I1038" t="s">
        <v>585</v>
      </c>
      <c r="J1038">
        <v>40</v>
      </c>
      <c r="K1038">
        <v>0</v>
      </c>
      <c r="L1038">
        <v>5</v>
      </c>
      <c r="M1038" t="s">
        <v>1284</v>
      </c>
      <c r="N1038">
        <v>7</v>
      </c>
      <c r="O1038">
        <v>11.33</v>
      </c>
      <c r="P1038">
        <v>133470.28</v>
      </c>
      <c r="Q1038">
        <v>232352.65</v>
      </c>
      <c r="R1038">
        <v>286</v>
      </c>
      <c r="S1038">
        <v>359</v>
      </c>
      <c r="T1038" t="s">
        <v>326</v>
      </c>
      <c r="U1038" t="s">
        <v>81</v>
      </c>
    </row>
    <row r="1039" spans="1:21">
      <c r="A1039" t="s">
        <v>1716</v>
      </c>
      <c r="B1039" t="s">
        <v>1543</v>
      </c>
      <c r="C1039" t="s">
        <v>1291</v>
      </c>
      <c r="D1039">
        <v>212000</v>
      </c>
      <c r="E1039">
        <v>18000</v>
      </c>
      <c r="G1039">
        <v>106000</v>
      </c>
      <c r="H1039">
        <v>3</v>
      </c>
      <c r="I1039" t="s">
        <v>585</v>
      </c>
      <c r="J1039">
        <v>40.04</v>
      </c>
      <c r="K1039">
        <v>0</v>
      </c>
      <c r="L1039">
        <v>5</v>
      </c>
      <c r="M1039" t="s">
        <v>1284</v>
      </c>
      <c r="N1039">
        <v>7</v>
      </c>
      <c r="O1039">
        <v>11.33</v>
      </c>
      <c r="P1039">
        <v>133470.28</v>
      </c>
      <c r="Q1039">
        <v>232352.65</v>
      </c>
      <c r="R1039">
        <v>286</v>
      </c>
      <c r="S1039">
        <v>359</v>
      </c>
      <c r="T1039" t="s">
        <v>326</v>
      </c>
      <c r="U1039" t="s">
        <v>81</v>
      </c>
    </row>
    <row r="1040" spans="1:21">
      <c r="A1040" t="s">
        <v>1717</v>
      </c>
      <c r="B1040" t="s">
        <v>1543</v>
      </c>
      <c r="C1040" t="s">
        <v>1291</v>
      </c>
      <c r="D1040">
        <v>211000</v>
      </c>
      <c r="E1040">
        <v>18000</v>
      </c>
      <c r="G1040">
        <v>211000</v>
      </c>
      <c r="H1040">
        <v>3</v>
      </c>
      <c r="I1040" t="s">
        <v>585</v>
      </c>
      <c r="J1040">
        <v>40</v>
      </c>
      <c r="K1040">
        <v>0</v>
      </c>
      <c r="L1040">
        <v>5</v>
      </c>
      <c r="M1040" t="s">
        <v>1284</v>
      </c>
      <c r="N1040">
        <v>7</v>
      </c>
      <c r="O1040">
        <v>11.33</v>
      </c>
      <c r="P1040">
        <v>133470.28</v>
      </c>
      <c r="Q1040">
        <v>232352.65</v>
      </c>
      <c r="R1040">
        <v>286</v>
      </c>
      <c r="S1040">
        <v>359</v>
      </c>
      <c r="T1040" t="s">
        <v>326</v>
      </c>
      <c r="U1040" t="s">
        <v>81</v>
      </c>
    </row>
    <row r="1041" spans="1:21">
      <c r="A1041" t="s">
        <v>1718</v>
      </c>
      <c r="B1041" t="s">
        <v>1543</v>
      </c>
      <c r="C1041" t="s">
        <v>1291</v>
      </c>
      <c r="D1041">
        <v>140000</v>
      </c>
      <c r="E1041">
        <v>18000</v>
      </c>
      <c r="G1041">
        <v>70000</v>
      </c>
      <c r="H1041">
        <v>5</v>
      </c>
      <c r="I1041" t="s">
        <v>585</v>
      </c>
      <c r="J1041">
        <v>27.28</v>
      </c>
      <c r="K1041">
        <v>0</v>
      </c>
      <c r="L1041">
        <v>5</v>
      </c>
      <c r="M1041" t="s">
        <v>1284</v>
      </c>
      <c r="N1041">
        <v>7</v>
      </c>
      <c r="O1041">
        <v>11.33</v>
      </c>
      <c r="P1041">
        <v>133470.28</v>
      </c>
      <c r="Q1041">
        <v>232352.65</v>
      </c>
      <c r="R1041">
        <v>286</v>
      </c>
      <c r="S1041">
        <v>359</v>
      </c>
      <c r="T1041" t="s">
        <v>34</v>
      </c>
      <c r="U1041" t="s">
        <v>81</v>
      </c>
    </row>
    <row r="1042" spans="1:21">
      <c r="A1042" t="s">
        <v>1719</v>
      </c>
      <c r="B1042" t="s">
        <v>1543</v>
      </c>
      <c r="C1042" t="s">
        <v>1291</v>
      </c>
      <c r="D1042">
        <v>212000</v>
      </c>
      <c r="E1042">
        <v>18000</v>
      </c>
      <c r="G1042">
        <v>212000</v>
      </c>
      <c r="H1042">
        <v>5</v>
      </c>
      <c r="I1042" t="s">
        <v>585</v>
      </c>
      <c r="J1042">
        <v>40.04</v>
      </c>
      <c r="K1042">
        <v>0</v>
      </c>
      <c r="L1042">
        <v>5</v>
      </c>
      <c r="M1042" t="s">
        <v>1284</v>
      </c>
      <c r="N1042">
        <v>7</v>
      </c>
      <c r="O1042">
        <v>11.33</v>
      </c>
      <c r="P1042">
        <v>133470.28</v>
      </c>
      <c r="Q1042">
        <v>232352.65</v>
      </c>
      <c r="R1042">
        <v>286</v>
      </c>
      <c r="S1042">
        <v>359</v>
      </c>
      <c r="T1042" t="s">
        <v>326</v>
      </c>
      <c r="U1042" t="s">
        <v>81</v>
      </c>
    </row>
    <row r="1043" spans="1:21">
      <c r="A1043" t="s">
        <v>1720</v>
      </c>
      <c r="B1043" t="s">
        <v>1543</v>
      </c>
      <c r="C1043" t="s">
        <v>1291</v>
      </c>
      <c r="D1043">
        <v>220000</v>
      </c>
      <c r="E1043">
        <v>18000</v>
      </c>
      <c r="G1043">
        <v>110000</v>
      </c>
      <c r="H1043">
        <v>5</v>
      </c>
      <c r="I1043" t="s">
        <v>585</v>
      </c>
      <c r="J1043">
        <v>40.04</v>
      </c>
      <c r="K1043">
        <v>0</v>
      </c>
      <c r="L1043">
        <v>5</v>
      </c>
      <c r="M1043" t="s">
        <v>1284</v>
      </c>
      <c r="N1043">
        <v>7</v>
      </c>
      <c r="O1043">
        <v>11.33</v>
      </c>
      <c r="P1043">
        <v>133470.28</v>
      </c>
      <c r="Q1043">
        <v>232352.65</v>
      </c>
      <c r="R1043">
        <v>286</v>
      </c>
      <c r="S1043">
        <v>359</v>
      </c>
      <c r="T1043" t="s">
        <v>326</v>
      </c>
      <c r="U1043" t="s">
        <v>81</v>
      </c>
    </row>
    <row r="1044" spans="1:21">
      <c r="A1044" t="s">
        <v>1721</v>
      </c>
      <c r="B1044" t="s">
        <v>1663</v>
      </c>
      <c r="C1044" t="s">
        <v>1283</v>
      </c>
      <c r="D1044">
        <v>205000</v>
      </c>
      <c r="E1044">
        <v>7000</v>
      </c>
      <c r="F1044">
        <v>205000</v>
      </c>
      <c r="G1044">
        <v>205000</v>
      </c>
      <c r="H1044">
        <v>5</v>
      </c>
      <c r="I1044" t="s">
        <v>585</v>
      </c>
      <c r="J1044">
        <v>40.01</v>
      </c>
      <c r="K1044">
        <v>8</v>
      </c>
      <c r="L1044">
        <v>6</v>
      </c>
      <c r="M1044" t="s">
        <v>1284</v>
      </c>
      <c r="N1044">
        <v>10</v>
      </c>
      <c r="O1044">
        <v>14.33</v>
      </c>
      <c r="P1044">
        <v>133470.28</v>
      </c>
      <c r="Q1044">
        <v>232352.65</v>
      </c>
      <c r="R1044">
        <v>286</v>
      </c>
      <c r="S1044">
        <v>359</v>
      </c>
      <c r="T1044" t="s">
        <v>326</v>
      </c>
      <c r="U1044" t="s">
        <v>31</v>
      </c>
    </row>
    <row r="1045" spans="1:21">
      <c r="A1045" t="s">
        <v>1722</v>
      </c>
      <c r="B1045" t="s">
        <v>1723</v>
      </c>
      <c r="C1045" t="s">
        <v>1703</v>
      </c>
      <c r="D1045">
        <v>330000</v>
      </c>
      <c r="E1045">
        <v>10000</v>
      </c>
      <c r="F1045">
        <v>330000</v>
      </c>
      <c r="G1045">
        <v>330000</v>
      </c>
      <c r="H1045">
        <v>10</v>
      </c>
      <c r="I1045" t="s">
        <v>585</v>
      </c>
      <c r="J1045">
        <v>64.72</v>
      </c>
      <c r="K1045">
        <v>32</v>
      </c>
      <c r="L1045">
        <v>30</v>
      </c>
      <c r="M1045" t="s">
        <v>1284</v>
      </c>
      <c r="N1045">
        <v>5</v>
      </c>
      <c r="O1045">
        <v>11.33</v>
      </c>
      <c r="P1045">
        <v>133470.28</v>
      </c>
      <c r="Q1045">
        <v>232352.65</v>
      </c>
      <c r="R1045">
        <v>286</v>
      </c>
      <c r="S1045">
        <v>359</v>
      </c>
      <c r="T1045" t="s">
        <v>593</v>
      </c>
      <c r="U1045" t="s">
        <v>49</v>
      </c>
    </row>
    <row r="1046" spans="1:21">
      <c r="A1046" t="s">
        <v>1724</v>
      </c>
      <c r="B1046" t="s">
        <v>1725</v>
      </c>
      <c r="C1046" t="s">
        <v>1283</v>
      </c>
      <c r="D1046">
        <v>230000</v>
      </c>
      <c r="E1046">
        <v>10000</v>
      </c>
      <c r="F1046">
        <v>230000</v>
      </c>
      <c r="G1046">
        <v>230000</v>
      </c>
      <c r="H1046">
        <v>6</v>
      </c>
      <c r="I1046" t="s">
        <v>585</v>
      </c>
      <c r="J1046">
        <v>60.25</v>
      </c>
      <c r="K1046">
        <v>28</v>
      </c>
      <c r="L1046">
        <v>7</v>
      </c>
      <c r="M1046" t="s">
        <v>1284</v>
      </c>
      <c r="N1046">
        <v>6</v>
      </c>
      <c r="O1046">
        <v>10</v>
      </c>
      <c r="P1046">
        <v>133470.28</v>
      </c>
      <c r="Q1046">
        <v>232352.65</v>
      </c>
      <c r="R1046">
        <v>286</v>
      </c>
      <c r="S1046">
        <v>359</v>
      </c>
      <c r="T1046" t="s">
        <v>593</v>
      </c>
      <c r="U1046" t="s">
        <v>27</v>
      </c>
    </row>
    <row r="1047" spans="1:21">
      <c r="A1047" t="s">
        <v>1726</v>
      </c>
      <c r="B1047" t="s">
        <v>1672</v>
      </c>
      <c r="C1047" t="s">
        <v>1283</v>
      </c>
      <c r="D1047">
        <v>205000</v>
      </c>
      <c r="E1047">
        <v>7000</v>
      </c>
      <c r="F1047">
        <v>205000</v>
      </c>
      <c r="G1047">
        <v>205000</v>
      </c>
      <c r="H1047">
        <v>5</v>
      </c>
      <c r="I1047" t="s">
        <v>585</v>
      </c>
      <c r="J1047">
        <v>40.01</v>
      </c>
      <c r="K1047">
        <v>8</v>
      </c>
      <c r="L1047">
        <v>5</v>
      </c>
      <c r="M1047" t="s">
        <v>1284</v>
      </c>
      <c r="N1047">
        <v>10</v>
      </c>
      <c r="O1047">
        <v>13.67</v>
      </c>
      <c r="P1047">
        <v>133470.28</v>
      </c>
      <c r="Q1047">
        <v>232352.65</v>
      </c>
      <c r="R1047">
        <v>286</v>
      </c>
      <c r="S1047">
        <v>359</v>
      </c>
      <c r="T1047" t="s">
        <v>326</v>
      </c>
      <c r="U1047" t="s">
        <v>31</v>
      </c>
    </row>
    <row r="1048" spans="1:21">
      <c r="A1048" t="s">
        <v>1727</v>
      </c>
      <c r="B1048" t="s">
        <v>1728</v>
      </c>
      <c r="C1048" t="s">
        <v>1291</v>
      </c>
      <c r="D1048">
        <v>240000</v>
      </c>
      <c r="E1048">
        <v>10000</v>
      </c>
      <c r="F1048">
        <v>240000</v>
      </c>
      <c r="G1048">
        <v>240000</v>
      </c>
      <c r="H1048">
        <v>10</v>
      </c>
      <c r="I1048" t="s">
        <v>642</v>
      </c>
      <c r="J1048">
        <v>83.29</v>
      </c>
      <c r="K1048">
        <v>61</v>
      </c>
      <c r="L1048">
        <v>11</v>
      </c>
      <c r="M1048" t="s">
        <v>1284</v>
      </c>
      <c r="N1048">
        <v>10</v>
      </c>
      <c r="O1048">
        <v>14</v>
      </c>
      <c r="P1048">
        <v>133470.28</v>
      </c>
      <c r="Q1048">
        <v>282153.84999999998</v>
      </c>
      <c r="R1048">
        <v>286</v>
      </c>
      <c r="S1048">
        <v>26</v>
      </c>
      <c r="T1048" t="s">
        <v>413</v>
      </c>
      <c r="U1048" t="s">
        <v>38</v>
      </c>
    </row>
    <row r="1049" spans="1:21">
      <c r="A1049" t="s">
        <v>1729</v>
      </c>
      <c r="B1049" t="s">
        <v>1282</v>
      </c>
      <c r="C1049" t="s">
        <v>1283</v>
      </c>
      <c r="D1049">
        <v>310000</v>
      </c>
      <c r="E1049">
        <v>15000</v>
      </c>
      <c r="H1049">
        <v>10</v>
      </c>
      <c r="I1049" t="s">
        <v>654</v>
      </c>
      <c r="J1049">
        <v>64.37</v>
      </c>
      <c r="K1049">
        <v>3</v>
      </c>
      <c r="L1049">
        <v>11</v>
      </c>
      <c r="M1049" t="s">
        <v>1284</v>
      </c>
      <c r="N1049">
        <v>8</v>
      </c>
      <c r="O1049">
        <v>13</v>
      </c>
      <c r="P1049">
        <v>133470.28</v>
      </c>
      <c r="Q1049">
        <v>288705.81</v>
      </c>
      <c r="R1049">
        <v>286</v>
      </c>
      <c r="S1049">
        <v>155</v>
      </c>
      <c r="T1049" t="s">
        <v>593</v>
      </c>
      <c r="U1049" t="s">
        <v>31</v>
      </c>
    </row>
    <row r="1050" spans="1:21">
      <c r="A1050" t="s">
        <v>1729</v>
      </c>
      <c r="B1050" t="s">
        <v>1282</v>
      </c>
      <c r="C1050" t="s">
        <v>1283</v>
      </c>
      <c r="D1050">
        <v>310000</v>
      </c>
      <c r="E1050">
        <v>15000</v>
      </c>
      <c r="H1050">
        <v>11</v>
      </c>
      <c r="I1050" t="s">
        <v>654</v>
      </c>
      <c r="J1050">
        <v>64.37</v>
      </c>
      <c r="K1050">
        <v>3</v>
      </c>
      <c r="L1050">
        <v>11</v>
      </c>
      <c r="M1050" t="s">
        <v>1284</v>
      </c>
      <c r="N1050">
        <v>8</v>
      </c>
      <c r="O1050">
        <v>13</v>
      </c>
      <c r="P1050">
        <v>133470.28</v>
      </c>
      <c r="Q1050">
        <v>288705.81</v>
      </c>
      <c r="R1050">
        <v>286</v>
      </c>
      <c r="S1050">
        <v>155</v>
      </c>
      <c r="T1050" t="s">
        <v>593</v>
      </c>
      <c r="U1050" t="s">
        <v>31</v>
      </c>
    </row>
    <row r="1051" spans="1:21">
      <c r="A1051" t="s">
        <v>1730</v>
      </c>
      <c r="B1051" t="s">
        <v>1282</v>
      </c>
      <c r="C1051" t="s">
        <v>1283</v>
      </c>
      <c r="D1051">
        <v>322000</v>
      </c>
      <c r="E1051">
        <v>15000</v>
      </c>
      <c r="H1051">
        <v>10</v>
      </c>
      <c r="I1051" t="s">
        <v>654</v>
      </c>
      <c r="J1051">
        <v>64.37</v>
      </c>
      <c r="K1051">
        <v>3</v>
      </c>
      <c r="L1051">
        <v>11</v>
      </c>
      <c r="M1051" t="s">
        <v>1284</v>
      </c>
      <c r="N1051">
        <v>8</v>
      </c>
      <c r="O1051">
        <v>13</v>
      </c>
      <c r="P1051">
        <v>133470.28</v>
      </c>
      <c r="Q1051">
        <v>288705.81</v>
      </c>
      <c r="R1051">
        <v>286</v>
      </c>
      <c r="S1051">
        <v>155</v>
      </c>
      <c r="T1051" t="s">
        <v>593</v>
      </c>
      <c r="U1051" t="s">
        <v>31</v>
      </c>
    </row>
    <row r="1052" spans="1:21">
      <c r="A1052" t="s">
        <v>1730</v>
      </c>
      <c r="B1052" t="s">
        <v>1282</v>
      </c>
      <c r="C1052" t="s">
        <v>1283</v>
      </c>
      <c r="D1052">
        <v>322000</v>
      </c>
      <c r="E1052">
        <v>15000</v>
      </c>
      <c r="H1052">
        <v>11</v>
      </c>
      <c r="I1052" t="s">
        <v>654</v>
      </c>
      <c r="J1052">
        <v>64.37</v>
      </c>
      <c r="K1052">
        <v>3</v>
      </c>
      <c r="L1052">
        <v>11</v>
      </c>
      <c r="M1052" t="s">
        <v>1284</v>
      </c>
      <c r="N1052">
        <v>8</v>
      </c>
      <c r="O1052">
        <v>13</v>
      </c>
      <c r="P1052">
        <v>133470.28</v>
      </c>
      <c r="Q1052">
        <v>288705.81</v>
      </c>
      <c r="R1052">
        <v>286</v>
      </c>
      <c r="S1052">
        <v>155</v>
      </c>
      <c r="T1052" t="s">
        <v>593</v>
      </c>
      <c r="U1052" t="s">
        <v>31</v>
      </c>
    </row>
    <row r="1053" spans="1:21">
      <c r="A1053" t="s">
        <v>1731</v>
      </c>
      <c r="B1053" t="s">
        <v>1282</v>
      </c>
      <c r="C1053" t="s">
        <v>1283</v>
      </c>
      <c r="D1053">
        <v>355000</v>
      </c>
      <c r="E1053">
        <v>15000</v>
      </c>
      <c r="H1053">
        <v>10</v>
      </c>
      <c r="I1053" t="s">
        <v>654</v>
      </c>
      <c r="J1053">
        <v>69.73</v>
      </c>
      <c r="K1053">
        <v>3</v>
      </c>
      <c r="L1053">
        <v>11</v>
      </c>
      <c r="M1053" t="s">
        <v>1284</v>
      </c>
      <c r="N1053">
        <v>8</v>
      </c>
      <c r="O1053">
        <v>13</v>
      </c>
      <c r="P1053">
        <v>133470.28</v>
      </c>
      <c r="Q1053">
        <v>288705.81</v>
      </c>
      <c r="R1053">
        <v>286</v>
      </c>
      <c r="S1053">
        <v>155</v>
      </c>
      <c r="T1053" t="s">
        <v>593</v>
      </c>
      <c r="U1053" t="s">
        <v>31</v>
      </c>
    </row>
    <row r="1054" spans="1:21">
      <c r="A1054" t="s">
        <v>1731</v>
      </c>
      <c r="B1054" t="s">
        <v>1282</v>
      </c>
      <c r="C1054" t="s">
        <v>1283</v>
      </c>
      <c r="D1054">
        <v>355000</v>
      </c>
      <c r="E1054">
        <v>15000</v>
      </c>
      <c r="H1054">
        <v>11</v>
      </c>
      <c r="I1054" t="s">
        <v>654</v>
      </c>
      <c r="J1054">
        <v>69.73</v>
      </c>
      <c r="K1054">
        <v>3</v>
      </c>
      <c r="L1054">
        <v>11</v>
      </c>
      <c r="M1054" t="s">
        <v>1284</v>
      </c>
      <c r="N1054">
        <v>8</v>
      </c>
      <c r="O1054">
        <v>13</v>
      </c>
      <c r="P1054">
        <v>133470.28</v>
      </c>
      <c r="Q1054">
        <v>288705.81</v>
      </c>
      <c r="R1054">
        <v>286</v>
      </c>
      <c r="S1054">
        <v>155</v>
      </c>
      <c r="T1054" t="s">
        <v>593</v>
      </c>
      <c r="U1054" t="s">
        <v>31</v>
      </c>
    </row>
    <row r="1055" spans="1:21">
      <c r="A1055" t="s">
        <v>1732</v>
      </c>
      <c r="B1055" t="s">
        <v>1712</v>
      </c>
      <c r="C1055" t="s">
        <v>1283</v>
      </c>
      <c r="D1055">
        <v>235000</v>
      </c>
      <c r="E1055">
        <v>15000</v>
      </c>
      <c r="F1055">
        <v>235000</v>
      </c>
      <c r="G1055">
        <v>235000</v>
      </c>
      <c r="H1055">
        <v>7</v>
      </c>
      <c r="I1055" t="s">
        <v>654</v>
      </c>
      <c r="J1055">
        <v>66.34</v>
      </c>
      <c r="K1055">
        <v>28</v>
      </c>
      <c r="L1055">
        <v>7</v>
      </c>
      <c r="M1055" t="s">
        <v>1284</v>
      </c>
      <c r="N1055">
        <v>6</v>
      </c>
      <c r="O1055">
        <v>12.67</v>
      </c>
      <c r="P1055">
        <v>133470.28</v>
      </c>
      <c r="Q1055">
        <v>288705.81</v>
      </c>
      <c r="R1055">
        <v>286</v>
      </c>
      <c r="S1055">
        <v>155</v>
      </c>
      <c r="T1055" t="s">
        <v>593</v>
      </c>
      <c r="U1055" t="s">
        <v>27</v>
      </c>
    </row>
    <row r="1056" spans="1:21">
      <c r="A1056" t="s">
        <v>1733</v>
      </c>
      <c r="B1056" t="s">
        <v>1300</v>
      </c>
      <c r="C1056" t="s">
        <v>1283</v>
      </c>
      <c r="D1056">
        <v>310000</v>
      </c>
      <c r="E1056">
        <v>15000</v>
      </c>
      <c r="H1056">
        <v>10</v>
      </c>
      <c r="I1056" t="s">
        <v>654</v>
      </c>
      <c r="J1056">
        <v>64.37</v>
      </c>
      <c r="K1056">
        <v>3</v>
      </c>
      <c r="L1056">
        <v>11</v>
      </c>
      <c r="M1056" t="s">
        <v>1284</v>
      </c>
      <c r="N1056">
        <v>8</v>
      </c>
      <c r="O1056">
        <v>14.33</v>
      </c>
      <c r="P1056">
        <v>133470.28</v>
      </c>
      <c r="Q1056">
        <v>288705.81</v>
      </c>
      <c r="R1056">
        <v>286</v>
      </c>
      <c r="S1056">
        <v>155</v>
      </c>
      <c r="T1056" t="s">
        <v>593</v>
      </c>
      <c r="U1056" t="s">
        <v>31</v>
      </c>
    </row>
    <row r="1057" spans="1:21">
      <c r="A1057" t="s">
        <v>1734</v>
      </c>
      <c r="B1057" t="s">
        <v>1300</v>
      </c>
      <c r="C1057" t="s">
        <v>1283</v>
      </c>
      <c r="D1057">
        <v>355000</v>
      </c>
      <c r="E1057">
        <v>15000</v>
      </c>
      <c r="H1057">
        <v>10</v>
      </c>
      <c r="I1057" t="s">
        <v>654</v>
      </c>
      <c r="J1057">
        <v>64.37</v>
      </c>
      <c r="K1057">
        <v>3</v>
      </c>
      <c r="L1057">
        <v>11</v>
      </c>
      <c r="M1057" t="s">
        <v>1284</v>
      </c>
      <c r="N1057">
        <v>8</v>
      </c>
      <c r="O1057">
        <v>14.33</v>
      </c>
      <c r="P1057">
        <v>133470.28</v>
      </c>
      <c r="Q1057">
        <v>288705.81</v>
      </c>
      <c r="R1057">
        <v>286</v>
      </c>
      <c r="S1057">
        <v>155</v>
      </c>
      <c r="T1057" t="s">
        <v>593</v>
      </c>
      <c r="U1057" t="s">
        <v>31</v>
      </c>
    </row>
    <row r="1058" spans="1:21">
      <c r="A1058" t="s">
        <v>1735</v>
      </c>
      <c r="B1058" t="s">
        <v>1736</v>
      </c>
      <c r="C1058" t="s">
        <v>1283</v>
      </c>
      <c r="D1058">
        <v>340000</v>
      </c>
      <c r="F1058">
        <v>340000</v>
      </c>
      <c r="G1058">
        <v>340000</v>
      </c>
      <c r="H1058">
        <v>3</v>
      </c>
      <c r="I1058" t="s">
        <v>1737</v>
      </c>
      <c r="J1058">
        <v>102.46</v>
      </c>
      <c r="K1058">
        <v>7</v>
      </c>
      <c r="L1058">
        <v>3</v>
      </c>
      <c r="M1058" t="s">
        <v>1284</v>
      </c>
      <c r="N1058">
        <v>9</v>
      </c>
      <c r="O1058">
        <v>13.33</v>
      </c>
      <c r="P1058">
        <v>133470.28</v>
      </c>
      <c r="Q1058">
        <v>384285.71</v>
      </c>
      <c r="R1058">
        <v>286</v>
      </c>
      <c r="S1058">
        <v>7</v>
      </c>
      <c r="T1058" t="s">
        <v>658</v>
      </c>
      <c r="U1058" t="s">
        <v>31</v>
      </c>
    </row>
    <row r="1059" spans="1:21">
      <c r="A1059" t="s">
        <v>1738</v>
      </c>
      <c r="B1059" t="s">
        <v>1739</v>
      </c>
      <c r="C1059" t="s">
        <v>1283</v>
      </c>
      <c r="D1059">
        <v>340000</v>
      </c>
      <c r="F1059">
        <v>340000</v>
      </c>
      <c r="G1059">
        <v>340000</v>
      </c>
      <c r="H1059">
        <v>1</v>
      </c>
      <c r="I1059" t="s">
        <v>1737</v>
      </c>
      <c r="J1059">
        <v>102.46</v>
      </c>
      <c r="K1059">
        <v>7</v>
      </c>
      <c r="L1059">
        <v>3</v>
      </c>
      <c r="M1059" t="s">
        <v>1284</v>
      </c>
      <c r="N1059">
        <v>9</v>
      </c>
      <c r="O1059">
        <v>13.33</v>
      </c>
      <c r="P1059">
        <v>133470.28</v>
      </c>
      <c r="Q1059">
        <v>384285.71</v>
      </c>
      <c r="R1059">
        <v>286</v>
      </c>
      <c r="S1059">
        <v>7</v>
      </c>
      <c r="T1059" t="s">
        <v>658</v>
      </c>
      <c r="U1059" t="s">
        <v>31</v>
      </c>
    </row>
    <row r="1060" spans="1:21">
      <c r="A1060" t="s">
        <v>1738</v>
      </c>
      <c r="B1060" t="s">
        <v>1739</v>
      </c>
      <c r="C1060" t="s">
        <v>1283</v>
      </c>
      <c r="D1060">
        <v>340000</v>
      </c>
      <c r="F1060">
        <v>340000</v>
      </c>
      <c r="G1060">
        <v>340000</v>
      </c>
      <c r="H1060">
        <v>2</v>
      </c>
      <c r="I1060" t="s">
        <v>1737</v>
      </c>
      <c r="J1060">
        <v>102.46</v>
      </c>
      <c r="K1060">
        <v>7</v>
      </c>
      <c r="L1060">
        <v>3</v>
      </c>
      <c r="M1060" t="s">
        <v>1284</v>
      </c>
      <c r="N1060">
        <v>9</v>
      </c>
      <c r="O1060">
        <v>13.33</v>
      </c>
      <c r="P1060">
        <v>133470.28</v>
      </c>
      <c r="Q1060">
        <v>384285.71</v>
      </c>
      <c r="R1060">
        <v>286</v>
      </c>
      <c r="S1060">
        <v>7</v>
      </c>
      <c r="T1060" t="s">
        <v>658</v>
      </c>
      <c r="U1060" t="s">
        <v>31</v>
      </c>
    </row>
    <row r="1061" spans="1:21">
      <c r="A1061" t="s">
        <v>1738</v>
      </c>
      <c r="B1061" t="s">
        <v>1739</v>
      </c>
      <c r="C1061" t="s">
        <v>1283</v>
      </c>
      <c r="D1061">
        <v>340000</v>
      </c>
      <c r="F1061">
        <v>340000</v>
      </c>
      <c r="G1061">
        <v>340000</v>
      </c>
      <c r="H1061">
        <v>3</v>
      </c>
      <c r="I1061" t="s">
        <v>1737</v>
      </c>
      <c r="J1061">
        <v>102.46</v>
      </c>
      <c r="K1061">
        <v>7</v>
      </c>
      <c r="L1061">
        <v>3</v>
      </c>
      <c r="M1061" t="s">
        <v>1284</v>
      </c>
      <c r="N1061">
        <v>9</v>
      </c>
      <c r="O1061">
        <v>13.33</v>
      </c>
      <c r="P1061">
        <v>133470.28</v>
      </c>
      <c r="Q1061">
        <v>384285.71</v>
      </c>
      <c r="R1061">
        <v>286</v>
      </c>
      <c r="S1061">
        <v>7</v>
      </c>
      <c r="T1061" t="s">
        <v>658</v>
      </c>
      <c r="U1061" t="s">
        <v>31</v>
      </c>
    </row>
    <row r="1062" spans="1:21">
      <c r="A1062" t="s">
        <v>1740</v>
      </c>
      <c r="B1062" t="s">
        <v>1739</v>
      </c>
      <c r="C1062" t="s">
        <v>1283</v>
      </c>
      <c r="D1062">
        <v>340000</v>
      </c>
      <c r="F1062">
        <v>340000</v>
      </c>
      <c r="G1062">
        <v>340000</v>
      </c>
      <c r="H1062">
        <v>3</v>
      </c>
      <c r="I1062" t="s">
        <v>1737</v>
      </c>
      <c r="J1062">
        <v>102.46</v>
      </c>
      <c r="K1062">
        <v>7</v>
      </c>
      <c r="L1062">
        <v>3</v>
      </c>
      <c r="M1062" t="s">
        <v>1284</v>
      </c>
      <c r="N1062">
        <v>9</v>
      </c>
      <c r="O1062">
        <v>13.33</v>
      </c>
      <c r="P1062">
        <v>133470.28</v>
      </c>
      <c r="Q1062">
        <v>384285.71</v>
      </c>
      <c r="R1062">
        <v>286</v>
      </c>
      <c r="S1062">
        <v>7</v>
      </c>
      <c r="T1062" t="s">
        <v>658</v>
      </c>
      <c r="U1062" t="s">
        <v>31</v>
      </c>
    </row>
    <row r="1063" spans="1:21">
      <c r="A1063" t="s">
        <v>1741</v>
      </c>
      <c r="B1063" t="s">
        <v>1742</v>
      </c>
      <c r="C1063" t="s">
        <v>1743</v>
      </c>
      <c r="D1063">
        <v>135000</v>
      </c>
      <c r="E1063">
        <v>11000</v>
      </c>
      <c r="G1063">
        <v>135000</v>
      </c>
      <c r="H1063">
        <v>2</v>
      </c>
      <c r="I1063" t="s">
        <v>325</v>
      </c>
      <c r="J1063">
        <v>41.18</v>
      </c>
      <c r="K1063">
        <v>3</v>
      </c>
      <c r="L1063">
        <v>5</v>
      </c>
      <c r="M1063" t="s">
        <v>1744</v>
      </c>
      <c r="N1063">
        <v>10</v>
      </c>
      <c r="O1063">
        <v>12.67</v>
      </c>
      <c r="P1063">
        <v>136000</v>
      </c>
      <c r="Q1063">
        <v>168453.81</v>
      </c>
      <c r="R1063">
        <v>2</v>
      </c>
      <c r="S1063">
        <v>788</v>
      </c>
      <c r="T1063" t="s">
        <v>326</v>
      </c>
      <c r="U1063" t="s">
        <v>31</v>
      </c>
    </row>
    <row r="1064" spans="1:21">
      <c r="A1064" t="s">
        <v>1745</v>
      </c>
      <c r="B1064" t="s">
        <v>1742</v>
      </c>
      <c r="C1064" t="s">
        <v>1743</v>
      </c>
      <c r="D1064">
        <v>137000</v>
      </c>
      <c r="E1064">
        <v>11000</v>
      </c>
      <c r="G1064">
        <v>137000</v>
      </c>
      <c r="H1064">
        <v>5</v>
      </c>
      <c r="I1064" t="s">
        <v>325</v>
      </c>
      <c r="J1064">
        <v>41.18</v>
      </c>
      <c r="K1064">
        <v>3</v>
      </c>
      <c r="L1064">
        <v>5</v>
      </c>
      <c r="M1064" t="s">
        <v>1744</v>
      </c>
      <c r="N1064">
        <v>10</v>
      </c>
      <c r="O1064">
        <v>12.67</v>
      </c>
      <c r="P1064">
        <v>136000</v>
      </c>
      <c r="Q1064">
        <v>168453.81</v>
      </c>
      <c r="R1064">
        <v>2</v>
      </c>
      <c r="S1064">
        <v>788</v>
      </c>
      <c r="T1064" t="s">
        <v>326</v>
      </c>
      <c r="U1064" t="s">
        <v>31</v>
      </c>
    </row>
    <row r="1065" spans="1:21">
      <c r="A1065" t="s">
        <v>1746</v>
      </c>
      <c r="B1065" t="s">
        <v>1747</v>
      </c>
      <c r="C1065" t="s">
        <v>1743</v>
      </c>
      <c r="D1065">
        <v>55000</v>
      </c>
      <c r="E1065">
        <v>3000</v>
      </c>
      <c r="F1065">
        <v>55000</v>
      </c>
      <c r="G1065">
        <v>55000</v>
      </c>
      <c r="H1065">
        <v>1</v>
      </c>
      <c r="I1065" t="s">
        <v>89</v>
      </c>
      <c r="J1065">
        <v>19.170000000000002</v>
      </c>
      <c r="K1065">
        <v>42</v>
      </c>
      <c r="L1065">
        <v>2</v>
      </c>
      <c r="M1065" t="s">
        <v>1748</v>
      </c>
      <c r="N1065">
        <v>5</v>
      </c>
      <c r="O1065">
        <v>7.67</v>
      </c>
      <c r="P1065">
        <v>55000</v>
      </c>
      <c r="Q1065">
        <v>95329.65</v>
      </c>
      <c r="R1065">
        <v>1</v>
      </c>
      <c r="S1065">
        <v>1622</v>
      </c>
      <c r="T1065" t="s">
        <v>108</v>
      </c>
      <c r="U1065" t="s">
        <v>42</v>
      </c>
    </row>
    <row r="1066" spans="1:21">
      <c r="A1066" t="s">
        <v>1749</v>
      </c>
      <c r="B1066" t="s">
        <v>1750</v>
      </c>
      <c r="C1066" t="s">
        <v>1751</v>
      </c>
      <c r="D1066">
        <v>145000</v>
      </c>
      <c r="E1066">
        <v>15000</v>
      </c>
      <c r="F1066">
        <v>145000</v>
      </c>
      <c r="H1066">
        <v>2</v>
      </c>
      <c r="I1066" t="s">
        <v>24</v>
      </c>
      <c r="J1066">
        <v>27.67</v>
      </c>
      <c r="K1066">
        <v>3</v>
      </c>
      <c r="L1066">
        <v>7</v>
      </c>
      <c r="M1066" t="s">
        <v>1752</v>
      </c>
      <c r="N1066">
        <v>6</v>
      </c>
      <c r="O1066">
        <v>11</v>
      </c>
      <c r="P1066">
        <v>193264.71</v>
      </c>
      <c r="Q1066">
        <v>123325.96</v>
      </c>
      <c r="R1066">
        <v>68</v>
      </c>
      <c r="S1066">
        <v>339</v>
      </c>
      <c r="T1066" t="s">
        <v>34</v>
      </c>
      <c r="U1066" t="s">
        <v>31</v>
      </c>
    </row>
    <row r="1067" spans="1:21">
      <c r="A1067" t="s">
        <v>1753</v>
      </c>
      <c r="B1067" t="s">
        <v>1750</v>
      </c>
      <c r="C1067" t="s">
        <v>1751</v>
      </c>
      <c r="D1067">
        <v>144000</v>
      </c>
      <c r="E1067">
        <v>15000</v>
      </c>
      <c r="F1067">
        <v>144000</v>
      </c>
      <c r="H1067">
        <v>2</v>
      </c>
      <c r="I1067" t="s">
        <v>24</v>
      </c>
      <c r="J1067">
        <v>28.27</v>
      </c>
      <c r="K1067">
        <v>3</v>
      </c>
      <c r="L1067">
        <v>7</v>
      </c>
      <c r="M1067" t="s">
        <v>1752</v>
      </c>
      <c r="N1067">
        <v>6</v>
      </c>
      <c r="O1067">
        <v>11</v>
      </c>
      <c r="P1067">
        <v>193264.71</v>
      </c>
      <c r="Q1067">
        <v>123325.96</v>
      </c>
      <c r="R1067">
        <v>68</v>
      </c>
      <c r="S1067">
        <v>339</v>
      </c>
      <c r="T1067" t="s">
        <v>34</v>
      </c>
      <c r="U1067" t="s">
        <v>31</v>
      </c>
    </row>
    <row r="1068" spans="1:21">
      <c r="A1068" t="s">
        <v>1754</v>
      </c>
      <c r="B1068" t="s">
        <v>1750</v>
      </c>
      <c r="C1068" t="s">
        <v>1751</v>
      </c>
      <c r="D1068">
        <v>141000</v>
      </c>
      <c r="E1068">
        <v>15000</v>
      </c>
      <c r="F1068">
        <v>141000</v>
      </c>
      <c r="H1068">
        <v>3</v>
      </c>
      <c r="I1068" t="s">
        <v>24</v>
      </c>
      <c r="J1068">
        <v>26.1</v>
      </c>
      <c r="K1068">
        <v>3</v>
      </c>
      <c r="L1068">
        <v>7</v>
      </c>
      <c r="M1068" t="s">
        <v>1752</v>
      </c>
      <c r="N1068">
        <v>6</v>
      </c>
      <c r="O1068">
        <v>11</v>
      </c>
      <c r="P1068">
        <v>193264.71</v>
      </c>
      <c r="Q1068">
        <v>123325.96</v>
      </c>
      <c r="R1068">
        <v>68</v>
      </c>
      <c r="S1068">
        <v>339</v>
      </c>
      <c r="T1068" t="s">
        <v>34</v>
      </c>
      <c r="U1068" t="s">
        <v>31</v>
      </c>
    </row>
    <row r="1069" spans="1:21">
      <c r="A1069" t="s">
        <v>1755</v>
      </c>
      <c r="B1069" t="s">
        <v>1750</v>
      </c>
      <c r="C1069" t="s">
        <v>1751</v>
      </c>
      <c r="D1069">
        <v>147000</v>
      </c>
      <c r="E1069">
        <v>15000</v>
      </c>
      <c r="F1069">
        <v>147000</v>
      </c>
      <c r="H1069">
        <v>3</v>
      </c>
      <c r="I1069" t="s">
        <v>24</v>
      </c>
      <c r="J1069">
        <v>28.17</v>
      </c>
      <c r="K1069">
        <v>3</v>
      </c>
      <c r="L1069">
        <v>7</v>
      </c>
      <c r="M1069" t="s">
        <v>1752</v>
      </c>
      <c r="N1069">
        <v>6</v>
      </c>
      <c r="O1069">
        <v>11</v>
      </c>
      <c r="P1069">
        <v>193264.71</v>
      </c>
      <c r="Q1069">
        <v>123325.96</v>
      </c>
      <c r="R1069">
        <v>68</v>
      </c>
      <c r="S1069">
        <v>339</v>
      </c>
      <c r="T1069" t="s">
        <v>34</v>
      </c>
      <c r="U1069" t="s">
        <v>31</v>
      </c>
    </row>
    <row r="1070" spans="1:21">
      <c r="A1070" t="s">
        <v>1756</v>
      </c>
      <c r="B1070" t="s">
        <v>1750</v>
      </c>
      <c r="C1070" t="s">
        <v>1751</v>
      </c>
      <c r="D1070">
        <v>146000</v>
      </c>
      <c r="E1070">
        <v>15000</v>
      </c>
      <c r="F1070">
        <v>146000</v>
      </c>
      <c r="H1070">
        <v>5</v>
      </c>
      <c r="I1070" t="s">
        <v>24</v>
      </c>
      <c r="J1070">
        <v>26.97</v>
      </c>
      <c r="K1070">
        <v>3</v>
      </c>
      <c r="L1070">
        <v>7</v>
      </c>
      <c r="M1070" t="s">
        <v>1752</v>
      </c>
      <c r="N1070">
        <v>6</v>
      </c>
      <c r="O1070">
        <v>11</v>
      </c>
      <c r="P1070">
        <v>193264.71</v>
      </c>
      <c r="Q1070">
        <v>123325.96</v>
      </c>
      <c r="R1070">
        <v>68</v>
      </c>
      <c r="S1070">
        <v>339</v>
      </c>
      <c r="T1070" t="s">
        <v>34</v>
      </c>
      <c r="U1070" t="s">
        <v>31</v>
      </c>
    </row>
    <row r="1071" spans="1:21">
      <c r="A1071" t="s">
        <v>1757</v>
      </c>
      <c r="B1071" t="s">
        <v>1750</v>
      </c>
      <c r="C1071" t="s">
        <v>1751</v>
      </c>
      <c r="D1071">
        <v>147000</v>
      </c>
      <c r="E1071">
        <v>15000</v>
      </c>
      <c r="F1071">
        <v>147000</v>
      </c>
      <c r="H1071">
        <v>5</v>
      </c>
      <c r="I1071" t="s">
        <v>24</v>
      </c>
      <c r="J1071">
        <v>28.27</v>
      </c>
      <c r="K1071">
        <v>3</v>
      </c>
      <c r="L1071">
        <v>7</v>
      </c>
      <c r="M1071" t="s">
        <v>1752</v>
      </c>
      <c r="N1071">
        <v>6</v>
      </c>
      <c r="O1071">
        <v>11</v>
      </c>
      <c r="P1071">
        <v>193264.71</v>
      </c>
      <c r="Q1071">
        <v>123325.96</v>
      </c>
      <c r="R1071">
        <v>68</v>
      </c>
      <c r="S1071">
        <v>339</v>
      </c>
      <c r="T1071" t="s">
        <v>34</v>
      </c>
      <c r="U1071" t="s">
        <v>31</v>
      </c>
    </row>
    <row r="1072" spans="1:21">
      <c r="A1072" t="s">
        <v>1758</v>
      </c>
      <c r="B1072" t="s">
        <v>1750</v>
      </c>
      <c r="C1072" t="s">
        <v>1751</v>
      </c>
      <c r="D1072">
        <v>171000</v>
      </c>
      <c r="E1072">
        <v>15000</v>
      </c>
      <c r="F1072">
        <v>171000</v>
      </c>
      <c r="H1072">
        <v>5</v>
      </c>
      <c r="I1072" t="s">
        <v>24</v>
      </c>
      <c r="J1072">
        <v>30.21</v>
      </c>
      <c r="K1072">
        <v>3</v>
      </c>
      <c r="L1072">
        <v>7</v>
      </c>
      <c r="M1072" t="s">
        <v>1752</v>
      </c>
      <c r="N1072">
        <v>6</v>
      </c>
      <c r="O1072">
        <v>11</v>
      </c>
      <c r="P1072">
        <v>193264.71</v>
      </c>
      <c r="Q1072">
        <v>123325.96</v>
      </c>
      <c r="R1072">
        <v>68</v>
      </c>
      <c r="S1072">
        <v>339</v>
      </c>
      <c r="T1072" t="s">
        <v>26</v>
      </c>
      <c r="U1072" t="s">
        <v>31</v>
      </c>
    </row>
    <row r="1073" spans="1:21">
      <c r="A1073" t="s">
        <v>1759</v>
      </c>
      <c r="B1073" t="s">
        <v>1760</v>
      </c>
      <c r="C1073" t="s">
        <v>1751</v>
      </c>
      <c r="D1073">
        <v>145000</v>
      </c>
      <c r="E1073">
        <v>15000</v>
      </c>
      <c r="F1073">
        <v>145000</v>
      </c>
      <c r="H1073">
        <v>2</v>
      </c>
      <c r="I1073" t="s">
        <v>24</v>
      </c>
      <c r="J1073">
        <v>27.67</v>
      </c>
      <c r="K1073">
        <v>3</v>
      </c>
      <c r="L1073">
        <v>7</v>
      </c>
      <c r="M1073" t="s">
        <v>1752</v>
      </c>
      <c r="N1073">
        <v>6</v>
      </c>
      <c r="O1073">
        <v>11</v>
      </c>
      <c r="P1073">
        <v>193264.71</v>
      </c>
      <c r="Q1073">
        <v>123325.96</v>
      </c>
      <c r="R1073">
        <v>68</v>
      </c>
      <c r="S1073">
        <v>339</v>
      </c>
      <c r="T1073" t="s">
        <v>34</v>
      </c>
      <c r="U1073" t="s">
        <v>31</v>
      </c>
    </row>
    <row r="1074" spans="1:21">
      <c r="A1074" t="s">
        <v>1761</v>
      </c>
      <c r="B1074" t="s">
        <v>1760</v>
      </c>
      <c r="C1074" t="s">
        <v>1751</v>
      </c>
      <c r="D1074">
        <v>144000</v>
      </c>
      <c r="E1074">
        <v>15000</v>
      </c>
      <c r="F1074">
        <v>144000</v>
      </c>
      <c r="H1074">
        <v>2</v>
      </c>
      <c r="I1074" t="s">
        <v>24</v>
      </c>
      <c r="J1074">
        <v>28.27</v>
      </c>
      <c r="K1074">
        <v>3</v>
      </c>
      <c r="L1074">
        <v>7</v>
      </c>
      <c r="M1074" t="s">
        <v>1752</v>
      </c>
      <c r="N1074">
        <v>6</v>
      </c>
      <c r="O1074">
        <v>11</v>
      </c>
      <c r="P1074">
        <v>193264.71</v>
      </c>
      <c r="Q1074">
        <v>123325.96</v>
      </c>
      <c r="R1074">
        <v>68</v>
      </c>
      <c r="S1074">
        <v>339</v>
      </c>
      <c r="T1074" t="s">
        <v>34</v>
      </c>
      <c r="U1074" t="s">
        <v>31</v>
      </c>
    </row>
    <row r="1075" spans="1:21">
      <c r="A1075" t="s">
        <v>1762</v>
      </c>
      <c r="B1075" t="s">
        <v>1760</v>
      </c>
      <c r="C1075" t="s">
        <v>1751</v>
      </c>
      <c r="D1075">
        <v>141000</v>
      </c>
      <c r="E1075">
        <v>15000</v>
      </c>
      <c r="F1075">
        <v>141000</v>
      </c>
      <c r="H1075">
        <v>3</v>
      </c>
      <c r="I1075" t="s">
        <v>24</v>
      </c>
      <c r="J1075">
        <v>26.1</v>
      </c>
      <c r="K1075">
        <v>3</v>
      </c>
      <c r="L1075">
        <v>7</v>
      </c>
      <c r="M1075" t="s">
        <v>1752</v>
      </c>
      <c r="N1075">
        <v>6</v>
      </c>
      <c r="O1075">
        <v>11</v>
      </c>
      <c r="P1075">
        <v>193264.71</v>
      </c>
      <c r="Q1075">
        <v>123325.96</v>
      </c>
      <c r="R1075">
        <v>68</v>
      </c>
      <c r="S1075">
        <v>339</v>
      </c>
      <c r="T1075" t="s">
        <v>34</v>
      </c>
      <c r="U1075" t="s">
        <v>31</v>
      </c>
    </row>
    <row r="1076" spans="1:21">
      <c r="A1076" t="s">
        <v>1763</v>
      </c>
      <c r="B1076" t="s">
        <v>1760</v>
      </c>
      <c r="C1076" t="s">
        <v>1751</v>
      </c>
      <c r="D1076">
        <v>147000</v>
      </c>
      <c r="E1076">
        <v>15000</v>
      </c>
      <c r="F1076">
        <v>147000</v>
      </c>
      <c r="H1076">
        <v>3</v>
      </c>
      <c r="I1076" t="s">
        <v>24</v>
      </c>
      <c r="J1076">
        <v>28.17</v>
      </c>
      <c r="K1076">
        <v>3</v>
      </c>
      <c r="L1076">
        <v>7</v>
      </c>
      <c r="M1076" t="s">
        <v>1752</v>
      </c>
      <c r="N1076">
        <v>6</v>
      </c>
      <c r="O1076">
        <v>11</v>
      </c>
      <c r="P1076">
        <v>193264.71</v>
      </c>
      <c r="Q1076">
        <v>123325.96</v>
      </c>
      <c r="R1076">
        <v>68</v>
      </c>
      <c r="S1076">
        <v>339</v>
      </c>
      <c r="T1076" t="s">
        <v>34</v>
      </c>
      <c r="U1076" t="s">
        <v>31</v>
      </c>
    </row>
    <row r="1077" spans="1:21">
      <c r="A1077" t="s">
        <v>1764</v>
      </c>
      <c r="B1077" t="s">
        <v>1760</v>
      </c>
      <c r="C1077" t="s">
        <v>1751</v>
      </c>
      <c r="D1077">
        <v>146000</v>
      </c>
      <c r="E1077">
        <v>15000</v>
      </c>
      <c r="F1077">
        <v>146000</v>
      </c>
      <c r="H1077">
        <v>5</v>
      </c>
      <c r="I1077" t="s">
        <v>24</v>
      </c>
      <c r="J1077">
        <v>26.97</v>
      </c>
      <c r="K1077">
        <v>3</v>
      </c>
      <c r="L1077">
        <v>7</v>
      </c>
      <c r="M1077" t="s">
        <v>1752</v>
      </c>
      <c r="N1077">
        <v>6</v>
      </c>
      <c r="O1077">
        <v>11</v>
      </c>
      <c r="P1077">
        <v>193264.71</v>
      </c>
      <c r="Q1077">
        <v>123325.96</v>
      </c>
      <c r="R1077">
        <v>68</v>
      </c>
      <c r="S1077">
        <v>339</v>
      </c>
      <c r="T1077" t="s">
        <v>34</v>
      </c>
      <c r="U1077" t="s">
        <v>31</v>
      </c>
    </row>
    <row r="1078" spans="1:21">
      <c r="A1078" t="s">
        <v>1765</v>
      </c>
      <c r="B1078" t="s">
        <v>1760</v>
      </c>
      <c r="C1078" t="s">
        <v>1751</v>
      </c>
      <c r="D1078">
        <v>147000</v>
      </c>
      <c r="E1078">
        <v>15000</v>
      </c>
      <c r="F1078">
        <v>147000</v>
      </c>
      <c r="H1078">
        <v>5</v>
      </c>
      <c r="I1078" t="s">
        <v>24</v>
      </c>
      <c r="J1078">
        <v>28.27</v>
      </c>
      <c r="K1078">
        <v>3</v>
      </c>
      <c r="L1078">
        <v>7</v>
      </c>
      <c r="M1078" t="s">
        <v>1752</v>
      </c>
      <c r="N1078">
        <v>6</v>
      </c>
      <c r="O1078">
        <v>11</v>
      </c>
      <c r="P1078">
        <v>193264.71</v>
      </c>
      <c r="Q1078">
        <v>123325.96</v>
      </c>
      <c r="R1078">
        <v>68</v>
      </c>
      <c r="S1078">
        <v>339</v>
      </c>
      <c r="T1078" t="s">
        <v>34</v>
      </c>
      <c r="U1078" t="s">
        <v>31</v>
      </c>
    </row>
    <row r="1079" spans="1:21">
      <c r="A1079" t="s">
        <v>1766</v>
      </c>
      <c r="B1079" t="s">
        <v>1767</v>
      </c>
      <c r="C1079" t="s">
        <v>1768</v>
      </c>
      <c r="D1079">
        <v>95000</v>
      </c>
      <c r="F1079">
        <v>95000</v>
      </c>
      <c r="G1079">
        <v>95000</v>
      </c>
      <c r="H1079">
        <v>2</v>
      </c>
      <c r="I1079" t="s">
        <v>89</v>
      </c>
      <c r="J1079">
        <v>21.3</v>
      </c>
      <c r="K1079">
        <v>42</v>
      </c>
      <c r="L1079">
        <v>8</v>
      </c>
      <c r="M1079" t="s">
        <v>1752</v>
      </c>
      <c r="N1079">
        <v>7</v>
      </c>
      <c r="O1079">
        <v>10.67</v>
      </c>
      <c r="P1079">
        <v>193264.71</v>
      </c>
      <c r="Q1079">
        <v>95329.65</v>
      </c>
      <c r="R1079">
        <v>68</v>
      </c>
      <c r="S1079">
        <v>1622</v>
      </c>
      <c r="T1079" t="s">
        <v>34</v>
      </c>
      <c r="U1079" t="s">
        <v>42</v>
      </c>
    </row>
    <row r="1080" spans="1:21">
      <c r="A1080" t="s">
        <v>1769</v>
      </c>
      <c r="B1080" t="s">
        <v>1770</v>
      </c>
      <c r="C1080" t="s">
        <v>1768</v>
      </c>
      <c r="D1080">
        <v>145000</v>
      </c>
      <c r="E1080">
        <v>15000</v>
      </c>
      <c r="F1080">
        <v>145000</v>
      </c>
      <c r="G1080">
        <v>145000</v>
      </c>
      <c r="H1080">
        <v>2</v>
      </c>
      <c r="I1080" t="s">
        <v>89</v>
      </c>
      <c r="J1080">
        <v>25.41</v>
      </c>
      <c r="K1080">
        <v>8</v>
      </c>
      <c r="L1080">
        <v>8</v>
      </c>
      <c r="M1080" t="s">
        <v>1752</v>
      </c>
      <c r="N1080">
        <v>8</v>
      </c>
      <c r="O1080">
        <v>10.67</v>
      </c>
      <c r="P1080">
        <v>193264.71</v>
      </c>
      <c r="Q1080">
        <v>95329.65</v>
      </c>
      <c r="R1080">
        <v>68</v>
      </c>
      <c r="S1080">
        <v>1622</v>
      </c>
      <c r="T1080" t="s">
        <v>34</v>
      </c>
      <c r="U1080" t="s">
        <v>31</v>
      </c>
    </row>
    <row r="1081" spans="1:21">
      <c r="A1081" t="s">
        <v>1771</v>
      </c>
      <c r="B1081" t="s">
        <v>1772</v>
      </c>
      <c r="C1081" t="s">
        <v>1773</v>
      </c>
      <c r="D1081">
        <v>106000</v>
      </c>
      <c r="E1081">
        <v>8000</v>
      </c>
      <c r="F1081">
        <v>106000</v>
      </c>
      <c r="G1081">
        <v>212000</v>
      </c>
      <c r="H1081">
        <v>1</v>
      </c>
      <c r="I1081" t="s">
        <v>89</v>
      </c>
      <c r="J1081">
        <v>29.95</v>
      </c>
      <c r="K1081">
        <v>12</v>
      </c>
      <c r="L1081">
        <v>3</v>
      </c>
      <c r="M1081" t="s">
        <v>1752</v>
      </c>
      <c r="N1081">
        <v>7</v>
      </c>
      <c r="O1081">
        <v>11</v>
      </c>
      <c r="P1081">
        <v>193264.71</v>
      </c>
      <c r="Q1081">
        <v>95329.65</v>
      </c>
      <c r="R1081">
        <v>68</v>
      </c>
      <c r="S1081">
        <v>1622</v>
      </c>
      <c r="T1081" t="s">
        <v>34</v>
      </c>
      <c r="U1081" t="s">
        <v>90</v>
      </c>
    </row>
    <row r="1082" spans="1:21">
      <c r="A1082" t="s">
        <v>1774</v>
      </c>
      <c r="B1082" t="s">
        <v>1775</v>
      </c>
      <c r="C1082" t="s">
        <v>1751</v>
      </c>
      <c r="D1082">
        <v>75000</v>
      </c>
      <c r="E1082">
        <v>4000</v>
      </c>
      <c r="F1082">
        <v>75000</v>
      </c>
      <c r="G1082">
        <v>75000</v>
      </c>
      <c r="H1082">
        <v>1</v>
      </c>
      <c r="I1082" t="s">
        <v>89</v>
      </c>
      <c r="J1082">
        <v>14.79</v>
      </c>
      <c r="K1082">
        <v>35</v>
      </c>
      <c r="L1082">
        <v>5</v>
      </c>
      <c r="M1082" t="s">
        <v>1752</v>
      </c>
      <c r="N1082">
        <v>9</v>
      </c>
      <c r="O1082">
        <v>12</v>
      </c>
      <c r="P1082">
        <v>193264.71</v>
      </c>
      <c r="Q1082">
        <v>95329.65</v>
      </c>
      <c r="R1082">
        <v>68</v>
      </c>
      <c r="S1082">
        <v>1622</v>
      </c>
      <c r="T1082" t="s">
        <v>108</v>
      </c>
      <c r="U1082" t="s">
        <v>49</v>
      </c>
    </row>
    <row r="1083" spans="1:21">
      <c r="A1083" t="s">
        <v>1776</v>
      </c>
      <c r="B1083" t="s">
        <v>1777</v>
      </c>
      <c r="C1083" t="s">
        <v>1768</v>
      </c>
      <c r="D1083">
        <v>141000</v>
      </c>
      <c r="E1083">
        <v>15000</v>
      </c>
      <c r="F1083">
        <v>141000</v>
      </c>
      <c r="G1083">
        <v>141000</v>
      </c>
      <c r="H1083">
        <v>2</v>
      </c>
      <c r="I1083" t="s">
        <v>89</v>
      </c>
      <c r="J1083">
        <v>25.41</v>
      </c>
      <c r="K1083">
        <v>8</v>
      </c>
      <c r="L1083">
        <v>8</v>
      </c>
      <c r="M1083" t="s">
        <v>1752</v>
      </c>
      <c r="N1083">
        <v>8</v>
      </c>
      <c r="O1083">
        <v>12</v>
      </c>
      <c r="P1083">
        <v>193264.71</v>
      </c>
      <c r="Q1083">
        <v>95329.65</v>
      </c>
      <c r="R1083">
        <v>68</v>
      </c>
      <c r="S1083">
        <v>1622</v>
      </c>
      <c r="T1083" t="s">
        <v>34</v>
      </c>
      <c r="U1083" t="s">
        <v>31</v>
      </c>
    </row>
    <row r="1084" spans="1:21">
      <c r="A1084" t="s">
        <v>1778</v>
      </c>
      <c r="B1084" t="s">
        <v>1777</v>
      </c>
      <c r="C1084" t="s">
        <v>1768</v>
      </c>
      <c r="D1084">
        <v>145000</v>
      </c>
      <c r="E1084">
        <v>15000</v>
      </c>
      <c r="F1084">
        <v>145000</v>
      </c>
      <c r="G1084">
        <v>145000</v>
      </c>
      <c r="H1084">
        <v>2</v>
      </c>
      <c r="I1084" t="s">
        <v>89</v>
      </c>
      <c r="J1084">
        <v>25.41</v>
      </c>
      <c r="K1084">
        <v>8</v>
      </c>
      <c r="L1084">
        <v>8</v>
      </c>
      <c r="M1084" t="s">
        <v>1752</v>
      </c>
      <c r="N1084">
        <v>8</v>
      </c>
      <c r="O1084">
        <v>12</v>
      </c>
      <c r="P1084">
        <v>193264.71</v>
      </c>
      <c r="Q1084">
        <v>95329.65</v>
      </c>
      <c r="R1084">
        <v>68</v>
      </c>
      <c r="S1084">
        <v>1622</v>
      </c>
      <c r="T1084" t="s">
        <v>34</v>
      </c>
      <c r="U1084" t="s">
        <v>31</v>
      </c>
    </row>
    <row r="1085" spans="1:21">
      <c r="A1085" t="s">
        <v>1779</v>
      </c>
      <c r="B1085" t="s">
        <v>1780</v>
      </c>
      <c r="C1085" t="s">
        <v>1751</v>
      </c>
      <c r="D1085">
        <v>85000</v>
      </c>
      <c r="E1085">
        <v>2000</v>
      </c>
      <c r="G1085">
        <v>85000</v>
      </c>
      <c r="H1085">
        <v>2</v>
      </c>
      <c r="I1085" t="s">
        <v>89</v>
      </c>
      <c r="J1085">
        <v>20.7</v>
      </c>
      <c r="K1085">
        <v>22</v>
      </c>
      <c r="L1085">
        <v>2</v>
      </c>
      <c r="M1085" t="s">
        <v>1752</v>
      </c>
      <c r="N1085">
        <v>10</v>
      </c>
      <c r="O1085">
        <v>13.33</v>
      </c>
      <c r="P1085">
        <v>193264.71</v>
      </c>
      <c r="Q1085">
        <v>95329.65</v>
      </c>
      <c r="R1085">
        <v>68</v>
      </c>
      <c r="S1085">
        <v>1622</v>
      </c>
      <c r="T1085" t="s">
        <v>34</v>
      </c>
      <c r="U1085" t="s">
        <v>27</v>
      </c>
    </row>
    <row r="1086" spans="1:21">
      <c r="A1086" t="s">
        <v>1781</v>
      </c>
      <c r="B1086" t="s">
        <v>1750</v>
      </c>
      <c r="C1086" t="s">
        <v>1751</v>
      </c>
      <c r="D1086">
        <v>159000</v>
      </c>
      <c r="E1086">
        <v>18000</v>
      </c>
      <c r="F1086">
        <v>159000</v>
      </c>
      <c r="H1086">
        <v>1</v>
      </c>
      <c r="I1086" t="s">
        <v>325</v>
      </c>
      <c r="J1086">
        <v>30.38</v>
      </c>
      <c r="K1086">
        <v>3</v>
      </c>
      <c r="L1086">
        <v>7</v>
      </c>
      <c r="M1086" t="s">
        <v>1752</v>
      </c>
      <c r="N1086">
        <v>6</v>
      </c>
      <c r="O1086">
        <v>11</v>
      </c>
      <c r="P1086">
        <v>193264.71</v>
      </c>
      <c r="Q1086">
        <v>168453.81</v>
      </c>
      <c r="R1086">
        <v>68</v>
      </c>
      <c r="S1086">
        <v>788</v>
      </c>
      <c r="T1086" t="s">
        <v>26</v>
      </c>
      <c r="U1086" t="s">
        <v>31</v>
      </c>
    </row>
    <row r="1087" spans="1:21">
      <c r="A1087" t="s">
        <v>1782</v>
      </c>
      <c r="B1087" t="s">
        <v>1750</v>
      </c>
      <c r="C1087" t="s">
        <v>1751</v>
      </c>
      <c r="D1087">
        <v>192000</v>
      </c>
      <c r="E1087">
        <v>18000</v>
      </c>
      <c r="F1087">
        <v>192000</v>
      </c>
      <c r="H1087">
        <v>1</v>
      </c>
      <c r="I1087" t="s">
        <v>325</v>
      </c>
      <c r="J1087">
        <v>36.03</v>
      </c>
      <c r="K1087">
        <v>3</v>
      </c>
      <c r="L1087">
        <v>7</v>
      </c>
      <c r="M1087" t="s">
        <v>1752</v>
      </c>
      <c r="N1087">
        <v>6</v>
      </c>
      <c r="O1087">
        <v>11</v>
      </c>
      <c r="P1087">
        <v>193264.71</v>
      </c>
      <c r="Q1087">
        <v>168453.81</v>
      </c>
      <c r="R1087">
        <v>68</v>
      </c>
      <c r="S1087">
        <v>788</v>
      </c>
      <c r="T1087" t="s">
        <v>26</v>
      </c>
      <c r="U1087" t="s">
        <v>31</v>
      </c>
    </row>
    <row r="1088" spans="1:21">
      <c r="A1088" t="s">
        <v>1783</v>
      </c>
      <c r="B1088" t="s">
        <v>1750</v>
      </c>
      <c r="C1088" t="s">
        <v>1751</v>
      </c>
      <c r="D1088">
        <v>226000</v>
      </c>
      <c r="E1088">
        <v>18000</v>
      </c>
      <c r="F1088">
        <v>226000</v>
      </c>
      <c r="H1088">
        <v>1</v>
      </c>
      <c r="I1088" t="s">
        <v>325</v>
      </c>
      <c r="J1088">
        <v>41.9</v>
      </c>
      <c r="K1088">
        <v>3</v>
      </c>
      <c r="L1088">
        <v>7</v>
      </c>
      <c r="M1088" t="s">
        <v>1752</v>
      </c>
      <c r="N1088">
        <v>6</v>
      </c>
      <c r="O1088">
        <v>11</v>
      </c>
      <c r="P1088">
        <v>193264.71</v>
      </c>
      <c r="Q1088">
        <v>168453.81</v>
      </c>
      <c r="R1088">
        <v>68</v>
      </c>
      <c r="S1088">
        <v>788</v>
      </c>
      <c r="T1088" t="s">
        <v>326</v>
      </c>
      <c r="U1088" t="s">
        <v>31</v>
      </c>
    </row>
    <row r="1089" spans="1:21">
      <c r="A1089" t="s">
        <v>1784</v>
      </c>
      <c r="B1089" t="s">
        <v>1750</v>
      </c>
      <c r="C1089" t="s">
        <v>1751</v>
      </c>
      <c r="D1089">
        <v>231000</v>
      </c>
      <c r="E1089">
        <v>18000</v>
      </c>
      <c r="F1089">
        <v>231000</v>
      </c>
      <c r="H1089">
        <v>1</v>
      </c>
      <c r="I1089" t="s">
        <v>325</v>
      </c>
      <c r="J1089">
        <v>41.9</v>
      </c>
      <c r="K1089">
        <v>3</v>
      </c>
      <c r="L1089">
        <v>7</v>
      </c>
      <c r="M1089" t="s">
        <v>1752</v>
      </c>
      <c r="N1089">
        <v>6</v>
      </c>
      <c r="O1089">
        <v>11</v>
      </c>
      <c r="P1089">
        <v>193264.71</v>
      </c>
      <c r="Q1089">
        <v>168453.81</v>
      </c>
      <c r="R1089">
        <v>68</v>
      </c>
      <c r="S1089">
        <v>788</v>
      </c>
      <c r="T1089" t="s">
        <v>326</v>
      </c>
      <c r="U1089" t="s">
        <v>31</v>
      </c>
    </row>
    <row r="1090" spans="1:21">
      <c r="A1090" t="s">
        <v>1785</v>
      </c>
      <c r="B1090" t="s">
        <v>1750</v>
      </c>
      <c r="C1090" t="s">
        <v>1751</v>
      </c>
      <c r="D1090">
        <v>229000</v>
      </c>
      <c r="E1090">
        <v>18000</v>
      </c>
      <c r="F1090">
        <v>229000</v>
      </c>
      <c r="H1090">
        <v>1</v>
      </c>
      <c r="I1090" t="s">
        <v>325</v>
      </c>
      <c r="J1090">
        <v>42.14</v>
      </c>
      <c r="K1090">
        <v>3</v>
      </c>
      <c r="L1090">
        <v>7</v>
      </c>
      <c r="M1090" t="s">
        <v>1752</v>
      </c>
      <c r="N1090">
        <v>6</v>
      </c>
      <c r="O1090">
        <v>11</v>
      </c>
      <c r="P1090">
        <v>193264.71</v>
      </c>
      <c r="Q1090">
        <v>168453.81</v>
      </c>
      <c r="R1090">
        <v>68</v>
      </c>
      <c r="S1090">
        <v>788</v>
      </c>
      <c r="T1090" t="s">
        <v>326</v>
      </c>
      <c r="U1090" t="s">
        <v>31</v>
      </c>
    </row>
    <row r="1091" spans="1:21">
      <c r="A1091" t="s">
        <v>1786</v>
      </c>
      <c r="B1091" t="s">
        <v>1750</v>
      </c>
      <c r="C1091" t="s">
        <v>1751</v>
      </c>
      <c r="D1091">
        <v>234000</v>
      </c>
      <c r="E1091">
        <v>18000</v>
      </c>
      <c r="F1091">
        <v>234000</v>
      </c>
      <c r="H1091">
        <v>1</v>
      </c>
      <c r="I1091" t="s">
        <v>325</v>
      </c>
      <c r="J1091">
        <v>42.14</v>
      </c>
      <c r="K1091">
        <v>3</v>
      </c>
      <c r="L1091">
        <v>7</v>
      </c>
      <c r="M1091" t="s">
        <v>1752</v>
      </c>
      <c r="N1091">
        <v>6</v>
      </c>
      <c r="O1091">
        <v>11</v>
      </c>
      <c r="P1091">
        <v>193264.71</v>
      </c>
      <c r="Q1091">
        <v>168453.81</v>
      </c>
      <c r="R1091">
        <v>68</v>
      </c>
      <c r="S1091">
        <v>788</v>
      </c>
      <c r="T1091" t="s">
        <v>326</v>
      </c>
      <c r="U1091" t="s">
        <v>31</v>
      </c>
    </row>
    <row r="1092" spans="1:21">
      <c r="A1092" t="s">
        <v>1787</v>
      </c>
      <c r="B1092" t="s">
        <v>1750</v>
      </c>
      <c r="C1092" t="s">
        <v>1751</v>
      </c>
      <c r="D1092">
        <v>228000</v>
      </c>
      <c r="E1092">
        <v>18000</v>
      </c>
      <c r="F1092">
        <v>228000</v>
      </c>
      <c r="H1092">
        <v>1</v>
      </c>
      <c r="I1092" t="s">
        <v>325</v>
      </c>
      <c r="J1092">
        <v>42.35</v>
      </c>
      <c r="K1092">
        <v>3</v>
      </c>
      <c r="L1092">
        <v>7</v>
      </c>
      <c r="M1092" t="s">
        <v>1752</v>
      </c>
      <c r="N1092">
        <v>6</v>
      </c>
      <c r="O1092">
        <v>11</v>
      </c>
      <c r="P1092">
        <v>193264.71</v>
      </c>
      <c r="Q1092">
        <v>168453.81</v>
      </c>
      <c r="R1092">
        <v>68</v>
      </c>
      <c r="S1092">
        <v>788</v>
      </c>
      <c r="T1092" t="s">
        <v>326</v>
      </c>
      <c r="U1092" t="s">
        <v>31</v>
      </c>
    </row>
    <row r="1093" spans="1:21">
      <c r="A1093" t="s">
        <v>1788</v>
      </c>
      <c r="B1093" t="s">
        <v>1750</v>
      </c>
      <c r="C1093" t="s">
        <v>1751</v>
      </c>
      <c r="D1093">
        <v>172000</v>
      </c>
      <c r="E1093">
        <v>18000</v>
      </c>
      <c r="F1093">
        <v>172000</v>
      </c>
      <c r="H1093">
        <v>2</v>
      </c>
      <c r="I1093" t="s">
        <v>325</v>
      </c>
      <c r="J1093">
        <v>32.19</v>
      </c>
      <c r="K1093">
        <v>3</v>
      </c>
      <c r="L1093">
        <v>7</v>
      </c>
      <c r="M1093" t="s">
        <v>1752</v>
      </c>
      <c r="N1093">
        <v>6</v>
      </c>
      <c r="O1093">
        <v>11</v>
      </c>
      <c r="P1093">
        <v>193264.71</v>
      </c>
      <c r="Q1093">
        <v>168453.81</v>
      </c>
      <c r="R1093">
        <v>68</v>
      </c>
      <c r="S1093">
        <v>788</v>
      </c>
      <c r="T1093" t="s">
        <v>26</v>
      </c>
      <c r="U1093" t="s">
        <v>31</v>
      </c>
    </row>
    <row r="1094" spans="1:21">
      <c r="A1094" t="s">
        <v>1789</v>
      </c>
      <c r="B1094" t="s">
        <v>1750</v>
      </c>
      <c r="C1094" t="s">
        <v>1751</v>
      </c>
      <c r="D1094">
        <v>193000</v>
      </c>
      <c r="E1094">
        <v>18000</v>
      </c>
      <c r="F1094">
        <v>193000</v>
      </c>
      <c r="H1094">
        <v>2</v>
      </c>
      <c r="I1094" t="s">
        <v>325</v>
      </c>
      <c r="J1094">
        <v>36.03</v>
      </c>
      <c r="K1094">
        <v>3</v>
      </c>
      <c r="L1094">
        <v>7</v>
      </c>
      <c r="M1094" t="s">
        <v>1752</v>
      </c>
      <c r="N1094">
        <v>6</v>
      </c>
      <c r="O1094">
        <v>11</v>
      </c>
      <c r="P1094">
        <v>193264.71</v>
      </c>
      <c r="Q1094">
        <v>168453.81</v>
      </c>
      <c r="R1094">
        <v>68</v>
      </c>
      <c r="S1094">
        <v>788</v>
      </c>
      <c r="T1094" t="s">
        <v>26</v>
      </c>
      <c r="U1094" t="s">
        <v>31</v>
      </c>
    </row>
    <row r="1095" spans="1:21">
      <c r="A1095" t="s">
        <v>1790</v>
      </c>
      <c r="B1095" t="s">
        <v>1750</v>
      </c>
      <c r="C1095" t="s">
        <v>1751</v>
      </c>
      <c r="D1095">
        <v>227000</v>
      </c>
      <c r="E1095">
        <v>18000</v>
      </c>
      <c r="F1095">
        <v>227000</v>
      </c>
      <c r="H1095">
        <v>2</v>
      </c>
      <c r="I1095" t="s">
        <v>325</v>
      </c>
      <c r="J1095">
        <v>41.9</v>
      </c>
      <c r="K1095">
        <v>3</v>
      </c>
      <c r="L1095">
        <v>7</v>
      </c>
      <c r="M1095" t="s">
        <v>1752</v>
      </c>
      <c r="N1095">
        <v>6</v>
      </c>
      <c r="O1095">
        <v>11</v>
      </c>
      <c r="P1095">
        <v>193264.71</v>
      </c>
      <c r="Q1095">
        <v>168453.81</v>
      </c>
      <c r="R1095">
        <v>68</v>
      </c>
      <c r="S1095">
        <v>788</v>
      </c>
      <c r="T1095" t="s">
        <v>326</v>
      </c>
      <c r="U1095" t="s">
        <v>31</v>
      </c>
    </row>
    <row r="1096" spans="1:21">
      <c r="A1096" t="s">
        <v>1791</v>
      </c>
      <c r="B1096" t="s">
        <v>1750</v>
      </c>
      <c r="C1096" t="s">
        <v>1751</v>
      </c>
      <c r="D1096">
        <v>193000</v>
      </c>
      <c r="E1096">
        <v>18000</v>
      </c>
      <c r="F1096">
        <v>193000</v>
      </c>
      <c r="H1096">
        <v>3</v>
      </c>
      <c r="I1096" t="s">
        <v>325</v>
      </c>
      <c r="J1096">
        <v>34.22</v>
      </c>
      <c r="K1096">
        <v>3</v>
      </c>
      <c r="L1096">
        <v>7</v>
      </c>
      <c r="M1096" t="s">
        <v>1752</v>
      </c>
      <c r="N1096">
        <v>6</v>
      </c>
      <c r="O1096">
        <v>11</v>
      </c>
      <c r="P1096">
        <v>193264.71</v>
      </c>
      <c r="Q1096">
        <v>168453.81</v>
      </c>
      <c r="R1096">
        <v>68</v>
      </c>
      <c r="S1096">
        <v>788</v>
      </c>
      <c r="T1096" t="s">
        <v>26</v>
      </c>
      <c r="U1096" t="s">
        <v>31</v>
      </c>
    </row>
    <row r="1097" spans="1:21">
      <c r="A1097" t="s">
        <v>1792</v>
      </c>
      <c r="B1097" t="s">
        <v>1750</v>
      </c>
      <c r="C1097" t="s">
        <v>1751</v>
      </c>
      <c r="D1097">
        <v>198000</v>
      </c>
      <c r="E1097">
        <v>18000</v>
      </c>
      <c r="F1097">
        <v>198000</v>
      </c>
      <c r="H1097">
        <v>3</v>
      </c>
      <c r="I1097" t="s">
        <v>325</v>
      </c>
      <c r="J1097">
        <v>34.22</v>
      </c>
      <c r="K1097">
        <v>3</v>
      </c>
      <c r="L1097">
        <v>7</v>
      </c>
      <c r="M1097" t="s">
        <v>1752</v>
      </c>
      <c r="N1097">
        <v>6</v>
      </c>
      <c r="O1097">
        <v>11</v>
      </c>
      <c r="P1097">
        <v>193264.71</v>
      </c>
      <c r="Q1097">
        <v>168453.81</v>
      </c>
      <c r="R1097">
        <v>68</v>
      </c>
      <c r="S1097">
        <v>788</v>
      </c>
      <c r="T1097" t="s">
        <v>26</v>
      </c>
      <c r="U1097" t="s">
        <v>31</v>
      </c>
    </row>
    <row r="1098" spans="1:21">
      <c r="A1098" t="s">
        <v>1793</v>
      </c>
      <c r="B1098" t="s">
        <v>1750</v>
      </c>
      <c r="C1098" t="s">
        <v>1751</v>
      </c>
      <c r="D1098">
        <v>194000</v>
      </c>
      <c r="E1098">
        <v>18000</v>
      </c>
      <c r="F1098">
        <v>194000</v>
      </c>
      <c r="H1098">
        <v>3</v>
      </c>
      <c r="I1098" t="s">
        <v>325</v>
      </c>
      <c r="J1098">
        <v>36.03</v>
      </c>
      <c r="K1098">
        <v>3</v>
      </c>
      <c r="L1098">
        <v>7</v>
      </c>
      <c r="M1098" t="s">
        <v>1752</v>
      </c>
      <c r="N1098">
        <v>6</v>
      </c>
      <c r="O1098">
        <v>11</v>
      </c>
      <c r="P1098">
        <v>193264.71</v>
      </c>
      <c r="Q1098">
        <v>168453.81</v>
      </c>
      <c r="R1098">
        <v>68</v>
      </c>
      <c r="S1098">
        <v>788</v>
      </c>
      <c r="T1098" t="s">
        <v>26</v>
      </c>
      <c r="U1098" t="s">
        <v>31</v>
      </c>
    </row>
    <row r="1099" spans="1:21">
      <c r="A1099" t="s">
        <v>1794</v>
      </c>
      <c r="B1099" t="s">
        <v>1750</v>
      </c>
      <c r="C1099" t="s">
        <v>1751</v>
      </c>
      <c r="D1099">
        <v>231000</v>
      </c>
      <c r="E1099">
        <v>18000</v>
      </c>
      <c r="F1099">
        <v>231000</v>
      </c>
      <c r="H1099">
        <v>3</v>
      </c>
      <c r="I1099" t="s">
        <v>325</v>
      </c>
      <c r="J1099">
        <v>42.14</v>
      </c>
      <c r="K1099">
        <v>3</v>
      </c>
      <c r="L1099">
        <v>7</v>
      </c>
      <c r="M1099" t="s">
        <v>1752</v>
      </c>
      <c r="N1099">
        <v>6</v>
      </c>
      <c r="O1099">
        <v>11</v>
      </c>
      <c r="P1099">
        <v>193264.71</v>
      </c>
      <c r="Q1099">
        <v>168453.81</v>
      </c>
      <c r="R1099">
        <v>68</v>
      </c>
      <c r="S1099">
        <v>788</v>
      </c>
      <c r="T1099" t="s">
        <v>326</v>
      </c>
      <c r="U1099" t="s">
        <v>31</v>
      </c>
    </row>
    <row r="1100" spans="1:21">
      <c r="A1100" t="s">
        <v>1795</v>
      </c>
      <c r="B1100" t="s">
        <v>1750</v>
      </c>
      <c r="C1100" t="s">
        <v>1751</v>
      </c>
      <c r="D1100">
        <v>195000</v>
      </c>
      <c r="E1100">
        <v>18000</v>
      </c>
      <c r="F1100">
        <v>195000</v>
      </c>
      <c r="H1100">
        <v>4</v>
      </c>
      <c r="I1100" t="s">
        <v>325</v>
      </c>
      <c r="J1100">
        <v>36.03</v>
      </c>
      <c r="K1100">
        <v>3</v>
      </c>
      <c r="L1100">
        <v>7</v>
      </c>
      <c r="M1100" t="s">
        <v>1752</v>
      </c>
      <c r="N1100">
        <v>6</v>
      </c>
      <c r="O1100">
        <v>11</v>
      </c>
      <c r="P1100">
        <v>193264.71</v>
      </c>
      <c r="Q1100">
        <v>168453.81</v>
      </c>
      <c r="R1100">
        <v>68</v>
      </c>
      <c r="S1100">
        <v>788</v>
      </c>
      <c r="T1100" t="s">
        <v>26</v>
      </c>
      <c r="U1100" t="s">
        <v>31</v>
      </c>
    </row>
    <row r="1101" spans="1:21">
      <c r="A1101" t="s">
        <v>1796</v>
      </c>
      <c r="B1101" t="s">
        <v>1750</v>
      </c>
      <c r="C1101" t="s">
        <v>1751</v>
      </c>
      <c r="D1101">
        <v>232000</v>
      </c>
      <c r="E1101">
        <v>18000</v>
      </c>
      <c r="F1101">
        <v>232000</v>
      </c>
      <c r="H1101">
        <v>4</v>
      </c>
      <c r="I1101" t="s">
        <v>325</v>
      </c>
      <c r="J1101">
        <v>42.14</v>
      </c>
      <c r="K1101">
        <v>3</v>
      </c>
      <c r="L1101">
        <v>7</v>
      </c>
      <c r="M1101" t="s">
        <v>1752</v>
      </c>
      <c r="N1101">
        <v>6</v>
      </c>
      <c r="O1101">
        <v>11</v>
      </c>
      <c r="P1101">
        <v>193264.71</v>
      </c>
      <c r="Q1101">
        <v>168453.81</v>
      </c>
      <c r="R1101">
        <v>68</v>
      </c>
      <c r="S1101">
        <v>788</v>
      </c>
      <c r="T1101" t="s">
        <v>326</v>
      </c>
      <c r="U1101" t="s">
        <v>31</v>
      </c>
    </row>
    <row r="1102" spans="1:21">
      <c r="A1102" t="s">
        <v>1797</v>
      </c>
      <c r="B1102" t="s">
        <v>1750</v>
      </c>
      <c r="C1102" t="s">
        <v>1751</v>
      </c>
      <c r="D1102">
        <v>237000</v>
      </c>
      <c r="E1102">
        <v>18000</v>
      </c>
      <c r="F1102">
        <v>237000</v>
      </c>
      <c r="H1102">
        <v>5</v>
      </c>
      <c r="I1102" t="s">
        <v>325</v>
      </c>
      <c r="J1102">
        <v>42.35</v>
      </c>
      <c r="K1102">
        <v>3</v>
      </c>
      <c r="L1102">
        <v>7</v>
      </c>
      <c r="M1102" t="s">
        <v>1752</v>
      </c>
      <c r="N1102">
        <v>6</v>
      </c>
      <c r="O1102">
        <v>11</v>
      </c>
      <c r="P1102">
        <v>193264.71</v>
      </c>
      <c r="Q1102">
        <v>168453.81</v>
      </c>
      <c r="R1102">
        <v>68</v>
      </c>
      <c r="S1102">
        <v>788</v>
      </c>
      <c r="T1102" t="s">
        <v>326</v>
      </c>
      <c r="U1102" t="s">
        <v>31</v>
      </c>
    </row>
    <row r="1103" spans="1:21">
      <c r="A1103" t="s">
        <v>1798</v>
      </c>
      <c r="B1103" t="s">
        <v>1750</v>
      </c>
      <c r="C1103" t="s">
        <v>1751</v>
      </c>
      <c r="D1103">
        <v>197000</v>
      </c>
      <c r="E1103">
        <v>18000</v>
      </c>
      <c r="F1103">
        <v>197000</v>
      </c>
      <c r="H1103">
        <v>7</v>
      </c>
      <c r="I1103" t="s">
        <v>325</v>
      </c>
      <c r="J1103">
        <v>34.22</v>
      </c>
      <c r="K1103">
        <v>3</v>
      </c>
      <c r="L1103">
        <v>7</v>
      </c>
      <c r="M1103" t="s">
        <v>1752</v>
      </c>
      <c r="N1103">
        <v>6</v>
      </c>
      <c r="O1103">
        <v>11</v>
      </c>
      <c r="P1103">
        <v>193264.71</v>
      </c>
      <c r="Q1103">
        <v>168453.81</v>
      </c>
      <c r="R1103">
        <v>68</v>
      </c>
      <c r="S1103">
        <v>788</v>
      </c>
      <c r="T1103" t="s">
        <v>26</v>
      </c>
      <c r="U1103" t="s">
        <v>31</v>
      </c>
    </row>
    <row r="1104" spans="1:21">
      <c r="A1104" t="s">
        <v>1799</v>
      </c>
      <c r="B1104" t="s">
        <v>1760</v>
      </c>
      <c r="C1104" t="s">
        <v>1751</v>
      </c>
      <c r="D1104">
        <v>192000</v>
      </c>
      <c r="E1104">
        <v>18000</v>
      </c>
      <c r="F1104">
        <v>192000</v>
      </c>
      <c r="H1104">
        <v>1</v>
      </c>
      <c r="I1104" t="s">
        <v>325</v>
      </c>
      <c r="J1104">
        <v>36.03</v>
      </c>
      <c r="K1104">
        <v>3</v>
      </c>
      <c r="L1104">
        <v>7</v>
      </c>
      <c r="M1104" t="s">
        <v>1752</v>
      </c>
      <c r="N1104">
        <v>6</v>
      </c>
      <c r="O1104">
        <v>11</v>
      </c>
      <c r="P1104">
        <v>193264.71</v>
      </c>
      <c r="Q1104">
        <v>168453.81</v>
      </c>
      <c r="R1104">
        <v>68</v>
      </c>
      <c r="S1104">
        <v>788</v>
      </c>
      <c r="T1104" t="s">
        <v>26</v>
      </c>
      <c r="U1104" t="s">
        <v>31</v>
      </c>
    </row>
    <row r="1105" spans="1:21">
      <c r="A1105" t="s">
        <v>1800</v>
      </c>
      <c r="B1105" t="s">
        <v>1760</v>
      </c>
      <c r="C1105" t="s">
        <v>1751</v>
      </c>
      <c r="D1105">
        <v>226000</v>
      </c>
      <c r="E1105">
        <v>18000</v>
      </c>
      <c r="F1105">
        <v>226000</v>
      </c>
      <c r="H1105">
        <v>1</v>
      </c>
      <c r="I1105" t="s">
        <v>325</v>
      </c>
      <c r="J1105">
        <v>41.9</v>
      </c>
      <c r="K1105">
        <v>3</v>
      </c>
      <c r="L1105">
        <v>7</v>
      </c>
      <c r="M1105" t="s">
        <v>1752</v>
      </c>
      <c r="N1105">
        <v>6</v>
      </c>
      <c r="O1105">
        <v>11</v>
      </c>
      <c r="P1105">
        <v>193264.71</v>
      </c>
      <c r="Q1105">
        <v>168453.81</v>
      </c>
      <c r="R1105">
        <v>68</v>
      </c>
      <c r="S1105">
        <v>788</v>
      </c>
      <c r="T1105" t="s">
        <v>326</v>
      </c>
      <c r="U1105" t="s">
        <v>31</v>
      </c>
    </row>
    <row r="1106" spans="1:21">
      <c r="A1106" t="s">
        <v>1801</v>
      </c>
      <c r="B1106" t="s">
        <v>1760</v>
      </c>
      <c r="C1106" t="s">
        <v>1751</v>
      </c>
      <c r="D1106">
        <v>229000</v>
      </c>
      <c r="E1106">
        <v>18000</v>
      </c>
      <c r="F1106">
        <v>229000</v>
      </c>
      <c r="H1106">
        <v>1</v>
      </c>
      <c r="I1106" t="s">
        <v>325</v>
      </c>
      <c r="J1106">
        <v>42.14</v>
      </c>
      <c r="K1106">
        <v>3</v>
      </c>
      <c r="L1106">
        <v>7</v>
      </c>
      <c r="M1106" t="s">
        <v>1752</v>
      </c>
      <c r="N1106">
        <v>6</v>
      </c>
      <c r="O1106">
        <v>11</v>
      </c>
      <c r="P1106">
        <v>193264.71</v>
      </c>
      <c r="Q1106">
        <v>168453.81</v>
      </c>
      <c r="R1106">
        <v>68</v>
      </c>
      <c r="S1106">
        <v>788</v>
      </c>
      <c r="T1106" t="s">
        <v>326</v>
      </c>
      <c r="U1106" t="s">
        <v>31</v>
      </c>
    </row>
    <row r="1107" spans="1:21">
      <c r="A1107" t="s">
        <v>1802</v>
      </c>
      <c r="B1107" t="s">
        <v>1760</v>
      </c>
      <c r="C1107" t="s">
        <v>1751</v>
      </c>
      <c r="D1107">
        <v>228000</v>
      </c>
      <c r="E1107">
        <v>18000</v>
      </c>
      <c r="F1107">
        <v>228000</v>
      </c>
      <c r="H1107">
        <v>1</v>
      </c>
      <c r="I1107" t="s">
        <v>325</v>
      </c>
      <c r="J1107">
        <v>42.35</v>
      </c>
      <c r="K1107">
        <v>3</v>
      </c>
      <c r="L1107">
        <v>7</v>
      </c>
      <c r="M1107" t="s">
        <v>1752</v>
      </c>
      <c r="N1107">
        <v>6</v>
      </c>
      <c r="O1107">
        <v>11</v>
      </c>
      <c r="P1107">
        <v>193264.71</v>
      </c>
      <c r="Q1107">
        <v>168453.81</v>
      </c>
      <c r="R1107">
        <v>68</v>
      </c>
      <c r="S1107">
        <v>788</v>
      </c>
      <c r="T1107" t="s">
        <v>326</v>
      </c>
      <c r="U1107" t="s">
        <v>31</v>
      </c>
    </row>
    <row r="1108" spans="1:21">
      <c r="A1108" t="s">
        <v>1803</v>
      </c>
      <c r="B1108" t="s">
        <v>1760</v>
      </c>
      <c r="C1108" t="s">
        <v>1751</v>
      </c>
      <c r="D1108">
        <v>172000</v>
      </c>
      <c r="E1108">
        <v>18000</v>
      </c>
      <c r="F1108">
        <v>172000</v>
      </c>
      <c r="H1108">
        <v>2</v>
      </c>
      <c r="I1108" t="s">
        <v>325</v>
      </c>
      <c r="J1108">
        <v>32.19</v>
      </c>
      <c r="K1108">
        <v>3</v>
      </c>
      <c r="L1108">
        <v>7</v>
      </c>
      <c r="M1108" t="s">
        <v>1752</v>
      </c>
      <c r="N1108">
        <v>6</v>
      </c>
      <c r="O1108">
        <v>11</v>
      </c>
      <c r="P1108">
        <v>193264.71</v>
      </c>
      <c r="Q1108">
        <v>168453.81</v>
      </c>
      <c r="R1108">
        <v>68</v>
      </c>
      <c r="S1108">
        <v>788</v>
      </c>
      <c r="T1108" t="s">
        <v>26</v>
      </c>
      <c r="U1108" t="s">
        <v>31</v>
      </c>
    </row>
    <row r="1109" spans="1:21">
      <c r="A1109" t="s">
        <v>1804</v>
      </c>
      <c r="B1109" t="s">
        <v>1760</v>
      </c>
      <c r="C1109" t="s">
        <v>1751</v>
      </c>
      <c r="D1109">
        <v>227000</v>
      </c>
      <c r="E1109">
        <v>18000</v>
      </c>
      <c r="F1109">
        <v>227000</v>
      </c>
      <c r="H1109">
        <v>2</v>
      </c>
      <c r="I1109" t="s">
        <v>325</v>
      </c>
      <c r="J1109">
        <v>41.9</v>
      </c>
      <c r="K1109">
        <v>3</v>
      </c>
      <c r="L1109">
        <v>7</v>
      </c>
      <c r="M1109" t="s">
        <v>1752</v>
      </c>
      <c r="N1109">
        <v>6</v>
      </c>
      <c r="O1109">
        <v>11</v>
      </c>
      <c r="P1109">
        <v>193264.71</v>
      </c>
      <c r="Q1109">
        <v>168453.81</v>
      </c>
      <c r="R1109">
        <v>68</v>
      </c>
      <c r="S1109">
        <v>788</v>
      </c>
      <c r="T1109" t="s">
        <v>326</v>
      </c>
      <c r="U1109" t="s">
        <v>31</v>
      </c>
    </row>
    <row r="1110" spans="1:21">
      <c r="A1110" t="s">
        <v>1805</v>
      </c>
      <c r="B1110" t="s">
        <v>1760</v>
      </c>
      <c r="C1110" t="s">
        <v>1751</v>
      </c>
      <c r="D1110">
        <v>193000</v>
      </c>
      <c r="E1110">
        <v>18000</v>
      </c>
      <c r="F1110">
        <v>193000</v>
      </c>
      <c r="H1110">
        <v>3</v>
      </c>
      <c r="I1110" t="s">
        <v>325</v>
      </c>
      <c r="J1110">
        <v>34.22</v>
      </c>
      <c r="K1110">
        <v>3</v>
      </c>
      <c r="L1110">
        <v>7</v>
      </c>
      <c r="M1110" t="s">
        <v>1752</v>
      </c>
      <c r="N1110">
        <v>6</v>
      </c>
      <c r="O1110">
        <v>11</v>
      </c>
      <c r="P1110">
        <v>193264.71</v>
      </c>
      <c r="Q1110">
        <v>168453.81</v>
      </c>
      <c r="R1110">
        <v>68</v>
      </c>
      <c r="S1110">
        <v>788</v>
      </c>
      <c r="T1110" t="s">
        <v>26</v>
      </c>
      <c r="U1110" t="s">
        <v>31</v>
      </c>
    </row>
    <row r="1111" spans="1:21">
      <c r="A1111" t="s">
        <v>1806</v>
      </c>
      <c r="B1111" t="s">
        <v>1760</v>
      </c>
      <c r="C1111" t="s">
        <v>1751</v>
      </c>
      <c r="D1111">
        <v>231000</v>
      </c>
      <c r="E1111">
        <v>18000</v>
      </c>
      <c r="F1111">
        <v>231000</v>
      </c>
      <c r="H1111">
        <v>3</v>
      </c>
      <c r="I1111" t="s">
        <v>325</v>
      </c>
      <c r="J1111">
        <v>42.14</v>
      </c>
      <c r="K1111">
        <v>3</v>
      </c>
      <c r="L1111">
        <v>7</v>
      </c>
      <c r="M1111" t="s">
        <v>1752</v>
      </c>
      <c r="N1111">
        <v>6</v>
      </c>
      <c r="O1111">
        <v>11</v>
      </c>
      <c r="P1111">
        <v>193264.71</v>
      </c>
      <c r="Q1111">
        <v>168453.81</v>
      </c>
      <c r="R1111">
        <v>68</v>
      </c>
      <c r="S1111">
        <v>788</v>
      </c>
      <c r="T1111" t="s">
        <v>326</v>
      </c>
      <c r="U1111" t="s">
        <v>31</v>
      </c>
    </row>
    <row r="1112" spans="1:21">
      <c r="A1112" t="s">
        <v>1807</v>
      </c>
      <c r="B1112" t="s">
        <v>1760</v>
      </c>
      <c r="C1112" t="s">
        <v>1751</v>
      </c>
      <c r="D1112">
        <v>195000</v>
      </c>
      <c r="E1112">
        <v>18000</v>
      </c>
      <c r="F1112">
        <v>195000</v>
      </c>
      <c r="H1112">
        <v>4</v>
      </c>
      <c r="I1112" t="s">
        <v>325</v>
      </c>
      <c r="J1112">
        <v>36.03</v>
      </c>
      <c r="K1112">
        <v>3</v>
      </c>
      <c r="L1112">
        <v>7</v>
      </c>
      <c r="M1112" t="s">
        <v>1752</v>
      </c>
      <c r="N1112">
        <v>6</v>
      </c>
      <c r="O1112">
        <v>11</v>
      </c>
      <c r="P1112">
        <v>193264.71</v>
      </c>
      <c r="Q1112">
        <v>168453.81</v>
      </c>
      <c r="R1112">
        <v>68</v>
      </c>
      <c r="S1112">
        <v>788</v>
      </c>
      <c r="T1112" t="s">
        <v>26</v>
      </c>
      <c r="U1112" t="s">
        <v>31</v>
      </c>
    </row>
    <row r="1113" spans="1:21">
      <c r="A1113" t="s">
        <v>1808</v>
      </c>
      <c r="B1113" t="s">
        <v>1760</v>
      </c>
      <c r="C1113" t="s">
        <v>1751</v>
      </c>
      <c r="D1113">
        <v>232000</v>
      </c>
      <c r="E1113">
        <v>18000</v>
      </c>
      <c r="F1113">
        <v>232000</v>
      </c>
      <c r="H1113">
        <v>4</v>
      </c>
      <c r="I1113" t="s">
        <v>325</v>
      </c>
      <c r="J1113">
        <v>42.14</v>
      </c>
      <c r="K1113">
        <v>3</v>
      </c>
      <c r="L1113">
        <v>7</v>
      </c>
      <c r="M1113" t="s">
        <v>1752</v>
      </c>
      <c r="N1113">
        <v>6</v>
      </c>
      <c r="O1113">
        <v>11</v>
      </c>
      <c r="P1113">
        <v>193264.71</v>
      </c>
      <c r="Q1113">
        <v>168453.81</v>
      </c>
      <c r="R1113">
        <v>68</v>
      </c>
      <c r="S1113">
        <v>788</v>
      </c>
      <c r="T1113" t="s">
        <v>326</v>
      </c>
      <c r="U1113" t="s">
        <v>31</v>
      </c>
    </row>
    <row r="1114" spans="1:21">
      <c r="A1114" t="s">
        <v>1809</v>
      </c>
      <c r="B1114" t="s">
        <v>1760</v>
      </c>
      <c r="C1114" t="s">
        <v>1751</v>
      </c>
      <c r="D1114">
        <v>182000</v>
      </c>
      <c r="E1114">
        <v>18000</v>
      </c>
      <c r="F1114">
        <v>182000</v>
      </c>
      <c r="H1114">
        <v>6</v>
      </c>
      <c r="I1114" t="s">
        <v>325</v>
      </c>
      <c r="J1114">
        <v>30.38</v>
      </c>
      <c r="K1114">
        <v>3</v>
      </c>
      <c r="L1114">
        <v>7</v>
      </c>
      <c r="M1114" t="s">
        <v>1752</v>
      </c>
      <c r="N1114">
        <v>6</v>
      </c>
      <c r="O1114">
        <v>11</v>
      </c>
      <c r="P1114">
        <v>193264.71</v>
      </c>
      <c r="Q1114">
        <v>168453.81</v>
      </c>
      <c r="R1114">
        <v>68</v>
      </c>
      <c r="S1114">
        <v>788</v>
      </c>
      <c r="T1114" t="s">
        <v>26</v>
      </c>
      <c r="U1114" t="s">
        <v>31</v>
      </c>
    </row>
    <row r="1115" spans="1:21">
      <c r="A1115" t="s">
        <v>1810</v>
      </c>
      <c r="B1115" t="s">
        <v>1760</v>
      </c>
      <c r="C1115" t="s">
        <v>1751</v>
      </c>
      <c r="D1115">
        <v>197000</v>
      </c>
      <c r="E1115">
        <v>18000</v>
      </c>
      <c r="F1115">
        <v>197000</v>
      </c>
      <c r="H1115">
        <v>7</v>
      </c>
      <c r="I1115" t="s">
        <v>325</v>
      </c>
      <c r="J1115">
        <v>34.22</v>
      </c>
      <c r="K1115">
        <v>3</v>
      </c>
      <c r="L1115">
        <v>7</v>
      </c>
      <c r="M1115" t="s">
        <v>1752</v>
      </c>
      <c r="N1115">
        <v>6</v>
      </c>
      <c r="O1115">
        <v>11</v>
      </c>
      <c r="P1115">
        <v>193264.71</v>
      </c>
      <c r="Q1115">
        <v>168453.81</v>
      </c>
      <c r="R1115">
        <v>68</v>
      </c>
      <c r="S1115">
        <v>788</v>
      </c>
      <c r="T1115" t="s">
        <v>26</v>
      </c>
      <c r="U1115" t="s">
        <v>31</v>
      </c>
    </row>
    <row r="1116" spans="1:21">
      <c r="A1116" t="s">
        <v>1811</v>
      </c>
      <c r="B1116" t="s">
        <v>1812</v>
      </c>
      <c r="C1116" t="s">
        <v>1768</v>
      </c>
      <c r="D1116">
        <v>75000</v>
      </c>
      <c r="E1116">
        <v>10000</v>
      </c>
      <c r="F1116">
        <v>75000</v>
      </c>
      <c r="G1116">
        <v>75000</v>
      </c>
      <c r="H1116">
        <v>3</v>
      </c>
      <c r="I1116" t="s">
        <v>432</v>
      </c>
      <c r="J1116">
        <v>18.3</v>
      </c>
      <c r="K1116">
        <v>38</v>
      </c>
      <c r="L1116">
        <v>8</v>
      </c>
      <c r="M1116" t="s">
        <v>1752</v>
      </c>
      <c r="N1116">
        <v>9</v>
      </c>
      <c r="O1116">
        <v>11</v>
      </c>
      <c r="P1116">
        <v>193264.71</v>
      </c>
      <c r="Q1116">
        <v>77692.34</v>
      </c>
      <c r="R1116">
        <v>68</v>
      </c>
      <c r="S1116">
        <v>1071</v>
      </c>
      <c r="T1116" t="s">
        <v>108</v>
      </c>
      <c r="U1116" t="s">
        <v>49</v>
      </c>
    </row>
    <row r="1117" spans="1:21">
      <c r="A1117" t="s">
        <v>1813</v>
      </c>
      <c r="B1117" t="s">
        <v>1814</v>
      </c>
      <c r="C1117" t="s">
        <v>1768</v>
      </c>
      <c r="D1117">
        <v>80000</v>
      </c>
      <c r="E1117">
        <v>3000</v>
      </c>
      <c r="F1117">
        <v>80000</v>
      </c>
      <c r="G1117">
        <v>80000</v>
      </c>
      <c r="H1117">
        <v>8</v>
      </c>
      <c r="I1117" t="s">
        <v>432</v>
      </c>
      <c r="J1117">
        <v>22.96</v>
      </c>
      <c r="K1117">
        <v>38</v>
      </c>
      <c r="L1117">
        <v>10</v>
      </c>
      <c r="M1117" t="s">
        <v>1752</v>
      </c>
      <c r="N1117">
        <v>10</v>
      </c>
      <c r="O1117">
        <v>11.67</v>
      </c>
      <c r="P1117">
        <v>193264.71</v>
      </c>
      <c r="Q1117">
        <v>77692.34</v>
      </c>
      <c r="R1117">
        <v>68</v>
      </c>
      <c r="S1117">
        <v>1071</v>
      </c>
      <c r="T1117" t="s">
        <v>34</v>
      </c>
      <c r="U1117" t="s">
        <v>49</v>
      </c>
    </row>
    <row r="1118" spans="1:21">
      <c r="A1118" t="s">
        <v>1815</v>
      </c>
      <c r="B1118" t="s">
        <v>1816</v>
      </c>
      <c r="C1118" t="s">
        <v>1773</v>
      </c>
      <c r="D1118">
        <v>120000</v>
      </c>
      <c r="E1118">
        <v>15000</v>
      </c>
      <c r="F1118">
        <v>120000</v>
      </c>
      <c r="G1118">
        <v>120000</v>
      </c>
      <c r="H1118">
        <v>2</v>
      </c>
      <c r="I1118" t="s">
        <v>432</v>
      </c>
      <c r="J1118">
        <v>29.67</v>
      </c>
      <c r="K1118">
        <v>18</v>
      </c>
      <c r="L1118">
        <v>24</v>
      </c>
      <c r="M1118" t="s">
        <v>1752</v>
      </c>
      <c r="N1118">
        <v>3</v>
      </c>
      <c r="O1118">
        <v>8.33</v>
      </c>
      <c r="P1118">
        <v>193264.71</v>
      </c>
      <c r="Q1118">
        <v>77692.34</v>
      </c>
      <c r="R1118">
        <v>68</v>
      </c>
      <c r="S1118">
        <v>1071</v>
      </c>
      <c r="T1118" t="s">
        <v>34</v>
      </c>
      <c r="U1118" t="s">
        <v>90</v>
      </c>
    </row>
    <row r="1119" spans="1:21">
      <c r="A1119" t="s">
        <v>1817</v>
      </c>
      <c r="B1119" t="s">
        <v>1818</v>
      </c>
      <c r="C1119" t="s">
        <v>1768</v>
      </c>
      <c r="D1119">
        <v>90000</v>
      </c>
      <c r="E1119">
        <v>9000</v>
      </c>
      <c r="F1119">
        <v>90000</v>
      </c>
      <c r="G1119">
        <v>90000</v>
      </c>
      <c r="H1119">
        <v>9</v>
      </c>
      <c r="I1119" t="s">
        <v>432</v>
      </c>
      <c r="J1119">
        <v>19.600000000000001</v>
      </c>
      <c r="K1119">
        <v>25</v>
      </c>
      <c r="L1119">
        <v>9</v>
      </c>
      <c r="M1119" t="s">
        <v>1752</v>
      </c>
      <c r="N1119">
        <v>8</v>
      </c>
      <c r="O1119">
        <v>10.67</v>
      </c>
      <c r="P1119">
        <v>193264.71</v>
      </c>
      <c r="Q1119">
        <v>77692.34</v>
      </c>
      <c r="R1119">
        <v>68</v>
      </c>
      <c r="S1119">
        <v>1071</v>
      </c>
      <c r="T1119" t="s">
        <v>108</v>
      </c>
      <c r="U1119" t="s">
        <v>27</v>
      </c>
    </row>
    <row r="1120" spans="1:21">
      <c r="A1120" t="s">
        <v>1819</v>
      </c>
      <c r="B1120" t="s">
        <v>1750</v>
      </c>
      <c r="C1120" t="s">
        <v>1751</v>
      </c>
      <c r="D1120">
        <v>246000</v>
      </c>
      <c r="E1120">
        <v>18000</v>
      </c>
      <c r="F1120">
        <v>246000</v>
      </c>
      <c r="H1120">
        <v>2</v>
      </c>
      <c r="I1120" t="s">
        <v>585</v>
      </c>
      <c r="J1120">
        <v>44.54</v>
      </c>
      <c r="K1120">
        <v>3</v>
      </c>
      <c r="L1120">
        <v>7</v>
      </c>
      <c r="M1120" t="s">
        <v>1752</v>
      </c>
      <c r="N1120">
        <v>6</v>
      </c>
      <c r="O1120">
        <v>11</v>
      </c>
      <c r="P1120">
        <v>193264.71</v>
      </c>
      <c r="Q1120">
        <v>232352.65</v>
      </c>
      <c r="R1120">
        <v>68</v>
      </c>
      <c r="S1120">
        <v>359</v>
      </c>
      <c r="T1120" t="s">
        <v>326</v>
      </c>
      <c r="U1120" t="s">
        <v>31</v>
      </c>
    </row>
    <row r="1121" spans="1:21">
      <c r="A1121" t="s">
        <v>1820</v>
      </c>
      <c r="B1121" t="s">
        <v>1750</v>
      </c>
      <c r="C1121" t="s">
        <v>1751</v>
      </c>
      <c r="D1121">
        <v>262000</v>
      </c>
      <c r="E1121">
        <v>18000</v>
      </c>
      <c r="F1121">
        <v>262000</v>
      </c>
      <c r="H1121">
        <v>2</v>
      </c>
      <c r="I1121" t="s">
        <v>585</v>
      </c>
      <c r="J1121">
        <v>45.03</v>
      </c>
      <c r="K1121">
        <v>3</v>
      </c>
      <c r="L1121">
        <v>7</v>
      </c>
      <c r="M1121" t="s">
        <v>1752</v>
      </c>
      <c r="N1121">
        <v>6</v>
      </c>
      <c r="O1121">
        <v>11</v>
      </c>
      <c r="P1121">
        <v>193264.71</v>
      </c>
      <c r="Q1121">
        <v>232352.65</v>
      </c>
      <c r="R1121">
        <v>68</v>
      </c>
      <c r="S1121">
        <v>359</v>
      </c>
      <c r="T1121" t="s">
        <v>326</v>
      </c>
      <c r="U1121" t="s">
        <v>31</v>
      </c>
    </row>
    <row r="1122" spans="1:21">
      <c r="A1122" t="s">
        <v>1821</v>
      </c>
      <c r="B1122" t="s">
        <v>1750</v>
      </c>
      <c r="C1122" t="s">
        <v>1751</v>
      </c>
      <c r="D1122">
        <v>267000</v>
      </c>
      <c r="E1122">
        <v>18000</v>
      </c>
      <c r="F1122">
        <v>267000</v>
      </c>
      <c r="H1122">
        <v>2</v>
      </c>
      <c r="I1122" t="s">
        <v>585</v>
      </c>
      <c r="J1122">
        <v>45.03</v>
      </c>
      <c r="K1122">
        <v>3</v>
      </c>
      <c r="L1122">
        <v>7</v>
      </c>
      <c r="M1122" t="s">
        <v>1752</v>
      </c>
      <c r="N1122">
        <v>6</v>
      </c>
      <c r="O1122">
        <v>11</v>
      </c>
      <c r="P1122">
        <v>193264.71</v>
      </c>
      <c r="Q1122">
        <v>232352.65</v>
      </c>
      <c r="R1122">
        <v>68</v>
      </c>
      <c r="S1122">
        <v>359</v>
      </c>
      <c r="T1122" t="s">
        <v>326</v>
      </c>
      <c r="U1122" t="s">
        <v>31</v>
      </c>
    </row>
    <row r="1123" spans="1:21">
      <c r="A1123" t="s">
        <v>1822</v>
      </c>
      <c r="B1123" t="s">
        <v>1750</v>
      </c>
      <c r="C1123" t="s">
        <v>1751</v>
      </c>
      <c r="D1123">
        <v>275000</v>
      </c>
      <c r="E1123">
        <v>18000</v>
      </c>
      <c r="F1123">
        <v>275000</v>
      </c>
      <c r="H1123">
        <v>3</v>
      </c>
      <c r="I1123" t="s">
        <v>585</v>
      </c>
      <c r="J1123">
        <v>50.47</v>
      </c>
      <c r="K1123">
        <v>3</v>
      </c>
      <c r="L1123">
        <v>7</v>
      </c>
      <c r="M1123" t="s">
        <v>1752</v>
      </c>
      <c r="N1123">
        <v>6</v>
      </c>
      <c r="O1123">
        <v>11</v>
      </c>
      <c r="P1123">
        <v>193264.71</v>
      </c>
      <c r="Q1123">
        <v>232352.65</v>
      </c>
      <c r="R1123">
        <v>68</v>
      </c>
      <c r="S1123">
        <v>359</v>
      </c>
      <c r="T1123" t="s">
        <v>332</v>
      </c>
      <c r="U1123" t="s">
        <v>31</v>
      </c>
    </row>
    <row r="1124" spans="1:21">
      <c r="A1124" t="s">
        <v>1823</v>
      </c>
      <c r="B1124" t="s">
        <v>1750</v>
      </c>
      <c r="C1124" t="s">
        <v>1751</v>
      </c>
      <c r="D1124">
        <v>342000</v>
      </c>
      <c r="E1124">
        <v>18000</v>
      </c>
      <c r="F1124">
        <v>342000</v>
      </c>
      <c r="H1124">
        <v>3</v>
      </c>
      <c r="I1124" t="s">
        <v>585</v>
      </c>
      <c r="J1124">
        <v>60.76</v>
      </c>
      <c r="K1124">
        <v>3</v>
      </c>
      <c r="L1124">
        <v>7</v>
      </c>
      <c r="M1124" t="s">
        <v>1752</v>
      </c>
      <c r="N1124">
        <v>6</v>
      </c>
      <c r="O1124">
        <v>11</v>
      </c>
      <c r="P1124">
        <v>193264.71</v>
      </c>
      <c r="Q1124">
        <v>232352.65</v>
      </c>
      <c r="R1124">
        <v>68</v>
      </c>
      <c r="S1124">
        <v>359</v>
      </c>
      <c r="T1124" t="s">
        <v>593</v>
      </c>
      <c r="U1124" t="s">
        <v>31</v>
      </c>
    </row>
    <row r="1125" spans="1:21">
      <c r="A1125" t="s">
        <v>1824</v>
      </c>
      <c r="B1125" t="s">
        <v>1750</v>
      </c>
      <c r="C1125" t="s">
        <v>1751</v>
      </c>
      <c r="D1125">
        <v>269000</v>
      </c>
      <c r="E1125">
        <v>18000</v>
      </c>
      <c r="F1125">
        <v>269000</v>
      </c>
      <c r="H1125">
        <v>4</v>
      </c>
      <c r="I1125" t="s">
        <v>585</v>
      </c>
      <c r="J1125">
        <v>45.03</v>
      </c>
      <c r="K1125">
        <v>3</v>
      </c>
      <c r="L1125">
        <v>7</v>
      </c>
      <c r="M1125" t="s">
        <v>1752</v>
      </c>
      <c r="N1125">
        <v>6</v>
      </c>
      <c r="O1125">
        <v>11</v>
      </c>
      <c r="P1125">
        <v>193264.71</v>
      </c>
      <c r="Q1125">
        <v>232352.65</v>
      </c>
      <c r="R1125">
        <v>68</v>
      </c>
      <c r="S1125">
        <v>359</v>
      </c>
      <c r="T1125" t="s">
        <v>326</v>
      </c>
      <c r="U1125" t="s">
        <v>31</v>
      </c>
    </row>
    <row r="1126" spans="1:21">
      <c r="A1126" t="s">
        <v>1825</v>
      </c>
      <c r="B1126" t="s">
        <v>1750</v>
      </c>
      <c r="C1126" t="s">
        <v>1751</v>
      </c>
      <c r="D1126">
        <v>276000</v>
      </c>
      <c r="E1126">
        <v>18000</v>
      </c>
      <c r="F1126">
        <v>276000</v>
      </c>
      <c r="H1126">
        <v>4</v>
      </c>
      <c r="I1126" t="s">
        <v>585</v>
      </c>
      <c r="J1126">
        <v>50.47</v>
      </c>
      <c r="K1126">
        <v>3</v>
      </c>
      <c r="L1126">
        <v>7</v>
      </c>
      <c r="M1126" t="s">
        <v>1752</v>
      </c>
      <c r="N1126">
        <v>6</v>
      </c>
      <c r="O1126">
        <v>11</v>
      </c>
      <c r="P1126">
        <v>193264.71</v>
      </c>
      <c r="Q1126">
        <v>232352.65</v>
      </c>
      <c r="R1126">
        <v>68</v>
      </c>
      <c r="S1126">
        <v>359</v>
      </c>
      <c r="T1126" t="s">
        <v>332</v>
      </c>
      <c r="U1126" t="s">
        <v>31</v>
      </c>
    </row>
    <row r="1127" spans="1:21">
      <c r="A1127" t="s">
        <v>1826</v>
      </c>
      <c r="B1127" t="s">
        <v>1750</v>
      </c>
      <c r="C1127" t="s">
        <v>1751</v>
      </c>
      <c r="D1127">
        <v>293000</v>
      </c>
      <c r="E1127">
        <v>18000</v>
      </c>
      <c r="F1127">
        <v>293000</v>
      </c>
      <c r="H1127">
        <v>5</v>
      </c>
      <c r="I1127" t="s">
        <v>585</v>
      </c>
      <c r="J1127">
        <v>47.53</v>
      </c>
      <c r="K1127">
        <v>3</v>
      </c>
      <c r="L1127">
        <v>7</v>
      </c>
      <c r="M1127" t="s">
        <v>1752</v>
      </c>
      <c r="N1127">
        <v>6</v>
      </c>
      <c r="O1127">
        <v>11</v>
      </c>
      <c r="P1127">
        <v>193264.71</v>
      </c>
      <c r="Q1127">
        <v>232352.65</v>
      </c>
      <c r="R1127">
        <v>68</v>
      </c>
      <c r="S1127">
        <v>359</v>
      </c>
      <c r="T1127" t="s">
        <v>326</v>
      </c>
      <c r="U1127" t="s">
        <v>31</v>
      </c>
    </row>
    <row r="1128" spans="1:21">
      <c r="A1128" t="s">
        <v>1827</v>
      </c>
      <c r="B1128" t="s">
        <v>1750</v>
      </c>
      <c r="C1128" t="s">
        <v>1751</v>
      </c>
      <c r="D1128">
        <v>298000</v>
      </c>
      <c r="E1128">
        <v>18000</v>
      </c>
      <c r="F1128">
        <v>298000</v>
      </c>
      <c r="H1128">
        <v>5</v>
      </c>
      <c r="I1128" t="s">
        <v>585</v>
      </c>
      <c r="J1128">
        <v>47.53</v>
      </c>
      <c r="K1128">
        <v>3</v>
      </c>
      <c r="L1128">
        <v>7</v>
      </c>
      <c r="M1128" t="s">
        <v>1752</v>
      </c>
      <c r="N1128">
        <v>6</v>
      </c>
      <c r="O1128">
        <v>11</v>
      </c>
      <c r="P1128">
        <v>193264.71</v>
      </c>
      <c r="Q1128">
        <v>232352.65</v>
      </c>
      <c r="R1128">
        <v>68</v>
      </c>
      <c r="S1128">
        <v>359</v>
      </c>
      <c r="T1128" t="s">
        <v>326</v>
      </c>
      <c r="U1128" t="s">
        <v>31</v>
      </c>
    </row>
    <row r="1129" spans="1:21">
      <c r="A1129" t="s">
        <v>1828</v>
      </c>
      <c r="B1129" t="s">
        <v>1760</v>
      </c>
      <c r="C1129" t="s">
        <v>1751</v>
      </c>
      <c r="D1129">
        <v>246000</v>
      </c>
      <c r="E1129">
        <v>18000</v>
      </c>
      <c r="F1129">
        <v>246000</v>
      </c>
      <c r="H1129">
        <v>2</v>
      </c>
      <c r="I1129" t="s">
        <v>585</v>
      </c>
      <c r="J1129">
        <v>44.54</v>
      </c>
      <c r="K1129">
        <v>3</v>
      </c>
      <c r="L1129">
        <v>7</v>
      </c>
      <c r="M1129" t="s">
        <v>1752</v>
      </c>
      <c r="N1129">
        <v>6</v>
      </c>
      <c r="O1129">
        <v>11</v>
      </c>
      <c r="P1129">
        <v>193264.71</v>
      </c>
      <c r="Q1129">
        <v>232352.65</v>
      </c>
      <c r="R1129">
        <v>68</v>
      </c>
      <c r="S1129">
        <v>359</v>
      </c>
      <c r="T1129" t="s">
        <v>326</v>
      </c>
      <c r="U1129" t="s">
        <v>31</v>
      </c>
    </row>
    <row r="1130" spans="1:21">
      <c r="A1130" t="s">
        <v>1829</v>
      </c>
      <c r="B1130" t="s">
        <v>1760</v>
      </c>
      <c r="C1130" t="s">
        <v>1751</v>
      </c>
      <c r="D1130">
        <v>262000</v>
      </c>
      <c r="E1130">
        <v>18000</v>
      </c>
      <c r="F1130">
        <v>262000</v>
      </c>
      <c r="H1130">
        <v>2</v>
      </c>
      <c r="I1130" t="s">
        <v>585</v>
      </c>
      <c r="J1130">
        <v>45.03</v>
      </c>
      <c r="K1130">
        <v>3</v>
      </c>
      <c r="L1130">
        <v>7</v>
      </c>
      <c r="M1130" t="s">
        <v>1752</v>
      </c>
      <c r="N1130">
        <v>6</v>
      </c>
      <c r="O1130">
        <v>11</v>
      </c>
      <c r="P1130">
        <v>193264.71</v>
      </c>
      <c r="Q1130">
        <v>232352.65</v>
      </c>
      <c r="R1130">
        <v>68</v>
      </c>
      <c r="S1130">
        <v>359</v>
      </c>
      <c r="T1130" t="s">
        <v>326</v>
      </c>
      <c r="U1130" t="s">
        <v>31</v>
      </c>
    </row>
    <row r="1131" spans="1:21">
      <c r="A1131" t="s">
        <v>1830</v>
      </c>
      <c r="B1131" t="s">
        <v>1760</v>
      </c>
      <c r="C1131" t="s">
        <v>1751</v>
      </c>
      <c r="D1131">
        <v>276000</v>
      </c>
      <c r="E1131">
        <v>18000</v>
      </c>
      <c r="F1131">
        <v>276000</v>
      </c>
      <c r="H1131">
        <v>4</v>
      </c>
      <c r="I1131" t="s">
        <v>585</v>
      </c>
      <c r="J1131">
        <v>50.47</v>
      </c>
      <c r="K1131">
        <v>3</v>
      </c>
      <c r="L1131">
        <v>7</v>
      </c>
      <c r="M1131" t="s">
        <v>1752</v>
      </c>
      <c r="N1131">
        <v>6</v>
      </c>
      <c r="O1131">
        <v>11</v>
      </c>
      <c r="P1131">
        <v>193264.71</v>
      </c>
      <c r="Q1131">
        <v>232352.65</v>
      </c>
      <c r="R1131">
        <v>68</v>
      </c>
      <c r="S1131">
        <v>359</v>
      </c>
      <c r="T1131" t="s">
        <v>332</v>
      </c>
      <c r="U1131" t="s">
        <v>31</v>
      </c>
    </row>
    <row r="1132" spans="1:21">
      <c r="A1132" t="s">
        <v>1831</v>
      </c>
      <c r="B1132" t="s">
        <v>1832</v>
      </c>
      <c r="C1132" t="s">
        <v>1773</v>
      </c>
      <c r="D1132">
        <v>190000</v>
      </c>
      <c r="F1132">
        <v>190000</v>
      </c>
      <c r="H1132">
        <v>1</v>
      </c>
      <c r="I1132" t="s">
        <v>585</v>
      </c>
      <c r="J1132">
        <v>59.62</v>
      </c>
      <c r="K1132">
        <v>66</v>
      </c>
      <c r="L1132">
        <v>2</v>
      </c>
      <c r="M1132" t="s">
        <v>1752</v>
      </c>
      <c r="N1132">
        <v>8</v>
      </c>
      <c r="O1132">
        <v>12.67</v>
      </c>
      <c r="P1132">
        <v>193264.71</v>
      </c>
      <c r="Q1132">
        <v>232352.65</v>
      </c>
      <c r="R1132">
        <v>68</v>
      </c>
      <c r="S1132">
        <v>359</v>
      </c>
      <c r="T1132" t="s">
        <v>332</v>
      </c>
      <c r="U1132" t="s">
        <v>38</v>
      </c>
    </row>
    <row r="1133" spans="1:21">
      <c r="A1133" t="s">
        <v>1831</v>
      </c>
      <c r="B1133" t="s">
        <v>1832</v>
      </c>
      <c r="C1133" t="s">
        <v>1773</v>
      </c>
      <c r="D1133">
        <v>190000</v>
      </c>
      <c r="F1133">
        <v>190000</v>
      </c>
      <c r="H1133">
        <v>2</v>
      </c>
      <c r="I1133" t="s">
        <v>585</v>
      </c>
      <c r="J1133">
        <v>59.62</v>
      </c>
      <c r="K1133">
        <v>66</v>
      </c>
      <c r="L1133">
        <v>2</v>
      </c>
      <c r="M1133" t="s">
        <v>1752</v>
      </c>
      <c r="N1133">
        <v>8</v>
      </c>
      <c r="O1133">
        <v>12.67</v>
      </c>
      <c r="P1133">
        <v>193264.71</v>
      </c>
      <c r="Q1133">
        <v>232352.65</v>
      </c>
      <c r="R1133">
        <v>68</v>
      </c>
      <c r="S1133">
        <v>359</v>
      </c>
      <c r="T1133" t="s">
        <v>332</v>
      </c>
      <c r="U1133" t="s">
        <v>38</v>
      </c>
    </row>
    <row r="1134" spans="1:21">
      <c r="A1134" t="s">
        <v>1833</v>
      </c>
      <c r="B1134" t="s">
        <v>1834</v>
      </c>
      <c r="C1134" t="s">
        <v>1768</v>
      </c>
      <c r="D1134">
        <v>300000</v>
      </c>
      <c r="F1134">
        <v>300000</v>
      </c>
      <c r="G1134">
        <v>300000</v>
      </c>
      <c r="H1134">
        <v>3</v>
      </c>
      <c r="I1134" t="s">
        <v>654</v>
      </c>
      <c r="J1134">
        <v>93.15</v>
      </c>
      <c r="K1134">
        <v>33</v>
      </c>
      <c r="L1134">
        <v>6</v>
      </c>
      <c r="M1134" t="s">
        <v>1752</v>
      </c>
      <c r="N1134">
        <v>10</v>
      </c>
      <c r="O1134">
        <v>11.67</v>
      </c>
      <c r="P1134">
        <v>193264.71</v>
      </c>
      <c r="Q1134">
        <v>288705.81</v>
      </c>
      <c r="R1134">
        <v>68</v>
      </c>
      <c r="S1134">
        <v>155</v>
      </c>
      <c r="T1134" t="s">
        <v>1835</v>
      </c>
      <c r="U1134" t="s">
        <v>49</v>
      </c>
    </row>
    <row r="1135" spans="1:21">
      <c r="A1135" t="s">
        <v>1836</v>
      </c>
      <c r="B1135" t="s">
        <v>1837</v>
      </c>
      <c r="C1135" t="s">
        <v>1331</v>
      </c>
      <c r="D1135">
        <v>205000</v>
      </c>
      <c r="F1135">
        <v>205000</v>
      </c>
      <c r="G1135">
        <v>205000</v>
      </c>
      <c r="H1135">
        <v>9</v>
      </c>
      <c r="I1135" t="s">
        <v>325</v>
      </c>
      <c r="J1135">
        <v>39.1</v>
      </c>
      <c r="K1135">
        <v>10</v>
      </c>
      <c r="L1135">
        <v>14</v>
      </c>
      <c r="M1135" t="s">
        <v>1838</v>
      </c>
      <c r="N1135">
        <v>4</v>
      </c>
      <c r="O1135">
        <v>9.67</v>
      </c>
      <c r="P1135">
        <v>205000</v>
      </c>
      <c r="Q1135">
        <v>168453.81</v>
      </c>
      <c r="R1135">
        <v>1</v>
      </c>
      <c r="S1135">
        <v>788</v>
      </c>
      <c r="T1135" t="s">
        <v>26</v>
      </c>
      <c r="U1135" t="s">
        <v>31</v>
      </c>
    </row>
    <row r="1136" spans="1:21">
      <c r="A1136" t="s">
        <v>1839</v>
      </c>
      <c r="B1136" t="s">
        <v>1840</v>
      </c>
      <c r="C1136" t="s">
        <v>1841</v>
      </c>
      <c r="D1136">
        <v>87000</v>
      </c>
      <c r="E1136">
        <v>3000</v>
      </c>
      <c r="H1136">
        <v>1</v>
      </c>
      <c r="I1136" t="s">
        <v>24</v>
      </c>
      <c r="J1136">
        <v>19.899999999999999</v>
      </c>
      <c r="K1136">
        <v>0</v>
      </c>
      <c r="L1136">
        <v>2</v>
      </c>
      <c r="M1136" t="s">
        <v>1842</v>
      </c>
      <c r="N1136">
        <v>7</v>
      </c>
      <c r="O1136">
        <v>10.33</v>
      </c>
      <c r="P1136">
        <v>123574.88</v>
      </c>
      <c r="Q1136">
        <v>123325.96</v>
      </c>
      <c r="R1136">
        <v>637</v>
      </c>
      <c r="S1136">
        <v>339</v>
      </c>
      <c r="T1136" t="s">
        <v>108</v>
      </c>
      <c r="U1136" t="s">
        <v>81</v>
      </c>
    </row>
    <row r="1137" spans="1:21">
      <c r="A1137" t="s">
        <v>1843</v>
      </c>
      <c r="B1137" t="s">
        <v>1840</v>
      </c>
      <c r="C1137" t="s">
        <v>1841</v>
      </c>
      <c r="D1137">
        <v>91000</v>
      </c>
      <c r="E1137">
        <v>3000</v>
      </c>
      <c r="H1137">
        <v>1</v>
      </c>
      <c r="I1137" t="s">
        <v>24</v>
      </c>
      <c r="J1137">
        <v>21.8</v>
      </c>
      <c r="K1137">
        <v>0</v>
      </c>
      <c r="L1137">
        <v>2</v>
      </c>
      <c r="M1137" t="s">
        <v>1842</v>
      </c>
      <c r="N1137">
        <v>7</v>
      </c>
      <c r="O1137">
        <v>10.33</v>
      </c>
      <c r="P1137">
        <v>123574.88</v>
      </c>
      <c r="Q1137">
        <v>123325.96</v>
      </c>
      <c r="R1137">
        <v>637</v>
      </c>
      <c r="S1137">
        <v>339</v>
      </c>
      <c r="T1137" t="s">
        <v>34</v>
      </c>
      <c r="U1137" t="s">
        <v>81</v>
      </c>
    </row>
    <row r="1138" spans="1:21">
      <c r="A1138" t="s">
        <v>1844</v>
      </c>
      <c r="B1138" t="s">
        <v>1840</v>
      </c>
      <c r="C1138" t="s">
        <v>1841</v>
      </c>
      <c r="D1138">
        <v>92000</v>
      </c>
      <c r="E1138">
        <v>3000</v>
      </c>
      <c r="H1138">
        <v>1</v>
      </c>
      <c r="I1138" t="s">
        <v>24</v>
      </c>
      <c r="J1138">
        <v>22.77</v>
      </c>
      <c r="K1138">
        <v>0</v>
      </c>
      <c r="L1138">
        <v>2</v>
      </c>
      <c r="M1138" t="s">
        <v>1842</v>
      </c>
      <c r="N1138">
        <v>7</v>
      </c>
      <c r="O1138">
        <v>10.33</v>
      </c>
      <c r="P1138">
        <v>123574.88</v>
      </c>
      <c r="Q1138">
        <v>123325.96</v>
      </c>
      <c r="R1138">
        <v>637</v>
      </c>
      <c r="S1138">
        <v>339</v>
      </c>
      <c r="T1138" t="s">
        <v>34</v>
      </c>
      <c r="U1138" t="s">
        <v>81</v>
      </c>
    </row>
    <row r="1139" spans="1:21">
      <c r="A1139" t="s">
        <v>1845</v>
      </c>
      <c r="B1139" t="s">
        <v>1840</v>
      </c>
      <c r="C1139" t="s">
        <v>1841</v>
      </c>
      <c r="D1139">
        <v>94000</v>
      </c>
      <c r="E1139">
        <v>3000</v>
      </c>
      <c r="H1139">
        <v>1</v>
      </c>
      <c r="I1139" t="s">
        <v>24</v>
      </c>
      <c r="J1139">
        <v>23.39</v>
      </c>
      <c r="K1139">
        <v>0</v>
      </c>
      <c r="L1139">
        <v>2</v>
      </c>
      <c r="M1139" t="s">
        <v>1842</v>
      </c>
      <c r="N1139">
        <v>7</v>
      </c>
      <c r="O1139">
        <v>10.33</v>
      </c>
      <c r="P1139">
        <v>123574.88</v>
      </c>
      <c r="Q1139">
        <v>123325.96</v>
      </c>
      <c r="R1139">
        <v>637</v>
      </c>
      <c r="S1139">
        <v>339</v>
      </c>
      <c r="T1139" t="s">
        <v>34</v>
      </c>
      <c r="U1139" t="s">
        <v>81</v>
      </c>
    </row>
    <row r="1140" spans="1:21">
      <c r="A1140" t="s">
        <v>1846</v>
      </c>
      <c r="B1140" t="s">
        <v>1840</v>
      </c>
      <c r="C1140" t="s">
        <v>1841</v>
      </c>
      <c r="D1140">
        <v>106000</v>
      </c>
      <c r="E1140">
        <v>3000</v>
      </c>
      <c r="H1140">
        <v>2</v>
      </c>
      <c r="I1140" t="s">
        <v>24</v>
      </c>
      <c r="J1140">
        <v>23.8</v>
      </c>
      <c r="K1140">
        <v>0</v>
      </c>
      <c r="L1140">
        <v>2</v>
      </c>
      <c r="M1140" t="s">
        <v>1842</v>
      </c>
      <c r="N1140">
        <v>7</v>
      </c>
      <c r="O1140">
        <v>10.33</v>
      </c>
      <c r="P1140">
        <v>123574.88</v>
      </c>
      <c r="Q1140">
        <v>123325.96</v>
      </c>
      <c r="R1140">
        <v>637</v>
      </c>
      <c r="S1140">
        <v>339</v>
      </c>
      <c r="T1140" t="s">
        <v>34</v>
      </c>
      <c r="U1140" t="s">
        <v>81</v>
      </c>
    </row>
    <row r="1141" spans="1:21">
      <c r="A1141" t="s">
        <v>1847</v>
      </c>
      <c r="B1141" t="s">
        <v>1840</v>
      </c>
      <c r="C1141" t="s">
        <v>1841</v>
      </c>
      <c r="D1141">
        <v>106000</v>
      </c>
      <c r="E1141">
        <v>3000</v>
      </c>
      <c r="H1141">
        <v>2</v>
      </c>
      <c r="I1141" t="s">
        <v>24</v>
      </c>
      <c r="J1141">
        <v>25.87</v>
      </c>
      <c r="K1141">
        <v>0</v>
      </c>
      <c r="L1141">
        <v>2</v>
      </c>
      <c r="M1141" t="s">
        <v>1842</v>
      </c>
      <c r="N1141">
        <v>7</v>
      </c>
      <c r="O1141">
        <v>10.33</v>
      </c>
      <c r="P1141">
        <v>123574.88</v>
      </c>
      <c r="Q1141">
        <v>123325.96</v>
      </c>
      <c r="R1141">
        <v>637</v>
      </c>
      <c r="S1141">
        <v>339</v>
      </c>
      <c r="T1141" t="s">
        <v>34</v>
      </c>
      <c r="U1141" t="s">
        <v>81</v>
      </c>
    </row>
    <row r="1142" spans="1:21">
      <c r="A1142" t="s">
        <v>1848</v>
      </c>
      <c r="B1142" t="s">
        <v>1849</v>
      </c>
      <c r="C1142" t="s">
        <v>1850</v>
      </c>
      <c r="D1142">
        <v>114000</v>
      </c>
      <c r="E1142">
        <v>5000</v>
      </c>
      <c r="H1142">
        <v>2</v>
      </c>
      <c r="I1142" t="s">
        <v>24</v>
      </c>
      <c r="J1142">
        <v>25.94</v>
      </c>
      <c r="K1142">
        <v>0</v>
      </c>
      <c r="L1142">
        <v>4</v>
      </c>
      <c r="M1142" t="s">
        <v>1842</v>
      </c>
      <c r="N1142">
        <v>3</v>
      </c>
      <c r="O1142">
        <v>3</v>
      </c>
      <c r="P1142">
        <v>123574.88</v>
      </c>
      <c r="Q1142">
        <v>123325.96</v>
      </c>
      <c r="R1142">
        <v>637</v>
      </c>
      <c r="S1142">
        <v>339</v>
      </c>
      <c r="T1142" t="s">
        <v>34</v>
      </c>
      <c r="U1142" t="s">
        <v>81</v>
      </c>
    </row>
    <row r="1143" spans="1:21">
      <c r="A1143" t="s">
        <v>1851</v>
      </c>
      <c r="B1143" t="s">
        <v>1849</v>
      </c>
      <c r="C1143" t="s">
        <v>1850</v>
      </c>
      <c r="D1143">
        <v>168000</v>
      </c>
      <c r="E1143">
        <v>5000</v>
      </c>
      <c r="H1143">
        <v>3</v>
      </c>
      <c r="I1143" t="s">
        <v>24</v>
      </c>
      <c r="J1143">
        <v>35.56</v>
      </c>
      <c r="K1143">
        <v>0</v>
      </c>
      <c r="L1143">
        <v>4</v>
      </c>
      <c r="M1143" t="s">
        <v>1842</v>
      </c>
      <c r="N1143">
        <v>3</v>
      </c>
      <c r="O1143">
        <v>3</v>
      </c>
      <c r="P1143">
        <v>123574.88</v>
      </c>
      <c r="Q1143">
        <v>123325.96</v>
      </c>
      <c r="R1143">
        <v>637</v>
      </c>
      <c r="S1143">
        <v>339</v>
      </c>
      <c r="T1143" t="s">
        <v>26</v>
      </c>
      <c r="U1143" t="s">
        <v>81</v>
      </c>
    </row>
    <row r="1144" spans="1:21">
      <c r="A1144" t="s">
        <v>1852</v>
      </c>
      <c r="B1144" t="s">
        <v>1849</v>
      </c>
      <c r="C1144" t="s">
        <v>1850</v>
      </c>
      <c r="D1144">
        <v>116000</v>
      </c>
      <c r="E1144">
        <v>5000</v>
      </c>
      <c r="H1144">
        <v>4</v>
      </c>
      <c r="I1144" t="s">
        <v>24</v>
      </c>
      <c r="J1144">
        <v>25.94</v>
      </c>
      <c r="K1144">
        <v>0</v>
      </c>
      <c r="L1144">
        <v>4</v>
      </c>
      <c r="M1144" t="s">
        <v>1842</v>
      </c>
      <c r="N1144">
        <v>3</v>
      </c>
      <c r="O1144">
        <v>3</v>
      </c>
      <c r="P1144">
        <v>123574.88</v>
      </c>
      <c r="Q1144">
        <v>123325.96</v>
      </c>
      <c r="R1144">
        <v>637</v>
      </c>
      <c r="S1144">
        <v>339</v>
      </c>
      <c r="T1144" t="s">
        <v>34</v>
      </c>
      <c r="U1144" t="s">
        <v>81</v>
      </c>
    </row>
    <row r="1145" spans="1:21">
      <c r="A1145" t="s">
        <v>1853</v>
      </c>
      <c r="B1145" t="s">
        <v>1854</v>
      </c>
      <c r="C1145" t="s">
        <v>1841</v>
      </c>
      <c r="D1145">
        <v>130000</v>
      </c>
      <c r="E1145">
        <v>10000</v>
      </c>
      <c r="F1145">
        <v>130000</v>
      </c>
      <c r="H1145">
        <v>2</v>
      </c>
      <c r="I1145" t="s">
        <v>24</v>
      </c>
      <c r="J1145">
        <v>27.2</v>
      </c>
      <c r="K1145">
        <v>2</v>
      </c>
      <c r="L1145">
        <v>4</v>
      </c>
      <c r="M1145" t="s">
        <v>1842</v>
      </c>
      <c r="N1145">
        <v>3</v>
      </c>
      <c r="O1145">
        <v>13.67</v>
      </c>
      <c r="P1145">
        <v>123574.88</v>
      </c>
      <c r="Q1145">
        <v>123325.96</v>
      </c>
      <c r="R1145">
        <v>637</v>
      </c>
      <c r="S1145">
        <v>339</v>
      </c>
      <c r="T1145" t="s">
        <v>34</v>
      </c>
      <c r="U1145" t="s">
        <v>31</v>
      </c>
    </row>
    <row r="1146" spans="1:21">
      <c r="A1146" t="s">
        <v>1855</v>
      </c>
      <c r="B1146" t="s">
        <v>1856</v>
      </c>
      <c r="C1146" t="s">
        <v>1857</v>
      </c>
      <c r="D1146">
        <v>175000</v>
      </c>
      <c r="E1146">
        <v>15000</v>
      </c>
      <c r="H1146">
        <v>1</v>
      </c>
      <c r="I1146" t="s">
        <v>24</v>
      </c>
      <c r="J1146">
        <v>35.78</v>
      </c>
      <c r="K1146">
        <v>0</v>
      </c>
      <c r="L1146">
        <v>5</v>
      </c>
      <c r="M1146" t="s">
        <v>1842</v>
      </c>
      <c r="N1146">
        <v>10</v>
      </c>
      <c r="O1146">
        <v>12.67</v>
      </c>
      <c r="P1146">
        <v>123574.88</v>
      </c>
      <c r="Q1146">
        <v>123325.96</v>
      </c>
      <c r="R1146">
        <v>637</v>
      </c>
      <c r="S1146">
        <v>339</v>
      </c>
      <c r="T1146" t="s">
        <v>26</v>
      </c>
      <c r="U1146" t="s">
        <v>81</v>
      </c>
    </row>
    <row r="1147" spans="1:21">
      <c r="A1147" t="s">
        <v>1858</v>
      </c>
      <c r="B1147" t="s">
        <v>1856</v>
      </c>
      <c r="C1147" t="s">
        <v>1857</v>
      </c>
      <c r="D1147">
        <v>175500</v>
      </c>
      <c r="E1147">
        <v>15000</v>
      </c>
      <c r="H1147">
        <v>2</v>
      </c>
      <c r="I1147" t="s">
        <v>24</v>
      </c>
      <c r="J1147">
        <v>35.78</v>
      </c>
      <c r="K1147">
        <v>0</v>
      </c>
      <c r="L1147">
        <v>5</v>
      </c>
      <c r="M1147" t="s">
        <v>1842</v>
      </c>
      <c r="N1147">
        <v>10</v>
      </c>
      <c r="O1147">
        <v>12.67</v>
      </c>
      <c r="P1147">
        <v>123574.88</v>
      </c>
      <c r="Q1147">
        <v>123325.96</v>
      </c>
      <c r="R1147">
        <v>637</v>
      </c>
      <c r="S1147">
        <v>339</v>
      </c>
      <c r="T1147" t="s">
        <v>26</v>
      </c>
      <c r="U1147" t="s">
        <v>81</v>
      </c>
    </row>
    <row r="1148" spans="1:21">
      <c r="A1148" t="s">
        <v>1859</v>
      </c>
      <c r="B1148" t="s">
        <v>1856</v>
      </c>
      <c r="C1148" t="s">
        <v>1857</v>
      </c>
      <c r="D1148">
        <v>176000</v>
      </c>
      <c r="E1148">
        <v>15000</v>
      </c>
      <c r="H1148">
        <v>3</v>
      </c>
      <c r="I1148" t="s">
        <v>24</v>
      </c>
      <c r="J1148">
        <v>35.78</v>
      </c>
      <c r="K1148">
        <v>0</v>
      </c>
      <c r="L1148">
        <v>5</v>
      </c>
      <c r="M1148" t="s">
        <v>1842</v>
      </c>
      <c r="N1148">
        <v>10</v>
      </c>
      <c r="O1148">
        <v>12.67</v>
      </c>
      <c r="P1148">
        <v>123574.88</v>
      </c>
      <c r="Q1148">
        <v>123325.96</v>
      </c>
      <c r="R1148">
        <v>637</v>
      </c>
      <c r="S1148">
        <v>339</v>
      </c>
      <c r="T1148" t="s">
        <v>26</v>
      </c>
      <c r="U1148" t="s">
        <v>81</v>
      </c>
    </row>
    <row r="1149" spans="1:21">
      <c r="A1149" t="s">
        <v>1860</v>
      </c>
      <c r="B1149" t="s">
        <v>1856</v>
      </c>
      <c r="C1149" t="s">
        <v>1857</v>
      </c>
      <c r="D1149">
        <v>176500</v>
      </c>
      <c r="E1149">
        <v>15000</v>
      </c>
      <c r="H1149">
        <v>4</v>
      </c>
      <c r="I1149" t="s">
        <v>24</v>
      </c>
      <c r="J1149">
        <v>35.78</v>
      </c>
      <c r="K1149">
        <v>0</v>
      </c>
      <c r="L1149">
        <v>5</v>
      </c>
      <c r="M1149" t="s">
        <v>1842</v>
      </c>
      <c r="N1149">
        <v>10</v>
      </c>
      <c r="O1149">
        <v>12.67</v>
      </c>
      <c r="P1149">
        <v>123574.88</v>
      </c>
      <c r="Q1149">
        <v>123325.96</v>
      </c>
      <c r="R1149">
        <v>637</v>
      </c>
      <c r="S1149">
        <v>339</v>
      </c>
      <c r="T1149" t="s">
        <v>26</v>
      </c>
      <c r="U1149" t="s">
        <v>81</v>
      </c>
    </row>
    <row r="1150" spans="1:21">
      <c r="A1150" t="s">
        <v>1861</v>
      </c>
      <c r="B1150" t="s">
        <v>1856</v>
      </c>
      <c r="C1150" t="s">
        <v>1857</v>
      </c>
      <c r="D1150">
        <v>133500</v>
      </c>
      <c r="E1150">
        <v>15000</v>
      </c>
      <c r="H1150">
        <v>5</v>
      </c>
      <c r="I1150" t="s">
        <v>24</v>
      </c>
      <c r="J1150">
        <v>27.4</v>
      </c>
      <c r="K1150">
        <v>0</v>
      </c>
      <c r="L1150">
        <v>5</v>
      </c>
      <c r="M1150" t="s">
        <v>1842</v>
      </c>
      <c r="N1150">
        <v>10</v>
      </c>
      <c r="O1150">
        <v>12.67</v>
      </c>
      <c r="P1150">
        <v>123574.88</v>
      </c>
      <c r="Q1150">
        <v>123325.96</v>
      </c>
      <c r="R1150">
        <v>637</v>
      </c>
      <c r="S1150">
        <v>339</v>
      </c>
      <c r="T1150" t="s">
        <v>34</v>
      </c>
      <c r="U1150" t="s">
        <v>81</v>
      </c>
    </row>
    <row r="1151" spans="1:21">
      <c r="A1151" t="s">
        <v>1862</v>
      </c>
      <c r="B1151" t="s">
        <v>1863</v>
      </c>
      <c r="C1151" t="s">
        <v>1743</v>
      </c>
      <c r="D1151">
        <v>147000</v>
      </c>
      <c r="E1151">
        <v>12000</v>
      </c>
      <c r="F1151">
        <v>147000</v>
      </c>
      <c r="G1151">
        <v>147000</v>
      </c>
      <c r="H1151">
        <v>6</v>
      </c>
      <c r="I1151" t="s">
        <v>24</v>
      </c>
      <c r="J1151">
        <v>36.53</v>
      </c>
      <c r="K1151">
        <v>17</v>
      </c>
      <c r="L1151">
        <v>8</v>
      </c>
      <c r="M1151" t="s">
        <v>1842</v>
      </c>
      <c r="N1151">
        <v>8</v>
      </c>
      <c r="O1151">
        <v>11.67</v>
      </c>
      <c r="P1151">
        <v>123574.88</v>
      </c>
      <c r="Q1151">
        <v>123325.96</v>
      </c>
      <c r="R1151">
        <v>637</v>
      </c>
      <c r="S1151">
        <v>339</v>
      </c>
      <c r="T1151" t="s">
        <v>26</v>
      </c>
      <c r="U1151" t="s">
        <v>90</v>
      </c>
    </row>
    <row r="1152" spans="1:21">
      <c r="A1152" t="s">
        <v>1864</v>
      </c>
      <c r="B1152" t="s">
        <v>1865</v>
      </c>
      <c r="C1152" t="s">
        <v>1857</v>
      </c>
      <c r="D1152">
        <v>132000</v>
      </c>
      <c r="E1152">
        <v>3000</v>
      </c>
      <c r="F1152">
        <v>132000</v>
      </c>
      <c r="G1152">
        <v>132000</v>
      </c>
      <c r="H1152">
        <v>2</v>
      </c>
      <c r="I1152" t="s">
        <v>24</v>
      </c>
      <c r="J1152">
        <v>33.83</v>
      </c>
      <c r="K1152">
        <v>7</v>
      </c>
      <c r="L1152">
        <v>3</v>
      </c>
      <c r="M1152" t="s">
        <v>1842</v>
      </c>
      <c r="N1152">
        <v>7</v>
      </c>
      <c r="O1152">
        <v>13</v>
      </c>
      <c r="P1152">
        <v>123574.88</v>
      </c>
      <c r="Q1152">
        <v>123325.96</v>
      </c>
      <c r="R1152">
        <v>637</v>
      </c>
      <c r="S1152">
        <v>339</v>
      </c>
      <c r="T1152" t="s">
        <v>26</v>
      </c>
      <c r="U1152" t="s">
        <v>31</v>
      </c>
    </row>
    <row r="1153" spans="1:21">
      <c r="A1153" t="s">
        <v>1866</v>
      </c>
      <c r="B1153" t="s">
        <v>1867</v>
      </c>
      <c r="C1153" t="s">
        <v>1743</v>
      </c>
      <c r="D1153">
        <v>123000</v>
      </c>
      <c r="E1153">
        <v>7000</v>
      </c>
      <c r="G1153">
        <v>123000</v>
      </c>
      <c r="H1153">
        <v>2</v>
      </c>
      <c r="I1153" t="s">
        <v>24</v>
      </c>
      <c r="J1153">
        <v>38.97</v>
      </c>
      <c r="K1153">
        <v>15</v>
      </c>
      <c r="L1153">
        <v>2</v>
      </c>
      <c r="M1153" t="s">
        <v>1842</v>
      </c>
      <c r="N1153">
        <v>12</v>
      </c>
      <c r="O1153">
        <v>14</v>
      </c>
      <c r="P1153">
        <v>123574.88</v>
      </c>
      <c r="Q1153">
        <v>123325.96</v>
      </c>
      <c r="R1153">
        <v>637</v>
      </c>
      <c r="S1153">
        <v>339</v>
      </c>
      <c r="T1153" t="s">
        <v>26</v>
      </c>
      <c r="U1153" t="s">
        <v>90</v>
      </c>
    </row>
    <row r="1154" spans="1:21">
      <c r="A1154" t="s">
        <v>1868</v>
      </c>
      <c r="B1154" t="s">
        <v>1869</v>
      </c>
      <c r="C1154" t="s">
        <v>1870</v>
      </c>
      <c r="D1154">
        <v>106000</v>
      </c>
      <c r="E1154">
        <v>15000</v>
      </c>
      <c r="F1154">
        <v>106000</v>
      </c>
      <c r="G1154">
        <v>106000</v>
      </c>
      <c r="H1154">
        <v>2</v>
      </c>
      <c r="I1154" t="s">
        <v>24</v>
      </c>
      <c r="J1154">
        <v>25.67</v>
      </c>
      <c r="K1154">
        <v>3</v>
      </c>
      <c r="L1154">
        <v>5</v>
      </c>
      <c r="M1154" t="s">
        <v>1842</v>
      </c>
      <c r="N1154">
        <v>4</v>
      </c>
      <c r="O1154">
        <v>10.33</v>
      </c>
      <c r="P1154">
        <v>123574.88</v>
      </c>
      <c r="Q1154">
        <v>123325.96</v>
      </c>
      <c r="R1154">
        <v>637</v>
      </c>
      <c r="S1154">
        <v>339</v>
      </c>
      <c r="T1154" t="s">
        <v>34</v>
      </c>
      <c r="U1154" t="s">
        <v>31</v>
      </c>
    </row>
    <row r="1155" spans="1:21">
      <c r="A1155" t="s">
        <v>1871</v>
      </c>
      <c r="B1155" t="s">
        <v>1872</v>
      </c>
      <c r="C1155" t="s">
        <v>1873</v>
      </c>
      <c r="D1155">
        <v>124500</v>
      </c>
      <c r="E1155">
        <v>9500</v>
      </c>
      <c r="G1155">
        <v>124500</v>
      </c>
      <c r="H1155">
        <v>2</v>
      </c>
      <c r="I1155" t="s">
        <v>24</v>
      </c>
      <c r="J1155">
        <v>28.54</v>
      </c>
      <c r="K1155">
        <v>3</v>
      </c>
      <c r="L1155">
        <v>4</v>
      </c>
      <c r="M1155" t="s">
        <v>1842</v>
      </c>
      <c r="N1155">
        <v>6</v>
      </c>
      <c r="O1155">
        <v>9.67</v>
      </c>
      <c r="P1155">
        <v>123574.88</v>
      </c>
      <c r="Q1155">
        <v>123325.96</v>
      </c>
      <c r="R1155">
        <v>637</v>
      </c>
      <c r="S1155">
        <v>339</v>
      </c>
      <c r="T1155" t="s">
        <v>34</v>
      </c>
      <c r="U1155" t="s">
        <v>31</v>
      </c>
    </row>
    <row r="1156" spans="1:21">
      <c r="A1156" t="s">
        <v>1874</v>
      </c>
      <c r="B1156" t="s">
        <v>1872</v>
      </c>
      <c r="C1156" t="s">
        <v>1873</v>
      </c>
      <c r="D1156">
        <v>125000</v>
      </c>
      <c r="E1156">
        <v>9500</v>
      </c>
      <c r="G1156">
        <v>125000</v>
      </c>
      <c r="H1156">
        <v>3</v>
      </c>
      <c r="I1156" t="s">
        <v>24</v>
      </c>
      <c r="J1156">
        <v>29</v>
      </c>
      <c r="K1156">
        <v>3</v>
      </c>
      <c r="L1156">
        <v>4</v>
      </c>
      <c r="M1156" t="s">
        <v>1842</v>
      </c>
      <c r="N1156">
        <v>6</v>
      </c>
      <c r="O1156">
        <v>9.67</v>
      </c>
      <c r="P1156">
        <v>123574.88</v>
      </c>
      <c r="Q1156">
        <v>123325.96</v>
      </c>
      <c r="R1156">
        <v>637</v>
      </c>
      <c r="S1156">
        <v>339</v>
      </c>
      <c r="T1156" t="s">
        <v>34</v>
      </c>
      <c r="U1156" t="s">
        <v>31</v>
      </c>
    </row>
    <row r="1157" spans="1:21">
      <c r="A1157" t="s">
        <v>1875</v>
      </c>
      <c r="B1157" t="s">
        <v>1876</v>
      </c>
      <c r="C1157" t="s">
        <v>1841</v>
      </c>
      <c r="D1157">
        <v>80000</v>
      </c>
      <c r="F1157">
        <v>80000</v>
      </c>
      <c r="G1157">
        <v>80000</v>
      </c>
      <c r="H1157">
        <v>1</v>
      </c>
      <c r="I1157" t="s">
        <v>24</v>
      </c>
      <c r="J1157">
        <v>29.16</v>
      </c>
      <c r="K1157">
        <v>46</v>
      </c>
      <c r="L1157">
        <v>3</v>
      </c>
      <c r="M1157" t="s">
        <v>1842</v>
      </c>
      <c r="N1157">
        <v>7</v>
      </c>
      <c r="O1157">
        <v>12.33</v>
      </c>
      <c r="P1157">
        <v>123574.88</v>
      </c>
      <c r="Q1157">
        <v>123325.96</v>
      </c>
      <c r="R1157">
        <v>637</v>
      </c>
      <c r="S1157">
        <v>339</v>
      </c>
      <c r="T1157" t="s">
        <v>34</v>
      </c>
      <c r="U1157" t="s">
        <v>42</v>
      </c>
    </row>
    <row r="1158" spans="1:21">
      <c r="A1158" t="s">
        <v>1877</v>
      </c>
      <c r="B1158" t="s">
        <v>1878</v>
      </c>
      <c r="C1158" t="s">
        <v>1291</v>
      </c>
      <c r="D1158">
        <v>147000</v>
      </c>
      <c r="E1158">
        <v>10000</v>
      </c>
      <c r="F1158">
        <v>147000</v>
      </c>
      <c r="H1158">
        <v>2</v>
      </c>
      <c r="I1158" t="s">
        <v>24</v>
      </c>
      <c r="J1158">
        <v>25.36</v>
      </c>
      <c r="K1158">
        <v>0</v>
      </c>
      <c r="L1158">
        <v>8</v>
      </c>
      <c r="M1158" t="s">
        <v>1842</v>
      </c>
      <c r="N1158">
        <v>9</v>
      </c>
      <c r="O1158">
        <v>10.33</v>
      </c>
      <c r="P1158">
        <v>123574.88</v>
      </c>
      <c r="Q1158">
        <v>123325.96</v>
      </c>
      <c r="R1158">
        <v>637</v>
      </c>
      <c r="S1158">
        <v>339</v>
      </c>
      <c r="T1158" t="s">
        <v>34</v>
      </c>
      <c r="U1158" t="s">
        <v>81</v>
      </c>
    </row>
    <row r="1159" spans="1:21">
      <c r="A1159" t="s">
        <v>1879</v>
      </c>
      <c r="B1159" t="s">
        <v>1878</v>
      </c>
      <c r="C1159" t="s">
        <v>1291</v>
      </c>
      <c r="D1159">
        <v>148000</v>
      </c>
      <c r="E1159">
        <v>10000</v>
      </c>
      <c r="F1159">
        <v>148000</v>
      </c>
      <c r="G1159">
        <v>148000</v>
      </c>
      <c r="H1159">
        <v>3</v>
      </c>
      <c r="I1159" t="s">
        <v>24</v>
      </c>
      <c r="J1159">
        <v>25.36</v>
      </c>
      <c r="K1159">
        <v>0</v>
      </c>
      <c r="L1159">
        <v>8</v>
      </c>
      <c r="M1159" t="s">
        <v>1842</v>
      </c>
      <c r="N1159">
        <v>9</v>
      </c>
      <c r="O1159">
        <v>10.33</v>
      </c>
      <c r="P1159">
        <v>123574.88</v>
      </c>
      <c r="Q1159">
        <v>123325.96</v>
      </c>
      <c r="R1159">
        <v>637</v>
      </c>
      <c r="S1159">
        <v>339</v>
      </c>
      <c r="T1159" t="s">
        <v>34</v>
      </c>
      <c r="U1159" t="s">
        <v>81</v>
      </c>
    </row>
    <row r="1160" spans="1:21">
      <c r="A1160" t="s">
        <v>1880</v>
      </c>
      <c r="B1160" t="s">
        <v>1878</v>
      </c>
      <c r="C1160" t="s">
        <v>1291</v>
      </c>
      <c r="D1160">
        <v>148000</v>
      </c>
      <c r="E1160">
        <v>10000</v>
      </c>
      <c r="F1160">
        <v>148000</v>
      </c>
      <c r="G1160">
        <v>148000</v>
      </c>
      <c r="H1160">
        <v>3</v>
      </c>
      <c r="I1160" t="s">
        <v>24</v>
      </c>
      <c r="J1160">
        <v>25.37</v>
      </c>
      <c r="K1160">
        <v>0</v>
      </c>
      <c r="L1160">
        <v>8</v>
      </c>
      <c r="M1160" t="s">
        <v>1842</v>
      </c>
      <c r="N1160">
        <v>9</v>
      </c>
      <c r="O1160">
        <v>10.33</v>
      </c>
      <c r="P1160">
        <v>123574.88</v>
      </c>
      <c r="Q1160">
        <v>123325.96</v>
      </c>
      <c r="R1160">
        <v>637</v>
      </c>
      <c r="S1160">
        <v>339</v>
      </c>
      <c r="T1160" t="s">
        <v>34</v>
      </c>
      <c r="U1160" t="s">
        <v>81</v>
      </c>
    </row>
    <row r="1161" spans="1:21">
      <c r="A1161" t="s">
        <v>1881</v>
      </c>
      <c r="B1161" t="s">
        <v>1878</v>
      </c>
      <c r="C1161" t="s">
        <v>1291</v>
      </c>
      <c r="D1161">
        <v>149000</v>
      </c>
      <c r="E1161">
        <v>10000</v>
      </c>
      <c r="F1161">
        <v>149000</v>
      </c>
      <c r="H1161">
        <v>4</v>
      </c>
      <c r="I1161" t="s">
        <v>24</v>
      </c>
      <c r="J1161">
        <v>25.36</v>
      </c>
      <c r="K1161">
        <v>0</v>
      </c>
      <c r="L1161">
        <v>8</v>
      </c>
      <c r="M1161" t="s">
        <v>1842</v>
      </c>
      <c r="N1161">
        <v>9</v>
      </c>
      <c r="O1161">
        <v>10.33</v>
      </c>
      <c r="P1161">
        <v>123574.88</v>
      </c>
      <c r="Q1161">
        <v>123325.96</v>
      </c>
      <c r="R1161">
        <v>637</v>
      </c>
      <c r="S1161">
        <v>339</v>
      </c>
      <c r="T1161" t="s">
        <v>34</v>
      </c>
      <c r="U1161" t="s">
        <v>81</v>
      </c>
    </row>
    <row r="1162" spans="1:21">
      <c r="A1162" t="s">
        <v>1882</v>
      </c>
      <c r="B1162" t="s">
        <v>1878</v>
      </c>
      <c r="C1162" t="s">
        <v>1291</v>
      </c>
      <c r="D1162">
        <v>156000</v>
      </c>
      <c r="E1162">
        <v>10000</v>
      </c>
      <c r="F1162">
        <v>156000</v>
      </c>
      <c r="H1162">
        <v>5</v>
      </c>
      <c r="I1162" t="s">
        <v>24</v>
      </c>
      <c r="J1162">
        <v>25.36</v>
      </c>
      <c r="K1162">
        <v>0</v>
      </c>
      <c r="L1162">
        <v>8</v>
      </c>
      <c r="M1162" t="s">
        <v>1842</v>
      </c>
      <c r="N1162">
        <v>9</v>
      </c>
      <c r="O1162">
        <v>10.33</v>
      </c>
      <c r="P1162">
        <v>123574.88</v>
      </c>
      <c r="Q1162">
        <v>123325.96</v>
      </c>
      <c r="R1162">
        <v>637</v>
      </c>
      <c r="S1162">
        <v>339</v>
      </c>
      <c r="T1162" t="s">
        <v>34</v>
      </c>
      <c r="U1162" t="s">
        <v>81</v>
      </c>
    </row>
    <row r="1163" spans="1:21">
      <c r="A1163" t="s">
        <v>1883</v>
      </c>
      <c r="B1163" t="s">
        <v>1878</v>
      </c>
      <c r="C1163" t="s">
        <v>1291</v>
      </c>
      <c r="D1163">
        <v>159000</v>
      </c>
      <c r="E1163">
        <v>10000</v>
      </c>
      <c r="F1163">
        <v>159000</v>
      </c>
      <c r="G1163">
        <v>159000</v>
      </c>
      <c r="H1163">
        <v>6</v>
      </c>
      <c r="I1163" t="s">
        <v>24</v>
      </c>
      <c r="J1163">
        <v>25.36</v>
      </c>
      <c r="K1163">
        <v>0</v>
      </c>
      <c r="L1163">
        <v>8</v>
      </c>
      <c r="M1163" t="s">
        <v>1842</v>
      </c>
      <c r="N1163">
        <v>9</v>
      </c>
      <c r="O1163">
        <v>10.33</v>
      </c>
      <c r="P1163">
        <v>123574.88</v>
      </c>
      <c r="Q1163">
        <v>123325.96</v>
      </c>
      <c r="R1163">
        <v>637</v>
      </c>
      <c r="S1163">
        <v>339</v>
      </c>
      <c r="T1163" t="s">
        <v>34</v>
      </c>
      <c r="U1163" t="s">
        <v>81</v>
      </c>
    </row>
    <row r="1164" spans="1:21">
      <c r="A1164" t="s">
        <v>1884</v>
      </c>
      <c r="B1164" t="s">
        <v>1878</v>
      </c>
      <c r="C1164" t="s">
        <v>1291</v>
      </c>
      <c r="D1164">
        <v>160000</v>
      </c>
      <c r="E1164">
        <v>10000</v>
      </c>
      <c r="F1164">
        <v>160000</v>
      </c>
      <c r="G1164">
        <v>160000</v>
      </c>
      <c r="H1164">
        <v>7</v>
      </c>
      <c r="I1164" t="s">
        <v>24</v>
      </c>
      <c r="J1164">
        <v>25.36</v>
      </c>
      <c r="K1164">
        <v>0</v>
      </c>
      <c r="L1164">
        <v>8</v>
      </c>
      <c r="M1164" t="s">
        <v>1842</v>
      </c>
      <c r="N1164">
        <v>9</v>
      </c>
      <c r="O1164">
        <v>10.33</v>
      </c>
      <c r="P1164">
        <v>123574.88</v>
      </c>
      <c r="Q1164">
        <v>123325.96</v>
      </c>
      <c r="R1164">
        <v>637</v>
      </c>
      <c r="S1164">
        <v>339</v>
      </c>
      <c r="T1164" t="s">
        <v>34</v>
      </c>
      <c r="U1164" t="s">
        <v>81</v>
      </c>
    </row>
    <row r="1165" spans="1:21">
      <c r="A1165" t="s">
        <v>1885</v>
      </c>
      <c r="B1165" t="s">
        <v>1886</v>
      </c>
      <c r="C1165" t="s">
        <v>1887</v>
      </c>
      <c r="D1165">
        <v>96000</v>
      </c>
      <c r="F1165">
        <v>96000</v>
      </c>
      <c r="G1165">
        <v>96000</v>
      </c>
      <c r="H1165">
        <v>1</v>
      </c>
      <c r="I1165" t="s">
        <v>24</v>
      </c>
      <c r="J1165">
        <v>27.4</v>
      </c>
      <c r="K1165">
        <v>7</v>
      </c>
      <c r="L1165">
        <v>2</v>
      </c>
      <c r="M1165" t="s">
        <v>1842</v>
      </c>
      <c r="N1165">
        <v>5</v>
      </c>
      <c r="O1165">
        <v>13.33</v>
      </c>
      <c r="P1165">
        <v>123574.88</v>
      </c>
      <c r="Q1165">
        <v>123325.96</v>
      </c>
      <c r="R1165">
        <v>637</v>
      </c>
      <c r="S1165">
        <v>339</v>
      </c>
      <c r="T1165" t="s">
        <v>34</v>
      </c>
      <c r="U1165" t="s">
        <v>31</v>
      </c>
    </row>
    <row r="1166" spans="1:21">
      <c r="A1166" t="s">
        <v>1888</v>
      </c>
      <c r="B1166" t="s">
        <v>1889</v>
      </c>
      <c r="C1166" t="s">
        <v>1890</v>
      </c>
      <c r="D1166">
        <v>90000</v>
      </c>
      <c r="E1166">
        <v>5000</v>
      </c>
      <c r="H1166">
        <v>2</v>
      </c>
      <c r="I1166" t="s">
        <v>24</v>
      </c>
      <c r="J1166">
        <v>24.22</v>
      </c>
      <c r="K1166">
        <v>35</v>
      </c>
      <c r="L1166">
        <v>5</v>
      </c>
      <c r="M1166" t="s">
        <v>1842</v>
      </c>
      <c r="N1166">
        <v>5</v>
      </c>
      <c r="O1166">
        <v>13.67</v>
      </c>
      <c r="P1166">
        <v>123574.88</v>
      </c>
      <c r="Q1166">
        <v>123325.96</v>
      </c>
      <c r="R1166">
        <v>637</v>
      </c>
      <c r="S1166">
        <v>339</v>
      </c>
      <c r="T1166" t="s">
        <v>34</v>
      </c>
      <c r="U1166" t="s">
        <v>49</v>
      </c>
    </row>
    <row r="1167" spans="1:21">
      <c r="A1167" t="s">
        <v>1891</v>
      </c>
      <c r="B1167" t="s">
        <v>1892</v>
      </c>
      <c r="C1167" t="s">
        <v>1890</v>
      </c>
      <c r="D1167">
        <v>128000</v>
      </c>
      <c r="E1167">
        <v>9000</v>
      </c>
      <c r="G1167">
        <v>128000</v>
      </c>
      <c r="H1167">
        <v>5</v>
      </c>
      <c r="I1167" t="s">
        <v>24</v>
      </c>
      <c r="J1167">
        <v>25.48</v>
      </c>
      <c r="K1167">
        <v>2</v>
      </c>
      <c r="L1167">
        <v>7</v>
      </c>
      <c r="M1167" t="s">
        <v>1842</v>
      </c>
      <c r="N1167">
        <v>7</v>
      </c>
      <c r="O1167">
        <v>11</v>
      </c>
      <c r="P1167">
        <v>123574.88</v>
      </c>
      <c r="Q1167">
        <v>123325.96</v>
      </c>
      <c r="R1167">
        <v>637</v>
      </c>
      <c r="S1167">
        <v>339</v>
      </c>
      <c r="T1167" t="s">
        <v>34</v>
      </c>
      <c r="U1167" t="s">
        <v>31</v>
      </c>
    </row>
    <row r="1168" spans="1:21">
      <c r="A1168" t="s">
        <v>1893</v>
      </c>
      <c r="B1168" t="s">
        <v>1892</v>
      </c>
      <c r="C1168" t="s">
        <v>1890</v>
      </c>
      <c r="D1168">
        <v>129000</v>
      </c>
      <c r="E1168">
        <v>9000</v>
      </c>
      <c r="G1168">
        <v>129000</v>
      </c>
      <c r="H1168">
        <v>5</v>
      </c>
      <c r="I1168" t="s">
        <v>24</v>
      </c>
      <c r="J1168">
        <v>26.01</v>
      </c>
      <c r="K1168">
        <v>2</v>
      </c>
      <c r="L1168">
        <v>7</v>
      </c>
      <c r="M1168" t="s">
        <v>1842</v>
      </c>
      <c r="N1168">
        <v>7</v>
      </c>
      <c r="O1168">
        <v>11</v>
      </c>
      <c r="P1168">
        <v>123574.88</v>
      </c>
      <c r="Q1168">
        <v>123325.96</v>
      </c>
      <c r="R1168">
        <v>637</v>
      </c>
      <c r="S1168">
        <v>339</v>
      </c>
      <c r="T1168" t="s">
        <v>34</v>
      </c>
      <c r="U1168" t="s">
        <v>31</v>
      </c>
    </row>
    <row r="1169" spans="1:21">
      <c r="A1169" t="s">
        <v>1894</v>
      </c>
      <c r="B1169" t="s">
        <v>1895</v>
      </c>
      <c r="C1169" t="s">
        <v>1890</v>
      </c>
      <c r="D1169">
        <v>68000</v>
      </c>
      <c r="E1169">
        <v>2000</v>
      </c>
      <c r="F1169">
        <v>68000</v>
      </c>
      <c r="G1169">
        <v>68000</v>
      </c>
      <c r="H1169">
        <v>2</v>
      </c>
      <c r="I1169" t="s">
        <v>24</v>
      </c>
      <c r="J1169">
        <v>24.3</v>
      </c>
      <c r="K1169">
        <v>50</v>
      </c>
      <c r="L1169">
        <v>4</v>
      </c>
      <c r="M1169" t="s">
        <v>1842</v>
      </c>
      <c r="N1169">
        <v>5</v>
      </c>
      <c r="O1169">
        <v>12.67</v>
      </c>
      <c r="P1169">
        <v>123574.88</v>
      </c>
      <c r="Q1169">
        <v>123325.96</v>
      </c>
      <c r="R1169">
        <v>637</v>
      </c>
      <c r="S1169">
        <v>339</v>
      </c>
      <c r="T1169" t="s">
        <v>34</v>
      </c>
      <c r="U1169" t="s">
        <v>42</v>
      </c>
    </row>
    <row r="1170" spans="1:21">
      <c r="A1170" t="s">
        <v>1896</v>
      </c>
      <c r="B1170" t="s">
        <v>1897</v>
      </c>
      <c r="C1170" t="s">
        <v>1841</v>
      </c>
      <c r="D1170">
        <v>54000</v>
      </c>
      <c r="E1170">
        <v>1000</v>
      </c>
      <c r="F1170">
        <v>54000</v>
      </c>
      <c r="G1170">
        <v>54000</v>
      </c>
      <c r="H1170">
        <v>1</v>
      </c>
      <c r="I1170" t="s">
        <v>24</v>
      </c>
      <c r="J1170">
        <v>22</v>
      </c>
      <c r="K1170">
        <v>46</v>
      </c>
      <c r="L1170">
        <v>2</v>
      </c>
      <c r="M1170" t="s">
        <v>1842</v>
      </c>
      <c r="N1170">
        <v>4</v>
      </c>
      <c r="O1170">
        <v>12.67</v>
      </c>
      <c r="P1170">
        <v>123574.88</v>
      </c>
      <c r="Q1170">
        <v>123325.96</v>
      </c>
      <c r="R1170">
        <v>637</v>
      </c>
      <c r="S1170">
        <v>339</v>
      </c>
      <c r="T1170" t="s">
        <v>34</v>
      </c>
      <c r="U1170" t="s">
        <v>42</v>
      </c>
    </row>
    <row r="1171" spans="1:21">
      <c r="A1171" t="s">
        <v>1898</v>
      </c>
      <c r="B1171" t="s">
        <v>1897</v>
      </c>
      <c r="C1171" t="s">
        <v>1841</v>
      </c>
      <c r="D1171">
        <v>54000</v>
      </c>
      <c r="E1171">
        <v>1000</v>
      </c>
      <c r="F1171">
        <v>54000</v>
      </c>
      <c r="G1171">
        <v>54000</v>
      </c>
      <c r="H1171">
        <v>2</v>
      </c>
      <c r="I1171" t="s">
        <v>24</v>
      </c>
      <c r="J1171">
        <v>22</v>
      </c>
      <c r="K1171">
        <v>46</v>
      </c>
      <c r="L1171">
        <v>2</v>
      </c>
      <c r="M1171" t="s">
        <v>1842</v>
      </c>
      <c r="N1171">
        <v>4</v>
      </c>
      <c r="O1171">
        <v>12.67</v>
      </c>
      <c r="P1171">
        <v>123574.88</v>
      </c>
      <c r="Q1171">
        <v>123325.96</v>
      </c>
      <c r="R1171">
        <v>637</v>
      </c>
      <c r="S1171">
        <v>339</v>
      </c>
      <c r="T1171" t="s">
        <v>34</v>
      </c>
      <c r="U1171" t="s">
        <v>42</v>
      </c>
    </row>
    <row r="1172" spans="1:21">
      <c r="A1172" t="s">
        <v>1899</v>
      </c>
      <c r="B1172" t="s">
        <v>1900</v>
      </c>
      <c r="C1172" t="s">
        <v>1857</v>
      </c>
      <c r="D1172">
        <v>80000</v>
      </c>
      <c r="E1172">
        <v>3000</v>
      </c>
      <c r="H1172">
        <v>2</v>
      </c>
      <c r="I1172" t="s">
        <v>24</v>
      </c>
      <c r="J1172">
        <v>31</v>
      </c>
      <c r="K1172">
        <v>42</v>
      </c>
      <c r="L1172">
        <v>3</v>
      </c>
      <c r="M1172" t="s">
        <v>1842</v>
      </c>
      <c r="N1172">
        <v>10</v>
      </c>
      <c r="O1172">
        <v>12.67</v>
      </c>
      <c r="P1172">
        <v>123574.88</v>
      </c>
      <c r="Q1172">
        <v>123325.96</v>
      </c>
      <c r="R1172">
        <v>637</v>
      </c>
      <c r="S1172">
        <v>339</v>
      </c>
      <c r="T1172" t="s">
        <v>26</v>
      </c>
      <c r="U1172" t="s">
        <v>42</v>
      </c>
    </row>
    <row r="1173" spans="1:21">
      <c r="A1173" t="s">
        <v>1901</v>
      </c>
      <c r="B1173" t="s">
        <v>1902</v>
      </c>
      <c r="C1173" t="s">
        <v>1841</v>
      </c>
      <c r="D1173">
        <v>54000</v>
      </c>
      <c r="E1173">
        <v>1000</v>
      </c>
      <c r="F1173">
        <v>54000</v>
      </c>
      <c r="G1173">
        <v>54000</v>
      </c>
      <c r="H1173">
        <v>1</v>
      </c>
      <c r="I1173" t="s">
        <v>24</v>
      </c>
      <c r="J1173">
        <v>22</v>
      </c>
      <c r="K1173">
        <v>46</v>
      </c>
      <c r="L1173">
        <v>2</v>
      </c>
      <c r="M1173" t="s">
        <v>1842</v>
      </c>
      <c r="N1173">
        <v>4</v>
      </c>
      <c r="O1173">
        <v>12.67</v>
      </c>
      <c r="P1173">
        <v>123574.88</v>
      </c>
      <c r="Q1173">
        <v>123325.96</v>
      </c>
      <c r="R1173">
        <v>637</v>
      </c>
      <c r="S1173">
        <v>339</v>
      </c>
      <c r="T1173" t="s">
        <v>34</v>
      </c>
      <c r="U1173" t="s">
        <v>42</v>
      </c>
    </row>
    <row r="1174" spans="1:21">
      <c r="A1174" t="s">
        <v>1903</v>
      </c>
      <c r="B1174" t="s">
        <v>1902</v>
      </c>
      <c r="C1174" t="s">
        <v>1841</v>
      </c>
      <c r="D1174">
        <v>54000</v>
      </c>
      <c r="E1174">
        <v>1000</v>
      </c>
      <c r="F1174">
        <v>54000</v>
      </c>
      <c r="G1174">
        <v>54000</v>
      </c>
      <c r="H1174">
        <v>2</v>
      </c>
      <c r="I1174" t="s">
        <v>24</v>
      </c>
      <c r="J1174">
        <v>22</v>
      </c>
      <c r="K1174">
        <v>46</v>
      </c>
      <c r="L1174">
        <v>2</v>
      </c>
      <c r="M1174" t="s">
        <v>1842</v>
      </c>
      <c r="N1174">
        <v>4</v>
      </c>
      <c r="O1174">
        <v>12.67</v>
      </c>
      <c r="P1174">
        <v>123574.88</v>
      </c>
      <c r="Q1174">
        <v>123325.96</v>
      </c>
      <c r="R1174">
        <v>637</v>
      </c>
      <c r="S1174">
        <v>339</v>
      </c>
      <c r="T1174" t="s">
        <v>34</v>
      </c>
      <c r="U1174" t="s">
        <v>42</v>
      </c>
    </row>
    <row r="1175" spans="1:21">
      <c r="A1175" t="s">
        <v>1904</v>
      </c>
      <c r="B1175" t="s">
        <v>1905</v>
      </c>
      <c r="C1175" t="s">
        <v>1841</v>
      </c>
      <c r="D1175">
        <v>103000</v>
      </c>
      <c r="E1175">
        <v>5000</v>
      </c>
      <c r="F1175">
        <v>103000</v>
      </c>
      <c r="G1175">
        <v>103000</v>
      </c>
      <c r="H1175">
        <v>2</v>
      </c>
      <c r="I1175" t="s">
        <v>24</v>
      </c>
      <c r="J1175">
        <v>31.46</v>
      </c>
      <c r="K1175">
        <v>4</v>
      </c>
      <c r="L1175">
        <v>2</v>
      </c>
      <c r="M1175" t="s">
        <v>1842</v>
      </c>
      <c r="N1175">
        <v>8</v>
      </c>
      <c r="O1175">
        <v>12.33</v>
      </c>
      <c r="P1175">
        <v>123574.88</v>
      </c>
      <c r="Q1175">
        <v>123325.96</v>
      </c>
      <c r="R1175">
        <v>637</v>
      </c>
      <c r="S1175">
        <v>339</v>
      </c>
      <c r="T1175" t="s">
        <v>26</v>
      </c>
      <c r="U1175" t="s">
        <v>31</v>
      </c>
    </row>
    <row r="1176" spans="1:21">
      <c r="A1176" t="s">
        <v>1906</v>
      </c>
      <c r="B1176" t="s">
        <v>1907</v>
      </c>
      <c r="C1176" t="s">
        <v>1887</v>
      </c>
      <c r="D1176">
        <v>96000</v>
      </c>
      <c r="F1176">
        <v>96000</v>
      </c>
      <c r="G1176">
        <v>96000</v>
      </c>
      <c r="H1176">
        <v>1</v>
      </c>
      <c r="I1176" t="s">
        <v>24</v>
      </c>
      <c r="J1176">
        <v>27.4</v>
      </c>
      <c r="K1176">
        <v>7</v>
      </c>
      <c r="L1176">
        <v>2</v>
      </c>
      <c r="M1176" t="s">
        <v>1842</v>
      </c>
      <c r="N1176">
        <v>5</v>
      </c>
      <c r="O1176">
        <v>13.33</v>
      </c>
      <c r="P1176">
        <v>123574.88</v>
      </c>
      <c r="Q1176">
        <v>123325.96</v>
      </c>
      <c r="R1176">
        <v>637</v>
      </c>
      <c r="S1176">
        <v>339</v>
      </c>
      <c r="T1176" t="s">
        <v>34</v>
      </c>
      <c r="U1176" t="s">
        <v>31</v>
      </c>
    </row>
    <row r="1177" spans="1:21">
      <c r="A1177" t="s">
        <v>1908</v>
      </c>
      <c r="B1177" t="s">
        <v>1909</v>
      </c>
      <c r="C1177" t="s">
        <v>1857</v>
      </c>
      <c r="D1177">
        <v>132000</v>
      </c>
      <c r="E1177">
        <v>3000</v>
      </c>
      <c r="F1177">
        <v>132000</v>
      </c>
      <c r="G1177">
        <v>132000</v>
      </c>
      <c r="H1177">
        <v>2</v>
      </c>
      <c r="I1177" t="s">
        <v>24</v>
      </c>
      <c r="J1177">
        <v>33.83</v>
      </c>
      <c r="K1177">
        <v>7</v>
      </c>
      <c r="L1177">
        <v>3</v>
      </c>
      <c r="M1177" t="s">
        <v>1842</v>
      </c>
      <c r="N1177">
        <v>7</v>
      </c>
      <c r="O1177">
        <v>10.33</v>
      </c>
      <c r="P1177">
        <v>123574.88</v>
      </c>
      <c r="Q1177">
        <v>123325.96</v>
      </c>
      <c r="R1177">
        <v>637</v>
      </c>
      <c r="S1177">
        <v>339</v>
      </c>
      <c r="T1177" t="s">
        <v>26</v>
      </c>
      <c r="U1177" t="s">
        <v>31</v>
      </c>
    </row>
    <row r="1178" spans="1:21">
      <c r="A1178" t="s">
        <v>1910</v>
      </c>
      <c r="B1178" t="s">
        <v>1911</v>
      </c>
      <c r="C1178" t="s">
        <v>1857</v>
      </c>
      <c r="D1178">
        <v>128000</v>
      </c>
      <c r="E1178">
        <v>6800</v>
      </c>
      <c r="F1178">
        <v>128000</v>
      </c>
      <c r="H1178">
        <v>3</v>
      </c>
      <c r="I1178" t="s">
        <v>24</v>
      </c>
      <c r="J1178">
        <v>35.020000000000003</v>
      </c>
      <c r="K1178">
        <v>14</v>
      </c>
      <c r="L1178">
        <v>4</v>
      </c>
      <c r="M1178" t="s">
        <v>1842</v>
      </c>
      <c r="N1178">
        <v>4</v>
      </c>
      <c r="O1178">
        <v>11.67</v>
      </c>
      <c r="P1178">
        <v>123574.88</v>
      </c>
      <c r="Q1178">
        <v>123325.96</v>
      </c>
      <c r="R1178">
        <v>637</v>
      </c>
      <c r="S1178">
        <v>339</v>
      </c>
      <c r="T1178" t="s">
        <v>26</v>
      </c>
      <c r="U1178" t="s">
        <v>90</v>
      </c>
    </row>
    <row r="1179" spans="1:21">
      <c r="A1179" t="s">
        <v>1912</v>
      </c>
      <c r="B1179" t="s">
        <v>1913</v>
      </c>
      <c r="C1179" t="s">
        <v>1841</v>
      </c>
      <c r="D1179">
        <v>130000</v>
      </c>
      <c r="E1179">
        <v>10000</v>
      </c>
      <c r="F1179">
        <v>130000</v>
      </c>
      <c r="H1179">
        <v>2</v>
      </c>
      <c r="I1179" t="s">
        <v>24</v>
      </c>
      <c r="J1179">
        <v>27.2</v>
      </c>
      <c r="K1179">
        <v>2</v>
      </c>
      <c r="L1179">
        <v>4</v>
      </c>
      <c r="M1179" t="s">
        <v>1842</v>
      </c>
      <c r="N1179">
        <v>3</v>
      </c>
      <c r="O1179">
        <v>12</v>
      </c>
      <c r="P1179">
        <v>123574.88</v>
      </c>
      <c r="Q1179">
        <v>123325.96</v>
      </c>
      <c r="R1179">
        <v>637</v>
      </c>
      <c r="S1179">
        <v>339</v>
      </c>
      <c r="T1179" t="s">
        <v>34</v>
      </c>
      <c r="U1179" t="s">
        <v>31</v>
      </c>
    </row>
    <row r="1180" spans="1:21">
      <c r="A1180" t="s">
        <v>1914</v>
      </c>
      <c r="B1180" t="s">
        <v>1742</v>
      </c>
      <c r="C1180" t="s">
        <v>1870</v>
      </c>
      <c r="D1180">
        <v>106000</v>
      </c>
      <c r="E1180">
        <v>15000</v>
      </c>
      <c r="F1180">
        <v>106000</v>
      </c>
      <c r="G1180">
        <v>106000</v>
      </c>
      <c r="H1180">
        <v>2</v>
      </c>
      <c r="I1180" t="s">
        <v>24</v>
      </c>
      <c r="J1180">
        <v>25.67</v>
      </c>
      <c r="K1180">
        <v>3</v>
      </c>
      <c r="L1180">
        <v>5</v>
      </c>
      <c r="M1180" t="s">
        <v>1842</v>
      </c>
      <c r="N1180">
        <v>4</v>
      </c>
      <c r="O1180">
        <v>10.33</v>
      </c>
      <c r="P1180">
        <v>123574.88</v>
      </c>
      <c r="Q1180">
        <v>123325.96</v>
      </c>
      <c r="R1180">
        <v>637</v>
      </c>
      <c r="S1180">
        <v>339</v>
      </c>
      <c r="T1180" t="s">
        <v>34</v>
      </c>
      <c r="U1180" t="s">
        <v>31</v>
      </c>
    </row>
    <row r="1181" spans="1:21">
      <c r="A1181" t="s">
        <v>1915</v>
      </c>
      <c r="B1181" t="s">
        <v>1916</v>
      </c>
      <c r="C1181" t="s">
        <v>1890</v>
      </c>
      <c r="D1181">
        <v>129000</v>
      </c>
      <c r="E1181">
        <v>9000</v>
      </c>
      <c r="G1181">
        <v>129000</v>
      </c>
      <c r="H1181">
        <v>5</v>
      </c>
      <c r="I1181" t="s">
        <v>24</v>
      </c>
      <c r="J1181">
        <v>26.01</v>
      </c>
      <c r="K1181">
        <v>2</v>
      </c>
      <c r="L1181">
        <v>7</v>
      </c>
      <c r="M1181" t="s">
        <v>1842</v>
      </c>
      <c r="N1181">
        <v>7</v>
      </c>
      <c r="O1181">
        <v>12</v>
      </c>
      <c r="P1181">
        <v>123574.88</v>
      </c>
      <c r="Q1181">
        <v>123325.96</v>
      </c>
      <c r="R1181">
        <v>637</v>
      </c>
      <c r="S1181">
        <v>339</v>
      </c>
      <c r="T1181" t="s">
        <v>34</v>
      </c>
      <c r="U1181" t="s">
        <v>31</v>
      </c>
    </row>
    <row r="1182" spans="1:21">
      <c r="A1182" t="s">
        <v>1917</v>
      </c>
      <c r="B1182" t="s">
        <v>1916</v>
      </c>
      <c r="C1182" t="s">
        <v>1890</v>
      </c>
      <c r="D1182">
        <v>128000</v>
      </c>
      <c r="E1182">
        <v>9000</v>
      </c>
      <c r="G1182">
        <v>128000</v>
      </c>
      <c r="H1182">
        <v>7</v>
      </c>
      <c r="I1182" t="s">
        <v>24</v>
      </c>
      <c r="J1182">
        <v>25.48</v>
      </c>
      <c r="K1182">
        <v>2</v>
      </c>
      <c r="L1182">
        <v>7</v>
      </c>
      <c r="M1182" t="s">
        <v>1842</v>
      </c>
      <c r="N1182">
        <v>7</v>
      </c>
      <c r="O1182">
        <v>12</v>
      </c>
      <c r="P1182">
        <v>123574.88</v>
      </c>
      <c r="Q1182">
        <v>123325.96</v>
      </c>
      <c r="R1182">
        <v>637</v>
      </c>
      <c r="S1182">
        <v>339</v>
      </c>
      <c r="T1182" t="s">
        <v>34</v>
      </c>
      <c r="U1182" t="s">
        <v>31</v>
      </c>
    </row>
    <row r="1183" spans="1:21">
      <c r="A1183" t="s">
        <v>1918</v>
      </c>
      <c r="B1183" t="s">
        <v>1919</v>
      </c>
      <c r="C1183" t="s">
        <v>1743</v>
      </c>
      <c r="D1183">
        <v>147000</v>
      </c>
      <c r="E1183">
        <v>12000</v>
      </c>
      <c r="F1183">
        <v>147000</v>
      </c>
      <c r="G1183">
        <v>147000</v>
      </c>
      <c r="H1183">
        <v>6</v>
      </c>
      <c r="I1183" t="s">
        <v>24</v>
      </c>
      <c r="J1183">
        <v>36.53</v>
      </c>
      <c r="K1183">
        <v>17</v>
      </c>
      <c r="L1183">
        <v>8</v>
      </c>
      <c r="M1183" t="s">
        <v>1842</v>
      </c>
      <c r="N1183">
        <v>10</v>
      </c>
      <c r="O1183">
        <v>17</v>
      </c>
      <c r="P1183">
        <v>123574.88</v>
      </c>
      <c r="Q1183">
        <v>123325.96</v>
      </c>
      <c r="R1183">
        <v>637</v>
      </c>
      <c r="S1183">
        <v>339</v>
      </c>
      <c r="T1183" t="s">
        <v>26</v>
      </c>
      <c r="U1183" t="s">
        <v>90</v>
      </c>
    </row>
    <row r="1184" spans="1:21">
      <c r="A1184" t="s">
        <v>1920</v>
      </c>
      <c r="B1184" t="s">
        <v>1921</v>
      </c>
      <c r="C1184" t="s">
        <v>1890</v>
      </c>
      <c r="D1184">
        <v>90000</v>
      </c>
      <c r="E1184">
        <v>5000</v>
      </c>
      <c r="H1184">
        <v>2</v>
      </c>
      <c r="I1184" t="s">
        <v>24</v>
      </c>
      <c r="J1184">
        <v>24.22</v>
      </c>
      <c r="K1184">
        <v>35</v>
      </c>
      <c r="L1184">
        <v>4</v>
      </c>
      <c r="M1184" t="s">
        <v>1842</v>
      </c>
      <c r="N1184">
        <v>8</v>
      </c>
      <c r="O1184">
        <v>12.67</v>
      </c>
      <c r="P1184">
        <v>123574.88</v>
      </c>
      <c r="Q1184">
        <v>123325.96</v>
      </c>
      <c r="R1184">
        <v>637</v>
      </c>
      <c r="S1184">
        <v>339</v>
      </c>
      <c r="T1184" t="s">
        <v>34</v>
      </c>
      <c r="U1184" t="s">
        <v>49</v>
      </c>
    </row>
    <row r="1185" spans="1:21">
      <c r="A1185" t="s">
        <v>1922</v>
      </c>
      <c r="B1185" t="s">
        <v>1923</v>
      </c>
      <c r="C1185" t="s">
        <v>1291</v>
      </c>
      <c r="D1185">
        <v>151000</v>
      </c>
      <c r="E1185">
        <v>12000</v>
      </c>
      <c r="F1185">
        <v>151000</v>
      </c>
      <c r="G1185">
        <v>151000</v>
      </c>
      <c r="H1185">
        <v>12</v>
      </c>
      <c r="I1185" t="s">
        <v>24</v>
      </c>
      <c r="J1185">
        <v>30.36</v>
      </c>
      <c r="K1185">
        <v>5</v>
      </c>
      <c r="L1185">
        <v>12</v>
      </c>
      <c r="M1185" t="s">
        <v>1842</v>
      </c>
      <c r="N1185">
        <v>9</v>
      </c>
      <c r="O1185">
        <v>10.33</v>
      </c>
      <c r="P1185">
        <v>123574.88</v>
      </c>
      <c r="Q1185">
        <v>123325.96</v>
      </c>
      <c r="R1185">
        <v>637</v>
      </c>
      <c r="S1185">
        <v>339</v>
      </c>
      <c r="T1185" t="s">
        <v>26</v>
      </c>
      <c r="U1185" t="s">
        <v>31</v>
      </c>
    </row>
    <row r="1186" spans="1:21">
      <c r="A1186" t="s">
        <v>1924</v>
      </c>
      <c r="B1186" t="s">
        <v>1925</v>
      </c>
      <c r="C1186" t="s">
        <v>1873</v>
      </c>
      <c r="D1186">
        <v>97000</v>
      </c>
      <c r="E1186">
        <v>3000</v>
      </c>
      <c r="F1186">
        <v>97000</v>
      </c>
      <c r="G1186">
        <v>97000</v>
      </c>
      <c r="H1186">
        <v>2</v>
      </c>
      <c r="I1186" t="s">
        <v>24</v>
      </c>
      <c r="J1186">
        <v>31.34</v>
      </c>
      <c r="K1186">
        <v>18</v>
      </c>
      <c r="L1186">
        <v>3</v>
      </c>
      <c r="M1186" t="s">
        <v>1842</v>
      </c>
      <c r="N1186">
        <v>5</v>
      </c>
      <c r="O1186">
        <v>9</v>
      </c>
      <c r="P1186">
        <v>123574.88</v>
      </c>
      <c r="Q1186">
        <v>123325.96</v>
      </c>
      <c r="R1186">
        <v>637</v>
      </c>
      <c r="S1186">
        <v>339</v>
      </c>
      <c r="T1186" t="s">
        <v>26</v>
      </c>
      <c r="U1186" t="s">
        <v>90</v>
      </c>
    </row>
    <row r="1187" spans="1:21">
      <c r="A1187" t="s">
        <v>1926</v>
      </c>
      <c r="B1187" t="s">
        <v>1927</v>
      </c>
      <c r="C1187" t="s">
        <v>1873</v>
      </c>
      <c r="D1187">
        <v>124500</v>
      </c>
      <c r="E1187">
        <v>9500</v>
      </c>
      <c r="G1187">
        <v>124500</v>
      </c>
      <c r="H1187">
        <v>2</v>
      </c>
      <c r="I1187" t="s">
        <v>24</v>
      </c>
      <c r="J1187">
        <v>28.54</v>
      </c>
      <c r="K1187">
        <v>3</v>
      </c>
      <c r="L1187">
        <v>4</v>
      </c>
      <c r="M1187" t="s">
        <v>1842</v>
      </c>
      <c r="N1187">
        <v>6</v>
      </c>
      <c r="O1187">
        <v>9.33</v>
      </c>
      <c r="P1187">
        <v>123574.88</v>
      </c>
      <c r="Q1187">
        <v>123325.96</v>
      </c>
      <c r="R1187">
        <v>637</v>
      </c>
      <c r="S1187">
        <v>339</v>
      </c>
      <c r="T1187" t="s">
        <v>34</v>
      </c>
      <c r="U1187" t="s">
        <v>31</v>
      </c>
    </row>
    <row r="1188" spans="1:21">
      <c r="A1188" t="s">
        <v>1928</v>
      </c>
      <c r="B1188" t="s">
        <v>1927</v>
      </c>
      <c r="C1188" t="s">
        <v>1873</v>
      </c>
      <c r="D1188">
        <v>125000</v>
      </c>
      <c r="E1188">
        <v>9500</v>
      </c>
      <c r="G1188">
        <v>125000</v>
      </c>
      <c r="H1188">
        <v>3</v>
      </c>
      <c r="I1188" t="s">
        <v>24</v>
      </c>
      <c r="J1188">
        <v>29</v>
      </c>
      <c r="K1188">
        <v>3</v>
      </c>
      <c r="L1188">
        <v>4</v>
      </c>
      <c r="M1188" t="s">
        <v>1842</v>
      </c>
      <c r="N1188">
        <v>6</v>
      </c>
      <c r="O1188">
        <v>9.33</v>
      </c>
      <c r="P1188">
        <v>123574.88</v>
      </c>
      <c r="Q1188">
        <v>123325.96</v>
      </c>
      <c r="R1188">
        <v>637</v>
      </c>
      <c r="S1188">
        <v>339</v>
      </c>
      <c r="T1188" t="s">
        <v>34</v>
      </c>
      <c r="U1188" t="s">
        <v>31</v>
      </c>
    </row>
    <row r="1189" spans="1:21">
      <c r="A1189" t="s">
        <v>1929</v>
      </c>
      <c r="B1189" t="s">
        <v>1930</v>
      </c>
      <c r="C1189" t="s">
        <v>1870</v>
      </c>
      <c r="D1189">
        <v>133000</v>
      </c>
      <c r="E1189">
        <v>8000</v>
      </c>
      <c r="F1189">
        <v>133000</v>
      </c>
      <c r="G1189">
        <v>159600</v>
      </c>
      <c r="H1189">
        <v>5</v>
      </c>
      <c r="I1189" t="s">
        <v>24</v>
      </c>
      <c r="J1189">
        <v>33.25</v>
      </c>
      <c r="K1189">
        <v>14</v>
      </c>
      <c r="L1189">
        <v>5</v>
      </c>
      <c r="M1189" t="s">
        <v>1842</v>
      </c>
      <c r="N1189">
        <v>6</v>
      </c>
      <c r="O1189">
        <v>9.67</v>
      </c>
      <c r="P1189">
        <v>123574.88</v>
      </c>
      <c r="Q1189">
        <v>123325.96</v>
      </c>
      <c r="R1189">
        <v>637</v>
      </c>
      <c r="S1189">
        <v>339</v>
      </c>
      <c r="T1189" t="s">
        <v>26</v>
      </c>
      <c r="U1189" t="s">
        <v>90</v>
      </c>
    </row>
    <row r="1190" spans="1:21">
      <c r="A1190" t="s">
        <v>1931</v>
      </c>
      <c r="B1190" t="s">
        <v>1932</v>
      </c>
      <c r="C1190" t="s">
        <v>1857</v>
      </c>
      <c r="D1190">
        <v>175000</v>
      </c>
      <c r="E1190">
        <v>15000</v>
      </c>
      <c r="H1190">
        <v>1</v>
      </c>
      <c r="I1190" t="s">
        <v>24</v>
      </c>
      <c r="J1190">
        <v>35.78</v>
      </c>
      <c r="K1190">
        <v>1</v>
      </c>
      <c r="L1190">
        <v>5</v>
      </c>
      <c r="M1190" t="s">
        <v>1842</v>
      </c>
      <c r="N1190">
        <v>10</v>
      </c>
      <c r="O1190">
        <v>12.33</v>
      </c>
      <c r="P1190">
        <v>123574.88</v>
      </c>
      <c r="Q1190">
        <v>123325.96</v>
      </c>
      <c r="R1190">
        <v>637</v>
      </c>
      <c r="S1190">
        <v>339</v>
      </c>
      <c r="T1190" t="s">
        <v>26</v>
      </c>
      <c r="U1190" t="s">
        <v>31</v>
      </c>
    </row>
    <row r="1191" spans="1:21">
      <c r="A1191" t="s">
        <v>1933</v>
      </c>
      <c r="B1191" t="s">
        <v>1932</v>
      </c>
      <c r="C1191" t="s">
        <v>1857</v>
      </c>
      <c r="D1191">
        <v>175500</v>
      </c>
      <c r="E1191">
        <v>15000</v>
      </c>
      <c r="H1191">
        <v>2</v>
      </c>
      <c r="I1191" t="s">
        <v>24</v>
      </c>
      <c r="J1191">
        <v>35.78</v>
      </c>
      <c r="K1191">
        <v>1</v>
      </c>
      <c r="L1191">
        <v>5</v>
      </c>
      <c r="M1191" t="s">
        <v>1842</v>
      </c>
      <c r="N1191">
        <v>10</v>
      </c>
      <c r="O1191">
        <v>12.33</v>
      </c>
      <c r="P1191">
        <v>123574.88</v>
      </c>
      <c r="Q1191">
        <v>123325.96</v>
      </c>
      <c r="R1191">
        <v>637</v>
      </c>
      <c r="S1191">
        <v>339</v>
      </c>
      <c r="T1191" t="s">
        <v>26</v>
      </c>
      <c r="U1191" t="s">
        <v>31</v>
      </c>
    </row>
    <row r="1192" spans="1:21">
      <c r="A1192" t="s">
        <v>1934</v>
      </c>
      <c r="B1192" t="s">
        <v>1932</v>
      </c>
      <c r="C1192" t="s">
        <v>1857</v>
      </c>
      <c r="D1192">
        <v>177500</v>
      </c>
      <c r="E1192">
        <v>15000</v>
      </c>
      <c r="H1192">
        <v>2</v>
      </c>
      <c r="I1192" t="s">
        <v>24</v>
      </c>
      <c r="J1192">
        <v>35.78</v>
      </c>
      <c r="K1192">
        <v>1</v>
      </c>
      <c r="L1192">
        <v>5</v>
      </c>
      <c r="M1192" t="s">
        <v>1842</v>
      </c>
      <c r="N1192">
        <v>10</v>
      </c>
      <c r="O1192">
        <v>12.33</v>
      </c>
      <c r="P1192">
        <v>123574.88</v>
      </c>
      <c r="Q1192">
        <v>123325.96</v>
      </c>
      <c r="R1192">
        <v>637</v>
      </c>
      <c r="S1192">
        <v>339</v>
      </c>
      <c r="T1192" t="s">
        <v>26</v>
      </c>
      <c r="U1192" t="s">
        <v>31</v>
      </c>
    </row>
    <row r="1193" spans="1:21">
      <c r="A1193" t="s">
        <v>1935</v>
      </c>
      <c r="B1193" t="s">
        <v>1932</v>
      </c>
      <c r="C1193" t="s">
        <v>1857</v>
      </c>
      <c r="D1193">
        <v>176000</v>
      </c>
      <c r="E1193">
        <v>15000</v>
      </c>
      <c r="H1193">
        <v>3</v>
      </c>
      <c r="I1193" t="s">
        <v>24</v>
      </c>
      <c r="J1193">
        <v>35.78</v>
      </c>
      <c r="K1193">
        <v>1</v>
      </c>
      <c r="L1193">
        <v>5</v>
      </c>
      <c r="M1193" t="s">
        <v>1842</v>
      </c>
      <c r="N1193">
        <v>10</v>
      </c>
      <c r="O1193">
        <v>12.33</v>
      </c>
      <c r="P1193">
        <v>123574.88</v>
      </c>
      <c r="Q1193">
        <v>123325.96</v>
      </c>
      <c r="R1193">
        <v>637</v>
      </c>
      <c r="S1193">
        <v>339</v>
      </c>
      <c r="T1193" t="s">
        <v>26</v>
      </c>
      <c r="U1193" t="s">
        <v>31</v>
      </c>
    </row>
    <row r="1194" spans="1:21">
      <c r="A1194" t="s">
        <v>1936</v>
      </c>
      <c r="B1194" t="s">
        <v>1932</v>
      </c>
      <c r="C1194" t="s">
        <v>1857</v>
      </c>
      <c r="D1194">
        <v>176500</v>
      </c>
      <c r="E1194">
        <v>15000</v>
      </c>
      <c r="H1194">
        <v>4</v>
      </c>
      <c r="I1194" t="s">
        <v>24</v>
      </c>
      <c r="J1194">
        <v>27.4</v>
      </c>
      <c r="K1194">
        <v>1</v>
      </c>
      <c r="L1194">
        <v>5</v>
      </c>
      <c r="M1194" t="s">
        <v>1842</v>
      </c>
      <c r="N1194">
        <v>10</v>
      </c>
      <c r="O1194">
        <v>12.33</v>
      </c>
      <c r="P1194">
        <v>123574.88</v>
      </c>
      <c r="Q1194">
        <v>123325.96</v>
      </c>
      <c r="R1194">
        <v>637</v>
      </c>
      <c r="S1194">
        <v>339</v>
      </c>
      <c r="T1194" t="s">
        <v>34</v>
      </c>
      <c r="U1194" t="s">
        <v>31</v>
      </c>
    </row>
    <row r="1195" spans="1:21">
      <c r="A1195" t="s">
        <v>1937</v>
      </c>
      <c r="B1195" t="s">
        <v>1932</v>
      </c>
      <c r="C1195" t="s">
        <v>1857</v>
      </c>
      <c r="D1195">
        <v>133500</v>
      </c>
      <c r="E1195">
        <v>15000</v>
      </c>
      <c r="H1195">
        <v>5</v>
      </c>
      <c r="I1195" t="s">
        <v>24</v>
      </c>
      <c r="J1195">
        <v>27.4</v>
      </c>
      <c r="K1195">
        <v>1</v>
      </c>
      <c r="L1195">
        <v>5</v>
      </c>
      <c r="M1195" t="s">
        <v>1842</v>
      </c>
      <c r="N1195">
        <v>10</v>
      </c>
      <c r="O1195">
        <v>12.33</v>
      </c>
      <c r="P1195">
        <v>123574.88</v>
      </c>
      <c r="Q1195">
        <v>123325.96</v>
      </c>
      <c r="R1195">
        <v>637</v>
      </c>
      <c r="S1195">
        <v>339</v>
      </c>
      <c r="T1195" t="s">
        <v>34</v>
      </c>
      <c r="U1195" t="s">
        <v>31</v>
      </c>
    </row>
    <row r="1196" spans="1:21">
      <c r="A1196" t="s">
        <v>1938</v>
      </c>
      <c r="B1196" t="s">
        <v>1939</v>
      </c>
      <c r="C1196" t="s">
        <v>1291</v>
      </c>
      <c r="D1196">
        <v>147000</v>
      </c>
      <c r="E1196">
        <v>10000</v>
      </c>
      <c r="F1196">
        <v>147000</v>
      </c>
      <c r="H1196">
        <v>2</v>
      </c>
      <c r="I1196" t="s">
        <v>24</v>
      </c>
      <c r="J1196">
        <v>25.36</v>
      </c>
      <c r="K1196">
        <v>0</v>
      </c>
      <c r="L1196">
        <v>8</v>
      </c>
      <c r="M1196" t="s">
        <v>1842</v>
      </c>
      <c r="N1196">
        <v>9</v>
      </c>
      <c r="O1196">
        <v>9.67</v>
      </c>
      <c r="P1196">
        <v>123574.88</v>
      </c>
      <c r="Q1196">
        <v>123325.96</v>
      </c>
      <c r="R1196">
        <v>637</v>
      </c>
      <c r="S1196">
        <v>339</v>
      </c>
      <c r="T1196" t="s">
        <v>34</v>
      </c>
      <c r="U1196" t="s">
        <v>81</v>
      </c>
    </row>
    <row r="1197" spans="1:21">
      <c r="A1197" t="s">
        <v>1940</v>
      </c>
      <c r="B1197" t="s">
        <v>1939</v>
      </c>
      <c r="C1197" t="s">
        <v>1291</v>
      </c>
      <c r="D1197">
        <v>148000</v>
      </c>
      <c r="E1197">
        <v>10000</v>
      </c>
      <c r="F1197">
        <v>148000</v>
      </c>
      <c r="H1197">
        <v>3</v>
      </c>
      <c r="I1197" t="s">
        <v>24</v>
      </c>
      <c r="J1197">
        <v>25.36</v>
      </c>
      <c r="K1197">
        <v>0</v>
      </c>
      <c r="L1197">
        <v>8</v>
      </c>
      <c r="M1197" t="s">
        <v>1842</v>
      </c>
      <c r="N1197">
        <v>9</v>
      </c>
      <c r="O1197">
        <v>9.67</v>
      </c>
      <c r="P1197">
        <v>123574.88</v>
      </c>
      <c r="Q1197">
        <v>123325.96</v>
      </c>
      <c r="R1197">
        <v>637</v>
      </c>
      <c r="S1197">
        <v>339</v>
      </c>
      <c r="T1197" t="s">
        <v>34</v>
      </c>
      <c r="U1197" t="s">
        <v>81</v>
      </c>
    </row>
    <row r="1198" spans="1:21">
      <c r="A1198" t="s">
        <v>1941</v>
      </c>
      <c r="B1198" t="s">
        <v>1939</v>
      </c>
      <c r="C1198" t="s">
        <v>1291</v>
      </c>
      <c r="D1198">
        <v>149000</v>
      </c>
      <c r="E1198">
        <v>10000</v>
      </c>
      <c r="F1198">
        <v>149000</v>
      </c>
      <c r="H1198">
        <v>4</v>
      </c>
      <c r="I1198" t="s">
        <v>24</v>
      </c>
      <c r="J1198">
        <v>25.36</v>
      </c>
      <c r="K1198">
        <v>0</v>
      </c>
      <c r="L1198">
        <v>8</v>
      </c>
      <c r="M1198" t="s">
        <v>1842</v>
      </c>
      <c r="N1198">
        <v>9</v>
      </c>
      <c r="O1198">
        <v>9.67</v>
      </c>
      <c r="P1198">
        <v>123574.88</v>
      </c>
      <c r="Q1198">
        <v>123325.96</v>
      </c>
      <c r="R1198">
        <v>637</v>
      </c>
      <c r="S1198">
        <v>339</v>
      </c>
      <c r="T1198" t="s">
        <v>34</v>
      </c>
      <c r="U1198" t="s">
        <v>81</v>
      </c>
    </row>
    <row r="1199" spans="1:21">
      <c r="A1199" t="s">
        <v>1942</v>
      </c>
      <c r="B1199" t="s">
        <v>1939</v>
      </c>
      <c r="C1199" t="s">
        <v>1291</v>
      </c>
      <c r="D1199">
        <v>156000</v>
      </c>
      <c r="E1199">
        <v>10000</v>
      </c>
      <c r="F1199">
        <v>156000</v>
      </c>
      <c r="G1199">
        <v>156000</v>
      </c>
      <c r="H1199">
        <v>5</v>
      </c>
      <c r="I1199" t="s">
        <v>24</v>
      </c>
      <c r="J1199">
        <v>25.36</v>
      </c>
      <c r="K1199">
        <v>0</v>
      </c>
      <c r="L1199">
        <v>8</v>
      </c>
      <c r="M1199" t="s">
        <v>1842</v>
      </c>
      <c r="N1199">
        <v>9</v>
      </c>
      <c r="O1199">
        <v>9.67</v>
      </c>
      <c r="P1199">
        <v>123574.88</v>
      </c>
      <c r="Q1199">
        <v>123325.96</v>
      </c>
      <c r="R1199">
        <v>637</v>
      </c>
      <c r="S1199">
        <v>339</v>
      </c>
      <c r="T1199" t="s">
        <v>34</v>
      </c>
      <c r="U1199" t="s">
        <v>81</v>
      </c>
    </row>
    <row r="1200" spans="1:21">
      <c r="A1200" t="s">
        <v>1943</v>
      </c>
      <c r="B1200" t="s">
        <v>1939</v>
      </c>
      <c r="C1200" t="s">
        <v>1291</v>
      </c>
      <c r="D1200">
        <v>159000</v>
      </c>
      <c r="E1200">
        <v>10000</v>
      </c>
      <c r="F1200">
        <v>159000</v>
      </c>
      <c r="G1200">
        <v>159000</v>
      </c>
      <c r="H1200">
        <v>6</v>
      </c>
      <c r="I1200" t="s">
        <v>24</v>
      </c>
      <c r="J1200">
        <v>25.36</v>
      </c>
      <c r="K1200">
        <v>0</v>
      </c>
      <c r="L1200">
        <v>8</v>
      </c>
      <c r="M1200" t="s">
        <v>1842</v>
      </c>
      <c r="N1200">
        <v>9</v>
      </c>
      <c r="O1200">
        <v>9.67</v>
      </c>
      <c r="P1200">
        <v>123574.88</v>
      </c>
      <c r="Q1200">
        <v>123325.96</v>
      </c>
      <c r="R1200">
        <v>637</v>
      </c>
      <c r="S1200">
        <v>339</v>
      </c>
      <c r="T1200" t="s">
        <v>34</v>
      </c>
      <c r="U1200" t="s">
        <v>81</v>
      </c>
    </row>
    <row r="1201" spans="1:21">
      <c r="A1201" t="s">
        <v>1944</v>
      </c>
      <c r="B1201" t="s">
        <v>1939</v>
      </c>
      <c r="C1201" t="s">
        <v>1291</v>
      </c>
      <c r="D1201">
        <v>160000</v>
      </c>
      <c r="E1201">
        <v>10000</v>
      </c>
      <c r="F1201">
        <v>160000</v>
      </c>
      <c r="G1201">
        <v>160000</v>
      </c>
      <c r="H1201">
        <v>7</v>
      </c>
      <c r="I1201" t="s">
        <v>24</v>
      </c>
      <c r="J1201">
        <v>25.36</v>
      </c>
      <c r="K1201">
        <v>0</v>
      </c>
      <c r="L1201">
        <v>8</v>
      </c>
      <c r="M1201" t="s">
        <v>1842</v>
      </c>
      <c r="N1201">
        <v>9</v>
      </c>
      <c r="O1201">
        <v>9.67</v>
      </c>
      <c r="P1201">
        <v>123574.88</v>
      </c>
      <c r="Q1201">
        <v>123325.96</v>
      </c>
      <c r="R1201">
        <v>637</v>
      </c>
      <c r="S1201">
        <v>339</v>
      </c>
      <c r="T1201" t="s">
        <v>34</v>
      </c>
      <c r="U1201" t="s">
        <v>81</v>
      </c>
    </row>
    <row r="1202" spans="1:21">
      <c r="A1202" t="s">
        <v>1945</v>
      </c>
      <c r="B1202" t="s">
        <v>1946</v>
      </c>
      <c r="C1202" t="s">
        <v>1291</v>
      </c>
      <c r="D1202">
        <v>151000</v>
      </c>
      <c r="E1202">
        <v>12000</v>
      </c>
      <c r="F1202">
        <v>151000</v>
      </c>
      <c r="G1202">
        <v>151000</v>
      </c>
      <c r="H1202">
        <v>12</v>
      </c>
      <c r="I1202" t="s">
        <v>24</v>
      </c>
      <c r="J1202">
        <v>30.36</v>
      </c>
      <c r="K1202">
        <v>5</v>
      </c>
      <c r="L1202">
        <v>12</v>
      </c>
      <c r="M1202" t="s">
        <v>1842</v>
      </c>
      <c r="N1202">
        <v>9</v>
      </c>
      <c r="O1202">
        <v>10.33</v>
      </c>
      <c r="P1202">
        <v>123574.88</v>
      </c>
      <c r="Q1202">
        <v>123325.96</v>
      </c>
      <c r="R1202">
        <v>637</v>
      </c>
      <c r="S1202">
        <v>339</v>
      </c>
      <c r="T1202" t="s">
        <v>26</v>
      </c>
      <c r="U1202" t="s">
        <v>31</v>
      </c>
    </row>
    <row r="1203" spans="1:21">
      <c r="A1203" t="s">
        <v>1947</v>
      </c>
      <c r="B1203" t="s">
        <v>1948</v>
      </c>
      <c r="C1203" t="s">
        <v>1857</v>
      </c>
      <c r="D1203">
        <v>128000</v>
      </c>
      <c r="E1203">
        <v>6800</v>
      </c>
      <c r="F1203">
        <v>128000</v>
      </c>
      <c r="H1203">
        <v>3</v>
      </c>
      <c r="I1203" t="s">
        <v>24</v>
      </c>
      <c r="J1203">
        <v>35.020000000000003</v>
      </c>
      <c r="K1203">
        <v>14</v>
      </c>
      <c r="L1203">
        <v>4</v>
      </c>
      <c r="M1203" t="s">
        <v>1842</v>
      </c>
      <c r="N1203">
        <v>4</v>
      </c>
      <c r="O1203">
        <v>12.33</v>
      </c>
      <c r="P1203">
        <v>123574.88</v>
      </c>
      <c r="Q1203">
        <v>123325.96</v>
      </c>
      <c r="R1203">
        <v>637</v>
      </c>
      <c r="S1203">
        <v>339</v>
      </c>
      <c r="T1203" t="s">
        <v>26</v>
      </c>
      <c r="U1203" t="s">
        <v>90</v>
      </c>
    </row>
    <row r="1204" spans="1:21">
      <c r="A1204" t="s">
        <v>1949</v>
      </c>
      <c r="B1204" t="s">
        <v>1950</v>
      </c>
      <c r="C1204" t="s">
        <v>1887</v>
      </c>
      <c r="D1204">
        <v>77000</v>
      </c>
      <c r="E1204">
        <v>5000</v>
      </c>
      <c r="G1204">
        <v>77000</v>
      </c>
      <c r="H1204">
        <v>3</v>
      </c>
      <c r="I1204" t="s">
        <v>89</v>
      </c>
      <c r="J1204">
        <v>18</v>
      </c>
      <c r="K1204">
        <v>7</v>
      </c>
      <c r="L1204">
        <v>3</v>
      </c>
      <c r="M1204" t="s">
        <v>1842</v>
      </c>
      <c r="N1204">
        <v>8</v>
      </c>
      <c r="O1204">
        <v>13.33</v>
      </c>
      <c r="P1204">
        <v>123574.88</v>
      </c>
      <c r="Q1204">
        <v>95329.65</v>
      </c>
      <c r="R1204">
        <v>637</v>
      </c>
      <c r="S1204">
        <v>1622</v>
      </c>
      <c r="T1204" t="s">
        <v>108</v>
      </c>
      <c r="U1204" t="s">
        <v>31</v>
      </c>
    </row>
    <row r="1205" spans="1:21">
      <c r="A1205" t="s">
        <v>1951</v>
      </c>
      <c r="B1205" t="s">
        <v>1952</v>
      </c>
      <c r="C1205" t="s">
        <v>1887</v>
      </c>
      <c r="D1205">
        <v>63000</v>
      </c>
      <c r="E1205">
        <v>2000</v>
      </c>
      <c r="F1205">
        <v>63000</v>
      </c>
      <c r="G1205">
        <v>63000</v>
      </c>
      <c r="H1205">
        <v>3</v>
      </c>
      <c r="I1205" t="s">
        <v>89</v>
      </c>
      <c r="J1205">
        <v>20</v>
      </c>
      <c r="K1205">
        <v>32</v>
      </c>
      <c r="L1205">
        <v>5</v>
      </c>
      <c r="M1205" t="s">
        <v>1842</v>
      </c>
      <c r="N1205">
        <v>3</v>
      </c>
      <c r="O1205">
        <v>11.67</v>
      </c>
      <c r="P1205">
        <v>123574.88</v>
      </c>
      <c r="Q1205">
        <v>95329.65</v>
      </c>
      <c r="R1205">
        <v>637</v>
      </c>
      <c r="S1205">
        <v>1622</v>
      </c>
      <c r="T1205" t="s">
        <v>34</v>
      </c>
      <c r="U1205" t="s">
        <v>49</v>
      </c>
    </row>
    <row r="1206" spans="1:21">
      <c r="A1206" t="s">
        <v>1953</v>
      </c>
      <c r="B1206" t="s">
        <v>1954</v>
      </c>
      <c r="C1206" t="s">
        <v>1850</v>
      </c>
      <c r="D1206">
        <v>77000</v>
      </c>
      <c r="E1206">
        <v>5000</v>
      </c>
      <c r="H1206">
        <v>3</v>
      </c>
      <c r="I1206" t="s">
        <v>89</v>
      </c>
      <c r="J1206">
        <v>18.21</v>
      </c>
      <c r="K1206">
        <v>7</v>
      </c>
      <c r="L1206">
        <v>3</v>
      </c>
      <c r="M1206" t="s">
        <v>1842</v>
      </c>
      <c r="N1206">
        <v>8</v>
      </c>
      <c r="O1206">
        <v>14.67</v>
      </c>
      <c r="P1206">
        <v>123574.88</v>
      </c>
      <c r="Q1206">
        <v>95329.65</v>
      </c>
      <c r="R1206">
        <v>637</v>
      </c>
      <c r="S1206">
        <v>1622</v>
      </c>
      <c r="T1206" t="s">
        <v>108</v>
      </c>
      <c r="U1206" t="s">
        <v>31</v>
      </c>
    </row>
    <row r="1207" spans="1:21">
      <c r="A1207" t="s">
        <v>1955</v>
      </c>
      <c r="B1207" t="s">
        <v>1956</v>
      </c>
      <c r="C1207" t="s">
        <v>1841</v>
      </c>
      <c r="D1207">
        <v>73000</v>
      </c>
      <c r="E1207">
        <v>2000</v>
      </c>
      <c r="F1207">
        <v>73000</v>
      </c>
      <c r="G1207">
        <v>73000</v>
      </c>
      <c r="H1207">
        <v>1</v>
      </c>
      <c r="I1207" t="s">
        <v>89</v>
      </c>
      <c r="J1207">
        <v>25</v>
      </c>
      <c r="K1207">
        <v>37</v>
      </c>
      <c r="L1207">
        <v>3</v>
      </c>
      <c r="M1207" t="s">
        <v>1842</v>
      </c>
      <c r="N1207">
        <v>4</v>
      </c>
      <c r="O1207">
        <v>12.33</v>
      </c>
      <c r="P1207">
        <v>123574.88</v>
      </c>
      <c r="Q1207">
        <v>95329.65</v>
      </c>
      <c r="R1207">
        <v>637</v>
      </c>
      <c r="S1207">
        <v>1622</v>
      </c>
      <c r="T1207" t="s">
        <v>34</v>
      </c>
      <c r="U1207" t="s">
        <v>49</v>
      </c>
    </row>
    <row r="1208" spans="1:21">
      <c r="A1208" t="s">
        <v>1957</v>
      </c>
      <c r="B1208" t="s">
        <v>1958</v>
      </c>
      <c r="C1208" t="s">
        <v>1743</v>
      </c>
      <c r="D1208">
        <v>81000</v>
      </c>
      <c r="E1208">
        <v>8000</v>
      </c>
      <c r="G1208">
        <v>81000</v>
      </c>
      <c r="H1208">
        <v>1</v>
      </c>
      <c r="I1208" t="s">
        <v>89</v>
      </c>
      <c r="J1208">
        <v>21</v>
      </c>
      <c r="K1208">
        <v>15</v>
      </c>
      <c r="L1208">
        <v>8</v>
      </c>
      <c r="M1208" t="s">
        <v>1842</v>
      </c>
      <c r="N1208">
        <v>8</v>
      </c>
      <c r="O1208">
        <v>11.67</v>
      </c>
      <c r="P1208">
        <v>123574.88</v>
      </c>
      <c r="Q1208">
        <v>95329.65</v>
      </c>
      <c r="R1208">
        <v>637</v>
      </c>
      <c r="S1208">
        <v>1622</v>
      </c>
      <c r="T1208" t="s">
        <v>34</v>
      </c>
      <c r="U1208" t="s">
        <v>90</v>
      </c>
    </row>
    <row r="1209" spans="1:21">
      <c r="A1209" t="s">
        <v>1959</v>
      </c>
      <c r="B1209" t="s">
        <v>1958</v>
      </c>
      <c r="C1209" t="s">
        <v>1743</v>
      </c>
      <c r="D1209">
        <v>80000</v>
      </c>
      <c r="E1209">
        <v>8000</v>
      </c>
      <c r="G1209">
        <v>80000</v>
      </c>
      <c r="H1209">
        <v>2</v>
      </c>
      <c r="I1209" t="s">
        <v>89</v>
      </c>
      <c r="J1209">
        <v>21.25</v>
      </c>
      <c r="K1209">
        <v>15</v>
      </c>
      <c r="L1209">
        <v>8</v>
      </c>
      <c r="M1209" t="s">
        <v>1842</v>
      </c>
      <c r="N1209">
        <v>8</v>
      </c>
      <c r="O1209">
        <v>11.67</v>
      </c>
      <c r="P1209">
        <v>123574.88</v>
      </c>
      <c r="Q1209">
        <v>95329.65</v>
      </c>
      <c r="R1209">
        <v>637</v>
      </c>
      <c r="S1209">
        <v>1622</v>
      </c>
      <c r="T1209" t="s">
        <v>34</v>
      </c>
      <c r="U1209" t="s">
        <v>90</v>
      </c>
    </row>
    <row r="1210" spans="1:21">
      <c r="A1210" t="s">
        <v>1960</v>
      </c>
      <c r="B1210" t="s">
        <v>1958</v>
      </c>
      <c r="C1210" t="s">
        <v>1743</v>
      </c>
      <c r="D1210">
        <v>83000</v>
      </c>
      <c r="E1210">
        <v>8000</v>
      </c>
      <c r="G1210">
        <v>83000</v>
      </c>
      <c r="H1210">
        <v>5</v>
      </c>
      <c r="I1210" t="s">
        <v>89</v>
      </c>
      <c r="J1210">
        <v>22.47</v>
      </c>
      <c r="K1210">
        <v>15</v>
      </c>
      <c r="L1210">
        <v>8</v>
      </c>
      <c r="M1210" t="s">
        <v>1842</v>
      </c>
      <c r="N1210">
        <v>8</v>
      </c>
      <c r="O1210">
        <v>11.67</v>
      </c>
      <c r="P1210">
        <v>123574.88</v>
      </c>
      <c r="Q1210">
        <v>95329.65</v>
      </c>
      <c r="R1210">
        <v>637</v>
      </c>
      <c r="S1210">
        <v>1622</v>
      </c>
      <c r="T1210" t="s">
        <v>34</v>
      </c>
      <c r="U1210" t="s">
        <v>90</v>
      </c>
    </row>
    <row r="1211" spans="1:21">
      <c r="A1211" t="s">
        <v>1961</v>
      </c>
      <c r="B1211" t="s">
        <v>1962</v>
      </c>
      <c r="C1211" t="s">
        <v>1841</v>
      </c>
      <c r="D1211">
        <v>91000</v>
      </c>
      <c r="E1211">
        <v>9000</v>
      </c>
      <c r="F1211">
        <v>91000</v>
      </c>
      <c r="G1211">
        <v>91000</v>
      </c>
      <c r="H1211">
        <v>1</v>
      </c>
      <c r="I1211" t="s">
        <v>89</v>
      </c>
      <c r="J1211">
        <v>25.81</v>
      </c>
      <c r="K1211">
        <v>5</v>
      </c>
      <c r="L1211">
        <v>4</v>
      </c>
      <c r="M1211" t="s">
        <v>1842</v>
      </c>
      <c r="N1211">
        <v>4</v>
      </c>
      <c r="O1211">
        <v>11.33</v>
      </c>
      <c r="P1211">
        <v>123574.88</v>
      </c>
      <c r="Q1211">
        <v>95329.65</v>
      </c>
      <c r="R1211">
        <v>637</v>
      </c>
      <c r="S1211">
        <v>1622</v>
      </c>
      <c r="T1211" t="s">
        <v>34</v>
      </c>
      <c r="U1211" t="s">
        <v>31</v>
      </c>
    </row>
    <row r="1212" spans="1:21">
      <c r="A1212" t="s">
        <v>1963</v>
      </c>
      <c r="B1212" t="s">
        <v>1964</v>
      </c>
      <c r="C1212" t="s">
        <v>1887</v>
      </c>
      <c r="D1212">
        <v>109000</v>
      </c>
      <c r="E1212">
        <v>9000</v>
      </c>
      <c r="G1212">
        <v>109000</v>
      </c>
      <c r="H1212">
        <v>2</v>
      </c>
      <c r="I1212" t="s">
        <v>89</v>
      </c>
      <c r="J1212">
        <v>25.91</v>
      </c>
      <c r="K1212">
        <v>6</v>
      </c>
      <c r="L1212">
        <v>4</v>
      </c>
      <c r="M1212" t="s">
        <v>1842</v>
      </c>
      <c r="N1212">
        <v>6</v>
      </c>
      <c r="O1212">
        <v>9.33</v>
      </c>
      <c r="P1212">
        <v>123574.88</v>
      </c>
      <c r="Q1212">
        <v>95329.65</v>
      </c>
      <c r="R1212">
        <v>637</v>
      </c>
      <c r="S1212">
        <v>1622</v>
      </c>
      <c r="T1212" t="s">
        <v>34</v>
      </c>
      <c r="U1212" t="s">
        <v>31</v>
      </c>
    </row>
    <row r="1213" spans="1:21">
      <c r="A1213" t="s">
        <v>1965</v>
      </c>
      <c r="B1213" t="s">
        <v>1964</v>
      </c>
      <c r="C1213" t="s">
        <v>1887</v>
      </c>
      <c r="D1213">
        <v>109000</v>
      </c>
      <c r="E1213">
        <v>9000</v>
      </c>
      <c r="G1213">
        <v>109000</v>
      </c>
      <c r="H1213">
        <v>3</v>
      </c>
      <c r="I1213" t="s">
        <v>89</v>
      </c>
      <c r="J1213">
        <v>25.91</v>
      </c>
      <c r="K1213">
        <v>6</v>
      </c>
      <c r="L1213">
        <v>4</v>
      </c>
      <c r="M1213" t="s">
        <v>1842</v>
      </c>
      <c r="N1213">
        <v>6</v>
      </c>
      <c r="O1213">
        <v>9.33</v>
      </c>
      <c r="P1213">
        <v>123574.88</v>
      </c>
      <c r="Q1213">
        <v>95329.65</v>
      </c>
      <c r="R1213">
        <v>637</v>
      </c>
      <c r="S1213">
        <v>1622</v>
      </c>
      <c r="T1213" t="s">
        <v>34</v>
      </c>
      <c r="U1213" t="s">
        <v>31</v>
      </c>
    </row>
    <row r="1214" spans="1:21">
      <c r="A1214" t="s">
        <v>1966</v>
      </c>
      <c r="B1214" t="s">
        <v>1967</v>
      </c>
      <c r="C1214" t="s">
        <v>688</v>
      </c>
      <c r="D1214">
        <v>94000</v>
      </c>
      <c r="E1214">
        <v>11000</v>
      </c>
      <c r="G1214">
        <v>94000</v>
      </c>
      <c r="H1214">
        <v>2</v>
      </c>
      <c r="I1214" t="s">
        <v>89</v>
      </c>
      <c r="J1214">
        <v>17.39</v>
      </c>
      <c r="K1214">
        <v>12</v>
      </c>
      <c r="L1214">
        <v>3</v>
      </c>
      <c r="M1214" t="s">
        <v>1842</v>
      </c>
      <c r="N1214">
        <v>7</v>
      </c>
      <c r="O1214">
        <v>12.33</v>
      </c>
      <c r="P1214">
        <v>123574.88</v>
      </c>
      <c r="Q1214">
        <v>95329.65</v>
      </c>
      <c r="R1214">
        <v>637</v>
      </c>
      <c r="S1214">
        <v>1622</v>
      </c>
      <c r="T1214" t="s">
        <v>108</v>
      </c>
      <c r="U1214" t="s">
        <v>90</v>
      </c>
    </row>
    <row r="1215" spans="1:21">
      <c r="A1215" t="s">
        <v>1968</v>
      </c>
      <c r="B1215" t="s">
        <v>1967</v>
      </c>
      <c r="C1215" t="s">
        <v>688</v>
      </c>
      <c r="D1215">
        <v>96000</v>
      </c>
      <c r="E1215">
        <v>11000</v>
      </c>
      <c r="G1215">
        <v>96000</v>
      </c>
      <c r="H1215">
        <v>2</v>
      </c>
      <c r="I1215" t="s">
        <v>89</v>
      </c>
      <c r="J1215">
        <v>19.87</v>
      </c>
      <c r="K1215">
        <v>12</v>
      </c>
      <c r="L1215">
        <v>3</v>
      </c>
      <c r="M1215" t="s">
        <v>1842</v>
      </c>
      <c r="N1215">
        <v>7</v>
      </c>
      <c r="O1215">
        <v>12.33</v>
      </c>
      <c r="P1215">
        <v>123574.88</v>
      </c>
      <c r="Q1215">
        <v>95329.65</v>
      </c>
      <c r="R1215">
        <v>637</v>
      </c>
      <c r="S1215">
        <v>1622</v>
      </c>
      <c r="T1215" t="s">
        <v>108</v>
      </c>
      <c r="U1215" t="s">
        <v>90</v>
      </c>
    </row>
    <row r="1216" spans="1:21">
      <c r="A1216" t="s">
        <v>1969</v>
      </c>
      <c r="B1216" t="s">
        <v>1970</v>
      </c>
      <c r="C1216" t="s">
        <v>1857</v>
      </c>
      <c r="D1216">
        <v>60000</v>
      </c>
      <c r="E1216">
        <v>2000</v>
      </c>
      <c r="H1216">
        <v>-1</v>
      </c>
      <c r="I1216" t="s">
        <v>89</v>
      </c>
      <c r="J1216">
        <v>21.78</v>
      </c>
      <c r="K1216">
        <v>32</v>
      </c>
      <c r="L1216">
        <v>5</v>
      </c>
      <c r="M1216" t="s">
        <v>1842</v>
      </c>
      <c r="N1216">
        <v>6</v>
      </c>
      <c r="O1216">
        <v>8.67</v>
      </c>
      <c r="P1216">
        <v>123574.88</v>
      </c>
      <c r="Q1216">
        <v>95329.65</v>
      </c>
      <c r="R1216">
        <v>637</v>
      </c>
      <c r="S1216">
        <v>1622</v>
      </c>
      <c r="T1216" t="s">
        <v>34</v>
      </c>
      <c r="U1216" t="s">
        <v>49</v>
      </c>
    </row>
    <row r="1217" spans="1:21">
      <c r="A1217" t="s">
        <v>1971</v>
      </c>
      <c r="B1217" t="s">
        <v>1972</v>
      </c>
      <c r="C1217" t="s">
        <v>696</v>
      </c>
      <c r="D1217">
        <v>68000</v>
      </c>
      <c r="E1217">
        <v>10000</v>
      </c>
      <c r="F1217">
        <v>68000</v>
      </c>
      <c r="H1217">
        <v>1</v>
      </c>
      <c r="I1217" t="s">
        <v>89</v>
      </c>
      <c r="J1217">
        <v>24.33</v>
      </c>
      <c r="K1217">
        <v>24</v>
      </c>
      <c r="L1217">
        <v>4</v>
      </c>
      <c r="M1217" t="s">
        <v>1842</v>
      </c>
      <c r="N1217">
        <v>12</v>
      </c>
      <c r="O1217">
        <v>12</v>
      </c>
      <c r="P1217">
        <v>123574.88</v>
      </c>
      <c r="Q1217">
        <v>95329.65</v>
      </c>
      <c r="R1217">
        <v>637</v>
      </c>
      <c r="S1217">
        <v>1622</v>
      </c>
      <c r="T1217" t="s">
        <v>34</v>
      </c>
      <c r="U1217" t="s">
        <v>27</v>
      </c>
    </row>
    <row r="1218" spans="1:21">
      <c r="A1218" t="s">
        <v>1973</v>
      </c>
      <c r="B1218" t="s">
        <v>1854</v>
      </c>
      <c r="C1218" t="s">
        <v>1841</v>
      </c>
      <c r="D1218">
        <v>117000</v>
      </c>
      <c r="E1218">
        <v>10000</v>
      </c>
      <c r="F1218">
        <v>117000</v>
      </c>
      <c r="H1218">
        <v>2</v>
      </c>
      <c r="I1218" t="s">
        <v>89</v>
      </c>
      <c r="J1218">
        <v>25.6</v>
      </c>
      <c r="K1218">
        <v>2</v>
      </c>
      <c r="L1218">
        <v>4</v>
      </c>
      <c r="M1218" t="s">
        <v>1842</v>
      </c>
      <c r="N1218">
        <v>3</v>
      </c>
      <c r="O1218">
        <v>13.67</v>
      </c>
      <c r="P1218">
        <v>123574.88</v>
      </c>
      <c r="Q1218">
        <v>95329.65</v>
      </c>
      <c r="R1218">
        <v>637</v>
      </c>
      <c r="S1218">
        <v>1622</v>
      </c>
      <c r="T1218" t="s">
        <v>34</v>
      </c>
      <c r="U1218" t="s">
        <v>31</v>
      </c>
    </row>
    <row r="1219" spans="1:21">
      <c r="A1219" t="s">
        <v>1974</v>
      </c>
      <c r="B1219" t="s">
        <v>1975</v>
      </c>
      <c r="C1219" t="s">
        <v>688</v>
      </c>
      <c r="D1219">
        <v>84000</v>
      </c>
      <c r="E1219">
        <v>5000</v>
      </c>
      <c r="F1219">
        <v>84000</v>
      </c>
      <c r="H1219">
        <v>1</v>
      </c>
      <c r="I1219" t="s">
        <v>89</v>
      </c>
      <c r="J1219">
        <v>15.56</v>
      </c>
      <c r="K1219">
        <v>0</v>
      </c>
      <c r="L1219">
        <v>4</v>
      </c>
      <c r="M1219" t="s">
        <v>1842</v>
      </c>
      <c r="N1219">
        <v>6</v>
      </c>
      <c r="O1219">
        <v>11</v>
      </c>
      <c r="P1219">
        <v>123574.88</v>
      </c>
      <c r="Q1219">
        <v>95329.65</v>
      </c>
      <c r="R1219">
        <v>637</v>
      </c>
      <c r="S1219">
        <v>1622</v>
      </c>
      <c r="T1219" t="s">
        <v>108</v>
      </c>
      <c r="U1219" t="s">
        <v>81</v>
      </c>
    </row>
    <row r="1220" spans="1:21">
      <c r="A1220" t="s">
        <v>1976</v>
      </c>
      <c r="B1220" t="s">
        <v>1975</v>
      </c>
      <c r="C1220" t="s">
        <v>688</v>
      </c>
      <c r="D1220">
        <v>83000</v>
      </c>
      <c r="E1220">
        <v>5000</v>
      </c>
      <c r="F1220">
        <v>83000</v>
      </c>
      <c r="H1220">
        <v>1</v>
      </c>
      <c r="I1220" t="s">
        <v>89</v>
      </c>
      <c r="J1220">
        <v>16.22</v>
      </c>
      <c r="K1220">
        <v>0</v>
      </c>
      <c r="L1220">
        <v>4</v>
      </c>
      <c r="M1220" t="s">
        <v>1842</v>
      </c>
      <c r="N1220">
        <v>6</v>
      </c>
      <c r="O1220">
        <v>11</v>
      </c>
      <c r="P1220">
        <v>123574.88</v>
      </c>
      <c r="Q1220">
        <v>95329.65</v>
      </c>
      <c r="R1220">
        <v>637</v>
      </c>
      <c r="S1220">
        <v>1622</v>
      </c>
      <c r="T1220" t="s">
        <v>108</v>
      </c>
      <c r="U1220" t="s">
        <v>81</v>
      </c>
    </row>
    <row r="1221" spans="1:21">
      <c r="A1221" t="s">
        <v>1977</v>
      </c>
      <c r="B1221" t="s">
        <v>1975</v>
      </c>
      <c r="C1221" t="s">
        <v>688</v>
      </c>
      <c r="D1221">
        <v>87000</v>
      </c>
      <c r="E1221">
        <v>5000</v>
      </c>
      <c r="F1221">
        <v>87000</v>
      </c>
      <c r="H1221">
        <v>2</v>
      </c>
      <c r="I1221" t="s">
        <v>89</v>
      </c>
      <c r="J1221">
        <v>16.22</v>
      </c>
      <c r="K1221">
        <v>0</v>
      </c>
      <c r="L1221">
        <v>4</v>
      </c>
      <c r="M1221" t="s">
        <v>1842</v>
      </c>
      <c r="N1221">
        <v>6</v>
      </c>
      <c r="O1221">
        <v>11</v>
      </c>
      <c r="P1221">
        <v>123574.88</v>
      </c>
      <c r="Q1221">
        <v>95329.65</v>
      </c>
      <c r="R1221">
        <v>637</v>
      </c>
      <c r="S1221">
        <v>1622</v>
      </c>
      <c r="T1221" t="s">
        <v>108</v>
      </c>
      <c r="U1221" t="s">
        <v>81</v>
      </c>
    </row>
    <row r="1222" spans="1:21">
      <c r="A1222" t="s">
        <v>1978</v>
      </c>
      <c r="B1222" t="s">
        <v>1975</v>
      </c>
      <c r="C1222" t="s">
        <v>688</v>
      </c>
      <c r="D1222">
        <v>88000</v>
      </c>
      <c r="E1222">
        <v>5000</v>
      </c>
      <c r="F1222">
        <v>88000</v>
      </c>
      <c r="G1222">
        <v>88000</v>
      </c>
      <c r="H1222">
        <v>2</v>
      </c>
      <c r="I1222" t="s">
        <v>89</v>
      </c>
      <c r="J1222">
        <v>16.64</v>
      </c>
      <c r="K1222">
        <v>0</v>
      </c>
      <c r="L1222">
        <v>4</v>
      </c>
      <c r="M1222" t="s">
        <v>1842</v>
      </c>
      <c r="N1222">
        <v>6</v>
      </c>
      <c r="O1222">
        <v>11</v>
      </c>
      <c r="P1222">
        <v>123574.88</v>
      </c>
      <c r="Q1222">
        <v>95329.65</v>
      </c>
      <c r="R1222">
        <v>637</v>
      </c>
      <c r="S1222">
        <v>1622</v>
      </c>
      <c r="T1222" t="s">
        <v>108</v>
      </c>
      <c r="U1222" t="s">
        <v>81</v>
      </c>
    </row>
    <row r="1223" spans="1:21">
      <c r="A1223" t="s">
        <v>1979</v>
      </c>
      <c r="B1223" t="s">
        <v>1975</v>
      </c>
      <c r="C1223" t="s">
        <v>688</v>
      </c>
      <c r="D1223">
        <v>90000</v>
      </c>
      <c r="E1223">
        <v>5000</v>
      </c>
      <c r="F1223">
        <v>90000</v>
      </c>
      <c r="G1223">
        <v>90000</v>
      </c>
      <c r="H1223">
        <v>3</v>
      </c>
      <c r="I1223" t="s">
        <v>89</v>
      </c>
      <c r="J1223">
        <v>16.64</v>
      </c>
      <c r="K1223">
        <v>0</v>
      </c>
      <c r="L1223">
        <v>4</v>
      </c>
      <c r="M1223" t="s">
        <v>1842</v>
      </c>
      <c r="N1223">
        <v>6</v>
      </c>
      <c r="O1223">
        <v>11</v>
      </c>
      <c r="P1223">
        <v>123574.88</v>
      </c>
      <c r="Q1223">
        <v>95329.65</v>
      </c>
      <c r="R1223">
        <v>637</v>
      </c>
      <c r="S1223">
        <v>1622</v>
      </c>
      <c r="T1223" t="s">
        <v>108</v>
      </c>
      <c r="U1223" t="s">
        <v>81</v>
      </c>
    </row>
    <row r="1224" spans="1:21">
      <c r="A1224" t="s">
        <v>1980</v>
      </c>
      <c r="B1224" t="s">
        <v>1975</v>
      </c>
      <c r="C1224" t="s">
        <v>688</v>
      </c>
      <c r="D1224">
        <v>90000</v>
      </c>
      <c r="E1224">
        <v>5000</v>
      </c>
      <c r="F1224">
        <v>90000</v>
      </c>
      <c r="G1224">
        <v>90000</v>
      </c>
      <c r="H1224">
        <v>4</v>
      </c>
      <c r="I1224" t="s">
        <v>89</v>
      </c>
      <c r="J1224">
        <v>16.64</v>
      </c>
      <c r="K1224">
        <v>0</v>
      </c>
      <c r="L1224">
        <v>4</v>
      </c>
      <c r="M1224" t="s">
        <v>1842</v>
      </c>
      <c r="N1224">
        <v>6</v>
      </c>
      <c r="O1224">
        <v>11</v>
      </c>
      <c r="P1224">
        <v>123574.88</v>
      </c>
      <c r="Q1224">
        <v>95329.65</v>
      </c>
      <c r="R1224">
        <v>637</v>
      </c>
      <c r="S1224">
        <v>1622</v>
      </c>
      <c r="T1224" t="s">
        <v>108</v>
      </c>
      <c r="U1224" t="s">
        <v>81</v>
      </c>
    </row>
    <row r="1225" spans="1:21">
      <c r="A1225" t="s">
        <v>1981</v>
      </c>
      <c r="B1225" t="s">
        <v>1975</v>
      </c>
      <c r="C1225" t="s">
        <v>688</v>
      </c>
      <c r="D1225">
        <v>91000</v>
      </c>
      <c r="E1225">
        <v>5000</v>
      </c>
      <c r="F1225">
        <v>91000</v>
      </c>
      <c r="G1225">
        <v>91000</v>
      </c>
      <c r="H1225">
        <v>4</v>
      </c>
      <c r="I1225" t="s">
        <v>89</v>
      </c>
      <c r="J1225">
        <v>16.739999999999998</v>
      </c>
      <c r="K1225">
        <v>0</v>
      </c>
      <c r="L1225">
        <v>4</v>
      </c>
      <c r="M1225" t="s">
        <v>1842</v>
      </c>
      <c r="N1225">
        <v>6</v>
      </c>
      <c r="O1225">
        <v>11</v>
      </c>
      <c r="P1225">
        <v>123574.88</v>
      </c>
      <c r="Q1225">
        <v>95329.65</v>
      </c>
      <c r="R1225">
        <v>637</v>
      </c>
      <c r="S1225">
        <v>1622</v>
      </c>
      <c r="T1225" t="s">
        <v>108</v>
      </c>
      <c r="U1225" t="s">
        <v>81</v>
      </c>
    </row>
    <row r="1226" spans="1:21">
      <c r="A1226" t="s">
        <v>1982</v>
      </c>
      <c r="B1226" t="s">
        <v>1983</v>
      </c>
      <c r="C1226" t="s">
        <v>1870</v>
      </c>
      <c r="D1226">
        <v>105000</v>
      </c>
      <c r="E1226">
        <v>5000</v>
      </c>
      <c r="F1226">
        <v>105000</v>
      </c>
      <c r="G1226">
        <v>105000</v>
      </c>
      <c r="H1226">
        <v>2</v>
      </c>
      <c r="I1226" t="s">
        <v>89</v>
      </c>
      <c r="J1226">
        <v>21.26</v>
      </c>
      <c r="K1226">
        <v>5</v>
      </c>
      <c r="L1226">
        <v>4</v>
      </c>
      <c r="M1226" t="s">
        <v>1842</v>
      </c>
      <c r="N1226">
        <v>4</v>
      </c>
      <c r="O1226">
        <v>9.33</v>
      </c>
      <c r="P1226">
        <v>123574.88</v>
      </c>
      <c r="Q1226">
        <v>95329.65</v>
      </c>
      <c r="R1226">
        <v>637</v>
      </c>
      <c r="S1226">
        <v>1622</v>
      </c>
      <c r="T1226" t="s">
        <v>34</v>
      </c>
      <c r="U1226" t="s">
        <v>31</v>
      </c>
    </row>
    <row r="1227" spans="1:21">
      <c r="A1227" t="s">
        <v>1984</v>
      </c>
      <c r="B1227" t="s">
        <v>1856</v>
      </c>
      <c r="C1227" t="s">
        <v>1857</v>
      </c>
      <c r="D1227">
        <v>125500</v>
      </c>
      <c r="E1227">
        <v>15000</v>
      </c>
      <c r="H1227">
        <v>1</v>
      </c>
      <c r="I1227" t="s">
        <v>89</v>
      </c>
      <c r="J1227">
        <v>25.26</v>
      </c>
      <c r="K1227">
        <v>0</v>
      </c>
      <c r="L1227">
        <v>5</v>
      </c>
      <c r="M1227" t="s">
        <v>1842</v>
      </c>
      <c r="N1227">
        <v>10</v>
      </c>
      <c r="O1227">
        <v>12.67</v>
      </c>
      <c r="P1227">
        <v>123574.88</v>
      </c>
      <c r="Q1227">
        <v>95329.65</v>
      </c>
      <c r="R1227">
        <v>637</v>
      </c>
      <c r="S1227">
        <v>1622</v>
      </c>
      <c r="T1227" t="s">
        <v>34</v>
      </c>
      <c r="U1227" t="s">
        <v>81</v>
      </c>
    </row>
    <row r="1228" spans="1:21">
      <c r="A1228" t="s">
        <v>1985</v>
      </c>
      <c r="B1228" t="s">
        <v>1856</v>
      </c>
      <c r="C1228" t="s">
        <v>1857</v>
      </c>
      <c r="D1228">
        <v>132500</v>
      </c>
      <c r="E1228">
        <v>15000</v>
      </c>
      <c r="H1228">
        <v>1</v>
      </c>
      <c r="I1228" t="s">
        <v>89</v>
      </c>
      <c r="J1228">
        <v>27.4</v>
      </c>
      <c r="K1228">
        <v>0</v>
      </c>
      <c r="L1228">
        <v>5</v>
      </c>
      <c r="M1228" t="s">
        <v>1842</v>
      </c>
      <c r="N1228">
        <v>10</v>
      </c>
      <c r="O1228">
        <v>12.67</v>
      </c>
      <c r="P1228">
        <v>123574.88</v>
      </c>
      <c r="Q1228">
        <v>95329.65</v>
      </c>
      <c r="R1228">
        <v>637</v>
      </c>
      <c r="S1228">
        <v>1622</v>
      </c>
      <c r="T1228" t="s">
        <v>34</v>
      </c>
      <c r="U1228" t="s">
        <v>81</v>
      </c>
    </row>
    <row r="1229" spans="1:21">
      <c r="A1229" t="s">
        <v>1986</v>
      </c>
      <c r="B1229" t="s">
        <v>1856</v>
      </c>
      <c r="C1229" t="s">
        <v>1857</v>
      </c>
      <c r="D1229">
        <v>125500</v>
      </c>
      <c r="E1229">
        <v>15000</v>
      </c>
      <c r="G1229">
        <v>125500</v>
      </c>
      <c r="H1229">
        <v>1</v>
      </c>
      <c r="I1229" t="s">
        <v>89</v>
      </c>
      <c r="J1229">
        <v>28.67</v>
      </c>
      <c r="K1229">
        <v>0</v>
      </c>
      <c r="L1229">
        <v>5</v>
      </c>
      <c r="M1229" t="s">
        <v>1842</v>
      </c>
      <c r="N1229">
        <v>10</v>
      </c>
      <c r="O1229">
        <v>12.67</v>
      </c>
      <c r="P1229">
        <v>123574.88</v>
      </c>
      <c r="Q1229">
        <v>95329.65</v>
      </c>
      <c r="R1229">
        <v>637</v>
      </c>
      <c r="S1229">
        <v>1622</v>
      </c>
      <c r="T1229" t="s">
        <v>34</v>
      </c>
      <c r="U1229" t="s">
        <v>81</v>
      </c>
    </row>
    <row r="1230" spans="1:21">
      <c r="A1230" t="s">
        <v>1987</v>
      </c>
      <c r="B1230" t="s">
        <v>1856</v>
      </c>
      <c r="C1230" t="s">
        <v>1857</v>
      </c>
      <c r="D1230">
        <v>135500</v>
      </c>
      <c r="E1230">
        <v>15000</v>
      </c>
      <c r="H1230">
        <v>1</v>
      </c>
      <c r="I1230" t="s">
        <v>89</v>
      </c>
      <c r="J1230">
        <v>28.67</v>
      </c>
      <c r="K1230">
        <v>0</v>
      </c>
      <c r="L1230">
        <v>5</v>
      </c>
      <c r="M1230" t="s">
        <v>1842</v>
      </c>
      <c r="N1230">
        <v>10</v>
      </c>
      <c r="O1230">
        <v>12.67</v>
      </c>
      <c r="P1230">
        <v>123574.88</v>
      </c>
      <c r="Q1230">
        <v>95329.65</v>
      </c>
      <c r="R1230">
        <v>637</v>
      </c>
      <c r="S1230">
        <v>1622</v>
      </c>
      <c r="T1230" t="s">
        <v>34</v>
      </c>
      <c r="U1230" t="s">
        <v>81</v>
      </c>
    </row>
    <row r="1231" spans="1:21">
      <c r="A1231" t="s">
        <v>1988</v>
      </c>
      <c r="B1231" t="s">
        <v>1856</v>
      </c>
      <c r="C1231" t="s">
        <v>1857</v>
      </c>
      <c r="D1231">
        <v>126000</v>
      </c>
      <c r="E1231">
        <v>15000</v>
      </c>
      <c r="H1231">
        <v>2</v>
      </c>
      <c r="I1231" t="s">
        <v>89</v>
      </c>
      <c r="J1231">
        <v>25.26</v>
      </c>
      <c r="K1231">
        <v>0</v>
      </c>
      <c r="L1231">
        <v>5</v>
      </c>
      <c r="M1231" t="s">
        <v>1842</v>
      </c>
      <c r="N1231">
        <v>10</v>
      </c>
      <c r="O1231">
        <v>12.67</v>
      </c>
      <c r="P1231">
        <v>123574.88</v>
      </c>
      <c r="Q1231">
        <v>95329.65</v>
      </c>
      <c r="R1231">
        <v>637</v>
      </c>
      <c r="S1231">
        <v>1622</v>
      </c>
      <c r="T1231" t="s">
        <v>34</v>
      </c>
      <c r="U1231" t="s">
        <v>81</v>
      </c>
    </row>
    <row r="1232" spans="1:21">
      <c r="A1232" t="s">
        <v>1989</v>
      </c>
      <c r="B1232" t="s">
        <v>1856</v>
      </c>
      <c r="C1232" t="s">
        <v>1857</v>
      </c>
      <c r="D1232">
        <v>133000</v>
      </c>
      <c r="E1232">
        <v>15000</v>
      </c>
      <c r="H1232">
        <v>2</v>
      </c>
      <c r="I1232" t="s">
        <v>89</v>
      </c>
      <c r="J1232">
        <v>27.4</v>
      </c>
      <c r="K1232">
        <v>0</v>
      </c>
      <c r="L1232">
        <v>5</v>
      </c>
      <c r="M1232" t="s">
        <v>1842</v>
      </c>
      <c r="N1232">
        <v>10</v>
      </c>
      <c r="O1232">
        <v>12.67</v>
      </c>
      <c r="P1232">
        <v>123574.88</v>
      </c>
      <c r="Q1232">
        <v>95329.65</v>
      </c>
      <c r="R1232">
        <v>637</v>
      </c>
      <c r="S1232">
        <v>1622</v>
      </c>
      <c r="T1232" t="s">
        <v>34</v>
      </c>
      <c r="U1232" t="s">
        <v>81</v>
      </c>
    </row>
    <row r="1233" spans="1:21">
      <c r="A1233" t="s">
        <v>1990</v>
      </c>
      <c r="B1233" t="s">
        <v>1856</v>
      </c>
      <c r="C1233" t="s">
        <v>1857</v>
      </c>
      <c r="D1233">
        <v>136000</v>
      </c>
      <c r="E1233">
        <v>15000</v>
      </c>
      <c r="H1233">
        <v>2</v>
      </c>
      <c r="I1233" t="s">
        <v>89</v>
      </c>
      <c r="J1233">
        <v>28.67</v>
      </c>
      <c r="K1233">
        <v>0</v>
      </c>
      <c r="L1233">
        <v>5</v>
      </c>
      <c r="M1233" t="s">
        <v>1842</v>
      </c>
      <c r="N1233">
        <v>10</v>
      </c>
      <c r="O1233">
        <v>12.67</v>
      </c>
      <c r="P1233">
        <v>123574.88</v>
      </c>
      <c r="Q1233">
        <v>95329.65</v>
      </c>
      <c r="R1233">
        <v>637</v>
      </c>
      <c r="S1233">
        <v>1622</v>
      </c>
      <c r="T1233" t="s">
        <v>34</v>
      </c>
      <c r="U1233" t="s">
        <v>81</v>
      </c>
    </row>
    <row r="1234" spans="1:21">
      <c r="A1234" t="s">
        <v>1991</v>
      </c>
      <c r="B1234" t="s">
        <v>1856</v>
      </c>
      <c r="C1234" t="s">
        <v>1857</v>
      </c>
      <c r="D1234">
        <v>126500</v>
      </c>
      <c r="E1234">
        <v>15000</v>
      </c>
      <c r="H1234">
        <v>3</v>
      </c>
      <c r="I1234" t="s">
        <v>89</v>
      </c>
      <c r="J1234">
        <v>25.26</v>
      </c>
      <c r="K1234">
        <v>0</v>
      </c>
      <c r="L1234">
        <v>5</v>
      </c>
      <c r="M1234" t="s">
        <v>1842</v>
      </c>
      <c r="N1234">
        <v>10</v>
      </c>
      <c r="O1234">
        <v>12.67</v>
      </c>
      <c r="P1234">
        <v>123574.88</v>
      </c>
      <c r="Q1234">
        <v>95329.65</v>
      </c>
      <c r="R1234">
        <v>637</v>
      </c>
      <c r="S1234">
        <v>1622</v>
      </c>
      <c r="T1234" t="s">
        <v>34</v>
      </c>
      <c r="U1234" t="s">
        <v>81</v>
      </c>
    </row>
    <row r="1235" spans="1:21">
      <c r="A1235" t="s">
        <v>1992</v>
      </c>
      <c r="B1235" t="s">
        <v>1856</v>
      </c>
      <c r="C1235" t="s">
        <v>1857</v>
      </c>
      <c r="D1235">
        <v>133500</v>
      </c>
      <c r="E1235">
        <v>15000</v>
      </c>
      <c r="H1235">
        <v>3</v>
      </c>
      <c r="I1235" t="s">
        <v>89</v>
      </c>
      <c r="J1235">
        <v>27.4</v>
      </c>
      <c r="K1235">
        <v>0</v>
      </c>
      <c r="L1235">
        <v>5</v>
      </c>
      <c r="M1235" t="s">
        <v>1842</v>
      </c>
      <c r="N1235">
        <v>10</v>
      </c>
      <c r="O1235">
        <v>12.67</v>
      </c>
      <c r="P1235">
        <v>123574.88</v>
      </c>
      <c r="Q1235">
        <v>95329.65</v>
      </c>
      <c r="R1235">
        <v>637</v>
      </c>
      <c r="S1235">
        <v>1622</v>
      </c>
      <c r="T1235" t="s">
        <v>34</v>
      </c>
      <c r="U1235" t="s">
        <v>81</v>
      </c>
    </row>
    <row r="1236" spans="1:21">
      <c r="A1236" t="s">
        <v>1993</v>
      </c>
      <c r="B1236" t="s">
        <v>1856</v>
      </c>
      <c r="C1236" t="s">
        <v>1857</v>
      </c>
      <c r="D1236">
        <v>136500</v>
      </c>
      <c r="E1236">
        <v>15000</v>
      </c>
      <c r="H1236">
        <v>3</v>
      </c>
      <c r="I1236" t="s">
        <v>89</v>
      </c>
      <c r="J1236">
        <v>28.67</v>
      </c>
      <c r="K1236">
        <v>0</v>
      </c>
      <c r="L1236">
        <v>5</v>
      </c>
      <c r="M1236" t="s">
        <v>1842</v>
      </c>
      <c r="N1236">
        <v>10</v>
      </c>
      <c r="O1236">
        <v>12.67</v>
      </c>
      <c r="P1236">
        <v>123574.88</v>
      </c>
      <c r="Q1236">
        <v>95329.65</v>
      </c>
      <c r="R1236">
        <v>637</v>
      </c>
      <c r="S1236">
        <v>1622</v>
      </c>
      <c r="T1236" t="s">
        <v>34</v>
      </c>
      <c r="U1236" t="s">
        <v>81</v>
      </c>
    </row>
    <row r="1237" spans="1:21">
      <c r="A1237" t="s">
        <v>1994</v>
      </c>
      <c r="B1237" t="s">
        <v>1856</v>
      </c>
      <c r="C1237" t="s">
        <v>1857</v>
      </c>
      <c r="D1237">
        <v>126000</v>
      </c>
      <c r="E1237">
        <v>15000</v>
      </c>
      <c r="H1237">
        <v>5</v>
      </c>
      <c r="I1237" t="s">
        <v>89</v>
      </c>
      <c r="J1237">
        <v>25.55</v>
      </c>
      <c r="K1237">
        <v>0</v>
      </c>
      <c r="L1237">
        <v>5</v>
      </c>
      <c r="M1237" t="s">
        <v>1842</v>
      </c>
      <c r="N1237">
        <v>10</v>
      </c>
      <c r="O1237">
        <v>12.67</v>
      </c>
      <c r="P1237">
        <v>123574.88</v>
      </c>
      <c r="Q1237">
        <v>95329.65</v>
      </c>
      <c r="R1237">
        <v>637</v>
      </c>
      <c r="S1237">
        <v>1622</v>
      </c>
      <c r="T1237" t="s">
        <v>34</v>
      </c>
      <c r="U1237" t="s">
        <v>81</v>
      </c>
    </row>
    <row r="1238" spans="1:21">
      <c r="A1238" t="s">
        <v>1995</v>
      </c>
      <c r="B1238" t="s">
        <v>1856</v>
      </c>
      <c r="C1238" t="s">
        <v>1857</v>
      </c>
      <c r="D1238">
        <v>133500</v>
      </c>
      <c r="E1238">
        <v>15000</v>
      </c>
      <c r="H1238">
        <v>5</v>
      </c>
      <c r="I1238" t="s">
        <v>89</v>
      </c>
      <c r="J1238">
        <v>27.4</v>
      </c>
      <c r="K1238">
        <v>0</v>
      </c>
      <c r="L1238">
        <v>5</v>
      </c>
      <c r="M1238" t="s">
        <v>1842</v>
      </c>
      <c r="N1238">
        <v>10</v>
      </c>
      <c r="O1238">
        <v>12.67</v>
      </c>
      <c r="P1238">
        <v>123574.88</v>
      </c>
      <c r="Q1238">
        <v>95329.65</v>
      </c>
      <c r="R1238">
        <v>637</v>
      </c>
      <c r="S1238">
        <v>1622</v>
      </c>
      <c r="T1238" t="s">
        <v>34</v>
      </c>
      <c r="U1238" t="s">
        <v>81</v>
      </c>
    </row>
    <row r="1239" spans="1:21">
      <c r="A1239" t="s">
        <v>1996</v>
      </c>
      <c r="B1239" t="s">
        <v>1997</v>
      </c>
      <c r="C1239" t="s">
        <v>1841</v>
      </c>
      <c r="D1239">
        <v>83000</v>
      </c>
      <c r="E1239">
        <v>2000</v>
      </c>
      <c r="H1239">
        <v>1</v>
      </c>
      <c r="I1239" t="s">
        <v>89</v>
      </c>
      <c r="J1239">
        <v>25.6</v>
      </c>
      <c r="K1239">
        <v>12</v>
      </c>
      <c r="L1239">
        <v>2</v>
      </c>
      <c r="M1239" t="s">
        <v>1842</v>
      </c>
      <c r="N1239">
        <v>4</v>
      </c>
      <c r="O1239">
        <v>12</v>
      </c>
      <c r="P1239">
        <v>123574.88</v>
      </c>
      <c r="Q1239">
        <v>95329.65</v>
      </c>
      <c r="R1239">
        <v>637</v>
      </c>
      <c r="S1239">
        <v>1622</v>
      </c>
      <c r="T1239" t="s">
        <v>34</v>
      </c>
      <c r="U1239" t="s">
        <v>90</v>
      </c>
    </row>
    <row r="1240" spans="1:21">
      <c r="A1240" t="s">
        <v>1998</v>
      </c>
      <c r="B1240" t="s">
        <v>1999</v>
      </c>
      <c r="C1240" t="s">
        <v>1870</v>
      </c>
      <c r="D1240">
        <v>45000</v>
      </c>
      <c r="F1240">
        <v>45000</v>
      </c>
      <c r="G1240">
        <v>45000</v>
      </c>
      <c r="H1240">
        <v>1</v>
      </c>
      <c r="I1240" t="s">
        <v>89</v>
      </c>
      <c r="J1240">
        <v>16.5</v>
      </c>
      <c r="K1240">
        <v>54</v>
      </c>
      <c r="L1240">
        <v>2</v>
      </c>
      <c r="M1240" t="s">
        <v>1842</v>
      </c>
      <c r="N1240">
        <v>3</v>
      </c>
      <c r="O1240">
        <v>9.33</v>
      </c>
      <c r="P1240">
        <v>123574.88</v>
      </c>
      <c r="Q1240">
        <v>95329.65</v>
      </c>
      <c r="R1240">
        <v>637</v>
      </c>
      <c r="S1240">
        <v>1622</v>
      </c>
      <c r="T1240" t="s">
        <v>108</v>
      </c>
      <c r="U1240" t="s">
        <v>57</v>
      </c>
    </row>
    <row r="1241" spans="1:21">
      <c r="A1241" t="s">
        <v>2000</v>
      </c>
      <c r="B1241" t="s">
        <v>1999</v>
      </c>
      <c r="C1241" t="s">
        <v>1870</v>
      </c>
      <c r="D1241">
        <v>45000</v>
      </c>
      <c r="F1241">
        <v>45000</v>
      </c>
      <c r="G1241">
        <v>45000</v>
      </c>
      <c r="H1241">
        <v>2</v>
      </c>
      <c r="I1241" t="s">
        <v>89</v>
      </c>
      <c r="J1241">
        <v>14.6</v>
      </c>
      <c r="K1241">
        <v>54</v>
      </c>
      <c r="L1241">
        <v>2</v>
      </c>
      <c r="M1241" t="s">
        <v>1842</v>
      </c>
      <c r="N1241">
        <v>3</v>
      </c>
      <c r="O1241">
        <v>9.33</v>
      </c>
      <c r="P1241">
        <v>123574.88</v>
      </c>
      <c r="Q1241">
        <v>95329.65</v>
      </c>
      <c r="R1241">
        <v>637</v>
      </c>
      <c r="S1241">
        <v>1622</v>
      </c>
      <c r="T1241" t="s">
        <v>108</v>
      </c>
      <c r="U1241" t="s">
        <v>57</v>
      </c>
    </row>
    <row r="1242" spans="1:21">
      <c r="A1242" t="s">
        <v>2001</v>
      </c>
      <c r="B1242" t="s">
        <v>1863</v>
      </c>
      <c r="C1242" t="s">
        <v>1743</v>
      </c>
      <c r="D1242">
        <v>97000</v>
      </c>
      <c r="E1242">
        <v>10000</v>
      </c>
      <c r="F1242">
        <v>97000</v>
      </c>
      <c r="G1242">
        <v>97000</v>
      </c>
      <c r="H1242">
        <v>1</v>
      </c>
      <c r="I1242" t="s">
        <v>89</v>
      </c>
      <c r="J1242">
        <v>27.26</v>
      </c>
      <c r="K1242">
        <v>17</v>
      </c>
      <c r="L1242">
        <v>8</v>
      </c>
      <c r="M1242" t="s">
        <v>1842</v>
      </c>
      <c r="N1242">
        <v>8</v>
      </c>
      <c r="O1242">
        <v>11.67</v>
      </c>
      <c r="P1242">
        <v>123574.88</v>
      </c>
      <c r="Q1242">
        <v>95329.65</v>
      </c>
      <c r="R1242">
        <v>637</v>
      </c>
      <c r="S1242">
        <v>1622</v>
      </c>
      <c r="T1242" t="s">
        <v>34</v>
      </c>
      <c r="U1242" t="s">
        <v>90</v>
      </c>
    </row>
    <row r="1243" spans="1:21">
      <c r="A1243" t="s">
        <v>2002</v>
      </c>
      <c r="B1243" t="s">
        <v>1863</v>
      </c>
      <c r="C1243" t="s">
        <v>1743</v>
      </c>
      <c r="D1243">
        <v>97000</v>
      </c>
      <c r="E1243">
        <v>10000</v>
      </c>
      <c r="F1243">
        <v>97000</v>
      </c>
      <c r="G1243">
        <v>97000</v>
      </c>
      <c r="H1243">
        <v>8</v>
      </c>
      <c r="I1243" t="s">
        <v>89</v>
      </c>
      <c r="J1243">
        <v>22.87</v>
      </c>
      <c r="K1243">
        <v>17</v>
      </c>
      <c r="L1243">
        <v>8</v>
      </c>
      <c r="M1243" t="s">
        <v>1842</v>
      </c>
      <c r="N1243">
        <v>8</v>
      </c>
      <c r="O1243">
        <v>11.67</v>
      </c>
      <c r="P1243">
        <v>123574.88</v>
      </c>
      <c r="Q1243">
        <v>95329.65</v>
      </c>
      <c r="R1243">
        <v>637</v>
      </c>
      <c r="S1243">
        <v>1622</v>
      </c>
      <c r="T1243" t="s">
        <v>34</v>
      </c>
      <c r="U1243" t="s">
        <v>90</v>
      </c>
    </row>
    <row r="1244" spans="1:21">
      <c r="A1244" t="s">
        <v>2003</v>
      </c>
      <c r="B1244" t="s">
        <v>2004</v>
      </c>
      <c r="C1244" t="s">
        <v>1870</v>
      </c>
      <c r="D1244">
        <v>119000</v>
      </c>
      <c r="E1244">
        <v>8000</v>
      </c>
      <c r="H1244">
        <v>2</v>
      </c>
      <c r="I1244" t="s">
        <v>89</v>
      </c>
      <c r="J1244">
        <v>25.3</v>
      </c>
      <c r="K1244">
        <v>3</v>
      </c>
      <c r="L1244">
        <v>4</v>
      </c>
      <c r="M1244" t="s">
        <v>1842</v>
      </c>
      <c r="N1244">
        <v>5</v>
      </c>
      <c r="O1244">
        <v>11</v>
      </c>
      <c r="P1244">
        <v>123574.88</v>
      </c>
      <c r="Q1244">
        <v>95329.65</v>
      </c>
      <c r="R1244">
        <v>637</v>
      </c>
      <c r="S1244">
        <v>1622</v>
      </c>
      <c r="T1244" t="s">
        <v>34</v>
      </c>
      <c r="U1244" t="s">
        <v>31</v>
      </c>
    </row>
    <row r="1245" spans="1:21">
      <c r="A1245" t="s">
        <v>2005</v>
      </c>
      <c r="B1245" t="s">
        <v>2006</v>
      </c>
      <c r="C1245" t="s">
        <v>1291</v>
      </c>
      <c r="D1245">
        <v>98000</v>
      </c>
      <c r="F1245">
        <v>98000</v>
      </c>
      <c r="G1245">
        <v>98000</v>
      </c>
      <c r="H1245">
        <v>1</v>
      </c>
      <c r="I1245" t="s">
        <v>89</v>
      </c>
      <c r="J1245">
        <v>30.9</v>
      </c>
      <c r="K1245">
        <v>1</v>
      </c>
      <c r="L1245">
        <v>2</v>
      </c>
      <c r="M1245" t="s">
        <v>1842</v>
      </c>
      <c r="N1245">
        <v>7</v>
      </c>
      <c r="O1245">
        <v>8.67</v>
      </c>
      <c r="P1245">
        <v>123574.88</v>
      </c>
      <c r="Q1245">
        <v>95329.65</v>
      </c>
      <c r="R1245">
        <v>637</v>
      </c>
      <c r="S1245">
        <v>1622</v>
      </c>
      <c r="T1245" t="s">
        <v>26</v>
      </c>
      <c r="U1245" t="s">
        <v>31</v>
      </c>
    </row>
    <row r="1246" spans="1:21">
      <c r="A1246" t="s">
        <v>2007</v>
      </c>
      <c r="B1246" t="s">
        <v>2008</v>
      </c>
      <c r="C1246" t="s">
        <v>1291</v>
      </c>
      <c r="D1246">
        <v>92000</v>
      </c>
      <c r="E1246">
        <v>10000</v>
      </c>
      <c r="G1246">
        <v>92000</v>
      </c>
      <c r="H1246">
        <v>1</v>
      </c>
      <c r="I1246" t="s">
        <v>89</v>
      </c>
      <c r="J1246">
        <v>27.89</v>
      </c>
      <c r="K1246">
        <v>22</v>
      </c>
      <c r="L1246">
        <v>7</v>
      </c>
      <c r="M1246" t="s">
        <v>1842</v>
      </c>
      <c r="N1246">
        <v>8</v>
      </c>
      <c r="O1246">
        <v>10.33</v>
      </c>
      <c r="P1246">
        <v>123574.88</v>
      </c>
      <c r="Q1246">
        <v>95329.65</v>
      </c>
      <c r="R1246">
        <v>637</v>
      </c>
      <c r="S1246">
        <v>1622</v>
      </c>
      <c r="T1246" t="s">
        <v>34</v>
      </c>
      <c r="U1246" t="s">
        <v>27</v>
      </c>
    </row>
    <row r="1247" spans="1:21">
      <c r="A1247" t="s">
        <v>2009</v>
      </c>
      <c r="B1247" t="s">
        <v>2008</v>
      </c>
      <c r="C1247" t="s">
        <v>1291</v>
      </c>
      <c r="D1247">
        <v>90000</v>
      </c>
      <c r="E1247">
        <v>5000</v>
      </c>
      <c r="G1247">
        <v>90000</v>
      </c>
      <c r="H1247">
        <v>5</v>
      </c>
      <c r="I1247" t="s">
        <v>89</v>
      </c>
      <c r="J1247">
        <v>20.95</v>
      </c>
      <c r="K1247">
        <v>22</v>
      </c>
      <c r="L1247">
        <v>7</v>
      </c>
      <c r="M1247" t="s">
        <v>1842</v>
      </c>
      <c r="N1247">
        <v>8</v>
      </c>
      <c r="O1247">
        <v>10.33</v>
      </c>
      <c r="P1247">
        <v>123574.88</v>
      </c>
      <c r="Q1247">
        <v>95329.65</v>
      </c>
      <c r="R1247">
        <v>637</v>
      </c>
      <c r="S1247">
        <v>1622</v>
      </c>
      <c r="T1247" t="s">
        <v>34</v>
      </c>
      <c r="U1247" t="s">
        <v>27</v>
      </c>
    </row>
    <row r="1248" spans="1:21">
      <c r="A1248" t="s">
        <v>2010</v>
      </c>
      <c r="B1248" t="s">
        <v>2011</v>
      </c>
      <c r="C1248" t="s">
        <v>1743</v>
      </c>
      <c r="D1248">
        <v>78000</v>
      </c>
      <c r="E1248">
        <v>9000</v>
      </c>
      <c r="F1248">
        <v>78000</v>
      </c>
      <c r="G1248">
        <v>78000</v>
      </c>
      <c r="H1248">
        <v>2</v>
      </c>
      <c r="I1248" t="s">
        <v>89</v>
      </c>
      <c r="J1248">
        <v>24.9</v>
      </c>
      <c r="K1248">
        <v>29</v>
      </c>
      <c r="L1248">
        <v>7</v>
      </c>
      <c r="M1248" t="s">
        <v>1842</v>
      </c>
      <c r="N1248">
        <v>8</v>
      </c>
      <c r="O1248">
        <v>12.67</v>
      </c>
      <c r="P1248">
        <v>123574.88</v>
      </c>
      <c r="Q1248">
        <v>95329.65</v>
      </c>
      <c r="R1248">
        <v>637</v>
      </c>
      <c r="S1248">
        <v>1622</v>
      </c>
      <c r="T1248" t="s">
        <v>34</v>
      </c>
      <c r="U1248" t="s">
        <v>27</v>
      </c>
    </row>
    <row r="1249" spans="1:21">
      <c r="A1249" t="s">
        <v>2012</v>
      </c>
      <c r="B1249" t="s">
        <v>2013</v>
      </c>
      <c r="C1249" t="s">
        <v>1743</v>
      </c>
      <c r="D1249">
        <v>88000</v>
      </c>
      <c r="E1249">
        <v>5000</v>
      </c>
      <c r="G1249">
        <v>88000</v>
      </c>
      <c r="H1249">
        <v>2</v>
      </c>
      <c r="I1249" t="s">
        <v>89</v>
      </c>
      <c r="J1249">
        <v>24.13</v>
      </c>
      <c r="K1249">
        <v>7</v>
      </c>
      <c r="L1249">
        <v>4</v>
      </c>
      <c r="M1249" t="s">
        <v>1842</v>
      </c>
      <c r="N1249">
        <v>13</v>
      </c>
      <c r="O1249">
        <v>14.67</v>
      </c>
      <c r="P1249">
        <v>123574.88</v>
      </c>
      <c r="Q1249">
        <v>95329.65</v>
      </c>
      <c r="R1249">
        <v>637</v>
      </c>
      <c r="S1249">
        <v>1622</v>
      </c>
      <c r="T1249" t="s">
        <v>34</v>
      </c>
      <c r="U1249" t="s">
        <v>31</v>
      </c>
    </row>
    <row r="1250" spans="1:21">
      <c r="A1250" t="s">
        <v>2014</v>
      </c>
      <c r="B1250" t="s">
        <v>2015</v>
      </c>
      <c r="C1250" t="s">
        <v>1841</v>
      </c>
      <c r="D1250">
        <v>56000</v>
      </c>
      <c r="E1250">
        <v>4000</v>
      </c>
      <c r="H1250">
        <v>1</v>
      </c>
      <c r="I1250" t="s">
        <v>89</v>
      </c>
      <c r="J1250">
        <v>13.38</v>
      </c>
      <c r="K1250">
        <v>39</v>
      </c>
      <c r="L1250">
        <v>2</v>
      </c>
      <c r="M1250" t="s">
        <v>1842</v>
      </c>
      <c r="N1250">
        <v>5</v>
      </c>
      <c r="O1250">
        <v>8.5</v>
      </c>
      <c r="P1250">
        <v>123574.88</v>
      </c>
      <c r="Q1250">
        <v>95329.65</v>
      </c>
      <c r="R1250">
        <v>637</v>
      </c>
      <c r="S1250">
        <v>1622</v>
      </c>
      <c r="T1250" t="s">
        <v>108</v>
      </c>
      <c r="U1250" t="s">
        <v>49</v>
      </c>
    </row>
    <row r="1251" spans="1:21">
      <c r="A1251" t="s">
        <v>2016</v>
      </c>
      <c r="B1251" t="s">
        <v>2017</v>
      </c>
      <c r="C1251" t="s">
        <v>1743</v>
      </c>
      <c r="D1251">
        <v>62000</v>
      </c>
      <c r="E1251">
        <v>5000</v>
      </c>
      <c r="H1251">
        <v>2</v>
      </c>
      <c r="I1251" t="s">
        <v>89</v>
      </c>
      <c r="J1251">
        <v>17.399999999999999</v>
      </c>
      <c r="K1251">
        <v>55</v>
      </c>
      <c r="L1251">
        <v>2</v>
      </c>
      <c r="M1251" t="s">
        <v>1842</v>
      </c>
      <c r="N1251">
        <v>9</v>
      </c>
      <c r="O1251">
        <v>13</v>
      </c>
      <c r="P1251">
        <v>123574.88</v>
      </c>
      <c r="Q1251">
        <v>95329.65</v>
      </c>
      <c r="R1251">
        <v>637</v>
      </c>
      <c r="S1251">
        <v>1622</v>
      </c>
      <c r="T1251" t="s">
        <v>108</v>
      </c>
      <c r="U1251" t="s">
        <v>57</v>
      </c>
    </row>
    <row r="1252" spans="1:21">
      <c r="A1252" t="s">
        <v>2018</v>
      </c>
      <c r="B1252" t="s">
        <v>2019</v>
      </c>
      <c r="C1252" t="s">
        <v>688</v>
      </c>
      <c r="D1252">
        <v>63000</v>
      </c>
      <c r="E1252">
        <v>3000</v>
      </c>
      <c r="H1252">
        <v>2</v>
      </c>
      <c r="I1252" t="s">
        <v>89</v>
      </c>
      <c r="J1252">
        <v>22.05</v>
      </c>
      <c r="K1252">
        <v>61</v>
      </c>
      <c r="L1252">
        <v>5</v>
      </c>
      <c r="M1252" t="s">
        <v>1842</v>
      </c>
      <c r="N1252">
        <v>4</v>
      </c>
      <c r="O1252">
        <v>12.33</v>
      </c>
      <c r="P1252">
        <v>123574.88</v>
      </c>
      <c r="Q1252">
        <v>95329.65</v>
      </c>
      <c r="R1252">
        <v>637</v>
      </c>
      <c r="S1252">
        <v>1622</v>
      </c>
      <c r="T1252" t="s">
        <v>34</v>
      </c>
      <c r="U1252" t="s">
        <v>38</v>
      </c>
    </row>
    <row r="1253" spans="1:21">
      <c r="A1253" t="s">
        <v>2020</v>
      </c>
      <c r="B1253" t="s">
        <v>2021</v>
      </c>
      <c r="C1253" t="s">
        <v>1841</v>
      </c>
      <c r="D1253">
        <v>53000</v>
      </c>
      <c r="F1253">
        <v>53000</v>
      </c>
      <c r="G1253">
        <v>53000</v>
      </c>
      <c r="H1253">
        <v>1</v>
      </c>
      <c r="I1253" t="s">
        <v>89</v>
      </c>
      <c r="J1253">
        <v>18.600000000000001</v>
      </c>
      <c r="K1253">
        <v>42</v>
      </c>
      <c r="L1253">
        <v>2</v>
      </c>
      <c r="M1253" t="s">
        <v>1842</v>
      </c>
      <c r="N1253">
        <v>2</v>
      </c>
      <c r="O1253">
        <v>13.33</v>
      </c>
      <c r="P1253">
        <v>123574.88</v>
      </c>
      <c r="Q1253">
        <v>95329.65</v>
      </c>
      <c r="R1253">
        <v>637</v>
      </c>
      <c r="S1253">
        <v>1622</v>
      </c>
      <c r="T1253" t="s">
        <v>108</v>
      </c>
      <c r="U1253" t="s">
        <v>42</v>
      </c>
    </row>
    <row r="1254" spans="1:21">
      <c r="A1254" t="s">
        <v>2022</v>
      </c>
      <c r="B1254" t="s">
        <v>2023</v>
      </c>
      <c r="C1254" t="s">
        <v>1873</v>
      </c>
      <c r="D1254">
        <v>95000</v>
      </c>
      <c r="E1254">
        <v>4000</v>
      </c>
      <c r="F1254">
        <v>95000</v>
      </c>
      <c r="G1254">
        <v>95000</v>
      </c>
      <c r="H1254">
        <v>1</v>
      </c>
      <c r="I1254" t="s">
        <v>89</v>
      </c>
      <c r="J1254">
        <v>28.62</v>
      </c>
      <c r="K1254">
        <v>16</v>
      </c>
      <c r="L1254">
        <v>2</v>
      </c>
      <c r="M1254" t="s">
        <v>1842</v>
      </c>
      <c r="N1254">
        <v>5</v>
      </c>
      <c r="O1254">
        <v>9</v>
      </c>
      <c r="P1254">
        <v>123574.88</v>
      </c>
      <c r="Q1254">
        <v>95329.65</v>
      </c>
      <c r="R1254">
        <v>637</v>
      </c>
      <c r="S1254">
        <v>1622</v>
      </c>
      <c r="T1254" t="s">
        <v>34</v>
      </c>
      <c r="U1254" t="s">
        <v>90</v>
      </c>
    </row>
    <row r="1255" spans="1:21">
      <c r="A1255" t="s">
        <v>2024</v>
      </c>
      <c r="B1255" t="s">
        <v>2025</v>
      </c>
      <c r="C1255" t="s">
        <v>1841</v>
      </c>
      <c r="D1255">
        <v>53000</v>
      </c>
      <c r="F1255">
        <v>53000</v>
      </c>
      <c r="H1255">
        <v>1</v>
      </c>
      <c r="I1255" t="s">
        <v>89</v>
      </c>
      <c r="J1255">
        <v>17</v>
      </c>
      <c r="K1255">
        <v>33</v>
      </c>
      <c r="L1255">
        <v>2</v>
      </c>
      <c r="M1255" t="s">
        <v>1842</v>
      </c>
      <c r="N1255">
        <v>4</v>
      </c>
      <c r="O1255">
        <v>11.33</v>
      </c>
      <c r="P1255">
        <v>123574.88</v>
      </c>
      <c r="Q1255">
        <v>95329.65</v>
      </c>
      <c r="R1255">
        <v>637</v>
      </c>
      <c r="S1255">
        <v>1622</v>
      </c>
      <c r="T1255" t="s">
        <v>108</v>
      </c>
      <c r="U1255" t="s">
        <v>49</v>
      </c>
    </row>
    <row r="1256" spans="1:21">
      <c r="A1256" t="s">
        <v>2026</v>
      </c>
      <c r="B1256" t="s">
        <v>2027</v>
      </c>
      <c r="C1256" t="s">
        <v>1870</v>
      </c>
      <c r="D1256">
        <v>85000</v>
      </c>
      <c r="H1256">
        <v>1</v>
      </c>
      <c r="I1256" t="s">
        <v>89</v>
      </c>
      <c r="J1256">
        <v>23.18</v>
      </c>
      <c r="K1256">
        <v>17</v>
      </c>
      <c r="L1256">
        <v>3</v>
      </c>
      <c r="M1256" t="s">
        <v>1842</v>
      </c>
      <c r="N1256">
        <v>4</v>
      </c>
      <c r="O1256">
        <v>11</v>
      </c>
      <c r="P1256">
        <v>123574.88</v>
      </c>
      <c r="Q1256">
        <v>95329.65</v>
      </c>
      <c r="R1256">
        <v>637</v>
      </c>
      <c r="S1256">
        <v>1622</v>
      </c>
      <c r="T1256" t="s">
        <v>34</v>
      </c>
      <c r="U1256" t="s">
        <v>90</v>
      </c>
    </row>
    <row r="1257" spans="1:21">
      <c r="A1257" t="s">
        <v>2028</v>
      </c>
      <c r="B1257" t="s">
        <v>2029</v>
      </c>
      <c r="C1257" t="s">
        <v>1743</v>
      </c>
      <c r="D1257">
        <v>93000</v>
      </c>
      <c r="E1257">
        <v>10000</v>
      </c>
      <c r="H1257">
        <v>2</v>
      </c>
      <c r="I1257" t="s">
        <v>89</v>
      </c>
      <c r="J1257">
        <v>25.51</v>
      </c>
      <c r="K1257">
        <v>5</v>
      </c>
      <c r="L1257">
        <v>5</v>
      </c>
      <c r="M1257" t="s">
        <v>1842</v>
      </c>
      <c r="N1257">
        <v>10</v>
      </c>
      <c r="O1257">
        <v>13</v>
      </c>
      <c r="P1257">
        <v>123574.88</v>
      </c>
      <c r="Q1257">
        <v>95329.65</v>
      </c>
      <c r="R1257">
        <v>637</v>
      </c>
      <c r="S1257">
        <v>1622</v>
      </c>
      <c r="T1257" t="s">
        <v>34</v>
      </c>
      <c r="U1257" t="s">
        <v>31</v>
      </c>
    </row>
    <row r="1258" spans="1:21">
      <c r="A1258" t="s">
        <v>2030</v>
      </c>
      <c r="B1258" t="s">
        <v>2029</v>
      </c>
      <c r="C1258" t="s">
        <v>1743</v>
      </c>
      <c r="D1258">
        <v>112300</v>
      </c>
      <c r="E1258">
        <v>10700</v>
      </c>
      <c r="F1258">
        <v>112300</v>
      </c>
      <c r="G1258">
        <v>112300</v>
      </c>
      <c r="H1258">
        <v>4</v>
      </c>
      <c r="I1258" t="s">
        <v>89</v>
      </c>
      <c r="J1258">
        <v>29.41</v>
      </c>
      <c r="K1258">
        <v>5</v>
      </c>
      <c r="L1258">
        <v>5</v>
      </c>
      <c r="M1258" t="s">
        <v>1842</v>
      </c>
      <c r="N1258">
        <v>10</v>
      </c>
      <c r="O1258">
        <v>13</v>
      </c>
      <c r="P1258">
        <v>123574.88</v>
      </c>
      <c r="Q1258">
        <v>95329.65</v>
      </c>
      <c r="R1258">
        <v>637</v>
      </c>
      <c r="S1258">
        <v>1622</v>
      </c>
      <c r="T1258" t="s">
        <v>34</v>
      </c>
      <c r="U1258" t="s">
        <v>31</v>
      </c>
    </row>
    <row r="1259" spans="1:21">
      <c r="A1259" t="s">
        <v>2031</v>
      </c>
      <c r="B1259" t="s">
        <v>2032</v>
      </c>
      <c r="C1259" t="s">
        <v>2033</v>
      </c>
      <c r="D1259">
        <v>58400</v>
      </c>
      <c r="E1259">
        <v>5600</v>
      </c>
      <c r="F1259">
        <v>58400</v>
      </c>
      <c r="H1259">
        <v>3</v>
      </c>
      <c r="I1259" t="s">
        <v>89</v>
      </c>
      <c r="J1259">
        <v>16.239999999999998</v>
      </c>
      <c r="K1259">
        <v>34</v>
      </c>
      <c r="L1259">
        <v>4</v>
      </c>
      <c r="M1259" t="s">
        <v>1842</v>
      </c>
      <c r="N1259">
        <v>6</v>
      </c>
      <c r="O1259">
        <v>11.33</v>
      </c>
      <c r="P1259">
        <v>123574.88</v>
      </c>
      <c r="Q1259">
        <v>95329.65</v>
      </c>
      <c r="R1259">
        <v>637</v>
      </c>
      <c r="S1259">
        <v>1622</v>
      </c>
      <c r="T1259" t="s">
        <v>108</v>
      </c>
      <c r="U1259" t="s">
        <v>49</v>
      </c>
    </row>
    <row r="1260" spans="1:21">
      <c r="A1260" t="s">
        <v>2034</v>
      </c>
      <c r="B1260" t="s">
        <v>2035</v>
      </c>
      <c r="C1260" t="s">
        <v>1841</v>
      </c>
      <c r="D1260">
        <v>80000</v>
      </c>
      <c r="E1260">
        <v>3000</v>
      </c>
      <c r="F1260">
        <v>80000</v>
      </c>
      <c r="G1260">
        <v>80000</v>
      </c>
      <c r="H1260">
        <v>1</v>
      </c>
      <c r="I1260" t="s">
        <v>89</v>
      </c>
      <c r="J1260">
        <v>24.5</v>
      </c>
      <c r="K1260">
        <v>25</v>
      </c>
      <c r="L1260">
        <v>2</v>
      </c>
      <c r="M1260" t="s">
        <v>1842</v>
      </c>
      <c r="N1260">
        <v>5</v>
      </c>
      <c r="O1260">
        <v>17.670000000000002</v>
      </c>
      <c r="P1260">
        <v>123574.88</v>
      </c>
      <c r="Q1260">
        <v>95329.65</v>
      </c>
      <c r="R1260">
        <v>637</v>
      </c>
      <c r="S1260">
        <v>1622</v>
      </c>
      <c r="T1260" t="s">
        <v>34</v>
      </c>
      <c r="U1260" t="s">
        <v>27</v>
      </c>
    </row>
    <row r="1261" spans="1:21">
      <c r="A1261" t="s">
        <v>2036</v>
      </c>
      <c r="B1261" t="s">
        <v>2037</v>
      </c>
      <c r="C1261" t="s">
        <v>1890</v>
      </c>
      <c r="D1261">
        <v>89000</v>
      </c>
      <c r="E1261">
        <v>3000</v>
      </c>
      <c r="F1261">
        <v>89000</v>
      </c>
      <c r="G1261">
        <v>89000</v>
      </c>
      <c r="H1261">
        <v>1</v>
      </c>
      <c r="I1261" t="s">
        <v>89</v>
      </c>
      <c r="J1261">
        <v>29.5</v>
      </c>
      <c r="K1261">
        <v>15</v>
      </c>
      <c r="L1261">
        <v>3</v>
      </c>
      <c r="M1261" t="s">
        <v>1842</v>
      </c>
      <c r="N1261">
        <v>10</v>
      </c>
      <c r="O1261">
        <v>11.33</v>
      </c>
      <c r="P1261">
        <v>123574.88</v>
      </c>
      <c r="Q1261">
        <v>95329.65</v>
      </c>
      <c r="R1261">
        <v>637</v>
      </c>
      <c r="S1261">
        <v>1622</v>
      </c>
      <c r="T1261" t="s">
        <v>34</v>
      </c>
      <c r="U1261" t="s">
        <v>90</v>
      </c>
    </row>
    <row r="1262" spans="1:21">
      <c r="A1262" t="s">
        <v>2038</v>
      </c>
      <c r="B1262" t="s">
        <v>2037</v>
      </c>
      <c r="C1262" t="s">
        <v>1890</v>
      </c>
      <c r="D1262">
        <v>95000</v>
      </c>
      <c r="E1262">
        <v>3000</v>
      </c>
      <c r="F1262">
        <v>95000</v>
      </c>
      <c r="G1262">
        <v>95000</v>
      </c>
      <c r="H1262">
        <v>1</v>
      </c>
      <c r="I1262" t="s">
        <v>89</v>
      </c>
      <c r="J1262">
        <v>33.5</v>
      </c>
      <c r="K1262">
        <v>15</v>
      </c>
      <c r="L1262">
        <v>3</v>
      </c>
      <c r="M1262" t="s">
        <v>1842</v>
      </c>
      <c r="N1262">
        <v>10</v>
      </c>
      <c r="O1262">
        <v>11.33</v>
      </c>
      <c r="P1262">
        <v>123574.88</v>
      </c>
      <c r="Q1262">
        <v>95329.65</v>
      </c>
      <c r="R1262">
        <v>637</v>
      </c>
      <c r="S1262">
        <v>1622</v>
      </c>
      <c r="T1262" t="s">
        <v>26</v>
      </c>
      <c r="U1262" t="s">
        <v>90</v>
      </c>
    </row>
    <row r="1263" spans="1:21">
      <c r="A1263" t="s">
        <v>2039</v>
      </c>
      <c r="B1263" t="s">
        <v>2040</v>
      </c>
      <c r="C1263" t="s">
        <v>1890</v>
      </c>
      <c r="D1263">
        <v>83000</v>
      </c>
      <c r="E1263">
        <v>9000</v>
      </c>
      <c r="F1263">
        <v>83000</v>
      </c>
      <c r="G1263">
        <v>83000</v>
      </c>
      <c r="H1263">
        <v>1</v>
      </c>
      <c r="I1263" t="s">
        <v>89</v>
      </c>
      <c r="J1263">
        <v>21.72</v>
      </c>
      <c r="K1263">
        <v>10</v>
      </c>
      <c r="L1263">
        <v>3</v>
      </c>
      <c r="M1263" t="s">
        <v>1842</v>
      </c>
      <c r="N1263">
        <v>11</v>
      </c>
      <c r="O1263">
        <v>12</v>
      </c>
      <c r="P1263">
        <v>123574.88</v>
      </c>
      <c r="Q1263">
        <v>95329.65</v>
      </c>
      <c r="R1263">
        <v>637</v>
      </c>
      <c r="S1263">
        <v>1622</v>
      </c>
      <c r="T1263" t="s">
        <v>34</v>
      </c>
      <c r="U1263" t="s">
        <v>31</v>
      </c>
    </row>
    <row r="1264" spans="1:21">
      <c r="A1264" t="s">
        <v>2041</v>
      </c>
      <c r="B1264" t="s">
        <v>2042</v>
      </c>
      <c r="C1264" t="s">
        <v>1291</v>
      </c>
      <c r="D1264">
        <v>84000</v>
      </c>
      <c r="E1264">
        <v>2000</v>
      </c>
      <c r="F1264">
        <v>84000</v>
      </c>
      <c r="G1264">
        <v>84000</v>
      </c>
      <c r="H1264">
        <v>2</v>
      </c>
      <c r="I1264" t="s">
        <v>89</v>
      </c>
      <c r="J1264">
        <v>25.19</v>
      </c>
      <c r="K1264">
        <v>25</v>
      </c>
      <c r="L1264">
        <v>4</v>
      </c>
      <c r="M1264" t="s">
        <v>1842</v>
      </c>
      <c r="N1264">
        <v>5</v>
      </c>
      <c r="O1264">
        <v>9.33</v>
      </c>
      <c r="P1264">
        <v>123574.88</v>
      </c>
      <c r="Q1264">
        <v>95329.65</v>
      </c>
      <c r="R1264">
        <v>637</v>
      </c>
      <c r="S1264">
        <v>1622</v>
      </c>
      <c r="T1264" t="s">
        <v>34</v>
      </c>
      <c r="U1264" t="s">
        <v>27</v>
      </c>
    </row>
    <row r="1265" spans="1:21">
      <c r="A1265" t="s">
        <v>2043</v>
      </c>
      <c r="B1265" t="s">
        <v>2044</v>
      </c>
      <c r="C1265" t="s">
        <v>1887</v>
      </c>
      <c r="D1265">
        <v>115000</v>
      </c>
      <c r="E1265">
        <v>10000</v>
      </c>
      <c r="F1265">
        <v>115000</v>
      </c>
      <c r="G1265">
        <v>115000</v>
      </c>
      <c r="H1265">
        <v>5</v>
      </c>
      <c r="I1265" t="s">
        <v>89</v>
      </c>
      <c r="J1265">
        <v>31.07</v>
      </c>
      <c r="K1265">
        <v>21</v>
      </c>
      <c r="L1265">
        <v>5</v>
      </c>
      <c r="M1265" t="s">
        <v>1842</v>
      </c>
      <c r="N1265">
        <v>4</v>
      </c>
      <c r="O1265">
        <v>11</v>
      </c>
      <c r="P1265">
        <v>123574.88</v>
      </c>
      <c r="Q1265">
        <v>95329.65</v>
      </c>
      <c r="R1265">
        <v>637</v>
      </c>
      <c r="S1265">
        <v>1622</v>
      </c>
      <c r="T1265" t="s">
        <v>26</v>
      </c>
      <c r="U1265" t="s">
        <v>27</v>
      </c>
    </row>
    <row r="1266" spans="1:21">
      <c r="A1266" t="s">
        <v>2045</v>
      </c>
      <c r="B1266" t="s">
        <v>2046</v>
      </c>
      <c r="C1266" t="s">
        <v>1857</v>
      </c>
      <c r="D1266">
        <v>65000</v>
      </c>
      <c r="E1266">
        <v>2000</v>
      </c>
      <c r="F1266">
        <v>65000</v>
      </c>
      <c r="G1266">
        <v>65000</v>
      </c>
      <c r="H1266">
        <v>2</v>
      </c>
      <c r="I1266" t="s">
        <v>89</v>
      </c>
      <c r="J1266">
        <v>19.3</v>
      </c>
      <c r="K1266">
        <v>49</v>
      </c>
      <c r="L1266">
        <v>2</v>
      </c>
      <c r="M1266" t="s">
        <v>1842</v>
      </c>
      <c r="N1266">
        <v>6</v>
      </c>
      <c r="O1266">
        <v>11.67</v>
      </c>
      <c r="P1266">
        <v>123574.88</v>
      </c>
      <c r="Q1266">
        <v>95329.65</v>
      </c>
      <c r="R1266">
        <v>637</v>
      </c>
      <c r="S1266">
        <v>1622</v>
      </c>
      <c r="T1266" t="s">
        <v>108</v>
      </c>
      <c r="U1266" t="s">
        <v>42</v>
      </c>
    </row>
    <row r="1267" spans="1:21">
      <c r="A1267" t="s">
        <v>2047</v>
      </c>
      <c r="B1267" t="s">
        <v>2048</v>
      </c>
      <c r="C1267" t="s">
        <v>1890</v>
      </c>
      <c r="D1267">
        <v>99000</v>
      </c>
      <c r="E1267">
        <v>3000</v>
      </c>
      <c r="F1267">
        <v>99000</v>
      </c>
      <c r="G1267">
        <v>99000</v>
      </c>
      <c r="H1267">
        <v>1</v>
      </c>
      <c r="I1267" t="s">
        <v>89</v>
      </c>
      <c r="J1267">
        <v>25.38</v>
      </c>
      <c r="K1267">
        <v>18</v>
      </c>
      <c r="L1267">
        <v>3</v>
      </c>
      <c r="M1267" t="s">
        <v>1842</v>
      </c>
      <c r="N1267">
        <v>7</v>
      </c>
      <c r="O1267">
        <v>10.33</v>
      </c>
      <c r="P1267">
        <v>123574.88</v>
      </c>
      <c r="Q1267">
        <v>95329.65</v>
      </c>
      <c r="R1267">
        <v>637</v>
      </c>
      <c r="S1267">
        <v>1622</v>
      </c>
      <c r="T1267" t="s">
        <v>34</v>
      </c>
      <c r="U1267" t="s">
        <v>90</v>
      </c>
    </row>
    <row r="1268" spans="1:21">
      <c r="A1268" t="s">
        <v>2049</v>
      </c>
      <c r="B1268" t="s">
        <v>2050</v>
      </c>
      <c r="C1268" t="s">
        <v>1291</v>
      </c>
      <c r="D1268">
        <v>90000</v>
      </c>
      <c r="E1268">
        <v>3000</v>
      </c>
      <c r="F1268">
        <v>90000</v>
      </c>
      <c r="G1268">
        <v>90000</v>
      </c>
      <c r="H1268">
        <v>3</v>
      </c>
      <c r="I1268" t="s">
        <v>89</v>
      </c>
      <c r="J1268">
        <v>25.2</v>
      </c>
      <c r="K1268">
        <v>40</v>
      </c>
      <c r="L1268">
        <v>3</v>
      </c>
      <c r="M1268" t="s">
        <v>1842</v>
      </c>
      <c r="N1268">
        <v>8</v>
      </c>
      <c r="O1268">
        <v>10.67</v>
      </c>
      <c r="P1268">
        <v>123574.88</v>
      </c>
      <c r="Q1268">
        <v>95329.65</v>
      </c>
      <c r="R1268">
        <v>637</v>
      </c>
      <c r="S1268">
        <v>1622</v>
      </c>
      <c r="T1268" t="s">
        <v>34</v>
      </c>
      <c r="U1268" t="s">
        <v>49</v>
      </c>
    </row>
    <row r="1269" spans="1:21">
      <c r="A1269" t="s">
        <v>2051</v>
      </c>
      <c r="B1269" t="s">
        <v>2052</v>
      </c>
      <c r="C1269" t="s">
        <v>1841</v>
      </c>
      <c r="D1269">
        <v>59000</v>
      </c>
      <c r="H1269">
        <v>1</v>
      </c>
      <c r="I1269" t="s">
        <v>89</v>
      </c>
      <c r="J1269">
        <v>20</v>
      </c>
      <c r="K1269">
        <v>42</v>
      </c>
      <c r="L1269">
        <v>2</v>
      </c>
      <c r="M1269" t="s">
        <v>1842</v>
      </c>
      <c r="N1269">
        <v>3</v>
      </c>
      <c r="O1269">
        <v>10.67</v>
      </c>
      <c r="P1269">
        <v>123574.88</v>
      </c>
      <c r="Q1269">
        <v>95329.65</v>
      </c>
      <c r="R1269">
        <v>637</v>
      </c>
      <c r="S1269">
        <v>1622</v>
      </c>
      <c r="T1269" t="s">
        <v>34</v>
      </c>
      <c r="U1269" t="s">
        <v>42</v>
      </c>
    </row>
    <row r="1270" spans="1:21">
      <c r="A1270" t="s">
        <v>2053</v>
      </c>
      <c r="B1270" t="s">
        <v>2054</v>
      </c>
      <c r="C1270" t="s">
        <v>1291</v>
      </c>
      <c r="D1270">
        <v>53000</v>
      </c>
      <c r="E1270">
        <v>2000</v>
      </c>
      <c r="F1270">
        <v>53000</v>
      </c>
      <c r="G1270">
        <v>53000</v>
      </c>
      <c r="H1270">
        <v>2</v>
      </c>
      <c r="I1270" t="s">
        <v>89</v>
      </c>
      <c r="J1270">
        <v>18</v>
      </c>
      <c r="K1270">
        <v>35</v>
      </c>
      <c r="L1270">
        <v>2</v>
      </c>
      <c r="M1270" t="s">
        <v>1842</v>
      </c>
      <c r="N1270">
        <v>10</v>
      </c>
      <c r="O1270">
        <v>12.33</v>
      </c>
      <c r="P1270">
        <v>123574.88</v>
      </c>
      <c r="Q1270">
        <v>95329.65</v>
      </c>
      <c r="R1270">
        <v>637</v>
      </c>
      <c r="S1270">
        <v>1622</v>
      </c>
      <c r="T1270" t="s">
        <v>108</v>
      </c>
      <c r="U1270" t="s">
        <v>49</v>
      </c>
    </row>
    <row r="1271" spans="1:21">
      <c r="A1271" t="s">
        <v>2055</v>
      </c>
      <c r="B1271" t="s">
        <v>2056</v>
      </c>
      <c r="C1271" t="s">
        <v>1857</v>
      </c>
      <c r="D1271">
        <v>50000</v>
      </c>
      <c r="E1271">
        <v>2000</v>
      </c>
      <c r="F1271">
        <v>50000</v>
      </c>
      <c r="G1271">
        <v>50000</v>
      </c>
      <c r="H1271">
        <v>1</v>
      </c>
      <c r="I1271" t="s">
        <v>89</v>
      </c>
      <c r="J1271">
        <v>18</v>
      </c>
      <c r="K1271">
        <v>74</v>
      </c>
      <c r="L1271">
        <v>2</v>
      </c>
      <c r="M1271" t="s">
        <v>1842</v>
      </c>
      <c r="N1271">
        <v>8</v>
      </c>
      <c r="O1271">
        <v>13.67</v>
      </c>
      <c r="P1271">
        <v>123574.88</v>
      </c>
      <c r="Q1271">
        <v>95329.65</v>
      </c>
      <c r="R1271">
        <v>637</v>
      </c>
      <c r="S1271">
        <v>1622</v>
      </c>
      <c r="T1271" t="s">
        <v>108</v>
      </c>
      <c r="U1271" t="s">
        <v>38</v>
      </c>
    </row>
    <row r="1272" spans="1:21">
      <c r="A1272" t="s">
        <v>2057</v>
      </c>
      <c r="B1272" t="s">
        <v>2058</v>
      </c>
      <c r="C1272" t="s">
        <v>1841</v>
      </c>
      <c r="D1272">
        <v>73000</v>
      </c>
      <c r="E1272">
        <v>2000</v>
      </c>
      <c r="F1272">
        <v>73000</v>
      </c>
      <c r="G1272">
        <v>73000</v>
      </c>
      <c r="H1272">
        <v>1</v>
      </c>
      <c r="I1272" t="s">
        <v>89</v>
      </c>
      <c r="J1272">
        <v>22</v>
      </c>
      <c r="K1272">
        <v>38</v>
      </c>
      <c r="L1272">
        <v>3</v>
      </c>
      <c r="M1272" t="s">
        <v>1842</v>
      </c>
      <c r="N1272">
        <v>5</v>
      </c>
      <c r="O1272">
        <v>11.33</v>
      </c>
      <c r="P1272">
        <v>123574.88</v>
      </c>
      <c r="Q1272">
        <v>95329.65</v>
      </c>
      <c r="R1272">
        <v>637</v>
      </c>
      <c r="S1272">
        <v>1622</v>
      </c>
      <c r="T1272" t="s">
        <v>34</v>
      </c>
      <c r="U1272" t="s">
        <v>49</v>
      </c>
    </row>
    <row r="1273" spans="1:21">
      <c r="A1273" t="s">
        <v>2059</v>
      </c>
      <c r="B1273" t="s">
        <v>1872</v>
      </c>
      <c r="C1273" t="s">
        <v>1873</v>
      </c>
      <c r="D1273">
        <v>110500</v>
      </c>
      <c r="E1273">
        <v>9500</v>
      </c>
      <c r="G1273">
        <v>110500</v>
      </c>
      <c r="H1273">
        <v>1</v>
      </c>
      <c r="I1273" t="s">
        <v>89</v>
      </c>
      <c r="J1273">
        <v>25.52</v>
      </c>
      <c r="K1273">
        <v>3</v>
      </c>
      <c r="L1273">
        <v>4</v>
      </c>
      <c r="M1273" t="s">
        <v>1842</v>
      </c>
      <c r="N1273">
        <v>6</v>
      </c>
      <c r="O1273">
        <v>9.67</v>
      </c>
      <c r="P1273">
        <v>123574.88</v>
      </c>
      <c r="Q1273">
        <v>95329.65</v>
      </c>
      <c r="R1273">
        <v>637</v>
      </c>
      <c r="S1273">
        <v>1622</v>
      </c>
      <c r="T1273" t="s">
        <v>34</v>
      </c>
      <c r="U1273" t="s">
        <v>31</v>
      </c>
    </row>
    <row r="1274" spans="1:21">
      <c r="A1274" t="s">
        <v>2060</v>
      </c>
      <c r="B1274" t="s">
        <v>1872</v>
      </c>
      <c r="C1274" t="s">
        <v>1873</v>
      </c>
      <c r="D1274">
        <v>115000</v>
      </c>
      <c r="E1274">
        <v>9500</v>
      </c>
      <c r="G1274">
        <v>115000</v>
      </c>
      <c r="H1274">
        <v>1</v>
      </c>
      <c r="I1274" t="s">
        <v>89</v>
      </c>
      <c r="J1274">
        <v>25.52</v>
      </c>
      <c r="K1274">
        <v>3</v>
      </c>
      <c r="L1274">
        <v>4</v>
      </c>
      <c r="M1274" t="s">
        <v>1842</v>
      </c>
      <c r="N1274">
        <v>6</v>
      </c>
      <c r="O1274">
        <v>9.67</v>
      </c>
      <c r="P1274">
        <v>123574.88</v>
      </c>
      <c r="Q1274">
        <v>95329.65</v>
      </c>
      <c r="R1274">
        <v>637</v>
      </c>
      <c r="S1274">
        <v>1622</v>
      </c>
      <c r="T1274" t="s">
        <v>34</v>
      </c>
      <c r="U1274" t="s">
        <v>31</v>
      </c>
    </row>
    <row r="1275" spans="1:21">
      <c r="A1275" t="s">
        <v>2061</v>
      </c>
      <c r="B1275" t="s">
        <v>2062</v>
      </c>
      <c r="C1275" t="s">
        <v>1291</v>
      </c>
      <c r="D1275">
        <v>90000</v>
      </c>
      <c r="E1275">
        <v>5000</v>
      </c>
      <c r="F1275">
        <v>90000</v>
      </c>
      <c r="G1275">
        <v>90000</v>
      </c>
      <c r="H1275">
        <v>2</v>
      </c>
      <c r="I1275" t="s">
        <v>89</v>
      </c>
      <c r="J1275">
        <v>20.440000000000001</v>
      </c>
      <c r="K1275">
        <v>10</v>
      </c>
      <c r="L1275">
        <v>4</v>
      </c>
      <c r="M1275" t="s">
        <v>1842</v>
      </c>
      <c r="N1275">
        <v>9</v>
      </c>
      <c r="O1275">
        <v>9.5</v>
      </c>
      <c r="P1275">
        <v>123574.88</v>
      </c>
      <c r="Q1275">
        <v>95329.65</v>
      </c>
      <c r="R1275">
        <v>637</v>
      </c>
      <c r="S1275">
        <v>1622</v>
      </c>
      <c r="T1275" t="s">
        <v>34</v>
      </c>
      <c r="U1275" t="s">
        <v>31</v>
      </c>
    </row>
    <row r="1276" spans="1:21">
      <c r="A1276" t="s">
        <v>2063</v>
      </c>
      <c r="B1276" t="s">
        <v>2064</v>
      </c>
      <c r="C1276" t="s">
        <v>1850</v>
      </c>
      <c r="D1276">
        <v>70000</v>
      </c>
      <c r="E1276">
        <v>2000</v>
      </c>
      <c r="F1276">
        <v>70000</v>
      </c>
      <c r="H1276">
        <v>2</v>
      </c>
      <c r="I1276" t="s">
        <v>89</v>
      </c>
      <c r="J1276">
        <v>17.55</v>
      </c>
      <c r="K1276">
        <v>24</v>
      </c>
      <c r="L1276">
        <v>2</v>
      </c>
      <c r="M1276" t="s">
        <v>1842</v>
      </c>
      <c r="N1276">
        <v>7</v>
      </c>
      <c r="O1276">
        <v>10</v>
      </c>
      <c r="P1276">
        <v>123574.88</v>
      </c>
      <c r="Q1276">
        <v>95329.65</v>
      </c>
      <c r="R1276">
        <v>637</v>
      </c>
      <c r="S1276">
        <v>1622</v>
      </c>
      <c r="T1276" t="s">
        <v>108</v>
      </c>
      <c r="U1276" t="s">
        <v>27</v>
      </c>
    </row>
    <row r="1277" spans="1:21">
      <c r="A1277" t="s">
        <v>2065</v>
      </c>
      <c r="B1277" t="s">
        <v>2066</v>
      </c>
      <c r="C1277" t="s">
        <v>1743</v>
      </c>
      <c r="D1277">
        <v>62000</v>
      </c>
      <c r="E1277">
        <v>2000</v>
      </c>
      <c r="F1277">
        <v>62000</v>
      </c>
      <c r="G1277">
        <v>62000</v>
      </c>
      <c r="H1277">
        <v>1</v>
      </c>
      <c r="I1277" t="s">
        <v>89</v>
      </c>
      <c r="J1277">
        <v>22.35</v>
      </c>
      <c r="K1277">
        <v>27</v>
      </c>
      <c r="L1277">
        <v>3</v>
      </c>
      <c r="M1277" t="s">
        <v>1842</v>
      </c>
      <c r="N1277">
        <v>10</v>
      </c>
      <c r="O1277">
        <v>16.329999999999998</v>
      </c>
      <c r="P1277">
        <v>123574.88</v>
      </c>
      <c r="Q1277">
        <v>95329.65</v>
      </c>
      <c r="R1277">
        <v>637</v>
      </c>
      <c r="S1277">
        <v>1622</v>
      </c>
      <c r="T1277" t="s">
        <v>34</v>
      </c>
      <c r="U1277" t="s">
        <v>27</v>
      </c>
    </row>
    <row r="1278" spans="1:21">
      <c r="A1278" t="s">
        <v>2067</v>
      </c>
      <c r="B1278" t="s">
        <v>2068</v>
      </c>
      <c r="C1278" t="s">
        <v>1850</v>
      </c>
      <c r="D1278">
        <v>83000</v>
      </c>
      <c r="E1278">
        <v>3000</v>
      </c>
      <c r="F1278">
        <v>83000</v>
      </c>
      <c r="G1278">
        <v>83000</v>
      </c>
      <c r="H1278">
        <v>2</v>
      </c>
      <c r="I1278" t="s">
        <v>89</v>
      </c>
      <c r="J1278">
        <v>22.97</v>
      </c>
      <c r="K1278">
        <v>18</v>
      </c>
      <c r="L1278">
        <v>2</v>
      </c>
      <c r="M1278" t="s">
        <v>1842</v>
      </c>
      <c r="N1278">
        <v>2</v>
      </c>
      <c r="O1278">
        <v>14.67</v>
      </c>
      <c r="P1278">
        <v>123574.88</v>
      </c>
      <c r="Q1278">
        <v>95329.65</v>
      </c>
      <c r="R1278">
        <v>637</v>
      </c>
      <c r="S1278">
        <v>1622</v>
      </c>
      <c r="T1278" t="s">
        <v>34</v>
      </c>
      <c r="U1278" t="s">
        <v>90</v>
      </c>
    </row>
    <row r="1279" spans="1:21">
      <c r="A1279" t="s">
        <v>2069</v>
      </c>
      <c r="B1279" t="s">
        <v>2070</v>
      </c>
      <c r="C1279" t="s">
        <v>1841</v>
      </c>
      <c r="D1279">
        <v>80000</v>
      </c>
      <c r="F1279">
        <v>80000</v>
      </c>
      <c r="G1279">
        <v>80000</v>
      </c>
      <c r="H1279">
        <v>1</v>
      </c>
      <c r="I1279" t="s">
        <v>89</v>
      </c>
      <c r="J1279">
        <v>23.68</v>
      </c>
      <c r="K1279">
        <v>26</v>
      </c>
      <c r="L1279">
        <v>2</v>
      </c>
      <c r="M1279" t="s">
        <v>1842</v>
      </c>
      <c r="N1279">
        <v>2</v>
      </c>
      <c r="O1279">
        <v>11</v>
      </c>
      <c r="P1279">
        <v>123574.88</v>
      </c>
      <c r="Q1279">
        <v>95329.65</v>
      </c>
      <c r="R1279">
        <v>637</v>
      </c>
      <c r="S1279">
        <v>1622</v>
      </c>
      <c r="T1279" t="s">
        <v>34</v>
      </c>
      <c r="U1279" t="s">
        <v>27</v>
      </c>
    </row>
    <row r="1280" spans="1:21">
      <c r="A1280" t="s">
        <v>2071</v>
      </c>
      <c r="B1280" t="s">
        <v>2072</v>
      </c>
      <c r="C1280" t="s">
        <v>1857</v>
      </c>
      <c r="D1280">
        <v>65000</v>
      </c>
      <c r="F1280">
        <v>65000</v>
      </c>
      <c r="H1280">
        <v>1</v>
      </c>
      <c r="I1280" t="s">
        <v>89</v>
      </c>
      <c r="J1280">
        <v>17.489999999999998</v>
      </c>
      <c r="K1280">
        <v>39</v>
      </c>
      <c r="L1280">
        <v>2</v>
      </c>
      <c r="M1280" t="s">
        <v>1842</v>
      </c>
      <c r="N1280">
        <v>4</v>
      </c>
      <c r="O1280">
        <v>10.67</v>
      </c>
      <c r="P1280">
        <v>123574.88</v>
      </c>
      <c r="Q1280">
        <v>95329.65</v>
      </c>
      <c r="R1280">
        <v>637</v>
      </c>
      <c r="S1280">
        <v>1622</v>
      </c>
      <c r="T1280" t="s">
        <v>108</v>
      </c>
      <c r="U1280" t="s">
        <v>49</v>
      </c>
    </row>
    <row r="1281" spans="1:21">
      <c r="A1281" t="s">
        <v>2073</v>
      </c>
      <c r="B1281" t="s">
        <v>2074</v>
      </c>
      <c r="C1281" t="s">
        <v>1850</v>
      </c>
      <c r="D1281">
        <v>102000</v>
      </c>
      <c r="E1281">
        <v>15000</v>
      </c>
      <c r="F1281">
        <v>102000</v>
      </c>
      <c r="G1281">
        <v>102000</v>
      </c>
      <c r="H1281">
        <v>2</v>
      </c>
      <c r="I1281" t="s">
        <v>89</v>
      </c>
      <c r="J1281">
        <v>25.71</v>
      </c>
      <c r="K1281">
        <v>10</v>
      </c>
      <c r="L1281">
        <v>3</v>
      </c>
      <c r="M1281" t="s">
        <v>1842</v>
      </c>
      <c r="N1281">
        <v>6</v>
      </c>
      <c r="O1281">
        <v>12.33</v>
      </c>
      <c r="P1281">
        <v>123574.88</v>
      </c>
      <c r="Q1281">
        <v>95329.65</v>
      </c>
      <c r="R1281">
        <v>637</v>
      </c>
      <c r="S1281">
        <v>1622</v>
      </c>
      <c r="T1281" t="s">
        <v>34</v>
      </c>
      <c r="U1281" t="s">
        <v>31</v>
      </c>
    </row>
    <row r="1282" spans="1:21">
      <c r="A1282" t="s">
        <v>2075</v>
      </c>
      <c r="B1282" t="s">
        <v>2074</v>
      </c>
      <c r="C1282" t="s">
        <v>1850</v>
      </c>
      <c r="D1282">
        <v>105000</v>
      </c>
      <c r="E1282">
        <v>15000</v>
      </c>
      <c r="F1282">
        <v>105000</v>
      </c>
      <c r="G1282">
        <v>105000</v>
      </c>
      <c r="H1282">
        <v>2</v>
      </c>
      <c r="I1282" t="s">
        <v>89</v>
      </c>
      <c r="J1282">
        <v>25.71</v>
      </c>
      <c r="K1282">
        <v>10</v>
      </c>
      <c r="L1282">
        <v>3</v>
      </c>
      <c r="M1282" t="s">
        <v>1842</v>
      </c>
      <c r="N1282">
        <v>6</v>
      </c>
      <c r="O1282">
        <v>12.33</v>
      </c>
      <c r="P1282">
        <v>123574.88</v>
      </c>
      <c r="Q1282">
        <v>95329.65</v>
      </c>
      <c r="R1282">
        <v>637</v>
      </c>
      <c r="S1282">
        <v>1622</v>
      </c>
      <c r="T1282" t="s">
        <v>34</v>
      </c>
      <c r="U1282" t="s">
        <v>31</v>
      </c>
    </row>
    <row r="1283" spans="1:21">
      <c r="A1283" t="s">
        <v>2076</v>
      </c>
      <c r="B1283" t="s">
        <v>2074</v>
      </c>
      <c r="C1283" t="s">
        <v>1850</v>
      </c>
      <c r="D1283">
        <v>101500</v>
      </c>
      <c r="E1283">
        <v>15000</v>
      </c>
      <c r="F1283">
        <v>101500</v>
      </c>
      <c r="G1283">
        <v>101500</v>
      </c>
      <c r="H1283">
        <v>2</v>
      </c>
      <c r="I1283" t="s">
        <v>89</v>
      </c>
      <c r="J1283">
        <v>25.7</v>
      </c>
      <c r="K1283">
        <v>10</v>
      </c>
      <c r="L1283">
        <v>3</v>
      </c>
      <c r="M1283" t="s">
        <v>1842</v>
      </c>
      <c r="N1283">
        <v>6</v>
      </c>
      <c r="O1283">
        <v>12.33</v>
      </c>
      <c r="P1283">
        <v>123574.88</v>
      </c>
      <c r="Q1283">
        <v>95329.65</v>
      </c>
      <c r="R1283">
        <v>637</v>
      </c>
      <c r="S1283">
        <v>1622</v>
      </c>
      <c r="T1283" t="s">
        <v>34</v>
      </c>
      <c r="U1283" t="s">
        <v>31</v>
      </c>
    </row>
    <row r="1284" spans="1:21">
      <c r="A1284" t="s">
        <v>2077</v>
      </c>
      <c r="B1284" t="s">
        <v>2074</v>
      </c>
      <c r="C1284" t="s">
        <v>1850</v>
      </c>
      <c r="D1284">
        <v>102000</v>
      </c>
      <c r="E1284">
        <v>15000</v>
      </c>
      <c r="F1284">
        <v>102000</v>
      </c>
      <c r="G1284">
        <v>102000</v>
      </c>
      <c r="H1284">
        <v>3</v>
      </c>
      <c r="I1284" t="s">
        <v>89</v>
      </c>
      <c r="J1284">
        <v>25.71</v>
      </c>
      <c r="K1284">
        <v>10</v>
      </c>
      <c r="L1284">
        <v>3</v>
      </c>
      <c r="M1284" t="s">
        <v>1842</v>
      </c>
      <c r="N1284">
        <v>6</v>
      </c>
      <c r="O1284">
        <v>12.33</v>
      </c>
      <c r="P1284">
        <v>123574.88</v>
      </c>
      <c r="Q1284">
        <v>95329.65</v>
      </c>
      <c r="R1284">
        <v>637</v>
      </c>
      <c r="S1284">
        <v>1622</v>
      </c>
      <c r="T1284" t="s">
        <v>34</v>
      </c>
      <c r="U1284" t="s">
        <v>31</v>
      </c>
    </row>
    <row r="1285" spans="1:21">
      <c r="A1285" t="s">
        <v>2078</v>
      </c>
      <c r="B1285" t="s">
        <v>2079</v>
      </c>
      <c r="C1285" t="s">
        <v>1743</v>
      </c>
      <c r="D1285">
        <v>83000</v>
      </c>
      <c r="E1285">
        <v>3000</v>
      </c>
      <c r="H1285">
        <v>1</v>
      </c>
      <c r="I1285" t="s">
        <v>89</v>
      </c>
      <c r="J1285">
        <v>20.12</v>
      </c>
      <c r="K1285">
        <v>2</v>
      </c>
      <c r="L1285">
        <v>3</v>
      </c>
      <c r="M1285" t="s">
        <v>1842</v>
      </c>
      <c r="N1285">
        <v>10</v>
      </c>
      <c r="O1285">
        <v>12.33</v>
      </c>
      <c r="P1285">
        <v>123574.88</v>
      </c>
      <c r="Q1285">
        <v>95329.65</v>
      </c>
      <c r="R1285">
        <v>637</v>
      </c>
      <c r="S1285">
        <v>1622</v>
      </c>
      <c r="T1285" t="s">
        <v>34</v>
      </c>
      <c r="U1285" t="s">
        <v>31</v>
      </c>
    </row>
    <row r="1286" spans="1:21">
      <c r="A1286" t="s">
        <v>2080</v>
      </c>
      <c r="B1286" t="s">
        <v>2079</v>
      </c>
      <c r="C1286" t="s">
        <v>1743</v>
      </c>
      <c r="D1286">
        <v>80000</v>
      </c>
      <c r="E1286">
        <v>3000</v>
      </c>
      <c r="H1286">
        <v>1</v>
      </c>
      <c r="I1286" t="s">
        <v>89</v>
      </c>
      <c r="J1286">
        <v>20.12</v>
      </c>
      <c r="K1286">
        <v>2</v>
      </c>
      <c r="L1286">
        <v>3</v>
      </c>
      <c r="M1286" t="s">
        <v>1842</v>
      </c>
      <c r="N1286">
        <v>10</v>
      </c>
      <c r="O1286">
        <v>12.33</v>
      </c>
      <c r="P1286">
        <v>123574.88</v>
      </c>
      <c r="Q1286">
        <v>95329.65</v>
      </c>
      <c r="R1286">
        <v>637</v>
      </c>
      <c r="S1286">
        <v>1622</v>
      </c>
      <c r="T1286" t="s">
        <v>34</v>
      </c>
      <c r="U1286" t="s">
        <v>31</v>
      </c>
    </row>
    <row r="1287" spans="1:21">
      <c r="A1287" t="s">
        <v>2081</v>
      </c>
      <c r="B1287" t="s">
        <v>2082</v>
      </c>
      <c r="C1287" t="s">
        <v>688</v>
      </c>
      <c r="D1287">
        <v>74000</v>
      </c>
      <c r="E1287">
        <v>7000</v>
      </c>
      <c r="F1287">
        <v>74000</v>
      </c>
      <c r="G1287">
        <v>74000</v>
      </c>
      <c r="H1287">
        <v>2</v>
      </c>
      <c r="I1287" t="s">
        <v>89</v>
      </c>
      <c r="J1287">
        <v>24.44</v>
      </c>
      <c r="K1287">
        <v>27</v>
      </c>
      <c r="L1287">
        <v>3</v>
      </c>
      <c r="M1287" t="s">
        <v>1842</v>
      </c>
      <c r="N1287">
        <v>7</v>
      </c>
      <c r="O1287">
        <v>10.67</v>
      </c>
      <c r="P1287">
        <v>123574.88</v>
      </c>
      <c r="Q1287">
        <v>95329.65</v>
      </c>
      <c r="R1287">
        <v>637</v>
      </c>
      <c r="S1287">
        <v>1622</v>
      </c>
      <c r="T1287" t="s">
        <v>34</v>
      </c>
      <c r="U1287" t="s">
        <v>27</v>
      </c>
    </row>
    <row r="1288" spans="1:21">
      <c r="A1288" t="s">
        <v>2083</v>
      </c>
      <c r="B1288" t="s">
        <v>2084</v>
      </c>
      <c r="C1288" t="s">
        <v>2033</v>
      </c>
      <c r="D1288">
        <v>98000</v>
      </c>
      <c r="E1288">
        <v>5000</v>
      </c>
      <c r="F1288">
        <v>98000</v>
      </c>
      <c r="G1288">
        <v>98000</v>
      </c>
      <c r="H1288">
        <v>3</v>
      </c>
      <c r="I1288" t="s">
        <v>89</v>
      </c>
      <c r="J1288">
        <v>31.49</v>
      </c>
      <c r="K1288">
        <v>24</v>
      </c>
      <c r="L1288">
        <v>3</v>
      </c>
      <c r="M1288" t="s">
        <v>1842</v>
      </c>
      <c r="N1288">
        <v>4</v>
      </c>
      <c r="O1288">
        <v>11</v>
      </c>
      <c r="P1288">
        <v>123574.88</v>
      </c>
      <c r="Q1288">
        <v>95329.65</v>
      </c>
      <c r="R1288">
        <v>637</v>
      </c>
      <c r="S1288">
        <v>1622</v>
      </c>
      <c r="T1288" t="s">
        <v>26</v>
      </c>
      <c r="U1288" t="s">
        <v>27</v>
      </c>
    </row>
    <row r="1289" spans="1:21">
      <c r="A1289" t="s">
        <v>2085</v>
      </c>
      <c r="B1289" t="s">
        <v>2086</v>
      </c>
      <c r="C1289" t="s">
        <v>1850</v>
      </c>
      <c r="D1289">
        <v>66000</v>
      </c>
      <c r="H1289">
        <v>1</v>
      </c>
      <c r="I1289" t="s">
        <v>89</v>
      </c>
      <c r="J1289">
        <v>21</v>
      </c>
      <c r="K1289">
        <v>22</v>
      </c>
      <c r="L1289">
        <v>2</v>
      </c>
      <c r="M1289" t="s">
        <v>1842</v>
      </c>
      <c r="N1289">
        <v>5</v>
      </c>
      <c r="O1289">
        <v>11</v>
      </c>
      <c r="P1289">
        <v>123574.88</v>
      </c>
      <c r="Q1289">
        <v>95329.65</v>
      </c>
      <c r="R1289">
        <v>637</v>
      </c>
      <c r="S1289">
        <v>1622</v>
      </c>
      <c r="T1289" t="s">
        <v>34</v>
      </c>
      <c r="U1289" t="s">
        <v>27</v>
      </c>
    </row>
    <row r="1290" spans="1:21">
      <c r="A1290" t="s">
        <v>2087</v>
      </c>
      <c r="B1290" t="s">
        <v>2088</v>
      </c>
      <c r="C1290" t="s">
        <v>1857</v>
      </c>
      <c r="D1290">
        <v>70000</v>
      </c>
      <c r="F1290">
        <v>70000</v>
      </c>
      <c r="H1290">
        <v>2</v>
      </c>
      <c r="I1290" t="s">
        <v>89</v>
      </c>
      <c r="J1290">
        <v>19</v>
      </c>
      <c r="K1290">
        <v>46</v>
      </c>
      <c r="L1290">
        <v>2</v>
      </c>
      <c r="M1290" t="s">
        <v>1842</v>
      </c>
      <c r="N1290">
        <v>10</v>
      </c>
      <c r="O1290">
        <v>11.5</v>
      </c>
      <c r="P1290">
        <v>123574.88</v>
      </c>
      <c r="Q1290">
        <v>95329.65</v>
      </c>
      <c r="R1290">
        <v>637</v>
      </c>
      <c r="S1290">
        <v>1622</v>
      </c>
      <c r="T1290" t="s">
        <v>108</v>
      </c>
      <c r="U1290" t="s">
        <v>42</v>
      </c>
    </row>
    <row r="1291" spans="1:21">
      <c r="A1291" t="s">
        <v>2089</v>
      </c>
      <c r="B1291" t="s">
        <v>2090</v>
      </c>
      <c r="C1291" t="s">
        <v>1857</v>
      </c>
      <c r="D1291">
        <v>53000</v>
      </c>
      <c r="E1291">
        <v>3000</v>
      </c>
      <c r="F1291">
        <v>53000</v>
      </c>
      <c r="G1291">
        <v>53000</v>
      </c>
      <c r="H1291">
        <v>1</v>
      </c>
      <c r="I1291" t="s">
        <v>89</v>
      </c>
      <c r="J1291">
        <v>16.239999999999998</v>
      </c>
      <c r="K1291">
        <v>42</v>
      </c>
      <c r="L1291">
        <v>2</v>
      </c>
      <c r="M1291" t="s">
        <v>1842</v>
      </c>
      <c r="N1291">
        <v>5</v>
      </c>
      <c r="O1291">
        <v>11.67</v>
      </c>
      <c r="P1291">
        <v>123574.88</v>
      </c>
      <c r="Q1291">
        <v>95329.65</v>
      </c>
      <c r="R1291">
        <v>637</v>
      </c>
      <c r="S1291">
        <v>1622</v>
      </c>
      <c r="T1291" t="s">
        <v>108</v>
      </c>
      <c r="U1291" t="s">
        <v>42</v>
      </c>
    </row>
    <row r="1292" spans="1:21">
      <c r="A1292" t="s">
        <v>2091</v>
      </c>
      <c r="B1292" t="s">
        <v>2092</v>
      </c>
      <c r="C1292" t="s">
        <v>688</v>
      </c>
      <c r="D1292">
        <v>73000</v>
      </c>
      <c r="E1292">
        <v>5000</v>
      </c>
      <c r="H1292">
        <v>1</v>
      </c>
      <c r="I1292" t="s">
        <v>89</v>
      </c>
      <c r="J1292">
        <v>21.46</v>
      </c>
      <c r="K1292">
        <v>23</v>
      </c>
      <c r="L1292">
        <v>4</v>
      </c>
      <c r="M1292" t="s">
        <v>1842</v>
      </c>
      <c r="N1292">
        <v>8</v>
      </c>
      <c r="O1292">
        <v>8.67</v>
      </c>
      <c r="P1292">
        <v>123574.88</v>
      </c>
      <c r="Q1292">
        <v>95329.65</v>
      </c>
      <c r="R1292">
        <v>637</v>
      </c>
      <c r="S1292">
        <v>1622</v>
      </c>
      <c r="T1292" t="s">
        <v>34</v>
      </c>
      <c r="U1292" t="s">
        <v>27</v>
      </c>
    </row>
    <row r="1293" spans="1:21">
      <c r="A1293" t="s">
        <v>2093</v>
      </c>
      <c r="B1293" t="s">
        <v>2094</v>
      </c>
      <c r="C1293" t="s">
        <v>1870</v>
      </c>
      <c r="D1293">
        <v>86000</v>
      </c>
      <c r="E1293">
        <v>3000</v>
      </c>
      <c r="F1293">
        <v>86000</v>
      </c>
      <c r="G1293">
        <v>86000</v>
      </c>
      <c r="H1293">
        <v>3</v>
      </c>
      <c r="I1293" t="s">
        <v>89</v>
      </c>
      <c r="J1293">
        <v>24.09</v>
      </c>
      <c r="K1293">
        <v>20</v>
      </c>
      <c r="L1293">
        <v>4</v>
      </c>
      <c r="M1293" t="s">
        <v>1842</v>
      </c>
      <c r="N1293">
        <v>4</v>
      </c>
      <c r="O1293">
        <v>11</v>
      </c>
      <c r="P1293">
        <v>123574.88</v>
      </c>
      <c r="Q1293">
        <v>95329.65</v>
      </c>
      <c r="R1293">
        <v>637</v>
      </c>
      <c r="S1293">
        <v>1622</v>
      </c>
      <c r="T1293" t="s">
        <v>34</v>
      </c>
      <c r="U1293" t="s">
        <v>90</v>
      </c>
    </row>
    <row r="1294" spans="1:21">
      <c r="A1294" t="s">
        <v>2095</v>
      </c>
      <c r="B1294" t="s">
        <v>2096</v>
      </c>
      <c r="C1294" t="s">
        <v>1887</v>
      </c>
      <c r="D1294">
        <v>70000</v>
      </c>
      <c r="E1294">
        <v>2000</v>
      </c>
      <c r="F1294">
        <v>70000</v>
      </c>
      <c r="H1294">
        <v>1</v>
      </c>
      <c r="I1294" t="s">
        <v>89</v>
      </c>
      <c r="J1294">
        <v>17.940000000000001</v>
      </c>
      <c r="K1294">
        <v>23</v>
      </c>
      <c r="L1294">
        <v>2</v>
      </c>
      <c r="M1294" t="s">
        <v>1842</v>
      </c>
      <c r="N1294">
        <v>7</v>
      </c>
      <c r="O1294">
        <v>10.33</v>
      </c>
      <c r="P1294">
        <v>123574.88</v>
      </c>
      <c r="Q1294">
        <v>95329.65</v>
      </c>
      <c r="R1294">
        <v>637</v>
      </c>
      <c r="S1294">
        <v>1622</v>
      </c>
      <c r="T1294" t="s">
        <v>108</v>
      </c>
      <c r="U1294" t="s">
        <v>27</v>
      </c>
    </row>
    <row r="1295" spans="1:21">
      <c r="A1295" t="s">
        <v>2097</v>
      </c>
      <c r="B1295" t="s">
        <v>2098</v>
      </c>
      <c r="C1295" t="s">
        <v>1291</v>
      </c>
      <c r="D1295">
        <v>75000</v>
      </c>
      <c r="E1295">
        <v>3000</v>
      </c>
      <c r="F1295">
        <v>75000</v>
      </c>
      <c r="G1295">
        <v>75000</v>
      </c>
      <c r="H1295">
        <v>2</v>
      </c>
      <c r="I1295" t="s">
        <v>89</v>
      </c>
      <c r="J1295">
        <v>17.7</v>
      </c>
      <c r="K1295">
        <v>45</v>
      </c>
      <c r="L1295">
        <v>3</v>
      </c>
      <c r="M1295" t="s">
        <v>1842</v>
      </c>
      <c r="N1295">
        <v>8</v>
      </c>
      <c r="O1295">
        <v>14.33</v>
      </c>
      <c r="P1295">
        <v>123574.88</v>
      </c>
      <c r="Q1295">
        <v>95329.65</v>
      </c>
      <c r="R1295">
        <v>637</v>
      </c>
      <c r="S1295">
        <v>1622</v>
      </c>
      <c r="T1295" t="s">
        <v>108</v>
      </c>
      <c r="U1295" t="s">
        <v>42</v>
      </c>
    </row>
    <row r="1296" spans="1:21">
      <c r="A1296" t="s">
        <v>2099</v>
      </c>
      <c r="B1296" t="s">
        <v>1876</v>
      </c>
      <c r="C1296" t="s">
        <v>1841</v>
      </c>
      <c r="D1296">
        <v>75000</v>
      </c>
      <c r="E1296">
        <v>3000</v>
      </c>
      <c r="F1296">
        <v>75000</v>
      </c>
      <c r="G1296">
        <v>75000</v>
      </c>
      <c r="H1296">
        <v>1</v>
      </c>
      <c r="I1296" t="s">
        <v>89</v>
      </c>
      <c r="J1296">
        <v>20</v>
      </c>
      <c r="K1296">
        <v>46</v>
      </c>
      <c r="L1296">
        <v>3</v>
      </c>
      <c r="M1296" t="s">
        <v>1842</v>
      </c>
      <c r="N1296">
        <v>7</v>
      </c>
      <c r="O1296">
        <v>12.33</v>
      </c>
      <c r="P1296">
        <v>123574.88</v>
      </c>
      <c r="Q1296">
        <v>95329.65</v>
      </c>
      <c r="R1296">
        <v>637</v>
      </c>
      <c r="S1296">
        <v>1622</v>
      </c>
      <c r="T1296" t="s">
        <v>34</v>
      </c>
      <c r="U1296" t="s">
        <v>42</v>
      </c>
    </row>
    <row r="1297" spans="1:21">
      <c r="A1297" t="s">
        <v>2100</v>
      </c>
      <c r="B1297" t="s">
        <v>1876</v>
      </c>
      <c r="C1297" t="s">
        <v>1841</v>
      </c>
      <c r="D1297">
        <v>73000</v>
      </c>
      <c r="F1297">
        <v>73000</v>
      </c>
      <c r="G1297">
        <v>73000</v>
      </c>
      <c r="H1297">
        <v>2</v>
      </c>
      <c r="I1297" t="s">
        <v>89</v>
      </c>
      <c r="J1297">
        <v>22</v>
      </c>
      <c r="K1297">
        <v>46</v>
      </c>
      <c r="L1297">
        <v>3</v>
      </c>
      <c r="M1297" t="s">
        <v>1842</v>
      </c>
      <c r="N1297">
        <v>7</v>
      </c>
      <c r="O1297">
        <v>12.33</v>
      </c>
      <c r="P1297">
        <v>123574.88</v>
      </c>
      <c r="Q1297">
        <v>95329.65</v>
      </c>
      <c r="R1297">
        <v>637</v>
      </c>
      <c r="S1297">
        <v>1622</v>
      </c>
      <c r="T1297" t="s">
        <v>34</v>
      </c>
      <c r="U1297" t="s">
        <v>42</v>
      </c>
    </row>
    <row r="1298" spans="1:21">
      <c r="A1298" t="s">
        <v>2101</v>
      </c>
      <c r="B1298" t="s">
        <v>1876</v>
      </c>
      <c r="C1298" t="s">
        <v>1841</v>
      </c>
      <c r="D1298">
        <v>73000</v>
      </c>
      <c r="F1298">
        <v>73000</v>
      </c>
      <c r="G1298">
        <v>73000</v>
      </c>
      <c r="H1298">
        <v>2</v>
      </c>
      <c r="I1298" t="s">
        <v>89</v>
      </c>
      <c r="J1298">
        <v>25.11</v>
      </c>
      <c r="K1298">
        <v>46</v>
      </c>
      <c r="L1298">
        <v>3</v>
      </c>
      <c r="M1298" t="s">
        <v>1842</v>
      </c>
      <c r="N1298">
        <v>7</v>
      </c>
      <c r="O1298">
        <v>12.33</v>
      </c>
      <c r="P1298">
        <v>123574.88</v>
      </c>
      <c r="Q1298">
        <v>95329.65</v>
      </c>
      <c r="R1298">
        <v>637</v>
      </c>
      <c r="S1298">
        <v>1622</v>
      </c>
      <c r="T1298" t="s">
        <v>34</v>
      </c>
      <c r="U1298" t="s">
        <v>42</v>
      </c>
    </row>
    <row r="1299" spans="1:21">
      <c r="A1299" t="s">
        <v>2102</v>
      </c>
      <c r="B1299" t="s">
        <v>1876</v>
      </c>
      <c r="C1299" t="s">
        <v>1841</v>
      </c>
      <c r="D1299">
        <v>73000</v>
      </c>
      <c r="F1299">
        <v>73000</v>
      </c>
      <c r="G1299">
        <v>73000</v>
      </c>
      <c r="H1299">
        <v>3</v>
      </c>
      <c r="I1299" t="s">
        <v>89</v>
      </c>
      <c r="J1299">
        <v>19</v>
      </c>
      <c r="K1299">
        <v>46</v>
      </c>
      <c r="L1299">
        <v>3</v>
      </c>
      <c r="M1299" t="s">
        <v>1842</v>
      </c>
      <c r="N1299">
        <v>7</v>
      </c>
      <c r="O1299">
        <v>12.33</v>
      </c>
      <c r="P1299">
        <v>123574.88</v>
      </c>
      <c r="Q1299">
        <v>95329.65</v>
      </c>
      <c r="R1299">
        <v>637</v>
      </c>
      <c r="S1299">
        <v>1622</v>
      </c>
      <c r="T1299" t="s">
        <v>108</v>
      </c>
      <c r="U1299" t="s">
        <v>42</v>
      </c>
    </row>
    <row r="1300" spans="1:21">
      <c r="A1300" t="s">
        <v>2103</v>
      </c>
      <c r="B1300" t="s">
        <v>2104</v>
      </c>
      <c r="C1300" t="s">
        <v>1841</v>
      </c>
      <c r="D1300">
        <v>70000</v>
      </c>
      <c r="E1300">
        <v>2000</v>
      </c>
      <c r="F1300">
        <v>70000</v>
      </c>
      <c r="G1300">
        <v>70000</v>
      </c>
      <c r="H1300">
        <v>2</v>
      </c>
      <c r="I1300" t="s">
        <v>89</v>
      </c>
      <c r="J1300">
        <v>20.05</v>
      </c>
      <c r="K1300">
        <v>23</v>
      </c>
      <c r="L1300">
        <v>2</v>
      </c>
      <c r="M1300" t="s">
        <v>1842</v>
      </c>
      <c r="N1300">
        <v>5</v>
      </c>
      <c r="O1300">
        <v>12</v>
      </c>
      <c r="P1300">
        <v>123574.88</v>
      </c>
      <c r="Q1300">
        <v>95329.65</v>
      </c>
      <c r="R1300">
        <v>637</v>
      </c>
      <c r="S1300">
        <v>1622</v>
      </c>
      <c r="T1300" t="s">
        <v>34</v>
      </c>
      <c r="U1300" t="s">
        <v>27</v>
      </c>
    </row>
    <row r="1301" spans="1:21">
      <c r="A1301" t="s">
        <v>2105</v>
      </c>
      <c r="B1301" t="s">
        <v>2106</v>
      </c>
      <c r="C1301" t="s">
        <v>1887</v>
      </c>
      <c r="D1301">
        <v>98000</v>
      </c>
      <c r="E1301">
        <v>7000</v>
      </c>
      <c r="F1301">
        <v>98000</v>
      </c>
      <c r="G1301">
        <v>98000</v>
      </c>
      <c r="H1301">
        <v>-1</v>
      </c>
      <c r="I1301" t="s">
        <v>89</v>
      </c>
      <c r="J1301">
        <v>21.07</v>
      </c>
      <c r="K1301">
        <v>11</v>
      </c>
      <c r="L1301">
        <v>4</v>
      </c>
      <c r="M1301" t="s">
        <v>1842</v>
      </c>
      <c r="N1301">
        <v>4</v>
      </c>
      <c r="O1301">
        <v>12.33</v>
      </c>
      <c r="P1301">
        <v>123574.88</v>
      </c>
      <c r="Q1301">
        <v>95329.65</v>
      </c>
      <c r="R1301">
        <v>637</v>
      </c>
      <c r="S1301">
        <v>1622</v>
      </c>
      <c r="T1301" t="s">
        <v>34</v>
      </c>
      <c r="U1301" t="s">
        <v>90</v>
      </c>
    </row>
    <row r="1302" spans="1:21">
      <c r="A1302" t="s">
        <v>2107</v>
      </c>
      <c r="B1302" t="s">
        <v>1878</v>
      </c>
      <c r="C1302" t="s">
        <v>1291</v>
      </c>
      <c r="D1302">
        <v>147000</v>
      </c>
      <c r="E1302">
        <v>10000</v>
      </c>
      <c r="F1302">
        <v>147000</v>
      </c>
      <c r="H1302">
        <v>2</v>
      </c>
      <c r="I1302" t="s">
        <v>89</v>
      </c>
      <c r="J1302">
        <v>25.36</v>
      </c>
      <c r="K1302">
        <v>0</v>
      </c>
      <c r="L1302">
        <v>8</v>
      </c>
      <c r="M1302" t="s">
        <v>1842</v>
      </c>
      <c r="N1302">
        <v>9</v>
      </c>
      <c r="O1302">
        <v>10.33</v>
      </c>
      <c r="P1302">
        <v>123574.88</v>
      </c>
      <c r="Q1302">
        <v>95329.65</v>
      </c>
      <c r="R1302">
        <v>637</v>
      </c>
      <c r="S1302">
        <v>1622</v>
      </c>
      <c r="T1302" t="s">
        <v>34</v>
      </c>
      <c r="U1302" t="s">
        <v>81</v>
      </c>
    </row>
    <row r="1303" spans="1:21">
      <c r="A1303" t="s">
        <v>2108</v>
      </c>
      <c r="B1303" t="s">
        <v>1878</v>
      </c>
      <c r="C1303" t="s">
        <v>1291</v>
      </c>
      <c r="D1303">
        <v>148000</v>
      </c>
      <c r="E1303">
        <v>10000</v>
      </c>
      <c r="F1303">
        <v>148000</v>
      </c>
      <c r="H1303">
        <v>3</v>
      </c>
      <c r="I1303" t="s">
        <v>89</v>
      </c>
      <c r="J1303">
        <v>25.36</v>
      </c>
      <c r="K1303">
        <v>0</v>
      </c>
      <c r="L1303">
        <v>8</v>
      </c>
      <c r="M1303" t="s">
        <v>1842</v>
      </c>
      <c r="N1303">
        <v>9</v>
      </c>
      <c r="O1303">
        <v>10.33</v>
      </c>
      <c r="P1303">
        <v>123574.88</v>
      </c>
      <c r="Q1303">
        <v>95329.65</v>
      </c>
      <c r="R1303">
        <v>637</v>
      </c>
      <c r="S1303">
        <v>1622</v>
      </c>
      <c r="T1303" t="s">
        <v>34</v>
      </c>
      <c r="U1303" t="s">
        <v>81</v>
      </c>
    </row>
    <row r="1304" spans="1:21">
      <c r="A1304" t="s">
        <v>2109</v>
      </c>
      <c r="B1304" t="s">
        <v>1878</v>
      </c>
      <c r="C1304" t="s">
        <v>1291</v>
      </c>
      <c r="D1304">
        <v>145000</v>
      </c>
      <c r="E1304">
        <v>10000</v>
      </c>
      <c r="F1304">
        <v>145000</v>
      </c>
      <c r="H1304">
        <v>3</v>
      </c>
      <c r="I1304" t="s">
        <v>89</v>
      </c>
      <c r="J1304">
        <v>25.57</v>
      </c>
      <c r="K1304">
        <v>0</v>
      </c>
      <c r="L1304">
        <v>8</v>
      </c>
      <c r="M1304" t="s">
        <v>1842</v>
      </c>
      <c r="N1304">
        <v>9</v>
      </c>
      <c r="O1304">
        <v>10.33</v>
      </c>
      <c r="P1304">
        <v>123574.88</v>
      </c>
      <c r="Q1304">
        <v>95329.65</v>
      </c>
      <c r="R1304">
        <v>637</v>
      </c>
      <c r="S1304">
        <v>1622</v>
      </c>
      <c r="T1304" t="s">
        <v>34</v>
      </c>
      <c r="U1304" t="s">
        <v>81</v>
      </c>
    </row>
    <row r="1305" spans="1:21">
      <c r="A1305" t="s">
        <v>2110</v>
      </c>
      <c r="B1305" t="s">
        <v>1878</v>
      </c>
      <c r="C1305" t="s">
        <v>1291</v>
      </c>
      <c r="D1305">
        <v>149000</v>
      </c>
      <c r="E1305">
        <v>10000</v>
      </c>
      <c r="F1305">
        <v>149000</v>
      </c>
      <c r="H1305">
        <v>4</v>
      </c>
      <c r="I1305" t="s">
        <v>89</v>
      </c>
      <c r="J1305">
        <v>25.36</v>
      </c>
      <c r="K1305">
        <v>0</v>
      </c>
      <c r="L1305">
        <v>8</v>
      </c>
      <c r="M1305" t="s">
        <v>1842</v>
      </c>
      <c r="N1305">
        <v>9</v>
      </c>
      <c r="O1305">
        <v>10.33</v>
      </c>
      <c r="P1305">
        <v>123574.88</v>
      </c>
      <c r="Q1305">
        <v>95329.65</v>
      </c>
      <c r="R1305">
        <v>637</v>
      </c>
      <c r="S1305">
        <v>1622</v>
      </c>
      <c r="T1305" t="s">
        <v>34</v>
      </c>
      <c r="U1305" t="s">
        <v>81</v>
      </c>
    </row>
    <row r="1306" spans="1:21">
      <c r="A1306" t="s">
        <v>2111</v>
      </c>
      <c r="B1306" t="s">
        <v>1878</v>
      </c>
      <c r="C1306" t="s">
        <v>1291</v>
      </c>
      <c r="D1306">
        <v>156000</v>
      </c>
      <c r="E1306">
        <v>10000</v>
      </c>
      <c r="F1306">
        <v>156000</v>
      </c>
      <c r="H1306">
        <v>5</v>
      </c>
      <c r="I1306" t="s">
        <v>89</v>
      </c>
      <c r="J1306">
        <v>25.36</v>
      </c>
      <c r="K1306">
        <v>0</v>
      </c>
      <c r="L1306">
        <v>8</v>
      </c>
      <c r="M1306" t="s">
        <v>1842</v>
      </c>
      <c r="N1306">
        <v>9</v>
      </c>
      <c r="O1306">
        <v>10.33</v>
      </c>
      <c r="P1306">
        <v>123574.88</v>
      </c>
      <c r="Q1306">
        <v>95329.65</v>
      </c>
      <c r="R1306">
        <v>637</v>
      </c>
      <c r="S1306">
        <v>1622</v>
      </c>
      <c r="T1306" t="s">
        <v>34</v>
      </c>
      <c r="U1306" t="s">
        <v>81</v>
      </c>
    </row>
    <row r="1307" spans="1:21">
      <c r="A1307" t="s">
        <v>2112</v>
      </c>
      <c r="B1307" t="s">
        <v>1878</v>
      </c>
      <c r="C1307" t="s">
        <v>1291</v>
      </c>
      <c r="D1307">
        <v>159000</v>
      </c>
      <c r="E1307">
        <v>10000</v>
      </c>
      <c r="F1307">
        <v>159000</v>
      </c>
      <c r="G1307">
        <v>159000</v>
      </c>
      <c r="H1307">
        <v>6</v>
      </c>
      <c r="I1307" t="s">
        <v>89</v>
      </c>
      <c r="J1307">
        <v>25.36</v>
      </c>
      <c r="K1307">
        <v>0</v>
      </c>
      <c r="L1307">
        <v>8</v>
      </c>
      <c r="M1307" t="s">
        <v>1842</v>
      </c>
      <c r="N1307">
        <v>9</v>
      </c>
      <c r="O1307">
        <v>10.33</v>
      </c>
      <c r="P1307">
        <v>123574.88</v>
      </c>
      <c r="Q1307">
        <v>95329.65</v>
      </c>
      <c r="R1307">
        <v>637</v>
      </c>
      <c r="S1307">
        <v>1622</v>
      </c>
      <c r="T1307" t="s">
        <v>34</v>
      </c>
      <c r="U1307" t="s">
        <v>81</v>
      </c>
    </row>
    <row r="1308" spans="1:21">
      <c r="A1308" t="s">
        <v>2113</v>
      </c>
      <c r="B1308" t="s">
        <v>2114</v>
      </c>
      <c r="C1308" t="s">
        <v>1743</v>
      </c>
      <c r="D1308">
        <v>61000</v>
      </c>
      <c r="E1308">
        <v>3000</v>
      </c>
      <c r="F1308">
        <v>61000</v>
      </c>
      <c r="H1308">
        <v>1</v>
      </c>
      <c r="I1308" t="s">
        <v>89</v>
      </c>
      <c r="J1308">
        <v>16</v>
      </c>
      <c r="K1308">
        <v>41</v>
      </c>
      <c r="L1308">
        <v>3</v>
      </c>
      <c r="M1308" t="s">
        <v>1842</v>
      </c>
      <c r="N1308">
        <v>13</v>
      </c>
      <c r="O1308">
        <v>13</v>
      </c>
      <c r="P1308">
        <v>123574.88</v>
      </c>
      <c r="Q1308">
        <v>95329.65</v>
      </c>
      <c r="R1308">
        <v>637</v>
      </c>
      <c r="S1308">
        <v>1622</v>
      </c>
      <c r="T1308" t="s">
        <v>108</v>
      </c>
      <c r="U1308" t="s">
        <v>42</v>
      </c>
    </row>
    <row r="1309" spans="1:21">
      <c r="A1309" t="s">
        <v>2115</v>
      </c>
      <c r="B1309" t="s">
        <v>2116</v>
      </c>
      <c r="C1309" t="s">
        <v>1291</v>
      </c>
      <c r="D1309">
        <v>63000</v>
      </c>
      <c r="E1309">
        <v>5000</v>
      </c>
      <c r="H1309">
        <v>3</v>
      </c>
      <c r="I1309" t="s">
        <v>89</v>
      </c>
      <c r="J1309">
        <v>16.739999999999998</v>
      </c>
      <c r="K1309">
        <v>42</v>
      </c>
      <c r="L1309">
        <v>3</v>
      </c>
      <c r="M1309" t="s">
        <v>1842</v>
      </c>
      <c r="N1309">
        <v>7</v>
      </c>
      <c r="O1309">
        <v>9.33</v>
      </c>
      <c r="P1309">
        <v>123574.88</v>
      </c>
      <c r="Q1309">
        <v>95329.65</v>
      </c>
      <c r="R1309">
        <v>637</v>
      </c>
      <c r="S1309">
        <v>1622</v>
      </c>
      <c r="T1309" t="s">
        <v>108</v>
      </c>
      <c r="U1309" t="s">
        <v>42</v>
      </c>
    </row>
    <row r="1310" spans="1:21">
      <c r="A1310" t="s">
        <v>2117</v>
      </c>
      <c r="B1310" t="s">
        <v>2118</v>
      </c>
      <c r="C1310" t="s">
        <v>1743</v>
      </c>
      <c r="D1310">
        <v>55000</v>
      </c>
      <c r="E1310">
        <v>2000</v>
      </c>
      <c r="F1310">
        <v>55000</v>
      </c>
      <c r="G1310">
        <v>55000</v>
      </c>
      <c r="H1310">
        <v>2</v>
      </c>
      <c r="I1310" t="s">
        <v>89</v>
      </c>
      <c r="J1310">
        <v>20.5</v>
      </c>
      <c r="K1310">
        <v>36</v>
      </c>
      <c r="L1310">
        <v>2</v>
      </c>
      <c r="M1310" t="s">
        <v>1842</v>
      </c>
      <c r="N1310">
        <v>10</v>
      </c>
      <c r="O1310">
        <v>12.33</v>
      </c>
      <c r="P1310">
        <v>123574.88</v>
      </c>
      <c r="Q1310">
        <v>95329.65</v>
      </c>
      <c r="R1310">
        <v>637</v>
      </c>
      <c r="S1310">
        <v>1622</v>
      </c>
      <c r="T1310" t="s">
        <v>34</v>
      </c>
      <c r="U1310" t="s">
        <v>49</v>
      </c>
    </row>
    <row r="1311" spans="1:21">
      <c r="A1311" t="s">
        <v>2119</v>
      </c>
      <c r="B1311" t="s">
        <v>2120</v>
      </c>
      <c r="C1311" t="s">
        <v>2033</v>
      </c>
      <c r="D1311">
        <v>92000</v>
      </c>
      <c r="G1311">
        <v>92000</v>
      </c>
      <c r="H1311">
        <v>1</v>
      </c>
      <c r="I1311" t="s">
        <v>89</v>
      </c>
      <c r="J1311">
        <v>20.25</v>
      </c>
      <c r="K1311">
        <v>21</v>
      </c>
      <c r="L1311">
        <v>5</v>
      </c>
      <c r="M1311" t="s">
        <v>1842</v>
      </c>
      <c r="N1311">
        <v>6</v>
      </c>
      <c r="O1311">
        <v>9.5</v>
      </c>
      <c r="P1311">
        <v>123574.88</v>
      </c>
      <c r="Q1311">
        <v>95329.65</v>
      </c>
      <c r="R1311">
        <v>637</v>
      </c>
      <c r="S1311">
        <v>1622</v>
      </c>
      <c r="T1311" t="s">
        <v>34</v>
      </c>
      <c r="U1311" t="s">
        <v>27</v>
      </c>
    </row>
    <row r="1312" spans="1:21">
      <c r="A1312" t="s">
        <v>2121</v>
      </c>
      <c r="B1312" t="s">
        <v>2122</v>
      </c>
      <c r="C1312" t="s">
        <v>2033</v>
      </c>
      <c r="D1312">
        <v>79000</v>
      </c>
      <c r="E1312">
        <v>19000</v>
      </c>
      <c r="H1312">
        <v>4</v>
      </c>
      <c r="I1312" t="s">
        <v>89</v>
      </c>
      <c r="J1312">
        <v>20.25</v>
      </c>
      <c r="K1312">
        <v>21</v>
      </c>
      <c r="L1312">
        <v>5</v>
      </c>
      <c r="M1312" t="s">
        <v>1842</v>
      </c>
      <c r="N1312">
        <v>6</v>
      </c>
      <c r="O1312">
        <v>15.33</v>
      </c>
      <c r="P1312">
        <v>123574.88</v>
      </c>
      <c r="Q1312">
        <v>95329.65</v>
      </c>
      <c r="R1312">
        <v>637</v>
      </c>
      <c r="S1312">
        <v>1622</v>
      </c>
      <c r="T1312" t="s">
        <v>34</v>
      </c>
      <c r="U1312" t="s">
        <v>27</v>
      </c>
    </row>
    <row r="1313" spans="1:21">
      <c r="A1313" t="s">
        <v>2123</v>
      </c>
      <c r="B1313" t="s">
        <v>2124</v>
      </c>
      <c r="C1313" t="s">
        <v>1857</v>
      </c>
      <c r="D1313">
        <v>164000</v>
      </c>
      <c r="E1313">
        <v>4000</v>
      </c>
      <c r="F1313">
        <v>164000</v>
      </c>
      <c r="H1313">
        <v>3</v>
      </c>
      <c r="I1313" t="s">
        <v>89</v>
      </c>
      <c r="J1313">
        <v>45.6</v>
      </c>
      <c r="K1313">
        <v>20</v>
      </c>
      <c r="L1313">
        <v>4</v>
      </c>
      <c r="M1313" t="s">
        <v>1842</v>
      </c>
      <c r="N1313">
        <v>9</v>
      </c>
      <c r="O1313">
        <v>14.67</v>
      </c>
      <c r="P1313">
        <v>123574.88</v>
      </c>
      <c r="Q1313">
        <v>95329.65</v>
      </c>
      <c r="R1313">
        <v>637</v>
      </c>
      <c r="S1313">
        <v>1622</v>
      </c>
      <c r="T1313" t="s">
        <v>326</v>
      </c>
      <c r="U1313" t="s">
        <v>90</v>
      </c>
    </row>
    <row r="1314" spans="1:21">
      <c r="A1314" t="s">
        <v>2123</v>
      </c>
      <c r="B1314" t="s">
        <v>2124</v>
      </c>
      <c r="C1314" t="s">
        <v>1857</v>
      </c>
      <c r="D1314">
        <v>164000</v>
      </c>
      <c r="E1314">
        <v>4000</v>
      </c>
      <c r="F1314">
        <v>164000</v>
      </c>
      <c r="H1314">
        <v>4</v>
      </c>
      <c r="I1314" t="s">
        <v>89</v>
      </c>
      <c r="J1314">
        <v>45.6</v>
      </c>
      <c r="K1314">
        <v>20</v>
      </c>
      <c r="L1314">
        <v>4</v>
      </c>
      <c r="M1314" t="s">
        <v>1842</v>
      </c>
      <c r="N1314">
        <v>9</v>
      </c>
      <c r="O1314">
        <v>14.67</v>
      </c>
      <c r="P1314">
        <v>123574.88</v>
      </c>
      <c r="Q1314">
        <v>95329.65</v>
      </c>
      <c r="R1314">
        <v>637</v>
      </c>
      <c r="S1314">
        <v>1622</v>
      </c>
      <c r="T1314" t="s">
        <v>326</v>
      </c>
      <c r="U1314" t="s">
        <v>90</v>
      </c>
    </row>
    <row r="1315" spans="1:21">
      <c r="A1315" t="s">
        <v>2125</v>
      </c>
      <c r="B1315" t="s">
        <v>2126</v>
      </c>
      <c r="C1315" t="s">
        <v>1887</v>
      </c>
      <c r="D1315">
        <v>90000</v>
      </c>
      <c r="E1315">
        <v>3000</v>
      </c>
      <c r="F1315">
        <v>90000</v>
      </c>
      <c r="G1315">
        <v>90000</v>
      </c>
      <c r="H1315">
        <v>2</v>
      </c>
      <c r="I1315" t="s">
        <v>89</v>
      </c>
      <c r="J1315">
        <v>24</v>
      </c>
      <c r="K1315">
        <v>19</v>
      </c>
      <c r="L1315">
        <v>3</v>
      </c>
      <c r="M1315" t="s">
        <v>1842</v>
      </c>
      <c r="N1315">
        <v>9</v>
      </c>
      <c r="O1315">
        <v>10.33</v>
      </c>
      <c r="P1315">
        <v>123574.88</v>
      </c>
      <c r="Q1315">
        <v>95329.65</v>
      </c>
      <c r="R1315">
        <v>637</v>
      </c>
      <c r="S1315">
        <v>1622</v>
      </c>
      <c r="T1315" t="s">
        <v>34</v>
      </c>
      <c r="U1315" t="s">
        <v>90</v>
      </c>
    </row>
    <row r="1316" spans="1:21">
      <c r="A1316" t="s">
        <v>2127</v>
      </c>
      <c r="B1316" t="s">
        <v>2128</v>
      </c>
      <c r="C1316" t="s">
        <v>1857</v>
      </c>
      <c r="D1316">
        <v>80000</v>
      </c>
      <c r="F1316">
        <v>80000</v>
      </c>
      <c r="G1316">
        <v>80000</v>
      </c>
      <c r="H1316">
        <v>2</v>
      </c>
      <c r="I1316" t="s">
        <v>89</v>
      </c>
      <c r="J1316">
        <v>23</v>
      </c>
      <c r="K1316">
        <v>57</v>
      </c>
      <c r="L1316">
        <v>2</v>
      </c>
      <c r="M1316" t="s">
        <v>1842</v>
      </c>
      <c r="N1316">
        <v>8</v>
      </c>
      <c r="O1316">
        <v>13</v>
      </c>
      <c r="P1316">
        <v>123574.88</v>
      </c>
      <c r="Q1316">
        <v>95329.65</v>
      </c>
      <c r="R1316">
        <v>637</v>
      </c>
      <c r="S1316">
        <v>1622</v>
      </c>
      <c r="T1316" t="s">
        <v>34</v>
      </c>
      <c r="U1316" t="s">
        <v>57</v>
      </c>
    </row>
    <row r="1317" spans="1:21">
      <c r="A1317" t="s">
        <v>2129</v>
      </c>
      <c r="B1317" t="s">
        <v>2130</v>
      </c>
      <c r="C1317" t="s">
        <v>1870</v>
      </c>
      <c r="D1317">
        <v>66000</v>
      </c>
      <c r="E1317">
        <v>5000</v>
      </c>
      <c r="F1317">
        <v>66000</v>
      </c>
      <c r="G1317">
        <v>66000</v>
      </c>
      <c r="H1317">
        <v>1</v>
      </c>
      <c r="I1317" t="s">
        <v>89</v>
      </c>
      <c r="J1317">
        <v>16.559999999999999</v>
      </c>
      <c r="K1317">
        <v>6</v>
      </c>
      <c r="L1317">
        <v>3</v>
      </c>
      <c r="M1317" t="s">
        <v>1842</v>
      </c>
      <c r="N1317">
        <v>4</v>
      </c>
      <c r="O1317">
        <v>9</v>
      </c>
      <c r="P1317">
        <v>123574.88</v>
      </c>
      <c r="Q1317">
        <v>95329.65</v>
      </c>
      <c r="R1317">
        <v>637</v>
      </c>
      <c r="S1317">
        <v>1622</v>
      </c>
      <c r="T1317" t="s">
        <v>108</v>
      </c>
      <c r="U1317" t="s">
        <v>31</v>
      </c>
    </row>
    <row r="1318" spans="1:21">
      <c r="A1318" t="s">
        <v>2131</v>
      </c>
      <c r="B1318" t="s">
        <v>2132</v>
      </c>
      <c r="C1318" t="s">
        <v>1310</v>
      </c>
      <c r="D1318">
        <v>55000</v>
      </c>
      <c r="E1318">
        <v>2000</v>
      </c>
      <c r="F1318">
        <v>55000</v>
      </c>
      <c r="G1318">
        <v>27500</v>
      </c>
      <c r="H1318">
        <v>1</v>
      </c>
      <c r="I1318" t="s">
        <v>89</v>
      </c>
      <c r="J1318">
        <v>18.239999999999998</v>
      </c>
      <c r="K1318">
        <v>38</v>
      </c>
      <c r="L1318">
        <v>2</v>
      </c>
      <c r="M1318" t="s">
        <v>1842</v>
      </c>
      <c r="N1318">
        <v>9</v>
      </c>
      <c r="O1318">
        <v>10.67</v>
      </c>
      <c r="P1318">
        <v>123574.88</v>
      </c>
      <c r="Q1318">
        <v>95329.65</v>
      </c>
      <c r="R1318">
        <v>637</v>
      </c>
      <c r="S1318">
        <v>1622</v>
      </c>
      <c r="T1318" t="s">
        <v>108</v>
      </c>
      <c r="U1318" t="s">
        <v>49</v>
      </c>
    </row>
    <row r="1319" spans="1:21">
      <c r="A1319" t="s">
        <v>2133</v>
      </c>
      <c r="B1319" t="s">
        <v>2134</v>
      </c>
      <c r="C1319" t="s">
        <v>1857</v>
      </c>
      <c r="D1319">
        <v>80000</v>
      </c>
      <c r="F1319">
        <v>80000</v>
      </c>
      <c r="G1319">
        <v>80000</v>
      </c>
      <c r="H1319">
        <v>2</v>
      </c>
      <c r="I1319" t="s">
        <v>89</v>
      </c>
      <c r="J1319">
        <v>24.75</v>
      </c>
      <c r="K1319">
        <v>57</v>
      </c>
      <c r="L1319">
        <v>2</v>
      </c>
      <c r="M1319" t="s">
        <v>1842</v>
      </c>
      <c r="N1319">
        <v>7</v>
      </c>
      <c r="O1319">
        <v>11.33</v>
      </c>
      <c r="P1319">
        <v>123574.88</v>
      </c>
      <c r="Q1319">
        <v>95329.65</v>
      </c>
      <c r="R1319">
        <v>637</v>
      </c>
      <c r="S1319">
        <v>1622</v>
      </c>
      <c r="T1319" t="s">
        <v>34</v>
      </c>
      <c r="U1319" t="s">
        <v>57</v>
      </c>
    </row>
    <row r="1320" spans="1:21">
      <c r="A1320" t="s">
        <v>2135</v>
      </c>
      <c r="B1320" t="s">
        <v>2136</v>
      </c>
      <c r="C1320" t="s">
        <v>1841</v>
      </c>
      <c r="D1320">
        <v>58000</v>
      </c>
      <c r="F1320">
        <v>58000</v>
      </c>
      <c r="G1320">
        <v>58000</v>
      </c>
      <c r="H1320">
        <v>3</v>
      </c>
      <c r="I1320" t="s">
        <v>89</v>
      </c>
      <c r="J1320">
        <v>18</v>
      </c>
      <c r="K1320">
        <v>39</v>
      </c>
      <c r="L1320">
        <v>4</v>
      </c>
      <c r="M1320" t="s">
        <v>1842</v>
      </c>
      <c r="N1320">
        <v>6</v>
      </c>
      <c r="O1320">
        <v>14.67</v>
      </c>
      <c r="P1320">
        <v>123574.88</v>
      </c>
      <c r="Q1320">
        <v>95329.65</v>
      </c>
      <c r="R1320">
        <v>637</v>
      </c>
      <c r="S1320">
        <v>1622</v>
      </c>
      <c r="T1320" t="s">
        <v>108</v>
      </c>
      <c r="U1320" t="s">
        <v>49</v>
      </c>
    </row>
    <row r="1321" spans="1:21">
      <c r="A1321" t="s">
        <v>2137</v>
      </c>
      <c r="B1321" t="s">
        <v>2138</v>
      </c>
      <c r="C1321" t="s">
        <v>1850</v>
      </c>
      <c r="D1321">
        <v>55000</v>
      </c>
      <c r="H1321">
        <v>2</v>
      </c>
      <c r="I1321" t="s">
        <v>89</v>
      </c>
      <c r="J1321">
        <v>18</v>
      </c>
      <c r="K1321">
        <v>32</v>
      </c>
      <c r="L1321">
        <v>4</v>
      </c>
      <c r="M1321" t="s">
        <v>1842</v>
      </c>
      <c r="N1321">
        <v>3</v>
      </c>
      <c r="O1321">
        <v>11.67</v>
      </c>
      <c r="P1321">
        <v>123574.88</v>
      </c>
      <c r="Q1321">
        <v>95329.65</v>
      </c>
      <c r="R1321">
        <v>637</v>
      </c>
      <c r="S1321">
        <v>1622</v>
      </c>
      <c r="T1321" t="s">
        <v>108</v>
      </c>
      <c r="U1321" t="s">
        <v>49</v>
      </c>
    </row>
    <row r="1322" spans="1:21">
      <c r="A1322" t="s">
        <v>2139</v>
      </c>
      <c r="B1322" t="s">
        <v>2140</v>
      </c>
      <c r="C1322" t="s">
        <v>1841</v>
      </c>
      <c r="D1322">
        <v>63000</v>
      </c>
      <c r="H1322">
        <v>3</v>
      </c>
      <c r="I1322" t="s">
        <v>89</v>
      </c>
      <c r="J1322">
        <v>20</v>
      </c>
      <c r="K1322">
        <v>54</v>
      </c>
      <c r="L1322">
        <v>5</v>
      </c>
      <c r="M1322" t="s">
        <v>1842</v>
      </c>
      <c r="N1322">
        <v>4</v>
      </c>
      <c r="O1322">
        <v>15</v>
      </c>
      <c r="P1322">
        <v>123574.88</v>
      </c>
      <c r="Q1322">
        <v>95329.65</v>
      </c>
      <c r="R1322">
        <v>637</v>
      </c>
      <c r="S1322">
        <v>1622</v>
      </c>
      <c r="T1322" t="s">
        <v>34</v>
      </c>
      <c r="U1322" t="s">
        <v>57</v>
      </c>
    </row>
    <row r="1323" spans="1:21">
      <c r="A1323" t="s">
        <v>2141</v>
      </c>
      <c r="B1323" t="s">
        <v>2142</v>
      </c>
      <c r="C1323" t="s">
        <v>1887</v>
      </c>
      <c r="D1323">
        <v>49000</v>
      </c>
      <c r="H1323">
        <v>1</v>
      </c>
      <c r="I1323" t="s">
        <v>89</v>
      </c>
      <c r="J1323">
        <v>18.2</v>
      </c>
      <c r="K1323">
        <v>46</v>
      </c>
      <c r="L1323">
        <v>2</v>
      </c>
      <c r="M1323" t="s">
        <v>1842</v>
      </c>
      <c r="N1323">
        <v>5</v>
      </c>
      <c r="O1323">
        <v>13.67</v>
      </c>
      <c r="P1323">
        <v>123574.88</v>
      </c>
      <c r="Q1323">
        <v>95329.65</v>
      </c>
      <c r="R1323">
        <v>637</v>
      </c>
      <c r="S1323">
        <v>1622</v>
      </c>
      <c r="T1323" t="s">
        <v>108</v>
      </c>
      <c r="U1323" t="s">
        <v>42</v>
      </c>
    </row>
    <row r="1324" spans="1:21">
      <c r="A1324" t="s">
        <v>2143</v>
      </c>
      <c r="B1324" t="s">
        <v>2144</v>
      </c>
      <c r="C1324" t="s">
        <v>1850</v>
      </c>
      <c r="D1324">
        <v>56000</v>
      </c>
      <c r="F1324">
        <v>56000</v>
      </c>
      <c r="G1324">
        <v>56000</v>
      </c>
      <c r="H1324">
        <v>3</v>
      </c>
      <c r="I1324" t="s">
        <v>89</v>
      </c>
      <c r="J1324">
        <v>18</v>
      </c>
      <c r="K1324">
        <v>48</v>
      </c>
      <c r="L1324">
        <v>3</v>
      </c>
      <c r="M1324" t="s">
        <v>1842</v>
      </c>
      <c r="N1324">
        <v>6</v>
      </c>
      <c r="O1324">
        <v>13.67</v>
      </c>
      <c r="P1324">
        <v>123574.88</v>
      </c>
      <c r="Q1324">
        <v>95329.65</v>
      </c>
      <c r="R1324">
        <v>637</v>
      </c>
      <c r="S1324">
        <v>1622</v>
      </c>
      <c r="T1324" t="s">
        <v>108</v>
      </c>
      <c r="U1324" t="s">
        <v>42</v>
      </c>
    </row>
    <row r="1325" spans="1:21">
      <c r="A1325" t="s">
        <v>2145</v>
      </c>
      <c r="B1325" t="s">
        <v>2144</v>
      </c>
      <c r="C1325" t="s">
        <v>1850</v>
      </c>
      <c r="D1325">
        <v>58000</v>
      </c>
      <c r="F1325">
        <v>58000</v>
      </c>
      <c r="G1325">
        <v>58000</v>
      </c>
      <c r="H1325">
        <v>3</v>
      </c>
      <c r="I1325" t="s">
        <v>89</v>
      </c>
      <c r="J1325">
        <v>18</v>
      </c>
      <c r="K1325">
        <v>48</v>
      </c>
      <c r="L1325">
        <v>3</v>
      </c>
      <c r="M1325" t="s">
        <v>1842</v>
      </c>
      <c r="N1325">
        <v>6</v>
      </c>
      <c r="O1325">
        <v>13.67</v>
      </c>
      <c r="P1325">
        <v>123574.88</v>
      </c>
      <c r="Q1325">
        <v>95329.65</v>
      </c>
      <c r="R1325">
        <v>637</v>
      </c>
      <c r="S1325">
        <v>1622</v>
      </c>
      <c r="T1325" t="s">
        <v>108</v>
      </c>
      <c r="U1325" t="s">
        <v>42</v>
      </c>
    </row>
    <row r="1326" spans="1:21">
      <c r="A1326" t="s">
        <v>2146</v>
      </c>
      <c r="B1326" t="s">
        <v>2147</v>
      </c>
      <c r="C1326" t="s">
        <v>1870</v>
      </c>
      <c r="D1326">
        <v>88000</v>
      </c>
      <c r="F1326">
        <v>88000</v>
      </c>
      <c r="G1326">
        <v>88000</v>
      </c>
      <c r="H1326">
        <v>3</v>
      </c>
      <c r="I1326" t="s">
        <v>89</v>
      </c>
      <c r="J1326">
        <v>25.8</v>
      </c>
      <c r="K1326">
        <v>23</v>
      </c>
      <c r="L1326">
        <v>4</v>
      </c>
      <c r="M1326" t="s">
        <v>1842</v>
      </c>
      <c r="N1326">
        <v>2</v>
      </c>
      <c r="O1326">
        <v>9.33</v>
      </c>
      <c r="P1326">
        <v>123574.88</v>
      </c>
      <c r="Q1326">
        <v>95329.65</v>
      </c>
      <c r="R1326">
        <v>637</v>
      </c>
      <c r="S1326">
        <v>1622</v>
      </c>
      <c r="T1326" t="s">
        <v>34</v>
      </c>
      <c r="U1326" t="s">
        <v>27</v>
      </c>
    </row>
    <row r="1327" spans="1:21">
      <c r="A1327" t="s">
        <v>2148</v>
      </c>
      <c r="B1327" t="s">
        <v>2149</v>
      </c>
      <c r="C1327" t="s">
        <v>1887</v>
      </c>
      <c r="D1327">
        <v>62000</v>
      </c>
      <c r="E1327">
        <v>3000</v>
      </c>
      <c r="F1327">
        <v>62000</v>
      </c>
      <c r="H1327">
        <v>3</v>
      </c>
      <c r="I1327" t="s">
        <v>89</v>
      </c>
      <c r="J1327">
        <v>22.2</v>
      </c>
      <c r="K1327">
        <v>49</v>
      </c>
      <c r="L1327">
        <v>5</v>
      </c>
      <c r="M1327" t="s">
        <v>1842</v>
      </c>
      <c r="N1327">
        <v>3</v>
      </c>
      <c r="O1327">
        <v>14</v>
      </c>
      <c r="P1327">
        <v>123574.88</v>
      </c>
      <c r="Q1327">
        <v>95329.65</v>
      </c>
      <c r="R1327">
        <v>637</v>
      </c>
      <c r="S1327">
        <v>1622</v>
      </c>
      <c r="T1327" t="s">
        <v>34</v>
      </c>
      <c r="U1327" t="s">
        <v>42</v>
      </c>
    </row>
    <row r="1328" spans="1:21">
      <c r="A1328" t="s">
        <v>2150</v>
      </c>
      <c r="B1328" t="s">
        <v>2151</v>
      </c>
      <c r="C1328" t="s">
        <v>1873</v>
      </c>
      <c r="D1328">
        <v>95000</v>
      </c>
      <c r="E1328">
        <v>4000</v>
      </c>
      <c r="F1328">
        <v>95000</v>
      </c>
      <c r="G1328">
        <v>95000</v>
      </c>
      <c r="H1328">
        <v>1</v>
      </c>
      <c r="I1328" t="s">
        <v>89</v>
      </c>
      <c r="J1328">
        <v>28.62</v>
      </c>
      <c r="K1328">
        <v>16</v>
      </c>
      <c r="L1328">
        <v>2</v>
      </c>
      <c r="M1328" t="s">
        <v>1842</v>
      </c>
      <c r="N1328">
        <v>5</v>
      </c>
      <c r="O1328">
        <v>9</v>
      </c>
      <c r="P1328">
        <v>123574.88</v>
      </c>
      <c r="Q1328">
        <v>95329.65</v>
      </c>
      <c r="R1328">
        <v>637</v>
      </c>
      <c r="S1328">
        <v>1622</v>
      </c>
      <c r="T1328" t="s">
        <v>34</v>
      </c>
      <c r="U1328" t="s">
        <v>90</v>
      </c>
    </row>
    <row r="1329" spans="1:21">
      <c r="A1329" t="s">
        <v>2152</v>
      </c>
      <c r="B1329" t="s">
        <v>2153</v>
      </c>
      <c r="C1329" t="s">
        <v>1850</v>
      </c>
      <c r="D1329">
        <v>83000</v>
      </c>
      <c r="E1329">
        <v>3000</v>
      </c>
      <c r="F1329">
        <v>83000</v>
      </c>
      <c r="G1329">
        <v>83000</v>
      </c>
      <c r="H1329">
        <v>2</v>
      </c>
      <c r="I1329" t="s">
        <v>89</v>
      </c>
      <c r="J1329">
        <v>22.97</v>
      </c>
      <c r="K1329">
        <v>18</v>
      </c>
      <c r="L1329">
        <v>2</v>
      </c>
      <c r="M1329" t="s">
        <v>1842</v>
      </c>
      <c r="N1329">
        <v>2</v>
      </c>
      <c r="O1329">
        <v>14.67</v>
      </c>
      <c r="P1329">
        <v>123574.88</v>
      </c>
      <c r="Q1329">
        <v>95329.65</v>
      </c>
      <c r="R1329">
        <v>637</v>
      </c>
      <c r="S1329">
        <v>1622</v>
      </c>
      <c r="T1329" t="s">
        <v>34</v>
      </c>
      <c r="U1329" t="s">
        <v>90</v>
      </c>
    </row>
    <row r="1330" spans="1:21">
      <c r="A1330" t="s">
        <v>2154</v>
      </c>
      <c r="B1330" t="s">
        <v>2155</v>
      </c>
      <c r="C1330" t="s">
        <v>2156</v>
      </c>
      <c r="D1330">
        <v>60000</v>
      </c>
      <c r="F1330">
        <v>60000</v>
      </c>
      <c r="G1330">
        <v>60000</v>
      </c>
      <c r="H1330">
        <v>1</v>
      </c>
      <c r="I1330" t="s">
        <v>89</v>
      </c>
      <c r="J1330">
        <v>17</v>
      </c>
      <c r="K1330">
        <v>23</v>
      </c>
      <c r="L1330">
        <v>2</v>
      </c>
      <c r="M1330" t="s">
        <v>1842</v>
      </c>
      <c r="N1330">
        <v>13</v>
      </c>
      <c r="O1330">
        <v>14.67</v>
      </c>
      <c r="P1330">
        <v>123574.88</v>
      </c>
      <c r="Q1330">
        <v>95329.65</v>
      </c>
      <c r="R1330">
        <v>637</v>
      </c>
      <c r="S1330">
        <v>1622</v>
      </c>
      <c r="T1330" t="s">
        <v>108</v>
      </c>
      <c r="U1330" t="s">
        <v>27</v>
      </c>
    </row>
    <row r="1331" spans="1:21">
      <c r="A1331" t="s">
        <v>2157</v>
      </c>
      <c r="B1331" t="s">
        <v>2158</v>
      </c>
      <c r="C1331" t="s">
        <v>2033</v>
      </c>
      <c r="D1331">
        <v>65000</v>
      </c>
      <c r="E1331">
        <v>1000</v>
      </c>
      <c r="F1331">
        <v>65000</v>
      </c>
      <c r="G1331">
        <v>65000</v>
      </c>
      <c r="H1331">
        <v>2</v>
      </c>
      <c r="I1331" t="s">
        <v>89</v>
      </c>
      <c r="J1331">
        <v>21</v>
      </c>
      <c r="K1331">
        <v>35</v>
      </c>
      <c r="L1331">
        <v>2</v>
      </c>
      <c r="M1331" t="s">
        <v>1842</v>
      </c>
      <c r="N1331">
        <v>8</v>
      </c>
      <c r="O1331">
        <v>12.67</v>
      </c>
      <c r="P1331">
        <v>123574.88</v>
      </c>
      <c r="Q1331">
        <v>95329.65</v>
      </c>
      <c r="R1331">
        <v>637</v>
      </c>
      <c r="S1331">
        <v>1622</v>
      </c>
      <c r="T1331" t="s">
        <v>34</v>
      </c>
      <c r="U1331" t="s">
        <v>49</v>
      </c>
    </row>
    <row r="1332" spans="1:21">
      <c r="A1332" t="s">
        <v>2159</v>
      </c>
      <c r="B1332" t="s">
        <v>1902</v>
      </c>
      <c r="C1332" t="s">
        <v>1857</v>
      </c>
      <c r="D1332">
        <v>65000</v>
      </c>
      <c r="E1332">
        <v>3000</v>
      </c>
      <c r="F1332">
        <v>65000</v>
      </c>
      <c r="G1332">
        <v>65000</v>
      </c>
      <c r="H1332">
        <v>1</v>
      </c>
      <c r="I1332" t="s">
        <v>89</v>
      </c>
      <c r="J1332">
        <v>19</v>
      </c>
      <c r="K1332">
        <v>46</v>
      </c>
      <c r="L1332">
        <v>2</v>
      </c>
      <c r="M1332" t="s">
        <v>1842</v>
      </c>
      <c r="N1332">
        <v>6</v>
      </c>
      <c r="O1332">
        <v>14</v>
      </c>
      <c r="P1332">
        <v>123574.88</v>
      </c>
      <c r="Q1332">
        <v>95329.65</v>
      </c>
      <c r="R1332">
        <v>637</v>
      </c>
      <c r="S1332">
        <v>1622</v>
      </c>
      <c r="T1332" t="s">
        <v>108</v>
      </c>
      <c r="U1332" t="s">
        <v>42</v>
      </c>
    </row>
    <row r="1333" spans="1:21">
      <c r="A1333" t="s">
        <v>2160</v>
      </c>
      <c r="B1333" t="s">
        <v>1902</v>
      </c>
      <c r="C1333" t="s">
        <v>1857</v>
      </c>
      <c r="D1333">
        <v>70000</v>
      </c>
      <c r="F1333">
        <v>70000</v>
      </c>
      <c r="H1333">
        <v>2</v>
      </c>
      <c r="I1333" t="s">
        <v>89</v>
      </c>
      <c r="J1333">
        <v>19</v>
      </c>
      <c r="K1333">
        <v>46</v>
      </c>
      <c r="L1333">
        <v>2</v>
      </c>
      <c r="M1333" t="s">
        <v>1842</v>
      </c>
      <c r="N1333">
        <v>10</v>
      </c>
      <c r="O1333">
        <v>14.33</v>
      </c>
      <c r="P1333">
        <v>123574.88</v>
      </c>
      <c r="Q1333">
        <v>95329.65</v>
      </c>
      <c r="R1333">
        <v>637</v>
      </c>
      <c r="S1333">
        <v>1622</v>
      </c>
      <c r="T1333" t="s">
        <v>108</v>
      </c>
      <c r="U1333" t="s">
        <v>42</v>
      </c>
    </row>
    <row r="1334" spans="1:21">
      <c r="A1334" t="s">
        <v>2161</v>
      </c>
      <c r="B1334" t="s">
        <v>2162</v>
      </c>
      <c r="C1334" t="s">
        <v>1743</v>
      </c>
      <c r="D1334">
        <v>62000</v>
      </c>
      <c r="E1334">
        <v>5000</v>
      </c>
      <c r="H1334">
        <v>2</v>
      </c>
      <c r="I1334" t="s">
        <v>89</v>
      </c>
      <c r="J1334">
        <v>17.399999999999999</v>
      </c>
      <c r="K1334">
        <v>55</v>
      </c>
      <c r="L1334">
        <v>2</v>
      </c>
      <c r="M1334" t="s">
        <v>1842</v>
      </c>
      <c r="N1334">
        <v>9</v>
      </c>
      <c r="O1334">
        <v>13</v>
      </c>
      <c r="P1334">
        <v>123574.88</v>
      </c>
      <c r="Q1334">
        <v>95329.65</v>
      </c>
      <c r="R1334">
        <v>637</v>
      </c>
      <c r="S1334">
        <v>1622</v>
      </c>
      <c r="T1334" t="s">
        <v>108</v>
      </c>
      <c r="U1334" t="s">
        <v>57</v>
      </c>
    </row>
    <row r="1335" spans="1:21">
      <c r="A1335" t="s">
        <v>2163</v>
      </c>
      <c r="B1335" t="s">
        <v>2164</v>
      </c>
      <c r="C1335" t="s">
        <v>1850</v>
      </c>
      <c r="D1335">
        <v>55000</v>
      </c>
      <c r="E1335">
        <v>2000</v>
      </c>
      <c r="F1335">
        <v>55000</v>
      </c>
      <c r="G1335">
        <v>55000</v>
      </c>
      <c r="H1335">
        <v>1</v>
      </c>
      <c r="I1335" t="s">
        <v>89</v>
      </c>
      <c r="J1335">
        <v>18</v>
      </c>
      <c r="K1335">
        <v>59</v>
      </c>
      <c r="L1335">
        <v>2</v>
      </c>
      <c r="M1335" t="s">
        <v>1842</v>
      </c>
      <c r="N1335">
        <v>2</v>
      </c>
      <c r="O1335">
        <v>12.67</v>
      </c>
      <c r="P1335">
        <v>123574.88</v>
      </c>
      <c r="Q1335">
        <v>95329.65</v>
      </c>
      <c r="R1335">
        <v>637</v>
      </c>
      <c r="S1335">
        <v>1622</v>
      </c>
      <c r="T1335" t="s">
        <v>108</v>
      </c>
      <c r="U1335" t="s">
        <v>57</v>
      </c>
    </row>
    <row r="1336" spans="1:21">
      <c r="A1336" t="s">
        <v>2165</v>
      </c>
      <c r="B1336" t="s">
        <v>2166</v>
      </c>
      <c r="C1336" t="s">
        <v>1890</v>
      </c>
      <c r="D1336">
        <v>83000</v>
      </c>
      <c r="E1336">
        <v>9000</v>
      </c>
      <c r="F1336">
        <v>83000</v>
      </c>
      <c r="G1336">
        <v>83000</v>
      </c>
      <c r="H1336">
        <v>1</v>
      </c>
      <c r="I1336" t="s">
        <v>89</v>
      </c>
      <c r="J1336">
        <v>21.72</v>
      </c>
      <c r="K1336">
        <v>10</v>
      </c>
      <c r="L1336">
        <v>3</v>
      </c>
      <c r="M1336" t="s">
        <v>1842</v>
      </c>
      <c r="N1336">
        <v>11</v>
      </c>
      <c r="O1336">
        <v>12</v>
      </c>
      <c r="P1336">
        <v>123574.88</v>
      </c>
      <c r="Q1336">
        <v>95329.65</v>
      </c>
      <c r="R1336">
        <v>637</v>
      </c>
      <c r="S1336">
        <v>1622</v>
      </c>
      <c r="T1336" t="s">
        <v>34</v>
      </c>
      <c r="U1336" t="s">
        <v>31</v>
      </c>
    </row>
    <row r="1337" spans="1:21">
      <c r="A1337" t="s">
        <v>2167</v>
      </c>
      <c r="B1337" t="s">
        <v>2168</v>
      </c>
      <c r="C1337" t="s">
        <v>1870</v>
      </c>
      <c r="D1337">
        <v>85000</v>
      </c>
      <c r="H1337">
        <v>1</v>
      </c>
      <c r="I1337" t="s">
        <v>89</v>
      </c>
      <c r="J1337">
        <v>23.18</v>
      </c>
      <c r="K1337">
        <v>17</v>
      </c>
      <c r="L1337">
        <v>3</v>
      </c>
      <c r="M1337" t="s">
        <v>1842</v>
      </c>
      <c r="N1337">
        <v>4</v>
      </c>
      <c r="O1337">
        <v>4</v>
      </c>
      <c r="P1337">
        <v>123574.88</v>
      </c>
      <c r="Q1337">
        <v>95329.65</v>
      </c>
      <c r="R1337">
        <v>637</v>
      </c>
      <c r="S1337">
        <v>1622</v>
      </c>
      <c r="T1337" t="s">
        <v>34</v>
      </c>
      <c r="U1337" t="s">
        <v>90</v>
      </c>
    </row>
    <row r="1338" spans="1:21">
      <c r="A1338" t="s">
        <v>2169</v>
      </c>
      <c r="B1338" t="s">
        <v>2170</v>
      </c>
      <c r="C1338" t="s">
        <v>1887</v>
      </c>
      <c r="D1338">
        <v>74000</v>
      </c>
      <c r="E1338">
        <v>4000</v>
      </c>
      <c r="F1338">
        <v>74000</v>
      </c>
      <c r="G1338">
        <v>74000</v>
      </c>
      <c r="H1338">
        <v>1</v>
      </c>
      <c r="I1338" t="s">
        <v>89</v>
      </c>
      <c r="J1338">
        <v>18.420000000000002</v>
      </c>
      <c r="K1338">
        <v>21</v>
      </c>
      <c r="L1338">
        <v>3</v>
      </c>
      <c r="M1338" t="s">
        <v>1842</v>
      </c>
      <c r="N1338">
        <v>5</v>
      </c>
      <c r="O1338">
        <v>11.67</v>
      </c>
      <c r="P1338">
        <v>123574.88</v>
      </c>
      <c r="Q1338">
        <v>95329.65</v>
      </c>
      <c r="R1338">
        <v>637</v>
      </c>
      <c r="S1338">
        <v>1622</v>
      </c>
      <c r="T1338" t="s">
        <v>108</v>
      </c>
      <c r="U1338" t="s">
        <v>27</v>
      </c>
    </row>
    <row r="1339" spans="1:21">
      <c r="A1339" t="s">
        <v>2171</v>
      </c>
      <c r="B1339" t="s">
        <v>2172</v>
      </c>
      <c r="C1339" t="s">
        <v>2033</v>
      </c>
      <c r="D1339">
        <v>98000</v>
      </c>
      <c r="E1339">
        <v>5000</v>
      </c>
      <c r="F1339">
        <v>98000</v>
      </c>
      <c r="G1339">
        <v>98000</v>
      </c>
      <c r="H1339">
        <v>3</v>
      </c>
      <c r="I1339" t="s">
        <v>89</v>
      </c>
      <c r="J1339">
        <v>31.49</v>
      </c>
      <c r="K1339">
        <v>24</v>
      </c>
      <c r="L1339">
        <v>3</v>
      </c>
      <c r="M1339" t="s">
        <v>1842</v>
      </c>
      <c r="N1339">
        <v>4</v>
      </c>
      <c r="O1339">
        <v>10.33</v>
      </c>
      <c r="P1339">
        <v>123574.88</v>
      </c>
      <c r="Q1339">
        <v>95329.65</v>
      </c>
      <c r="R1339">
        <v>637</v>
      </c>
      <c r="S1339">
        <v>1622</v>
      </c>
      <c r="T1339" t="s">
        <v>26</v>
      </c>
      <c r="U1339" t="s">
        <v>27</v>
      </c>
    </row>
    <row r="1340" spans="1:21">
      <c r="A1340" t="s">
        <v>2173</v>
      </c>
      <c r="B1340" t="s">
        <v>2174</v>
      </c>
      <c r="C1340" t="s">
        <v>1743</v>
      </c>
      <c r="D1340">
        <v>83000</v>
      </c>
      <c r="E1340">
        <v>3000</v>
      </c>
      <c r="H1340">
        <v>1</v>
      </c>
      <c r="I1340" t="s">
        <v>89</v>
      </c>
      <c r="J1340">
        <v>20.12</v>
      </c>
      <c r="K1340">
        <v>2</v>
      </c>
      <c r="L1340">
        <v>3</v>
      </c>
      <c r="M1340" t="s">
        <v>1842</v>
      </c>
      <c r="N1340">
        <v>10</v>
      </c>
      <c r="O1340">
        <v>13</v>
      </c>
      <c r="P1340">
        <v>123574.88</v>
      </c>
      <c r="Q1340">
        <v>95329.65</v>
      </c>
      <c r="R1340">
        <v>637</v>
      </c>
      <c r="S1340">
        <v>1622</v>
      </c>
      <c r="T1340" t="s">
        <v>34</v>
      </c>
      <c r="U1340" t="s">
        <v>31</v>
      </c>
    </row>
    <row r="1341" spans="1:21">
      <c r="A1341" t="s">
        <v>2175</v>
      </c>
      <c r="B1341" t="s">
        <v>2174</v>
      </c>
      <c r="C1341" t="s">
        <v>1743</v>
      </c>
      <c r="D1341">
        <v>80000</v>
      </c>
      <c r="E1341">
        <v>3000</v>
      </c>
      <c r="H1341">
        <v>1</v>
      </c>
      <c r="I1341" t="s">
        <v>89</v>
      </c>
      <c r="J1341">
        <v>20.12</v>
      </c>
      <c r="K1341">
        <v>2</v>
      </c>
      <c r="L1341">
        <v>3</v>
      </c>
      <c r="M1341" t="s">
        <v>1842</v>
      </c>
      <c r="N1341">
        <v>10</v>
      </c>
      <c r="O1341">
        <v>13</v>
      </c>
      <c r="P1341">
        <v>123574.88</v>
      </c>
      <c r="Q1341">
        <v>95329.65</v>
      </c>
      <c r="R1341">
        <v>637</v>
      </c>
      <c r="S1341">
        <v>1622</v>
      </c>
      <c r="T1341" t="s">
        <v>34</v>
      </c>
      <c r="U1341" t="s">
        <v>31</v>
      </c>
    </row>
    <row r="1342" spans="1:21">
      <c r="A1342" t="s">
        <v>2176</v>
      </c>
      <c r="B1342" t="s">
        <v>2174</v>
      </c>
      <c r="C1342" t="s">
        <v>1841</v>
      </c>
      <c r="D1342">
        <v>97500</v>
      </c>
      <c r="E1342">
        <v>4600</v>
      </c>
      <c r="G1342">
        <v>195000</v>
      </c>
      <c r="H1342">
        <v>2</v>
      </c>
      <c r="I1342" t="s">
        <v>89</v>
      </c>
      <c r="J1342">
        <v>23.34</v>
      </c>
      <c r="K1342">
        <v>2</v>
      </c>
      <c r="L1342">
        <v>3</v>
      </c>
      <c r="M1342" t="s">
        <v>1842</v>
      </c>
      <c r="N1342">
        <v>4</v>
      </c>
      <c r="O1342">
        <v>12</v>
      </c>
      <c r="P1342">
        <v>123574.88</v>
      </c>
      <c r="Q1342">
        <v>95329.65</v>
      </c>
      <c r="R1342">
        <v>637</v>
      </c>
      <c r="S1342">
        <v>1622</v>
      </c>
      <c r="T1342" t="s">
        <v>34</v>
      </c>
      <c r="U1342" t="s">
        <v>31</v>
      </c>
    </row>
    <row r="1343" spans="1:21">
      <c r="A1343" t="s">
        <v>2177</v>
      </c>
      <c r="B1343" t="s">
        <v>2174</v>
      </c>
      <c r="C1343" t="s">
        <v>1841</v>
      </c>
      <c r="D1343">
        <v>102000</v>
      </c>
      <c r="E1343">
        <v>4600</v>
      </c>
      <c r="G1343">
        <v>204000</v>
      </c>
      <c r="H1343">
        <v>2</v>
      </c>
      <c r="I1343" t="s">
        <v>89</v>
      </c>
      <c r="J1343">
        <v>26.69</v>
      </c>
      <c r="K1343">
        <v>2</v>
      </c>
      <c r="L1343">
        <v>3</v>
      </c>
      <c r="M1343" t="s">
        <v>1842</v>
      </c>
      <c r="N1343">
        <v>4</v>
      </c>
      <c r="O1343">
        <v>12</v>
      </c>
      <c r="P1343">
        <v>123574.88</v>
      </c>
      <c r="Q1343">
        <v>95329.65</v>
      </c>
      <c r="R1343">
        <v>637</v>
      </c>
      <c r="S1343">
        <v>1622</v>
      </c>
      <c r="T1343" t="s">
        <v>34</v>
      </c>
      <c r="U1343" t="s">
        <v>31</v>
      </c>
    </row>
    <row r="1344" spans="1:21">
      <c r="A1344" t="s">
        <v>2178</v>
      </c>
      <c r="B1344" t="s">
        <v>2179</v>
      </c>
      <c r="C1344" t="s">
        <v>1870</v>
      </c>
      <c r="D1344">
        <v>86000</v>
      </c>
      <c r="E1344">
        <v>3100</v>
      </c>
      <c r="F1344">
        <v>86000</v>
      </c>
      <c r="G1344">
        <v>86000</v>
      </c>
      <c r="H1344">
        <v>2</v>
      </c>
      <c r="I1344" t="s">
        <v>89</v>
      </c>
      <c r="J1344">
        <v>25.54</v>
      </c>
      <c r="K1344">
        <v>3</v>
      </c>
      <c r="L1344">
        <v>3</v>
      </c>
      <c r="M1344" t="s">
        <v>1842</v>
      </c>
      <c r="N1344">
        <v>5</v>
      </c>
      <c r="O1344">
        <v>10.33</v>
      </c>
      <c r="P1344">
        <v>123574.88</v>
      </c>
      <c r="Q1344">
        <v>95329.65</v>
      </c>
      <c r="R1344">
        <v>637</v>
      </c>
      <c r="S1344">
        <v>1622</v>
      </c>
      <c r="T1344" t="s">
        <v>34</v>
      </c>
      <c r="U1344" t="s">
        <v>31</v>
      </c>
    </row>
    <row r="1345" spans="1:21">
      <c r="A1345" t="s">
        <v>2180</v>
      </c>
      <c r="B1345" t="s">
        <v>2181</v>
      </c>
      <c r="C1345" t="s">
        <v>1850</v>
      </c>
      <c r="D1345">
        <v>105000</v>
      </c>
      <c r="E1345">
        <v>15000</v>
      </c>
      <c r="F1345">
        <v>105000</v>
      </c>
      <c r="G1345">
        <v>105000</v>
      </c>
      <c r="H1345">
        <v>2</v>
      </c>
      <c r="I1345" t="s">
        <v>89</v>
      </c>
      <c r="J1345">
        <v>25.71</v>
      </c>
      <c r="K1345">
        <v>9</v>
      </c>
      <c r="L1345">
        <v>3</v>
      </c>
      <c r="M1345" t="s">
        <v>1842</v>
      </c>
      <c r="N1345">
        <v>6</v>
      </c>
      <c r="O1345">
        <v>15.33</v>
      </c>
      <c r="P1345">
        <v>123574.88</v>
      </c>
      <c r="Q1345">
        <v>95329.65</v>
      </c>
      <c r="R1345">
        <v>637</v>
      </c>
      <c r="S1345">
        <v>1622</v>
      </c>
      <c r="T1345" t="s">
        <v>34</v>
      </c>
      <c r="U1345" t="s">
        <v>31</v>
      </c>
    </row>
    <row r="1346" spans="1:21">
      <c r="A1346" t="s">
        <v>2182</v>
      </c>
      <c r="B1346" t="s">
        <v>2181</v>
      </c>
      <c r="C1346" t="s">
        <v>1850</v>
      </c>
      <c r="D1346">
        <v>102000</v>
      </c>
      <c r="E1346">
        <v>15000</v>
      </c>
      <c r="F1346">
        <v>102000</v>
      </c>
      <c r="G1346">
        <v>102000</v>
      </c>
      <c r="H1346">
        <v>3</v>
      </c>
      <c r="I1346" t="s">
        <v>89</v>
      </c>
      <c r="J1346">
        <v>25.71</v>
      </c>
      <c r="K1346">
        <v>9</v>
      </c>
      <c r="L1346">
        <v>3</v>
      </c>
      <c r="M1346" t="s">
        <v>1842</v>
      </c>
      <c r="N1346">
        <v>6</v>
      </c>
      <c r="O1346">
        <v>15.33</v>
      </c>
      <c r="P1346">
        <v>123574.88</v>
      </c>
      <c r="Q1346">
        <v>95329.65</v>
      </c>
      <c r="R1346">
        <v>637</v>
      </c>
      <c r="S1346">
        <v>1622</v>
      </c>
      <c r="T1346" t="s">
        <v>34</v>
      </c>
      <c r="U1346" t="s">
        <v>31</v>
      </c>
    </row>
    <row r="1347" spans="1:21">
      <c r="A1347" t="s">
        <v>2183</v>
      </c>
      <c r="B1347" t="s">
        <v>2184</v>
      </c>
      <c r="C1347" t="s">
        <v>1857</v>
      </c>
      <c r="D1347">
        <v>69000</v>
      </c>
      <c r="F1347">
        <v>69000</v>
      </c>
      <c r="H1347">
        <v>1</v>
      </c>
      <c r="I1347" t="s">
        <v>89</v>
      </c>
      <c r="J1347">
        <v>17.399999999999999</v>
      </c>
      <c r="K1347">
        <v>20</v>
      </c>
      <c r="L1347">
        <v>4</v>
      </c>
      <c r="M1347" t="s">
        <v>1842</v>
      </c>
      <c r="N1347">
        <v>8</v>
      </c>
      <c r="O1347">
        <v>14</v>
      </c>
      <c r="P1347">
        <v>123574.88</v>
      </c>
      <c r="Q1347">
        <v>95329.65</v>
      </c>
      <c r="R1347">
        <v>637</v>
      </c>
      <c r="S1347">
        <v>1622</v>
      </c>
      <c r="T1347" t="s">
        <v>108</v>
      </c>
      <c r="U1347" t="s">
        <v>90</v>
      </c>
    </row>
    <row r="1348" spans="1:21">
      <c r="A1348" t="s">
        <v>2185</v>
      </c>
      <c r="B1348" t="s">
        <v>1913</v>
      </c>
      <c r="C1348" t="s">
        <v>1841</v>
      </c>
      <c r="D1348">
        <v>117000</v>
      </c>
      <c r="E1348">
        <v>10000</v>
      </c>
      <c r="F1348">
        <v>117000</v>
      </c>
      <c r="H1348">
        <v>2</v>
      </c>
      <c r="I1348" t="s">
        <v>89</v>
      </c>
      <c r="J1348">
        <v>25.6</v>
      </c>
      <c r="K1348">
        <v>2</v>
      </c>
      <c r="L1348">
        <v>4</v>
      </c>
      <c r="M1348" t="s">
        <v>1842</v>
      </c>
      <c r="N1348">
        <v>3</v>
      </c>
      <c r="O1348">
        <v>12</v>
      </c>
      <c r="P1348">
        <v>123574.88</v>
      </c>
      <c r="Q1348">
        <v>95329.65</v>
      </c>
      <c r="R1348">
        <v>637</v>
      </c>
      <c r="S1348">
        <v>1622</v>
      </c>
      <c r="T1348" t="s">
        <v>34</v>
      </c>
      <c r="U1348" t="s">
        <v>31</v>
      </c>
    </row>
    <row r="1349" spans="1:21">
      <c r="A1349" t="s">
        <v>2186</v>
      </c>
      <c r="B1349" t="s">
        <v>2187</v>
      </c>
      <c r="C1349" t="s">
        <v>1870</v>
      </c>
      <c r="D1349">
        <v>119000</v>
      </c>
      <c r="E1349">
        <v>8000</v>
      </c>
      <c r="H1349">
        <v>2</v>
      </c>
      <c r="I1349" t="s">
        <v>89</v>
      </c>
      <c r="J1349">
        <v>25.3</v>
      </c>
      <c r="K1349">
        <v>3</v>
      </c>
      <c r="L1349">
        <v>4</v>
      </c>
      <c r="M1349" t="s">
        <v>1842</v>
      </c>
      <c r="N1349">
        <v>5</v>
      </c>
      <c r="O1349">
        <v>10.33</v>
      </c>
      <c r="P1349">
        <v>123574.88</v>
      </c>
      <c r="Q1349">
        <v>95329.65</v>
      </c>
      <c r="R1349">
        <v>637</v>
      </c>
      <c r="S1349">
        <v>1622</v>
      </c>
      <c r="T1349" t="s">
        <v>34</v>
      </c>
      <c r="U1349" t="s">
        <v>31</v>
      </c>
    </row>
    <row r="1350" spans="1:21">
      <c r="A1350" t="s">
        <v>2188</v>
      </c>
      <c r="B1350" t="s">
        <v>2189</v>
      </c>
      <c r="C1350" t="s">
        <v>688</v>
      </c>
      <c r="D1350">
        <v>105000</v>
      </c>
      <c r="E1350">
        <v>5000</v>
      </c>
      <c r="F1350">
        <v>52500</v>
      </c>
      <c r="G1350">
        <v>105000</v>
      </c>
      <c r="H1350">
        <v>2</v>
      </c>
      <c r="I1350" t="s">
        <v>89</v>
      </c>
      <c r="J1350">
        <v>29.06</v>
      </c>
      <c r="K1350">
        <v>4</v>
      </c>
      <c r="L1350">
        <v>4</v>
      </c>
      <c r="M1350" t="s">
        <v>1842</v>
      </c>
      <c r="N1350">
        <v>5</v>
      </c>
      <c r="O1350">
        <v>13.67</v>
      </c>
      <c r="P1350">
        <v>123574.88</v>
      </c>
      <c r="Q1350">
        <v>95329.65</v>
      </c>
      <c r="R1350">
        <v>637</v>
      </c>
      <c r="S1350">
        <v>1622</v>
      </c>
      <c r="T1350" t="s">
        <v>34</v>
      </c>
      <c r="U1350" t="s">
        <v>31</v>
      </c>
    </row>
    <row r="1351" spans="1:21">
      <c r="A1351" t="s">
        <v>2190</v>
      </c>
      <c r="B1351" t="s">
        <v>2189</v>
      </c>
      <c r="C1351" t="s">
        <v>688</v>
      </c>
      <c r="D1351">
        <v>105000</v>
      </c>
      <c r="E1351">
        <v>5000</v>
      </c>
      <c r="F1351">
        <v>52500</v>
      </c>
      <c r="G1351">
        <v>105000</v>
      </c>
      <c r="H1351">
        <v>3</v>
      </c>
      <c r="I1351" t="s">
        <v>89</v>
      </c>
      <c r="J1351">
        <v>29.39</v>
      </c>
      <c r="K1351">
        <v>4</v>
      </c>
      <c r="L1351">
        <v>4</v>
      </c>
      <c r="M1351" t="s">
        <v>1842</v>
      </c>
      <c r="N1351">
        <v>5</v>
      </c>
      <c r="O1351">
        <v>13.67</v>
      </c>
      <c r="P1351">
        <v>123574.88</v>
      </c>
      <c r="Q1351">
        <v>95329.65</v>
      </c>
      <c r="R1351">
        <v>637</v>
      </c>
      <c r="S1351">
        <v>1622</v>
      </c>
      <c r="T1351" t="s">
        <v>34</v>
      </c>
      <c r="U1351" t="s">
        <v>31</v>
      </c>
    </row>
    <row r="1352" spans="1:21">
      <c r="A1352" t="s">
        <v>2191</v>
      </c>
      <c r="B1352" t="s">
        <v>2192</v>
      </c>
      <c r="C1352" t="s">
        <v>1887</v>
      </c>
      <c r="D1352">
        <v>109000</v>
      </c>
      <c r="E1352">
        <v>9000</v>
      </c>
      <c r="G1352">
        <v>109000</v>
      </c>
      <c r="H1352">
        <v>2</v>
      </c>
      <c r="I1352" t="s">
        <v>89</v>
      </c>
      <c r="J1352">
        <v>25.91</v>
      </c>
      <c r="K1352">
        <v>6</v>
      </c>
      <c r="L1352">
        <v>4</v>
      </c>
      <c r="M1352" t="s">
        <v>1842</v>
      </c>
      <c r="N1352">
        <v>6</v>
      </c>
      <c r="O1352">
        <v>9.33</v>
      </c>
      <c r="P1352">
        <v>123574.88</v>
      </c>
      <c r="Q1352">
        <v>95329.65</v>
      </c>
      <c r="R1352">
        <v>637</v>
      </c>
      <c r="S1352">
        <v>1622</v>
      </c>
      <c r="T1352" t="s">
        <v>34</v>
      </c>
      <c r="U1352" t="s">
        <v>31</v>
      </c>
    </row>
    <row r="1353" spans="1:21">
      <c r="A1353" t="s">
        <v>2193</v>
      </c>
      <c r="B1353" t="s">
        <v>2192</v>
      </c>
      <c r="C1353" t="s">
        <v>1887</v>
      </c>
      <c r="D1353">
        <v>109000</v>
      </c>
      <c r="E1353">
        <v>9000</v>
      </c>
      <c r="G1353">
        <v>109000</v>
      </c>
      <c r="H1353">
        <v>3</v>
      </c>
      <c r="I1353" t="s">
        <v>89</v>
      </c>
      <c r="J1353">
        <v>25.91</v>
      </c>
      <c r="K1353">
        <v>6</v>
      </c>
      <c r="L1353">
        <v>4</v>
      </c>
      <c r="M1353" t="s">
        <v>1842</v>
      </c>
      <c r="N1353">
        <v>6</v>
      </c>
      <c r="O1353">
        <v>9.33</v>
      </c>
      <c r="P1353">
        <v>123574.88</v>
      </c>
      <c r="Q1353">
        <v>95329.65</v>
      </c>
      <c r="R1353">
        <v>637</v>
      </c>
      <c r="S1353">
        <v>1622</v>
      </c>
      <c r="T1353" t="s">
        <v>34</v>
      </c>
      <c r="U1353" t="s">
        <v>31</v>
      </c>
    </row>
    <row r="1354" spans="1:21">
      <c r="A1354" t="s">
        <v>2194</v>
      </c>
      <c r="B1354" t="s">
        <v>2195</v>
      </c>
      <c r="C1354" t="s">
        <v>2033</v>
      </c>
      <c r="D1354">
        <v>78000</v>
      </c>
      <c r="E1354">
        <v>12000</v>
      </c>
      <c r="G1354">
        <v>78000</v>
      </c>
      <c r="H1354">
        <v>1</v>
      </c>
      <c r="I1354" t="s">
        <v>89</v>
      </c>
      <c r="J1354">
        <v>20.25</v>
      </c>
      <c r="K1354">
        <v>21</v>
      </c>
      <c r="L1354">
        <v>5</v>
      </c>
      <c r="M1354" t="s">
        <v>1842</v>
      </c>
      <c r="N1354">
        <v>6</v>
      </c>
      <c r="O1354">
        <v>11</v>
      </c>
      <c r="P1354">
        <v>123574.88</v>
      </c>
      <c r="Q1354">
        <v>95329.65</v>
      </c>
      <c r="R1354">
        <v>637</v>
      </c>
      <c r="S1354">
        <v>1622</v>
      </c>
      <c r="T1354" t="s">
        <v>34</v>
      </c>
      <c r="U1354" t="s">
        <v>27</v>
      </c>
    </row>
    <row r="1355" spans="1:21">
      <c r="A1355" t="s">
        <v>2196</v>
      </c>
      <c r="B1355" t="s">
        <v>2197</v>
      </c>
      <c r="C1355" t="s">
        <v>1743</v>
      </c>
      <c r="D1355">
        <v>112300</v>
      </c>
      <c r="E1355">
        <v>10700</v>
      </c>
      <c r="F1355">
        <v>112300</v>
      </c>
      <c r="G1355">
        <v>112300</v>
      </c>
      <c r="H1355">
        <v>4</v>
      </c>
      <c r="I1355" t="s">
        <v>89</v>
      </c>
      <c r="J1355">
        <v>29.41</v>
      </c>
      <c r="K1355">
        <v>5</v>
      </c>
      <c r="L1355">
        <v>5</v>
      </c>
      <c r="M1355" t="s">
        <v>1842</v>
      </c>
      <c r="N1355">
        <v>10</v>
      </c>
      <c r="O1355">
        <v>16.329999999999998</v>
      </c>
      <c r="P1355">
        <v>123574.88</v>
      </c>
      <c r="Q1355">
        <v>95329.65</v>
      </c>
      <c r="R1355">
        <v>637</v>
      </c>
      <c r="S1355">
        <v>1622</v>
      </c>
      <c r="T1355" t="s">
        <v>34</v>
      </c>
      <c r="U1355" t="s">
        <v>31</v>
      </c>
    </row>
    <row r="1356" spans="1:21">
      <c r="A1356" t="s">
        <v>2198</v>
      </c>
      <c r="B1356" t="s">
        <v>2199</v>
      </c>
      <c r="C1356" t="s">
        <v>688</v>
      </c>
      <c r="D1356">
        <v>63000</v>
      </c>
      <c r="E1356">
        <v>3000</v>
      </c>
      <c r="H1356">
        <v>2</v>
      </c>
      <c r="I1356" t="s">
        <v>89</v>
      </c>
      <c r="J1356">
        <v>22.05</v>
      </c>
      <c r="K1356">
        <v>61</v>
      </c>
      <c r="L1356">
        <v>5</v>
      </c>
      <c r="M1356" t="s">
        <v>1842</v>
      </c>
      <c r="N1356">
        <v>4</v>
      </c>
      <c r="O1356">
        <v>11.67</v>
      </c>
      <c r="P1356">
        <v>123574.88</v>
      </c>
      <c r="Q1356">
        <v>95329.65</v>
      </c>
      <c r="R1356">
        <v>637</v>
      </c>
      <c r="S1356">
        <v>1622</v>
      </c>
      <c r="T1356" t="s">
        <v>34</v>
      </c>
      <c r="U1356" t="s">
        <v>38</v>
      </c>
    </row>
    <row r="1357" spans="1:21">
      <c r="A1357" t="s">
        <v>2200</v>
      </c>
      <c r="B1357" t="s">
        <v>2201</v>
      </c>
      <c r="C1357" t="s">
        <v>1873</v>
      </c>
      <c r="D1357">
        <v>87000</v>
      </c>
      <c r="G1357">
        <v>87000</v>
      </c>
      <c r="H1357">
        <v>2</v>
      </c>
      <c r="I1357" t="s">
        <v>89</v>
      </c>
      <c r="J1357">
        <v>20.329999999999998</v>
      </c>
      <c r="K1357">
        <v>17</v>
      </c>
      <c r="L1357">
        <v>6</v>
      </c>
      <c r="M1357" t="s">
        <v>1842</v>
      </c>
      <c r="N1357">
        <v>8</v>
      </c>
      <c r="O1357">
        <v>17</v>
      </c>
      <c r="P1357">
        <v>123574.88</v>
      </c>
      <c r="Q1357">
        <v>95329.65</v>
      </c>
      <c r="R1357">
        <v>637</v>
      </c>
      <c r="S1357">
        <v>1622</v>
      </c>
      <c r="T1357" t="s">
        <v>34</v>
      </c>
      <c r="U1357" t="s">
        <v>90</v>
      </c>
    </row>
    <row r="1358" spans="1:21">
      <c r="A1358" t="s">
        <v>2202</v>
      </c>
      <c r="B1358" t="s">
        <v>2203</v>
      </c>
      <c r="C1358" t="s">
        <v>1291</v>
      </c>
      <c r="D1358">
        <v>87000</v>
      </c>
      <c r="E1358">
        <v>7000</v>
      </c>
      <c r="F1358">
        <v>87000</v>
      </c>
      <c r="G1358">
        <v>87000</v>
      </c>
      <c r="H1358">
        <v>3</v>
      </c>
      <c r="I1358" t="s">
        <v>89</v>
      </c>
      <c r="J1358">
        <v>23.24</v>
      </c>
      <c r="K1358">
        <v>20</v>
      </c>
      <c r="L1358">
        <v>6</v>
      </c>
      <c r="M1358" t="s">
        <v>1842</v>
      </c>
      <c r="N1358">
        <v>9</v>
      </c>
      <c r="O1358">
        <v>10.33</v>
      </c>
      <c r="P1358">
        <v>123574.88</v>
      </c>
      <c r="Q1358">
        <v>95329.65</v>
      </c>
      <c r="R1358">
        <v>637</v>
      </c>
      <c r="S1358">
        <v>1622</v>
      </c>
      <c r="T1358" t="s">
        <v>34</v>
      </c>
      <c r="U1358" t="s">
        <v>90</v>
      </c>
    </row>
    <row r="1359" spans="1:21">
      <c r="A1359" t="s">
        <v>2204</v>
      </c>
      <c r="B1359" t="s">
        <v>2205</v>
      </c>
      <c r="C1359" t="s">
        <v>1291</v>
      </c>
      <c r="D1359">
        <v>92000</v>
      </c>
      <c r="E1359">
        <v>10000</v>
      </c>
      <c r="G1359">
        <v>92000</v>
      </c>
      <c r="H1359">
        <v>1</v>
      </c>
      <c r="I1359" t="s">
        <v>89</v>
      </c>
      <c r="J1359">
        <v>27.89</v>
      </c>
      <c r="K1359">
        <v>22</v>
      </c>
      <c r="L1359">
        <v>7</v>
      </c>
      <c r="M1359" t="s">
        <v>1842</v>
      </c>
      <c r="N1359">
        <v>8</v>
      </c>
      <c r="O1359">
        <v>10.33</v>
      </c>
      <c r="P1359">
        <v>123574.88</v>
      </c>
      <c r="Q1359">
        <v>95329.65</v>
      </c>
      <c r="R1359">
        <v>637</v>
      </c>
      <c r="S1359">
        <v>1622</v>
      </c>
      <c r="T1359" t="s">
        <v>34</v>
      </c>
      <c r="U1359" t="s">
        <v>27</v>
      </c>
    </row>
    <row r="1360" spans="1:21">
      <c r="A1360" t="s">
        <v>2206</v>
      </c>
      <c r="B1360" t="s">
        <v>2205</v>
      </c>
      <c r="C1360" t="s">
        <v>1291</v>
      </c>
      <c r="D1360">
        <v>90000</v>
      </c>
      <c r="E1360">
        <v>5000</v>
      </c>
      <c r="G1360">
        <v>90000</v>
      </c>
      <c r="H1360">
        <v>5</v>
      </c>
      <c r="I1360" t="s">
        <v>89</v>
      </c>
      <c r="J1360">
        <v>20.95</v>
      </c>
      <c r="K1360">
        <v>22</v>
      </c>
      <c r="L1360">
        <v>7</v>
      </c>
      <c r="M1360" t="s">
        <v>1842</v>
      </c>
      <c r="N1360">
        <v>8</v>
      </c>
      <c r="O1360">
        <v>10.33</v>
      </c>
      <c r="P1360">
        <v>123574.88</v>
      </c>
      <c r="Q1360">
        <v>95329.65</v>
      </c>
      <c r="R1360">
        <v>637</v>
      </c>
      <c r="S1360">
        <v>1622</v>
      </c>
      <c r="T1360" t="s">
        <v>34</v>
      </c>
      <c r="U1360" t="s">
        <v>27</v>
      </c>
    </row>
    <row r="1361" spans="1:21">
      <c r="A1361" t="s">
        <v>2207</v>
      </c>
      <c r="B1361" t="s">
        <v>2208</v>
      </c>
      <c r="C1361" t="s">
        <v>1841</v>
      </c>
      <c r="D1361">
        <v>87000</v>
      </c>
      <c r="E1361">
        <v>5000</v>
      </c>
      <c r="G1361">
        <v>87000</v>
      </c>
      <c r="H1361">
        <v>4</v>
      </c>
      <c r="I1361" t="s">
        <v>89</v>
      </c>
      <c r="J1361">
        <v>19.95</v>
      </c>
      <c r="K1361">
        <v>26</v>
      </c>
      <c r="L1361">
        <v>7</v>
      </c>
      <c r="M1361" t="s">
        <v>1842</v>
      </c>
      <c r="N1361">
        <v>8</v>
      </c>
      <c r="O1361">
        <v>14.67</v>
      </c>
      <c r="P1361">
        <v>123574.88</v>
      </c>
      <c r="Q1361">
        <v>95329.65</v>
      </c>
      <c r="R1361">
        <v>637</v>
      </c>
      <c r="S1361">
        <v>1622</v>
      </c>
      <c r="T1361" t="s">
        <v>108</v>
      </c>
      <c r="U1361" t="s">
        <v>27</v>
      </c>
    </row>
    <row r="1362" spans="1:21">
      <c r="A1362" t="s">
        <v>2209</v>
      </c>
      <c r="B1362" t="s">
        <v>2210</v>
      </c>
      <c r="C1362" t="s">
        <v>1743</v>
      </c>
      <c r="D1362">
        <v>81000</v>
      </c>
      <c r="E1362">
        <v>8000</v>
      </c>
      <c r="G1362">
        <v>81000</v>
      </c>
      <c r="H1362">
        <v>1</v>
      </c>
      <c r="I1362" t="s">
        <v>89</v>
      </c>
      <c r="J1362">
        <v>21</v>
      </c>
      <c r="K1362">
        <v>15</v>
      </c>
      <c r="L1362">
        <v>8</v>
      </c>
      <c r="M1362" t="s">
        <v>1842</v>
      </c>
      <c r="N1362">
        <v>8</v>
      </c>
      <c r="O1362">
        <v>13.33</v>
      </c>
      <c r="P1362">
        <v>123574.88</v>
      </c>
      <c r="Q1362">
        <v>95329.65</v>
      </c>
      <c r="R1362">
        <v>637</v>
      </c>
      <c r="S1362">
        <v>1622</v>
      </c>
      <c r="T1362" t="s">
        <v>34</v>
      </c>
      <c r="U1362" t="s">
        <v>90</v>
      </c>
    </row>
    <row r="1363" spans="1:21">
      <c r="A1363" t="s">
        <v>2211</v>
      </c>
      <c r="B1363" t="s">
        <v>1919</v>
      </c>
      <c r="C1363" t="s">
        <v>1743</v>
      </c>
      <c r="D1363">
        <v>97000</v>
      </c>
      <c r="E1363">
        <v>10000</v>
      </c>
      <c r="F1363">
        <v>97000</v>
      </c>
      <c r="G1363">
        <v>97000</v>
      </c>
      <c r="H1363">
        <v>1</v>
      </c>
      <c r="I1363" t="s">
        <v>89</v>
      </c>
      <c r="J1363">
        <v>27.26</v>
      </c>
      <c r="K1363">
        <v>17</v>
      </c>
      <c r="L1363">
        <v>8</v>
      </c>
      <c r="M1363" t="s">
        <v>1842</v>
      </c>
      <c r="N1363">
        <v>10</v>
      </c>
      <c r="O1363">
        <v>17</v>
      </c>
      <c r="P1363">
        <v>123574.88</v>
      </c>
      <c r="Q1363">
        <v>95329.65</v>
      </c>
      <c r="R1363">
        <v>637</v>
      </c>
      <c r="S1363">
        <v>1622</v>
      </c>
      <c r="T1363" t="s">
        <v>34</v>
      </c>
      <c r="U1363" t="s">
        <v>90</v>
      </c>
    </row>
    <row r="1364" spans="1:21">
      <c r="A1364" t="s">
        <v>2212</v>
      </c>
      <c r="B1364" t="s">
        <v>1919</v>
      </c>
      <c r="C1364" t="s">
        <v>1743</v>
      </c>
      <c r="D1364">
        <v>97000</v>
      </c>
      <c r="E1364">
        <v>10000</v>
      </c>
      <c r="F1364">
        <v>97000</v>
      </c>
      <c r="G1364">
        <v>97000</v>
      </c>
      <c r="H1364">
        <v>8</v>
      </c>
      <c r="I1364" t="s">
        <v>89</v>
      </c>
      <c r="J1364">
        <v>22.87</v>
      </c>
      <c r="K1364">
        <v>17</v>
      </c>
      <c r="L1364">
        <v>8</v>
      </c>
      <c r="M1364" t="s">
        <v>1842</v>
      </c>
      <c r="N1364">
        <v>10</v>
      </c>
      <c r="O1364">
        <v>17</v>
      </c>
      <c r="P1364">
        <v>123574.88</v>
      </c>
      <c r="Q1364">
        <v>95329.65</v>
      </c>
      <c r="R1364">
        <v>637</v>
      </c>
      <c r="S1364">
        <v>1622</v>
      </c>
      <c r="T1364" t="s">
        <v>34</v>
      </c>
      <c r="U1364" t="s">
        <v>90</v>
      </c>
    </row>
    <row r="1365" spans="1:21">
      <c r="A1365" t="s">
        <v>2213</v>
      </c>
      <c r="B1365" t="s">
        <v>2214</v>
      </c>
      <c r="C1365" t="s">
        <v>1887</v>
      </c>
      <c r="D1365">
        <v>98000</v>
      </c>
      <c r="E1365">
        <v>7000</v>
      </c>
      <c r="F1365">
        <v>98000</v>
      </c>
      <c r="G1365">
        <v>98000</v>
      </c>
      <c r="H1365">
        <v>-1</v>
      </c>
      <c r="I1365" t="s">
        <v>89</v>
      </c>
      <c r="J1365">
        <v>21.07</v>
      </c>
      <c r="K1365">
        <v>11</v>
      </c>
      <c r="L1365">
        <v>4</v>
      </c>
      <c r="M1365" t="s">
        <v>1842</v>
      </c>
      <c r="N1365">
        <v>4</v>
      </c>
      <c r="O1365">
        <v>12.33</v>
      </c>
      <c r="P1365">
        <v>123574.88</v>
      </c>
      <c r="Q1365">
        <v>95329.65</v>
      </c>
      <c r="R1365">
        <v>637</v>
      </c>
      <c r="S1365">
        <v>1622</v>
      </c>
      <c r="T1365" t="s">
        <v>34</v>
      </c>
      <c r="U1365" t="s">
        <v>90</v>
      </c>
    </row>
    <row r="1366" spans="1:21">
      <c r="A1366" t="s">
        <v>2215</v>
      </c>
      <c r="B1366" t="s">
        <v>2216</v>
      </c>
      <c r="C1366" t="s">
        <v>1870</v>
      </c>
      <c r="D1366">
        <v>86000</v>
      </c>
      <c r="E1366">
        <v>3000</v>
      </c>
      <c r="F1366">
        <v>86000</v>
      </c>
      <c r="G1366">
        <v>86000</v>
      </c>
      <c r="H1366">
        <v>3</v>
      </c>
      <c r="I1366" t="s">
        <v>89</v>
      </c>
      <c r="J1366">
        <v>24.09</v>
      </c>
      <c r="K1366">
        <v>19</v>
      </c>
      <c r="L1366">
        <v>4</v>
      </c>
      <c r="M1366" t="s">
        <v>1842</v>
      </c>
      <c r="N1366">
        <v>4</v>
      </c>
      <c r="O1366">
        <v>10</v>
      </c>
      <c r="P1366">
        <v>123574.88</v>
      </c>
      <c r="Q1366">
        <v>95329.65</v>
      </c>
      <c r="R1366">
        <v>637</v>
      </c>
      <c r="S1366">
        <v>1622</v>
      </c>
      <c r="T1366" t="s">
        <v>34</v>
      </c>
      <c r="U1366" t="s">
        <v>90</v>
      </c>
    </row>
    <row r="1367" spans="1:21">
      <c r="A1367" t="s">
        <v>2217</v>
      </c>
      <c r="B1367" t="s">
        <v>2218</v>
      </c>
      <c r="C1367" t="s">
        <v>1841</v>
      </c>
      <c r="D1367">
        <v>91000</v>
      </c>
      <c r="E1367">
        <v>9000</v>
      </c>
      <c r="F1367">
        <v>91000</v>
      </c>
      <c r="G1367">
        <v>91000</v>
      </c>
      <c r="H1367">
        <v>1</v>
      </c>
      <c r="I1367" t="s">
        <v>89</v>
      </c>
      <c r="J1367">
        <v>25.81</v>
      </c>
      <c r="K1367">
        <v>5</v>
      </c>
      <c r="L1367">
        <v>4</v>
      </c>
      <c r="M1367" t="s">
        <v>1842</v>
      </c>
      <c r="N1367">
        <v>3</v>
      </c>
      <c r="O1367">
        <v>10.33</v>
      </c>
      <c r="P1367">
        <v>123574.88</v>
      </c>
      <c r="Q1367">
        <v>95329.65</v>
      </c>
      <c r="R1367">
        <v>637</v>
      </c>
      <c r="S1367">
        <v>1622</v>
      </c>
      <c r="T1367" t="s">
        <v>34</v>
      </c>
      <c r="U1367" t="s">
        <v>31</v>
      </c>
    </row>
    <row r="1368" spans="1:21">
      <c r="A1368" t="s">
        <v>2219</v>
      </c>
      <c r="B1368" t="s">
        <v>2220</v>
      </c>
      <c r="C1368" t="s">
        <v>1291</v>
      </c>
      <c r="D1368">
        <v>87000</v>
      </c>
      <c r="E1368">
        <v>12000</v>
      </c>
      <c r="F1368">
        <v>87000</v>
      </c>
      <c r="G1368">
        <v>87000</v>
      </c>
      <c r="H1368">
        <v>2</v>
      </c>
      <c r="I1368" t="s">
        <v>89</v>
      </c>
      <c r="J1368">
        <v>22.4</v>
      </c>
      <c r="K1368">
        <v>19</v>
      </c>
      <c r="L1368">
        <v>6</v>
      </c>
      <c r="M1368" t="s">
        <v>1842</v>
      </c>
      <c r="N1368">
        <v>8</v>
      </c>
      <c r="O1368">
        <v>10.67</v>
      </c>
      <c r="P1368">
        <v>123574.88</v>
      </c>
      <c r="Q1368">
        <v>95329.65</v>
      </c>
      <c r="R1368">
        <v>637</v>
      </c>
      <c r="S1368">
        <v>1622</v>
      </c>
      <c r="T1368" t="s">
        <v>34</v>
      </c>
      <c r="U1368" t="s">
        <v>90</v>
      </c>
    </row>
    <row r="1369" spans="1:21">
      <c r="A1369" t="s">
        <v>2221</v>
      </c>
      <c r="B1369" t="s">
        <v>2222</v>
      </c>
      <c r="C1369" t="s">
        <v>1850</v>
      </c>
      <c r="D1369">
        <v>55000</v>
      </c>
      <c r="E1369">
        <v>2000</v>
      </c>
      <c r="F1369">
        <v>55000</v>
      </c>
      <c r="G1369">
        <v>55000</v>
      </c>
      <c r="H1369">
        <v>1</v>
      </c>
      <c r="I1369" t="s">
        <v>89</v>
      </c>
      <c r="J1369">
        <v>18</v>
      </c>
      <c r="K1369">
        <v>59</v>
      </c>
      <c r="L1369">
        <v>2</v>
      </c>
      <c r="M1369" t="s">
        <v>1842</v>
      </c>
      <c r="N1369">
        <v>2</v>
      </c>
      <c r="O1369">
        <v>12.67</v>
      </c>
      <c r="P1369">
        <v>123574.88</v>
      </c>
      <c r="Q1369">
        <v>95329.65</v>
      </c>
      <c r="R1369">
        <v>637</v>
      </c>
      <c r="S1369">
        <v>1622</v>
      </c>
      <c r="T1369" t="s">
        <v>108</v>
      </c>
      <c r="U1369" t="s">
        <v>57</v>
      </c>
    </row>
    <row r="1370" spans="1:21">
      <c r="A1370" t="s">
        <v>2223</v>
      </c>
      <c r="B1370" t="s">
        <v>2224</v>
      </c>
      <c r="C1370" t="s">
        <v>1291</v>
      </c>
      <c r="D1370">
        <v>85000</v>
      </c>
      <c r="E1370">
        <v>5000</v>
      </c>
      <c r="F1370">
        <v>85000</v>
      </c>
      <c r="G1370">
        <v>85000</v>
      </c>
      <c r="H1370">
        <v>3</v>
      </c>
      <c r="I1370" t="s">
        <v>89</v>
      </c>
      <c r="J1370">
        <v>19.8</v>
      </c>
      <c r="K1370">
        <v>8</v>
      </c>
      <c r="L1370">
        <v>3</v>
      </c>
      <c r="M1370" t="s">
        <v>1842</v>
      </c>
      <c r="N1370">
        <v>6</v>
      </c>
      <c r="O1370">
        <v>8.5</v>
      </c>
      <c r="P1370">
        <v>123574.88</v>
      </c>
      <c r="Q1370">
        <v>95329.65</v>
      </c>
      <c r="R1370">
        <v>637</v>
      </c>
      <c r="S1370">
        <v>1622</v>
      </c>
      <c r="T1370" t="s">
        <v>108</v>
      </c>
      <c r="U1370" t="s">
        <v>31</v>
      </c>
    </row>
    <row r="1371" spans="1:21">
      <c r="A1371" t="s">
        <v>2225</v>
      </c>
      <c r="B1371" t="s">
        <v>2226</v>
      </c>
      <c r="C1371" t="s">
        <v>1841</v>
      </c>
      <c r="D1371">
        <v>102000</v>
      </c>
      <c r="E1371">
        <v>4600</v>
      </c>
      <c r="G1371">
        <v>204000</v>
      </c>
      <c r="H1371">
        <v>2</v>
      </c>
      <c r="I1371" t="s">
        <v>89</v>
      </c>
      <c r="J1371">
        <v>26.69</v>
      </c>
      <c r="K1371">
        <v>2</v>
      </c>
      <c r="L1371">
        <v>3</v>
      </c>
      <c r="M1371" t="s">
        <v>1842</v>
      </c>
      <c r="N1371">
        <v>4</v>
      </c>
      <c r="O1371">
        <v>12</v>
      </c>
      <c r="P1371">
        <v>123574.88</v>
      </c>
      <c r="Q1371">
        <v>95329.65</v>
      </c>
      <c r="R1371">
        <v>637</v>
      </c>
      <c r="S1371">
        <v>1622</v>
      </c>
      <c r="T1371" t="s">
        <v>34</v>
      </c>
      <c r="U1371" t="s">
        <v>31</v>
      </c>
    </row>
    <row r="1372" spans="1:21">
      <c r="A1372" t="s">
        <v>2227</v>
      </c>
      <c r="B1372" t="s">
        <v>1923</v>
      </c>
      <c r="C1372" t="s">
        <v>1291</v>
      </c>
      <c r="D1372">
        <v>129000</v>
      </c>
      <c r="E1372">
        <v>10000</v>
      </c>
      <c r="F1372">
        <v>129000</v>
      </c>
      <c r="G1372">
        <v>129000</v>
      </c>
      <c r="H1372">
        <v>10</v>
      </c>
      <c r="I1372" t="s">
        <v>89</v>
      </c>
      <c r="J1372">
        <v>25.1</v>
      </c>
      <c r="K1372">
        <v>5</v>
      </c>
      <c r="L1372">
        <v>12</v>
      </c>
      <c r="M1372" t="s">
        <v>1842</v>
      </c>
      <c r="N1372">
        <v>9</v>
      </c>
      <c r="O1372">
        <v>10.33</v>
      </c>
      <c r="P1372">
        <v>123574.88</v>
      </c>
      <c r="Q1372">
        <v>95329.65</v>
      </c>
      <c r="R1372">
        <v>637</v>
      </c>
      <c r="S1372">
        <v>1622</v>
      </c>
      <c r="T1372" t="s">
        <v>34</v>
      </c>
      <c r="U1372" t="s">
        <v>31</v>
      </c>
    </row>
    <row r="1373" spans="1:21">
      <c r="A1373" t="s">
        <v>2228</v>
      </c>
      <c r="B1373" t="s">
        <v>1923</v>
      </c>
      <c r="C1373" t="s">
        <v>1291</v>
      </c>
      <c r="D1373">
        <v>126000</v>
      </c>
      <c r="E1373">
        <v>10000</v>
      </c>
      <c r="F1373">
        <v>126000</v>
      </c>
      <c r="G1373">
        <v>126000</v>
      </c>
      <c r="H1373">
        <v>3</v>
      </c>
      <c r="I1373" t="s">
        <v>89</v>
      </c>
      <c r="J1373">
        <v>25.1</v>
      </c>
      <c r="K1373">
        <v>5</v>
      </c>
      <c r="L1373">
        <v>12</v>
      </c>
      <c r="M1373" t="s">
        <v>1842</v>
      </c>
      <c r="N1373">
        <v>9</v>
      </c>
      <c r="O1373">
        <v>10.33</v>
      </c>
      <c r="P1373">
        <v>123574.88</v>
      </c>
      <c r="Q1373">
        <v>95329.65</v>
      </c>
      <c r="R1373">
        <v>637</v>
      </c>
      <c r="S1373">
        <v>1622</v>
      </c>
      <c r="T1373" t="s">
        <v>34</v>
      </c>
      <c r="U1373" t="s">
        <v>31</v>
      </c>
    </row>
    <row r="1374" spans="1:21">
      <c r="A1374" t="s">
        <v>2229</v>
      </c>
      <c r="B1374" t="s">
        <v>1923</v>
      </c>
      <c r="C1374" t="s">
        <v>1291</v>
      </c>
      <c r="D1374">
        <v>127000</v>
      </c>
      <c r="E1374">
        <v>10000</v>
      </c>
      <c r="F1374">
        <v>127000</v>
      </c>
      <c r="G1374">
        <v>127000</v>
      </c>
      <c r="H1374">
        <v>8</v>
      </c>
      <c r="I1374" t="s">
        <v>89</v>
      </c>
      <c r="J1374">
        <v>25.1</v>
      </c>
      <c r="K1374">
        <v>5</v>
      </c>
      <c r="L1374">
        <v>12</v>
      </c>
      <c r="M1374" t="s">
        <v>1842</v>
      </c>
      <c r="N1374">
        <v>9</v>
      </c>
      <c r="O1374">
        <v>10.33</v>
      </c>
      <c r="P1374">
        <v>123574.88</v>
      </c>
      <c r="Q1374">
        <v>95329.65</v>
      </c>
      <c r="R1374">
        <v>637</v>
      </c>
      <c r="S1374">
        <v>1622</v>
      </c>
      <c r="T1374" t="s">
        <v>34</v>
      </c>
      <c r="U1374" t="s">
        <v>31</v>
      </c>
    </row>
    <row r="1375" spans="1:21">
      <c r="A1375" t="s">
        <v>2230</v>
      </c>
      <c r="B1375" t="s">
        <v>2231</v>
      </c>
      <c r="C1375" t="s">
        <v>1857</v>
      </c>
      <c r="D1375">
        <v>62000</v>
      </c>
      <c r="E1375">
        <v>2000</v>
      </c>
      <c r="F1375">
        <v>62000</v>
      </c>
      <c r="G1375">
        <v>62000</v>
      </c>
      <c r="H1375">
        <v>2</v>
      </c>
      <c r="I1375" t="s">
        <v>89</v>
      </c>
      <c r="J1375">
        <v>19.87</v>
      </c>
      <c r="K1375">
        <v>33</v>
      </c>
      <c r="L1375">
        <v>2</v>
      </c>
      <c r="M1375" t="s">
        <v>1842</v>
      </c>
      <c r="N1375">
        <v>5</v>
      </c>
      <c r="O1375">
        <v>11</v>
      </c>
      <c r="P1375">
        <v>123574.88</v>
      </c>
      <c r="Q1375">
        <v>95329.65</v>
      </c>
      <c r="R1375">
        <v>637</v>
      </c>
      <c r="S1375">
        <v>1622</v>
      </c>
      <c r="T1375" t="s">
        <v>108</v>
      </c>
      <c r="U1375" t="s">
        <v>49</v>
      </c>
    </row>
    <row r="1376" spans="1:21">
      <c r="A1376" t="s">
        <v>2232</v>
      </c>
      <c r="B1376" t="s">
        <v>2233</v>
      </c>
      <c r="C1376" t="s">
        <v>1310</v>
      </c>
      <c r="D1376">
        <v>55000</v>
      </c>
      <c r="E1376">
        <v>2000</v>
      </c>
      <c r="F1376">
        <v>55000</v>
      </c>
      <c r="G1376">
        <v>27500</v>
      </c>
      <c r="H1376">
        <v>1</v>
      </c>
      <c r="I1376" t="s">
        <v>89</v>
      </c>
      <c r="J1376">
        <v>18.239999999999998</v>
      </c>
      <c r="K1376">
        <v>38</v>
      </c>
      <c r="L1376">
        <v>2</v>
      </c>
      <c r="M1376" t="s">
        <v>1842</v>
      </c>
      <c r="N1376">
        <v>9</v>
      </c>
      <c r="O1376">
        <v>10.67</v>
      </c>
      <c r="P1376">
        <v>123574.88</v>
      </c>
      <c r="Q1376">
        <v>95329.65</v>
      </c>
      <c r="R1376">
        <v>637</v>
      </c>
      <c r="S1376">
        <v>1622</v>
      </c>
      <c r="T1376" t="s">
        <v>108</v>
      </c>
      <c r="U1376" t="s">
        <v>49</v>
      </c>
    </row>
    <row r="1377" spans="1:21">
      <c r="A1377" t="s">
        <v>2234</v>
      </c>
      <c r="B1377" t="s">
        <v>2235</v>
      </c>
      <c r="C1377" t="s">
        <v>1291</v>
      </c>
      <c r="D1377">
        <v>70000</v>
      </c>
      <c r="E1377">
        <v>2000</v>
      </c>
      <c r="F1377">
        <v>70000</v>
      </c>
      <c r="G1377">
        <v>70000</v>
      </c>
      <c r="H1377">
        <v>2</v>
      </c>
      <c r="I1377" t="s">
        <v>89</v>
      </c>
      <c r="J1377">
        <v>23.13</v>
      </c>
      <c r="K1377">
        <v>41</v>
      </c>
      <c r="L1377">
        <v>2</v>
      </c>
      <c r="M1377" t="s">
        <v>1842</v>
      </c>
      <c r="N1377">
        <v>8</v>
      </c>
      <c r="O1377">
        <v>9.33</v>
      </c>
      <c r="P1377">
        <v>123574.88</v>
      </c>
      <c r="Q1377">
        <v>95329.65</v>
      </c>
      <c r="R1377">
        <v>637</v>
      </c>
      <c r="S1377">
        <v>1622</v>
      </c>
      <c r="T1377" t="s">
        <v>34</v>
      </c>
      <c r="U1377" t="s">
        <v>42</v>
      </c>
    </row>
    <row r="1378" spans="1:21">
      <c r="A1378" t="s">
        <v>2236</v>
      </c>
      <c r="B1378" t="s">
        <v>2237</v>
      </c>
      <c r="C1378" t="s">
        <v>1850</v>
      </c>
      <c r="D1378">
        <v>60000</v>
      </c>
      <c r="E1378">
        <v>2000</v>
      </c>
      <c r="F1378">
        <v>60000</v>
      </c>
      <c r="H1378">
        <v>1</v>
      </c>
      <c r="I1378" t="s">
        <v>89</v>
      </c>
      <c r="J1378">
        <v>19.28</v>
      </c>
      <c r="K1378">
        <v>57</v>
      </c>
      <c r="L1378">
        <v>2</v>
      </c>
      <c r="M1378" t="s">
        <v>1842</v>
      </c>
      <c r="N1378">
        <v>6</v>
      </c>
      <c r="O1378">
        <v>15.67</v>
      </c>
      <c r="P1378">
        <v>123574.88</v>
      </c>
      <c r="Q1378">
        <v>95329.65</v>
      </c>
      <c r="R1378">
        <v>637</v>
      </c>
      <c r="S1378">
        <v>1622</v>
      </c>
      <c r="T1378" t="s">
        <v>108</v>
      </c>
      <c r="U1378" t="s">
        <v>57</v>
      </c>
    </row>
    <row r="1379" spans="1:21">
      <c r="A1379" t="s">
        <v>2238</v>
      </c>
      <c r="B1379" t="s">
        <v>2239</v>
      </c>
      <c r="C1379" t="s">
        <v>1857</v>
      </c>
      <c r="D1379">
        <v>58000</v>
      </c>
      <c r="E1379">
        <v>4000</v>
      </c>
      <c r="F1379">
        <v>58000</v>
      </c>
      <c r="G1379">
        <v>58000</v>
      </c>
      <c r="H1379">
        <v>2</v>
      </c>
      <c r="I1379" t="s">
        <v>89</v>
      </c>
      <c r="J1379">
        <v>17.98</v>
      </c>
      <c r="K1379">
        <v>32</v>
      </c>
      <c r="L1379">
        <v>3</v>
      </c>
      <c r="M1379" t="s">
        <v>1842</v>
      </c>
      <c r="N1379">
        <v>5</v>
      </c>
      <c r="O1379">
        <v>12.33</v>
      </c>
      <c r="P1379">
        <v>123574.88</v>
      </c>
      <c r="Q1379">
        <v>95329.65</v>
      </c>
      <c r="R1379">
        <v>637</v>
      </c>
      <c r="S1379">
        <v>1622</v>
      </c>
      <c r="T1379" t="s">
        <v>108</v>
      </c>
      <c r="U1379" t="s">
        <v>49</v>
      </c>
    </row>
    <row r="1380" spans="1:21">
      <c r="A1380" t="s">
        <v>2240</v>
      </c>
      <c r="B1380" t="s">
        <v>2241</v>
      </c>
      <c r="C1380" t="s">
        <v>1870</v>
      </c>
      <c r="D1380">
        <v>65000</v>
      </c>
      <c r="E1380">
        <v>10000</v>
      </c>
      <c r="H1380">
        <v>3</v>
      </c>
      <c r="I1380" t="s">
        <v>89</v>
      </c>
      <c r="J1380">
        <v>17.36</v>
      </c>
      <c r="K1380">
        <v>34</v>
      </c>
      <c r="L1380">
        <v>3</v>
      </c>
      <c r="M1380" t="s">
        <v>1842</v>
      </c>
      <c r="N1380">
        <v>2</v>
      </c>
      <c r="O1380">
        <v>9</v>
      </c>
      <c r="P1380">
        <v>123574.88</v>
      </c>
      <c r="Q1380">
        <v>95329.65</v>
      </c>
      <c r="R1380">
        <v>637</v>
      </c>
      <c r="S1380">
        <v>1622</v>
      </c>
      <c r="T1380" t="s">
        <v>108</v>
      </c>
      <c r="U1380" t="s">
        <v>49</v>
      </c>
    </row>
    <row r="1381" spans="1:21">
      <c r="A1381" t="s">
        <v>2242</v>
      </c>
      <c r="B1381" t="s">
        <v>1534</v>
      </c>
      <c r="C1381" t="s">
        <v>1870</v>
      </c>
      <c r="D1381">
        <v>66000</v>
      </c>
      <c r="E1381">
        <v>5000</v>
      </c>
      <c r="F1381">
        <v>66000</v>
      </c>
      <c r="G1381">
        <v>66000</v>
      </c>
      <c r="H1381">
        <v>1</v>
      </c>
      <c r="I1381" t="s">
        <v>89</v>
      </c>
      <c r="J1381">
        <v>16.559999999999999</v>
      </c>
      <c r="K1381">
        <v>6</v>
      </c>
      <c r="L1381">
        <v>3</v>
      </c>
      <c r="M1381" t="s">
        <v>1842</v>
      </c>
      <c r="N1381">
        <v>4</v>
      </c>
      <c r="O1381">
        <v>9</v>
      </c>
      <c r="P1381">
        <v>123574.88</v>
      </c>
      <c r="Q1381">
        <v>95329.65</v>
      </c>
      <c r="R1381">
        <v>637</v>
      </c>
      <c r="S1381">
        <v>1622</v>
      </c>
      <c r="T1381" t="s">
        <v>108</v>
      </c>
      <c r="U1381" t="s">
        <v>31</v>
      </c>
    </row>
    <row r="1382" spans="1:21">
      <c r="A1382" t="s">
        <v>2243</v>
      </c>
      <c r="B1382" t="s">
        <v>1432</v>
      </c>
      <c r="C1382" t="s">
        <v>1857</v>
      </c>
      <c r="D1382">
        <v>72000</v>
      </c>
      <c r="E1382">
        <v>4000</v>
      </c>
      <c r="F1382">
        <v>36000</v>
      </c>
      <c r="G1382">
        <v>108000</v>
      </c>
      <c r="H1382">
        <v>1</v>
      </c>
      <c r="I1382" t="s">
        <v>89</v>
      </c>
      <c r="J1382">
        <v>16.239999999999998</v>
      </c>
      <c r="K1382">
        <v>7</v>
      </c>
      <c r="L1382">
        <v>3</v>
      </c>
      <c r="M1382" t="s">
        <v>1842</v>
      </c>
      <c r="N1382">
        <v>9</v>
      </c>
      <c r="O1382">
        <v>12</v>
      </c>
      <c r="P1382">
        <v>123574.88</v>
      </c>
      <c r="Q1382">
        <v>95329.65</v>
      </c>
      <c r="R1382">
        <v>637</v>
      </c>
      <c r="S1382">
        <v>1622</v>
      </c>
      <c r="T1382" t="s">
        <v>108</v>
      </c>
      <c r="U1382" t="s">
        <v>31</v>
      </c>
    </row>
    <row r="1383" spans="1:21">
      <c r="A1383" t="s">
        <v>2244</v>
      </c>
      <c r="B1383" t="s">
        <v>1432</v>
      </c>
      <c r="C1383" t="s">
        <v>1857</v>
      </c>
      <c r="D1383">
        <v>75000</v>
      </c>
      <c r="E1383">
        <v>4000</v>
      </c>
      <c r="F1383">
        <v>37500</v>
      </c>
      <c r="G1383">
        <v>112500</v>
      </c>
      <c r="H1383">
        <v>2</v>
      </c>
      <c r="I1383" t="s">
        <v>89</v>
      </c>
      <c r="J1383">
        <v>16.489999999999998</v>
      </c>
      <c r="K1383">
        <v>7</v>
      </c>
      <c r="L1383">
        <v>3</v>
      </c>
      <c r="M1383" t="s">
        <v>1842</v>
      </c>
      <c r="N1383">
        <v>9</v>
      </c>
      <c r="O1383">
        <v>12</v>
      </c>
      <c r="P1383">
        <v>123574.88</v>
      </c>
      <c r="Q1383">
        <v>95329.65</v>
      </c>
      <c r="R1383">
        <v>637</v>
      </c>
      <c r="S1383">
        <v>1622</v>
      </c>
      <c r="T1383" t="s">
        <v>108</v>
      </c>
      <c r="U1383" t="s">
        <v>31</v>
      </c>
    </row>
    <row r="1384" spans="1:21">
      <c r="A1384" t="s">
        <v>2245</v>
      </c>
      <c r="B1384" t="s">
        <v>1432</v>
      </c>
      <c r="C1384" t="s">
        <v>1887</v>
      </c>
      <c r="D1384">
        <v>77000</v>
      </c>
      <c r="E1384">
        <v>5000</v>
      </c>
      <c r="G1384">
        <v>77000</v>
      </c>
      <c r="H1384">
        <v>3</v>
      </c>
      <c r="I1384" t="s">
        <v>89</v>
      </c>
      <c r="J1384">
        <v>18.64</v>
      </c>
      <c r="K1384">
        <v>7</v>
      </c>
      <c r="L1384">
        <v>3</v>
      </c>
      <c r="M1384" t="s">
        <v>1842</v>
      </c>
      <c r="N1384">
        <v>6</v>
      </c>
      <c r="O1384">
        <v>12</v>
      </c>
      <c r="P1384">
        <v>123574.88</v>
      </c>
      <c r="Q1384">
        <v>95329.65</v>
      </c>
      <c r="R1384">
        <v>637</v>
      </c>
      <c r="S1384">
        <v>1622</v>
      </c>
      <c r="T1384" t="s">
        <v>108</v>
      </c>
      <c r="U1384" t="s">
        <v>31</v>
      </c>
    </row>
    <row r="1385" spans="1:21">
      <c r="A1385" t="s">
        <v>2246</v>
      </c>
      <c r="B1385" t="s">
        <v>2247</v>
      </c>
      <c r="C1385" t="s">
        <v>1291</v>
      </c>
      <c r="D1385">
        <v>90000</v>
      </c>
      <c r="E1385">
        <v>5000</v>
      </c>
      <c r="F1385">
        <v>90000</v>
      </c>
      <c r="G1385">
        <v>90000</v>
      </c>
      <c r="H1385">
        <v>2</v>
      </c>
      <c r="I1385" t="s">
        <v>89</v>
      </c>
      <c r="J1385">
        <v>20.440000000000001</v>
      </c>
      <c r="K1385">
        <v>10</v>
      </c>
      <c r="L1385">
        <v>4</v>
      </c>
      <c r="M1385" t="s">
        <v>1842</v>
      </c>
      <c r="N1385">
        <v>9</v>
      </c>
      <c r="O1385">
        <v>9.5</v>
      </c>
      <c r="P1385">
        <v>123574.88</v>
      </c>
      <c r="Q1385">
        <v>95329.65</v>
      </c>
      <c r="R1385">
        <v>637</v>
      </c>
      <c r="S1385">
        <v>1622</v>
      </c>
      <c r="T1385" t="s">
        <v>34</v>
      </c>
      <c r="U1385" t="s">
        <v>31</v>
      </c>
    </row>
    <row r="1386" spans="1:21">
      <c r="A1386" t="s">
        <v>2248</v>
      </c>
      <c r="B1386" t="s">
        <v>2249</v>
      </c>
      <c r="C1386" t="s">
        <v>1870</v>
      </c>
      <c r="D1386">
        <v>89000</v>
      </c>
      <c r="E1386">
        <v>5000</v>
      </c>
      <c r="F1386">
        <v>89000</v>
      </c>
      <c r="H1386">
        <v>1</v>
      </c>
      <c r="I1386" t="s">
        <v>89</v>
      </c>
      <c r="J1386">
        <v>25.05</v>
      </c>
      <c r="K1386">
        <v>13</v>
      </c>
      <c r="L1386">
        <v>4</v>
      </c>
      <c r="M1386" t="s">
        <v>1842</v>
      </c>
      <c r="N1386">
        <v>3</v>
      </c>
      <c r="O1386">
        <v>9.67</v>
      </c>
      <c r="P1386">
        <v>123574.88</v>
      </c>
      <c r="Q1386">
        <v>95329.65</v>
      </c>
      <c r="R1386">
        <v>637</v>
      </c>
      <c r="S1386">
        <v>1622</v>
      </c>
      <c r="T1386" t="s">
        <v>34</v>
      </c>
      <c r="U1386" t="s">
        <v>90</v>
      </c>
    </row>
    <row r="1387" spans="1:21">
      <c r="A1387" t="s">
        <v>2250</v>
      </c>
      <c r="B1387" t="s">
        <v>2251</v>
      </c>
      <c r="C1387" t="s">
        <v>1870</v>
      </c>
      <c r="D1387">
        <v>82000</v>
      </c>
      <c r="E1387">
        <v>5000</v>
      </c>
      <c r="F1387">
        <v>82000</v>
      </c>
      <c r="G1387">
        <v>82000</v>
      </c>
      <c r="H1387">
        <v>1</v>
      </c>
      <c r="I1387" t="s">
        <v>89</v>
      </c>
      <c r="J1387">
        <v>21.2</v>
      </c>
      <c r="K1387">
        <v>17</v>
      </c>
      <c r="L1387">
        <v>4</v>
      </c>
      <c r="M1387" t="s">
        <v>1842</v>
      </c>
      <c r="N1387">
        <v>4</v>
      </c>
      <c r="O1387">
        <v>9.33</v>
      </c>
      <c r="P1387">
        <v>123574.88</v>
      </c>
      <c r="Q1387">
        <v>95329.65</v>
      </c>
      <c r="R1387">
        <v>637</v>
      </c>
      <c r="S1387">
        <v>1622</v>
      </c>
      <c r="T1387" t="s">
        <v>34</v>
      </c>
      <c r="U1387" t="s">
        <v>90</v>
      </c>
    </row>
    <row r="1388" spans="1:21">
      <c r="A1388" t="s">
        <v>2252</v>
      </c>
      <c r="B1388" t="s">
        <v>1436</v>
      </c>
      <c r="C1388" t="s">
        <v>1857</v>
      </c>
      <c r="D1388">
        <v>75000</v>
      </c>
      <c r="E1388">
        <v>7000</v>
      </c>
      <c r="F1388">
        <v>75000</v>
      </c>
      <c r="G1388">
        <v>75000</v>
      </c>
      <c r="H1388">
        <v>3</v>
      </c>
      <c r="I1388" t="s">
        <v>89</v>
      </c>
      <c r="J1388">
        <v>16.739999999999998</v>
      </c>
      <c r="K1388">
        <v>36</v>
      </c>
      <c r="L1388">
        <v>4</v>
      </c>
      <c r="M1388" t="s">
        <v>1842</v>
      </c>
      <c r="N1388">
        <v>8</v>
      </c>
      <c r="O1388">
        <v>11</v>
      </c>
      <c r="P1388">
        <v>123574.88</v>
      </c>
      <c r="Q1388">
        <v>95329.65</v>
      </c>
      <c r="R1388">
        <v>637</v>
      </c>
      <c r="S1388">
        <v>1622</v>
      </c>
      <c r="T1388" t="s">
        <v>108</v>
      </c>
      <c r="U1388" t="s">
        <v>49</v>
      </c>
    </row>
    <row r="1389" spans="1:21">
      <c r="A1389" t="s">
        <v>2253</v>
      </c>
      <c r="B1389" t="s">
        <v>1927</v>
      </c>
      <c r="C1389" t="s">
        <v>1873</v>
      </c>
      <c r="D1389">
        <v>115000</v>
      </c>
      <c r="E1389">
        <v>9500</v>
      </c>
      <c r="G1389">
        <v>115000</v>
      </c>
      <c r="H1389">
        <v>1</v>
      </c>
      <c r="I1389" t="s">
        <v>89</v>
      </c>
      <c r="J1389">
        <v>25.52</v>
      </c>
      <c r="K1389">
        <v>3</v>
      </c>
      <c r="L1389">
        <v>4</v>
      </c>
      <c r="M1389" t="s">
        <v>1842</v>
      </c>
      <c r="N1389">
        <v>6</v>
      </c>
      <c r="O1389">
        <v>9.33</v>
      </c>
      <c r="P1389">
        <v>123574.88</v>
      </c>
      <c r="Q1389">
        <v>95329.65</v>
      </c>
      <c r="R1389">
        <v>637</v>
      </c>
      <c r="S1389">
        <v>1622</v>
      </c>
      <c r="T1389" t="s">
        <v>34</v>
      </c>
      <c r="U1389" t="s">
        <v>31</v>
      </c>
    </row>
    <row r="1390" spans="1:21">
      <c r="A1390" t="s">
        <v>2254</v>
      </c>
      <c r="B1390" t="s">
        <v>1932</v>
      </c>
      <c r="C1390" t="s">
        <v>1857</v>
      </c>
      <c r="D1390">
        <v>122500</v>
      </c>
      <c r="E1390">
        <v>15000</v>
      </c>
      <c r="H1390">
        <v>1</v>
      </c>
      <c r="I1390" t="s">
        <v>89</v>
      </c>
      <c r="J1390">
        <v>25.26</v>
      </c>
      <c r="K1390">
        <v>1</v>
      </c>
      <c r="L1390">
        <v>5</v>
      </c>
      <c r="M1390" t="s">
        <v>1842</v>
      </c>
      <c r="N1390">
        <v>10</v>
      </c>
      <c r="O1390">
        <v>12.33</v>
      </c>
      <c r="P1390">
        <v>123574.88</v>
      </c>
      <c r="Q1390">
        <v>95329.65</v>
      </c>
      <c r="R1390">
        <v>637</v>
      </c>
      <c r="S1390">
        <v>1622</v>
      </c>
      <c r="T1390" t="s">
        <v>34</v>
      </c>
      <c r="U1390" t="s">
        <v>31</v>
      </c>
    </row>
    <row r="1391" spans="1:21">
      <c r="A1391" t="s">
        <v>2255</v>
      </c>
      <c r="B1391" t="s">
        <v>1932</v>
      </c>
      <c r="C1391" t="s">
        <v>1857</v>
      </c>
      <c r="D1391">
        <v>125500</v>
      </c>
      <c r="E1391">
        <v>15000</v>
      </c>
      <c r="H1391">
        <v>1</v>
      </c>
      <c r="I1391" t="s">
        <v>89</v>
      </c>
      <c r="J1391">
        <v>25.26</v>
      </c>
      <c r="K1391">
        <v>1</v>
      </c>
      <c r="L1391">
        <v>5</v>
      </c>
      <c r="M1391" t="s">
        <v>1842</v>
      </c>
      <c r="N1391">
        <v>10</v>
      </c>
      <c r="O1391">
        <v>12.33</v>
      </c>
      <c r="P1391">
        <v>123574.88</v>
      </c>
      <c r="Q1391">
        <v>95329.65</v>
      </c>
      <c r="R1391">
        <v>637</v>
      </c>
      <c r="S1391">
        <v>1622</v>
      </c>
      <c r="T1391" t="s">
        <v>34</v>
      </c>
      <c r="U1391" t="s">
        <v>31</v>
      </c>
    </row>
    <row r="1392" spans="1:21">
      <c r="A1392" t="s">
        <v>2256</v>
      </c>
      <c r="B1392" t="s">
        <v>1932</v>
      </c>
      <c r="C1392" t="s">
        <v>1857</v>
      </c>
      <c r="D1392">
        <v>132500</v>
      </c>
      <c r="E1392">
        <v>15000</v>
      </c>
      <c r="H1392">
        <v>1</v>
      </c>
      <c r="I1392" t="s">
        <v>89</v>
      </c>
      <c r="J1392">
        <v>27.4</v>
      </c>
      <c r="K1392">
        <v>1</v>
      </c>
      <c r="L1392">
        <v>5</v>
      </c>
      <c r="M1392" t="s">
        <v>1842</v>
      </c>
      <c r="N1392">
        <v>10</v>
      </c>
      <c r="O1392">
        <v>12.33</v>
      </c>
      <c r="P1392">
        <v>123574.88</v>
      </c>
      <c r="Q1392">
        <v>95329.65</v>
      </c>
      <c r="R1392">
        <v>637</v>
      </c>
      <c r="S1392">
        <v>1622</v>
      </c>
      <c r="T1392" t="s">
        <v>34</v>
      </c>
      <c r="U1392" t="s">
        <v>31</v>
      </c>
    </row>
    <row r="1393" spans="1:21">
      <c r="A1393" t="s">
        <v>2257</v>
      </c>
      <c r="B1393" t="s">
        <v>1932</v>
      </c>
      <c r="C1393" t="s">
        <v>1857</v>
      </c>
      <c r="D1393">
        <v>125500</v>
      </c>
      <c r="E1393">
        <v>15000</v>
      </c>
      <c r="H1393">
        <v>1</v>
      </c>
      <c r="I1393" t="s">
        <v>89</v>
      </c>
      <c r="J1393">
        <v>28.67</v>
      </c>
      <c r="K1393">
        <v>1</v>
      </c>
      <c r="L1393">
        <v>5</v>
      </c>
      <c r="M1393" t="s">
        <v>1842</v>
      </c>
      <c r="N1393">
        <v>10</v>
      </c>
      <c r="O1393">
        <v>12.33</v>
      </c>
      <c r="P1393">
        <v>123574.88</v>
      </c>
      <c r="Q1393">
        <v>95329.65</v>
      </c>
      <c r="R1393">
        <v>637</v>
      </c>
      <c r="S1393">
        <v>1622</v>
      </c>
      <c r="T1393" t="s">
        <v>34</v>
      </c>
      <c r="U1393" t="s">
        <v>31</v>
      </c>
    </row>
    <row r="1394" spans="1:21">
      <c r="A1394" t="s">
        <v>2258</v>
      </c>
      <c r="B1394" t="s">
        <v>1932</v>
      </c>
      <c r="C1394" t="s">
        <v>1857</v>
      </c>
      <c r="D1394">
        <v>135500</v>
      </c>
      <c r="E1394">
        <v>15000</v>
      </c>
      <c r="H1394">
        <v>1</v>
      </c>
      <c r="I1394" t="s">
        <v>89</v>
      </c>
      <c r="J1394">
        <v>28.67</v>
      </c>
      <c r="K1394">
        <v>1</v>
      </c>
      <c r="L1394">
        <v>5</v>
      </c>
      <c r="M1394" t="s">
        <v>1842</v>
      </c>
      <c r="N1394">
        <v>10</v>
      </c>
      <c r="O1394">
        <v>12.33</v>
      </c>
      <c r="P1394">
        <v>123574.88</v>
      </c>
      <c r="Q1394">
        <v>95329.65</v>
      </c>
      <c r="R1394">
        <v>637</v>
      </c>
      <c r="S1394">
        <v>1622</v>
      </c>
      <c r="T1394" t="s">
        <v>34</v>
      </c>
      <c r="U1394" t="s">
        <v>31</v>
      </c>
    </row>
    <row r="1395" spans="1:21">
      <c r="A1395" t="s">
        <v>2259</v>
      </c>
      <c r="B1395" t="s">
        <v>1932</v>
      </c>
      <c r="C1395" t="s">
        <v>1857</v>
      </c>
      <c r="D1395">
        <v>126000</v>
      </c>
      <c r="E1395">
        <v>15000</v>
      </c>
      <c r="H1395">
        <v>2</v>
      </c>
      <c r="I1395" t="s">
        <v>89</v>
      </c>
      <c r="J1395">
        <v>25.26</v>
      </c>
      <c r="K1395">
        <v>1</v>
      </c>
      <c r="L1395">
        <v>5</v>
      </c>
      <c r="M1395" t="s">
        <v>1842</v>
      </c>
      <c r="N1395">
        <v>10</v>
      </c>
      <c r="O1395">
        <v>12.33</v>
      </c>
      <c r="P1395">
        <v>123574.88</v>
      </c>
      <c r="Q1395">
        <v>95329.65</v>
      </c>
      <c r="R1395">
        <v>637</v>
      </c>
      <c r="S1395">
        <v>1622</v>
      </c>
      <c r="T1395" t="s">
        <v>34</v>
      </c>
      <c r="U1395" t="s">
        <v>31</v>
      </c>
    </row>
    <row r="1396" spans="1:21">
      <c r="A1396" t="s">
        <v>2260</v>
      </c>
      <c r="B1396" t="s">
        <v>1932</v>
      </c>
      <c r="C1396" t="s">
        <v>1857</v>
      </c>
      <c r="D1396">
        <v>133000</v>
      </c>
      <c r="E1396">
        <v>15000</v>
      </c>
      <c r="H1396">
        <v>2</v>
      </c>
      <c r="I1396" t="s">
        <v>89</v>
      </c>
      <c r="J1396">
        <v>27.4</v>
      </c>
      <c r="K1396">
        <v>1</v>
      </c>
      <c r="L1396">
        <v>5</v>
      </c>
      <c r="M1396" t="s">
        <v>1842</v>
      </c>
      <c r="N1396">
        <v>10</v>
      </c>
      <c r="O1396">
        <v>12.33</v>
      </c>
      <c r="P1396">
        <v>123574.88</v>
      </c>
      <c r="Q1396">
        <v>95329.65</v>
      </c>
      <c r="R1396">
        <v>637</v>
      </c>
      <c r="S1396">
        <v>1622</v>
      </c>
      <c r="T1396" t="s">
        <v>34</v>
      </c>
      <c r="U1396" t="s">
        <v>31</v>
      </c>
    </row>
    <row r="1397" spans="1:21">
      <c r="A1397" t="s">
        <v>2261</v>
      </c>
      <c r="B1397" t="s">
        <v>1932</v>
      </c>
      <c r="C1397" t="s">
        <v>1857</v>
      </c>
      <c r="D1397">
        <v>136000</v>
      </c>
      <c r="E1397">
        <v>15000</v>
      </c>
      <c r="H1397">
        <v>2</v>
      </c>
      <c r="I1397" t="s">
        <v>89</v>
      </c>
      <c r="J1397">
        <v>28.67</v>
      </c>
      <c r="K1397">
        <v>1</v>
      </c>
      <c r="L1397">
        <v>5</v>
      </c>
      <c r="M1397" t="s">
        <v>1842</v>
      </c>
      <c r="N1397">
        <v>10</v>
      </c>
      <c r="O1397">
        <v>12.33</v>
      </c>
      <c r="P1397">
        <v>123574.88</v>
      </c>
      <c r="Q1397">
        <v>95329.65</v>
      </c>
      <c r="R1397">
        <v>637</v>
      </c>
      <c r="S1397">
        <v>1622</v>
      </c>
      <c r="T1397" t="s">
        <v>34</v>
      </c>
      <c r="U1397" t="s">
        <v>31</v>
      </c>
    </row>
    <row r="1398" spans="1:21">
      <c r="A1398" t="s">
        <v>2262</v>
      </c>
      <c r="B1398" t="s">
        <v>1932</v>
      </c>
      <c r="C1398" t="s">
        <v>1857</v>
      </c>
      <c r="D1398">
        <v>126500</v>
      </c>
      <c r="E1398">
        <v>15000</v>
      </c>
      <c r="H1398">
        <v>3</v>
      </c>
      <c r="I1398" t="s">
        <v>89</v>
      </c>
      <c r="J1398">
        <v>25.26</v>
      </c>
      <c r="K1398">
        <v>1</v>
      </c>
      <c r="L1398">
        <v>5</v>
      </c>
      <c r="M1398" t="s">
        <v>1842</v>
      </c>
      <c r="N1398">
        <v>10</v>
      </c>
      <c r="O1398">
        <v>12.33</v>
      </c>
      <c r="P1398">
        <v>123574.88</v>
      </c>
      <c r="Q1398">
        <v>95329.65</v>
      </c>
      <c r="R1398">
        <v>637</v>
      </c>
      <c r="S1398">
        <v>1622</v>
      </c>
      <c r="T1398" t="s">
        <v>34</v>
      </c>
      <c r="U1398" t="s">
        <v>31</v>
      </c>
    </row>
    <row r="1399" spans="1:21">
      <c r="A1399" t="s">
        <v>2263</v>
      </c>
      <c r="B1399" t="s">
        <v>1932</v>
      </c>
      <c r="C1399" t="s">
        <v>1857</v>
      </c>
      <c r="D1399">
        <v>133500</v>
      </c>
      <c r="E1399">
        <v>15000</v>
      </c>
      <c r="H1399">
        <v>3</v>
      </c>
      <c r="I1399" t="s">
        <v>89</v>
      </c>
      <c r="J1399">
        <v>27.4</v>
      </c>
      <c r="K1399">
        <v>1</v>
      </c>
      <c r="L1399">
        <v>5</v>
      </c>
      <c r="M1399" t="s">
        <v>1842</v>
      </c>
      <c r="N1399">
        <v>10</v>
      </c>
      <c r="O1399">
        <v>12.33</v>
      </c>
      <c r="P1399">
        <v>123574.88</v>
      </c>
      <c r="Q1399">
        <v>95329.65</v>
      </c>
      <c r="R1399">
        <v>637</v>
      </c>
      <c r="S1399">
        <v>1622</v>
      </c>
      <c r="T1399" t="s">
        <v>34</v>
      </c>
      <c r="U1399" t="s">
        <v>31</v>
      </c>
    </row>
    <row r="1400" spans="1:21">
      <c r="A1400" t="s">
        <v>2264</v>
      </c>
      <c r="B1400" t="s">
        <v>1932</v>
      </c>
      <c r="C1400" t="s">
        <v>1857</v>
      </c>
      <c r="D1400">
        <v>136500</v>
      </c>
      <c r="E1400">
        <v>15000</v>
      </c>
      <c r="H1400">
        <v>3</v>
      </c>
      <c r="I1400" t="s">
        <v>89</v>
      </c>
      <c r="J1400">
        <v>28.67</v>
      </c>
      <c r="K1400">
        <v>1</v>
      </c>
      <c r="L1400">
        <v>5</v>
      </c>
      <c r="M1400" t="s">
        <v>1842</v>
      </c>
      <c r="N1400">
        <v>10</v>
      </c>
      <c r="O1400">
        <v>12.33</v>
      </c>
      <c r="P1400">
        <v>123574.88</v>
      </c>
      <c r="Q1400">
        <v>95329.65</v>
      </c>
      <c r="R1400">
        <v>637</v>
      </c>
      <c r="S1400">
        <v>1622</v>
      </c>
      <c r="T1400" t="s">
        <v>34</v>
      </c>
      <c r="U1400" t="s">
        <v>31</v>
      </c>
    </row>
    <row r="1401" spans="1:21">
      <c r="A1401" t="s">
        <v>2265</v>
      </c>
      <c r="B1401" t="s">
        <v>1932</v>
      </c>
      <c r="C1401" t="s">
        <v>1857</v>
      </c>
      <c r="D1401">
        <v>126000</v>
      </c>
      <c r="E1401">
        <v>15000</v>
      </c>
      <c r="H1401">
        <v>5</v>
      </c>
      <c r="I1401" t="s">
        <v>89</v>
      </c>
      <c r="J1401">
        <v>25.55</v>
      </c>
      <c r="K1401">
        <v>1</v>
      </c>
      <c r="L1401">
        <v>5</v>
      </c>
      <c r="M1401" t="s">
        <v>1842</v>
      </c>
      <c r="N1401">
        <v>10</v>
      </c>
      <c r="O1401">
        <v>12.33</v>
      </c>
      <c r="P1401">
        <v>123574.88</v>
      </c>
      <c r="Q1401">
        <v>95329.65</v>
      </c>
      <c r="R1401">
        <v>637</v>
      </c>
      <c r="S1401">
        <v>1622</v>
      </c>
      <c r="T1401" t="s">
        <v>34</v>
      </c>
      <c r="U1401" t="s">
        <v>31</v>
      </c>
    </row>
    <row r="1402" spans="1:21">
      <c r="A1402" t="s">
        <v>2266</v>
      </c>
      <c r="B1402" t="s">
        <v>1932</v>
      </c>
      <c r="C1402" t="s">
        <v>1857</v>
      </c>
      <c r="D1402">
        <v>133500</v>
      </c>
      <c r="E1402">
        <v>15000</v>
      </c>
      <c r="H1402">
        <v>5</v>
      </c>
      <c r="I1402" t="s">
        <v>89</v>
      </c>
      <c r="J1402">
        <v>27.4</v>
      </c>
      <c r="K1402">
        <v>1</v>
      </c>
      <c r="L1402">
        <v>5</v>
      </c>
      <c r="M1402" t="s">
        <v>1842</v>
      </c>
      <c r="N1402">
        <v>10</v>
      </c>
      <c r="O1402">
        <v>12.33</v>
      </c>
      <c r="P1402">
        <v>123574.88</v>
      </c>
      <c r="Q1402">
        <v>95329.65</v>
      </c>
      <c r="R1402">
        <v>637</v>
      </c>
      <c r="S1402">
        <v>1622</v>
      </c>
      <c r="T1402" t="s">
        <v>34</v>
      </c>
      <c r="U1402" t="s">
        <v>31</v>
      </c>
    </row>
    <row r="1403" spans="1:21">
      <c r="A1403" t="s">
        <v>2267</v>
      </c>
      <c r="B1403" t="s">
        <v>2268</v>
      </c>
      <c r="C1403" t="s">
        <v>1291</v>
      </c>
      <c r="D1403">
        <v>85000</v>
      </c>
      <c r="E1403">
        <v>5000</v>
      </c>
      <c r="F1403">
        <v>170000</v>
      </c>
      <c r="G1403">
        <v>85000</v>
      </c>
      <c r="H1403">
        <v>6</v>
      </c>
      <c r="I1403" t="s">
        <v>89</v>
      </c>
      <c r="J1403">
        <v>24.02</v>
      </c>
      <c r="K1403">
        <v>27</v>
      </c>
      <c r="L1403">
        <v>7</v>
      </c>
      <c r="M1403" t="s">
        <v>1842</v>
      </c>
      <c r="N1403">
        <v>8</v>
      </c>
      <c r="O1403">
        <v>9</v>
      </c>
      <c r="P1403">
        <v>123574.88</v>
      </c>
      <c r="Q1403">
        <v>95329.65</v>
      </c>
      <c r="R1403">
        <v>637</v>
      </c>
      <c r="S1403">
        <v>1622</v>
      </c>
      <c r="T1403" t="s">
        <v>34</v>
      </c>
      <c r="U1403" t="s">
        <v>27</v>
      </c>
    </row>
    <row r="1404" spans="1:21">
      <c r="A1404" t="s">
        <v>2269</v>
      </c>
      <c r="B1404" t="s">
        <v>1939</v>
      </c>
      <c r="C1404" t="s">
        <v>1291</v>
      </c>
      <c r="D1404">
        <v>147000</v>
      </c>
      <c r="E1404">
        <v>10000</v>
      </c>
      <c r="F1404">
        <v>147000</v>
      </c>
      <c r="H1404">
        <v>2</v>
      </c>
      <c r="I1404" t="s">
        <v>89</v>
      </c>
      <c r="J1404">
        <v>25.36</v>
      </c>
      <c r="K1404">
        <v>0</v>
      </c>
      <c r="L1404">
        <v>8</v>
      </c>
      <c r="M1404" t="s">
        <v>1842</v>
      </c>
      <c r="N1404">
        <v>9</v>
      </c>
      <c r="O1404">
        <v>9.67</v>
      </c>
      <c r="P1404">
        <v>123574.88</v>
      </c>
      <c r="Q1404">
        <v>95329.65</v>
      </c>
      <c r="R1404">
        <v>637</v>
      </c>
      <c r="S1404">
        <v>1622</v>
      </c>
      <c r="T1404" t="s">
        <v>34</v>
      </c>
      <c r="U1404" t="s">
        <v>81</v>
      </c>
    </row>
    <row r="1405" spans="1:21">
      <c r="A1405" t="s">
        <v>2270</v>
      </c>
      <c r="B1405" t="s">
        <v>1939</v>
      </c>
      <c r="C1405" t="s">
        <v>1291</v>
      </c>
      <c r="D1405">
        <v>148000</v>
      </c>
      <c r="E1405">
        <v>10000</v>
      </c>
      <c r="F1405">
        <v>148000</v>
      </c>
      <c r="H1405">
        <v>3</v>
      </c>
      <c r="I1405" t="s">
        <v>89</v>
      </c>
      <c r="J1405">
        <v>25.36</v>
      </c>
      <c r="K1405">
        <v>0</v>
      </c>
      <c r="L1405">
        <v>8</v>
      </c>
      <c r="M1405" t="s">
        <v>1842</v>
      </c>
      <c r="N1405">
        <v>9</v>
      </c>
      <c r="O1405">
        <v>9.67</v>
      </c>
      <c r="P1405">
        <v>123574.88</v>
      </c>
      <c r="Q1405">
        <v>95329.65</v>
      </c>
      <c r="R1405">
        <v>637</v>
      </c>
      <c r="S1405">
        <v>1622</v>
      </c>
      <c r="T1405" t="s">
        <v>34</v>
      </c>
      <c r="U1405" t="s">
        <v>81</v>
      </c>
    </row>
    <row r="1406" spans="1:21">
      <c r="A1406" t="s">
        <v>2271</v>
      </c>
      <c r="B1406" t="s">
        <v>1939</v>
      </c>
      <c r="C1406" t="s">
        <v>1291</v>
      </c>
      <c r="D1406">
        <v>145000</v>
      </c>
      <c r="E1406">
        <v>10000</v>
      </c>
      <c r="F1406">
        <v>145000</v>
      </c>
      <c r="H1406">
        <v>3</v>
      </c>
      <c r="I1406" t="s">
        <v>89</v>
      </c>
      <c r="J1406">
        <v>25.57</v>
      </c>
      <c r="K1406">
        <v>0</v>
      </c>
      <c r="L1406">
        <v>8</v>
      </c>
      <c r="M1406" t="s">
        <v>1842</v>
      </c>
      <c r="N1406">
        <v>9</v>
      </c>
      <c r="O1406">
        <v>9.67</v>
      </c>
      <c r="P1406">
        <v>123574.88</v>
      </c>
      <c r="Q1406">
        <v>95329.65</v>
      </c>
      <c r="R1406">
        <v>637</v>
      </c>
      <c r="S1406">
        <v>1622</v>
      </c>
      <c r="T1406" t="s">
        <v>34</v>
      </c>
      <c r="U1406" t="s">
        <v>81</v>
      </c>
    </row>
    <row r="1407" spans="1:21">
      <c r="A1407" t="s">
        <v>2272</v>
      </c>
      <c r="B1407" t="s">
        <v>1939</v>
      </c>
      <c r="C1407" t="s">
        <v>1291</v>
      </c>
      <c r="D1407">
        <v>149000</v>
      </c>
      <c r="E1407">
        <v>10000</v>
      </c>
      <c r="F1407">
        <v>149000</v>
      </c>
      <c r="H1407">
        <v>4</v>
      </c>
      <c r="I1407" t="s">
        <v>89</v>
      </c>
      <c r="J1407">
        <v>25.36</v>
      </c>
      <c r="K1407">
        <v>0</v>
      </c>
      <c r="L1407">
        <v>8</v>
      </c>
      <c r="M1407" t="s">
        <v>1842</v>
      </c>
      <c r="N1407">
        <v>9</v>
      </c>
      <c r="O1407">
        <v>9.67</v>
      </c>
      <c r="P1407">
        <v>123574.88</v>
      </c>
      <c r="Q1407">
        <v>95329.65</v>
      </c>
      <c r="R1407">
        <v>637</v>
      </c>
      <c r="S1407">
        <v>1622</v>
      </c>
      <c r="T1407" t="s">
        <v>34</v>
      </c>
      <c r="U1407" t="s">
        <v>81</v>
      </c>
    </row>
    <row r="1408" spans="1:21">
      <c r="A1408" t="s">
        <v>2273</v>
      </c>
      <c r="B1408" t="s">
        <v>1939</v>
      </c>
      <c r="C1408" t="s">
        <v>1291</v>
      </c>
      <c r="D1408">
        <v>156000</v>
      </c>
      <c r="E1408">
        <v>10000</v>
      </c>
      <c r="F1408">
        <v>156000</v>
      </c>
      <c r="H1408">
        <v>5</v>
      </c>
      <c r="I1408" t="s">
        <v>89</v>
      </c>
      <c r="J1408">
        <v>25.36</v>
      </c>
      <c r="K1408">
        <v>0</v>
      </c>
      <c r="L1408">
        <v>8</v>
      </c>
      <c r="M1408" t="s">
        <v>1842</v>
      </c>
      <c r="N1408">
        <v>9</v>
      </c>
      <c r="O1408">
        <v>9.67</v>
      </c>
      <c r="P1408">
        <v>123574.88</v>
      </c>
      <c r="Q1408">
        <v>95329.65</v>
      </c>
      <c r="R1408">
        <v>637</v>
      </c>
      <c r="S1408">
        <v>1622</v>
      </c>
      <c r="T1408" t="s">
        <v>34</v>
      </c>
      <c r="U1408" t="s">
        <v>81</v>
      </c>
    </row>
    <row r="1409" spans="1:21">
      <c r="A1409" t="s">
        <v>2274</v>
      </c>
      <c r="B1409" t="s">
        <v>1939</v>
      </c>
      <c r="C1409" t="s">
        <v>1291</v>
      </c>
      <c r="D1409">
        <v>159000</v>
      </c>
      <c r="E1409">
        <v>10000</v>
      </c>
      <c r="F1409">
        <v>159000</v>
      </c>
      <c r="G1409">
        <v>159000</v>
      </c>
      <c r="H1409">
        <v>6</v>
      </c>
      <c r="I1409" t="s">
        <v>89</v>
      </c>
      <c r="J1409">
        <v>25.36</v>
      </c>
      <c r="K1409">
        <v>0</v>
      </c>
      <c r="L1409">
        <v>8</v>
      </c>
      <c r="M1409" t="s">
        <v>1842</v>
      </c>
      <c r="N1409">
        <v>9</v>
      </c>
      <c r="O1409">
        <v>9.67</v>
      </c>
      <c r="P1409">
        <v>123574.88</v>
      </c>
      <c r="Q1409">
        <v>95329.65</v>
      </c>
      <c r="R1409">
        <v>637</v>
      </c>
      <c r="S1409">
        <v>1622</v>
      </c>
      <c r="T1409" t="s">
        <v>34</v>
      </c>
      <c r="U1409" t="s">
        <v>81</v>
      </c>
    </row>
    <row r="1410" spans="1:21">
      <c r="A1410" t="s">
        <v>2275</v>
      </c>
      <c r="B1410" t="s">
        <v>2276</v>
      </c>
      <c r="C1410" t="s">
        <v>1857</v>
      </c>
      <c r="D1410">
        <v>65000</v>
      </c>
      <c r="E1410">
        <v>3000</v>
      </c>
      <c r="F1410">
        <v>65000</v>
      </c>
      <c r="G1410">
        <v>65000</v>
      </c>
      <c r="H1410">
        <v>2</v>
      </c>
      <c r="I1410" t="s">
        <v>89</v>
      </c>
      <c r="J1410">
        <v>18</v>
      </c>
      <c r="K1410">
        <v>46</v>
      </c>
      <c r="L1410">
        <v>2</v>
      </c>
      <c r="M1410" t="s">
        <v>1842</v>
      </c>
      <c r="N1410">
        <v>6</v>
      </c>
      <c r="O1410">
        <v>14</v>
      </c>
      <c r="P1410">
        <v>123574.88</v>
      </c>
      <c r="Q1410">
        <v>95329.65</v>
      </c>
      <c r="R1410">
        <v>637</v>
      </c>
      <c r="S1410">
        <v>1622</v>
      </c>
      <c r="T1410" t="s">
        <v>108</v>
      </c>
      <c r="U1410" t="s">
        <v>42</v>
      </c>
    </row>
    <row r="1411" spans="1:21">
      <c r="A1411" t="s">
        <v>2277</v>
      </c>
      <c r="B1411" t="s">
        <v>2276</v>
      </c>
      <c r="C1411" t="s">
        <v>1857</v>
      </c>
      <c r="D1411">
        <v>65000</v>
      </c>
      <c r="E1411">
        <v>3000</v>
      </c>
      <c r="F1411">
        <v>65000</v>
      </c>
      <c r="G1411">
        <v>65000</v>
      </c>
      <c r="H1411">
        <v>2</v>
      </c>
      <c r="I1411" t="s">
        <v>89</v>
      </c>
      <c r="J1411">
        <v>19</v>
      </c>
      <c r="K1411">
        <v>46</v>
      </c>
      <c r="L1411">
        <v>2</v>
      </c>
      <c r="M1411" t="s">
        <v>1842</v>
      </c>
      <c r="N1411">
        <v>6</v>
      </c>
      <c r="O1411">
        <v>14</v>
      </c>
      <c r="P1411">
        <v>123574.88</v>
      </c>
      <c r="Q1411">
        <v>95329.65</v>
      </c>
      <c r="R1411">
        <v>637</v>
      </c>
      <c r="S1411">
        <v>1622</v>
      </c>
      <c r="T1411" t="s">
        <v>108</v>
      </c>
      <c r="U1411" t="s">
        <v>42</v>
      </c>
    </row>
    <row r="1412" spans="1:21">
      <c r="A1412" t="s">
        <v>2278</v>
      </c>
      <c r="B1412" t="s">
        <v>1946</v>
      </c>
      <c r="C1412" t="s">
        <v>1291</v>
      </c>
      <c r="D1412">
        <v>129000</v>
      </c>
      <c r="E1412">
        <v>10000</v>
      </c>
      <c r="F1412">
        <v>129000</v>
      </c>
      <c r="G1412">
        <v>129000</v>
      </c>
      <c r="H1412">
        <v>10</v>
      </c>
      <c r="I1412" t="s">
        <v>89</v>
      </c>
      <c r="J1412">
        <v>25.1</v>
      </c>
      <c r="K1412">
        <v>5</v>
      </c>
      <c r="L1412">
        <v>12</v>
      </c>
      <c r="M1412" t="s">
        <v>1842</v>
      </c>
      <c r="N1412">
        <v>9</v>
      </c>
      <c r="O1412">
        <v>10.33</v>
      </c>
      <c r="P1412">
        <v>123574.88</v>
      </c>
      <c r="Q1412">
        <v>95329.65</v>
      </c>
      <c r="R1412">
        <v>637</v>
      </c>
      <c r="S1412">
        <v>1622</v>
      </c>
      <c r="T1412" t="s">
        <v>34</v>
      </c>
      <c r="U1412" t="s">
        <v>31</v>
      </c>
    </row>
    <row r="1413" spans="1:21">
      <c r="A1413" t="s">
        <v>2279</v>
      </c>
      <c r="B1413" t="s">
        <v>1946</v>
      </c>
      <c r="C1413" t="s">
        <v>1291</v>
      </c>
      <c r="D1413">
        <v>126000</v>
      </c>
      <c r="E1413">
        <v>10000</v>
      </c>
      <c r="F1413">
        <v>126000</v>
      </c>
      <c r="G1413">
        <v>126000</v>
      </c>
      <c r="H1413">
        <v>3</v>
      </c>
      <c r="I1413" t="s">
        <v>89</v>
      </c>
      <c r="J1413">
        <v>25.1</v>
      </c>
      <c r="K1413">
        <v>5</v>
      </c>
      <c r="L1413">
        <v>12</v>
      </c>
      <c r="M1413" t="s">
        <v>1842</v>
      </c>
      <c r="N1413">
        <v>9</v>
      </c>
      <c r="O1413">
        <v>10.33</v>
      </c>
      <c r="P1413">
        <v>123574.88</v>
      </c>
      <c r="Q1413">
        <v>95329.65</v>
      </c>
      <c r="R1413">
        <v>637</v>
      </c>
      <c r="S1413">
        <v>1622</v>
      </c>
      <c r="T1413" t="s">
        <v>34</v>
      </c>
      <c r="U1413" t="s">
        <v>31</v>
      </c>
    </row>
    <row r="1414" spans="1:21">
      <c r="A1414" t="s">
        <v>2280</v>
      </c>
      <c r="B1414" t="s">
        <v>1946</v>
      </c>
      <c r="C1414" t="s">
        <v>1291</v>
      </c>
      <c r="D1414">
        <v>127000</v>
      </c>
      <c r="E1414">
        <v>10000</v>
      </c>
      <c r="F1414">
        <v>127000</v>
      </c>
      <c r="G1414">
        <v>127000</v>
      </c>
      <c r="H1414">
        <v>8</v>
      </c>
      <c r="I1414" t="s">
        <v>89</v>
      </c>
      <c r="J1414">
        <v>25.1</v>
      </c>
      <c r="K1414">
        <v>5</v>
      </c>
      <c r="L1414">
        <v>12</v>
      </c>
      <c r="M1414" t="s">
        <v>1842</v>
      </c>
      <c r="N1414">
        <v>9</v>
      </c>
      <c r="O1414">
        <v>10.33</v>
      </c>
      <c r="P1414">
        <v>123574.88</v>
      </c>
      <c r="Q1414">
        <v>95329.65</v>
      </c>
      <c r="R1414">
        <v>637</v>
      </c>
      <c r="S1414">
        <v>1622</v>
      </c>
      <c r="T1414" t="s">
        <v>34</v>
      </c>
      <c r="U1414" t="s">
        <v>31</v>
      </c>
    </row>
    <row r="1415" spans="1:21">
      <c r="A1415" t="s">
        <v>2281</v>
      </c>
      <c r="B1415" t="s">
        <v>2282</v>
      </c>
      <c r="C1415" t="s">
        <v>2033</v>
      </c>
      <c r="D1415">
        <v>65000</v>
      </c>
      <c r="E1415">
        <v>1000</v>
      </c>
      <c r="F1415">
        <v>65000</v>
      </c>
      <c r="G1415">
        <v>65000</v>
      </c>
      <c r="H1415">
        <v>2</v>
      </c>
      <c r="I1415" t="s">
        <v>89</v>
      </c>
      <c r="J1415">
        <v>21</v>
      </c>
      <c r="K1415">
        <v>35</v>
      </c>
      <c r="L1415">
        <v>2</v>
      </c>
      <c r="M1415" t="s">
        <v>1842</v>
      </c>
      <c r="N1415">
        <v>8</v>
      </c>
      <c r="O1415">
        <v>15.67</v>
      </c>
      <c r="P1415">
        <v>123574.88</v>
      </c>
      <c r="Q1415">
        <v>95329.65</v>
      </c>
      <c r="R1415">
        <v>637</v>
      </c>
      <c r="S1415">
        <v>1622</v>
      </c>
      <c r="T1415" t="s">
        <v>34</v>
      </c>
      <c r="U1415" t="s">
        <v>49</v>
      </c>
    </row>
    <row r="1416" spans="1:21">
      <c r="A1416" t="s">
        <v>2283</v>
      </c>
      <c r="B1416" t="s">
        <v>2284</v>
      </c>
      <c r="C1416" t="s">
        <v>688</v>
      </c>
      <c r="D1416">
        <v>105000</v>
      </c>
      <c r="E1416">
        <v>5000</v>
      </c>
      <c r="F1416">
        <v>52500</v>
      </c>
      <c r="G1416">
        <v>105000</v>
      </c>
      <c r="H1416">
        <v>3</v>
      </c>
      <c r="I1416" t="s">
        <v>89</v>
      </c>
      <c r="J1416">
        <v>29.39</v>
      </c>
      <c r="K1416">
        <v>4</v>
      </c>
      <c r="L1416">
        <v>4</v>
      </c>
      <c r="M1416" t="s">
        <v>1842</v>
      </c>
      <c r="N1416">
        <v>4</v>
      </c>
      <c r="O1416">
        <v>11.33</v>
      </c>
      <c r="P1416">
        <v>123574.88</v>
      </c>
      <c r="Q1416">
        <v>95329.65</v>
      </c>
      <c r="R1416">
        <v>637</v>
      </c>
      <c r="S1416">
        <v>1622</v>
      </c>
      <c r="T1416" t="s">
        <v>34</v>
      </c>
      <c r="U1416" t="s">
        <v>31</v>
      </c>
    </row>
    <row r="1417" spans="1:21">
      <c r="A1417" t="s">
        <v>2285</v>
      </c>
      <c r="B1417" t="s">
        <v>2286</v>
      </c>
      <c r="C1417" t="s">
        <v>1857</v>
      </c>
      <c r="D1417">
        <v>72000</v>
      </c>
      <c r="E1417">
        <v>4000</v>
      </c>
      <c r="F1417">
        <v>36000</v>
      </c>
      <c r="G1417">
        <v>108000</v>
      </c>
      <c r="H1417">
        <v>1</v>
      </c>
      <c r="I1417" t="s">
        <v>89</v>
      </c>
      <c r="J1417">
        <v>16.239999999999998</v>
      </c>
      <c r="K1417">
        <v>7</v>
      </c>
      <c r="L1417">
        <v>3</v>
      </c>
      <c r="M1417" t="s">
        <v>1842</v>
      </c>
      <c r="N1417">
        <v>9</v>
      </c>
      <c r="O1417">
        <v>12.33</v>
      </c>
      <c r="P1417">
        <v>123574.88</v>
      </c>
      <c r="Q1417">
        <v>95329.65</v>
      </c>
      <c r="R1417">
        <v>637</v>
      </c>
      <c r="S1417">
        <v>1622</v>
      </c>
      <c r="T1417" t="s">
        <v>108</v>
      </c>
      <c r="U1417" t="s">
        <v>31</v>
      </c>
    </row>
    <row r="1418" spans="1:21">
      <c r="A1418" t="s">
        <v>2287</v>
      </c>
      <c r="B1418" t="s">
        <v>2286</v>
      </c>
      <c r="C1418" t="s">
        <v>1857</v>
      </c>
      <c r="D1418">
        <v>73000</v>
      </c>
      <c r="E1418">
        <v>4000</v>
      </c>
      <c r="F1418">
        <v>36500</v>
      </c>
      <c r="G1418">
        <v>109500</v>
      </c>
      <c r="H1418">
        <v>1</v>
      </c>
      <c r="I1418" t="s">
        <v>89</v>
      </c>
      <c r="J1418">
        <v>16.850000000000001</v>
      </c>
      <c r="K1418">
        <v>7</v>
      </c>
      <c r="L1418">
        <v>3</v>
      </c>
      <c r="M1418" t="s">
        <v>1842</v>
      </c>
      <c r="N1418">
        <v>9</v>
      </c>
      <c r="O1418">
        <v>12.33</v>
      </c>
      <c r="P1418">
        <v>123574.88</v>
      </c>
      <c r="Q1418">
        <v>95329.65</v>
      </c>
      <c r="R1418">
        <v>637</v>
      </c>
      <c r="S1418">
        <v>1622</v>
      </c>
      <c r="T1418" t="s">
        <v>108</v>
      </c>
      <c r="U1418" t="s">
        <v>31</v>
      </c>
    </row>
    <row r="1419" spans="1:21">
      <c r="A1419" t="s">
        <v>2288</v>
      </c>
      <c r="B1419" t="s">
        <v>2286</v>
      </c>
      <c r="C1419" t="s">
        <v>1857</v>
      </c>
      <c r="D1419">
        <v>75000</v>
      </c>
      <c r="E1419">
        <v>4000</v>
      </c>
      <c r="F1419">
        <v>37500</v>
      </c>
      <c r="G1419">
        <v>112500</v>
      </c>
      <c r="H1419">
        <v>2</v>
      </c>
      <c r="I1419" t="s">
        <v>89</v>
      </c>
      <c r="J1419">
        <v>16.489999999999998</v>
      </c>
      <c r="K1419">
        <v>7</v>
      </c>
      <c r="L1419">
        <v>3</v>
      </c>
      <c r="M1419" t="s">
        <v>1842</v>
      </c>
      <c r="N1419">
        <v>9</v>
      </c>
      <c r="O1419">
        <v>12.33</v>
      </c>
      <c r="P1419">
        <v>123574.88</v>
      </c>
      <c r="Q1419">
        <v>95329.65</v>
      </c>
      <c r="R1419">
        <v>637</v>
      </c>
      <c r="S1419">
        <v>1622</v>
      </c>
      <c r="T1419" t="s">
        <v>108</v>
      </c>
      <c r="U1419" t="s">
        <v>31</v>
      </c>
    </row>
    <row r="1420" spans="1:21">
      <c r="A1420" t="s">
        <v>2289</v>
      </c>
      <c r="B1420" t="s">
        <v>2290</v>
      </c>
      <c r="C1420" t="s">
        <v>1850</v>
      </c>
      <c r="D1420">
        <v>73000</v>
      </c>
      <c r="H1420">
        <v>2</v>
      </c>
      <c r="I1420" t="s">
        <v>89</v>
      </c>
      <c r="J1420">
        <v>17.34</v>
      </c>
      <c r="K1420">
        <v>23</v>
      </c>
      <c r="L1420">
        <v>2</v>
      </c>
      <c r="M1420" t="s">
        <v>1842</v>
      </c>
      <c r="N1420">
        <v>10</v>
      </c>
      <c r="O1420">
        <v>16.670000000000002</v>
      </c>
      <c r="P1420">
        <v>123574.88</v>
      </c>
      <c r="Q1420">
        <v>95329.65</v>
      </c>
      <c r="R1420">
        <v>637</v>
      </c>
      <c r="S1420">
        <v>1622</v>
      </c>
      <c r="T1420" t="s">
        <v>108</v>
      </c>
      <c r="U1420" t="s">
        <v>27</v>
      </c>
    </row>
    <row r="1421" spans="1:21">
      <c r="A1421" t="s">
        <v>2291</v>
      </c>
      <c r="B1421" t="s">
        <v>1840</v>
      </c>
      <c r="C1421" t="s">
        <v>1841</v>
      </c>
      <c r="D1421">
        <v>108000</v>
      </c>
      <c r="E1421">
        <v>3000</v>
      </c>
      <c r="H1421">
        <v>2</v>
      </c>
      <c r="I1421" t="s">
        <v>325</v>
      </c>
      <c r="J1421">
        <v>21.55</v>
      </c>
      <c r="K1421">
        <v>0</v>
      </c>
      <c r="L1421">
        <v>2</v>
      </c>
      <c r="M1421" t="s">
        <v>1842</v>
      </c>
      <c r="N1421">
        <v>7</v>
      </c>
      <c r="O1421">
        <v>10.33</v>
      </c>
      <c r="P1421">
        <v>123574.88</v>
      </c>
      <c r="Q1421">
        <v>168453.81</v>
      </c>
      <c r="R1421">
        <v>637</v>
      </c>
      <c r="S1421">
        <v>788</v>
      </c>
      <c r="T1421" t="s">
        <v>34</v>
      </c>
      <c r="U1421" t="s">
        <v>81</v>
      </c>
    </row>
    <row r="1422" spans="1:21">
      <c r="A1422" t="s">
        <v>2292</v>
      </c>
      <c r="B1422" t="s">
        <v>1840</v>
      </c>
      <c r="C1422" t="s">
        <v>1841</v>
      </c>
      <c r="D1422">
        <v>90000</v>
      </c>
      <c r="E1422">
        <v>3000</v>
      </c>
      <c r="H1422">
        <v>2</v>
      </c>
      <c r="I1422" t="s">
        <v>325</v>
      </c>
      <c r="J1422">
        <v>23.9</v>
      </c>
      <c r="K1422">
        <v>0</v>
      </c>
      <c r="L1422">
        <v>2</v>
      </c>
      <c r="M1422" t="s">
        <v>1842</v>
      </c>
      <c r="N1422">
        <v>7</v>
      </c>
      <c r="O1422">
        <v>10.33</v>
      </c>
      <c r="P1422">
        <v>123574.88</v>
      </c>
      <c r="Q1422">
        <v>168453.81</v>
      </c>
      <c r="R1422">
        <v>637</v>
      </c>
      <c r="S1422">
        <v>788</v>
      </c>
      <c r="T1422" t="s">
        <v>34</v>
      </c>
      <c r="U1422" t="s">
        <v>81</v>
      </c>
    </row>
    <row r="1423" spans="1:21">
      <c r="A1423" t="s">
        <v>2293</v>
      </c>
      <c r="B1423" t="s">
        <v>1840</v>
      </c>
      <c r="C1423" t="s">
        <v>1841</v>
      </c>
      <c r="D1423">
        <v>109000</v>
      </c>
      <c r="E1423">
        <v>3000</v>
      </c>
      <c r="H1423">
        <v>2</v>
      </c>
      <c r="I1423" t="s">
        <v>325</v>
      </c>
      <c r="J1423">
        <v>24.27</v>
      </c>
      <c r="K1423">
        <v>0</v>
      </c>
      <c r="L1423">
        <v>2</v>
      </c>
      <c r="M1423" t="s">
        <v>1842</v>
      </c>
      <c r="N1423">
        <v>7</v>
      </c>
      <c r="O1423">
        <v>10.33</v>
      </c>
      <c r="P1423">
        <v>123574.88</v>
      </c>
      <c r="Q1423">
        <v>168453.81</v>
      </c>
      <c r="R1423">
        <v>637</v>
      </c>
      <c r="S1423">
        <v>788</v>
      </c>
      <c r="T1423" t="s">
        <v>34</v>
      </c>
      <c r="U1423" t="s">
        <v>81</v>
      </c>
    </row>
    <row r="1424" spans="1:21">
      <c r="A1424" t="s">
        <v>2294</v>
      </c>
      <c r="B1424" t="s">
        <v>2295</v>
      </c>
      <c r="C1424" t="s">
        <v>1887</v>
      </c>
      <c r="D1424">
        <v>135000</v>
      </c>
      <c r="E1424">
        <v>11000</v>
      </c>
      <c r="F1424">
        <v>135000</v>
      </c>
      <c r="G1424">
        <v>135000</v>
      </c>
      <c r="H1424">
        <v>1</v>
      </c>
      <c r="I1424" t="s">
        <v>325</v>
      </c>
      <c r="J1424">
        <v>40.380000000000003</v>
      </c>
      <c r="K1424">
        <v>7</v>
      </c>
      <c r="L1424">
        <v>2</v>
      </c>
      <c r="M1424" t="s">
        <v>1842</v>
      </c>
      <c r="N1424">
        <v>7</v>
      </c>
      <c r="O1424">
        <v>12.33</v>
      </c>
      <c r="P1424">
        <v>123574.88</v>
      </c>
      <c r="Q1424">
        <v>168453.81</v>
      </c>
      <c r="R1424">
        <v>637</v>
      </c>
      <c r="S1424">
        <v>788</v>
      </c>
      <c r="T1424" t="s">
        <v>326</v>
      </c>
      <c r="U1424" t="s">
        <v>31</v>
      </c>
    </row>
    <row r="1425" spans="1:21">
      <c r="A1425" t="s">
        <v>2296</v>
      </c>
      <c r="B1425" t="s">
        <v>1849</v>
      </c>
      <c r="C1425" t="s">
        <v>1850</v>
      </c>
      <c r="D1425">
        <v>163000</v>
      </c>
      <c r="E1425">
        <v>5000</v>
      </c>
      <c r="H1425">
        <v>1</v>
      </c>
      <c r="I1425" t="s">
        <v>325</v>
      </c>
      <c r="J1425">
        <v>37.130000000000003</v>
      </c>
      <c r="K1425">
        <v>0</v>
      </c>
      <c r="L1425">
        <v>4</v>
      </c>
      <c r="M1425" t="s">
        <v>1842</v>
      </c>
      <c r="N1425">
        <v>3</v>
      </c>
      <c r="O1425">
        <v>3</v>
      </c>
      <c r="P1425">
        <v>123574.88</v>
      </c>
      <c r="Q1425">
        <v>168453.81</v>
      </c>
      <c r="R1425">
        <v>637</v>
      </c>
      <c r="S1425">
        <v>788</v>
      </c>
      <c r="T1425" t="s">
        <v>26</v>
      </c>
      <c r="U1425" t="s">
        <v>81</v>
      </c>
    </row>
    <row r="1426" spans="1:21">
      <c r="A1426" t="s">
        <v>2297</v>
      </c>
      <c r="B1426" t="s">
        <v>1849</v>
      </c>
      <c r="C1426" t="s">
        <v>1850</v>
      </c>
      <c r="D1426">
        <v>164000</v>
      </c>
      <c r="E1426">
        <v>5000</v>
      </c>
      <c r="H1426">
        <v>2</v>
      </c>
      <c r="I1426" t="s">
        <v>325</v>
      </c>
      <c r="J1426">
        <v>37.130000000000003</v>
      </c>
      <c r="K1426">
        <v>0</v>
      </c>
      <c r="L1426">
        <v>4</v>
      </c>
      <c r="M1426" t="s">
        <v>1842</v>
      </c>
      <c r="N1426">
        <v>3</v>
      </c>
      <c r="O1426">
        <v>3</v>
      </c>
      <c r="P1426">
        <v>123574.88</v>
      </c>
      <c r="Q1426">
        <v>168453.81</v>
      </c>
      <c r="R1426">
        <v>637</v>
      </c>
      <c r="S1426">
        <v>788</v>
      </c>
      <c r="T1426" t="s">
        <v>26</v>
      </c>
      <c r="U1426" t="s">
        <v>81</v>
      </c>
    </row>
    <row r="1427" spans="1:21">
      <c r="A1427" t="s">
        <v>2298</v>
      </c>
      <c r="B1427" t="s">
        <v>2299</v>
      </c>
      <c r="C1427" t="s">
        <v>1291</v>
      </c>
      <c r="D1427">
        <v>213000</v>
      </c>
      <c r="E1427">
        <v>6000</v>
      </c>
      <c r="F1427">
        <v>213000</v>
      </c>
      <c r="G1427">
        <v>213000</v>
      </c>
      <c r="H1427">
        <v>2</v>
      </c>
      <c r="I1427" t="s">
        <v>325</v>
      </c>
      <c r="J1427">
        <v>46</v>
      </c>
      <c r="K1427">
        <v>4</v>
      </c>
      <c r="L1427">
        <v>4</v>
      </c>
      <c r="M1427" t="s">
        <v>1842</v>
      </c>
      <c r="N1427">
        <v>5</v>
      </c>
      <c r="O1427">
        <v>7.5</v>
      </c>
      <c r="P1427">
        <v>123574.88</v>
      </c>
      <c r="Q1427">
        <v>168453.81</v>
      </c>
      <c r="R1427">
        <v>637</v>
      </c>
      <c r="S1427">
        <v>788</v>
      </c>
      <c r="T1427" t="s">
        <v>326</v>
      </c>
      <c r="U1427" t="s">
        <v>31</v>
      </c>
    </row>
    <row r="1428" spans="1:21">
      <c r="A1428" t="s">
        <v>2300</v>
      </c>
      <c r="B1428" t="s">
        <v>1854</v>
      </c>
      <c r="C1428" t="s">
        <v>1841</v>
      </c>
      <c r="D1428">
        <v>180000</v>
      </c>
      <c r="E1428">
        <v>12000</v>
      </c>
      <c r="F1428">
        <v>180000</v>
      </c>
      <c r="H1428">
        <v>3</v>
      </c>
      <c r="I1428" t="s">
        <v>325</v>
      </c>
      <c r="J1428">
        <v>42.08</v>
      </c>
      <c r="K1428">
        <v>2</v>
      </c>
      <c r="L1428">
        <v>4</v>
      </c>
      <c r="M1428" t="s">
        <v>1842</v>
      </c>
      <c r="N1428">
        <v>3</v>
      </c>
      <c r="O1428">
        <v>13.67</v>
      </c>
      <c r="P1428">
        <v>123574.88</v>
      </c>
      <c r="Q1428">
        <v>168453.81</v>
      </c>
      <c r="R1428">
        <v>637</v>
      </c>
      <c r="S1428">
        <v>788</v>
      </c>
      <c r="T1428" t="s">
        <v>326</v>
      </c>
      <c r="U1428" t="s">
        <v>31</v>
      </c>
    </row>
    <row r="1429" spans="1:21">
      <c r="A1429" t="s">
        <v>2301</v>
      </c>
      <c r="B1429" t="s">
        <v>2302</v>
      </c>
      <c r="C1429" t="s">
        <v>1850</v>
      </c>
      <c r="D1429">
        <v>116000</v>
      </c>
      <c r="E1429">
        <v>3500</v>
      </c>
      <c r="G1429">
        <v>232000</v>
      </c>
      <c r="H1429">
        <v>2</v>
      </c>
      <c r="I1429" t="s">
        <v>325</v>
      </c>
      <c r="J1429">
        <v>36.590000000000003</v>
      </c>
      <c r="K1429">
        <v>15</v>
      </c>
      <c r="L1429">
        <v>3</v>
      </c>
      <c r="M1429" t="s">
        <v>1842</v>
      </c>
      <c r="N1429">
        <v>3</v>
      </c>
      <c r="O1429">
        <v>13.67</v>
      </c>
      <c r="P1429">
        <v>123574.88</v>
      </c>
      <c r="Q1429">
        <v>168453.81</v>
      </c>
      <c r="R1429">
        <v>637</v>
      </c>
      <c r="S1429">
        <v>788</v>
      </c>
      <c r="T1429" t="s">
        <v>26</v>
      </c>
      <c r="U1429" t="s">
        <v>90</v>
      </c>
    </row>
    <row r="1430" spans="1:21">
      <c r="A1430" t="s">
        <v>2303</v>
      </c>
      <c r="B1430" t="s">
        <v>2302</v>
      </c>
      <c r="C1430" t="s">
        <v>1850</v>
      </c>
      <c r="D1430">
        <v>110000</v>
      </c>
      <c r="E1430">
        <v>3500</v>
      </c>
      <c r="G1430">
        <v>220000</v>
      </c>
      <c r="H1430">
        <v>2</v>
      </c>
      <c r="I1430" t="s">
        <v>325</v>
      </c>
      <c r="J1430">
        <v>36.590000000000003</v>
      </c>
      <c r="K1430">
        <v>15</v>
      </c>
      <c r="L1430">
        <v>3</v>
      </c>
      <c r="M1430" t="s">
        <v>1842</v>
      </c>
      <c r="N1430">
        <v>3</v>
      </c>
      <c r="O1430">
        <v>13.67</v>
      </c>
      <c r="P1430">
        <v>123574.88</v>
      </c>
      <c r="Q1430">
        <v>168453.81</v>
      </c>
      <c r="R1430">
        <v>637</v>
      </c>
      <c r="S1430">
        <v>788</v>
      </c>
      <c r="T1430" t="s">
        <v>26</v>
      </c>
      <c r="U1430" t="s">
        <v>90</v>
      </c>
    </row>
    <row r="1431" spans="1:21">
      <c r="A1431" t="s">
        <v>2304</v>
      </c>
      <c r="B1431" t="s">
        <v>1856</v>
      </c>
      <c r="C1431" t="s">
        <v>1857</v>
      </c>
      <c r="D1431">
        <v>181000</v>
      </c>
      <c r="E1431">
        <v>15000</v>
      </c>
      <c r="H1431">
        <v>4</v>
      </c>
      <c r="I1431" t="s">
        <v>325</v>
      </c>
      <c r="J1431">
        <v>36.21</v>
      </c>
      <c r="K1431">
        <v>0</v>
      </c>
      <c r="L1431">
        <v>5</v>
      </c>
      <c r="M1431" t="s">
        <v>1842</v>
      </c>
      <c r="N1431">
        <v>10</v>
      </c>
      <c r="O1431">
        <v>12.67</v>
      </c>
      <c r="P1431">
        <v>123574.88</v>
      </c>
      <c r="Q1431">
        <v>168453.81</v>
      </c>
      <c r="R1431">
        <v>637</v>
      </c>
      <c r="S1431">
        <v>788</v>
      </c>
      <c r="T1431" t="s">
        <v>26</v>
      </c>
      <c r="U1431" t="s">
        <v>81</v>
      </c>
    </row>
    <row r="1432" spans="1:21">
      <c r="A1432" t="s">
        <v>2305</v>
      </c>
      <c r="B1432" t="s">
        <v>1856</v>
      </c>
      <c r="C1432" t="s">
        <v>1857</v>
      </c>
      <c r="D1432">
        <v>222000</v>
      </c>
      <c r="E1432">
        <v>15000</v>
      </c>
      <c r="H1432">
        <v>4</v>
      </c>
      <c r="I1432" t="s">
        <v>325</v>
      </c>
      <c r="J1432">
        <v>46.39</v>
      </c>
      <c r="K1432">
        <v>0</v>
      </c>
      <c r="L1432">
        <v>5</v>
      </c>
      <c r="M1432" t="s">
        <v>1842</v>
      </c>
      <c r="N1432">
        <v>10</v>
      </c>
      <c r="O1432">
        <v>12.67</v>
      </c>
      <c r="P1432">
        <v>123574.88</v>
      </c>
      <c r="Q1432">
        <v>168453.81</v>
      </c>
      <c r="R1432">
        <v>637</v>
      </c>
      <c r="S1432">
        <v>788</v>
      </c>
      <c r="T1432" t="s">
        <v>326</v>
      </c>
      <c r="U1432" t="s">
        <v>81</v>
      </c>
    </row>
    <row r="1433" spans="1:21">
      <c r="A1433" t="s">
        <v>2306</v>
      </c>
      <c r="B1433" t="s">
        <v>2307</v>
      </c>
      <c r="C1433" t="s">
        <v>2156</v>
      </c>
      <c r="D1433">
        <v>124000</v>
      </c>
      <c r="E1433">
        <v>7000</v>
      </c>
      <c r="G1433">
        <v>124000</v>
      </c>
      <c r="H1433">
        <v>2</v>
      </c>
      <c r="I1433" t="s">
        <v>325</v>
      </c>
      <c r="J1433">
        <v>41.37</v>
      </c>
      <c r="K1433">
        <v>11</v>
      </c>
      <c r="L1433">
        <v>2</v>
      </c>
      <c r="M1433" t="s">
        <v>1842</v>
      </c>
      <c r="N1433">
        <v>14</v>
      </c>
      <c r="O1433">
        <v>15.67</v>
      </c>
      <c r="P1433">
        <v>123574.88</v>
      </c>
      <c r="Q1433">
        <v>168453.81</v>
      </c>
      <c r="R1433">
        <v>637</v>
      </c>
      <c r="S1433">
        <v>788</v>
      </c>
      <c r="T1433" t="s">
        <v>326</v>
      </c>
      <c r="U1433" t="s">
        <v>90</v>
      </c>
    </row>
    <row r="1434" spans="1:21">
      <c r="A1434" t="s">
        <v>2308</v>
      </c>
      <c r="B1434" t="s">
        <v>2309</v>
      </c>
      <c r="C1434" t="s">
        <v>1850</v>
      </c>
      <c r="D1434">
        <v>122000</v>
      </c>
      <c r="E1434">
        <v>3000</v>
      </c>
      <c r="F1434">
        <v>61000</v>
      </c>
      <c r="G1434">
        <v>183000</v>
      </c>
      <c r="H1434">
        <v>1</v>
      </c>
      <c r="I1434" t="s">
        <v>325</v>
      </c>
      <c r="J1434">
        <v>36.83</v>
      </c>
      <c r="K1434">
        <v>13</v>
      </c>
      <c r="L1434">
        <v>3</v>
      </c>
      <c r="M1434" t="s">
        <v>1842</v>
      </c>
      <c r="N1434">
        <v>5</v>
      </c>
      <c r="O1434">
        <v>11.33</v>
      </c>
      <c r="P1434">
        <v>123574.88</v>
      </c>
      <c r="Q1434">
        <v>168453.81</v>
      </c>
      <c r="R1434">
        <v>637</v>
      </c>
      <c r="S1434">
        <v>788</v>
      </c>
      <c r="T1434" t="s">
        <v>26</v>
      </c>
      <c r="U1434" t="s">
        <v>90</v>
      </c>
    </row>
    <row r="1435" spans="1:21">
      <c r="A1435" t="s">
        <v>2310</v>
      </c>
      <c r="B1435" t="s">
        <v>2311</v>
      </c>
      <c r="C1435" t="s">
        <v>1870</v>
      </c>
      <c r="D1435">
        <v>135000</v>
      </c>
      <c r="E1435">
        <v>3000</v>
      </c>
      <c r="F1435">
        <v>135000</v>
      </c>
      <c r="G1435">
        <v>135000</v>
      </c>
      <c r="H1435">
        <v>3</v>
      </c>
      <c r="I1435" t="s">
        <v>325</v>
      </c>
      <c r="J1435">
        <v>46.95</v>
      </c>
      <c r="K1435">
        <v>10</v>
      </c>
      <c r="L1435">
        <v>3</v>
      </c>
      <c r="M1435" t="s">
        <v>1842</v>
      </c>
      <c r="N1435">
        <v>5</v>
      </c>
      <c r="O1435">
        <v>9.33</v>
      </c>
      <c r="P1435">
        <v>123574.88</v>
      </c>
      <c r="Q1435">
        <v>168453.81</v>
      </c>
      <c r="R1435">
        <v>637</v>
      </c>
      <c r="S1435">
        <v>788</v>
      </c>
      <c r="T1435" t="s">
        <v>326</v>
      </c>
      <c r="U1435" t="s">
        <v>31</v>
      </c>
    </row>
    <row r="1436" spans="1:21">
      <c r="A1436" t="s">
        <v>2312</v>
      </c>
      <c r="B1436" t="s">
        <v>2313</v>
      </c>
      <c r="C1436" t="s">
        <v>1841</v>
      </c>
      <c r="D1436">
        <v>143000</v>
      </c>
      <c r="E1436">
        <v>12000</v>
      </c>
      <c r="F1436">
        <v>143000</v>
      </c>
      <c r="H1436">
        <v>5</v>
      </c>
      <c r="I1436" t="s">
        <v>325</v>
      </c>
      <c r="J1436">
        <v>31.68</v>
      </c>
      <c r="K1436">
        <v>5</v>
      </c>
      <c r="L1436">
        <v>9</v>
      </c>
      <c r="M1436" t="s">
        <v>1842</v>
      </c>
      <c r="N1436">
        <v>2</v>
      </c>
      <c r="O1436">
        <v>13.67</v>
      </c>
      <c r="P1436">
        <v>123574.88</v>
      </c>
      <c r="Q1436">
        <v>168453.81</v>
      </c>
      <c r="R1436">
        <v>637</v>
      </c>
      <c r="S1436">
        <v>788</v>
      </c>
      <c r="T1436" t="s">
        <v>26</v>
      </c>
      <c r="U1436" t="s">
        <v>31</v>
      </c>
    </row>
    <row r="1437" spans="1:21">
      <c r="A1437" t="s">
        <v>2314</v>
      </c>
      <c r="B1437" t="s">
        <v>2315</v>
      </c>
      <c r="C1437" t="s">
        <v>1857</v>
      </c>
      <c r="D1437">
        <v>205000</v>
      </c>
      <c r="E1437">
        <v>10000</v>
      </c>
      <c r="F1437">
        <v>205000</v>
      </c>
      <c r="H1437">
        <v>1</v>
      </c>
      <c r="I1437" t="s">
        <v>325</v>
      </c>
      <c r="J1437">
        <v>67.3</v>
      </c>
      <c r="K1437">
        <v>19</v>
      </c>
      <c r="L1437">
        <v>6</v>
      </c>
      <c r="M1437" t="s">
        <v>1842</v>
      </c>
      <c r="N1437">
        <v>11</v>
      </c>
      <c r="O1437">
        <v>13.33</v>
      </c>
      <c r="P1437">
        <v>123574.88</v>
      </c>
      <c r="Q1437">
        <v>168453.81</v>
      </c>
      <c r="R1437">
        <v>637</v>
      </c>
      <c r="S1437">
        <v>788</v>
      </c>
      <c r="T1437" t="s">
        <v>593</v>
      </c>
      <c r="U1437" t="s">
        <v>90</v>
      </c>
    </row>
    <row r="1438" spans="1:21">
      <c r="A1438" t="s">
        <v>2316</v>
      </c>
      <c r="B1438" t="s">
        <v>2315</v>
      </c>
      <c r="C1438" t="s">
        <v>1857</v>
      </c>
      <c r="D1438">
        <v>174000</v>
      </c>
      <c r="E1438">
        <v>10000</v>
      </c>
      <c r="F1438">
        <v>174000</v>
      </c>
      <c r="H1438">
        <v>3</v>
      </c>
      <c r="I1438" t="s">
        <v>325</v>
      </c>
      <c r="J1438">
        <v>41.1</v>
      </c>
      <c r="K1438">
        <v>19</v>
      </c>
      <c r="L1438">
        <v>6</v>
      </c>
      <c r="M1438" t="s">
        <v>1842</v>
      </c>
      <c r="N1438">
        <v>11</v>
      </c>
      <c r="O1438">
        <v>13.33</v>
      </c>
      <c r="P1438">
        <v>123574.88</v>
      </c>
      <c r="Q1438">
        <v>168453.81</v>
      </c>
      <c r="R1438">
        <v>637</v>
      </c>
      <c r="S1438">
        <v>788</v>
      </c>
      <c r="T1438" t="s">
        <v>326</v>
      </c>
      <c r="U1438" t="s">
        <v>90</v>
      </c>
    </row>
    <row r="1439" spans="1:21">
      <c r="A1439" t="s">
        <v>2317</v>
      </c>
      <c r="B1439" t="s">
        <v>2315</v>
      </c>
      <c r="C1439" t="s">
        <v>1857</v>
      </c>
      <c r="D1439">
        <v>196000</v>
      </c>
      <c r="E1439">
        <v>10000</v>
      </c>
      <c r="F1439">
        <v>196000</v>
      </c>
      <c r="H1439">
        <v>4</v>
      </c>
      <c r="I1439" t="s">
        <v>325</v>
      </c>
      <c r="J1439">
        <v>54.31</v>
      </c>
      <c r="K1439">
        <v>19</v>
      </c>
      <c r="L1439">
        <v>6</v>
      </c>
      <c r="M1439" t="s">
        <v>1842</v>
      </c>
      <c r="N1439">
        <v>11</v>
      </c>
      <c r="O1439">
        <v>13.33</v>
      </c>
      <c r="P1439">
        <v>123574.88</v>
      </c>
      <c r="Q1439">
        <v>168453.81</v>
      </c>
      <c r="R1439">
        <v>637</v>
      </c>
      <c r="S1439">
        <v>788</v>
      </c>
      <c r="T1439" t="s">
        <v>332</v>
      </c>
      <c r="U1439" t="s">
        <v>90</v>
      </c>
    </row>
    <row r="1440" spans="1:21">
      <c r="A1440" t="s">
        <v>2318</v>
      </c>
      <c r="B1440" t="s">
        <v>2319</v>
      </c>
      <c r="C1440" t="s">
        <v>1857</v>
      </c>
      <c r="D1440">
        <v>175000</v>
      </c>
      <c r="E1440">
        <v>12000</v>
      </c>
      <c r="G1440">
        <v>350000</v>
      </c>
      <c r="H1440">
        <v>3</v>
      </c>
      <c r="I1440" t="s">
        <v>325</v>
      </c>
      <c r="J1440">
        <v>40.15</v>
      </c>
      <c r="K1440">
        <v>2</v>
      </c>
      <c r="L1440">
        <v>3</v>
      </c>
      <c r="M1440" t="s">
        <v>1842</v>
      </c>
      <c r="N1440">
        <v>7</v>
      </c>
      <c r="O1440">
        <v>13.33</v>
      </c>
      <c r="P1440">
        <v>123574.88</v>
      </c>
      <c r="Q1440">
        <v>168453.81</v>
      </c>
      <c r="R1440">
        <v>637</v>
      </c>
      <c r="S1440">
        <v>788</v>
      </c>
      <c r="T1440" t="s">
        <v>326</v>
      </c>
      <c r="U1440" t="s">
        <v>31</v>
      </c>
    </row>
    <row r="1441" spans="1:21">
      <c r="A1441" t="s">
        <v>2320</v>
      </c>
      <c r="B1441" t="s">
        <v>2321</v>
      </c>
      <c r="C1441" t="s">
        <v>1857</v>
      </c>
      <c r="D1441">
        <v>150000</v>
      </c>
      <c r="F1441">
        <v>150000</v>
      </c>
      <c r="G1441">
        <v>150000</v>
      </c>
      <c r="H1441">
        <v>2</v>
      </c>
      <c r="I1441" t="s">
        <v>325</v>
      </c>
      <c r="J1441">
        <v>46</v>
      </c>
      <c r="K1441">
        <v>45</v>
      </c>
      <c r="L1441">
        <v>2</v>
      </c>
      <c r="M1441" t="s">
        <v>1842</v>
      </c>
      <c r="N1441">
        <v>9</v>
      </c>
      <c r="O1441">
        <v>12.33</v>
      </c>
      <c r="P1441">
        <v>123574.88</v>
      </c>
      <c r="Q1441">
        <v>168453.81</v>
      </c>
      <c r="R1441">
        <v>637</v>
      </c>
      <c r="S1441">
        <v>788</v>
      </c>
      <c r="T1441" t="s">
        <v>326</v>
      </c>
      <c r="U1441" t="s">
        <v>42</v>
      </c>
    </row>
    <row r="1442" spans="1:21">
      <c r="A1442" t="s">
        <v>2322</v>
      </c>
      <c r="B1442" t="s">
        <v>2323</v>
      </c>
      <c r="C1442" t="s">
        <v>1743</v>
      </c>
      <c r="D1442">
        <v>142000</v>
      </c>
      <c r="E1442">
        <v>3000</v>
      </c>
      <c r="F1442">
        <v>142000</v>
      </c>
      <c r="G1442">
        <v>142000</v>
      </c>
      <c r="H1442">
        <v>2</v>
      </c>
      <c r="I1442" t="s">
        <v>325</v>
      </c>
      <c r="J1442">
        <v>48</v>
      </c>
      <c r="K1442">
        <v>38</v>
      </c>
      <c r="L1442">
        <v>3</v>
      </c>
      <c r="M1442" t="s">
        <v>1842</v>
      </c>
      <c r="N1442">
        <v>8</v>
      </c>
      <c r="O1442">
        <v>17</v>
      </c>
      <c r="P1442">
        <v>123574.88</v>
      </c>
      <c r="Q1442">
        <v>168453.81</v>
      </c>
      <c r="R1442">
        <v>637</v>
      </c>
      <c r="S1442">
        <v>788</v>
      </c>
      <c r="T1442" t="s">
        <v>326</v>
      </c>
      <c r="U1442" t="s">
        <v>49</v>
      </c>
    </row>
    <row r="1443" spans="1:21">
      <c r="A1443" t="s">
        <v>2324</v>
      </c>
      <c r="B1443" t="s">
        <v>2325</v>
      </c>
      <c r="C1443" t="s">
        <v>1887</v>
      </c>
      <c r="D1443">
        <v>122000</v>
      </c>
      <c r="E1443">
        <v>3000</v>
      </c>
      <c r="F1443">
        <v>122000</v>
      </c>
      <c r="G1443">
        <v>122000</v>
      </c>
      <c r="H1443">
        <v>2</v>
      </c>
      <c r="I1443" t="s">
        <v>325</v>
      </c>
      <c r="J1443">
        <v>34.619999999999997</v>
      </c>
      <c r="K1443">
        <v>14</v>
      </c>
      <c r="L1443">
        <v>3</v>
      </c>
      <c r="M1443" t="s">
        <v>1842</v>
      </c>
      <c r="N1443">
        <v>2</v>
      </c>
      <c r="O1443">
        <v>10.67</v>
      </c>
      <c r="P1443">
        <v>123574.88</v>
      </c>
      <c r="Q1443">
        <v>168453.81</v>
      </c>
      <c r="R1443">
        <v>637</v>
      </c>
      <c r="S1443">
        <v>788</v>
      </c>
      <c r="T1443" t="s">
        <v>26</v>
      </c>
      <c r="U1443" t="s">
        <v>90</v>
      </c>
    </row>
    <row r="1444" spans="1:21">
      <c r="A1444" t="s">
        <v>2326</v>
      </c>
      <c r="B1444" t="s">
        <v>2327</v>
      </c>
      <c r="C1444" t="s">
        <v>1291</v>
      </c>
      <c r="D1444">
        <v>143000</v>
      </c>
      <c r="E1444">
        <v>10000</v>
      </c>
      <c r="F1444">
        <v>143000</v>
      </c>
      <c r="G1444">
        <v>143000</v>
      </c>
      <c r="H1444">
        <v>2</v>
      </c>
      <c r="I1444" t="s">
        <v>325</v>
      </c>
      <c r="J1444">
        <v>30.53</v>
      </c>
      <c r="K1444">
        <v>3</v>
      </c>
      <c r="L1444">
        <v>7</v>
      </c>
      <c r="M1444" t="s">
        <v>1842</v>
      </c>
      <c r="N1444">
        <v>10</v>
      </c>
      <c r="O1444">
        <v>12.33</v>
      </c>
      <c r="P1444">
        <v>123574.88</v>
      </c>
      <c r="Q1444">
        <v>168453.81</v>
      </c>
      <c r="R1444">
        <v>637</v>
      </c>
      <c r="S1444">
        <v>788</v>
      </c>
      <c r="T1444" t="s">
        <v>26</v>
      </c>
      <c r="U1444" t="s">
        <v>31</v>
      </c>
    </row>
    <row r="1445" spans="1:21">
      <c r="A1445" t="s">
        <v>2328</v>
      </c>
      <c r="B1445" t="s">
        <v>2327</v>
      </c>
      <c r="C1445" t="s">
        <v>1291</v>
      </c>
      <c r="D1445">
        <v>148000</v>
      </c>
      <c r="E1445">
        <v>10000</v>
      </c>
      <c r="F1445">
        <v>148000</v>
      </c>
      <c r="G1445">
        <v>148000</v>
      </c>
      <c r="H1445">
        <v>4</v>
      </c>
      <c r="I1445" t="s">
        <v>325</v>
      </c>
      <c r="J1445">
        <v>30.53</v>
      </c>
      <c r="K1445">
        <v>3</v>
      </c>
      <c r="L1445">
        <v>7</v>
      </c>
      <c r="M1445" t="s">
        <v>1842</v>
      </c>
      <c r="N1445">
        <v>10</v>
      </c>
      <c r="O1445">
        <v>12.33</v>
      </c>
      <c r="P1445">
        <v>123574.88</v>
      </c>
      <c r="Q1445">
        <v>168453.81</v>
      </c>
      <c r="R1445">
        <v>637</v>
      </c>
      <c r="S1445">
        <v>788</v>
      </c>
      <c r="T1445" t="s">
        <v>26</v>
      </c>
      <c r="U1445" t="s">
        <v>31</v>
      </c>
    </row>
    <row r="1446" spans="1:21">
      <c r="A1446" t="s">
        <v>2329</v>
      </c>
      <c r="B1446" t="s">
        <v>2327</v>
      </c>
      <c r="C1446" t="s">
        <v>1291</v>
      </c>
      <c r="D1446">
        <v>135000</v>
      </c>
      <c r="E1446">
        <v>12000</v>
      </c>
      <c r="F1446">
        <v>135000</v>
      </c>
      <c r="G1446">
        <v>135000</v>
      </c>
      <c r="H1446">
        <v>4</v>
      </c>
      <c r="I1446" t="s">
        <v>325</v>
      </c>
      <c r="J1446">
        <v>32.74</v>
      </c>
      <c r="K1446">
        <v>3</v>
      </c>
      <c r="L1446">
        <v>7</v>
      </c>
      <c r="M1446" t="s">
        <v>1842</v>
      </c>
      <c r="N1446">
        <v>10</v>
      </c>
      <c r="O1446">
        <v>12.33</v>
      </c>
      <c r="P1446">
        <v>123574.88</v>
      </c>
      <c r="Q1446">
        <v>168453.81</v>
      </c>
      <c r="R1446">
        <v>637</v>
      </c>
      <c r="S1446">
        <v>788</v>
      </c>
      <c r="T1446" t="s">
        <v>26</v>
      </c>
      <c r="U1446" t="s">
        <v>31</v>
      </c>
    </row>
    <row r="1447" spans="1:21">
      <c r="A1447" t="s">
        <v>2330</v>
      </c>
      <c r="B1447" t="s">
        <v>2327</v>
      </c>
      <c r="C1447" t="s">
        <v>1291</v>
      </c>
      <c r="D1447">
        <v>138000</v>
      </c>
      <c r="E1447">
        <v>10000</v>
      </c>
      <c r="F1447">
        <v>138000</v>
      </c>
      <c r="G1447">
        <v>138000</v>
      </c>
      <c r="H1447">
        <v>4</v>
      </c>
      <c r="I1447" t="s">
        <v>325</v>
      </c>
      <c r="J1447">
        <v>32.74</v>
      </c>
      <c r="K1447">
        <v>3</v>
      </c>
      <c r="L1447">
        <v>7</v>
      </c>
      <c r="M1447" t="s">
        <v>1842</v>
      </c>
      <c r="N1447">
        <v>10</v>
      </c>
      <c r="O1447">
        <v>12.33</v>
      </c>
      <c r="P1447">
        <v>123574.88</v>
      </c>
      <c r="Q1447">
        <v>168453.81</v>
      </c>
      <c r="R1447">
        <v>637</v>
      </c>
      <c r="S1447">
        <v>788</v>
      </c>
      <c r="T1447" t="s">
        <v>26</v>
      </c>
      <c r="U1447" t="s">
        <v>31</v>
      </c>
    </row>
    <row r="1448" spans="1:21">
      <c r="A1448" t="s">
        <v>2331</v>
      </c>
      <c r="B1448" t="s">
        <v>2332</v>
      </c>
      <c r="C1448" t="s">
        <v>1743</v>
      </c>
      <c r="D1448">
        <v>135000</v>
      </c>
      <c r="E1448">
        <v>11000</v>
      </c>
      <c r="G1448">
        <v>135000</v>
      </c>
      <c r="H1448">
        <v>2</v>
      </c>
      <c r="I1448" t="s">
        <v>325</v>
      </c>
      <c r="J1448">
        <v>41.18</v>
      </c>
      <c r="K1448">
        <v>3</v>
      </c>
      <c r="L1448">
        <v>5</v>
      </c>
      <c r="M1448" t="s">
        <v>1842</v>
      </c>
      <c r="N1448">
        <v>13</v>
      </c>
      <c r="O1448">
        <v>15.67</v>
      </c>
      <c r="P1448">
        <v>123574.88</v>
      </c>
      <c r="Q1448">
        <v>168453.81</v>
      </c>
      <c r="R1448">
        <v>637</v>
      </c>
      <c r="S1448">
        <v>788</v>
      </c>
      <c r="T1448" t="s">
        <v>326</v>
      </c>
      <c r="U1448" t="s">
        <v>31</v>
      </c>
    </row>
    <row r="1449" spans="1:21">
      <c r="A1449" t="s">
        <v>2333</v>
      </c>
      <c r="B1449" t="s">
        <v>2332</v>
      </c>
      <c r="C1449" t="s">
        <v>1743</v>
      </c>
      <c r="D1449">
        <v>137000</v>
      </c>
      <c r="E1449">
        <v>11000</v>
      </c>
      <c r="G1449">
        <v>137000</v>
      </c>
      <c r="H1449">
        <v>5</v>
      </c>
      <c r="I1449" t="s">
        <v>325</v>
      </c>
      <c r="J1449">
        <v>41.18</v>
      </c>
      <c r="K1449">
        <v>3</v>
      </c>
      <c r="L1449">
        <v>5</v>
      </c>
      <c r="M1449" t="s">
        <v>1842</v>
      </c>
      <c r="N1449">
        <v>13</v>
      </c>
      <c r="O1449">
        <v>15.67</v>
      </c>
      <c r="P1449">
        <v>123574.88</v>
      </c>
      <c r="Q1449">
        <v>168453.81</v>
      </c>
      <c r="R1449">
        <v>637</v>
      </c>
      <c r="S1449">
        <v>788</v>
      </c>
      <c r="T1449" t="s">
        <v>326</v>
      </c>
      <c r="U1449" t="s">
        <v>31</v>
      </c>
    </row>
    <row r="1450" spans="1:21">
      <c r="A1450" t="s">
        <v>2334</v>
      </c>
      <c r="B1450" t="s">
        <v>2335</v>
      </c>
      <c r="C1450" t="s">
        <v>1857</v>
      </c>
      <c r="D1450">
        <v>150000</v>
      </c>
      <c r="E1450">
        <v>6500</v>
      </c>
      <c r="G1450">
        <v>150000</v>
      </c>
      <c r="H1450">
        <v>1</v>
      </c>
      <c r="I1450" t="s">
        <v>325</v>
      </c>
      <c r="J1450">
        <v>42.5</v>
      </c>
      <c r="K1450">
        <v>26</v>
      </c>
      <c r="L1450">
        <v>2</v>
      </c>
      <c r="M1450" t="s">
        <v>1842</v>
      </c>
      <c r="N1450">
        <v>10</v>
      </c>
      <c r="O1450">
        <v>12.33</v>
      </c>
      <c r="P1450">
        <v>123574.88</v>
      </c>
      <c r="Q1450">
        <v>168453.81</v>
      </c>
      <c r="R1450">
        <v>637</v>
      </c>
      <c r="S1450">
        <v>788</v>
      </c>
      <c r="T1450" t="s">
        <v>326</v>
      </c>
      <c r="U1450" t="s">
        <v>27</v>
      </c>
    </row>
    <row r="1451" spans="1:21">
      <c r="A1451" t="s">
        <v>2336</v>
      </c>
      <c r="B1451" t="s">
        <v>2337</v>
      </c>
      <c r="C1451" t="s">
        <v>1887</v>
      </c>
      <c r="D1451">
        <v>145000</v>
      </c>
      <c r="E1451">
        <v>5000</v>
      </c>
      <c r="F1451">
        <v>145000</v>
      </c>
      <c r="G1451">
        <v>145000</v>
      </c>
      <c r="H1451">
        <v>2</v>
      </c>
      <c r="I1451" t="s">
        <v>325</v>
      </c>
      <c r="J1451">
        <v>50.7</v>
      </c>
      <c r="K1451">
        <v>9</v>
      </c>
      <c r="L1451">
        <v>2</v>
      </c>
      <c r="M1451" t="s">
        <v>1842</v>
      </c>
      <c r="N1451">
        <v>3</v>
      </c>
      <c r="O1451">
        <v>13</v>
      </c>
      <c r="P1451">
        <v>123574.88</v>
      </c>
      <c r="Q1451">
        <v>168453.81</v>
      </c>
      <c r="R1451">
        <v>637</v>
      </c>
      <c r="S1451">
        <v>788</v>
      </c>
      <c r="T1451" t="s">
        <v>332</v>
      </c>
      <c r="U1451" t="s">
        <v>31</v>
      </c>
    </row>
    <row r="1452" spans="1:21">
      <c r="A1452" t="s">
        <v>2338</v>
      </c>
      <c r="B1452" t="s">
        <v>2339</v>
      </c>
      <c r="C1452" t="s">
        <v>1870</v>
      </c>
      <c r="D1452">
        <v>145000</v>
      </c>
      <c r="E1452">
        <v>5000</v>
      </c>
      <c r="F1452">
        <v>145000</v>
      </c>
      <c r="G1452">
        <v>145000</v>
      </c>
      <c r="H1452">
        <v>2</v>
      </c>
      <c r="I1452" t="s">
        <v>325</v>
      </c>
      <c r="J1452">
        <v>40</v>
      </c>
      <c r="K1452">
        <v>56</v>
      </c>
      <c r="L1452">
        <v>5</v>
      </c>
      <c r="M1452" t="s">
        <v>1842</v>
      </c>
      <c r="N1452">
        <v>2</v>
      </c>
      <c r="O1452">
        <v>9</v>
      </c>
      <c r="P1452">
        <v>123574.88</v>
      </c>
      <c r="Q1452">
        <v>168453.81</v>
      </c>
      <c r="R1452">
        <v>637</v>
      </c>
      <c r="S1452">
        <v>788</v>
      </c>
      <c r="T1452" t="s">
        <v>326</v>
      </c>
      <c r="U1452" t="s">
        <v>57</v>
      </c>
    </row>
    <row r="1453" spans="1:21">
      <c r="A1453" t="s">
        <v>2340</v>
      </c>
      <c r="B1453" t="s">
        <v>2341</v>
      </c>
      <c r="C1453" t="s">
        <v>688</v>
      </c>
      <c r="D1453">
        <v>169000</v>
      </c>
      <c r="E1453">
        <v>7000</v>
      </c>
      <c r="F1453">
        <v>169000</v>
      </c>
      <c r="G1453">
        <v>84500</v>
      </c>
      <c r="H1453">
        <v>3</v>
      </c>
      <c r="I1453" t="s">
        <v>325</v>
      </c>
      <c r="J1453">
        <v>40.74</v>
      </c>
      <c r="K1453">
        <v>18</v>
      </c>
      <c r="L1453">
        <v>3</v>
      </c>
      <c r="M1453" t="s">
        <v>1842</v>
      </c>
      <c r="N1453">
        <v>5</v>
      </c>
      <c r="O1453">
        <v>12.67</v>
      </c>
      <c r="P1453">
        <v>123574.88</v>
      </c>
      <c r="Q1453">
        <v>168453.81</v>
      </c>
      <c r="R1453">
        <v>637</v>
      </c>
      <c r="S1453">
        <v>788</v>
      </c>
      <c r="T1453" t="s">
        <v>326</v>
      </c>
      <c r="U1453" t="s">
        <v>90</v>
      </c>
    </row>
    <row r="1454" spans="1:21">
      <c r="A1454" t="s">
        <v>2342</v>
      </c>
      <c r="B1454" t="s">
        <v>2341</v>
      </c>
      <c r="C1454" t="s">
        <v>688</v>
      </c>
      <c r="D1454">
        <v>173000</v>
      </c>
      <c r="E1454">
        <v>7000</v>
      </c>
      <c r="F1454">
        <v>173000</v>
      </c>
      <c r="G1454">
        <v>86500</v>
      </c>
      <c r="H1454">
        <v>3</v>
      </c>
      <c r="I1454" t="s">
        <v>325</v>
      </c>
      <c r="J1454">
        <v>40.74</v>
      </c>
      <c r="K1454">
        <v>18</v>
      </c>
      <c r="L1454">
        <v>3</v>
      </c>
      <c r="M1454" t="s">
        <v>1842</v>
      </c>
      <c r="N1454">
        <v>5</v>
      </c>
      <c r="O1454">
        <v>12.67</v>
      </c>
      <c r="P1454">
        <v>123574.88</v>
      </c>
      <c r="Q1454">
        <v>168453.81</v>
      </c>
      <c r="R1454">
        <v>637</v>
      </c>
      <c r="S1454">
        <v>788</v>
      </c>
      <c r="T1454" t="s">
        <v>326</v>
      </c>
      <c r="U1454" t="s">
        <v>90</v>
      </c>
    </row>
    <row r="1455" spans="1:21">
      <c r="A1455" t="s">
        <v>2343</v>
      </c>
      <c r="B1455" t="s">
        <v>1878</v>
      </c>
      <c r="C1455" t="s">
        <v>1291</v>
      </c>
      <c r="D1455">
        <v>243000</v>
      </c>
      <c r="E1455">
        <v>15000</v>
      </c>
      <c r="F1455">
        <v>243000</v>
      </c>
      <c r="G1455">
        <v>243000</v>
      </c>
      <c r="H1455">
        <v>8</v>
      </c>
      <c r="I1455" t="s">
        <v>325</v>
      </c>
      <c r="J1455">
        <v>41.59</v>
      </c>
      <c r="K1455">
        <v>0</v>
      </c>
      <c r="L1455">
        <v>8</v>
      </c>
      <c r="M1455" t="s">
        <v>1842</v>
      </c>
      <c r="N1455">
        <v>9</v>
      </c>
      <c r="O1455">
        <v>10.33</v>
      </c>
      <c r="P1455">
        <v>123574.88</v>
      </c>
      <c r="Q1455">
        <v>168453.81</v>
      </c>
      <c r="R1455">
        <v>637</v>
      </c>
      <c r="S1455">
        <v>788</v>
      </c>
      <c r="T1455" t="s">
        <v>326</v>
      </c>
      <c r="U1455" t="s">
        <v>81</v>
      </c>
    </row>
    <row r="1456" spans="1:21">
      <c r="A1456" t="s">
        <v>2344</v>
      </c>
      <c r="B1456" t="s">
        <v>1878</v>
      </c>
      <c r="C1456" t="s">
        <v>1291</v>
      </c>
      <c r="D1456">
        <v>243000</v>
      </c>
      <c r="E1456">
        <v>15000</v>
      </c>
      <c r="F1456">
        <v>243000</v>
      </c>
      <c r="G1456">
        <v>243000</v>
      </c>
      <c r="H1456">
        <v>8</v>
      </c>
      <c r="I1456" t="s">
        <v>325</v>
      </c>
      <c r="J1456">
        <v>41.88</v>
      </c>
      <c r="K1456">
        <v>0</v>
      </c>
      <c r="L1456">
        <v>8</v>
      </c>
      <c r="M1456" t="s">
        <v>1842</v>
      </c>
      <c r="N1456">
        <v>9</v>
      </c>
      <c r="O1456">
        <v>10.33</v>
      </c>
      <c r="P1456">
        <v>123574.88</v>
      </c>
      <c r="Q1456">
        <v>168453.81</v>
      </c>
      <c r="R1456">
        <v>637</v>
      </c>
      <c r="S1456">
        <v>788</v>
      </c>
      <c r="T1456" t="s">
        <v>326</v>
      </c>
      <c r="U1456" t="s">
        <v>81</v>
      </c>
    </row>
    <row r="1457" spans="1:21">
      <c r="A1457" t="s">
        <v>2345</v>
      </c>
      <c r="B1457" t="s">
        <v>2346</v>
      </c>
      <c r="C1457" t="s">
        <v>1291</v>
      </c>
      <c r="D1457">
        <v>196000</v>
      </c>
      <c r="E1457">
        <v>10000</v>
      </c>
      <c r="F1457">
        <v>196000</v>
      </c>
      <c r="G1457">
        <v>196000</v>
      </c>
      <c r="H1457">
        <v>11</v>
      </c>
      <c r="I1457" t="s">
        <v>325</v>
      </c>
      <c r="J1457">
        <v>42.16</v>
      </c>
      <c r="K1457">
        <v>4</v>
      </c>
      <c r="L1457">
        <v>12</v>
      </c>
      <c r="M1457" t="s">
        <v>1842</v>
      </c>
      <c r="N1457">
        <v>8</v>
      </c>
      <c r="O1457">
        <v>8.67</v>
      </c>
      <c r="P1457">
        <v>123574.88</v>
      </c>
      <c r="Q1457">
        <v>168453.81</v>
      </c>
      <c r="R1457">
        <v>637</v>
      </c>
      <c r="S1457">
        <v>788</v>
      </c>
      <c r="T1457" t="s">
        <v>326</v>
      </c>
      <c r="U1457" t="s">
        <v>31</v>
      </c>
    </row>
    <row r="1458" spans="1:21">
      <c r="A1458" t="s">
        <v>2347</v>
      </c>
      <c r="B1458" t="s">
        <v>2116</v>
      </c>
      <c r="C1458" t="s">
        <v>1291</v>
      </c>
      <c r="D1458">
        <v>110000</v>
      </c>
      <c r="E1458">
        <v>5000</v>
      </c>
      <c r="F1458">
        <v>110000</v>
      </c>
      <c r="H1458">
        <v>3</v>
      </c>
      <c r="I1458" t="s">
        <v>325</v>
      </c>
      <c r="J1458">
        <v>30.7</v>
      </c>
      <c r="K1458">
        <v>42</v>
      </c>
      <c r="L1458">
        <v>3</v>
      </c>
      <c r="M1458" t="s">
        <v>1842</v>
      </c>
      <c r="N1458">
        <v>7</v>
      </c>
      <c r="O1458">
        <v>9.33</v>
      </c>
      <c r="P1458">
        <v>123574.88</v>
      </c>
      <c r="Q1458">
        <v>168453.81</v>
      </c>
      <c r="R1458">
        <v>637</v>
      </c>
      <c r="S1458">
        <v>788</v>
      </c>
      <c r="T1458" t="s">
        <v>26</v>
      </c>
      <c r="U1458" t="s">
        <v>42</v>
      </c>
    </row>
    <row r="1459" spans="1:21">
      <c r="A1459" t="s">
        <v>2348</v>
      </c>
      <c r="B1459" t="s">
        <v>2349</v>
      </c>
      <c r="C1459" t="s">
        <v>1857</v>
      </c>
      <c r="D1459">
        <v>130000</v>
      </c>
      <c r="E1459">
        <v>5000</v>
      </c>
      <c r="F1459">
        <v>130000</v>
      </c>
      <c r="G1459">
        <v>130000</v>
      </c>
      <c r="H1459">
        <v>3</v>
      </c>
      <c r="I1459" t="s">
        <v>325</v>
      </c>
      <c r="J1459">
        <v>32</v>
      </c>
      <c r="K1459">
        <v>29</v>
      </c>
      <c r="L1459">
        <v>3</v>
      </c>
      <c r="M1459" t="s">
        <v>1842</v>
      </c>
      <c r="N1459">
        <v>6</v>
      </c>
      <c r="O1459">
        <v>10.33</v>
      </c>
      <c r="P1459">
        <v>123574.88</v>
      </c>
      <c r="Q1459">
        <v>168453.81</v>
      </c>
      <c r="R1459">
        <v>637</v>
      </c>
      <c r="S1459">
        <v>788</v>
      </c>
      <c r="T1459" t="s">
        <v>26</v>
      </c>
      <c r="U1459" t="s">
        <v>27</v>
      </c>
    </row>
    <row r="1460" spans="1:21">
      <c r="A1460" t="s">
        <v>2350</v>
      </c>
      <c r="B1460" t="s">
        <v>1889</v>
      </c>
      <c r="C1460" t="s">
        <v>1890</v>
      </c>
      <c r="D1460">
        <v>95000</v>
      </c>
      <c r="E1460">
        <v>10000</v>
      </c>
      <c r="H1460">
        <v>1</v>
      </c>
      <c r="I1460" t="s">
        <v>325</v>
      </c>
      <c r="J1460">
        <v>30.6</v>
      </c>
      <c r="K1460">
        <v>35</v>
      </c>
      <c r="L1460">
        <v>5</v>
      </c>
      <c r="M1460" t="s">
        <v>1842</v>
      </c>
      <c r="N1460">
        <v>5</v>
      </c>
      <c r="O1460">
        <v>13.67</v>
      </c>
      <c r="P1460">
        <v>123574.88</v>
      </c>
      <c r="Q1460">
        <v>168453.81</v>
      </c>
      <c r="R1460">
        <v>637</v>
      </c>
      <c r="S1460">
        <v>788</v>
      </c>
      <c r="T1460" t="s">
        <v>26</v>
      </c>
      <c r="U1460" t="s">
        <v>49</v>
      </c>
    </row>
    <row r="1461" spans="1:21">
      <c r="A1461" t="s">
        <v>2351</v>
      </c>
      <c r="B1461" t="s">
        <v>1889</v>
      </c>
      <c r="C1461" t="s">
        <v>1890</v>
      </c>
      <c r="D1461">
        <v>110000</v>
      </c>
      <c r="E1461">
        <v>10000</v>
      </c>
      <c r="H1461">
        <v>3</v>
      </c>
      <c r="I1461" t="s">
        <v>325</v>
      </c>
      <c r="J1461">
        <v>34.4</v>
      </c>
      <c r="K1461">
        <v>35</v>
      </c>
      <c r="L1461">
        <v>5</v>
      </c>
      <c r="M1461" t="s">
        <v>1842</v>
      </c>
      <c r="N1461">
        <v>5</v>
      </c>
      <c r="O1461">
        <v>13.67</v>
      </c>
      <c r="P1461">
        <v>123574.88</v>
      </c>
      <c r="Q1461">
        <v>168453.81</v>
      </c>
      <c r="R1461">
        <v>637</v>
      </c>
      <c r="S1461">
        <v>788</v>
      </c>
      <c r="T1461" t="s">
        <v>26</v>
      </c>
      <c r="U1461" t="s">
        <v>49</v>
      </c>
    </row>
    <row r="1462" spans="1:21">
      <c r="A1462" t="s">
        <v>2352</v>
      </c>
      <c r="B1462" t="s">
        <v>2353</v>
      </c>
      <c r="C1462" t="s">
        <v>2156</v>
      </c>
      <c r="D1462">
        <v>124000</v>
      </c>
      <c r="E1462">
        <v>7000</v>
      </c>
      <c r="G1462">
        <v>124000</v>
      </c>
      <c r="H1462">
        <v>2</v>
      </c>
      <c r="I1462" t="s">
        <v>325</v>
      </c>
      <c r="J1462">
        <v>41.37</v>
      </c>
      <c r="K1462">
        <v>11</v>
      </c>
      <c r="L1462">
        <v>2</v>
      </c>
      <c r="M1462" t="s">
        <v>1842</v>
      </c>
      <c r="N1462">
        <v>13</v>
      </c>
      <c r="O1462">
        <v>13.67</v>
      </c>
      <c r="P1462">
        <v>123574.88</v>
      </c>
      <c r="Q1462">
        <v>168453.81</v>
      </c>
      <c r="R1462">
        <v>637</v>
      </c>
      <c r="S1462">
        <v>788</v>
      </c>
      <c r="T1462" t="s">
        <v>326</v>
      </c>
      <c r="U1462" t="s">
        <v>90</v>
      </c>
    </row>
    <row r="1463" spans="1:21">
      <c r="A1463" t="s">
        <v>2354</v>
      </c>
      <c r="B1463" t="s">
        <v>2355</v>
      </c>
      <c r="C1463" t="s">
        <v>1743</v>
      </c>
      <c r="D1463">
        <v>123000</v>
      </c>
      <c r="E1463">
        <v>7000</v>
      </c>
      <c r="G1463">
        <v>123000</v>
      </c>
      <c r="H1463">
        <v>2</v>
      </c>
      <c r="I1463" t="s">
        <v>325</v>
      </c>
      <c r="J1463">
        <v>38.97</v>
      </c>
      <c r="K1463">
        <v>15</v>
      </c>
      <c r="L1463">
        <v>2</v>
      </c>
      <c r="M1463" t="s">
        <v>1842</v>
      </c>
      <c r="N1463">
        <v>12</v>
      </c>
      <c r="O1463">
        <v>13.33</v>
      </c>
      <c r="P1463">
        <v>123574.88</v>
      </c>
      <c r="Q1463">
        <v>168453.81</v>
      </c>
      <c r="R1463">
        <v>637</v>
      </c>
      <c r="S1463">
        <v>788</v>
      </c>
      <c r="T1463" t="s">
        <v>26</v>
      </c>
      <c r="U1463" t="s">
        <v>90</v>
      </c>
    </row>
    <row r="1464" spans="1:21">
      <c r="A1464" t="s">
        <v>2356</v>
      </c>
      <c r="B1464" t="s">
        <v>2357</v>
      </c>
      <c r="C1464" t="s">
        <v>1857</v>
      </c>
      <c r="D1464">
        <v>150000</v>
      </c>
      <c r="F1464">
        <v>150000</v>
      </c>
      <c r="G1464">
        <v>150000</v>
      </c>
      <c r="H1464">
        <v>2</v>
      </c>
      <c r="I1464" t="s">
        <v>325</v>
      </c>
      <c r="J1464">
        <v>46</v>
      </c>
      <c r="K1464">
        <v>45</v>
      </c>
      <c r="L1464">
        <v>2</v>
      </c>
      <c r="M1464" t="s">
        <v>1842</v>
      </c>
      <c r="N1464">
        <v>11</v>
      </c>
      <c r="O1464">
        <v>13.33</v>
      </c>
      <c r="P1464">
        <v>123574.88</v>
      </c>
      <c r="Q1464">
        <v>168453.81</v>
      </c>
      <c r="R1464">
        <v>637</v>
      </c>
      <c r="S1464">
        <v>788</v>
      </c>
      <c r="T1464" t="s">
        <v>326</v>
      </c>
      <c r="U1464" t="s">
        <v>42</v>
      </c>
    </row>
    <row r="1465" spans="1:21">
      <c r="A1465" t="s">
        <v>2358</v>
      </c>
      <c r="B1465" t="s">
        <v>1902</v>
      </c>
      <c r="C1465" t="s">
        <v>1857</v>
      </c>
      <c r="D1465">
        <v>110000</v>
      </c>
      <c r="E1465">
        <v>2000</v>
      </c>
      <c r="F1465">
        <v>110000</v>
      </c>
      <c r="G1465">
        <v>110000</v>
      </c>
      <c r="H1465">
        <v>1</v>
      </c>
      <c r="I1465" t="s">
        <v>325</v>
      </c>
      <c r="J1465">
        <v>36.5</v>
      </c>
      <c r="K1465">
        <v>46</v>
      </c>
      <c r="L1465">
        <v>2</v>
      </c>
      <c r="M1465" t="s">
        <v>1842</v>
      </c>
      <c r="N1465">
        <v>6</v>
      </c>
      <c r="O1465">
        <v>14</v>
      </c>
      <c r="P1465">
        <v>123574.88</v>
      </c>
      <c r="Q1465">
        <v>168453.81</v>
      </c>
      <c r="R1465">
        <v>637</v>
      </c>
      <c r="S1465">
        <v>788</v>
      </c>
      <c r="T1465" t="s">
        <v>26</v>
      </c>
      <c r="U1465" t="s">
        <v>42</v>
      </c>
    </row>
    <row r="1466" spans="1:21">
      <c r="A1466" t="s">
        <v>2359</v>
      </c>
      <c r="B1466" t="s">
        <v>1907</v>
      </c>
      <c r="C1466" t="s">
        <v>1841</v>
      </c>
      <c r="D1466">
        <v>132000</v>
      </c>
      <c r="E1466">
        <v>3000</v>
      </c>
      <c r="F1466">
        <v>132000</v>
      </c>
      <c r="G1466">
        <v>132000</v>
      </c>
      <c r="H1466">
        <v>2</v>
      </c>
      <c r="I1466" t="s">
        <v>325</v>
      </c>
      <c r="J1466">
        <v>46.02</v>
      </c>
      <c r="K1466">
        <v>7</v>
      </c>
      <c r="L1466">
        <v>2</v>
      </c>
      <c r="M1466" t="s">
        <v>1842</v>
      </c>
      <c r="N1466">
        <v>5</v>
      </c>
      <c r="O1466">
        <v>14.67</v>
      </c>
      <c r="P1466">
        <v>123574.88</v>
      </c>
      <c r="Q1466">
        <v>168453.81</v>
      </c>
      <c r="R1466">
        <v>637</v>
      </c>
      <c r="S1466">
        <v>788</v>
      </c>
      <c r="T1466" t="s">
        <v>326</v>
      </c>
      <c r="U1466" t="s">
        <v>31</v>
      </c>
    </row>
    <row r="1467" spans="1:21">
      <c r="A1467" t="s">
        <v>2360</v>
      </c>
      <c r="B1467" t="s">
        <v>2361</v>
      </c>
      <c r="C1467" t="s">
        <v>1850</v>
      </c>
      <c r="D1467">
        <v>116000</v>
      </c>
      <c r="E1467">
        <v>3500</v>
      </c>
      <c r="G1467">
        <v>232000</v>
      </c>
      <c r="H1467">
        <v>2</v>
      </c>
      <c r="I1467" t="s">
        <v>325</v>
      </c>
      <c r="J1467">
        <v>36.590000000000003</v>
      </c>
      <c r="K1467">
        <v>15</v>
      </c>
      <c r="L1467">
        <v>3</v>
      </c>
      <c r="M1467" t="s">
        <v>1842</v>
      </c>
      <c r="N1467">
        <v>3</v>
      </c>
      <c r="O1467">
        <v>13</v>
      </c>
      <c r="P1467">
        <v>123574.88</v>
      </c>
      <c r="Q1467">
        <v>168453.81</v>
      </c>
      <c r="R1467">
        <v>637</v>
      </c>
      <c r="S1467">
        <v>788</v>
      </c>
      <c r="T1467" t="s">
        <v>26</v>
      </c>
      <c r="U1467" t="s">
        <v>90</v>
      </c>
    </row>
    <row r="1468" spans="1:21">
      <c r="A1468" t="s">
        <v>2362</v>
      </c>
      <c r="B1468" t="s">
        <v>2361</v>
      </c>
      <c r="C1468" t="s">
        <v>1850</v>
      </c>
      <c r="D1468">
        <v>110000</v>
      </c>
      <c r="E1468">
        <v>3500</v>
      </c>
      <c r="G1468">
        <v>220000</v>
      </c>
      <c r="H1468">
        <v>2</v>
      </c>
      <c r="I1468" t="s">
        <v>325</v>
      </c>
      <c r="J1468">
        <v>36.590000000000003</v>
      </c>
      <c r="K1468">
        <v>15</v>
      </c>
      <c r="L1468">
        <v>3</v>
      </c>
      <c r="M1468" t="s">
        <v>1842</v>
      </c>
      <c r="N1468">
        <v>3</v>
      </c>
      <c r="O1468">
        <v>13</v>
      </c>
      <c r="P1468">
        <v>123574.88</v>
      </c>
      <c r="Q1468">
        <v>168453.81</v>
      </c>
      <c r="R1468">
        <v>637</v>
      </c>
      <c r="S1468">
        <v>788</v>
      </c>
      <c r="T1468" t="s">
        <v>26</v>
      </c>
      <c r="U1468" t="s">
        <v>90</v>
      </c>
    </row>
    <row r="1469" spans="1:21">
      <c r="A1469" t="s">
        <v>2363</v>
      </c>
      <c r="B1469" t="s">
        <v>2364</v>
      </c>
      <c r="C1469" t="s">
        <v>688</v>
      </c>
      <c r="D1469">
        <v>173000</v>
      </c>
      <c r="E1469">
        <v>7000</v>
      </c>
      <c r="F1469">
        <v>173000</v>
      </c>
      <c r="G1469">
        <v>86500</v>
      </c>
      <c r="H1469">
        <v>3</v>
      </c>
      <c r="I1469" t="s">
        <v>325</v>
      </c>
      <c r="J1469">
        <v>40.74</v>
      </c>
      <c r="K1469">
        <v>20</v>
      </c>
      <c r="L1469">
        <v>3</v>
      </c>
      <c r="M1469" t="s">
        <v>1842</v>
      </c>
      <c r="N1469">
        <v>5</v>
      </c>
      <c r="O1469">
        <v>12.67</v>
      </c>
      <c r="P1469">
        <v>123574.88</v>
      </c>
      <c r="Q1469">
        <v>168453.81</v>
      </c>
      <c r="R1469">
        <v>637</v>
      </c>
      <c r="S1469">
        <v>788</v>
      </c>
      <c r="T1469" t="s">
        <v>326</v>
      </c>
      <c r="U1469" t="s">
        <v>90</v>
      </c>
    </row>
    <row r="1470" spans="1:21">
      <c r="A1470" t="s">
        <v>2365</v>
      </c>
      <c r="B1470" t="s">
        <v>2366</v>
      </c>
      <c r="C1470" t="s">
        <v>1841</v>
      </c>
      <c r="D1470">
        <v>145000</v>
      </c>
      <c r="E1470">
        <v>10000</v>
      </c>
      <c r="H1470">
        <v>3</v>
      </c>
      <c r="I1470" t="s">
        <v>325</v>
      </c>
      <c r="J1470">
        <v>31.1</v>
      </c>
      <c r="K1470">
        <v>0</v>
      </c>
      <c r="L1470">
        <v>4</v>
      </c>
      <c r="M1470" t="s">
        <v>1842</v>
      </c>
      <c r="N1470">
        <v>7</v>
      </c>
      <c r="O1470">
        <v>17.670000000000002</v>
      </c>
      <c r="P1470">
        <v>123574.88</v>
      </c>
      <c r="Q1470">
        <v>168453.81</v>
      </c>
      <c r="R1470">
        <v>637</v>
      </c>
      <c r="S1470">
        <v>788</v>
      </c>
      <c r="T1470" t="s">
        <v>26</v>
      </c>
      <c r="U1470" t="s">
        <v>81</v>
      </c>
    </row>
    <row r="1471" spans="1:21">
      <c r="A1471" t="s">
        <v>2367</v>
      </c>
      <c r="B1471" t="s">
        <v>2368</v>
      </c>
      <c r="C1471" t="s">
        <v>1857</v>
      </c>
      <c r="D1471">
        <v>120000</v>
      </c>
      <c r="E1471">
        <v>8000</v>
      </c>
      <c r="F1471">
        <v>120000</v>
      </c>
      <c r="G1471">
        <v>120000</v>
      </c>
      <c r="H1471">
        <v>1</v>
      </c>
      <c r="I1471" t="s">
        <v>325</v>
      </c>
      <c r="J1471">
        <v>40.25</v>
      </c>
      <c r="K1471">
        <v>11</v>
      </c>
      <c r="L1471">
        <v>4</v>
      </c>
      <c r="M1471" t="s">
        <v>1842</v>
      </c>
      <c r="N1471">
        <v>6</v>
      </c>
      <c r="O1471">
        <v>14</v>
      </c>
      <c r="P1471">
        <v>123574.88</v>
      </c>
      <c r="Q1471">
        <v>168453.81</v>
      </c>
      <c r="R1471">
        <v>637</v>
      </c>
      <c r="S1471">
        <v>788</v>
      </c>
      <c r="T1471" t="s">
        <v>326</v>
      </c>
      <c r="U1471" t="s">
        <v>90</v>
      </c>
    </row>
    <row r="1472" spans="1:21">
      <c r="A1472" t="s">
        <v>2369</v>
      </c>
      <c r="B1472" t="s">
        <v>1913</v>
      </c>
      <c r="C1472" t="s">
        <v>1841</v>
      </c>
      <c r="D1472">
        <v>180000</v>
      </c>
      <c r="E1472">
        <v>12000</v>
      </c>
      <c r="F1472">
        <v>180000</v>
      </c>
      <c r="H1472">
        <v>3</v>
      </c>
      <c r="I1472" t="s">
        <v>325</v>
      </c>
      <c r="J1472">
        <v>42.08</v>
      </c>
      <c r="K1472">
        <v>2</v>
      </c>
      <c r="L1472">
        <v>4</v>
      </c>
      <c r="M1472" t="s">
        <v>1842</v>
      </c>
      <c r="N1472">
        <v>3</v>
      </c>
      <c r="O1472">
        <v>12</v>
      </c>
      <c r="P1472">
        <v>123574.88</v>
      </c>
      <c r="Q1472">
        <v>168453.81</v>
      </c>
      <c r="R1472">
        <v>637</v>
      </c>
      <c r="S1472">
        <v>788</v>
      </c>
      <c r="T1472" t="s">
        <v>326</v>
      </c>
      <c r="U1472" t="s">
        <v>31</v>
      </c>
    </row>
    <row r="1473" spans="1:21">
      <c r="A1473" t="s">
        <v>2370</v>
      </c>
      <c r="B1473" t="s">
        <v>1913</v>
      </c>
      <c r="C1473" t="s">
        <v>1887</v>
      </c>
      <c r="D1473">
        <v>175000</v>
      </c>
      <c r="E1473">
        <v>7000</v>
      </c>
      <c r="G1473">
        <v>175000</v>
      </c>
      <c r="H1473">
        <v>4</v>
      </c>
      <c r="I1473" t="s">
        <v>325</v>
      </c>
      <c r="J1473">
        <v>40.5</v>
      </c>
      <c r="K1473">
        <v>2</v>
      </c>
      <c r="L1473">
        <v>4</v>
      </c>
      <c r="M1473" t="s">
        <v>1842</v>
      </c>
      <c r="N1473">
        <v>7</v>
      </c>
      <c r="O1473">
        <v>10.67</v>
      </c>
      <c r="P1473">
        <v>123574.88</v>
      </c>
      <c r="Q1473">
        <v>168453.81</v>
      </c>
      <c r="R1473">
        <v>637</v>
      </c>
      <c r="S1473">
        <v>788</v>
      </c>
      <c r="T1473" t="s">
        <v>326</v>
      </c>
      <c r="U1473" t="s">
        <v>31</v>
      </c>
    </row>
    <row r="1474" spans="1:21">
      <c r="A1474" t="s">
        <v>2371</v>
      </c>
      <c r="B1474" t="s">
        <v>2187</v>
      </c>
      <c r="C1474" t="s">
        <v>1870</v>
      </c>
      <c r="D1474">
        <v>170000</v>
      </c>
      <c r="E1474">
        <v>15000</v>
      </c>
      <c r="H1474">
        <v>1</v>
      </c>
      <c r="I1474" t="s">
        <v>325</v>
      </c>
      <c r="J1474">
        <v>43.49</v>
      </c>
      <c r="K1474">
        <v>3</v>
      </c>
      <c r="L1474">
        <v>4</v>
      </c>
      <c r="M1474" t="s">
        <v>1842</v>
      </c>
      <c r="N1474">
        <v>5</v>
      </c>
      <c r="O1474">
        <v>10.33</v>
      </c>
      <c r="P1474">
        <v>123574.88</v>
      </c>
      <c r="Q1474">
        <v>168453.81</v>
      </c>
      <c r="R1474">
        <v>637</v>
      </c>
      <c r="S1474">
        <v>788</v>
      </c>
      <c r="T1474" t="s">
        <v>326</v>
      </c>
      <c r="U1474" t="s">
        <v>31</v>
      </c>
    </row>
    <row r="1475" spans="1:21">
      <c r="A1475" t="s">
        <v>2372</v>
      </c>
      <c r="B1475" t="s">
        <v>2373</v>
      </c>
      <c r="C1475" t="s">
        <v>1870</v>
      </c>
      <c r="D1475">
        <v>145000</v>
      </c>
      <c r="E1475">
        <v>5000</v>
      </c>
      <c r="F1475">
        <v>145000</v>
      </c>
      <c r="G1475">
        <v>145000</v>
      </c>
      <c r="H1475">
        <v>2</v>
      </c>
      <c r="I1475" t="s">
        <v>325</v>
      </c>
      <c r="J1475">
        <v>40</v>
      </c>
      <c r="K1475">
        <v>56</v>
      </c>
      <c r="L1475">
        <v>5</v>
      </c>
      <c r="M1475" t="s">
        <v>1842</v>
      </c>
      <c r="N1475">
        <v>2</v>
      </c>
      <c r="O1475">
        <v>10.33</v>
      </c>
      <c r="P1475">
        <v>123574.88</v>
      </c>
      <c r="Q1475">
        <v>168453.81</v>
      </c>
      <c r="R1475">
        <v>637</v>
      </c>
      <c r="S1475">
        <v>788</v>
      </c>
      <c r="T1475" t="s">
        <v>326</v>
      </c>
      <c r="U1475" t="s">
        <v>57</v>
      </c>
    </row>
    <row r="1476" spans="1:21">
      <c r="A1476" t="s">
        <v>2374</v>
      </c>
      <c r="B1476" t="s">
        <v>2373</v>
      </c>
      <c r="C1476" t="s">
        <v>1870</v>
      </c>
      <c r="D1476">
        <v>153000</v>
      </c>
      <c r="E1476">
        <v>4000</v>
      </c>
      <c r="F1476">
        <v>153000</v>
      </c>
      <c r="G1476">
        <v>153000</v>
      </c>
      <c r="H1476">
        <v>2</v>
      </c>
      <c r="I1476" t="s">
        <v>325</v>
      </c>
      <c r="J1476">
        <v>40</v>
      </c>
      <c r="K1476">
        <v>56</v>
      </c>
      <c r="L1476">
        <v>5</v>
      </c>
      <c r="M1476" t="s">
        <v>1842</v>
      </c>
      <c r="N1476">
        <v>2</v>
      </c>
      <c r="O1476">
        <v>10.33</v>
      </c>
      <c r="P1476">
        <v>123574.88</v>
      </c>
      <c r="Q1476">
        <v>168453.81</v>
      </c>
      <c r="R1476">
        <v>637</v>
      </c>
      <c r="S1476">
        <v>788</v>
      </c>
      <c r="T1476" t="s">
        <v>326</v>
      </c>
      <c r="U1476" t="s">
        <v>57</v>
      </c>
    </row>
    <row r="1477" spans="1:21">
      <c r="A1477" t="s">
        <v>2375</v>
      </c>
      <c r="B1477" t="s">
        <v>2197</v>
      </c>
      <c r="C1477" t="s">
        <v>1857</v>
      </c>
      <c r="D1477">
        <v>165000</v>
      </c>
      <c r="E1477">
        <v>14000</v>
      </c>
      <c r="G1477">
        <v>330000</v>
      </c>
      <c r="H1477">
        <v>3</v>
      </c>
      <c r="I1477" t="s">
        <v>325</v>
      </c>
      <c r="J1477">
        <v>45.13</v>
      </c>
      <c r="K1477">
        <v>5</v>
      </c>
      <c r="L1477">
        <v>5</v>
      </c>
      <c r="M1477" t="s">
        <v>1842</v>
      </c>
      <c r="N1477">
        <v>4</v>
      </c>
      <c r="O1477">
        <v>13.33</v>
      </c>
      <c r="P1477">
        <v>123574.88</v>
      </c>
      <c r="Q1477">
        <v>168453.81</v>
      </c>
      <c r="R1477">
        <v>637</v>
      </c>
      <c r="S1477">
        <v>788</v>
      </c>
      <c r="T1477" t="s">
        <v>326</v>
      </c>
      <c r="U1477" t="s">
        <v>31</v>
      </c>
    </row>
    <row r="1478" spans="1:21">
      <c r="A1478" t="s">
        <v>2376</v>
      </c>
      <c r="B1478" t="s">
        <v>2377</v>
      </c>
      <c r="C1478" t="s">
        <v>1870</v>
      </c>
      <c r="D1478">
        <v>160000</v>
      </c>
      <c r="F1478">
        <v>160000</v>
      </c>
      <c r="G1478">
        <v>160000</v>
      </c>
      <c r="H1478">
        <v>5</v>
      </c>
      <c r="I1478" t="s">
        <v>325</v>
      </c>
      <c r="J1478">
        <v>46.13</v>
      </c>
      <c r="K1478">
        <v>16</v>
      </c>
      <c r="L1478">
        <v>9</v>
      </c>
      <c r="M1478" t="s">
        <v>1842</v>
      </c>
      <c r="N1478">
        <v>4</v>
      </c>
      <c r="O1478">
        <v>6.5</v>
      </c>
      <c r="P1478">
        <v>123574.88</v>
      </c>
      <c r="Q1478">
        <v>168453.81</v>
      </c>
      <c r="R1478">
        <v>637</v>
      </c>
      <c r="S1478">
        <v>788</v>
      </c>
      <c r="T1478" t="s">
        <v>326</v>
      </c>
      <c r="U1478" t="s">
        <v>90</v>
      </c>
    </row>
    <row r="1479" spans="1:21">
      <c r="A1479" t="s">
        <v>2378</v>
      </c>
      <c r="B1479" t="s">
        <v>2379</v>
      </c>
      <c r="C1479" t="s">
        <v>1841</v>
      </c>
      <c r="D1479">
        <v>143000</v>
      </c>
      <c r="E1479">
        <v>12000</v>
      </c>
      <c r="F1479">
        <v>143000</v>
      </c>
      <c r="G1479">
        <v>143000</v>
      </c>
      <c r="H1479">
        <v>5</v>
      </c>
      <c r="I1479" t="s">
        <v>325</v>
      </c>
      <c r="J1479">
        <v>31.68</v>
      </c>
      <c r="K1479">
        <v>5</v>
      </c>
      <c r="L1479">
        <v>10</v>
      </c>
      <c r="M1479" t="s">
        <v>1842</v>
      </c>
      <c r="N1479">
        <v>2</v>
      </c>
      <c r="O1479">
        <v>10.67</v>
      </c>
      <c r="P1479">
        <v>123574.88</v>
      </c>
      <c r="Q1479">
        <v>168453.81</v>
      </c>
      <c r="R1479">
        <v>637</v>
      </c>
      <c r="S1479">
        <v>788</v>
      </c>
      <c r="T1479" t="s">
        <v>26</v>
      </c>
      <c r="U1479" t="s">
        <v>31</v>
      </c>
    </row>
    <row r="1480" spans="1:21">
      <c r="A1480" t="s">
        <v>2380</v>
      </c>
      <c r="B1480" t="s">
        <v>1921</v>
      </c>
      <c r="C1480" t="s">
        <v>1890</v>
      </c>
      <c r="D1480">
        <v>95000</v>
      </c>
      <c r="E1480">
        <v>10000</v>
      </c>
      <c r="H1480">
        <v>1</v>
      </c>
      <c r="I1480" t="s">
        <v>325</v>
      </c>
      <c r="J1480">
        <v>30.6</v>
      </c>
      <c r="K1480">
        <v>35</v>
      </c>
      <c r="L1480">
        <v>4</v>
      </c>
      <c r="M1480" t="s">
        <v>1842</v>
      </c>
      <c r="N1480">
        <v>8</v>
      </c>
      <c r="O1480">
        <v>12.67</v>
      </c>
      <c r="P1480">
        <v>123574.88</v>
      </c>
      <c r="Q1480">
        <v>168453.81</v>
      </c>
      <c r="R1480">
        <v>637</v>
      </c>
      <c r="S1480">
        <v>788</v>
      </c>
      <c r="T1480" t="s">
        <v>26</v>
      </c>
      <c r="U1480" t="s">
        <v>49</v>
      </c>
    </row>
    <row r="1481" spans="1:21">
      <c r="A1481" t="s">
        <v>2381</v>
      </c>
      <c r="B1481" t="s">
        <v>1921</v>
      </c>
      <c r="C1481" t="s">
        <v>1890</v>
      </c>
      <c r="D1481">
        <v>110000</v>
      </c>
      <c r="E1481">
        <v>10000</v>
      </c>
      <c r="H1481">
        <v>3</v>
      </c>
      <c r="I1481" t="s">
        <v>325</v>
      </c>
      <c r="J1481">
        <v>34.4</v>
      </c>
      <c r="K1481">
        <v>35</v>
      </c>
      <c r="L1481">
        <v>4</v>
      </c>
      <c r="M1481" t="s">
        <v>1842</v>
      </c>
      <c r="N1481">
        <v>8</v>
      </c>
      <c r="O1481">
        <v>12.67</v>
      </c>
      <c r="P1481">
        <v>123574.88</v>
      </c>
      <c r="Q1481">
        <v>168453.81</v>
      </c>
      <c r="R1481">
        <v>637</v>
      </c>
      <c r="S1481">
        <v>788</v>
      </c>
      <c r="T1481" t="s">
        <v>26</v>
      </c>
      <c r="U1481" t="s">
        <v>49</v>
      </c>
    </row>
    <row r="1482" spans="1:21">
      <c r="A1482" t="s">
        <v>2382</v>
      </c>
      <c r="B1482" t="s">
        <v>2383</v>
      </c>
      <c r="C1482" t="s">
        <v>1850</v>
      </c>
      <c r="D1482">
        <v>152000</v>
      </c>
      <c r="E1482">
        <v>6000</v>
      </c>
      <c r="F1482">
        <v>152000</v>
      </c>
      <c r="G1482">
        <v>152000</v>
      </c>
      <c r="H1482">
        <v>2</v>
      </c>
      <c r="I1482" t="s">
        <v>325</v>
      </c>
      <c r="J1482">
        <v>45.82</v>
      </c>
      <c r="K1482">
        <v>10</v>
      </c>
      <c r="L1482">
        <v>3</v>
      </c>
      <c r="M1482" t="s">
        <v>1842</v>
      </c>
      <c r="N1482">
        <v>7</v>
      </c>
      <c r="O1482">
        <v>12.33</v>
      </c>
      <c r="P1482">
        <v>123574.88</v>
      </c>
      <c r="Q1482">
        <v>168453.81</v>
      </c>
      <c r="R1482">
        <v>637</v>
      </c>
      <c r="S1482">
        <v>788</v>
      </c>
      <c r="T1482" t="s">
        <v>326</v>
      </c>
      <c r="U1482" t="s">
        <v>31</v>
      </c>
    </row>
    <row r="1483" spans="1:21">
      <c r="A1483" t="s">
        <v>2384</v>
      </c>
      <c r="B1483" t="s">
        <v>2385</v>
      </c>
      <c r="C1483" t="s">
        <v>1857</v>
      </c>
      <c r="D1483">
        <v>96000</v>
      </c>
      <c r="E1483">
        <v>3000</v>
      </c>
      <c r="G1483">
        <v>96000</v>
      </c>
      <c r="H1483">
        <v>1</v>
      </c>
      <c r="I1483" t="s">
        <v>325</v>
      </c>
      <c r="J1483">
        <v>30.01</v>
      </c>
      <c r="K1483">
        <v>10</v>
      </c>
      <c r="L1483">
        <v>2</v>
      </c>
      <c r="M1483" t="s">
        <v>1842</v>
      </c>
      <c r="N1483">
        <v>6</v>
      </c>
      <c r="O1483">
        <v>13.33</v>
      </c>
      <c r="P1483">
        <v>123574.88</v>
      </c>
      <c r="Q1483">
        <v>168453.81</v>
      </c>
      <c r="R1483">
        <v>637</v>
      </c>
      <c r="S1483">
        <v>788</v>
      </c>
      <c r="T1483" t="s">
        <v>26</v>
      </c>
      <c r="U1483" t="s">
        <v>31</v>
      </c>
    </row>
    <row r="1484" spans="1:21">
      <c r="A1484" t="s">
        <v>2386</v>
      </c>
      <c r="B1484" t="s">
        <v>2387</v>
      </c>
      <c r="C1484" t="s">
        <v>1857</v>
      </c>
      <c r="D1484">
        <v>150000</v>
      </c>
      <c r="E1484">
        <v>6500</v>
      </c>
      <c r="G1484">
        <v>150000</v>
      </c>
      <c r="H1484">
        <v>1</v>
      </c>
      <c r="I1484" t="s">
        <v>325</v>
      </c>
      <c r="J1484">
        <v>42.5</v>
      </c>
      <c r="K1484">
        <v>26</v>
      </c>
      <c r="L1484">
        <v>2</v>
      </c>
      <c r="M1484" t="s">
        <v>1842</v>
      </c>
      <c r="N1484">
        <v>10</v>
      </c>
      <c r="O1484">
        <v>13.67</v>
      </c>
      <c r="P1484">
        <v>123574.88</v>
      </c>
      <c r="Q1484">
        <v>168453.81</v>
      </c>
      <c r="R1484">
        <v>637</v>
      </c>
      <c r="S1484">
        <v>788</v>
      </c>
      <c r="T1484" t="s">
        <v>326</v>
      </c>
      <c r="U1484" t="s">
        <v>27</v>
      </c>
    </row>
    <row r="1485" spans="1:21">
      <c r="A1485" t="s">
        <v>2388</v>
      </c>
      <c r="B1485" t="s">
        <v>2389</v>
      </c>
      <c r="C1485" t="s">
        <v>1857</v>
      </c>
      <c r="D1485">
        <v>130000</v>
      </c>
      <c r="E1485">
        <v>5000</v>
      </c>
      <c r="F1485">
        <v>130000</v>
      </c>
      <c r="G1485">
        <v>130000</v>
      </c>
      <c r="H1485">
        <v>3</v>
      </c>
      <c r="I1485" t="s">
        <v>325</v>
      </c>
      <c r="J1485">
        <v>38.799999999999997</v>
      </c>
      <c r="K1485">
        <v>29</v>
      </c>
      <c r="L1485">
        <v>3</v>
      </c>
      <c r="M1485" t="s">
        <v>1842</v>
      </c>
      <c r="N1485">
        <v>7</v>
      </c>
      <c r="O1485">
        <v>11.33</v>
      </c>
      <c r="P1485">
        <v>123574.88</v>
      </c>
      <c r="Q1485">
        <v>168453.81</v>
      </c>
      <c r="R1485">
        <v>637</v>
      </c>
      <c r="S1485">
        <v>788</v>
      </c>
      <c r="T1485" t="s">
        <v>26</v>
      </c>
      <c r="U1485" t="s">
        <v>27</v>
      </c>
    </row>
    <row r="1486" spans="1:21">
      <c r="A1486" t="s">
        <v>2390</v>
      </c>
      <c r="B1486" t="s">
        <v>1927</v>
      </c>
      <c r="C1486" t="s">
        <v>1873</v>
      </c>
      <c r="D1486">
        <v>110500</v>
      </c>
      <c r="E1486">
        <v>9500</v>
      </c>
      <c r="G1486">
        <v>110500</v>
      </c>
      <c r="H1486">
        <v>1</v>
      </c>
      <c r="I1486" t="s">
        <v>325</v>
      </c>
      <c r="J1486">
        <v>25.52</v>
      </c>
      <c r="K1486">
        <v>3</v>
      </c>
      <c r="L1486">
        <v>4</v>
      </c>
      <c r="M1486" t="s">
        <v>1842</v>
      </c>
      <c r="N1486">
        <v>6</v>
      </c>
      <c r="O1486">
        <v>9.33</v>
      </c>
      <c r="P1486">
        <v>123574.88</v>
      </c>
      <c r="Q1486">
        <v>168453.81</v>
      </c>
      <c r="R1486">
        <v>637</v>
      </c>
      <c r="S1486">
        <v>788</v>
      </c>
      <c r="T1486" t="s">
        <v>34</v>
      </c>
      <c r="U1486" t="s">
        <v>31</v>
      </c>
    </row>
    <row r="1487" spans="1:21">
      <c r="A1487" t="s">
        <v>2391</v>
      </c>
      <c r="B1487" t="s">
        <v>1932</v>
      </c>
      <c r="C1487" t="s">
        <v>1857</v>
      </c>
      <c r="D1487">
        <v>222000</v>
      </c>
      <c r="E1487">
        <v>15000</v>
      </c>
      <c r="H1487">
        <v>4</v>
      </c>
      <c r="I1487" t="s">
        <v>325</v>
      </c>
      <c r="J1487">
        <v>27.4</v>
      </c>
      <c r="K1487">
        <v>1</v>
      </c>
      <c r="L1487">
        <v>5</v>
      </c>
      <c r="M1487" t="s">
        <v>1842</v>
      </c>
      <c r="N1487">
        <v>10</v>
      </c>
      <c r="O1487">
        <v>12.33</v>
      </c>
      <c r="P1487">
        <v>123574.88</v>
      </c>
      <c r="Q1487">
        <v>168453.81</v>
      </c>
      <c r="R1487">
        <v>637</v>
      </c>
      <c r="S1487">
        <v>788</v>
      </c>
      <c r="T1487" t="s">
        <v>34</v>
      </c>
      <c r="U1487" t="s">
        <v>31</v>
      </c>
    </row>
    <row r="1488" spans="1:21">
      <c r="A1488" t="s">
        <v>2392</v>
      </c>
      <c r="B1488" t="s">
        <v>1932</v>
      </c>
      <c r="C1488" t="s">
        <v>1857</v>
      </c>
      <c r="D1488">
        <v>181000</v>
      </c>
      <c r="E1488">
        <v>15000</v>
      </c>
      <c r="H1488">
        <v>4</v>
      </c>
      <c r="I1488" t="s">
        <v>325</v>
      </c>
      <c r="J1488">
        <v>36.21</v>
      </c>
      <c r="K1488">
        <v>1</v>
      </c>
      <c r="L1488">
        <v>5</v>
      </c>
      <c r="M1488" t="s">
        <v>1842</v>
      </c>
      <c r="N1488">
        <v>10</v>
      </c>
      <c r="O1488">
        <v>12.33</v>
      </c>
      <c r="P1488">
        <v>123574.88</v>
      </c>
      <c r="Q1488">
        <v>168453.81</v>
      </c>
      <c r="R1488">
        <v>637</v>
      </c>
      <c r="S1488">
        <v>788</v>
      </c>
      <c r="T1488" t="s">
        <v>26</v>
      </c>
      <c r="U1488" t="s">
        <v>31</v>
      </c>
    </row>
    <row r="1489" spans="1:21">
      <c r="A1489" t="s">
        <v>2393</v>
      </c>
      <c r="B1489" t="s">
        <v>2394</v>
      </c>
      <c r="C1489" t="s">
        <v>1291</v>
      </c>
      <c r="D1489">
        <v>143000</v>
      </c>
      <c r="E1489">
        <v>10000</v>
      </c>
      <c r="F1489">
        <v>143000</v>
      </c>
      <c r="G1489">
        <v>143000</v>
      </c>
      <c r="H1489">
        <v>2</v>
      </c>
      <c r="I1489" t="s">
        <v>325</v>
      </c>
      <c r="J1489">
        <v>30.53</v>
      </c>
      <c r="K1489">
        <v>2</v>
      </c>
      <c r="L1489">
        <v>7</v>
      </c>
      <c r="M1489" t="s">
        <v>1842</v>
      </c>
      <c r="N1489">
        <v>10</v>
      </c>
      <c r="O1489">
        <v>12.67</v>
      </c>
      <c r="P1489">
        <v>123574.88</v>
      </c>
      <c r="Q1489">
        <v>168453.81</v>
      </c>
      <c r="R1489">
        <v>637</v>
      </c>
      <c r="S1489">
        <v>788</v>
      </c>
      <c r="T1489" t="s">
        <v>26</v>
      </c>
      <c r="U1489" t="s">
        <v>31</v>
      </c>
    </row>
    <row r="1490" spans="1:21">
      <c r="A1490" t="s">
        <v>2395</v>
      </c>
      <c r="B1490" t="s">
        <v>2394</v>
      </c>
      <c r="C1490" t="s">
        <v>1291</v>
      </c>
      <c r="D1490">
        <v>148000</v>
      </c>
      <c r="E1490">
        <v>10000</v>
      </c>
      <c r="F1490">
        <v>148000</v>
      </c>
      <c r="G1490">
        <v>148000</v>
      </c>
      <c r="H1490">
        <v>4</v>
      </c>
      <c r="I1490" t="s">
        <v>325</v>
      </c>
      <c r="J1490">
        <v>30.53</v>
      </c>
      <c r="K1490">
        <v>2</v>
      </c>
      <c r="L1490">
        <v>7</v>
      </c>
      <c r="M1490" t="s">
        <v>1842</v>
      </c>
      <c r="N1490">
        <v>10</v>
      </c>
      <c r="O1490">
        <v>12.67</v>
      </c>
      <c r="P1490">
        <v>123574.88</v>
      </c>
      <c r="Q1490">
        <v>168453.81</v>
      </c>
      <c r="R1490">
        <v>637</v>
      </c>
      <c r="S1490">
        <v>788</v>
      </c>
      <c r="T1490" t="s">
        <v>26</v>
      </c>
      <c r="U1490" t="s">
        <v>31</v>
      </c>
    </row>
    <row r="1491" spans="1:21">
      <c r="A1491" t="s">
        <v>2396</v>
      </c>
      <c r="B1491" t="s">
        <v>2394</v>
      </c>
      <c r="C1491" t="s">
        <v>1291</v>
      </c>
      <c r="D1491">
        <v>138000</v>
      </c>
      <c r="E1491">
        <v>10000</v>
      </c>
      <c r="F1491">
        <v>138000</v>
      </c>
      <c r="G1491">
        <v>138000</v>
      </c>
      <c r="H1491">
        <v>4</v>
      </c>
      <c r="I1491" t="s">
        <v>325</v>
      </c>
      <c r="J1491">
        <v>32.74</v>
      </c>
      <c r="K1491">
        <v>2</v>
      </c>
      <c r="L1491">
        <v>7</v>
      </c>
      <c r="M1491" t="s">
        <v>1842</v>
      </c>
      <c r="N1491">
        <v>10</v>
      </c>
      <c r="O1491">
        <v>12.67</v>
      </c>
      <c r="P1491">
        <v>123574.88</v>
      </c>
      <c r="Q1491">
        <v>168453.81</v>
      </c>
      <c r="R1491">
        <v>637</v>
      </c>
      <c r="S1491">
        <v>788</v>
      </c>
      <c r="T1491" t="s">
        <v>26</v>
      </c>
      <c r="U1491" t="s">
        <v>31</v>
      </c>
    </row>
    <row r="1492" spans="1:21">
      <c r="A1492" t="s">
        <v>2397</v>
      </c>
      <c r="B1492" t="s">
        <v>1939</v>
      </c>
      <c r="C1492" t="s">
        <v>1291</v>
      </c>
      <c r="D1492">
        <v>243000</v>
      </c>
      <c r="E1492">
        <v>15000</v>
      </c>
      <c r="F1492">
        <v>243000</v>
      </c>
      <c r="G1492">
        <v>243000</v>
      </c>
      <c r="H1492">
        <v>8</v>
      </c>
      <c r="I1492" t="s">
        <v>325</v>
      </c>
      <c r="J1492">
        <v>41.88</v>
      </c>
      <c r="K1492">
        <v>0</v>
      </c>
      <c r="L1492">
        <v>8</v>
      </c>
      <c r="M1492" t="s">
        <v>1842</v>
      </c>
      <c r="N1492">
        <v>9</v>
      </c>
      <c r="O1492">
        <v>9.67</v>
      </c>
      <c r="P1492">
        <v>123574.88</v>
      </c>
      <c r="Q1492">
        <v>168453.81</v>
      </c>
      <c r="R1492">
        <v>637</v>
      </c>
      <c r="S1492">
        <v>788</v>
      </c>
      <c r="T1492" t="s">
        <v>326</v>
      </c>
      <c r="U1492" t="s">
        <v>81</v>
      </c>
    </row>
    <row r="1493" spans="1:21">
      <c r="A1493" t="s">
        <v>2398</v>
      </c>
      <c r="B1493" t="s">
        <v>2399</v>
      </c>
      <c r="C1493" t="s">
        <v>1857</v>
      </c>
      <c r="D1493">
        <v>196000</v>
      </c>
      <c r="E1493">
        <v>10000</v>
      </c>
      <c r="F1493">
        <v>196000</v>
      </c>
      <c r="H1493">
        <v>4</v>
      </c>
      <c r="I1493" t="s">
        <v>325</v>
      </c>
      <c r="J1493">
        <v>54.31</v>
      </c>
      <c r="K1493">
        <v>19</v>
      </c>
      <c r="L1493">
        <v>7</v>
      </c>
      <c r="M1493" t="s">
        <v>1842</v>
      </c>
      <c r="N1493">
        <v>10</v>
      </c>
      <c r="O1493">
        <v>11.33</v>
      </c>
      <c r="P1493">
        <v>123574.88</v>
      </c>
      <c r="Q1493">
        <v>168453.81</v>
      </c>
      <c r="R1493">
        <v>637</v>
      </c>
      <c r="S1493">
        <v>788</v>
      </c>
      <c r="T1493" t="s">
        <v>332</v>
      </c>
      <c r="U1493" t="s">
        <v>90</v>
      </c>
    </row>
    <row r="1494" spans="1:21">
      <c r="A1494" t="s">
        <v>2400</v>
      </c>
      <c r="B1494" t="s">
        <v>2401</v>
      </c>
      <c r="C1494" t="s">
        <v>1857</v>
      </c>
      <c r="D1494">
        <v>80000</v>
      </c>
      <c r="E1494">
        <v>3000</v>
      </c>
      <c r="H1494">
        <v>2</v>
      </c>
      <c r="I1494" t="s">
        <v>325</v>
      </c>
      <c r="J1494">
        <v>31</v>
      </c>
      <c r="K1494">
        <v>42</v>
      </c>
      <c r="L1494">
        <v>3</v>
      </c>
      <c r="M1494" t="s">
        <v>1842</v>
      </c>
      <c r="N1494">
        <v>10</v>
      </c>
      <c r="O1494">
        <v>12.67</v>
      </c>
      <c r="P1494">
        <v>123574.88</v>
      </c>
      <c r="Q1494">
        <v>168453.81</v>
      </c>
      <c r="R1494">
        <v>637</v>
      </c>
      <c r="S1494">
        <v>788</v>
      </c>
      <c r="T1494" t="s">
        <v>26</v>
      </c>
      <c r="U1494" t="s">
        <v>42</v>
      </c>
    </row>
    <row r="1495" spans="1:21">
      <c r="A1495" t="s">
        <v>2402</v>
      </c>
      <c r="B1495" t="s">
        <v>2276</v>
      </c>
      <c r="C1495" t="s">
        <v>1857</v>
      </c>
      <c r="D1495">
        <v>110000</v>
      </c>
      <c r="E1495">
        <v>2000</v>
      </c>
      <c r="F1495">
        <v>110000</v>
      </c>
      <c r="G1495">
        <v>110000</v>
      </c>
      <c r="H1495">
        <v>1</v>
      </c>
      <c r="I1495" t="s">
        <v>325</v>
      </c>
      <c r="J1495">
        <v>36.5</v>
      </c>
      <c r="K1495">
        <v>46</v>
      </c>
      <c r="L1495">
        <v>2</v>
      </c>
      <c r="M1495" t="s">
        <v>1842</v>
      </c>
      <c r="N1495">
        <v>6</v>
      </c>
      <c r="O1495">
        <v>14</v>
      </c>
      <c r="P1495">
        <v>123574.88</v>
      </c>
      <c r="Q1495">
        <v>168453.81</v>
      </c>
      <c r="R1495">
        <v>637</v>
      </c>
      <c r="S1495">
        <v>788</v>
      </c>
      <c r="T1495" t="s">
        <v>26</v>
      </c>
      <c r="U1495" t="s">
        <v>42</v>
      </c>
    </row>
    <row r="1496" spans="1:21">
      <c r="A1496" t="s">
        <v>2403</v>
      </c>
      <c r="B1496" t="s">
        <v>2404</v>
      </c>
      <c r="C1496" t="s">
        <v>1857</v>
      </c>
      <c r="D1496">
        <v>180000</v>
      </c>
      <c r="E1496">
        <v>3000</v>
      </c>
      <c r="F1496">
        <v>180000</v>
      </c>
      <c r="H1496">
        <v>1</v>
      </c>
      <c r="I1496" t="s">
        <v>325</v>
      </c>
      <c r="J1496">
        <v>53.4</v>
      </c>
      <c r="K1496">
        <v>12</v>
      </c>
      <c r="L1496">
        <v>3</v>
      </c>
      <c r="M1496" t="s">
        <v>1842</v>
      </c>
      <c r="N1496">
        <v>7</v>
      </c>
      <c r="O1496">
        <v>11.67</v>
      </c>
      <c r="P1496">
        <v>123574.88</v>
      </c>
      <c r="Q1496">
        <v>168453.81</v>
      </c>
      <c r="R1496">
        <v>637</v>
      </c>
      <c r="S1496">
        <v>788</v>
      </c>
      <c r="T1496" t="s">
        <v>332</v>
      </c>
      <c r="U1496" t="s">
        <v>90</v>
      </c>
    </row>
    <row r="1497" spans="1:21">
      <c r="A1497" t="s">
        <v>2405</v>
      </c>
      <c r="B1497" t="s">
        <v>2406</v>
      </c>
      <c r="C1497" t="s">
        <v>1841</v>
      </c>
      <c r="D1497">
        <v>132000</v>
      </c>
      <c r="E1497">
        <v>3000</v>
      </c>
      <c r="F1497">
        <v>132000</v>
      </c>
      <c r="G1497">
        <v>132000</v>
      </c>
      <c r="H1497">
        <v>2</v>
      </c>
      <c r="I1497" t="s">
        <v>325</v>
      </c>
      <c r="J1497">
        <v>46.02</v>
      </c>
      <c r="K1497">
        <v>7</v>
      </c>
      <c r="L1497">
        <v>2</v>
      </c>
      <c r="M1497" t="s">
        <v>1842</v>
      </c>
      <c r="N1497">
        <v>5</v>
      </c>
      <c r="O1497">
        <v>10.67</v>
      </c>
      <c r="P1497">
        <v>123574.88</v>
      </c>
      <c r="Q1497">
        <v>168453.81</v>
      </c>
      <c r="R1497">
        <v>637</v>
      </c>
      <c r="S1497">
        <v>788</v>
      </c>
      <c r="T1497" t="s">
        <v>326</v>
      </c>
      <c r="U1497" t="s">
        <v>31</v>
      </c>
    </row>
    <row r="1498" spans="1:21">
      <c r="A1498" t="s">
        <v>2407</v>
      </c>
      <c r="B1498" t="s">
        <v>2408</v>
      </c>
      <c r="C1498" t="s">
        <v>1850</v>
      </c>
      <c r="D1498">
        <v>143000</v>
      </c>
      <c r="E1498">
        <v>6000</v>
      </c>
      <c r="F1498">
        <v>143000</v>
      </c>
      <c r="H1498">
        <v>1</v>
      </c>
      <c r="I1498" t="s">
        <v>325</v>
      </c>
      <c r="J1498">
        <v>41.71</v>
      </c>
      <c r="K1498">
        <v>2</v>
      </c>
      <c r="L1498">
        <v>2</v>
      </c>
      <c r="M1498" t="s">
        <v>1842</v>
      </c>
      <c r="N1498">
        <v>5</v>
      </c>
      <c r="O1498">
        <v>15.67</v>
      </c>
      <c r="P1498">
        <v>123574.88</v>
      </c>
      <c r="Q1498">
        <v>168453.81</v>
      </c>
      <c r="R1498">
        <v>637</v>
      </c>
      <c r="S1498">
        <v>788</v>
      </c>
      <c r="T1498" t="s">
        <v>326</v>
      </c>
      <c r="U1498" t="s">
        <v>31</v>
      </c>
    </row>
    <row r="1499" spans="1:21">
      <c r="A1499" t="s">
        <v>2409</v>
      </c>
      <c r="B1499" t="s">
        <v>1840</v>
      </c>
      <c r="C1499" t="s">
        <v>1841</v>
      </c>
      <c r="D1499">
        <v>87000</v>
      </c>
      <c r="E1499">
        <v>3000</v>
      </c>
      <c r="H1499">
        <v>1</v>
      </c>
      <c r="I1499" t="s">
        <v>432</v>
      </c>
      <c r="J1499">
        <v>21.63</v>
      </c>
      <c r="K1499">
        <v>0</v>
      </c>
      <c r="L1499">
        <v>2</v>
      </c>
      <c r="M1499" t="s">
        <v>1842</v>
      </c>
      <c r="N1499">
        <v>7</v>
      </c>
      <c r="O1499">
        <v>10.33</v>
      </c>
      <c r="P1499">
        <v>123574.88</v>
      </c>
      <c r="Q1499">
        <v>77692.34</v>
      </c>
      <c r="R1499">
        <v>637</v>
      </c>
      <c r="S1499">
        <v>1071</v>
      </c>
      <c r="T1499" t="s">
        <v>34</v>
      </c>
      <c r="U1499" t="s">
        <v>81</v>
      </c>
    </row>
    <row r="1500" spans="1:21">
      <c r="A1500" t="s">
        <v>2410</v>
      </c>
      <c r="B1500" t="s">
        <v>2411</v>
      </c>
      <c r="C1500" t="s">
        <v>1887</v>
      </c>
      <c r="D1500">
        <v>115000</v>
      </c>
      <c r="E1500">
        <v>12000</v>
      </c>
      <c r="H1500">
        <v>3</v>
      </c>
      <c r="I1500" t="s">
        <v>432</v>
      </c>
      <c r="J1500">
        <v>25.59</v>
      </c>
      <c r="K1500">
        <v>10</v>
      </c>
      <c r="L1500">
        <v>9</v>
      </c>
      <c r="M1500" t="s">
        <v>1842</v>
      </c>
      <c r="N1500">
        <v>9</v>
      </c>
      <c r="O1500">
        <v>11.33</v>
      </c>
      <c r="P1500">
        <v>123574.88</v>
      </c>
      <c r="Q1500">
        <v>77692.34</v>
      </c>
      <c r="R1500">
        <v>637</v>
      </c>
      <c r="S1500">
        <v>1071</v>
      </c>
      <c r="T1500" t="s">
        <v>34</v>
      </c>
      <c r="U1500" t="s">
        <v>31</v>
      </c>
    </row>
    <row r="1501" spans="1:21">
      <c r="A1501" t="s">
        <v>2412</v>
      </c>
      <c r="B1501" t="s">
        <v>2411</v>
      </c>
      <c r="C1501" t="s">
        <v>1887</v>
      </c>
      <c r="D1501">
        <v>122000</v>
      </c>
      <c r="E1501">
        <v>12000</v>
      </c>
      <c r="H1501">
        <v>3</v>
      </c>
      <c r="I1501" t="s">
        <v>432</v>
      </c>
      <c r="J1501">
        <v>28.61</v>
      </c>
      <c r="K1501">
        <v>10</v>
      </c>
      <c r="L1501">
        <v>9</v>
      </c>
      <c r="M1501" t="s">
        <v>1842</v>
      </c>
      <c r="N1501">
        <v>9</v>
      </c>
      <c r="O1501">
        <v>11.33</v>
      </c>
      <c r="P1501">
        <v>123574.88</v>
      </c>
      <c r="Q1501">
        <v>77692.34</v>
      </c>
      <c r="R1501">
        <v>637</v>
      </c>
      <c r="S1501">
        <v>1071</v>
      </c>
      <c r="T1501" t="s">
        <v>34</v>
      </c>
      <c r="U1501" t="s">
        <v>31</v>
      </c>
    </row>
    <row r="1502" spans="1:21">
      <c r="A1502" t="s">
        <v>2413</v>
      </c>
      <c r="B1502" t="s">
        <v>2414</v>
      </c>
      <c r="C1502" t="s">
        <v>1291</v>
      </c>
      <c r="D1502">
        <v>78000</v>
      </c>
      <c r="E1502">
        <v>12000</v>
      </c>
      <c r="G1502">
        <v>156000</v>
      </c>
      <c r="H1502">
        <v>3</v>
      </c>
      <c r="I1502" t="s">
        <v>432</v>
      </c>
      <c r="J1502">
        <v>17.03</v>
      </c>
      <c r="K1502">
        <v>5</v>
      </c>
      <c r="L1502">
        <v>5</v>
      </c>
      <c r="M1502" t="s">
        <v>1842</v>
      </c>
      <c r="N1502">
        <v>9</v>
      </c>
      <c r="O1502">
        <v>9.67</v>
      </c>
      <c r="P1502">
        <v>123574.88</v>
      </c>
      <c r="Q1502">
        <v>77692.34</v>
      </c>
      <c r="R1502">
        <v>637</v>
      </c>
      <c r="S1502">
        <v>1071</v>
      </c>
      <c r="T1502" t="s">
        <v>108</v>
      </c>
      <c r="U1502" t="s">
        <v>31</v>
      </c>
    </row>
    <row r="1503" spans="1:21">
      <c r="A1503" t="s">
        <v>2415</v>
      </c>
      <c r="B1503" t="s">
        <v>2414</v>
      </c>
      <c r="C1503" t="s">
        <v>1291</v>
      </c>
      <c r="D1503">
        <v>75000</v>
      </c>
      <c r="E1503">
        <v>9500</v>
      </c>
      <c r="H1503">
        <v>4</v>
      </c>
      <c r="I1503" t="s">
        <v>432</v>
      </c>
      <c r="J1503">
        <v>16.02</v>
      </c>
      <c r="K1503">
        <v>5</v>
      </c>
      <c r="L1503">
        <v>5</v>
      </c>
      <c r="M1503" t="s">
        <v>1842</v>
      </c>
      <c r="N1503">
        <v>9</v>
      </c>
      <c r="O1503">
        <v>9.67</v>
      </c>
      <c r="P1503">
        <v>123574.88</v>
      </c>
      <c r="Q1503">
        <v>77692.34</v>
      </c>
      <c r="R1503">
        <v>637</v>
      </c>
      <c r="S1503">
        <v>1071</v>
      </c>
      <c r="T1503" t="s">
        <v>108</v>
      </c>
      <c r="U1503" t="s">
        <v>31</v>
      </c>
    </row>
    <row r="1504" spans="1:21">
      <c r="A1504" t="s">
        <v>2416</v>
      </c>
      <c r="B1504" t="s">
        <v>2417</v>
      </c>
      <c r="C1504" t="s">
        <v>1291</v>
      </c>
      <c r="D1504">
        <v>90000</v>
      </c>
      <c r="E1504">
        <v>5000</v>
      </c>
      <c r="F1504">
        <v>90000</v>
      </c>
      <c r="G1504">
        <v>90000</v>
      </c>
      <c r="H1504">
        <v>4</v>
      </c>
      <c r="I1504" t="s">
        <v>432</v>
      </c>
      <c r="J1504">
        <v>18.3</v>
      </c>
      <c r="K1504">
        <v>10</v>
      </c>
      <c r="L1504">
        <v>4</v>
      </c>
      <c r="M1504" t="s">
        <v>1842</v>
      </c>
      <c r="N1504">
        <v>9</v>
      </c>
      <c r="O1504">
        <v>12</v>
      </c>
      <c r="P1504">
        <v>123574.88</v>
      </c>
      <c r="Q1504">
        <v>77692.34</v>
      </c>
      <c r="R1504">
        <v>637</v>
      </c>
      <c r="S1504">
        <v>1071</v>
      </c>
      <c r="T1504" t="s">
        <v>108</v>
      </c>
      <c r="U1504" t="s">
        <v>31</v>
      </c>
    </row>
    <row r="1505" spans="1:21">
      <c r="A1505" t="s">
        <v>2418</v>
      </c>
      <c r="B1505" t="s">
        <v>2419</v>
      </c>
      <c r="C1505" t="s">
        <v>1857</v>
      </c>
      <c r="D1505">
        <v>85000</v>
      </c>
      <c r="F1505">
        <v>85000</v>
      </c>
      <c r="G1505">
        <v>85000</v>
      </c>
      <c r="H1505">
        <v>2</v>
      </c>
      <c r="I1505" t="s">
        <v>432</v>
      </c>
      <c r="J1505">
        <v>32</v>
      </c>
      <c r="K1505">
        <v>47</v>
      </c>
      <c r="L1505">
        <v>3</v>
      </c>
      <c r="M1505" t="s">
        <v>1842</v>
      </c>
      <c r="N1505">
        <v>6</v>
      </c>
      <c r="O1505">
        <v>13</v>
      </c>
      <c r="P1505">
        <v>123574.88</v>
      </c>
      <c r="Q1505">
        <v>77692.34</v>
      </c>
      <c r="R1505">
        <v>637</v>
      </c>
      <c r="S1505">
        <v>1071</v>
      </c>
      <c r="T1505" t="s">
        <v>26</v>
      </c>
      <c r="U1505" t="s">
        <v>42</v>
      </c>
    </row>
    <row r="1506" spans="1:21">
      <c r="A1506" t="s">
        <v>2420</v>
      </c>
      <c r="B1506" t="s">
        <v>2421</v>
      </c>
      <c r="C1506" t="s">
        <v>1850</v>
      </c>
      <c r="D1506">
        <v>55000</v>
      </c>
      <c r="E1506">
        <v>5000</v>
      </c>
      <c r="F1506">
        <v>55000</v>
      </c>
      <c r="H1506">
        <v>2</v>
      </c>
      <c r="I1506" t="s">
        <v>432</v>
      </c>
      <c r="J1506">
        <v>14.85</v>
      </c>
      <c r="K1506">
        <v>41</v>
      </c>
      <c r="L1506">
        <v>3</v>
      </c>
      <c r="M1506" t="s">
        <v>1842</v>
      </c>
      <c r="N1506">
        <v>4</v>
      </c>
      <c r="O1506">
        <v>14</v>
      </c>
      <c r="P1506">
        <v>123574.88</v>
      </c>
      <c r="Q1506">
        <v>77692.34</v>
      </c>
      <c r="R1506">
        <v>637</v>
      </c>
      <c r="S1506">
        <v>1071</v>
      </c>
      <c r="T1506" t="s">
        <v>108</v>
      </c>
      <c r="U1506" t="s">
        <v>42</v>
      </c>
    </row>
    <row r="1507" spans="1:21">
      <c r="A1507" t="s">
        <v>2422</v>
      </c>
      <c r="B1507" t="s">
        <v>2421</v>
      </c>
      <c r="C1507" t="s">
        <v>1850</v>
      </c>
      <c r="D1507">
        <v>55000</v>
      </c>
      <c r="E1507">
        <v>5000</v>
      </c>
      <c r="F1507">
        <v>55000</v>
      </c>
      <c r="H1507">
        <v>3</v>
      </c>
      <c r="I1507" t="s">
        <v>432</v>
      </c>
      <c r="J1507">
        <v>14.85</v>
      </c>
      <c r="K1507">
        <v>41</v>
      </c>
      <c r="L1507">
        <v>3</v>
      </c>
      <c r="M1507" t="s">
        <v>1842</v>
      </c>
      <c r="N1507">
        <v>4</v>
      </c>
      <c r="O1507">
        <v>14</v>
      </c>
      <c r="P1507">
        <v>123574.88</v>
      </c>
      <c r="Q1507">
        <v>77692.34</v>
      </c>
      <c r="R1507">
        <v>637</v>
      </c>
      <c r="S1507">
        <v>1071</v>
      </c>
      <c r="T1507" t="s">
        <v>108</v>
      </c>
      <c r="U1507" t="s">
        <v>42</v>
      </c>
    </row>
    <row r="1508" spans="1:21">
      <c r="A1508" t="s">
        <v>2423</v>
      </c>
      <c r="B1508" t="s">
        <v>2424</v>
      </c>
      <c r="C1508" t="s">
        <v>688</v>
      </c>
      <c r="D1508">
        <v>59000</v>
      </c>
      <c r="E1508">
        <v>3500</v>
      </c>
      <c r="G1508">
        <v>59000</v>
      </c>
      <c r="H1508">
        <v>1</v>
      </c>
      <c r="I1508" t="s">
        <v>432</v>
      </c>
      <c r="J1508">
        <v>26</v>
      </c>
      <c r="K1508">
        <v>50</v>
      </c>
      <c r="L1508">
        <v>2</v>
      </c>
      <c r="M1508" t="s">
        <v>1842</v>
      </c>
      <c r="N1508">
        <v>9</v>
      </c>
      <c r="O1508">
        <v>12.33</v>
      </c>
      <c r="P1508">
        <v>123574.88</v>
      </c>
      <c r="Q1508">
        <v>77692.34</v>
      </c>
      <c r="R1508">
        <v>637</v>
      </c>
      <c r="S1508">
        <v>1071</v>
      </c>
      <c r="T1508" t="s">
        <v>34</v>
      </c>
      <c r="U1508" t="s">
        <v>42</v>
      </c>
    </row>
    <row r="1509" spans="1:21">
      <c r="A1509" t="s">
        <v>2425</v>
      </c>
      <c r="B1509" t="s">
        <v>2424</v>
      </c>
      <c r="C1509" t="s">
        <v>688</v>
      </c>
      <c r="D1509">
        <v>45000</v>
      </c>
      <c r="G1509">
        <v>45000</v>
      </c>
      <c r="H1509">
        <v>2</v>
      </c>
      <c r="I1509" t="s">
        <v>432</v>
      </c>
      <c r="J1509">
        <v>16.5</v>
      </c>
      <c r="K1509">
        <v>50</v>
      </c>
      <c r="L1509">
        <v>2</v>
      </c>
      <c r="M1509" t="s">
        <v>1842</v>
      </c>
      <c r="N1509">
        <v>9</v>
      </c>
      <c r="O1509">
        <v>12.33</v>
      </c>
      <c r="P1509">
        <v>123574.88</v>
      </c>
      <c r="Q1509">
        <v>77692.34</v>
      </c>
      <c r="R1509">
        <v>637</v>
      </c>
      <c r="S1509">
        <v>1071</v>
      </c>
      <c r="T1509" t="s">
        <v>108</v>
      </c>
      <c r="U1509" t="s">
        <v>42</v>
      </c>
    </row>
    <row r="1510" spans="1:21">
      <c r="A1510" t="s">
        <v>2426</v>
      </c>
      <c r="B1510" t="s">
        <v>2427</v>
      </c>
      <c r="C1510" t="s">
        <v>1870</v>
      </c>
      <c r="D1510">
        <v>146000</v>
      </c>
      <c r="E1510">
        <v>3000</v>
      </c>
      <c r="F1510">
        <v>146000</v>
      </c>
      <c r="G1510">
        <v>146000</v>
      </c>
      <c r="H1510">
        <v>1</v>
      </c>
      <c r="I1510" t="s">
        <v>432</v>
      </c>
      <c r="J1510">
        <v>36.18</v>
      </c>
      <c r="K1510">
        <v>4</v>
      </c>
      <c r="L1510">
        <v>3</v>
      </c>
      <c r="M1510" t="s">
        <v>1842</v>
      </c>
      <c r="N1510">
        <v>5</v>
      </c>
      <c r="O1510">
        <v>9.67</v>
      </c>
      <c r="P1510">
        <v>123574.88</v>
      </c>
      <c r="Q1510">
        <v>77692.34</v>
      </c>
      <c r="R1510">
        <v>637</v>
      </c>
      <c r="S1510">
        <v>1071</v>
      </c>
      <c r="T1510" t="s">
        <v>26</v>
      </c>
      <c r="U1510" t="s">
        <v>31</v>
      </c>
    </row>
    <row r="1511" spans="1:21">
      <c r="A1511" t="s">
        <v>2428</v>
      </c>
      <c r="B1511" t="s">
        <v>2429</v>
      </c>
      <c r="C1511" t="s">
        <v>1857</v>
      </c>
      <c r="D1511">
        <v>62000</v>
      </c>
      <c r="E1511">
        <v>2000</v>
      </c>
      <c r="F1511">
        <v>62000</v>
      </c>
      <c r="G1511">
        <v>62000</v>
      </c>
      <c r="H1511">
        <v>2</v>
      </c>
      <c r="I1511" t="s">
        <v>432</v>
      </c>
      <c r="J1511">
        <v>19.87</v>
      </c>
      <c r="K1511">
        <v>33</v>
      </c>
      <c r="L1511">
        <v>2</v>
      </c>
      <c r="M1511" t="s">
        <v>1842</v>
      </c>
      <c r="N1511">
        <v>5</v>
      </c>
      <c r="O1511">
        <v>12.67</v>
      </c>
      <c r="P1511">
        <v>123574.88</v>
      </c>
      <c r="Q1511">
        <v>77692.34</v>
      </c>
      <c r="R1511">
        <v>637</v>
      </c>
      <c r="S1511">
        <v>1071</v>
      </c>
      <c r="T1511" t="s">
        <v>108</v>
      </c>
      <c r="U1511" t="s">
        <v>49</v>
      </c>
    </row>
    <row r="1512" spans="1:21">
      <c r="A1512" t="s">
        <v>2430</v>
      </c>
      <c r="B1512" t="s">
        <v>2431</v>
      </c>
      <c r="C1512" t="s">
        <v>1850</v>
      </c>
      <c r="D1512">
        <v>55000</v>
      </c>
      <c r="F1512">
        <v>55000</v>
      </c>
      <c r="H1512">
        <v>1</v>
      </c>
      <c r="I1512" t="s">
        <v>432</v>
      </c>
      <c r="J1512">
        <v>17</v>
      </c>
      <c r="K1512">
        <v>40</v>
      </c>
      <c r="L1512">
        <v>4</v>
      </c>
      <c r="M1512" t="s">
        <v>1842</v>
      </c>
      <c r="N1512">
        <v>4</v>
      </c>
      <c r="O1512">
        <v>12.33</v>
      </c>
      <c r="P1512">
        <v>123574.88</v>
      </c>
      <c r="Q1512">
        <v>77692.34</v>
      </c>
      <c r="R1512">
        <v>637</v>
      </c>
      <c r="S1512">
        <v>1071</v>
      </c>
      <c r="T1512" t="s">
        <v>108</v>
      </c>
      <c r="U1512" t="s">
        <v>49</v>
      </c>
    </row>
    <row r="1513" spans="1:21">
      <c r="A1513" t="s">
        <v>2432</v>
      </c>
      <c r="B1513" t="s">
        <v>2431</v>
      </c>
      <c r="C1513" t="s">
        <v>1850</v>
      </c>
      <c r="D1513">
        <v>58000</v>
      </c>
      <c r="F1513">
        <v>58000</v>
      </c>
      <c r="H1513">
        <v>2</v>
      </c>
      <c r="I1513" t="s">
        <v>432</v>
      </c>
      <c r="J1513">
        <v>15</v>
      </c>
      <c r="K1513">
        <v>40</v>
      </c>
      <c r="L1513">
        <v>4</v>
      </c>
      <c r="M1513" t="s">
        <v>1842</v>
      </c>
      <c r="N1513">
        <v>4</v>
      </c>
      <c r="O1513">
        <v>12.33</v>
      </c>
      <c r="P1513">
        <v>123574.88</v>
      </c>
      <c r="Q1513">
        <v>77692.34</v>
      </c>
      <c r="R1513">
        <v>637</v>
      </c>
      <c r="S1513">
        <v>1071</v>
      </c>
      <c r="T1513" t="s">
        <v>108</v>
      </c>
      <c r="U1513" t="s">
        <v>49</v>
      </c>
    </row>
    <row r="1514" spans="1:21">
      <c r="A1514" t="s">
        <v>2433</v>
      </c>
      <c r="B1514" t="s">
        <v>2434</v>
      </c>
      <c r="C1514" t="s">
        <v>1887</v>
      </c>
      <c r="D1514">
        <v>46500</v>
      </c>
      <c r="F1514">
        <v>46500</v>
      </c>
      <c r="G1514">
        <v>46500</v>
      </c>
      <c r="H1514">
        <v>1</v>
      </c>
      <c r="I1514" t="s">
        <v>432</v>
      </c>
      <c r="J1514">
        <v>10.72</v>
      </c>
      <c r="K1514">
        <v>17</v>
      </c>
      <c r="L1514">
        <v>2</v>
      </c>
      <c r="M1514" t="s">
        <v>1842</v>
      </c>
      <c r="N1514">
        <v>3</v>
      </c>
      <c r="O1514">
        <v>10.33</v>
      </c>
      <c r="P1514">
        <v>123574.88</v>
      </c>
      <c r="Q1514">
        <v>77692.34</v>
      </c>
      <c r="R1514">
        <v>637</v>
      </c>
      <c r="S1514">
        <v>1071</v>
      </c>
      <c r="T1514" t="s">
        <v>108</v>
      </c>
      <c r="U1514" t="s">
        <v>90</v>
      </c>
    </row>
    <row r="1515" spans="1:21">
      <c r="A1515" t="s">
        <v>2435</v>
      </c>
      <c r="B1515" t="s">
        <v>2436</v>
      </c>
      <c r="C1515" t="s">
        <v>1850</v>
      </c>
      <c r="D1515">
        <v>52000</v>
      </c>
      <c r="E1515">
        <v>3000</v>
      </c>
      <c r="F1515">
        <v>52000</v>
      </c>
      <c r="H1515">
        <v>2</v>
      </c>
      <c r="I1515" t="s">
        <v>432</v>
      </c>
      <c r="J1515">
        <v>9.56</v>
      </c>
      <c r="K1515">
        <v>16</v>
      </c>
      <c r="L1515">
        <v>2</v>
      </c>
      <c r="M1515" t="s">
        <v>1842</v>
      </c>
      <c r="N1515">
        <v>8</v>
      </c>
      <c r="O1515">
        <v>8</v>
      </c>
      <c r="P1515">
        <v>123574.88</v>
      </c>
      <c r="Q1515">
        <v>77692.34</v>
      </c>
      <c r="R1515">
        <v>637</v>
      </c>
      <c r="S1515">
        <v>1071</v>
      </c>
      <c r="T1515" t="s">
        <v>231</v>
      </c>
      <c r="U1515" t="s">
        <v>90</v>
      </c>
    </row>
    <row r="1516" spans="1:21">
      <c r="A1516" t="s">
        <v>2437</v>
      </c>
      <c r="B1516" t="s">
        <v>2438</v>
      </c>
      <c r="C1516" t="s">
        <v>1841</v>
      </c>
      <c r="D1516">
        <v>52500</v>
      </c>
      <c r="E1516">
        <v>2500</v>
      </c>
      <c r="F1516">
        <v>52500</v>
      </c>
      <c r="G1516">
        <v>52500</v>
      </c>
      <c r="H1516">
        <v>2</v>
      </c>
      <c r="I1516" t="s">
        <v>432</v>
      </c>
      <c r="J1516">
        <v>10.3</v>
      </c>
      <c r="K1516">
        <v>19</v>
      </c>
      <c r="L1516">
        <v>2</v>
      </c>
      <c r="M1516" t="s">
        <v>1842</v>
      </c>
      <c r="N1516">
        <v>5</v>
      </c>
      <c r="O1516">
        <v>11.33</v>
      </c>
      <c r="P1516">
        <v>123574.88</v>
      </c>
      <c r="Q1516">
        <v>77692.34</v>
      </c>
      <c r="R1516">
        <v>637</v>
      </c>
      <c r="S1516">
        <v>1071</v>
      </c>
      <c r="T1516" t="s">
        <v>108</v>
      </c>
      <c r="U1516" t="s">
        <v>90</v>
      </c>
    </row>
    <row r="1517" spans="1:21">
      <c r="A1517" t="s">
        <v>2439</v>
      </c>
      <c r="B1517" t="s">
        <v>2440</v>
      </c>
      <c r="C1517" t="s">
        <v>1857</v>
      </c>
      <c r="D1517">
        <v>64000</v>
      </c>
      <c r="E1517">
        <v>4000</v>
      </c>
      <c r="G1517">
        <v>64000</v>
      </c>
      <c r="H1517">
        <v>1</v>
      </c>
      <c r="I1517" t="s">
        <v>432</v>
      </c>
      <c r="J1517">
        <v>11.09</v>
      </c>
      <c r="K1517">
        <v>2</v>
      </c>
      <c r="L1517">
        <v>2</v>
      </c>
      <c r="M1517" t="s">
        <v>1842</v>
      </c>
      <c r="N1517">
        <v>7</v>
      </c>
      <c r="O1517">
        <v>13.33</v>
      </c>
      <c r="P1517">
        <v>123574.88</v>
      </c>
      <c r="Q1517">
        <v>77692.34</v>
      </c>
      <c r="R1517">
        <v>637</v>
      </c>
      <c r="S1517">
        <v>1071</v>
      </c>
      <c r="T1517" t="s">
        <v>108</v>
      </c>
      <c r="U1517" t="s">
        <v>31</v>
      </c>
    </row>
    <row r="1518" spans="1:21">
      <c r="A1518" t="s">
        <v>2441</v>
      </c>
      <c r="B1518" t="s">
        <v>2442</v>
      </c>
      <c r="C1518" t="s">
        <v>1857</v>
      </c>
      <c r="D1518">
        <v>57000</v>
      </c>
      <c r="E1518">
        <v>5000</v>
      </c>
      <c r="F1518">
        <v>57000</v>
      </c>
      <c r="G1518">
        <v>57000</v>
      </c>
      <c r="H1518">
        <v>2</v>
      </c>
      <c r="I1518" t="s">
        <v>432</v>
      </c>
      <c r="J1518">
        <v>17</v>
      </c>
      <c r="K1518">
        <v>45</v>
      </c>
      <c r="L1518">
        <v>4</v>
      </c>
      <c r="M1518" t="s">
        <v>1842</v>
      </c>
      <c r="N1518">
        <v>5</v>
      </c>
      <c r="O1518">
        <v>8.5</v>
      </c>
      <c r="P1518">
        <v>123574.88</v>
      </c>
      <c r="Q1518">
        <v>77692.34</v>
      </c>
      <c r="R1518">
        <v>637</v>
      </c>
      <c r="S1518">
        <v>1071</v>
      </c>
      <c r="T1518" t="s">
        <v>108</v>
      </c>
      <c r="U1518" t="s">
        <v>42</v>
      </c>
    </row>
    <row r="1519" spans="1:21">
      <c r="A1519" t="s">
        <v>2443</v>
      </c>
      <c r="B1519" t="s">
        <v>2444</v>
      </c>
      <c r="C1519" t="s">
        <v>2445</v>
      </c>
      <c r="D1519">
        <v>50000</v>
      </c>
      <c r="E1519">
        <v>3000</v>
      </c>
      <c r="H1519">
        <v>2</v>
      </c>
      <c r="I1519" t="s">
        <v>432</v>
      </c>
      <c r="J1519">
        <v>10.46</v>
      </c>
      <c r="K1519">
        <v>16</v>
      </c>
      <c r="L1519">
        <v>2</v>
      </c>
      <c r="M1519" t="s">
        <v>1842</v>
      </c>
      <c r="N1519">
        <v>7</v>
      </c>
      <c r="O1519">
        <v>8</v>
      </c>
      <c r="P1519">
        <v>123574.88</v>
      </c>
      <c r="Q1519">
        <v>77692.34</v>
      </c>
      <c r="R1519">
        <v>637</v>
      </c>
      <c r="S1519">
        <v>1071</v>
      </c>
      <c r="T1519" t="s">
        <v>108</v>
      </c>
      <c r="U1519" t="s">
        <v>90</v>
      </c>
    </row>
    <row r="1520" spans="1:21">
      <c r="A1520" t="s">
        <v>2446</v>
      </c>
      <c r="B1520" t="s">
        <v>2447</v>
      </c>
      <c r="C1520" t="s">
        <v>1850</v>
      </c>
      <c r="D1520">
        <v>63000</v>
      </c>
      <c r="E1520">
        <v>2000</v>
      </c>
      <c r="F1520">
        <v>63000</v>
      </c>
      <c r="H1520">
        <v>2</v>
      </c>
      <c r="I1520" t="s">
        <v>432</v>
      </c>
      <c r="J1520">
        <v>16.93</v>
      </c>
      <c r="K1520">
        <v>22</v>
      </c>
      <c r="L1520">
        <v>2</v>
      </c>
      <c r="M1520" t="s">
        <v>1842</v>
      </c>
      <c r="N1520">
        <v>4</v>
      </c>
      <c r="O1520">
        <v>13</v>
      </c>
      <c r="P1520">
        <v>123574.88</v>
      </c>
      <c r="Q1520">
        <v>77692.34</v>
      </c>
      <c r="R1520">
        <v>637</v>
      </c>
      <c r="S1520">
        <v>1071</v>
      </c>
      <c r="T1520" t="s">
        <v>108</v>
      </c>
      <c r="U1520" t="s">
        <v>27</v>
      </c>
    </row>
    <row r="1521" spans="1:21">
      <c r="A1521" t="s">
        <v>2448</v>
      </c>
      <c r="B1521" t="s">
        <v>2449</v>
      </c>
      <c r="C1521" t="s">
        <v>1870</v>
      </c>
      <c r="D1521">
        <v>84000</v>
      </c>
      <c r="E1521">
        <v>1000</v>
      </c>
      <c r="F1521">
        <v>84000</v>
      </c>
      <c r="G1521">
        <v>84000</v>
      </c>
      <c r="H1521">
        <v>1</v>
      </c>
      <c r="I1521" t="s">
        <v>432</v>
      </c>
      <c r="J1521">
        <v>29.3</v>
      </c>
      <c r="K1521">
        <v>46</v>
      </c>
      <c r="L1521">
        <v>2</v>
      </c>
      <c r="M1521" t="s">
        <v>1842</v>
      </c>
      <c r="N1521">
        <v>5</v>
      </c>
      <c r="O1521">
        <v>10</v>
      </c>
      <c r="P1521">
        <v>123574.88</v>
      </c>
      <c r="Q1521">
        <v>77692.34</v>
      </c>
      <c r="R1521">
        <v>637</v>
      </c>
      <c r="S1521">
        <v>1071</v>
      </c>
      <c r="T1521" t="s">
        <v>34</v>
      </c>
      <c r="U1521" t="s">
        <v>42</v>
      </c>
    </row>
    <row r="1522" spans="1:21">
      <c r="A1522" t="s">
        <v>2450</v>
      </c>
      <c r="B1522" t="s">
        <v>2451</v>
      </c>
      <c r="C1522" t="s">
        <v>1890</v>
      </c>
      <c r="D1522">
        <v>54000</v>
      </c>
      <c r="F1522">
        <v>54000</v>
      </c>
      <c r="G1522">
        <v>54000</v>
      </c>
      <c r="H1522">
        <v>1</v>
      </c>
      <c r="I1522" t="s">
        <v>432</v>
      </c>
      <c r="J1522">
        <v>12</v>
      </c>
      <c r="K1522">
        <v>22</v>
      </c>
      <c r="L1522">
        <v>2</v>
      </c>
      <c r="M1522" t="s">
        <v>1842</v>
      </c>
      <c r="N1522">
        <v>9</v>
      </c>
      <c r="O1522">
        <v>11.67</v>
      </c>
      <c r="P1522">
        <v>123574.88</v>
      </c>
      <c r="Q1522">
        <v>77692.34</v>
      </c>
      <c r="R1522">
        <v>637</v>
      </c>
      <c r="S1522">
        <v>1071</v>
      </c>
      <c r="T1522" t="s">
        <v>108</v>
      </c>
      <c r="U1522" t="s">
        <v>27</v>
      </c>
    </row>
    <row r="1523" spans="1:21">
      <c r="A1523" t="s">
        <v>2452</v>
      </c>
      <c r="B1523" t="s">
        <v>2453</v>
      </c>
      <c r="C1523" t="s">
        <v>1291</v>
      </c>
      <c r="D1523">
        <v>53000</v>
      </c>
      <c r="E1523">
        <v>2000</v>
      </c>
      <c r="F1523">
        <v>53000</v>
      </c>
      <c r="G1523">
        <v>53000</v>
      </c>
      <c r="H1523">
        <v>1</v>
      </c>
      <c r="I1523" t="s">
        <v>432</v>
      </c>
      <c r="J1523">
        <v>15</v>
      </c>
      <c r="K1523">
        <v>36</v>
      </c>
      <c r="L1523">
        <v>3</v>
      </c>
      <c r="M1523" t="s">
        <v>1842</v>
      </c>
      <c r="N1523">
        <v>7</v>
      </c>
      <c r="O1523">
        <v>9.33</v>
      </c>
      <c r="P1523">
        <v>123574.88</v>
      </c>
      <c r="Q1523">
        <v>77692.34</v>
      </c>
      <c r="R1523">
        <v>637</v>
      </c>
      <c r="S1523">
        <v>1071</v>
      </c>
      <c r="T1523" t="s">
        <v>108</v>
      </c>
      <c r="U1523" t="s">
        <v>49</v>
      </c>
    </row>
    <row r="1524" spans="1:21">
      <c r="A1524" t="s">
        <v>2454</v>
      </c>
      <c r="B1524" t="s">
        <v>2455</v>
      </c>
      <c r="C1524" t="s">
        <v>1887</v>
      </c>
      <c r="D1524">
        <v>53000</v>
      </c>
      <c r="E1524">
        <v>1000</v>
      </c>
      <c r="F1524">
        <v>53000</v>
      </c>
      <c r="G1524">
        <v>53000</v>
      </c>
      <c r="H1524">
        <v>2</v>
      </c>
      <c r="I1524" t="s">
        <v>432</v>
      </c>
      <c r="J1524">
        <v>19</v>
      </c>
      <c r="K1524">
        <v>61</v>
      </c>
      <c r="L1524">
        <v>2</v>
      </c>
      <c r="M1524" t="s">
        <v>1842</v>
      </c>
      <c r="N1524">
        <v>3</v>
      </c>
      <c r="O1524">
        <v>12.67</v>
      </c>
      <c r="P1524">
        <v>123574.88</v>
      </c>
      <c r="Q1524">
        <v>77692.34</v>
      </c>
      <c r="R1524">
        <v>637</v>
      </c>
      <c r="S1524">
        <v>1071</v>
      </c>
      <c r="T1524" t="s">
        <v>108</v>
      </c>
      <c r="U1524" t="s">
        <v>38</v>
      </c>
    </row>
    <row r="1525" spans="1:21">
      <c r="A1525" t="s">
        <v>2456</v>
      </c>
      <c r="B1525" t="s">
        <v>2457</v>
      </c>
      <c r="C1525" t="s">
        <v>1857</v>
      </c>
      <c r="D1525">
        <v>44000</v>
      </c>
      <c r="E1525">
        <v>4000</v>
      </c>
      <c r="H1525">
        <v>1</v>
      </c>
      <c r="I1525" t="s">
        <v>432</v>
      </c>
      <c r="J1525">
        <v>14</v>
      </c>
      <c r="K1525">
        <v>41</v>
      </c>
      <c r="L1525">
        <v>2</v>
      </c>
      <c r="M1525" t="s">
        <v>1842</v>
      </c>
      <c r="N1525">
        <v>7</v>
      </c>
      <c r="O1525">
        <v>12</v>
      </c>
      <c r="P1525">
        <v>123574.88</v>
      </c>
      <c r="Q1525">
        <v>77692.34</v>
      </c>
      <c r="R1525">
        <v>637</v>
      </c>
      <c r="S1525">
        <v>1071</v>
      </c>
      <c r="T1525" t="s">
        <v>108</v>
      </c>
      <c r="U1525" t="s">
        <v>42</v>
      </c>
    </row>
    <row r="1526" spans="1:21">
      <c r="A1526" t="s">
        <v>2458</v>
      </c>
      <c r="B1526" t="s">
        <v>2457</v>
      </c>
      <c r="C1526" t="s">
        <v>1857</v>
      </c>
      <c r="D1526">
        <v>44000</v>
      </c>
      <c r="E1526">
        <v>4000</v>
      </c>
      <c r="H1526">
        <v>2</v>
      </c>
      <c r="I1526" t="s">
        <v>432</v>
      </c>
      <c r="J1526">
        <v>14</v>
      </c>
      <c r="K1526">
        <v>41</v>
      </c>
      <c r="L1526">
        <v>2</v>
      </c>
      <c r="M1526" t="s">
        <v>1842</v>
      </c>
      <c r="N1526">
        <v>7</v>
      </c>
      <c r="O1526">
        <v>12</v>
      </c>
      <c r="P1526">
        <v>123574.88</v>
      </c>
      <c r="Q1526">
        <v>77692.34</v>
      </c>
      <c r="R1526">
        <v>637</v>
      </c>
      <c r="S1526">
        <v>1071</v>
      </c>
      <c r="T1526" t="s">
        <v>108</v>
      </c>
      <c r="U1526" t="s">
        <v>42</v>
      </c>
    </row>
    <row r="1527" spans="1:21">
      <c r="A1527" t="s">
        <v>2459</v>
      </c>
      <c r="B1527" t="s">
        <v>2460</v>
      </c>
      <c r="C1527" t="s">
        <v>1857</v>
      </c>
      <c r="D1527">
        <v>72000</v>
      </c>
      <c r="E1527">
        <v>3000</v>
      </c>
      <c r="F1527">
        <v>72000</v>
      </c>
      <c r="G1527">
        <v>72000</v>
      </c>
      <c r="H1527">
        <v>3</v>
      </c>
      <c r="I1527" t="s">
        <v>432</v>
      </c>
      <c r="J1527">
        <v>21.84</v>
      </c>
      <c r="K1527">
        <v>25</v>
      </c>
      <c r="L1527">
        <v>3</v>
      </c>
      <c r="M1527" t="s">
        <v>1842</v>
      </c>
      <c r="N1527">
        <v>8</v>
      </c>
      <c r="O1527">
        <v>14.33</v>
      </c>
      <c r="P1527">
        <v>123574.88</v>
      </c>
      <c r="Q1527">
        <v>77692.34</v>
      </c>
      <c r="R1527">
        <v>637</v>
      </c>
      <c r="S1527">
        <v>1071</v>
      </c>
      <c r="T1527" t="s">
        <v>34</v>
      </c>
      <c r="U1527" t="s">
        <v>27</v>
      </c>
    </row>
    <row r="1528" spans="1:21">
      <c r="A1528" t="s">
        <v>2461</v>
      </c>
      <c r="B1528" t="s">
        <v>2029</v>
      </c>
      <c r="C1528" t="s">
        <v>1743</v>
      </c>
      <c r="D1528">
        <v>117200</v>
      </c>
      <c r="E1528">
        <v>12800</v>
      </c>
      <c r="F1528">
        <v>117200</v>
      </c>
      <c r="G1528">
        <v>117200</v>
      </c>
      <c r="H1528">
        <v>1</v>
      </c>
      <c r="I1528" t="s">
        <v>432</v>
      </c>
      <c r="J1528">
        <v>35.130000000000003</v>
      </c>
      <c r="K1528">
        <v>5</v>
      </c>
      <c r="L1528">
        <v>5</v>
      </c>
      <c r="M1528" t="s">
        <v>1842</v>
      </c>
      <c r="N1528">
        <v>10</v>
      </c>
      <c r="O1528">
        <v>13</v>
      </c>
      <c r="P1528">
        <v>123574.88</v>
      </c>
      <c r="Q1528">
        <v>77692.34</v>
      </c>
      <c r="R1528">
        <v>637</v>
      </c>
      <c r="S1528">
        <v>1071</v>
      </c>
      <c r="T1528" t="s">
        <v>26</v>
      </c>
      <c r="U1528" t="s">
        <v>31</v>
      </c>
    </row>
    <row r="1529" spans="1:21">
      <c r="A1529" t="s">
        <v>2462</v>
      </c>
      <c r="B1529" t="s">
        <v>2463</v>
      </c>
      <c r="C1529" t="s">
        <v>1870</v>
      </c>
      <c r="D1529">
        <v>65000</v>
      </c>
      <c r="E1529">
        <v>10000</v>
      </c>
      <c r="H1529">
        <v>3</v>
      </c>
      <c r="I1529" t="s">
        <v>432</v>
      </c>
      <c r="J1529">
        <v>17.36</v>
      </c>
      <c r="K1529">
        <v>5</v>
      </c>
      <c r="L1529">
        <v>3</v>
      </c>
      <c r="M1529" t="s">
        <v>1842</v>
      </c>
      <c r="N1529">
        <v>2</v>
      </c>
      <c r="O1529">
        <v>8.67</v>
      </c>
      <c r="P1529">
        <v>123574.88</v>
      </c>
      <c r="Q1529">
        <v>77692.34</v>
      </c>
      <c r="R1529">
        <v>637</v>
      </c>
      <c r="S1529">
        <v>1071</v>
      </c>
      <c r="T1529" t="s">
        <v>108</v>
      </c>
      <c r="U1529" t="s">
        <v>31</v>
      </c>
    </row>
    <row r="1530" spans="1:21">
      <c r="A1530" t="s">
        <v>2464</v>
      </c>
      <c r="B1530" t="s">
        <v>2463</v>
      </c>
      <c r="C1530" t="s">
        <v>1870</v>
      </c>
      <c r="D1530">
        <v>70000</v>
      </c>
      <c r="E1530">
        <v>10000</v>
      </c>
      <c r="H1530">
        <v>3</v>
      </c>
      <c r="I1530" t="s">
        <v>432</v>
      </c>
      <c r="J1530">
        <v>17.36</v>
      </c>
      <c r="K1530">
        <v>5</v>
      </c>
      <c r="L1530">
        <v>3</v>
      </c>
      <c r="M1530" t="s">
        <v>1842</v>
      </c>
      <c r="N1530">
        <v>2</v>
      </c>
      <c r="O1530">
        <v>8.67</v>
      </c>
      <c r="P1530">
        <v>123574.88</v>
      </c>
      <c r="Q1530">
        <v>77692.34</v>
      </c>
      <c r="R1530">
        <v>637</v>
      </c>
      <c r="S1530">
        <v>1071</v>
      </c>
      <c r="T1530" t="s">
        <v>108</v>
      </c>
      <c r="U1530" t="s">
        <v>31</v>
      </c>
    </row>
    <row r="1531" spans="1:21">
      <c r="A1531" t="s">
        <v>2465</v>
      </c>
      <c r="B1531" t="s">
        <v>2466</v>
      </c>
      <c r="C1531" t="s">
        <v>1850</v>
      </c>
      <c r="D1531">
        <v>68000</v>
      </c>
      <c r="E1531">
        <v>2000</v>
      </c>
      <c r="H1531">
        <v>3</v>
      </c>
      <c r="I1531" t="s">
        <v>432</v>
      </c>
      <c r="J1531">
        <v>22</v>
      </c>
      <c r="K1531">
        <v>33</v>
      </c>
      <c r="L1531">
        <v>5</v>
      </c>
      <c r="M1531" t="s">
        <v>1842</v>
      </c>
      <c r="N1531">
        <v>2</v>
      </c>
      <c r="O1531">
        <v>12.67</v>
      </c>
      <c r="P1531">
        <v>123574.88</v>
      </c>
      <c r="Q1531">
        <v>77692.34</v>
      </c>
      <c r="R1531">
        <v>637</v>
      </c>
      <c r="S1531">
        <v>1071</v>
      </c>
      <c r="T1531" t="s">
        <v>34</v>
      </c>
      <c r="U1531" t="s">
        <v>49</v>
      </c>
    </row>
    <row r="1532" spans="1:21">
      <c r="A1532" t="s">
        <v>2467</v>
      </c>
      <c r="B1532" t="s">
        <v>2468</v>
      </c>
      <c r="C1532" t="s">
        <v>1743</v>
      </c>
      <c r="D1532">
        <v>77000</v>
      </c>
      <c r="E1532">
        <v>4000</v>
      </c>
      <c r="H1532">
        <v>2</v>
      </c>
      <c r="I1532" t="s">
        <v>432</v>
      </c>
      <c r="J1532">
        <v>15.94</v>
      </c>
      <c r="K1532">
        <v>7</v>
      </c>
      <c r="L1532">
        <v>3</v>
      </c>
      <c r="M1532" t="s">
        <v>1842</v>
      </c>
      <c r="N1532">
        <v>7</v>
      </c>
      <c r="O1532">
        <v>11.67</v>
      </c>
      <c r="P1532">
        <v>123574.88</v>
      </c>
      <c r="Q1532">
        <v>77692.34</v>
      </c>
      <c r="R1532">
        <v>637</v>
      </c>
      <c r="S1532">
        <v>1071</v>
      </c>
      <c r="T1532" t="s">
        <v>108</v>
      </c>
      <c r="U1532" t="s">
        <v>31</v>
      </c>
    </row>
    <row r="1533" spans="1:21">
      <c r="A1533" t="s">
        <v>2469</v>
      </c>
      <c r="B1533" t="s">
        <v>2470</v>
      </c>
      <c r="C1533" t="s">
        <v>1890</v>
      </c>
      <c r="D1533">
        <v>53000</v>
      </c>
      <c r="E1533">
        <v>3000</v>
      </c>
      <c r="H1533">
        <v>2</v>
      </c>
      <c r="I1533" t="s">
        <v>432</v>
      </c>
      <c r="J1533">
        <v>11.88</v>
      </c>
      <c r="K1533">
        <v>22</v>
      </c>
      <c r="L1533">
        <v>2</v>
      </c>
      <c r="M1533" t="s">
        <v>1842</v>
      </c>
      <c r="N1533">
        <v>11</v>
      </c>
      <c r="O1533">
        <v>13.67</v>
      </c>
      <c r="P1533">
        <v>123574.88</v>
      </c>
      <c r="Q1533">
        <v>77692.34</v>
      </c>
      <c r="R1533">
        <v>637</v>
      </c>
      <c r="S1533">
        <v>1071</v>
      </c>
      <c r="T1533" t="s">
        <v>108</v>
      </c>
      <c r="U1533" t="s">
        <v>27</v>
      </c>
    </row>
    <row r="1534" spans="1:21">
      <c r="A1534" t="s">
        <v>2471</v>
      </c>
      <c r="B1534" t="s">
        <v>2472</v>
      </c>
      <c r="C1534" t="s">
        <v>1887</v>
      </c>
      <c r="D1534">
        <v>59000</v>
      </c>
      <c r="E1534">
        <v>9000</v>
      </c>
      <c r="H1534">
        <v>3</v>
      </c>
      <c r="I1534" t="s">
        <v>432</v>
      </c>
      <c r="J1534">
        <v>14.48</v>
      </c>
      <c r="K1534">
        <v>43</v>
      </c>
      <c r="L1534">
        <v>4</v>
      </c>
      <c r="M1534" t="s">
        <v>1842</v>
      </c>
      <c r="N1534">
        <v>6</v>
      </c>
      <c r="O1534">
        <v>13.33</v>
      </c>
      <c r="P1534">
        <v>123574.88</v>
      </c>
      <c r="Q1534">
        <v>77692.34</v>
      </c>
      <c r="R1534">
        <v>637</v>
      </c>
      <c r="S1534">
        <v>1071</v>
      </c>
      <c r="T1534" t="s">
        <v>108</v>
      </c>
      <c r="U1534" t="s">
        <v>42</v>
      </c>
    </row>
    <row r="1535" spans="1:21">
      <c r="A1535" t="s">
        <v>2473</v>
      </c>
      <c r="B1535" t="s">
        <v>2474</v>
      </c>
      <c r="C1535" t="s">
        <v>1857</v>
      </c>
      <c r="D1535">
        <v>55000</v>
      </c>
      <c r="E1535">
        <v>1000</v>
      </c>
      <c r="F1535">
        <v>55000</v>
      </c>
      <c r="G1535">
        <v>55000</v>
      </c>
      <c r="H1535">
        <v>2</v>
      </c>
      <c r="I1535" t="s">
        <v>432</v>
      </c>
      <c r="J1535">
        <v>19.2</v>
      </c>
      <c r="K1535">
        <v>42</v>
      </c>
      <c r="L1535">
        <v>2</v>
      </c>
      <c r="M1535" t="s">
        <v>1842</v>
      </c>
      <c r="N1535">
        <v>4</v>
      </c>
      <c r="O1535">
        <v>10.67</v>
      </c>
      <c r="P1535">
        <v>123574.88</v>
      </c>
      <c r="Q1535">
        <v>77692.34</v>
      </c>
      <c r="R1535">
        <v>637</v>
      </c>
      <c r="S1535">
        <v>1071</v>
      </c>
      <c r="T1535" t="s">
        <v>108</v>
      </c>
      <c r="U1535" t="s">
        <v>42</v>
      </c>
    </row>
    <row r="1536" spans="1:21">
      <c r="A1536" t="s">
        <v>2475</v>
      </c>
      <c r="B1536" t="s">
        <v>2476</v>
      </c>
      <c r="C1536" t="s">
        <v>1857</v>
      </c>
      <c r="D1536">
        <v>63000</v>
      </c>
      <c r="E1536">
        <v>2000</v>
      </c>
      <c r="F1536">
        <v>63000</v>
      </c>
      <c r="G1536">
        <v>63000</v>
      </c>
      <c r="H1536">
        <v>2</v>
      </c>
      <c r="I1536" t="s">
        <v>432</v>
      </c>
      <c r="J1536">
        <v>22.36</v>
      </c>
      <c r="K1536">
        <v>36</v>
      </c>
      <c r="L1536">
        <v>2</v>
      </c>
      <c r="M1536" t="s">
        <v>1842</v>
      </c>
      <c r="N1536">
        <v>6</v>
      </c>
      <c r="O1536">
        <v>11</v>
      </c>
      <c r="P1536">
        <v>123574.88</v>
      </c>
      <c r="Q1536">
        <v>77692.34</v>
      </c>
      <c r="R1536">
        <v>637</v>
      </c>
      <c r="S1536">
        <v>1071</v>
      </c>
      <c r="T1536" t="s">
        <v>34</v>
      </c>
      <c r="U1536" t="s">
        <v>49</v>
      </c>
    </row>
    <row r="1537" spans="1:21">
      <c r="A1537" t="s">
        <v>2477</v>
      </c>
      <c r="B1537" t="s">
        <v>2054</v>
      </c>
      <c r="C1537" t="s">
        <v>1291</v>
      </c>
      <c r="D1537">
        <v>53000</v>
      </c>
      <c r="E1537">
        <v>2000</v>
      </c>
      <c r="F1537">
        <v>53000</v>
      </c>
      <c r="G1537">
        <v>53000</v>
      </c>
      <c r="H1537">
        <v>1</v>
      </c>
      <c r="I1537" t="s">
        <v>432</v>
      </c>
      <c r="J1537">
        <v>17.5</v>
      </c>
      <c r="K1537">
        <v>35</v>
      </c>
      <c r="L1537">
        <v>2</v>
      </c>
      <c r="M1537" t="s">
        <v>1842</v>
      </c>
      <c r="N1537">
        <v>10</v>
      </c>
      <c r="O1537">
        <v>12.33</v>
      </c>
      <c r="P1537">
        <v>123574.88</v>
      </c>
      <c r="Q1537">
        <v>77692.34</v>
      </c>
      <c r="R1537">
        <v>637</v>
      </c>
      <c r="S1537">
        <v>1071</v>
      </c>
      <c r="T1537" t="s">
        <v>108</v>
      </c>
      <c r="U1537" t="s">
        <v>49</v>
      </c>
    </row>
    <row r="1538" spans="1:21">
      <c r="A1538" t="s">
        <v>2478</v>
      </c>
      <c r="B1538" t="s">
        <v>2054</v>
      </c>
      <c r="C1538" t="s">
        <v>1291</v>
      </c>
      <c r="D1538">
        <v>55000</v>
      </c>
      <c r="F1538">
        <v>55000</v>
      </c>
      <c r="H1538">
        <v>1</v>
      </c>
      <c r="I1538" t="s">
        <v>432</v>
      </c>
      <c r="J1538">
        <v>17</v>
      </c>
      <c r="K1538">
        <v>35</v>
      </c>
      <c r="L1538">
        <v>2</v>
      </c>
      <c r="M1538" t="s">
        <v>1842</v>
      </c>
      <c r="N1538">
        <v>10</v>
      </c>
      <c r="O1538">
        <v>12.33</v>
      </c>
      <c r="P1538">
        <v>123574.88</v>
      </c>
      <c r="Q1538">
        <v>77692.34</v>
      </c>
      <c r="R1538">
        <v>637</v>
      </c>
      <c r="S1538">
        <v>1071</v>
      </c>
      <c r="T1538" t="s">
        <v>108</v>
      </c>
      <c r="U1538" t="s">
        <v>49</v>
      </c>
    </row>
    <row r="1539" spans="1:21">
      <c r="A1539" t="s">
        <v>2479</v>
      </c>
      <c r="B1539" t="s">
        <v>2054</v>
      </c>
      <c r="C1539" t="s">
        <v>1291</v>
      </c>
      <c r="D1539">
        <v>55000</v>
      </c>
      <c r="E1539">
        <v>2000</v>
      </c>
      <c r="F1539">
        <v>55000</v>
      </c>
      <c r="G1539">
        <v>55000</v>
      </c>
      <c r="H1539">
        <v>1</v>
      </c>
      <c r="I1539" t="s">
        <v>432</v>
      </c>
      <c r="J1539">
        <v>20</v>
      </c>
      <c r="K1539">
        <v>35</v>
      </c>
      <c r="L1539">
        <v>2</v>
      </c>
      <c r="M1539" t="s">
        <v>1842</v>
      </c>
      <c r="N1539">
        <v>10</v>
      </c>
      <c r="O1539">
        <v>12.33</v>
      </c>
      <c r="P1539">
        <v>123574.88</v>
      </c>
      <c r="Q1539">
        <v>77692.34</v>
      </c>
      <c r="R1539">
        <v>637</v>
      </c>
      <c r="S1539">
        <v>1071</v>
      </c>
      <c r="T1539" t="s">
        <v>34</v>
      </c>
      <c r="U1539" t="s">
        <v>49</v>
      </c>
    </row>
    <row r="1540" spans="1:21">
      <c r="A1540" t="s">
        <v>2480</v>
      </c>
      <c r="B1540" t="s">
        <v>2481</v>
      </c>
      <c r="C1540" t="s">
        <v>1890</v>
      </c>
      <c r="D1540">
        <v>30000</v>
      </c>
      <c r="E1540">
        <v>15000</v>
      </c>
      <c r="H1540">
        <v>1</v>
      </c>
      <c r="I1540" t="s">
        <v>432</v>
      </c>
      <c r="J1540">
        <v>7</v>
      </c>
      <c r="K1540">
        <v>11</v>
      </c>
      <c r="L1540">
        <v>2</v>
      </c>
      <c r="M1540" t="s">
        <v>1842</v>
      </c>
      <c r="N1540">
        <v>7</v>
      </c>
      <c r="O1540">
        <v>13.67</v>
      </c>
      <c r="P1540">
        <v>123574.88</v>
      </c>
      <c r="Q1540">
        <v>77692.34</v>
      </c>
      <c r="R1540">
        <v>637</v>
      </c>
      <c r="S1540">
        <v>1071</v>
      </c>
      <c r="T1540" t="s">
        <v>231</v>
      </c>
      <c r="U1540" t="s">
        <v>90</v>
      </c>
    </row>
    <row r="1541" spans="1:21">
      <c r="A1541" t="s">
        <v>2482</v>
      </c>
      <c r="B1541" t="s">
        <v>2483</v>
      </c>
      <c r="C1541" t="s">
        <v>1291</v>
      </c>
      <c r="D1541">
        <v>67000</v>
      </c>
      <c r="E1541">
        <v>3000</v>
      </c>
      <c r="G1541">
        <v>67000</v>
      </c>
      <c r="H1541">
        <v>2</v>
      </c>
      <c r="I1541" t="s">
        <v>432</v>
      </c>
      <c r="J1541">
        <v>16.37</v>
      </c>
      <c r="K1541">
        <v>37</v>
      </c>
      <c r="L1541">
        <v>7</v>
      </c>
      <c r="M1541" t="s">
        <v>1842</v>
      </c>
      <c r="N1541">
        <v>8</v>
      </c>
      <c r="O1541">
        <v>12</v>
      </c>
      <c r="P1541">
        <v>123574.88</v>
      </c>
      <c r="Q1541">
        <v>77692.34</v>
      </c>
      <c r="R1541">
        <v>637</v>
      </c>
      <c r="S1541">
        <v>1071</v>
      </c>
      <c r="T1541" t="s">
        <v>108</v>
      </c>
      <c r="U1541" t="s">
        <v>49</v>
      </c>
    </row>
    <row r="1542" spans="1:21">
      <c r="A1542" t="s">
        <v>2484</v>
      </c>
      <c r="B1542" t="s">
        <v>2485</v>
      </c>
      <c r="C1542" t="s">
        <v>1850</v>
      </c>
      <c r="D1542">
        <v>50000</v>
      </c>
      <c r="E1542">
        <v>3000</v>
      </c>
      <c r="H1542">
        <v>1</v>
      </c>
      <c r="I1542" t="s">
        <v>432</v>
      </c>
      <c r="J1542">
        <v>12</v>
      </c>
      <c r="K1542">
        <v>17</v>
      </c>
      <c r="L1542">
        <v>2</v>
      </c>
      <c r="M1542" t="s">
        <v>1842</v>
      </c>
      <c r="N1542">
        <v>4</v>
      </c>
      <c r="O1542">
        <v>15</v>
      </c>
      <c r="P1542">
        <v>123574.88</v>
      </c>
      <c r="Q1542">
        <v>77692.34</v>
      </c>
      <c r="R1542">
        <v>637</v>
      </c>
      <c r="S1542">
        <v>1071</v>
      </c>
      <c r="T1542" t="s">
        <v>108</v>
      </c>
      <c r="U1542" t="s">
        <v>90</v>
      </c>
    </row>
    <row r="1543" spans="1:21">
      <c r="A1543" t="s">
        <v>2486</v>
      </c>
      <c r="B1543" t="s">
        <v>1872</v>
      </c>
      <c r="C1543" t="s">
        <v>1873</v>
      </c>
      <c r="D1543">
        <v>118000</v>
      </c>
      <c r="E1543">
        <v>10000</v>
      </c>
      <c r="H1543">
        <v>1</v>
      </c>
      <c r="I1543" t="s">
        <v>432</v>
      </c>
      <c r="J1543">
        <v>28.44</v>
      </c>
      <c r="K1543">
        <v>3</v>
      </c>
      <c r="L1543">
        <v>4</v>
      </c>
      <c r="M1543" t="s">
        <v>1842</v>
      </c>
      <c r="N1543">
        <v>6</v>
      </c>
      <c r="O1543">
        <v>9.67</v>
      </c>
      <c r="P1543">
        <v>123574.88</v>
      </c>
      <c r="Q1543">
        <v>77692.34</v>
      </c>
      <c r="R1543">
        <v>637</v>
      </c>
      <c r="S1543">
        <v>1071</v>
      </c>
      <c r="T1543" t="s">
        <v>34</v>
      </c>
      <c r="U1543" t="s">
        <v>31</v>
      </c>
    </row>
    <row r="1544" spans="1:21">
      <c r="A1544" t="s">
        <v>2487</v>
      </c>
      <c r="B1544" t="s">
        <v>2488</v>
      </c>
      <c r="C1544" t="s">
        <v>1870</v>
      </c>
      <c r="D1544">
        <v>58000</v>
      </c>
      <c r="E1544">
        <v>7000</v>
      </c>
      <c r="F1544">
        <v>58000</v>
      </c>
      <c r="G1544">
        <v>58000</v>
      </c>
      <c r="H1544">
        <v>3</v>
      </c>
      <c r="I1544" t="s">
        <v>432</v>
      </c>
      <c r="J1544">
        <v>16.8</v>
      </c>
      <c r="K1544">
        <v>42</v>
      </c>
      <c r="L1544">
        <v>6</v>
      </c>
      <c r="M1544" t="s">
        <v>1842</v>
      </c>
      <c r="N1544">
        <v>4</v>
      </c>
      <c r="O1544">
        <v>9.67</v>
      </c>
      <c r="P1544">
        <v>123574.88</v>
      </c>
      <c r="Q1544">
        <v>77692.34</v>
      </c>
      <c r="R1544">
        <v>637</v>
      </c>
      <c r="S1544">
        <v>1071</v>
      </c>
      <c r="T1544" t="s">
        <v>108</v>
      </c>
      <c r="U1544" t="s">
        <v>42</v>
      </c>
    </row>
    <row r="1545" spans="1:21">
      <c r="A1545" t="s">
        <v>2489</v>
      </c>
      <c r="B1545" t="s">
        <v>2490</v>
      </c>
      <c r="C1545" t="s">
        <v>1841</v>
      </c>
      <c r="D1545">
        <v>65000</v>
      </c>
      <c r="E1545">
        <v>3000</v>
      </c>
      <c r="F1545">
        <v>65000</v>
      </c>
      <c r="H1545">
        <v>2</v>
      </c>
      <c r="I1545" t="s">
        <v>432</v>
      </c>
      <c r="J1545">
        <v>16.78</v>
      </c>
      <c r="K1545">
        <v>41</v>
      </c>
      <c r="L1545">
        <v>4</v>
      </c>
      <c r="M1545" t="s">
        <v>1842</v>
      </c>
      <c r="N1545">
        <v>4</v>
      </c>
      <c r="O1545">
        <v>11.67</v>
      </c>
      <c r="P1545">
        <v>123574.88</v>
      </c>
      <c r="Q1545">
        <v>77692.34</v>
      </c>
      <c r="R1545">
        <v>637</v>
      </c>
      <c r="S1545">
        <v>1071</v>
      </c>
      <c r="T1545" t="s">
        <v>108</v>
      </c>
      <c r="U1545" t="s">
        <v>42</v>
      </c>
    </row>
    <row r="1546" spans="1:21">
      <c r="A1546" t="s">
        <v>2491</v>
      </c>
      <c r="B1546" t="s">
        <v>2492</v>
      </c>
      <c r="C1546" t="s">
        <v>1743</v>
      </c>
      <c r="D1546">
        <v>40000</v>
      </c>
      <c r="E1546">
        <v>3000</v>
      </c>
      <c r="F1546">
        <v>40000</v>
      </c>
      <c r="H1546">
        <v>1</v>
      </c>
      <c r="I1546" t="s">
        <v>432</v>
      </c>
      <c r="J1546">
        <v>13</v>
      </c>
      <c r="K1546">
        <v>37</v>
      </c>
      <c r="L1546">
        <v>2</v>
      </c>
      <c r="M1546" t="s">
        <v>1842</v>
      </c>
      <c r="N1546">
        <v>7</v>
      </c>
      <c r="O1546">
        <v>13.67</v>
      </c>
      <c r="P1546">
        <v>123574.88</v>
      </c>
      <c r="Q1546">
        <v>77692.34</v>
      </c>
      <c r="R1546">
        <v>637</v>
      </c>
      <c r="S1546">
        <v>1071</v>
      </c>
      <c r="T1546" t="s">
        <v>108</v>
      </c>
      <c r="U1546" t="s">
        <v>49</v>
      </c>
    </row>
    <row r="1547" spans="1:21">
      <c r="A1547" t="s">
        <v>2493</v>
      </c>
      <c r="B1547" t="s">
        <v>2494</v>
      </c>
      <c r="C1547" t="s">
        <v>1291</v>
      </c>
      <c r="D1547">
        <v>100000</v>
      </c>
      <c r="E1547">
        <v>12000</v>
      </c>
      <c r="H1547">
        <v>2</v>
      </c>
      <c r="I1547" t="s">
        <v>432</v>
      </c>
      <c r="J1547">
        <v>16.84</v>
      </c>
      <c r="K1547">
        <v>10</v>
      </c>
      <c r="L1547">
        <v>4</v>
      </c>
      <c r="M1547" t="s">
        <v>1842</v>
      </c>
      <c r="N1547">
        <v>7</v>
      </c>
      <c r="O1547">
        <v>9.5</v>
      </c>
      <c r="P1547">
        <v>123574.88</v>
      </c>
      <c r="Q1547">
        <v>77692.34</v>
      </c>
      <c r="R1547">
        <v>637</v>
      </c>
      <c r="S1547">
        <v>1071</v>
      </c>
      <c r="T1547" t="s">
        <v>108</v>
      </c>
      <c r="U1547" t="s">
        <v>31</v>
      </c>
    </row>
    <row r="1548" spans="1:21">
      <c r="A1548" t="s">
        <v>2495</v>
      </c>
      <c r="B1548" t="s">
        <v>2496</v>
      </c>
      <c r="C1548" t="s">
        <v>1850</v>
      </c>
      <c r="D1548">
        <v>55000</v>
      </c>
      <c r="E1548">
        <v>3000</v>
      </c>
      <c r="H1548">
        <v>2</v>
      </c>
      <c r="I1548" t="s">
        <v>432</v>
      </c>
      <c r="J1548">
        <v>9.83</v>
      </c>
      <c r="K1548">
        <v>12</v>
      </c>
      <c r="L1548">
        <v>2</v>
      </c>
      <c r="M1548" t="s">
        <v>1842</v>
      </c>
      <c r="N1548">
        <v>5</v>
      </c>
      <c r="O1548">
        <v>13</v>
      </c>
      <c r="P1548">
        <v>123574.88</v>
      </c>
      <c r="Q1548">
        <v>77692.34</v>
      </c>
      <c r="R1548">
        <v>637</v>
      </c>
      <c r="S1548">
        <v>1071</v>
      </c>
      <c r="T1548" t="s">
        <v>231</v>
      </c>
      <c r="U1548" t="s">
        <v>90</v>
      </c>
    </row>
    <row r="1549" spans="1:21">
      <c r="A1549" t="s">
        <v>2497</v>
      </c>
      <c r="B1549" t="s">
        <v>2498</v>
      </c>
      <c r="C1549" t="s">
        <v>1870</v>
      </c>
      <c r="D1549">
        <v>89000</v>
      </c>
      <c r="E1549">
        <v>5000</v>
      </c>
      <c r="F1549">
        <v>89000</v>
      </c>
      <c r="H1549">
        <v>1</v>
      </c>
      <c r="I1549" t="s">
        <v>432</v>
      </c>
      <c r="J1549">
        <v>25.05</v>
      </c>
      <c r="K1549">
        <v>13</v>
      </c>
      <c r="L1549">
        <v>4</v>
      </c>
      <c r="M1549" t="s">
        <v>1842</v>
      </c>
      <c r="N1549">
        <v>3</v>
      </c>
      <c r="O1549">
        <v>9.67</v>
      </c>
      <c r="P1549">
        <v>123574.88</v>
      </c>
      <c r="Q1549">
        <v>77692.34</v>
      </c>
      <c r="R1549">
        <v>637</v>
      </c>
      <c r="S1549">
        <v>1071</v>
      </c>
      <c r="T1549" t="s">
        <v>34</v>
      </c>
      <c r="U1549" t="s">
        <v>90</v>
      </c>
    </row>
    <row r="1550" spans="1:21">
      <c r="A1550" t="s">
        <v>2499</v>
      </c>
      <c r="B1550" t="s">
        <v>2500</v>
      </c>
      <c r="C1550" t="s">
        <v>1887</v>
      </c>
      <c r="D1550">
        <v>110000</v>
      </c>
      <c r="E1550">
        <v>10000</v>
      </c>
      <c r="G1550">
        <v>110000</v>
      </c>
      <c r="H1550">
        <v>1</v>
      </c>
      <c r="I1550" t="s">
        <v>432</v>
      </c>
      <c r="J1550">
        <v>25.65</v>
      </c>
      <c r="K1550">
        <v>2</v>
      </c>
      <c r="L1550">
        <v>4</v>
      </c>
      <c r="M1550" t="s">
        <v>1842</v>
      </c>
      <c r="N1550">
        <v>5</v>
      </c>
      <c r="O1550">
        <v>11.33</v>
      </c>
      <c r="P1550">
        <v>123574.88</v>
      </c>
      <c r="Q1550">
        <v>77692.34</v>
      </c>
      <c r="R1550">
        <v>637</v>
      </c>
      <c r="S1550">
        <v>1071</v>
      </c>
      <c r="T1550" t="s">
        <v>34</v>
      </c>
      <c r="U1550" t="s">
        <v>31</v>
      </c>
    </row>
    <row r="1551" spans="1:21">
      <c r="A1551" t="s">
        <v>2501</v>
      </c>
      <c r="B1551" t="s">
        <v>2500</v>
      </c>
      <c r="C1551" t="s">
        <v>1887</v>
      </c>
      <c r="D1551">
        <v>140000</v>
      </c>
      <c r="E1551">
        <v>11000</v>
      </c>
      <c r="G1551">
        <v>140000</v>
      </c>
      <c r="H1551">
        <v>2</v>
      </c>
      <c r="I1551" t="s">
        <v>432</v>
      </c>
      <c r="J1551">
        <v>25.5</v>
      </c>
      <c r="K1551">
        <v>2</v>
      </c>
      <c r="L1551">
        <v>4</v>
      </c>
      <c r="M1551" t="s">
        <v>1842</v>
      </c>
      <c r="N1551">
        <v>5</v>
      </c>
      <c r="O1551">
        <v>11.33</v>
      </c>
      <c r="P1551">
        <v>123574.88</v>
      </c>
      <c r="Q1551">
        <v>77692.34</v>
      </c>
      <c r="R1551">
        <v>637</v>
      </c>
      <c r="S1551">
        <v>1071</v>
      </c>
      <c r="T1551" t="s">
        <v>34</v>
      </c>
      <c r="U1551" t="s">
        <v>31</v>
      </c>
    </row>
    <row r="1552" spans="1:21">
      <c r="A1552" t="s">
        <v>2502</v>
      </c>
      <c r="B1552" t="s">
        <v>2500</v>
      </c>
      <c r="C1552" t="s">
        <v>1887</v>
      </c>
      <c r="D1552">
        <v>140000</v>
      </c>
      <c r="E1552">
        <v>11000</v>
      </c>
      <c r="G1552">
        <v>140000</v>
      </c>
      <c r="H1552">
        <v>2</v>
      </c>
      <c r="I1552" t="s">
        <v>432</v>
      </c>
      <c r="J1552">
        <v>25.65</v>
      </c>
      <c r="K1552">
        <v>2</v>
      </c>
      <c r="L1552">
        <v>4</v>
      </c>
      <c r="M1552" t="s">
        <v>1842</v>
      </c>
      <c r="N1552">
        <v>5</v>
      </c>
      <c r="O1552">
        <v>11.33</v>
      </c>
      <c r="P1552">
        <v>123574.88</v>
      </c>
      <c r="Q1552">
        <v>77692.34</v>
      </c>
      <c r="R1552">
        <v>637</v>
      </c>
      <c r="S1552">
        <v>1071</v>
      </c>
      <c r="T1552" t="s">
        <v>34</v>
      </c>
      <c r="U1552" t="s">
        <v>31</v>
      </c>
    </row>
    <row r="1553" spans="1:21">
      <c r="A1553" t="s">
        <v>2503</v>
      </c>
      <c r="B1553" t="s">
        <v>2500</v>
      </c>
      <c r="C1553" t="s">
        <v>1887</v>
      </c>
      <c r="D1553">
        <v>140000</v>
      </c>
      <c r="E1553">
        <v>11000</v>
      </c>
      <c r="G1553">
        <v>140000</v>
      </c>
      <c r="H1553">
        <v>2</v>
      </c>
      <c r="I1553" t="s">
        <v>432</v>
      </c>
      <c r="J1553">
        <v>25.68</v>
      </c>
      <c r="K1553">
        <v>2</v>
      </c>
      <c r="L1553">
        <v>4</v>
      </c>
      <c r="M1553" t="s">
        <v>1842</v>
      </c>
      <c r="N1553">
        <v>5</v>
      </c>
      <c r="O1553">
        <v>11.33</v>
      </c>
      <c r="P1553">
        <v>123574.88</v>
      </c>
      <c r="Q1553">
        <v>77692.34</v>
      </c>
      <c r="R1553">
        <v>637</v>
      </c>
      <c r="S1553">
        <v>1071</v>
      </c>
      <c r="T1553" t="s">
        <v>34</v>
      </c>
      <c r="U1553" t="s">
        <v>31</v>
      </c>
    </row>
    <row r="1554" spans="1:21">
      <c r="A1554" t="s">
        <v>2504</v>
      </c>
      <c r="B1554" t="s">
        <v>2500</v>
      </c>
      <c r="C1554" t="s">
        <v>1887</v>
      </c>
      <c r="D1554">
        <v>141000</v>
      </c>
      <c r="E1554">
        <v>11000</v>
      </c>
      <c r="G1554">
        <v>141000</v>
      </c>
      <c r="H1554">
        <v>3</v>
      </c>
      <c r="I1554" t="s">
        <v>432</v>
      </c>
      <c r="J1554">
        <v>25.5</v>
      </c>
      <c r="K1554">
        <v>2</v>
      </c>
      <c r="L1554">
        <v>4</v>
      </c>
      <c r="M1554" t="s">
        <v>1842</v>
      </c>
      <c r="N1554">
        <v>5</v>
      </c>
      <c r="O1554">
        <v>11.33</v>
      </c>
      <c r="P1554">
        <v>123574.88</v>
      </c>
      <c r="Q1554">
        <v>77692.34</v>
      </c>
      <c r="R1554">
        <v>637</v>
      </c>
      <c r="S1554">
        <v>1071</v>
      </c>
      <c r="T1554" t="s">
        <v>34</v>
      </c>
      <c r="U1554" t="s">
        <v>31</v>
      </c>
    </row>
    <row r="1555" spans="1:21">
      <c r="A1555" t="s">
        <v>2505</v>
      </c>
      <c r="B1555" t="s">
        <v>2500</v>
      </c>
      <c r="C1555" t="s">
        <v>1887</v>
      </c>
      <c r="D1555">
        <v>141000</v>
      </c>
      <c r="E1555">
        <v>11000</v>
      </c>
      <c r="G1555">
        <v>141000</v>
      </c>
      <c r="H1555">
        <v>3</v>
      </c>
      <c r="I1555" t="s">
        <v>432</v>
      </c>
      <c r="J1555">
        <v>25.65</v>
      </c>
      <c r="K1555">
        <v>2</v>
      </c>
      <c r="L1555">
        <v>4</v>
      </c>
      <c r="M1555" t="s">
        <v>1842</v>
      </c>
      <c r="N1555">
        <v>5</v>
      </c>
      <c r="O1555">
        <v>11.33</v>
      </c>
      <c r="P1555">
        <v>123574.88</v>
      </c>
      <c r="Q1555">
        <v>77692.34</v>
      </c>
      <c r="R1555">
        <v>637</v>
      </c>
      <c r="S1555">
        <v>1071</v>
      </c>
      <c r="T1555" t="s">
        <v>34</v>
      </c>
      <c r="U1555" t="s">
        <v>31</v>
      </c>
    </row>
    <row r="1556" spans="1:21">
      <c r="A1556" t="s">
        <v>2506</v>
      </c>
      <c r="B1556" t="s">
        <v>2507</v>
      </c>
      <c r="C1556" t="s">
        <v>1857</v>
      </c>
      <c r="D1556">
        <v>58000</v>
      </c>
      <c r="E1556">
        <v>4000</v>
      </c>
      <c r="F1556">
        <v>58000</v>
      </c>
      <c r="G1556">
        <v>58000</v>
      </c>
      <c r="H1556">
        <v>2</v>
      </c>
      <c r="I1556" t="s">
        <v>432</v>
      </c>
      <c r="J1556">
        <v>17</v>
      </c>
      <c r="K1556">
        <v>32</v>
      </c>
      <c r="L1556">
        <v>3</v>
      </c>
      <c r="M1556" t="s">
        <v>1842</v>
      </c>
      <c r="N1556">
        <v>5</v>
      </c>
      <c r="O1556">
        <v>12.33</v>
      </c>
      <c r="P1556">
        <v>123574.88</v>
      </c>
      <c r="Q1556">
        <v>77692.34</v>
      </c>
      <c r="R1556">
        <v>637</v>
      </c>
      <c r="S1556">
        <v>1071</v>
      </c>
      <c r="T1556" t="s">
        <v>108</v>
      </c>
      <c r="U1556" t="s">
        <v>49</v>
      </c>
    </row>
    <row r="1557" spans="1:21">
      <c r="A1557" t="s">
        <v>2508</v>
      </c>
      <c r="B1557" t="s">
        <v>2509</v>
      </c>
      <c r="C1557" t="s">
        <v>1857</v>
      </c>
      <c r="D1557">
        <v>40000</v>
      </c>
      <c r="E1557">
        <v>2000</v>
      </c>
      <c r="F1557">
        <v>40000</v>
      </c>
      <c r="H1557">
        <v>2</v>
      </c>
      <c r="I1557" t="s">
        <v>432</v>
      </c>
      <c r="J1557">
        <v>11</v>
      </c>
      <c r="K1557">
        <v>35</v>
      </c>
      <c r="L1557">
        <v>2</v>
      </c>
      <c r="M1557" t="s">
        <v>1842</v>
      </c>
      <c r="N1557">
        <v>5</v>
      </c>
      <c r="O1557">
        <v>10</v>
      </c>
      <c r="P1557">
        <v>123574.88</v>
      </c>
      <c r="Q1557">
        <v>77692.34</v>
      </c>
      <c r="R1557">
        <v>637</v>
      </c>
      <c r="S1557">
        <v>1071</v>
      </c>
      <c r="T1557" t="s">
        <v>108</v>
      </c>
      <c r="U1557" t="s">
        <v>49</v>
      </c>
    </row>
    <row r="1558" spans="1:21">
      <c r="A1558" t="s">
        <v>2510</v>
      </c>
      <c r="B1558" t="s">
        <v>2511</v>
      </c>
      <c r="C1558" t="s">
        <v>1890</v>
      </c>
      <c r="D1558">
        <v>47000</v>
      </c>
      <c r="E1558">
        <v>3000</v>
      </c>
      <c r="H1558">
        <v>1</v>
      </c>
      <c r="I1558" t="s">
        <v>432</v>
      </c>
      <c r="J1558">
        <v>11.81</v>
      </c>
      <c r="K1558">
        <v>21</v>
      </c>
      <c r="L1558">
        <v>2</v>
      </c>
      <c r="M1558" t="s">
        <v>1842</v>
      </c>
      <c r="N1558">
        <v>9</v>
      </c>
      <c r="O1558">
        <v>11.5</v>
      </c>
      <c r="P1558">
        <v>123574.88</v>
      </c>
      <c r="Q1558">
        <v>77692.34</v>
      </c>
      <c r="R1558">
        <v>637</v>
      </c>
      <c r="S1558">
        <v>1071</v>
      </c>
      <c r="T1558" t="s">
        <v>108</v>
      </c>
      <c r="U1558" t="s">
        <v>27</v>
      </c>
    </row>
    <row r="1559" spans="1:21">
      <c r="A1559" t="s">
        <v>2512</v>
      </c>
      <c r="B1559" t="s">
        <v>2513</v>
      </c>
      <c r="C1559" t="s">
        <v>1857</v>
      </c>
      <c r="D1559">
        <v>73000</v>
      </c>
      <c r="E1559">
        <v>3000</v>
      </c>
      <c r="F1559">
        <v>73000</v>
      </c>
      <c r="G1559">
        <v>73000</v>
      </c>
      <c r="H1559">
        <v>1</v>
      </c>
      <c r="I1559" t="s">
        <v>432</v>
      </c>
      <c r="J1559">
        <v>27.33</v>
      </c>
      <c r="K1559">
        <v>55</v>
      </c>
      <c r="L1559">
        <v>2</v>
      </c>
      <c r="M1559" t="s">
        <v>1842</v>
      </c>
      <c r="N1559">
        <v>6</v>
      </c>
      <c r="O1559">
        <v>10</v>
      </c>
      <c r="P1559">
        <v>123574.88</v>
      </c>
      <c r="Q1559">
        <v>77692.34</v>
      </c>
      <c r="R1559">
        <v>637</v>
      </c>
      <c r="S1559">
        <v>1071</v>
      </c>
      <c r="T1559" t="s">
        <v>34</v>
      </c>
      <c r="U1559" t="s">
        <v>57</v>
      </c>
    </row>
    <row r="1560" spans="1:21">
      <c r="A1560" t="s">
        <v>2514</v>
      </c>
      <c r="B1560" t="s">
        <v>2515</v>
      </c>
      <c r="C1560" t="s">
        <v>1870</v>
      </c>
      <c r="D1560">
        <v>65000</v>
      </c>
      <c r="E1560">
        <v>3000</v>
      </c>
      <c r="F1560">
        <v>65000</v>
      </c>
      <c r="G1560">
        <v>65000</v>
      </c>
      <c r="H1560">
        <v>1</v>
      </c>
      <c r="I1560" t="s">
        <v>432</v>
      </c>
      <c r="J1560">
        <v>17</v>
      </c>
      <c r="K1560">
        <v>31</v>
      </c>
      <c r="L1560">
        <v>3</v>
      </c>
      <c r="M1560" t="s">
        <v>1842</v>
      </c>
      <c r="N1560">
        <v>2</v>
      </c>
      <c r="O1560">
        <v>9.67</v>
      </c>
      <c r="P1560">
        <v>123574.88</v>
      </c>
      <c r="Q1560">
        <v>77692.34</v>
      </c>
      <c r="R1560">
        <v>637</v>
      </c>
      <c r="S1560">
        <v>1071</v>
      </c>
      <c r="T1560" t="s">
        <v>108</v>
      </c>
      <c r="U1560" t="s">
        <v>49</v>
      </c>
    </row>
    <row r="1561" spans="1:21">
      <c r="A1561" t="s">
        <v>2516</v>
      </c>
      <c r="B1561" t="s">
        <v>2349</v>
      </c>
      <c r="C1561" t="s">
        <v>1857</v>
      </c>
      <c r="D1561">
        <v>110000</v>
      </c>
      <c r="F1561">
        <v>110000</v>
      </c>
      <c r="G1561">
        <v>110000</v>
      </c>
      <c r="H1561">
        <v>2</v>
      </c>
      <c r="I1561" t="s">
        <v>432</v>
      </c>
      <c r="J1561">
        <v>25.2</v>
      </c>
      <c r="K1561">
        <v>29</v>
      </c>
      <c r="L1561">
        <v>3</v>
      </c>
      <c r="M1561" t="s">
        <v>1842</v>
      </c>
      <c r="N1561">
        <v>6</v>
      </c>
      <c r="O1561">
        <v>10.33</v>
      </c>
      <c r="P1561">
        <v>123574.88</v>
      </c>
      <c r="Q1561">
        <v>77692.34</v>
      </c>
      <c r="R1561">
        <v>637</v>
      </c>
      <c r="S1561">
        <v>1071</v>
      </c>
      <c r="T1561" t="s">
        <v>34</v>
      </c>
      <c r="U1561" t="s">
        <v>27</v>
      </c>
    </row>
    <row r="1562" spans="1:21">
      <c r="A1562" t="s">
        <v>2517</v>
      </c>
      <c r="B1562" t="s">
        <v>2518</v>
      </c>
      <c r="C1562" t="s">
        <v>1857</v>
      </c>
      <c r="D1562">
        <v>63000</v>
      </c>
      <c r="E1562">
        <v>2000</v>
      </c>
      <c r="F1562">
        <v>63000</v>
      </c>
      <c r="G1562">
        <v>63000</v>
      </c>
      <c r="H1562">
        <v>2</v>
      </c>
      <c r="I1562" t="s">
        <v>432</v>
      </c>
      <c r="J1562">
        <v>18</v>
      </c>
      <c r="K1562">
        <v>51</v>
      </c>
      <c r="L1562">
        <v>2</v>
      </c>
      <c r="M1562" t="s">
        <v>1842</v>
      </c>
      <c r="N1562">
        <v>10</v>
      </c>
      <c r="O1562">
        <v>12.33</v>
      </c>
      <c r="P1562">
        <v>123574.88</v>
      </c>
      <c r="Q1562">
        <v>77692.34</v>
      </c>
      <c r="R1562">
        <v>637</v>
      </c>
      <c r="S1562">
        <v>1071</v>
      </c>
      <c r="T1562" t="s">
        <v>108</v>
      </c>
      <c r="U1562" t="s">
        <v>57</v>
      </c>
    </row>
    <row r="1563" spans="1:21">
      <c r="A1563" t="s">
        <v>2519</v>
      </c>
      <c r="B1563" t="s">
        <v>2520</v>
      </c>
      <c r="C1563" t="s">
        <v>1841</v>
      </c>
      <c r="D1563">
        <v>35000</v>
      </c>
      <c r="E1563">
        <v>3000</v>
      </c>
      <c r="F1563">
        <v>35000</v>
      </c>
      <c r="G1563">
        <v>35000</v>
      </c>
      <c r="H1563">
        <v>2</v>
      </c>
      <c r="I1563" t="s">
        <v>432</v>
      </c>
      <c r="J1563">
        <v>13</v>
      </c>
      <c r="K1563">
        <v>56</v>
      </c>
      <c r="L1563">
        <v>2</v>
      </c>
      <c r="M1563" t="s">
        <v>1842</v>
      </c>
      <c r="N1563">
        <v>3</v>
      </c>
      <c r="O1563">
        <v>15</v>
      </c>
      <c r="P1563">
        <v>123574.88</v>
      </c>
      <c r="Q1563">
        <v>77692.34</v>
      </c>
      <c r="R1563">
        <v>637</v>
      </c>
      <c r="S1563">
        <v>1071</v>
      </c>
      <c r="T1563" t="s">
        <v>108</v>
      </c>
      <c r="U1563" t="s">
        <v>57</v>
      </c>
    </row>
    <row r="1564" spans="1:21">
      <c r="A1564" t="s">
        <v>2521</v>
      </c>
      <c r="B1564" t="s">
        <v>2522</v>
      </c>
      <c r="C1564" t="s">
        <v>1873</v>
      </c>
      <c r="D1564">
        <v>28000</v>
      </c>
      <c r="E1564">
        <v>2000</v>
      </c>
      <c r="F1564">
        <v>28000</v>
      </c>
      <c r="G1564">
        <v>28000</v>
      </c>
      <c r="H1564">
        <v>2</v>
      </c>
      <c r="I1564" t="s">
        <v>432</v>
      </c>
      <c r="J1564">
        <v>9.31</v>
      </c>
      <c r="K1564">
        <v>55</v>
      </c>
      <c r="L1564">
        <v>2</v>
      </c>
      <c r="M1564" t="s">
        <v>1842</v>
      </c>
      <c r="N1564">
        <v>6</v>
      </c>
      <c r="O1564">
        <v>10</v>
      </c>
      <c r="P1564">
        <v>123574.88</v>
      </c>
      <c r="Q1564">
        <v>77692.34</v>
      </c>
      <c r="R1564">
        <v>637</v>
      </c>
      <c r="S1564">
        <v>1071</v>
      </c>
      <c r="T1564" t="s">
        <v>231</v>
      </c>
      <c r="U1564" t="s">
        <v>57</v>
      </c>
    </row>
    <row r="1565" spans="1:21">
      <c r="A1565" t="s">
        <v>2523</v>
      </c>
      <c r="B1565" t="s">
        <v>2524</v>
      </c>
      <c r="C1565" t="s">
        <v>1743</v>
      </c>
      <c r="D1565">
        <v>62000</v>
      </c>
      <c r="E1565">
        <v>3000</v>
      </c>
      <c r="H1565">
        <v>3</v>
      </c>
      <c r="I1565" t="s">
        <v>432</v>
      </c>
      <c r="J1565">
        <v>19.559999999999999</v>
      </c>
      <c r="K1565">
        <v>40</v>
      </c>
      <c r="L1565">
        <v>3</v>
      </c>
      <c r="M1565" t="s">
        <v>1842</v>
      </c>
      <c r="N1565">
        <v>5</v>
      </c>
      <c r="O1565">
        <v>10</v>
      </c>
      <c r="P1565">
        <v>123574.88</v>
      </c>
      <c r="Q1565">
        <v>77692.34</v>
      </c>
      <c r="R1565">
        <v>637</v>
      </c>
      <c r="S1565">
        <v>1071</v>
      </c>
      <c r="T1565" t="s">
        <v>108</v>
      </c>
      <c r="U1565" t="s">
        <v>49</v>
      </c>
    </row>
    <row r="1566" spans="1:21">
      <c r="A1566" t="s">
        <v>2525</v>
      </c>
      <c r="B1566" t="s">
        <v>2526</v>
      </c>
      <c r="C1566" t="s">
        <v>1841</v>
      </c>
      <c r="D1566">
        <v>44000</v>
      </c>
      <c r="E1566">
        <v>1000</v>
      </c>
      <c r="F1566">
        <v>44000</v>
      </c>
      <c r="H1566">
        <v>2</v>
      </c>
      <c r="I1566" t="s">
        <v>432</v>
      </c>
      <c r="J1566">
        <v>15</v>
      </c>
      <c r="K1566">
        <v>59</v>
      </c>
      <c r="L1566">
        <v>2</v>
      </c>
      <c r="M1566" t="s">
        <v>1842</v>
      </c>
      <c r="N1566">
        <v>7</v>
      </c>
      <c r="O1566">
        <v>11</v>
      </c>
      <c r="P1566">
        <v>123574.88</v>
      </c>
      <c r="Q1566">
        <v>77692.34</v>
      </c>
      <c r="R1566">
        <v>637</v>
      </c>
      <c r="S1566">
        <v>1071</v>
      </c>
      <c r="T1566" t="s">
        <v>108</v>
      </c>
      <c r="U1566" t="s">
        <v>57</v>
      </c>
    </row>
    <row r="1567" spans="1:21">
      <c r="A1567" t="s">
        <v>2527</v>
      </c>
      <c r="B1567" t="s">
        <v>2526</v>
      </c>
      <c r="C1567" t="s">
        <v>1841</v>
      </c>
      <c r="D1567">
        <v>54000</v>
      </c>
      <c r="E1567">
        <v>1000</v>
      </c>
      <c r="F1567">
        <v>54000</v>
      </c>
      <c r="H1567">
        <v>2</v>
      </c>
      <c r="I1567" t="s">
        <v>432</v>
      </c>
      <c r="J1567">
        <v>17</v>
      </c>
      <c r="K1567">
        <v>59</v>
      </c>
      <c r="L1567">
        <v>2</v>
      </c>
      <c r="M1567" t="s">
        <v>1842</v>
      </c>
      <c r="N1567">
        <v>7</v>
      </c>
      <c r="O1567">
        <v>11</v>
      </c>
      <c r="P1567">
        <v>123574.88</v>
      </c>
      <c r="Q1567">
        <v>77692.34</v>
      </c>
      <c r="R1567">
        <v>637</v>
      </c>
      <c r="S1567">
        <v>1071</v>
      </c>
      <c r="T1567" t="s">
        <v>108</v>
      </c>
      <c r="U1567" t="s">
        <v>57</v>
      </c>
    </row>
    <row r="1568" spans="1:21">
      <c r="A1568" t="s">
        <v>2528</v>
      </c>
      <c r="B1568" t="s">
        <v>2529</v>
      </c>
      <c r="C1568" t="s">
        <v>1870</v>
      </c>
      <c r="D1568">
        <v>63000</v>
      </c>
      <c r="F1568">
        <v>63000</v>
      </c>
      <c r="H1568">
        <v>2</v>
      </c>
      <c r="I1568" t="s">
        <v>432</v>
      </c>
      <c r="J1568">
        <v>15</v>
      </c>
      <c r="K1568">
        <v>37</v>
      </c>
      <c r="L1568">
        <v>4</v>
      </c>
      <c r="M1568" t="s">
        <v>1842</v>
      </c>
      <c r="N1568">
        <v>3</v>
      </c>
      <c r="O1568">
        <v>11</v>
      </c>
      <c r="P1568">
        <v>123574.88</v>
      </c>
      <c r="Q1568">
        <v>77692.34</v>
      </c>
      <c r="R1568">
        <v>637</v>
      </c>
      <c r="S1568">
        <v>1071</v>
      </c>
      <c r="T1568" t="s">
        <v>108</v>
      </c>
      <c r="U1568" t="s">
        <v>49</v>
      </c>
    </row>
    <row r="1569" spans="1:21">
      <c r="A1569" t="s">
        <v>2530</v>
      </c>
      <c r="B1569" t="s">
        <v>2529</v>
      </c>
      <c r="C1569" t="s">
        <v>1870</v>
      </c>
      <c r="D1569">
        <v>60000</v>
      </c>
      <c r="F1569">
        <v>60000</v>
      </c>
      <c r="G1569">
        <v>60000</v>
      </c>
      <c r="H1569">
        <v>2</v>
      </c>
      <c r="I1569" t="s">
        <v>432</v>
      </c>
      <c r="J1569">
        <v>17</v>
      </c>
      <c r="K1569">
        <v>37</v>
      </c>
      <c r="L1569">
        <v>4</v>
      </c>
      <c r="M1569" t="s">
        <v>1842</v>
      </c>
      <c r="N1569">
        <v>3</v>
      </c>
      <c r="O1569">
        <v>11</v>
      </c>
      <c r="P1569">
        <v>123574.88</v>
      </c>
      <c r="Q1569">
        <v>77692.34</v>
      </c>
      <c r="R1569">
        <v>637</v>
      </c>
      <c r="S1569">
        <v>1071</v>
      </c>
      <c r="T1569" t="s">
        <v>108</v>
      </c>
      <c r="U1569" t="s">
        <v>49</v>
      </c>
    </row>
    <row r="1570" spans="1:21">
      <c r="A1570" t="s">
        <v>2531</v>
      </c>
      <c r="B1570" t="s">
        <v>2532</v>
      </c>
      <c r="C1570" t="s">
        <v>1870</v>
      </c>
      <c r="D1570">
        <v>95000</v>
      </c>
      <c r="F1570">
        <v>95000</v>
      </c>
      <c r="G1570">
        <v>95000</v>
      </c>
      <c r="H1570">
        <v>4</v>
      </c>
      <c r="I1570" t="s">
        <v>432</v>
      </c>
      <c r="J1570">
        <v>18.670000000000002</v>
      </c>
      <c r="K1570">
        <v>39</v>
      </c>
      <c r="L1570">
        <v>4</v>
      </c>
      <c r="M1570" t="s">
        <v>1842</v>
      </c>
      <c r="N1570">
        <v>3</v>
      </c>
      <c r="O1570">
        <v>11</v>
      </c>
      <c r="P1570">
        <v>123574.88</v>
      </c>
      <c r="Q1570">
        <v>77692.34</v>
      </c>
      <c r="R1570">
        <v>637</v>
      </c>
      <c r="S1570">
        <v>1071</v>
      </c>
      <c r="T1570" t="s">
        <v>108</v>
      </c>
      <c r="U1570" t="s">
        <v>49</v>
      </c>
    </row>
    <row r="1571" spans="1:21">
      <c r="A1571" t="s">
        <v>2533</v>
      </c>
      <c r="B1571" t="s">
        <v>2534</v>
      </c>
      <c r="C1571" t="s">
        <v>1857</v>
      </c>
      <c r="D1571">
        <v>50000</v>
      </c>
      <c r="F1571">
        <v>50000</v>
      </c>
      <c r="G1571">
        <v>50000</v>
      </c>
      <c r="H1571">
        <v>1</v>
      </c>
      <c r="I1571" t="s">
        <v>432</v>
      </c>
      <c r="J1571">
        <v>11</v>
      </c>
      <c r="K1571">
        <v>45</v>
      </c>
      <c r="L1571">
        <v>2</v>
      </c>
      <c r="M1571" t="s">
        <v>1842</v>
      </c>
      <c r="N1571">
        <v>5</v>
      </c>
      <c r="O1571">
        <v>11.67</v>
      </c>
      <c r="P1571">
        <v>123574.88</v>
      </c>
      <c r="Q1571">
        <v>77692.34</v>
      </c>
      <c r="R1571">
        <v>637</v>
      </c>
      <c r="S1571">
        <v>1071</v>
      </c>
      <c r="T1571" t="s">
        <v>108</v>
      </c>
      <c r="U1571" t="s">
        <v>42</v>
      </c>
    </row>
    <row r="1572" spans="1:21">
      <c r="A1572" t="s">
        <v>2535</v>
      </c>
      <c r="B1572" t="s">
        <v>2536</v>
      </c>
      <c r="C1572" t="s">
        <v>1873</v>
      </c>
      <c r="D1572">
        <v>49000</v>
      </c>
      <c r="E1572">
        <v>3000</v>
      </c>
      <c r="H1572">
        <v>1</v>
      </c>
      <c r="I1572" t="s">
        <v>432</v>
      </c>
      <c r="J1572">
        <v>9.31</v>
      </c>
      <c r="K1572">
        <v>10</v>
      </c>
      <c r="L1572">
        <v>2</v>
      </c>
      <c r="M1572" t="s">
        <v>1842</v>
      </c>
      <c r="N1572">
        <v>6</v>
      </c>
      <c r="O1572">
        <v>10.33</v>
      </c>
      <c r="P1572">
        <v>123574.88</v>
      </c>
      <c r="Q1572">
        <v>77692.34</v>
      </c>
      <c r="R1572">
        <v>637</v>
      </c>
      <c r="S1572">
        <v>1071</v>
      </c>
      <c r="T1572" t="s">
        <v>231</v>
      </c>
      <c r="U1572" t="s">
        <v>31</v>
      </c>
    </row>
    <row r="1573" spans="1:21">
      <c r="A1573" t="s">
        <v>2537</v>
      </c>
      <c r="B1573" t="s">
        <v>2353</v>
      </c>
      <c r="C1573" t="s">
        <v>1850</v>
      </c>
      <c r="D1573">
        <v>68000</v>
      </c>
      <c r="F1573">
        <v>68000</v>
      </c>
      <c r="H1573">
        <v>1</v>
      </c>
      <c r="I1573" t="s">
        <v>432</v>
      </c>
      <c r="J1573">
        <v>16.309999999999999</v>
      </c>
      <c r="K1573">
        <v>11</v>
      </c>
      <c r="L1573">
        <v>2</v>
      </c>
      <c r="M1573" t="s">
        <v>1842</v>
      </c>
      <c r="N1573">
        <v>8</v>
      </c>
      <c r="O1573">
        <v>12.33</v>
      </c>
      <c r="P1573">
        <v>123574.88</v>
      </c>
      <c r="Q1573">
        <v>77692.34</v>
      </c>
      <c r="R1573">
        <v>637</v>
      </c>
      <c r="S1573">
        <v>1071</v>
      </c>
      <c r="T1573" t="s">
        <v>108</v>
      </c>
      <c r="U1573" t="s">
        <v>90</v>
      </c>
    </row>
    <row r="1574" spans="1:21">
      <c r="A1574" t="s">
        <v>2538</v>
      </c>
      <c r="B1574" t="s">
        <v>2539</v>
      </c>
      <c r="C1574" t="s">
        <v>1850</v>
      </c>
      <c r="D1574">
        <v>55000</v>
      </c>
      <c r="E1574">
        <v>3000</v>
      </c>
      <c r="H1574">
        <v>2</v>
      </c>
      <c r="I1574" t="s">
        <v>432</v>
      </c>
      <c r="J1574">
        <v>9.83</v>
      </c>
      <c r="K1574">
        <v>12</v>
      </c>
      <c r="L1574">
        <v>2</v>
      </c>
      <c r="M1574" t="s">
        <v>1842</v>
      </c>
      <c r="N1574">
        <v>5</v>
      </c>
      <c r="O1574">
        <v>15.33</v>
      </c>
      <c r="P1574">
        <v>123574.88</v>
      </c>
      <c r="Q1574">
        <v>77692.34</v>
      </c>
      <c r="R1574">
        <v>637</v>
      </c>
      <c r="S1574">
        <v>1071</v>
      </c>
      <c r="T1574" t="s">
        <v>231</v>
      </c>
      <c r="U1574" t="s">
        <v>90</v>
      </c>
    </row>
    <row r="1575" spans="1:21">
      <c r="A1575" t="s">
        <v>2540</v>
      </c>
      <c r="B1575" t="s">
        <v>2151</v>
      </c>
      <c r="C1575" t="s">
        <v>1850</v>
      </c>
      <c r="D1575">
        <v>52000</v>
      </c>
      <c r="E1575">
        <v>3000</v>
      </c>
      <c r="F1575">
        <v>52000</v>
      </c>
      <c r="H1575">
        <v>2</v>
      </c>
      <c r="I1575" t="s">
        <v>432</v>
      </c>
      <c r="J1575">
        <v>9.56</v>
      </c>
      <c r="K1575">
        <v>16</v>
      </c>
      <c r="L1575">
        <v>2</v>
      </c>
      <c r="M1575" t="s">
        <v>1842</v>
      </c>
      <c r="N1575">
        <v>9</v>
      </c>
      <c r="O1575">
        <v>13</v>
      </c>
      <c r="P1575">
        <v>123574.88</v>
      </c>
      <c r="Q1575">
        <v>77692.34</v>
      </c>
      <c r="R1575">
        <v>637</v>
      </c>
      <c r="S1575">
        <v>1071</v>
      </c>
      <c r="T1575" t="s">
        <v>231</v>
      </c>
      <c r="U1575" t="s">
        <v>90</v>
      </c>
    </row>
    <row r="1576" spans="1:21">
      <c r="A1576" t="s">
        <v>2541</v>
      </c>
      <c r="B1576" t="s">
        <v>2158</v>
      </c>
      <c r="C1576" t="s">
        <v>1291</v>
      </c>
      <c r="D1576">
        <v>55000</v>
      </c>
      <c r="E1576">
        <v>2000</v>
      </c>
      <c r="F1576">
        <v>55000</v>
      </c>
      <c r="G1576">
        <v>55000</v>
      </c>
      <c r="H1576">
        <v>1</v>
      </c>
      <c r="I1576" t="s">
        <v>432</v>
      </c>
      <c r="J1576">
        <v>20</v>
      </c>
      <c r="K1576">
        <v>35</v>
      </c>
      <c r="L1576">
        <v>2</v>
      </c>
      <c r="M1576" t="s">
        <v>1842</v>
      </c>
      <c r="N1576">
        <v>10</v>
      </c>
      <c r="O1576">
        <v>12.33</v>
      </c>
      <c r="P1576">
        <v>123574.88</v>
      </c>
      <c r="Q1576">
        <v>77692.34</v>
      </c>
      <c r="R1576">
        <v>637</v>
      </c>
      <c r="S1576">
        <v>1071</v>
      </c>
      <c r="T1576" t="s">
        <v>34</v>
      </c>
      <c r="U1576" t="s">
        <v>49</v>
      </c>
    </row>
    <row r="1577" spans="1:21">
      <c r="A1577" t="s">
        <v>2542</v>
      </c>
      <c r="B1577" t="s">
        <v>2543</v>
      </c>
      <c r="C1577" t="s">
        <v>1841</v>
      </c>
      <c r="D1577">
        <v>46000</v>
      </c>
      <c r="F1577">
        <v>46000</v>
      </c>
      <c r="H1577">
        <v>1</v>
      </c>
      <c r="I1577" t="s">
        <v>432</v>
      </c>
      <c r="J1577">
        <v>14.19</v>
      </c>
      <c r="K1577">
        <v>39</v>
      </c>
      <c r="L1577">
        <v>2</v>
      </c>
      <c r="M1577" t="s">
        <v>1842</v>
      </c>
      <c r="N1577">
        <v>3</v>
      </c>
      <c r="O1577">
        <v>11.67</v>
      </c>
      <c r="P1577">
        <v>123574.88</v>
      </c>
      <c r="Q1577">
        <v>77692.34</v>
      </c>
      <c r="R1577">
        <v>637</v>
      </c>
      <c r="S1577">
        <v>1071</v>
      </c>
      <c r="T1577" t="s">
        <v>108</v>
      </c>
      <c r="U1577" t="s">
        <v>49</v>
      </c>
    </row>
    <row r="1578" spans="1:21">
      <c r="A1578" t="s">
        <v>2544</v>
      </c>
      <c r="B1578" t="s">
        <v>2545</v>
      </c>
      <c r="C1578" t="s">
        <v>1857</v>
      </c>
      <c r="D1578">
        <v>44000</v>
      </c>
      <c r="E1578">
        <v>4000</v>
      </c>
      <c r="H1578">
        <v>1</v>
      </c>
      <c r="I1578" t="s">
        <v>432</v>
      </c>
      <c r="J1578">
        <v>14</v>
      </c>
      <c r="K1578">
        <v>41</v>
      </c>
      <c r="L1578">
        <v>2</v>
      </c>
      <c r="M1578" t="s">
        <v>1842</v>
      </c>
      <c r="N1578">
        <v>7</v>
      </c>
      <c r="O1578">
        <v>12</v>
      </c>
      <c r="P1578">
        <v>123574.88</v>
      </c>
      <c r="Q1578">
        <v>77692.34</v>
      </c>
      <c r="R1578">
        <v>637</v>
      </c>
      <c r="S1578">
        <v>1071</v>
      </c>
      <c r="T1578" t="s">
        <v>108</v>
      </c>
      <c r="U1578" t="s">
        <v>42</v>
      </c>
    </row>
    <row r="1579" spans="1:21">
      <c r="A1579" t="s">
        <v>2546</v>
      </c>
      <c r="B1579" t="s">
        <v>2545</v>
      </c>
      <c r="C1579" t="s">
        <v>1850</v>
      </c>
      <c r="D1579">
        <v>40000</v>
      </c>
      <c r="E1579">
        <v>5000</v>
      </c>
      <c r="F1579">
        <v>40000</v>
      </c>
      <c r="H1579">
        <v>2</v>
      </c>
      <c r="I1579" t="s">
        <v>432</v>
      </c>
      <c r="J1579">
        <v>13.69</v>
      </c>
      <c r="K1579">
        <v>41</v>
      </c>
      <c r="L1579">
        <v>2</v>
      </c>
      <c r="M1579" t="s">
        <v>1842</v>
      </c>
      <c r="N1579">
        <v>5</v>
      </c>
      <c r="O1579">
        <v>14</v>
      </c>
      <c r="P1579">
        <v>123574.88</v>
      </c>
      <c r="Q1579">
        <v>77692.34</v>
      </c>
      <c r="R1579">
        <v>637</v>
      </c>
      <c r="S1579">
        <v>1071</v>
      </c>
      <c r="T1579" t="s">
        <v>108</v>
      </c>
      <c r="U1579" t="s">
        <v>42</v>
      </c>
    </row>
    <row r="1580" spans="1:21">
      <c r="A1580" t="s">
        <v>2547</v>
      </c>
      <c r="B1580" t="s">
        <v>2545</v>
      </c>
      <c r="C1580" t="s">
        <v>1857</v>
      </c>
      <c r="D1580">
        <v>44000</v>
      </c>
      <c r="E1580">
        <v>4000</v>
      </c>
      <c r="H1580">
        <v>2</v>
      </c>
      <c r="I1580" t="s">
        <v>432</v>
      </c>
      <c r="J1580">
        <v>14</v>
      </c>
      <c r="K1580">
        <v>41</v>
      </c>
      <c r="L1580">
        <v>2</v>
      </c>
      <c r="M1580" t="s">
        <v>1842</v>
      </c>
      <c r="N1580">
        <v>7</v>
      </c>
      <c r="O1580">
        <v>12</v>
      </c>
      <c r="P1580">
        <v>123574.88</v>
      </c>
      <c r="Q1580">
        <v>77692.34</v>
      </c>
      <c r="R1580">
        <v>637</v>
      </c>
      <c r="S1580">
        <v>1071</v>
      </c>
      <c r="T1580" t="s">
        <v>108</v>
      </c>
      <c r="U1580" t="s">
        <v>42</v>
      </c>
    </row>
    <row r="1581" spans="1:21">
      <c r="A1581" t="s">
        <v>2548</v>
      </c>
      <c r="B1581" t="s">
        <v>2549</v>
      </c>
      <c r="C1581" t="s">
        <v>1850</v>
      </c>
      <c r="D1581">
        <v>53000</v>
      </c>
      <c r="E1581">
        <v>3000</v>
      </c>
      <c r="H1581">
        <v>1</v>
      </c>
      <c r="I1581" t="s">
        <v>432</v>
      </c>
      <c r="J1581">
        <v>16.2</v>
      </c>
      <c r="K1581">
        <v>47</v>
      </c>
      <c r="L1581">
        <v>2</v>
      </c>
      <c r="M1581" t="s">
        <v>1842</v>
      </c>
      <c r="N1581">
        <v>5</v>
      </c>
      <c r="O1581">
        <v>14</v>
      </c>
      <c r="P1581">
        <v>123574.88</v>
      </c>
      <c r="Q1581">
        <v>77692.34</v>
      </c>
      <c r="R1581">
        <v>637</v>
      </c>
      <c r="S1581">
        <v>1071</v>
      </c>
      <c r="T1581" t="s">
        <v>108</v>
      </c>
      <c r="U1581" t="s">
        <v>42</v>
      </c>
    </row>
    <row r="1582" spans="1:21">
      <c r="A1582" t="s">
        <v>2550</v>
      </c>
      <c r="B1582" t="s">
        <v>2162</v>
      </c>
      <c r="C1582" t="s">
        <v>1873</v>
      </c>
      <c r="D1582">
        <v>28000</v>
      </c>
      <c r="E1582">
        <v>2000</v>
      </c>
      <c r="F1582">
        <v>28000</v>
      </c>
      <c r="G1582">
        <v>28000</v>
      </c>
      <c r="H1582">
        <v>2</v>
      </c>
      <c r="I1582" t="s">
        <v>432</v>
      </c>
      <c r="J1582">
        <v>9.31</v>
      </c>
      <c r="K1582">
        <v>55</v>
      </c>
      <c r="L1582">
        <v>2</v>
      </c>
      <c r="M1582" t="s">
        <v>1842</v>
      </c>
      <c r="N1582">
        <v>6</v>
      </c>
      <c r="O1582">
        <v>10</v>
      </c>
      <c r="P1582">
        <v>123574.88</v>
      </c>
      <c r="Q1582">
        <v>77692.34</v>
      </c>
      <c r="R1582">
        <v>637</v>
      </c>
      <c r="S1582">
        <v>1071</v>
      </c>
      <c r="T1582" t="s">
        <v>231</v>
      </c>
      <c r="U1582" t="s">
        <v>57</v>
      </c>
    </row>
    <row r="1583" spans="1:21">
      <c r="A1583" t="s">
        <v>2551</v>
      </c>
      <c r="B1583" t="s">
        <v>2164</v>
      </c>
      <c r="C1583" t="s">
        <v>1841</v>
      </c>
      <c r="D1583">
        <v>44000</v>
      </c>
      <c r="E1583">
        <v>1000</v>
      </c>
      <c r="F1583">
        <v>44000</v>
      </c>
      <c r="H1583">
        <v>2</v>
      </c>
      <c r="I1583" t="s">
        <v>432</v>
      </c>
      <c r="J1583">
        <v>15</v>
      </c>
      <c r="K1583">
        <v>59</v>
      </c>
      <c r="L1583">
        <v>2</v>
      </c>
      <c r="M1583" t="s">
        <v>1842</v>
      </c>
      <c r="N1583">
        <v>6</v>
      </c>
      <c r="O1583">
        <v>12.33</v>
      </c>
      <c r="P1583">
        <v>123574.88</v>
      </c>
      <c r="Q1583">
        <v>77692.34</v>
      </c>
      <c r="R1583">
        <v>637</v>
      </c>
      <c r="S1583">
        <v>1071</v>
      </c>
      <c r="T1583" t="s">
        <v>108</v>
      </c>
      <c r="U1583" t="s">
        <v>57</v>
      </c>
    </row>
    <row r="1584" spans="1:21">
      <c r="A1584" t="s">
        <v>2552</v>
      </c>
      <c r="B1584" t="s">
        <v>2164</v>
      </c>
      <c r="C1584" t="s">
        <v>1841</v>
      </c>
      <c r="D1584">
        <v>54000</v>
      </c>
      <c r="E1584">
        <v>1000</v>
      </c>
      <c r="F1584">
        <v>54000</v>
      </c>
      <c r="H1584">
        <v>2</v>
      </c>
      <c r="I1584" t="s">
        <v>432</v>
      </c>
      <c r="J1584">
        <v>17</v>
      </c>
      <c r="K1584">
        <v>59</v>
      </c>
      <c r="L1584">
        <v>2</v>
      </c>
      <c r="M1584" t="s">
        <v>1842</v>
      </c>
      <c r="N1584">
        <v>6</v>
      </c>
      <c r="O1584">
        <v>12.33</v>
      </c>
      <c r="P1584">
        <v>123574.88</v>
      </c>
      <c r="Q1584">
        <v>77692.34</v>
      </c>
      <c r="R1584">
        <v>637</v>
      </c>
      <c r="S1584">
        <v>1071</v>
      </c>
      <c r="T1584" t="s">
        <v>108</v>
      </c>
      <c r="U1584" t="s">
        <v>57</v>
      </c>
    </row>
    <row r="1585" spans="1:21">
      <c r="A1585" t="s">
        <v>2553</v>
      </c>
      <c r="B1585" t="s">
        <v>2554</v>
      </c>
      <c r="C1585" t="s">
        <v>1850</v>
      </c>
      <c r="D1585">
        <v>29000</v>
      </c>
      <c r="F1585">
        <v>29000</v>
      </c>
      <c r="G1585">
        <v>29000</v>
      </c>
      <c r="H1585">
        <v>2</v>
      </c>
      <c r="I1585" t="s">
        <v>432</v>
      </c>
      <c r="J1585">
        <v>9.7200000000000006</v>
      </c>
      <c r="K1585">
        <v>67</v>
      </c>
      <c r="L1585">
        <v>2</v>
      </c>
      <c r="M1585" t="s">
        <v>1842</v>
      </c>
      <c r="N1585">
        <v>7</v>
      </c>
      <c r="O1585">
        <v>14</v>
      </c>
      <c r="P1585">
        <v>123574.88</v>
      </c>
      <c r="Q1585">
        <v>77692.34</v>
      </c>
      <c r="R1585">
        <v>637</v>
      </c>
      <c r="S1585">
        <v>1071</v>
      </c>
      <c r="T1585" t="s">
        <v>231</v>
      </c>
      <c r="U1585" t="s">
        <v>38</v>
      </c>
    </row>
    <row r="1586" spans="1:21">
      <c r="A1586" t="s">
        <v>2555</v>
      </c>
      <c r="B1586" t="s">
        <v>2556</v>
      </c>
      <c r="C1586" t="s">
        <v>1890</v>
      </c>
      <c r="D1586">
        <v>27000</v>
      </c>
      <c r="E1586">
        <v>3000</v>
      </c>
      <c r="F1586">
        <v>27000</v>
      </c>
      <c r="H1586">
        <v>2</v>
      </c>
      <c r="I1586" t="s">
        <v>432</v>
      </c>
      <c r="J1586">
        <v>10.35</v>
      </c>
      <c r="K1586">
        <v>70</v>
      </c>
      <c r="L1586">
        <v>2</v>
      </c>
      <c r="M1586" t="s">
        <v>1842</v>
      </c>
      <c r="N1586">
        <v>12</v>
      </c>
      <c r="O1586">
        <v>14</v>
      </c>
      <c r="P1586">
        <v>123574.88</v>
      </c>
      <c r="Q1586">
        <v>77692.34</v>
      </c>
      <c r="R1586">
        <v>637</v>
      </c>
      <c r="S1586">
        <v>1071</v>
      </c>
      <c r="T1586" t="s">
        <v>108</v>
      </c>
      <c r="U1586" t="s">
        <v>38</v>
      </c>
    </row>
    <row r="1587" spans="1:21">
      <c r="A1587" t="s">
        <v>2557</v>
      </c>
      <c r="B1587" t="s">
        <v>2558</v>
      </c>
      <c r="C1587" t="s">
        <v>1841</v>
      </c>
      <c r="D1587">
        <v>64000</v>
      </c>
      <c r="E1587">
        <v>3000</v>
      </c>
      <c r="G1587">
        <v>64000</v>
      </c>
      <c r="H1587">
        <v>1</v>
      </c>
      <c r="I1587" t="s">
        <v>432</v>
      </c>
      <c r="J1587">
        <v>18.899999999999999</v>
      </c>
      <c r="K1587">
        <v>23</v>
      </c>
      <c r="L1587">
        <v>3</v>
      </c>
      <c r="M1587" t="s">
        <v>1842</v>
      </c>
      <c r="N1587">
        <v>7</v>
      </c>
      <c r="O1587">
        <v>11.33</v>
      </c>
      <c r="P1587">
        <v>123574.88</v>
      </c>
      <c r="Q1587">
        <v>77692.34</v>
      </c>
      <c r="R1587">
        <v>637</v>
      </c>
      <c r="S1587">
        <v>1071</v>
      </c>
      <c r="T1587" t="s">
        <v>108</v>
      </c>
      <c r="U1587" t="s">
        <v>27</v>
      </c>
    </row>
    <row r="1588" spans="1:21">
      <c r="A1588" t="s">
        <v>2559</v>
      </c>
      <c r="B1588" t="s">
        <v>2560</v>
      </c>
      <c r="C1588" t="s">
        <v>1857</v>
      </c>
      <c r="D1588">
        <v>72000</v>
      </c>
      <c r="E1588">
        <v>3000</v>
      </c>
      <c r="F1588">
        <v>72000</v>
      </c>
      <c r="G1588">
        <v>72000</v>
      </c>
      <c r="H1588">
        <v>3</v>
      </c>
      <c r="I1588" t="s">
        <v>432</v>
      </c>
      <c r="J1588">
        <v>21.84</v>
      </c>
      <c r="K1588">
        <v>25</v>
      </c>
      <c r="L1588">
        <v>3</v>
      </c>
      <c r="M1588" t="s">
        <v>1842</v>
      </c>
      <c r="N1588">
        <v>8</v>
      </c>
      <c r="O1588">
        <v>12.67</v>
      </c>
      <c r="P1588">
        <v>123574.88</v>
      </c>
      <c r="Q1588">
        <v>77692.34</v>
      </c>
      <c r="R1588">
        <v>637</v>
      </c>
      <c r="S1588">
        <v>1071</v>
      </c>
      <c r="T1588" t="s">
        <v>34</v>
      </c>
      <c r="U1588" t="s">
        <v>27</v>
      </c>
    </row>
    <row r="1589" spans="1:21">
      <c r="A1589" t="s">
        <v>2561</v>
      </c>
      <c r="B1589" t="s">
        <v>2562</v>
      </c>
      <c r="C1589" t="s">
        <v>1887</v>
      </c>
      <c r="D1589">
        <v>90000</v>
      </c>
      <c r="E1589">
        <v>3000</v>
      </c>
      <c r="F1589">
        <v>90000</v>
      </c>
      <c r="G1589">
        <v>90000</v>
      </c>
      <c r="H1589">
        <v>3</v>
      </c>
      <c r="I1589" t="s">
        <v>432</v>
      </c>
      <c r="J1589">
        <v>23.14</v>
      </c>
      <c r="K1589">
        <v>35</v>
      </c>
      <c r="L1589">
        <v>3</v>
      </c>
      <c r="M1589" t="s">
        <v>1842</v>
      </c>
      <c r="N1589">
        <v>8</v>
      </c>
      <c r="O1589">
        <v>9.33</v>
      </c>
      <c r="P1589">
        <v>123574.88</v>
      </c>
      <c r="Q1589">
        <v>77692.34</v>
      </c>
      <c r="R1589">
        <v>637</v>
      </c>
      <c r="S1589">
        <v>1071</v>
      </c>
      <c r="T1589" t="s">
        <v>34</v>
      </c>
      <c r="U1589" t="s">
        <v>49</v>
      </c>
    </row>
    <row r="1590" spans="1:21">
      <c r="A1590" t="s">
        <v>2563</v>
      </c>
      <c r="B1590" t="s">
        <v>2564</v>
      </c>
      <c r="C1590" t="s">
        <v>1743</v>
      </c>
      <c r="D1590">
        <v>62000</v>
      </c>
      <c r="E1590">
        <v>3000</v>
      </c>
      <c r="H1590">
        <v>3</v>
      </c>
      <c r="I1590" t="s">
        <v>432</v>
      </c>
      <c r="J1590">
        <v>19.559999999999999</v>
      </c>
      <c r="K1590">
        <v>40</v>
      </c>
      <c r="L1590">
        <v>3</v>
      </c>
      <c r="M1590" t="s">
        <v>1842</v>
      </c>
      <c r="N1590">
        <v>5</v>
      </c>
      <c r="O1590">
        <v>10</v>
      </c>
      <c r="P1590">
        <v>123574.88</v>
      </c>
      <c r="Q1590">
        <v>77692.34</v>
      </c>
      <c r="R1590">
        <v>637</v>
      </c>
      <c r="S1590">
        <v>1071</v>
      </c>
      <c r="T1590" t="s">
        <v>108</v>
      </c>
      <c r="U1590" t="s">
        <v>49</v>
      </c>
    </row>
    <row r="1591" spans="1:21">
      <c r="A1591" t="s">
        <v>2565</v>
      </c>
      <c r="B1591" t="s">
        <v>2566</v>
      </c>
      <c r="C1591" t="s">
        <v>1850</v>
      </c>
      <c r="D1591">
        <v>55000</v>
      </c>
      <c r="E1591">
        <v>5000</v>
      </c>
      <c r="F1591">
        <v>55000</v>
      </c>
      <c r="H1591">
        <v>2</v>
      </c>
      <c r="I1591" t="s">
        <v>432</v>
      </c>
      <c r="J1591">
        <v>14.85</v>
      </c>
      <c r="K1591">
        <v>41</v>
      </c>
      <c r="L1591">
        <v>3</v>
      </c>
      <c r="M1591" t="s">
        <v>1842</v>
      </c>
      <c r="N1591">
        <v>4</v>
      </c>
      <c r="O1591">
        <v>11.67</v>
      </c>
      <c r="P1591">
        <v>123574.88</v>
      </c>
      <c r="Q1591">
        <v>77692.34</v>
      </c>
      <c r="R1591">
        <v>637</v>
      </c>
      <c r="S1591">
        <v>1071</v>
      </c>
      <c r="T1591" t="s">
        <v>108</v>
      </c>
      <c r="U1591" t="s">
        <v>42</v>
      </c>
    </row>
    <row r="1592" spans="1:21">
      <c r="A1592" t="s">
        <v>2567</v>
      </c>
      <c r="B1592" t="s">
        <v>2568</v>
      </c>
      <c r="C1592" t="s">
        <v>1887</v>
      </c>
      <c r="D1592">
        <v>82000</v>
      </c>
      <c r="E1592">
        <v>6000</v>
      </c>
      <c r="H1592">
        <v>1</v>
      </c>
      <c r="I1592" t="s">
        <v>432</v>
      </c>
      <c r="J1592">
        <v>17.079999999999998</v>
      </c>
      <c r="K1592">
        <v>6</v>
      </c>
      <c r="L1592">
        <v>3</v>
      </c>
      <c r="M1592" t="s">
        <v>1842</v>
      </c>
      <c r="N1592">
        <v>3</v>
      </c>
      <c r="O1592">
        <v>11.33</v>
      </c>
      <c r="P1592">
        <v>123574.88</v>
      </c>
      <c r="Q1592">
        <v>77692.34</v>
      </c>
      <c r="R1592">
        <v>637</v>
      </c>
      <c r="S1592">
        <v>1071</v>
      </c>
      <c r="T1592" t="s">
        <v>108</v>
      </c>
      <c r="U1592" t="s">
        <v>31</v>
      </c>
    </row>
    <row r="1593" spans="1:21">
      <c r="A1593" t="s">
        <v>2569</v>
      </c>
      <c r="B1593" t="s">
        <v>1909</v>
      </c>
      <c r="C1593" t="s">
        <v>1743</v>
      </c>
      <c r="D1593">
        <v>77000</v>
      </c>
      <c r="E1593">
        <v>4000</v>
      </c>
      <c r="H1593">
        <v>2</v>
      </c>
      <c r="I1593" t="s">
        <v>432</v>
      </c>
      <c r="J1593">
        <v>15.94</v>
      </c>
      <c r="K1593">
        <v>7</v>
      </c>
      <c r="L1593">
        <v>3</v>
      </c>
      <c r="M1593" t="s">
        <v>1842</v>
      </c>
      <c r="N1593">
        <v>7</v>
      </c>
      <c r="O1593">
        <v>11.67</v>
      </c>
      <c r="P1593">
        <v>123574.88</v>
      </c>
      <c r="Q1593">
        <v>77692.34</v>
      </c>
      <c r="R1593">
        <v>637</v>
      </c>
      <c r="S1593">
        <v>1071</v>
      </c>
      <c r="T1593" t="s">
        <v>108</v>
      </c>
      <c r="U1593" t="s">
        <v>31</v>
      </c>
    </row>
    <row r="1594" spans="1:21">
      <c r="A1594" t="s">
        <v>2570</v>
      </c>
      <c r="B1594" t="s">
        <v>2571</v>
      </c>
      <c r="C1594" t="s">
        <v>1291</v>
      </c>
      <c r="D1594">
        <v>100000</v>
      </c>
      <c r="E1594">
        <v>12000</v>
      </c>
      <c r="H1594">
        <v>2</v>
      </c>
      <c r="I1594" t="s">
        <v>432</v>
      </c>
      <c r="J1594">
        <v>16.84</v>
      </c>
      <c r="K1594">
        <v>10</v>
      </c>
      <c r="L1594">
        <v>4</v>
      </c>
      <c r="M1594" t="s">
        <v>1842</v>
      </c>
      <c r="N1594">
        <v>8</v>
      </c>
      <c r="O1594">
        <v>11</v>
      </c>
      <c r="P1594">
        <v>123574.88</v>
      </c>
      <c r="Q1594">
        <v>77692.34</v>
      </c>
      <c r="R1594">
        <v>637</v>
      </c>
      <c r="S1594">
        <v>1071</v>
      </c>
      <c r="T1594" t="s">
        <v>108</v>
      </c>
      <c r="U1594" t="s">
        <v>31</v>
      </c>
    </row>
    <row r="1595" spans="1:21">
      <c r="A1595" t="s">
        <v>2572</v>
      </c>
      <c r="B1595" t="s">
        <v>2184</v>
      </c>
      <c r="C1595" t="s">
        <v>1857</v>
      </c>
      <c r="D1595">
        <v>68000</v>
      </c>
      <c r="E1595">
        <v>5000</v>
      </c>
      <c r="F1595">
        <v>68000</v>
      </c>
      <c r="H1595">
        <v>1</v>
      </c>
      <c r="I1595" t="s">
        <v>432</v>
      </c>
      <c r="J1595">
        <v>17.399999999999999</v>
      </c>
      <c r="K1595">
        <v>20</v>
      </c>
      <c r="L1595">
        <v>4</v>
      </c>
      <c r="M1595" t="s">
        <v>1842</v>
      </c>
      <c r="N1595">
        <v>8</v>
      </c>
      <c r="O1595">
        <v>14</v>
      </c>
      <c r="P1595">
        <v>123574.88</v>
      </c>
      <c r="Q1595">
        <v>77692.34</v>
      </c>
      <c r="R1595">
        <v>637</v>
      </c>
      <c r="S1595">
        <v>1071</v>
      </c>
      <c r="T1595" t="s">
        <v>108</v>
      </c>
      <c r="U1595" t="s">
        <v>90</v>
      </c>
    </row>
    <row r="1596" spans="1:21">
      <c r="A1596" t="s">
        <v>2573</v>
      </c>
      <c r="B1596" t="s">
        <v>1913</v>
      </c>
      <c r="C1596" t="s">
        <v>1887</v>
      </c>
      <c r="D1596">
        <v>110000</v>
      </c>
      <c r="E1596">
        <v>10000</v>
      </c>
      <c r="G1596">
        <v>110000</v>
      </c>
      <c r="H1596">
        <v>1</v>
      </c>
      <c r="I1596" t="s">
        <v>432</v>
      </c>
      <c r="J1596">
        <v>25.65</v>
      </c>
      <c r="K1596">
        <v>2</v>
      </c>
      <c r="L1596">
        <v>4</v>
      </c>
      <c r="M1596" t="s">
        <v>1842</v>
      </c>
      <c r="N1596">
        <v>7</v>
      </c>
      <c r="O1596">
        <v>10.67</v>
      </c>
      <c r="P1596">
        <v>123574.88</v>
      </c>
      <c r="Q1596">
        <v>77692.34</v>
      </c>
      <c r="R1596">
        <v>637</v>
      </c>
      <c r="S1596">
        <v>1071</v>
      </c>
      <c r="T1596" t="s">
        <v>34</v>
      </c>
      <c r="U1596" t="s">
        <v>31</v>
      </c>
    </row>
    <row r="1597" spans="1:21">
      <c r="A1597" t="s">
        <v>2574</v>
      </c>
      <c r="B1597" t="s">
        <v>1913</v>
      </c>
      <c r="C1597" t="s">
        <v>1873</v>
      </c>
      <c r="D1597">
        <v>92000</v>
      </c>
      <c r="E1597">
        <v>18000</v>
      </c>
      <c r="F1597">
        <v>92000</v>
      </c>
      <c r="H1597">
        <v>2</v>
      </c>
      <c r="I1597" t="s">
        <v>432</v>
      </c>
      <c r="J1597">
        <v>19.8</v>
      </c>
      <c r="K1597">
        <v>2</v>
      </c>
      <c r="L1597">
        <v>4</v>
      </c>
      <c r="M1597" t="s">
        <v>1842</v>
      </c>
      <c r="N1597">
        <v>5</v>
      </c>
      <c r="O1597">
        <v>9.33</v>
      </c>
      <c r="P1597">
        <v>123574.88</v>
      </c>
      <c r="Q1597">
        <v>77692.34</v>
      </c>
      <c r="R1597">
        <v>637</v>
      </c>
      <c r="S1597">
        <v>1071</v>
      </c>
      <c r="T1597" t="s">
        <v>108</v>
      </c>
      <c r="U1597" t="s">
        <v>31</v>
      </c>
    </row>
    <row r="1598" spans="1:21">
      <c r="A1598" t="s">
        <v>2575</v>
      </c>
      <c r="B1598" t="s">
        <v>1913</v>
      </c>
      <c r="C1598" t="s">
        <v>1873</v>
      </c>
      <c r="D1598">
        <v>80000</v>
      </c>
      <c r="E1598">
        <v>15000</v>
      </c>
      <c r="F1598">
        <v>80000</v>
      </c>
      <c r="H1598">
        <v>3</v>
      </c>
      <c r="I1598" t="s">
        <v>432</v>
      </c>
      <c r="J1598">
        <v>15.86</v>
      </c>
      <c r="K1598">
        <v>2</v>
      </c>
      <c r="L1598">
        <v>4</v>
      </c>
      <c r="M1598" t="s">
        <v>1842</v>
      </c>
      <c r="N1598">
        <v>5</v>
      </c>
      <c r="O1598">
        <v>9.33</v>
      </c>
      <c r="P1598">
        <v>123574.88</v>
      </c>
      <c r="Q1598">
        <v>77692.34</v>
      </c>
      <c r="R1598">
        <v>637</v>
      </c>
      <c r="S1598">
        <v>1071</v>
      </c>
      <c r="T1598" t="s">
        <v>108</v>
      </c>
      <c r="U1598" t="s">
        <v>31</v>
      </c>
    </row>
    <row r="1599" spans="1:21">
      <c r="A1599" t="s">
        <v>2576</v>
      </c>
      <c r="B1599" t="s">
        <v>1913</v>
      </c>
      <c r="C1599" t="s">
        <v>1887</v>
      </c>
      <c r="D1599">
        <v>141000</v>
      </c>
      <c r="E1599">
        <v>11000</v>
      </c>
      <c r="G1599">
        <v>141000</v>
      </c>
      <c r="H1599">
        <v>3</v>
      </c>
      <c r="I1599" t="s">
        <v>432</v>
      </c>
      <c r="J1599">
        <v>25.65</v>
      </c>
      <c r="K1599">
        <v>2</v>
      </c>
      <c r="L1599">
        <v>4</v>
      </c>
      <c r="M1599" t="s">
        <v>1842</v>
      </c>
      <c r="N1599">
        <v>7</v>
      </c>
      <c r="O1599">
        <v>10.67</v>
      </c>
      <c r="P1599">
        <v>123574.88</v>
      </c>
      <c r="Q1599">
        <v>77692.34</v>
      </c>
      <c r="R1599">
        <v>637</v>
      </c>
      <c r="S1599">
        <v>1071</v>
      </c>
      <c r="T1599" t="s">
        <v>34</v>
      </c>
      <c r="U1599" t="s">
        <v>31</v>
      </c>
    </row>
    <row r="1600" spans="1:21">
      <c r="A1600" t="s">
        <v>2577</v>
      </c>
      <c r="B1600" t="s">
        <v>1913</v>
      </c>
      <c r="C1600" t="s">
        <v>1873</v>
      </c>
      <c r="D1600">
        <v>80000</v>
      </c>
      <c r="E1600">
        <v>18000</v>
      </c>
      <c r="F1600">
        <v>80000</v>
      </c>
      <c r="H1600">
        <v>4</v>
      </c>
      <c r="I1600" t="s">
        <v>432</v>
      </c>
      <c r="J1600">
        <v>17.309999999999999</v>
      </c>
      <c r="K1600">
        <v>2</v>
      </c>
      <c r="L1600">
        <v>4</v>
      </c>
      <c r="M1600" t="s">
        <v>1842</v>
      </c>
      <c r="N1600">
        <v>5</v>
      </c>
      <c r="O1600">
        <v>9.33</v>
      </c>
      <c r="P1600">
        <v>123574.88</v>
      </c>
      <c r="Q1600">
        <v>77692.34</v>
      </c>
      <c r="R1600">
        <v>637</v>
      </c>
      <c r="S1600">
        <v>1071</v>
      </c>
      <c r="T1600" t="s">
        <v>108</v>
      </c>
      <c r="U1600" t="s">
        <v>31</v>
      </c>
    </row>
    <row r="1601" spans="1:21">
      <c r="A1601" t="s">
        <v>2578</v>
      </c>
      <c r="B1601" t="s">
        <v>2579</v>
      </c>
      <c r="C1601" t="s">
        <v>1850</v>
      </c>
      <c r="D1601">
        <v>55000</v>
      </c>
      <c r="F1601">
        <v>55000</v>
      </c>
      <c r="H1601">
        <v>1</v>
      </c>
      <c r="I1601" t="s">
        <v>432</v>
      </c>
      <c r="J1601">
        <v>17</v>
      </c>
      <c r="K1601">
        <v>40</v>
      </c>
      <c r="L1601">
        <v>4</v>
      </c>
      <c r="M1601" t="s">
        <v>1842</v>
      </c>
      <c r="N1601">
        <v>4</v>
      </c>
      <c r="O1601">
        <v>12.33</v>
      </c>
      <c r="P1601">
        <v>123574.88</v>
      </c>
      <c r="Q1601">
        <v>77692.34</v>
      </c>
      <c r="R1601">
        <v>637</v>
      </c>
      <c r="S1601">
        <v>1071</v>
      </c>
      <c r="T1601" t="s">
        <v>108</v>
      </c>
      <c r="U1601" t="s">
        <v>49</v>
      </c>
    </row>
    <row r="1602" spans="1:21">
      <c r="A1602" t="s">
        <v>2580</v>
      </c>
      <c r="B1602" t="s">
        <v>2579</v>
      </c>
      <c r="C1602" t="s">
        <v>1850</v>
      </c>
      <c r="D1602">
        <v>58000</v>
      </c>
      <c r="F1602">
        <v>58000</v>
      </c>
      <c r="H1602">
        <v>2</v>
      </c>
      <c r="I1602" t="s">
        <v>432</v>
      </c>
      <c r="J1602">
        <v>15</v>
      </c>
      <c r="K1602">
        <v>40</v>
      </c>
      <c r="L1602">
        <v>4</v>
      </c>
      <c r="M1602" t="s">
        <v>1842</v>
      </c>
      <c r="N1602">
        <v>4</v>
      </c>
      <c r="O1602">
        <v>12.33</v>
      </c>
      <c r="P1602">
        <v>123574.88</v>
      </c>
      <c r="Q1602">
        <v>77692.34</v>
      </c>
      <c r="R1602">
        <v>637</v>
      </c>
      <c r="S1602">
        <v>1071</v>
      </c>
      <c r="T1602" t="s">
        <v>108</v>
      </c>
      <c r="U1602" t="s">
        <v>49</v>
      </c>
    </row>
    <row r="1603" spans="1:21">
      <c r="A1603" t="s">
        <v>2581</v>
      </c>
      <c r="B1603" t="s">
        <v>2579</v>
      </c>
      <c r="C1603" t="s">
        <v>1850</v>
      </c>
      <c r="D1603">
        <v>60000</v>
      </c>
      <c r="F1603">
        <v>60000</v>
      </c>
      <c r="H1603">
        <v>2</v>
      </c>
      <c r="I1603" t="s">
        <v>432</v>
      </c>
      <c r="J1603">
        <v>15</v>
      </c>
      <c r="K1603">
        <v>40</v>
      </c>
      <c r="L1603">
        <v>4</v>
      </c>
      <c r="M1603" t="s">
        <v>1842</v>
      </c>
      <c r="N1603">
        <v>4</v>
      </c>
      <c r="O1603">
        <v>12.33</v>
      </c>
      <c r="P1603">
        <v>123574.88</v>
      </c>
      <c r="Q1603">
        <v>77692.34</v>
      </c>
      <c r="R1603">
        <v>637</v>
      </c>
      <c r="S1603">
        <v>1071</v>
      </c>
      <c r="T1603" t="s">
        <v>108</v>
      </c>
      <c r="U1603" t="s">
        <v>49</v>
      </c>
    </row>
    <row r="1604" spans="1:21">
      <c r="A1604" t="s">
        <v>2582</v>
      </c>
      <c r="B1604" t="s">
        <v>2583</v>
      </c>
      <c r="C1604" t="s">
        <v>1870</v>
      </c>
      <c r="D1604">
        <v>84000</v>
      </c>
      <c r="E1604">
        <v>5000</v>
      </c>
      <c r="G1604">
        <v>84000</v>
      </c>
      <c r="H1604">
        <v>2</v>
      </c>
      <c r="I1604" t="s">
        <v>432</v>
      </c>
      <c r="J1604">
        <v>15.42</v>
      </c>
      <c r="K1604">
        <v>7</v>
      </c>
      <c r="L1604">
        <v>4</v>
      </c>
      <c r="M1604" t="s">
        <v>1842</v>
      </c>
      <c r="N1604">
        <v>6</v>
      </c>
      <c r="O1604">
        <v>8</v>
      </c>
      <c r="P1604">
        <v>123574.88</v>
      </c>
      <c r="Q1604">
        <v>77692.34</v>
      </c>
      <c r="R1604">
        <v>637</v>
      </c>
      <c r="S1604">
        <v>1071</v>
      </c>
      <c r="T1604" t="s">
        <v>108</v>
      </c>
      <c r="U1604" t="s">
        <v>31</v>
      </c>
    </row>
    <row r="1605" spans="1:21">
      <c r="A1605" t="s">
        <v>2584</v>
      </c>
      <c r="B1605" t="s">
        <v>2585</v>
      </c>
      <c r="C1605" t="s">
        <v>1291</v>
      </c>
      <c r="D1605">
        <v>90000</v>
      </c>
      <c r="E1605">
        <v>5000</v>
      </c>
      <c r="F1605">
        <v>90000</v>
      </c>
      <c r="G1605">
        <v>90000</v>
      </c>
      <c r="H1605">
        <v>4</v>
      </c>
      <c r="I1605" t="s">
        <v>432</v>
      </c>
      <c r="J1605">
        <v>18.3</v>
      </c>
      <c r="K1605">
        <v>9</v>
      </c>
      <c r="L1605">
        <v>4</v>
      </c>
      <c r="M1605" t="s">
        <v>1842</v>
      </c>
      <c r="N1605">
        <v>9</v>
      </c>
      <c r="O1605">
        <v>10.33</v>
      </c>
      <c r="P1605">
        <v>123574.88</v>
      </c>
      <c r="Q1605">
        <v>77692.34</v>
      </c>
      <c r="R1605">
        <v>637</v>
      </c>
      <c r="S1605">
        <v>1071</v>
      </c>
      <c r="T1605" t="s">
        <v>108</v>
      </c>
      <c r="U1605" t="s">
        <v>31</v>
      </c>
    </row>
    <row r="1606" spans="1:21">
      <c r="A1606" t="s">
        <v>2586</v>
      </c>
      <c r="B1606" t="s">
        <v>2587</v>
      </c>
      <c r="C1606" t="s">
        <v>1870</v>
      </c>
      <c r="D1606">
        <v>75000</v>
      </c>
      <c r="E1606">
        <v>5000</v>
      </c>
      <c r="F1606">
        <v>75000</v>
      </c>
      <c r="H1606">
        <v>2</v>
      </c>
      <c r="I1606" t="s">
        <v>432</v>
      </c>
      <c r="J1606">
        <v>23.5</v>
      </c>
      <c r="K1606">
        <v>35</v>
      </c>
      <c r="L1606">
        <v>5</v>
      </c>
      <c r="M1606" t="s">
        <v>1842</v>
      </c>
      <c r="N1606">
        <v>5</v>
      </c>
      <c r="O1606">
        <v>10</v>
      </c>
      <c r="P1606">
        <v>123574.88</v>
      </c>
      <c r="Q1606">
        <v>77692.34</v>
      </c>
      <c r="R1606">
        <v>637</v>
      </c>
      <c r="S1606">
        <v>1071</v>
      </c>
      <c r="T1606" t="s">
        <v>34</v>
      </c>
      <c r="U1606" t="s">
        <v>49</v>
      </c>
    </row>
    <row r="1607" spans="1:21">
      <c r="A1607" t="s">
        <v>2588</v>
      </c>
      <c r="B1607" t="s">
        <v>2589</v>
      </c>
      <c r="C1607" t="s">
        <v>1887</v>
      </c>
      <c r="D1607">
        <v>97000</v>
      </c>
      <c r="E1607">
        <v>7000</v>
      </c>
      <c r="H1607">
        <v>2</v>
      </c>
      <c r="I1607" t="s">
        <v>432</v>
      </c>
      <c r="J1607">
        <v>23</v>
      </c>
      <c r="K1607">
        <v>8</v>
      </c>
      <c r="L1607">
        <v>5</v>
      </c>
      <c r="M1607" t="s">
        <v>1842</v>
      </c>
      <c r="N1607">
        <v>5</v>
      </c>
      <c r="O1607">
        <v>11.67</v>
      </c>
      <c r="P1607">
        <v>123574.88</v>
      </c>
      <c r="Q1607">
        <v>77692.34</v>
      </c>
      <c r="R1607">
        <v>637</v>
      </c>
      <c r="S1607">
        <v>1071</v>
      </c>
      <c r="T1607" t="s">
        <v>34</v>
      </c>
      <c r="U1607" t="s">
        <v>31</v>
      </c>
    </row>
    <row r="1608" spans="1:21">
      <c r="A1608" t="s">
        <v>2590</v>
      </c>
      <c r="B1608" t="s">
        <v>2589</v>
      </c>
      <c r="C1608" t="s">
        <v>1887</v>
      </c>
      <c r="D1608">
        <v>97000</v>
      </c>
      <c r="E1608">
        <v>7000</v>
      </c>
      <c r="H1608">
        <v>3</v>
      </c>
      <c r="I1608" t="s">
        <v>432</v>
      </c>
      <c r="J1608">
        <v>23.8</v>
      </c>
      <c r="K1608">
        <v>8</v>
      </c>
      <c r="L1608">
        <v>5</v>
      </c>
      <c r="M1608" t="s">
        <v>1842</v>
      </c>
      <c r="N1608">
        <v>5</v>
      </c>
      <c r="O1608">
        <v>11.67</v>
      </c>
      <c r="P1608">
        <v>123574.88</v>
      </c>
      <c r="Q1608">
        <v>77692.34</v>
      </c>
      <c r="R1608">
        <v>637</v>
      </c>
      <c r="S1608">
        <v>1071</v>
      </c>
      <c r="T1608" t="s">
        <v>34</v>
      </c>
      <c r="U1608" t="s">
        <v>31</v>
      </c>
    </row>
    <row r="1609" spans="1:21">
      <c r="A1609" t="s">
        <v>2591</v>
      </c>
      <c r="B1609" t="s">
        <v>2592</v>
      </c>
      <c r="C1609" t="s">
        <v>1870</v>
      </c>
      <c r="D1609">
        <v>58000</v>
      </c>
      <c r="E1609">
        <v>7000</v>
      </c>
      <c r="F1609">
        <v>58000</v>
      </c>
      <c r="G1609">
        <v>58000</v>
      </c>
      <c r="H1609">
        <v>3</v>
      </c>
      <c r="I1609" t="s">
        <v>432</v>
      </c>
      <c r="J1609">
        <v>16.8</v>
      </c>
      <c r="K1609">
        <v>42</v>
      </c>
      <c r="L1609">
        <v>6</v>
      </c>
      <c r="M1609" t="s">
        <v>1842</v>
      </c>
      <c r="N1609">
        <v>4</v>
      </c>
      <c r="O1609">
        <v>9.67</v>
      </c>
      <c r="P1609">
        <v>123574.88</v>
      </c>
      <c r="Q1609">
        <v>77692.34</v>
      </c>
      <c r="R1609">
        <v>637</v>
      </c>
      <c r="S1609">
        <v>1071</v>
      </c>
      <c r="T1609" t="s">
        <v>108</v>
      </c>
      <c r="U1609" t="s">
        <v>42</v>
      </c>
    </row>
    <row r="1610" spans="1:21">
      <c r="A1610" t="s">
        <v>2593</v>
      </c>
      <c r="B1610" t="s">
        <v>2594</v>
      </c>
      <c r="C1610" t="s">
        <v>1887</v>
      </c>
      <c r="D1610">
        <v>115000</v>
      </c>
      <c r="E1610">
        <v>12000</v>
      </c>
      <c r="H1610">
        <v>3</v>
      </c>
      <c r="I1610" t="s">
        <v>432</v>
      </c>
      <c r="J1610">
        <v>25.59</v>
      </c>
      <c r="K1610">
        <v>10</v>
      </c>
      <c r="L1610">
        <v>9</v>
      </c>
      <c r="M1610" t="s">
        <v>1842</v>
      </c>
      <c r="N1610">
        <v>8</v>
      </c>
      <c r="O1610">
        <v>12.67</v>
      </c>
      <c r="P1610">
        <v>123574.88</v>
      </c>
      <c r="Q1610">
        <v>77692.34</v>
      </c>
      <c r="R1610">
        <v>637</v>
      </c>
      <c r="S1610">
        <v>1071</v>
      </c>
      <c r="T1610" t="s">
        <v>34</v>
      </c>
      <c r="U1610" t="s">
        <v>31</v>
      </c>
    </row>
    <row r="1611" spans="1:21">
      <c r="A1611" t="s">
        <v>2595</v>
      </c>
      <c r="B1611" t="s">
        <v>2594</v>
      </c>
      <c r="C1611" t="s">
        <v>1887</v>
      </c>
      <c r="D1611">
        <v>118000</v>
      </c>
      <c r="E1611">
        <v>12000</v>
      </c>
      <c r="H1611">
        <v>7</v>
      </c>
      <c r="I1611" t="s">
        <v>432</v>
      </c>
      <c r="J1611">
        <v>25.46</v>
      </c>
      <c r="K1611">
        <v>10</v>
      </c>
      <c r="L1611">
        <v>9</v>
      </c>
      <c r="M1611" t="s">
        <v>1842</v>
      </c>
      <c r="N1611">
        <v>8</v>
      </c>
      <c r="O1611">
        <v>12.67</v>
      </c>
      <c r="P1611">
        <v>123574.88</v>
      </c>
      <c r="Q1611">
        <v>77692.34</v>
      </c>
      <c r="R1611">
        <v>637</v>
      </c>
      <c r="S1611">
        <v>1071</v>
      </c>
      <c r="T1611" t="s">
        <v>34</v>
      </c>
      <c r="U1611" t="s">
        <v>31</v>
      </c>
    </row>
    <row r="1612" spans="1:21">
      <c r="A1612" t="s">
        <v>2596</v>
      </c>
      <c r="B1612" t="s">
        <v>2597</v>
      </c>
      <c r="C1612" t="s">
        <v>1873</v>
      </c>
      <c r="D1612">
        <v>110000</v>
      </c>
      <c r="E1612">
        <v>10000</v>
      </c>
      <c r="F1612">
        <v>110000</v>
      </c>
      <c r="G1612">
        <v>110000</v>
      </c>
      <c r="H1612">
        <v>6</v>
      </c>
      <c r="I1612" t="s">
        <v>432</v>
      </c>
      <c r="J1612">
        <v>25.12</v>
      </c>
      <c r="K1612">
        <v>4</v>
      </c>
      <c r="L1612">
        <v>9</v>
      </c>
      <c r="M1612" t="s">
        <v>1842</v>
      </c>
      <c r="N1612">
        <v>8</v>
      </c>
      <c r="O1612">
        <v>10</v>
      </c>
      <c r="P1612">
        <v>123574.88</v>
      </c>
      <c r="Q1612">
        <v>77692.34</v>
      </c>
      <c r="R1612">
        <v>637</v>
      </c>
      <c r="S1612">
        <v>1071</v>
      </c>
      <c r="T1612" t="s">
        <v>34</v>
      </c>
      <c r="U1612" t="s">
        <v>31</v>
      </c>
    </row>
    <row r="1613" spans="1:21">
      <c r="A1613" t="s">
        <v>2598</v>
      </c>
      <c r="B1613" t="s">
        <v>2599</v>
      </c>
      <c r="C1613" t="s">
        <v>1291</v>
      </c>
      <c r="D1613">
        <v>78000</v>
      </c>
      <c r="E1613">
        <v>12000</v>
      </c>
      <c r="G1613">
        <v>156000</v>
      </c>
      <c r="H1613">
        <v>3</v>
      </c>
      <c r="I1613" t="s">
        <v>432</v>
      </c>
      <c r="J1613">
        <v>17.03</v>
      </c>
      <c r="K1613">
        <v>5</v>
      </c>
      <c r="L1613">
        <v>5</v>
      </c>
      <c r="M1613" t="s">
        <v>1842</v>
      </c>
      <c r="N1613">
        <v>9</v>
      </c>
      <c r="O1613">
        <v>9.67</v>
      </c>
      <c r="P1613">
        <v>123574.88</v>
      </c>
      <c r="Q1613">
        <v>77692.34</v>
      </c>
      <c r="R1613">
        <v>637</v>
      </c>
      <c r="S1613">
        <v>1071</v>
      </c>
      <c r="T1613" t="s">
        <v>108</v>
      </c>
      <c r="U1613" t="s">
        <v>31</v>
      </c>
    </row>
    <row r="1614" spans="1:21">
      <c r="A1614" t="s">
        <v>2600</v>
      </c>
      <c r="B1614" t="s">
        <v>2601</v>
      </c>
      <c r="C1614" t="s">
        <v>1743</v>
      </c>
      <c r="D1614">
        <v>78000</v>
      </c>
      <c r="E1614">
        <v>9000</v>
      </c>
      <c r="F1614">
        <v>78000</v>
      </c>
      <c r="G1614">
        <v>78000</v>
      </c>
      <c r="H1614">
        <v>2</v>
      </c>
      <c r="I1614" t="s">
        <v>432</v>
      </c>
      <c r="J1614">
        <v>24.9</v>
      </c>
      <c r="K1614">
        <v>29</v>
      </c>
      <c r="L1614">
        <v>8</v>
      </c>
      <c r="M1614" t="s">
        <v>1842</v>
      </c>
      <c r="N1614">
        <v>7</v>
      </c>
      <c r="O1614">
        <v>13.67</v>
      </c>
      <c r="P1614">
        <v>123574.88</v>
      </c>
      <c r="Q1614">
        <v>77692.34</v>
      </c>
      <c r="R1614">
        <v>637</v>
      </c>
      <c r="S1614">
        <v>1071</v>
      </c>
      <c r="T1614" t="s">
        <v>34</v>
      </c>
      <c r="U1614" t="s">
        <v>27</v>
      </c>
    </row>
    <row r="1615" spans="1:21">
      <c r="A1615" t="s">
        <v>2602</v>
      </c>
      <c r="B1615" t="s">
        <v>2603</v>
      </c>
      <c r="C1615" t="s">
        <v>1850</v>
      </c>
      <c r="D1615">
        <v>29000</v>
      </c>
      <c r="F1615">
        <v>29000</v>
      </c>
      <c r="G1615">
        <v>29000</v>
      </c>
      <c r="H1615">
        <v>2</v>
      </c>
      <c r="I1615" t="s">
        <v>432</v>
      </c>
      <c r="J1615">
        <v>9.7200000000000006</v>
      </c>
      <c r="K1615">
        <v>67</v>
      </c>
      <c r="L1615">
        <v>2</v>
      </c>
      <c r="M1615" t="s">
        <v>1842</v>
      </c>
      <c r="N1615">
        <v>7</v>
      </c>
      <c r="O1615">
        <v>14</v>
      </c>
      <c r="P1615">
        <v>123574.88</v>
      </c>
      <c r="Q1615">
        <v>77692.34</v>
      </c>
      <c r="R1615">
        <v>637</v>
      </c>
      <c r="S1615">
        <v>1071</v>
      </c>
      <c r="T1615" t="s">
        <v>231</v>
      </c>
      <c r="U1615" t="s">
        <v>38</v>
      </c>
    </row>
    <row r="1616" spans="1:21">
      <c r="A1616" t="s">
        <v>2604</v>
      </c>
      <c r="B1616" t="s">
        <v>2605</v>
      </c>
      <c r="C1616" t="s">
        <v>1850</v>
      </c>
      <c r="D1616">
        <v>53000</v>
      </c>
      <c r="F1616">
        <v>53000</v>
      </c>
      <c r="H1616">
        <v>2</v>
      </c>
      <c r="I1616" t="s">
        <v>432</v>
      </c>
      <c r="J1616">
        <v>12.3</v>
      </c>
      <c r="K1616">
        <v>38</v>
      </c>
      <c r="L1616">
        <v>2</v>
      </c>
      <c r="M1616" t="s">
        <v>1842</v>
      </c>
      <c r="N1616">
        <v>5</v>
      </c>
      <c r="O1616">
        <v>15.67</v>
      </c>
      <c r="P1616">
        <v>123574.88</v>
      </c>
      <c r="Q1616">
        <v>77692.34</v>
      </c>
      <c r="R1616">
        <v>637</v>
      </c>
      <c r="S1616">
        <v>1071</v>
      </c>
      <c r="T1616" t="s">
        <v>108</v>
      </c>
      <c r="U1616" t="s">
        <v>49</v>
      </c>
    </row>
    <row r="1617" spans="1:21">
      <c r="A1617" t="s">
        <v>2606</v>
      </c>
      <c r="B1617" t="s">
        <v>2607</v>
      </c>
      <c r="C1617" t="s">
        <v>1890</v>
      </c>
      <c r="D1617">
        <v>27000</v>
      </c>
      <c r="E1617">
        <v>3000</v>
      </c>
      <c r="F1617">
        <v>27000</v>
      </c>
      <c r="G1617">
        <v>27000</v>
      </c>
      <c r="H1617">
        <v>2</v>
      </c>
      <c r="I1617" t="s">
        <v>432</v>
      </c>
      <c r="J1617">
        <v>12.96</v>
      </c>
      <c r="K1617">
        <v>47</v>
      </c>
      <c r="L1617">
        <v>2</v>
      </c>
      <c r="M1617" t="s">
        <v>1842</v>
      </c>
      <c r="N1617">
        <v>13</v>
      </c>
      <c r="O1617">
        <v>14.67</v>
      </c>
      <c r="P1617">
        <v>123574.88</v>
      </c>
      <c r="Q1617">
        <v>77692.34</v>
      </c>
      <c r="R1617">
        <v>637</v>
      </c>
      <c r="S1617">
        <v>1071</v>
      </c>
      <c r="T1617" t="s">
        <v>108</v>
      </c>
      <c r="U1617" t="s">
        <v>42</v>
      </c>
    </row>
    <row r="1618" spans="1:21">
      <c r="A1618" t="s">
        <v>2608</v>
      </c>
      <c r="B1618" t="s">
        <v>2609</v>
      </c>
      <c r="C1618" t="s">
        <v>1870</v>
      </c>
      <c r="D1618">
        <v>80000</v>
      </c>
      <c r="E1618">
        <v>5000</v>
      </c>
      <c r="F1618">
        <v>80000</v>
      </c>
      <c r="H1618">
        <v>2</v>
      </c>
      <c r="I1618" t="s">
        <v>432</v>
      </c>
      <c r="J1618">
        <v>19.61</v>
      </c>
      <c r="K1618">
        <v>9</v>
      </c>
      <c r="L1618">
        <v>2</v>
      </c>
      <c r="M1618" t="s">
        <v>1842</v>
      </c>
      <c r="N1618">
        <v>4</v>
      </c>
      <c r="O1618">
        <v>10</v>
      </c>
      <c r="P1618">
        <v>123574.88</v>
      </c>
      <c r="Q1618">
        <v>77692.34</v>
      </c>
      <c r="R1618">
        <v>637</v>
      </c>
      <c r="S1618">
        <v>1071</v>
      </c>
      <c r="T1618" t="s">
        <v>108</v>
      </c>
      <c r="U1618" t="s">
        <v>31</v>
      </c>
    </row>
    <row r="1619" spans="1:21">
      <c r="A1619" t="s">
        <v>2610</v>
      </c>
      <c r="B1619" t="s">
        <v>2611</v>
      </c>
      <c r="C1619" t="s">
        <v>1291</v>
      </c>
      <c r="D1619">
        <v>143000</v>
      </c>
      <c r="E1619">
        <v>10000</v>
      </c>
      <c r="H1619">
        <v>2</v>
      </c>
      <c r="I1619" t="s">
        <v>432</v>
      </c>
      <c r="J1619">
        <v>25.27</v>
      </c>
      <c r="K1619">
        <v>3</v>
      </c>
      <c r="L1619">
        <v>9</v>
      </c>
      <c r="M1619" t="s">
        <v>1842</v>
      </c>
      <c r="N1619">
        <v>9</v>
      </c>
      <c r="O1619">
        <v>10.67</v>
      </c>
      <c r="P1619">
        <v>123574.88</v>
      </c>
      <c r="Q1619">
        <v>77692.34</v>
      </c>
      <c r="R1619">
        <v>637</v>
      </c>
      <c r="S1619">
        <v>1071</v>
      </c>
      <c r="T1619" t="s">
        <v>34</v>
      </c>
      <c r="U1619" t="s">
        <v>31</v>
      </c>
    </row>
    <row r="1620" spans="1:21">
      <c r="A1620" t="s">
        <v>2612</v>
      </c>
      <c r="B1620" t="s">
        <v>2611</v>
      </c>
      <c r="C1620" t="s">
        <v>1291</v>
      </c>
      <c r="D1620">
        <v>152000</v>
      </c>
      <c r="E1620">
        <v>10000</v>
      </c>
      <c r="H1620">
        <v>3</v>
      </c>
      <c r="I1620" t="s">
        <v>432</v>
      </c>
      <c r="J1620">
        <v>25.27</v>
      </c>
      <c r="K1620">
        <v>3</v>
      </c>
      <c r="L1620">
        <v>9</v>
      </c>
      <c r="M1620" t="s">
        <v>1842</v>
      </c>
      <c r="N1620">
        <v>9</v>
      </c>
      <c r="O1620">
        <v>10.67</v>
      </c>
      <c r="P1620">
        <v>123574.88</v>
      </c>
      <c r="Q1620">
        <v>77692.34</v>
      </c>
      <c r="R1620">
        <v>637</v>
      </c>
      <c r="S1620">
        <v>1071</v>
      </c>
      <c r="T1620" t="s">
        <v>34</v>
      </c>
      <c r="U1620" t="s">
        <v>31</v>
      </c>
    </row>
    <row r="1621" spans="1:21">
      <c r="A1621" t="s">
        <v>2613</v>
      </c>
      <c r="B1621" t="s">
        <v>2611</v>
      </c>
      <c r="C1621" t="s">
        <v>1291</v>
      </c>
      <c r="D1621">
        <v>158000</v>
      </c>
      <c r="E1621">
        <v>12000</v>
      </c>
      <c r="H1621">
        <v>6</v>
      </c>
      <c r="I1621" t="s">
        <v>432</v>
      </c>
      <c r="J1621">
        <v>28.11</v>
      </c>
      <c r="K1621">
        <v>3</v>
      </c>
      <c r="L1621">
        <v>9</v>
      </c>
      <c r="M1621" t="s">
        <v>1842</v>
      </c>
      <c r="N1621">
        <v>9</v>
      </c>
      <c r="O1621">
        <v>10.67</v>
      </c>
      <c r="P1621">
        <v>123574.88</v>
      </c>
      <c r="Q1621">
        <v>77692.34</v>
      </c>
      <c r="R1621">
        <v>637</v>
      </c>
      <c r="S1621">
        <v>1071</v>
      </c>
      <c r="T1621" t="s">
        <v>34</v>
      </c>
      <c r="U1621" t="s">
        <v>31</v>
      </c>
    </row>
    <row r="1622" spans="1:21">
      <c r="A1622" t="s">
        <v>2614</v>
      </c>
      <c r="B1622" t="s">
        <v>2615</v>
      </c>
      <c r="C1622" t="s">
        <v>1870</v>
      </c>
      <c r="D1622">
        <v>84000</v>
      </c>
      <c r="E1622">
        <v>5000</v>
      </c>
      <c r="G1622">
        <v>84000</v>
      </c>
      <c r="H1622">
        <v>2</v>
      </c>
      <c r="I1622" t="s">
        <v>432</v>
      </c>
      <c r="J1622">
        <v>15.42</v>
      </c>
      <c r="K1622">
        <v>7</v>
      </c>
      <c r="L1622">
        <v>4</v>
      </c>
      <c r="M1622" t="s">
        <v>1842</v>
      </c>
      <c r="N1622">
        <v>8</v>
      </c>
      <c r="O1622">
        <v>11.67</v>
      </c>
      <c r="P1622">
        <v>123574.88</v>
      </c>
      <c r="Q1622">
        <v>77692.34</v>
      </c>
      <c r="R1622">
        <v>637</v>
      </c>
      <c r="S1622">
        <v>1071</v>
      </c>
      <c r="T1622" t="s">
        <v>108</v>
      </c>
      <c r="U1622" t="s">
        <v>31</v>
      </c>
    </row>
    <row r="1623" spans="1:21">
      <c r="A1623" t="s">
        <v>2616</v>
      </c>
      <c r="B1623" t="s">
        <v>2615</v>
      </c>
      <c r="C1623" t="s">
        <v>1870</v>
      </c>
      <c r="D1623">
        <v>75000</v>
      </c>
      <c r="E1623">
        <v>4000</v>
      </c>
      <c r="G1623">
        <v>75000</v>
      </c>
      <c r="H1623">
        <v>2</v>
      </c>
      <c r="I1623" t="s">
        <v>432</v>
      </c>
      <c r="J1623">
        <v>16.489999999999998</v>
      </c>
      <c r="K1623">
        <v>7</v>
      </c>
      <c r="L1623">
        <v>4</v>
      </c>
      <c r="M1623" t="s">
        <v>1842</v>
      </c>
      <c r="N1623">
        <v>8</v>
      </c>
      <c r="O1623">
        <v>11.67</v>
      </c>
      <c r="P1623">
        <v>123574.88</v>
      </c>
      <c r="Q1623">
        <v>77692.34</v>
      </c>
      <c r="R1623">
        <v>637</v>
      </c>
      <c r="S1623">
        <v>1071</v>
      </c>
      <c r="T1623" t="s">
        <v>108</v>
      </c>
      <c r="U1623" t="s">
        <v>31</v>
      </c>
    </row>
    <row r="1624" spans="1:21">
      <c r="A1624" t="s">
        <v>2617</v>
      </c>
      <c r="B1624" t="s">
        <v>2235</v>
      </c>
      <c r="C1624" t="s">
        <v>1857</v>
      </c>
      <c r="D1624">
        <v>48000</v>
      </c>
      <c r="E1624">
        <v>2000</v>
      </c>
      <c r="H1624">
        <v>1</v>
      </c>
      <c r="I1624" t="s">
        <v>432</v>
      </c>
      <c r="J1624">
        <v>14.2</v>
      </c>
      <c r="K1624">
        <v>41</v>
      </c>
      <c r="L1624">
        <v>2</v>
      </c>
      <c r="M1624" t="s">
        <v>1842</v>
      </c>
      <c r="N1624">
        <v>5</v>
      </c>
      <c r="O1624">
        <v>13.33</v>
      </c>
      <c r="P1624">
        <v>123574.88</v>
      </c>
      <c r="Q1624">
        <v>77692.34</v>
      </c>
      <c r="R1624">
        <v>637</v>
      </c>
      <c r="S1624">
        <v>1071</v>
      </c>
      <c r="T1624" t="s">
        <v>108</v>
      </c>
      <c r="U1624" t="s">
        <v>42</v>
      </c>
    </row>
    <row r="1625" spans="1:21">
      <c r="A1625" t="s">
        <v>2618</v>
      </c>
      <c r="B1625" t="s">
        <v>2619</v>
      </c>
      <c r="C1625" t="s">
        <v>1890</v>
      </c>
      <c r="D1625">
        <v>38000</v>
      </c>
      <c r="E1625">
        <v>2000</v>
      </c>
      <c r="F1625">
        <v>38000</v>
      </c>
      <c r="H1625">
        <v>1</v>
      </c>
      <c r="I1625" t="s">
        <v>432</v>
      </c>
      <c r="J1625">
        <v>9.09</v>
      </c>
      <c r="K1625">
        <v>44</v>
      </c>
      <c r="L1625">
        <v>2</v>
      </c>
      <c r="M1625" t="s">
        <v>1842</v>
      </c>
      <c r="N1625">
        <v>8</v>
      </c>
      <c r="O1625">
        <v>11.33</v>
      </c>
      <c r="P1625">
        <v>123574.88</v>
      </c>
      <c r="Q1625">
        <v>77692.34</v>
      </c>
      <c r="R1625">
        <v>637</v>
      </c>
      <c r="S1625">
        <v>1071</v>
      </c>
      <c r="T1625" t="s">
        <v>231</v>
      </c>
      <c r="U1625" t="s">
        <v>42</v>
      </c>
    </row>
    <row r="1626" spans="1:21">
      <c r="A1626" t="s">
        <v>2620</v>
      </c>
      <c r="B1626" t="s">
        <v>2621</v>
      </c>
      <c r="C1626" t="s">
        <v>1857</v>
      </c>
      <c r="D1626">
        <v>60000</v>
      </c>
      <c r="E1626">
        <v>2000</v>
      </c>
      <c r="F1626">
        <v>60000</v>
      </c>
      <c r="G1626">
        <v>60000</v>
      </c>
      <c r="H1626">
        <v>1</v>
      </c>
      <c r="I1626" t="s">
        <v>432</v>
      </c>
      <c r="J1626">
        <v>17</v>
      </c>
      <c r="K1626">
        <v>51</v>
      </c>
      <c r="L1626">
        <v>2</v>
      </c>
      <c r="M1626" t="s">
        <v>1842</v>
      </c>
      <c r="N1626">
        <v>10</v>
      </c>
      <c r="O1626">
        <v>12.33</v>
      </c>
      <c r="P1626">
        <v>123574.88</v>
      </c>
      <c r="Q1626">
        <v>77692.34</v>
      </c>
      <c r="R1626">
        <v>637</v>
      </c>
      <c r="S1626">
        <v>1071</v>
      </c>
      <c r="T1626" t="s">
        <v>108</v>
      </c>
      <c r="U1626" t="s">
        <v>57</v>
      </c>
    </row>
    <row r="1627" spans="1:21">
      <c r="A1627" t="s">
        <v>2622</v>
      </c>
      <c r="B1627" t="s">
        <v>1432</v>
      </c>
      <c r="C1627" t="s">
        <v>1857</v>
      </c>
      <c r="D1627">
        <v>72000</v>
      </c>
      <c r="E1627">
        <v>4000</v>
      </c>
      <c r="F1627">
        <v>36000</v>
      </c>
      <c r="G1627">
        <v>108000</v>
      </c>
      <c r="H1627">
        <v>1</v>
      </c>
      <c r="I1627" t="s">
        <v>432</v>
      </c>
      <c r="J1627">
        <v>16.239999999999998</v>
      </c>
      <c r="K1627">
        <v>7</v>
      </c>
      <c r="L1627">
        <v>3</v>
      </c>
      <c r="M1627" t="s">
        <v>1842</v>
      </c>
      <c r="N1627">
        <v>9</v>
      </c>
      <c r="O1627">
        <v>12</v>
      </c>
      <c r="P1627">
        <v>123574.88</v>
      </c>
      <c r="Q1627">
        <v>77692.34</v>
      </c>
      <c r="R1627">
        <v>637</v>
      </c>
      <c r="S1627">
        <v>1071</v>
      </c>
      <c r="T1627" t="s">
        <v>108</v>
      </c>
      <c r="U1627" t="s">
        <v>31</v>
      </c>
    </row>
    <row r="1628" spans="1:21">
      <c r="A1628" t="s">
        <v>2623</v>
      </c>
      <c r="B1628" t="s">
        <v>2249</v>
      </c>
      <c r="C1628" t="s">
        <v>1870</v>
      </c>
      <c r="D1628">
        <v>94000</v>
      </c>
      <c r="E1628">
        <v>5000</v>
      </c>
      <c r="F1628">
        <v>94000</v>
      </c>
      <c r="G1628">
        <v>94000</v>
      </c>
      <c r="H1628">
        <v>3</v>
      </c>
      <c r="I1628" t="s">
        <v>432</v>
      </c>
      <c r="J1628">
        <v>25.05</v>
      </c>
      <c r="K1628">
        <v>13</v>
      </c>
      <c r="L1628">
        <v>4</v>
      </c>
      <c r="M1628" t="s">
        <v>1842</v>
      </c>
      <c r="N1628">
        <v>3</v>
      </c>
      <c r="O1628">
        <v>9.67</v>
      </c>
      <c r="P1628">
        <v>123574.88</v>
      </c>
      <c r="Q1628">
        <v>77692.34</v>
      </c>
      <c r="R1628">
        <v>637</v>
      </c>
      <c r="S1628">
        <v>1071</v>
      </c>
      <c r="T1628" t="s">
        <v>34</v>
      </c>
      <c r="U1628" t="s">
        <v>90</v>
      </c>
    </row>
    <row r="1629" spans="1:21">
      <c r="A1629" t="s">
        <v>2624</v>
      </c>
      <c r="B1629" t="s">
        <v>1927</v>
      </c>
      <c r="C1629" t="s">
        <v>1873</v>
      </c>
      <c r="D1629">
        <v>118000</v>
      </c>
      <c r="E1629">
        <v>10000</v>
      </c>
      <c r="H1629">
        <v>1</v>
      </c>
      <c r="I1629" t="s">
        <v>432</v>
      </c>
      <c r="J1629">
        <v>28.44</v>
      </c>
      <c r="K1629">
        <v>3</v>
      </c>
      <c r="L1629">
        <v>4</v>
      </c>
      <c r="M1629" t="s">
        <v>1842</v>
      </c>
      <c r="N1629">
        <v>6</v>
      </c>
      <c r="O1629">
        <v>9.33</v>
      </c>
      <c r="P1629">
        <v>123574.88</v>
      </c>
      <c r="Q1629">
        <v>77692.34</v>
      </c>
      <c r="R1629">
        <v>637</v>
      </c>
      <c r="S1629">
        <v>1071</v>
      </c>
      <c r="T1629" t="s">
        <v>34</v>
      </c>
      <c r="U1629" t="s">
        <v>31</v>
      </c>
    </row>
    <row r="1630" spans="1:21">
      <c r="A1630" t="s">
        <v>2625</v>
      </c>
      <c r="B1630" t="s">
        <v>2626</v>
      </c>
      <c r="C1630" t="s">
        <v>1291</v>
      </c>
      <c r="D1630">
        <v>143000</v>
      </c>
      <c r="E1630">
        <v>10000</v>
      </c>
      <c r="H1630">
        <v>2</v>
      </c>
      <c r="I1630" t="s">
        <v>432</v>
      </c>
      <c r="J1630">
        <v>25.27</v>
      </c>
      <c r="K1630">
        <v>3</v>
      </c>
      <c r="L1630">
        <v>9</v>
      </c>
      <c r="M1630" t="s">
        <v>1842</v>
      </c>
      <c r="N1630">
        <v>8</v>
      </c>
      <c r="O1630">
        <v>8.5</v>
      </c>
      <c r="P1630">
        <v>123574.88</v>
      </c>
      <c r="Q1630">
        <v>77692.34</v>
      </c>
      <c r="R1630">
        <v>637</v>
      </c>
      <c r="S1630">
        <v>1071</v>
      </c>
      <c r="T1630" t="s">
        <v>34</v>
      </c>
      <c r="U1630" t="s">
        <v>31</v>
      </c>
    </row>
    <row r="1631" spans="1:21">
      <c r="A1631" t="s">
        <v>2627</v>
      </c>
      <c r="B1631" t="s">
        <v>2626</v>
      </c>
      <c r="C1631" t="s">
        <v>1291</v>
      </c>
      <c r="D1631">
        <v>152000</v>
      </c>
      <c r="E1631">
        <v>10000</v>
      </c>
      <c r="H1631">
        <v>3</v>
      </c>
      <c r="I1631" t="s">
        <v>432</v>
      </c>
      <c r="J1631">
        <v>25.27</v>
      </c>
      <c r="K1631">
        <v>3</v>
      </c>
      <c r="L1631">
        <v>9</v>
      </c>
      <c r="M1631" t="s">
        <v>1842</v>
      </c>
      <c r="N1631">
        <v>8</v>
      </c>
      <c r="O1631">
        <v>8.5</v>
      </c>
      <c r="P1631">
        <v>123574.88</v>
      </c>
      <c r="Q1631">
        <v>77692.34</v>
      </c>
      <c r="R1631">
        <v>637</v>
      </c>
      <c r="S1631">
        <v>1071</v>
      </c>
      <c r="T1631" t="s">
        <v>34</v>
      </c>
      <c r="U1631" t="s">
        <v>31</v>
      </c>
    </row>
    <row r="1632" spans="1:21">
      <c r="A1632" t="s">
        <v>2628</v>
      </c>
      <c r="B1632" t="s">
        <v>2626</v>
      </c>
      <c r="C1632" t="s">
        <v>1291</v>
      </c>
      <c r="D1632">
        <v>158000</v>
      </c>
      <c r="E1632">
        <v>12000</v>
      </c>
      <c r="H1632">
        <v>6</v>
      </c>
      <c r="I1632" t="s">
        <v>432</v>
      </c>
      <c r="J1632">
        <v>28.11</v>
      </c>
      <c r="K1632">
        <v>3</v>
      </c>
      <c r="L1632">
        <v>9</v>
      </c>
      <c r="M1632" t="s">
        <v>1842</v>
      </c>
      <c r="N1632">
        <v>8</v>
      </c>
      <c r="O1632">
        <v>8.5</v>
      </c>
      <c r="P1632">
        <v>123574.88</v>
      </c>
      <c r="Q1632">
        <v>77692.34</v>
      </c>
      <c r="R1632">
        <v>637</v>
      </c>
      <c r="S1632">
        <v>1071</v>
      </c>
      <c r="T1632" t="s">
        <v>34</v>
      </c>
      <c r="U1632" t="s">
        <v>31</v>
      </c>
    </row>
    <row r="1633" spans="1:21">
      <c r="A1633" t="s">
        <v>2629</v>
      </c>
      <c r="B1633" t="s">
        <v>2630</v>
      </c>
      <c r="C1633" t="s">
        <v>1887</v>
      </c>
      <c r="D1633">
        <v>82000</v>
      </c>
      <c r="E1633">
        <v>6000</v>
      </c>
      <c r="H1633">
        <v>1</v>
      </c>
      <c r="I1633" t="s">
        <v>432</v>
      </c>
      <c r="J1633">
        <v>17.079999999999998</v>
      </c>
      <c r="K1633">
        <v>6</v>
      </c>
      <c r="L1633">
        <v>3</v>
      </c>
      <c r="M1633" t="s">
        <v>1842</v>
      </c>
      <c r="N1633">
        <v>4</v>
      </c>
      <c r="O1633">
        <v>11.33</v>
      </c>
      <c r="P1633">
        <v>123574.88</v>
      </c>
      <c r="Q1633">
        <v>77692.34</v>
      </c>
      <c r="R1633">
        <v>637</v>
      </c>
      <c r="S1633">
        <v>1071</v>
      </c>
      <c r="T1633" t="s">
        <v>108</v>
      </c>
      <c r="U1633" t="s">
        <v>31</v>
      </c>
    </row>
    <row r="1634" spans="1:21">
      <c r="A1634" t="s">
        <v>2631</v>
      </c>
      <c r="B1634" t="s">
        <v>2632</v>
      </c>
      <c r="C1634" t="s">
        <v>1850</v>
      </c>
      <c r="D1634">
        <v>82000</v>
      </c>
      <c r="E1634">
        <v>8000</v>
      </c>
      <c r="F1634">
        <v>82000</v>
      </c>
      <c r="G1634">
        <v>82000</v>
      </c>
      <c r="H1634">
        <v>3</v>
      </c>
      <c r="I1634" t="s">
        <v>432</v>
      </c>
      <c r="J1634">
        <v>25.19</v>
      </c>
      <c r="K1634">
        <v>9</v>
      </c>
      <c r="L1634">
        <v>4</v>
      </c>
      <c r="M1634" t="s">
        <v>1842</v>
      </c>
      <c r="N1634">
        <v>4</v>
      </c>
      <c r="O1634">
        <v>14.33</v>
      </c>
      <c r="P1634">
        <v>123574.88</v>
      </c>
      <c r="Q1634">
        <v>77692.34</v>
      </c>
      <c r="R1634">
        <v>637</v>
      </c>
      <c r="S1634">
        <v>1071</v>
      </c>
      <c r="T1634" t="s">
        <v>34</v>
      </c>
      <c r="U1634" t="s">
        <v>31</v>
      </c>
    </row>
    <row r="1635" spans="1:21">
      <c r="A1635" t="s">
        <v>2633</v>
      </c>
      <c r="B1635" t="s">
        <v>2634</v>
      </c>
      <c r="C1635" t="s">
        <v>1873</v>
      </c>
      <c r="D1635">
        <v>107000</v>
      </c>
      <c r="E1635">
        <v>10000</v>
      </c>
      <c r="F1635">
        <v>107000</v>
      </c>
      <c r="H1635">
        <v>2</v>
      </c>
      <c r="I1635" t="s">
        <v>432</v>
      </c>
      <c r="J1635">
        <v>25.12</v>
      </c>
      <c r="K1635">
        <v>4</v>
      </c>
      <c r="L1635">
        <v>9</v>
      </c>
      <c r="M1635" t="s">
        <v>1842</v>
      </c>
      <c r="N1635">
        <v>8</v>
      </c>
      <c r="O1635">
        <v>10</v>
      </c>
      <c r="P1635">
        <v>123574.88</v>
      </c>
      <c r="Q1635">
        <v>77692.34</v>
      </c>
      <c r="R1635">
        <v>637</v>
      </c>
      <c r="S1635">
        <v>1071</v>
      </c>
      <c r="T1635" t="s">
        <v>34</v>
      </c>
      <c r="U1635" t="s">
        <v>31</v>
      </c>
    </row>
    <row r="1636" spans="1:21">
      <c r="A1636" t="s">
        <v>2635</v>
      </c>
      <c r="B1636" t="s">
        <v>2634</v>
      </c>
      <c r="C1636" t="s">
        <v>1873</v>
      </c>
      <c r="D1636">
        <v>110000</v>
      </c>
      <c r="E1636">
        <v>10000</v>
      </c>
      <c r="F1636">
        <v>110000</v>
      </c>
      <c r="G1636">
        <v>110000</v>
      </c>
      <c r="H1636">
        <v>6</v>
      </c>
      <c r="I1636" t="s">
        <v>432</v>
      </c>
      <c r="J1636">
        <v>25.12</v>
      </c>
      <c r="K1636">
        <v>4</v>
      </c>
      <c r="L1636">
        <v>9</v>
      </c>
      <c r="M1636" t="s">
        <v>1842</v>
      </c>
      <c r="N1636">
        <v>8</v>
      </c>
      <c r="O1636">
        <v>10</v>
      </c>
      <c r="P1636">
        <v>123574.88</v>
      </c>
      <c r="Q1636">
        <v>77692.34</v>
      </c>
      <c r="R1636">
        <v>637</v>
      </c>
      <c r="S1636">
        <v>1071</v>
      </c>
      <c r="T1636" t="s">
        <v>34</v>
      </c>
      <c r="U1636" t="s">
        <v>31</v>
      </c>
    </row>
    <row r="1637" spans="1:21">
      <c r="A1637" t="s">
        <v>2636</v>
      </c>
      <c r="B1637" t="s">
        <v>2634</v>
      </c>
      <c r="C1637" t="s">
        <v>1873</v>
      </c>
      <c r="D1637">
        <v>111000</v>
      </c>
      <c r="E1637">
        <v>10000</v>
      </c>
      <c r="F1637">
        <v>111000</v>
      </c>
      <c r="H1637">
        <v>7</v>
      </c>
      <c r="I1637" t="s">
        <v>432</v>
      </c>
      <c r="J1637">
        <v>25.12</v>
      </c>
      <c r="K1637">
        <v>4</v>
      </c>
      <c r="L1637">
        <v>9</v>
      </c>
      <c r="M1637" t="s">
        <v>1842</v>
      </c>
      <c r="N1637">
        <v>8</v>
      </c>
      <c r="O1637">
        <v>10</v>
      </c>
      <c r="P1637">
        <v>123574.88</v>
      </c>
      <c r="Q1637">
        <v>77692.34</v>
      </c>
      <c r="R1637">
        <v>637</v>
      </c>
      <c r="S1637">
        <v>1071</v>
      </c>
      <c r="T1637" t="s">
        <v>34</v>
      </c>
      <c r="U1637" t="s">
        <v>31</v>
      </c>
    </row>
    <row r="1638" spans="1:21">
      <c r="A1638" t="s">
        <v>2637</v>
      </c>
      <c r="B1638" t="s">
        <v>2638</v>
      </c>
      <c r="C1638" t="s">
        <v>1291</v>
      </c>
      <c r="D1638">
        <v>47000</v>
      </c>
      <c r="H1638">
        <v>2</v>
      </c>
      <c r="I1638" t="s">
        <v>432</v>
      </c>
      <c r="J1638">
        <v>12</v>
      </c>
      <c r="K1638">
        <v>44</v>
      </c>
      <c r="L1638">
        <v>2</v>
      </c>
      <c r="M1638" t="s">
        <v>1842</v>
      </c>
      <c r="N1638">
        <v>8</v>
      </c>
      <c r="O1638">
        <v>10.67</v>
      </c>
      <c r="P1638">
        <v>123574.88</v>
      </c>
      <c r="Q1638">
        <v>77692.34</v>
      </c>
      <c r="R1638">
        <v>637</v>
      </c>
      <c r="S1638">
        <v>1071</v>
      </c>
      <c r="T1638" t="s">
        <v>108</v>
      </c>
      <c r="U1638" t="s">
        <v>42</v>
      </c>
    </row>
    <row r="1639" spans="1:21">
      <c r="A1639" t="s">
        <v>2639</v>
      </c>
      <c r="B1639" t="s">
        <v>2404</v>
      </c>
      <c r="C1639" t="s">
        <v>1857</v>
      </c>
      <c r="D1639">
        <v>92000</v>
      </c>
      <c r="E1639">
        <v>3000</v>
      </c>
      <c r="F1639">
        <v>92000</v>
      </c>
      <c r="G1639">
        <v>92000</v>
      </c>
      <c r="H1639">
        <v>2</v>
      </c>
      <c r="I1639" t="s">
        <v>432</v>
      </c>
      <c r="J1639">
        <v>25.8</v>
      </c>
      <c r="K1639">
        <v>12</v>
      </c>
      <c r="L1639">
        <v>3</v>
      </c>
      <c r="M1639" t="s">
        <v>1842</v>
      </c>
      <c r="N1639">
        <v>7</v>
      </c>
      <c r="O1639">
        <v>11.67</v>
      </c>
      <c r="P1639">
        <v>123574.88</v>
      </c>
      <c r="Q1639">
        <v>77692.34</v>
      </c>
      <c r="R1639">
        <v>637</v>
      </c>
      <c r="S1639">
        <v>1071</v>
      </c>
      <c r="T1639" t="s">
        <v>34</v>
      </c>
      <c r="U1639" t="s">
        <v>90</v>
      </c>
    </row>
    <row r="1640" spans="1:21">
      <c r="A1640" t="s">
        <v>2640</v>
      </c>
      <c r="B1640" t="s">
        <v>1856</v>
      </c>
      <c r="C1640" t="s">
        <v>1857</v>
      </c>
      <c r="D1640">
        <v>212500</v>
      </c>
      <c r="E1640">
        <v>15000</v>
      </c>
      <c r="H1640">
        <v>1</v>
      </c>
      <c r="I1640" t="s">
        <v>555</v>
      </c>
      <c r="J1640">
        <v>44.73</v>
      </c>
      <c r="K1640">
        <v>0</v>
      </c>
      <c r="L1640">
        <v>5</v>
      </c>
      <c r="M1640" t="s">
        <v>1842</v>
      </c>
      <c r="N1640">
        <v>10</v>
      </c>
      <c r="O1640">
        <v>12.67</v>
      </c>
      <c r="P1640">
        <v>123574.88</v>
      </c>
      <c r="Q1640">
        <v>207063.41</v>
      </c>
      <c r="R1640">
        <v>637</v>
      </c>
      <c r="S1640">
        <v>41</v>
      </c>
      <c r="T1640" t="s">
        <v>326</v>
      </c>
      <c r="U1640" t="s">
        <v>81</v>
      </c>
    </row>
    <row r="1641" spans="1:21">
      <c r="A1641" t="s">
        <v>2641</v>
      </c>
      <c r="B1641" t="s">
        <v>1878</v>
      </c>
      <c r="C1641" t="s">
        <v>1291</v>
      </c>
      <c r="D1641">
        <v>238000</v>
      </c>
      <c r="E1641">
        <v>15000</v>
      </c>
      <c r="F1641">
        <v>238000</v>
      </c>
      <c r="G1641">
        <v>238000</v>
      </c>
      <c r="H1641">
        <v>1</v>
      </c>
      <c r="I1641" t="s">
        <v>555</v>
      </c>
      <c r="J1641">
        <v>43.5</v>
      </c>
      <c r="K1641">
        <v>0</v>
      </c>
      <c r="L1641">
        <v>8</v>
      </c>
      <c r="M1641" t="s">
        <v>1842</v>
      </c>
      <c r="N1641">
        <v>9</v>
      </c>
      <c r="O1641">
        <v>10.33</v>
      </c>
      <c r="P1641">
        <v>123574.88</v>
      </c>
      <c r="Q1641">
        <v>207063.41</v>
      </c>
      <c r="R1641">
        <v>637</v>
      </c>
      <c r="S1641">
        <v>41</v>
      </c>
      <c r="T1641" t="s">
        <v>326</v>
      </c>
      <c r="U1641" t="s">
        <v>81</v>
      </c>
    </row>
    <row r="1642" spans="1:21">
      <c r="A1642" t="s">
        <v>2642</v>
      </c>
      <c r="B1642" t="s">
        <v>1878</v>
      </c>
      <c r="C1642" t="s">
        <v>1291</v>
      </c>
      <c r="D1642">
        <v>290000</v>
      </c>
      <c r="E1642">
        <v>20000</v>
      </c>
      <c r="F1642">
        <v>290000</v>
      </c>
      <c r="G1642">
        <v>290000</v>
      </c>
      <c r="H1642">
        <v>1</v>
      </c>
      <c r="I1642" t="s">
        <v>555</v>
      </c>
      <c r="J1642">
        <v>50.8</v>
      </c>
      <c r="K1642">
        <v>0</v>
      </c>
      <c r="L1642">
        <v>8</v>
      </c>
      <c r="M1642" t="s">
        <v>1842</v>
      </c>
      <c r="N1642">
        <v>9</v>
      </c>
      <c r="O1642">
        <v>10.33</v>
      </c>
      <c r="P1642">
        <v>123574.88</v>
      </c>
      <c r="Q1642">
        <v>207063.41</v>
      </c>
      <c r="R1642">
        <v>637</v>
      </c>
      <c r="S1642">
        <v>41</v>
      </c>
      <c r="T1642" t="s">
        <v>332</v>
      </c>
      <c r="U1642" t="s">
        <v>81</v>
      </c>
    </row>
    <row r="1643" spans="1:21">
      <c r="A1643" t="s">
        <v>2643</v>
      </c>
      <c r="B1643" t="s">
        <v>1878</v>
      </c>
      <c r="C1643" t="s">
        <v>1291</v>
      </c>
      <c r="D1643">
        <v>235000</v>
      </c>
      <c r="E1643">
        <v>15000</v>
      </c>
      <c r="F1643">
        <v>235000</v>
      </c>
      <c r="H1643">
        <v>2</v>
      </c>
      <c r="I1643" t="s">
        <v>555</v>
      </c>
      <c r="J1643">
        <v>43.28</v>
      </c>
      <c r="K1643">
        <v>0</v>
      </c>
      <c r="L1643">
        <v>8</v>
      </c>
      <c r="M1643" t="s">
        <v>1842</v>
      </c>
      <c r="N1643">
        <v>9</v>
      </c>
      <c r="O1643">
        <v>10.33</v>
      </c>
      <c r="P1643">
        <v>123574.88</v>
      </c>
      <c r="Q1643">
        <v>207063.41</v>
      </c>
      <c r="R1643">
        <v>637</v>
      </c>
      <c r="S1643">
        <v>41</v>
      </c>
      <c r="T1643" t="s">
        <v>326</v>
      </c>
      <c r="U1643" t="s">
        <v>81</v>
      </c>
    </row>
    <row r="1644" spans="1:21">
      <c r="A1644" t="s">
        <v>2644</v>
      </c>
      <c r="B1644" t="s">
        <v>1878</v>
      </c>
      <c r="C1644" t="s">
        <v>1291</v>
      </c>
      <c r="D1644">
        <v>236000</v>
      </c>
      <c r="E1644">
        <v>15000</v>
      </c>
      <c r="F1644">
        <v>236000</v>
      </c>
      <c r="H1644">
        <v>2</v>
      </c>
      <c r="I1644" t="s">
        <v>555</v>
      </c>
      <c r="J1644">
        <v>43.5</v>
      </c>
      <c r="K1644">
        <v>0</v>
      </c>
      <c r="L1644">
        <v>8</v>
      </c>
      <c r="M1644" t="s">
        <v>1842</v>
      </c>
      <c r="N1644">
        <v>9</v>
      </c>
      <c r="O1644">
        <v>10.33</v>
      </c>
      <c r="P1644">
        <v>123574.88</v>
      </c>
      <c r="Q1644">
        <v>207063.41</v>
      </c>
      <c r="R1644">
        <v>637</v>
      </c>
      <c r="S1644">
        <v>41</v>
      </c>
      <c r="T1644" t="s">
        <v>326</v>
      </c>
      <c r="U1644" t="s">
        <v>81</v>
      </c>
    </row>
    <row r="1645" spans="1:21">
      <c r="A1645" t="s">
        <v>2645</v>
      </c>
      <c r="B1645" t="s">
        <v>1878</v>
      </c>
      <c r="C1645" t="s">
        <v>1291</v>
      </c>
      <c r="D1645">
        <v>237000</v>
      </c>
      <c r="E1645">
        <v>15000</v>
      </c>
      <c r="F1645">
        <v>237000</v>
      </c>
      <c r="H1645">
        <v>3</v>
      </c>
      <c r="I1645" t="s">
        <v>555</v>
      </c>
      <c r="J1645">
        <v>43.5</v>
      </c>
      <c r="K1645">
        <v>0</v>
      </c>
      <c r="L1645">
        <v>8</v>
      </c>
      <c r="M1645" t="s">
        <v>1842</v>
      </c>
      <c r="N1645">
        <v>9</v>
      </c>
      <c r="O1645">
        <v>10.33</v>
      </c>
      <c r="P1645">
        <v>123574.88</v>
      </c>
      <c r="Q1645">
        <v>207063.41</v>
      </c>
      <c r="R1645">
        <v>637</v>
      </c>
      <c r="S1645">
        <v>41</v>
      </c>
      <c r="T1645" t="s">
        <v>326</v>
      </c>
      <c r="U1645" t="s">
        <v>81</v>
      </c>
    </row>
    <row r="1646" spans="1:21">
      <c r="A1646" t="s">
        <v>2646</v>
      </c>
      <c r="B1646" t="s">
        <v>2389</v>
      </c>
      <c r="C1646" t="s">
        <v>1857</v>
      </c>
      <c r="D1646">
        <v>170000</v>
      </c>
      <c r="E1646">
        <v>7000</v>
      </c>
      <c r="F1646">
        <v>170000</v>
      </c>
      <c r="G1646">
        <v>170000</v>
      </c>
      <c r="H1646">
        <v>3</v>
      </c>
      <c r="I1646" t="s">
        <v>555</v>
      </c>
      <c r="J1646">
        <v>58.75</v>
      </c>
      <c r="K1646">
        <v>29</v>
      </c>
      <c r="L1646">
        <v>3</v>
      </c>
      <c r="M1646" t="s">
        <v>1842</v>
      </c>
      <c r="N1646">
        <v>7</v>
      </c>
      <c r="O1646">
        <v>11.33</v>
      </c>
      <c r="P1646">
        <v>123574.88</v>
      </c>
      <c r="Q1646">
        <v>207063.41</v>
      </c>
      <c r="R1646">
        <v>637</v>
      </c>
      <c r="S1646">
        <v>41</v>
      </c>
      <c r="T1646" t="s">
        <v>332</v>
      </c>
      <c r="U1646" t="s">
        <v>27</v>
      </c>
    </row>
    <row r="1647" spans="1:21">
      <c r="A1647" t="s">
        <v>2647</v>
      </c>
      <c r="B1647" t="s">
        <v>1932</v>
      </c>
      <c r="C1647" t="s">
        <v>1857</v>
      </c>
      <c r="D1647">
        <v>212500</v>
      </c>
      <c r="E1647">
        <v>15000</v>
      </c>
      <c r="H1647">
        <v>1</v>
      </c>
      <c r="I1647" t="s">
        <v>555</v>
      </c>
      <c r="J1647">
        <v>44.73</v>
      </c>
      <c r="K1647">
        <v>1</v>
      </c>
      <c r="L1647">
        <v>5</v>
      </c>
      <c r="M1647" t="s">
        <v>1842</v>
      </c>
      <c r="N1647">
        <v>10</v>
      </c>
      <c r="O1647">
        <v>12.33</v>
      </c>
      <c r="P1647">
        <v>123574.88</v>
      </c>
      <c r="Q1647">
        <v>207063.41</v>
      </c>
      <c r="R1647">
        <v>637</v>
      </c>
      <c r="S1647">
        <v>41</v>
      </c>
      <c r="T1647" t="s">
        <v>326</v>
      </c>
      <c r="U1647" t="s">
        <v>31</v>
      </c>
    </row>
    <row r="1648" spans="1:21">
      <c r="A1648" t="s">
        <v>2648</v>
      </c>
      <c r="B1648" t="s">
        <v>1939</v>
      </c>
      <c r="C1648" t="s">
        <v>1291</v>
      </c>
      <c r="D1648">
        <v>238000</v>
      </c>
      <c r="E1648">
        <v>15000</v>
      </c>
      <c r="F1648">
        <v>238000</v>
      </c>
      <c r="H1648">
        <v>1</v>
      </c>
      <c r="I1648" t="s">
        <v>555</v>
      </c>
      <c r="J1648">
        <v>43.5</v>
      </c>
      <c r="K1648">
        <v>0</v>
      </c>
      <c r="L1648">
        <v>8</v>
      </c>
      <c r="M1648" t="s">
        <v>1842</v>
      </c>
      <c r="N1648">
        <v>9</v>
      </c>
      <c r="O1648">
        <v>9.67</v>
      </c>
      <c r="P1648">
        <v>123574.88</v>
      </c>
      <c r="Q1648">
        <v>207063.41</v>
      </c>
      <c r="R1648">
        <v>637</v>
      </c>
      <c r="S1648">
        <v>41</v>
      </c>
      <c r="T1648" t="s">
        <v>326</v>
      </c>
      <c r="U1648" t="s">
        <v>81</v>
      </c>
    </row>
    <row r="1649" spans="1:21">
      <c r="A1649" t="s">
        <v>2649</v>
      </c>
      <c r="B1649" t="s">
        <v>1939</v>
      </c>
      <c r="C1649" t="s">
        <v>1291</v>
      </c>
      <c r="D1649">
        <v>290000</v>
      </c>
      <c r="E1649">
        <v>20000</v>
      </c>
      <c r="F1649">
        <v>290000</v>
      </c>
      <c r="H1649">
        <v>1</v>
      </c>
      <c r="I1649" t="s">
        <v>555</v>
      </c>
      <c r="J1649">
        <v>50.8</v>
      </c>
      <c r="K1649">
        <v>0</v>
      </c>
      <c r="L1649">
        <v>8</v>
      </c>
      <c r="M1649" t="s">
        <v>1842</v>
      </c>
      <c r="N1649">
        <v>9</v>
      </c>
      <c r="O1649">
        <v>9.67</v>
      </c>
      <c r="P1649">
        <v>123574.88</v>
      </c>
      <c r="Q1649">
        <v>207063.41</v>
      </c>
      <c r="R1649">
        <v>637</v>
      </c>
      <c r="S1649">
        <v>41</v>
      </c>
      <c r="T1649" t="s">
        <v>332</v>
      </c>
      <c r="U1649" t="s">
        <v>81</v>
      </c>
    </row>
    <row r="1650" spans="1:21">
      <c r="A1650" t="s">
        <v>2650</v>
      </c>
      <c r="B1650" t="s">
        <v>1939</v>
      </c>
      <c r="C1650" t="s">
        <v>1291</v>
      </c>
      <c r="D1650">
        <v>235000</v>
      </c>
      <c r="E1650">
        <v>15000</v>
      </c>
      <c r="F1650">
        <v>235000</v>
      </c>
      <c r="H1650">
        <v>2</v>
      </c>
      <c r="I1650" t="s">
        <v>555</v>
      </c>
      <c r="J1650">
        <v>43.28</v>
      </c>
      <c r="K1650">
        <v>0</v>
      </c>
      <c r="L1650">
        <v>8</v>
      </c>
      <c r="M1650" t="s">
        <v>1842</v>
      </c>
      <c r="N1650">
        <v>9</v>
      </c>
      <c r="O1650">
        <v>9.67</v>
      </c>
      <c r="P1650">
        <v>123574.88</v>
      </c>
      <c r="Q1650">
        <v>207063.41</v>
      </c>
      <c r="R1650">
        <v>637</v>
      </c>
      <c r="S1650">
        <v>41</v>
      </c>
      <c r="T1650" t="s">
        <v>326</v>
      </c>
      <c r="U1650" t="s">
        <v>81</v>
      </c>
    </row>
    <row r="1651" spans="1:21">
      <c r="A1651" t="s">
        <v>2651</v>
      </c>
      <c r="B1651" t="s">
        <v>1939</v>
      </c>
      <c r="C1651" t="s">
        <v>1291</v>
      </c>
      <c r="D1651">
        <v>236000</v>
      </c>
      <c r="E1651">
        <v>15000</v>
      </c>
      <c r="F1651">
        <v>236000</v>
      </c>
      <c r="H1651">
        <v>2</v>
      </c>
      <c r="I1651" t="s">
        <v>555</v>
      </c>
      <c r="J1651">
        <v>43.5</v>
      </c>
      <c r="K1651">
        <v>0</v>
      </c>
      <c r="L1651">
        <v>8</v>
      </c>
      <c r="M1651" t="s">
        <v>1842</v>
      </c>
      <c r="N1651">
        <v>9</v>
      </c>
      <c r="O1651">
        <v>9.67</v>
      </c>
      <c r="P1651">
        <v>123574.88</v>
      </c>
      <c r="Q1651">
        <v>207063.41</v>
      </c>
      <c r="R1651">
        <v>637</v>
      </c>
      <c r="S1651">
        <v>41</v>
      </c>
      <c r="T1651" t="s">
        <v>326</v>
      </c>
      <c r="U1651" t="s">
        <v>81</v>
      </c>
    </row>
    <row r="1652" spans="1:21">
      <c r="A1652" t="s">
        <v>2652</v>
      </c>
      <c r="B1652" t="s">
        <v>1939</v>
      </c>
      <c r="C1652" t="s">
        <v>1291</v>
      </c>
      <c r="D1652">
        <v>237000</v>
      </c>
      <c r="E1652">
        <v>15000</v>
      </c>
      <c r="F1652">
        <v>237000</v>
      </c>
      <c r="H1652">
        <v>3</v>
      </c>
      <c r="I1652" t="s">
        <v>555</v>
      </c>
      <c r="J1652">
        <v>43.5</v>
      </c>
      <c r="K1652">
        <v>0</v>
      </c>
      <c r="L1652">
        <v>8</v>
      </c>
      <c r="M1652" t="s">
        <v>1842</v>
      </c>
      <c r="N1652">
        <v>9</v>
      </c>
      <c r="O1652">
        <v>9.67</v>
      </c>
      <c r="P1652">
        <v>123574.88</v>
      </c>
      <c r="Q1652">
        <v>207063.41</v>
      </c>
      <c r="R1652">
        <v>637</v>
      </c>
      <c r="S1652">
        <v>41</v>
      </c>
      <c r="T1652" t="s">
        <v>326</v>
      </c>
      <c r="U1652" t="s">
        <v>81</v>
      </c>
    </row>
    <row r="1653" spans="1:21">
      <c r="A1653" t="s">
        <v>2653</v>
      </c>
      <c r="B1653" t="s">
        <v>2654</v>
      </c>
      <c r="C1653" t="s">
        <v>1887</v>
      </c>
      <c r="D1653">
        <v>143000</v>
      </c>
      <c r="E1653">
        <v>6000</v>
      </c>
      <c r="F1653">
        <v>143000</v>
      </c>
      <c r="G1653">
        <v>143000</v>
      </c>
      <c r="H1653">
        <v>2</v>
      </c>
      <c r="I1653" t="s">
        <v>559</v>
      </c>
      <c r="J1653">
        <v>46.22</v>
      </c>
      <c r="K1653">
        <v>4</v>
      </c>
      <c r="L1653">
        <v>3</v>
      </c>
      <c r="M1653" t="s">
        <v>1842</v>
      </c>
      <c r="N1653">
        <v>4</v>
      </c>
      <c r="O1653">
        <v>13.67</v>
      </c>
      <c r="P1653">
        <v>123574.88</v>
      </c>
      <c r="Q1653">
        <v>141491.45000000001</v>
      </c>
      <c r="R1653">
        <v>637</v>
      </c>
      <c r="S1653">
        <v>117</v>
      </c>
      <c r="T1653" t="s">
        <v>326</v>
      </c>
      <c r="U1653" t="s">
        <v>31</v>
      </c>
    </row>
    <row r="1654" spans="1:21">
      <c r="A1654" t="s">
        <v>2655</v>
      </c>
      <c r="B1654" t="s">
        <v>1856</v>
      </c>
      <c r="C1654" t="s">
        <v>1857</v>
      </c>
      <c r="D1654">
        <v>203000</v>
      </c>
      <c r="E1654">
        <v>15000</v>
      </c>
      <c r="H1654">
        <v>3</v>
      </c>
      <c r="I1654" t="s">
        <v>559</v>
      </c>
      <c r="J1654">
        <v>42.75</v>
      </c>
      <c r="K1654">
        <v>0</v>
      </c>
      <c r="L1654">
        <v>5</v>
      </c>
      <c r="M1654" t="s">
        <v>1842</v>
      </c>
      <c r="N1654">
        <v>10</v>
      </c>
      <c r="O1654">
        <v>12.67</v>
      </c>
      <c r="P1654">
        <v>123574.88</v>
      </c>
      <c r="Q1654">
        <v>141491.45000000001</v>
      </c>
      <c r="R1654">
        <v>637</v>
      </c>
      <c r="S1654">
        <v>117</v>
      </c>
      <c r="T1654" t="s">
        <v>326</v>
      </c>
      <c r="U1654" t="s">
        <v>81</v>
      </c>
    </row>
    <row r="1655" spans="1:21">
      <c r="A1655" t="s">
        <v>2656</v>
      </c>
      <c r="B1655" t="s">
        <v>1856</v>
      </c>
      <c r="C1655" t="s">
        <v>1857</v>
      </c>
      <c r="D1655">
        <v>213500</v>
      </c>
      <c r="E1655">
        <v>15000</v>
      </c>
      <c r="H1655">
        <v>3</v>
      </c>
      <c r="I1655" t="s">
        <v>559</v>
      </c>
      <c r="J1655">
        <v>44.73</v>
      </c>
      <c r="K1655">
        <v>0</v>
      </c>
      <c r="L1655">
        <v>5</v>
      </c>
      <c r="M1655" t="s">
        <v>1842</v>
      </c>
      <c r="N1655">
        <v>10</v>
      </c>
      <c r="O1655">
        <v>12.67</v>
      </c>
      <c r="P1655">
        <v>123574.88</v>
      </c>
      <c r="Q1655">
        <v>141491.45000000001</v>
      </c>
      <c r="R1655">
        <v>637</v>
      </c>
      <c r="S1655">
        <v>117</v>
      </c>
      <c r="T1655" t="s">
        <v>326</v>
      </c>
      <c r="U1655" t="s">
        <v>81</v>
      </c>
    </row>
    <row r="1656" spans="1:21">
      <c r="A1656" t="s">
        <v>2657</v>
      </c>
      <c r="B1656" t="s">
        <v>1856</v>
      </c>
      <c r="C1656" t="s">
        <v>1857</v>
      </c>
      <c r="D1656">
        <v>203500</v>
      </c>
      <c r="E1656">
        <v>15000</v>
      </c>
      <c r="H1656">
        <v>4</v>
      </c>
      <c r="I1656" t="s">
        <v>559</v>
      </c>
      <c r="J1656">
        <v>42.75</v>
      </c>
      <c r="K1656">
        <v>0</v>
      </c>
      <c r="L1656">
        <v>5</v>
      </c>
      <c r="M1656" t="s">
        <v>1842</v>
      </c>
      <c r="N1656">
        <v>10</v>
      </c>
      <c r="O1656">
        <v>12.67</v>
      </c>
      <c r="P1656">
        <v>123574.88</v>
      </c>
      <c r="Q1656">
        <v>141491.45000000001</v>
      </c>
      <c r="R1656">
        <v>637</v>
      </c>
      <c r="S1656">
        <v>117</v>
      </c>
      <c r="T1656" t="s">
        <v>326</v>
      </c>
      <c r="U1656" t="s">
        <v>81</v>
      </c>
    </row>
    <row r="1657" spans="1:21">
      <c r="A1657" t="s">
        <v>2658</v>
      </c>
      <c r="B1657" t="s">
        <v>2659</v>
      </c>
      <c r="C1657" t="s">
        <v>1850</v>
      </c>
      <c r="D1657">
        <v>116000</v>
      </c>
      <c r="E1657">
        <v>4000</v>
      </c>
      <c r="F1657">
        <v>116000</v>
      </c>
      <c r="G1657">
        <v>116000</v>
      </c>
      <c r="H1657">
        <v>2</v>
      </c>
      <c r="I1657" t="s">
        <v>559</v>
      </c>
      <c r="J1657">
        <v>37.51</v>
      </c>
      <c r="K1657">
        <v>26</v>
      </c>
      <c r="L1657">
        <v>3</v>
      </c>
      <c r="M1657" t="s">
        <v>1842</v>
      </c>
      <c r="N1657">
        <v>7</v>
      </c>
      <c r="O1657">
        <v>10.33</v>
      </c>
      <c r="P1657">
        <v>123574.88</v>
      </c>
      <c r="Q1657">
        <v>141491.45000000001</v>
      </c>
      <c r="R1657">
        <v>637</v>
      </c>
      <c r="S1657">
        <v>117</v>
      </c>
      <c r="T1657" t="s">
        <v>26</v>
      </c>
      <c r="U1657" t="s">
        <v>27</v>
      </c>
    </row>
    <row r="1658" spans="1:21">
      <c r="A1658" t="s">
        <v>2660</v>
      </c>
      <c r="B1658" t="s">
        <v>2661</v>
      </c>
      <c r="C1658" t="s">
        <v>2033</v>
      </c>
      <c r="D1658">
        <v>140000</v>
      </c>
      <c r="F1658">
        <v>140000</v>
      </c>
      <c r="G1658">
        <v>140000</v>
      </c>
      <c r="H1658">
        <v>2</v>
      </c>
      <c r="I1658" t="s">
        <v>559</v>
      </c>
      <c r="J1658">
        <v>47.73</v>
      </c>
      <c r="K1658">
        <v>36</v>
      </c>
      <c r="L1658">
        <v>3</v>
      </c>
      <c r="M1658" t="s">
        <v>1842</v>
      </c>
      <c r="N1658">
        <v>10</v>
      </c>
      <c r="O1658">
        <v>12.33</v>
      </c>
      <c r="P1658">
        <v>123574.88</v>
      </c>
      <c r="Q1658">
        <v>141491.45000000001</v>
      </c>
      <c r="R1658">
        <v>637</v>
      </c>
      <c r="S1658">
        <v>117</v>
      </c>
      <c r="T1658" t="s">
        <v>326</v>
      </c>
      <c r="U1658" t="s">
        <v>49</v>
      </c>
    </row>
    <row r="1659" spans="1:21">
      <c r="A1659" t="s">
        <v>2662</v>
      </c>
      <c r="B1659" t="s">
        <v>2663</v>
      </c>
      <c r="C1659" t="s">
        <v>1890</v>
      </c>
      <c r="D1659">
        <v>142500</v>
      </c>
      <c r="E1659">
        <v>7500</v>
      </c>
      <c r="F1659">
        <v>142500</v>
      </c>
      <c r="G1659">
        <v>142500</v>
      </c>
      <c r="H1659">
        <v>2</v>
      </c>
      <c r="I1659" t="s">
        <v>559</v>
      </c>
      <c r="J1659">
        <v>45.05</v>
      </c>
      <c r="K1659">
        <v>31</v>
      </c>
      <c r="L1659">
        <v>3</v>
      </c>
      <c r="M1659" t="s">
        <v>1842</v>
      </c>
      <c r="N1659">
        <v>8</v>
      </c>
      <c r="O1659">
        <v>12.67</v>
      </c>
      <c r="P1659">
        <v>123574.88</v>
      </c>
      <c r="Q1659">
        <v>141491.45000000001</v>
      </c>
      <c r="R1659">
        <v>637</v>
      </c>
      <c r="S1659">
        <v>117</v>
      </c>
      <c r="T1659" t="s">
        <v>326</v>
      </c>
      <c r="U1659" t="s">
        <v>49</v>
      </c>
    </row>
    <row r="1660" spans="1:21">
      <c r="A1660" t="s">
        <v>2664</v>
      </c>
      <c r="B1660" t="s">
        <v>2663</v>
      </c>
      <c r="C1660" t="s">
        <v>1890</v>
      </c>
      <c r="D1660">
        <v>144000</v>
      </c>
      <c r="E1660">
        <v>7500</v>
      </c>
      <c r="F1660">
        <v>144000</v>
      </c>
      <c r="G1660">
        <v>144000</v>
      </c>
      <c r="H1660">
        <v>2</v>
      </c>
      <c r="I1660" t="s">
        <v>559</v>
      </c>
      <c r="J1660">
        <v>45.05</v>
      </c>
      <c r="K1660">
        <v>31</v>
      </c>
      <c r="L1660">
        <v>3</v>
      </c>
      <c r="M1660" t="s">
        <v>1842</v>
      </c>
      <c r="N1660">
        <v>8</v>
      </c>
      <c r="O1660">
        <v>12.67</v>
      </c>
      <c r="P1660">
        <v>123574.88</v>
      </c>
      <c r="Q1660">
        <v>141491.45000000001</v>
      </c>
      <c r="R1660">
        <v>637</v>
      </c>
      <c r="S1660">
        <v>117</v>
      </c>
      <c r="T1660" t="s">
        <v>326</v>
      </c>
      <c r="U1660" t="s">
        <v>49</v>
      </c>
    </row>
    <row r="1661" spans="1:21">
      <c r="A1661" t="s">
        <v>2665</v>
      </c>
      <c r="B1661" t="s">
        <v>2666</v>
      </c>
      <c r="C1661" t="s">
        <v>1870</v>
      </c>
      <c r="D1661">
        <v>128000</v>
      </c>
      <c r="E1661">
        <v>7000</v>
      </c>
      <c r="F1661">
        <v>128000</v>
      </c>
      <c r="G1661">
        <v>128000</v>
      </c>
      <c r="H1661">
        <v>4</v>
      </c>
      <c r="I1661" t="s">
        <v>559</v>
      </c>
      <c r="J1661">
        <v>34.479999999999997</v>
      </c>
      <c r="K1661">
        <v>25</v>
      </c>
      <c r="L1661">
        <v>4</v>
      </c>
      <c r="M1661" t="s">
        <v>1842</v>
      </c>
      <c r="N1661">
        <v>4</v>
      </c>
      <c r="O1661">
        <v>10.33</v>
      </c>
      <c r="P1661">
        <v>123574.88</v>
      </c>
      <c r="Q1661">
        <v>141491.45000000001</v>
      </c>
      <c r="R1661">
        <v>637</v>
      </c>
      <c r="S1661">
        <v>117</v>
      </c>
      <c r="T1661" t="s">
        <v>26</v>
      </c>
      <c r="U1661" t="s">
        <v>27</v>
      </c>
    </row>
    <row r="1662" spans="1:21">
      <c r="A1662" t="s">
        <v>2667</v>
      </c>
      <c r="B1662" t="s">
        <v>2668</v>
      </c>
      <c r="C1662" t="s">
        <v>1743</v>
      </c>
      <c r="D1662">
        <v>120000</v>
      </c>
      <c r="F1662">
        <v>120000</v>
      </c>
      <c r="G1662">
        <v>120000</v>
      </c>
      <c r="H1662">
        <v>3</v>
      </c>
      <c r="I1662" t="s">
        <v>559</v>
      </c>
      <c r="J1662">
        <v>41.07</v>
      </c>
      <c r="K1662">
        <v>53</v>
      </c>
      <c r="L1662">
        <v>7</v>
      </c>
      <c r="M1662" t="s">
        <v>1842</v>
      </c>
      <c r="N1662">
        <v>11</v>
      </c>
      <c r="O1662">
        <v>12.33</v>
      </c>
      <c r="P1662">
        <v>123574.88</v>
      </c>
      <c r="Q1662">
        <v>141491.45000000001</v>
      </c>
      <c r="R1662">
        <v>637</v>
      </c>
      <c r="S1662">
        <v>117</v>
      </c>
      <c r="T1662" t="s">
        <v>326</v>
      </c>
      <c r="U1662" t="s">
        <v>57</v>
      </c>
    </row>
    <row r="1663" spans="1:21">
      <c r="A1663" t="s">
        <v>2669</v>
      </c>
      <c r="B1663" t="s">
        <v>2670</v>
      </c>
      <c r="C1663" t="s">
        <v>1857</v>
      </c>
      <c r="D1663">
        <v>125000</v>
      </c>
      <c r="E1663">
        <v>3000</v>
      </c>
      <c r="F1663">
        <v>125000</v>
      </c>
      <c r="H1663">
        <v>2</v>
      </c>
      <c r="I1663" t="s">
        <v>559</v>
      </c>
      <c r="J1663">
        <v>41.58</v>
      </c>
      <c r="K1663">
        <v>35</v>
      </c>
      <c r="L1663">
        <v>3</v>
      </c>
      <c r="M1663" t="s">
        <v>1842</v>
      </c>
      <c r="N1663">
        <v>9</v>
      </c>
      <c r="O1663">
        <v>12.67</v>
      </c>
      <c r="P1663">
        <v>123574.88</v>
      </c>
      <c r="Q1663">
        <v>141491.45000000001</v>
      </c>
      <c r="R1663">
        <v>637</v>
      </c>
      <c r="S1663">
        <v>117</v>
      </c>
      <c r="T1663" t="s">
        <v>326</v>
      </c>
      <c r="U1663" t="s">
        <v>49</v>
      </c>
    </row>
    <row r="1664" spans="1:21">
      <c r="A1664" t="s">
        <v>2671</v>
      </c>
      <c r="B1664" t="s">
        <v>2672</v>
      </c>
      <c r="C1664" t="s">
        <v>1887</v>
      </c>
      <c r="D1664">
        <v>105000</v>
      </c>
      <c r="E1664">
        <v>5000</v>
      </c>
      <c r="F1664">
        <v>105000</v>
      </c>
      <c r="G1664">
        <v>105000</v>
      </c>
      <c r="H1664">
        <v>2</v>
      </c>
      <c r="I1664" t="s">
        <v>559</v>
      </c>
      <c r="J1664">
        <v>35</v>
      </c>
      <c r="K1664">
        <v>53</v>
      </c>
      <c r="L1664">
        <v>4</v>
      </c>
      <c r="M1664" t="s">
        <v>1842</v>
      </c>
      <c r="N1664">
        <v>1</v>
      </c>
      <c r="O1664">
        <v>11.33</v>
      </c>
      <c r="P1664">
        <v>123574.88</v>
      </c>
      <c r="Q1664">
        <v>141491.45000000001</v>
      </c>
      <c r="R1664">
        <v>637</v>
      </c>
      <c r="S1664">
        <v>117</v>
      </c>
      <c r="T1664" t="s">
        <v>26</v>
      </c>
      <c r="U1664" t="s">
        <v>57</v>
      </c>
    </row>
    <row r="1665" spans="1:21">
      <c r="A1665" t="s">
        <v>2673</v>
      </c>
      <c r="B1665" t="s">
        <v>2672</v>
      </c>
      <c r="C1665" t="s">
        <v>1887</v>
      </c>
      <c r="D1665">
        <v>105000</v>
      </c>
      <c r="E1665">
        <v>5000</v>
      </c>
      <c r="F1665">
        <v>105000</v>
      </c>
      <c r="G1665">
        <v>105000</v>
      </c>
      <c r="H1665">
        <v>3</v>
      </c>
      <c r="I1665" t="s">
        <v>559</v>
      </c>
      <c r="J1665">
        <v>35</v>
      </c>
      <c r="K1665">
        <v>53</v>
      </c>
      <c r="L1665">
        <v>4</v>
      </c>
      <c r="M1665" t="s">
        <v>1842</v>
      </c>
      <c r="N1665">
        <v>1</v>
      </c>
      <c r="O1665">
        <v>11.33</v>
      </c>
      <c r="P1665">
        <v>123574.88</v>
      </c>
      <c r="Q1665">
        <v>141491.45000000001</v>
      </c>
      <c r="R1665">
        <v>637</v>
      </c>
      <c r="S1665">
        <v>117</v>
      </c>
      <c r="T1665" t="s">
        <v>26</v>
      </c>
      <c r="U1665" t="s">
        <v>57</v>
      </c>
    </row>
    <row r="1666" spans="1:21">
      <c r="A1666" t="s">
        <v>2674</v>
      </c>
      <c r="B1666" t="s">
        <v>2675</v>
      </c>
      <c r="C1666" t="s">
        <v>1887</v>
      </c>
      <c r="D1666">
        <v>130000</v>
      </c>
      <c r="F1666">
        <v>130000</v>
      </c>
      <c r="G1666">
        <v>130000</v>
      </c>
      <c r="H1666">
        <v>1</v>
      </c>
      <c r="I1666" t="s">
        <v>559</v>
      </c>
      <c r="J1666">
        <v>47.33</v>
      </c>
      <c r="K1666">
        <v>19</v>
      </c>
      <c r="L1666">
        <v>3</v>
      </c>
      <c r="M1666" t="s">
        <v>1842</v>
      </c>
      <c r="N1666">
        <v>2</v>
      </c>
      <c r="O1666">
        <v>2</v>
      </c>
      <c r="P1666">
        <v>123574.88</v>
      </c>
      <c r="Q1666">
        <v>141491.45000000001</v>
      </c>
      <c r="R1666">
        <v>637</v>
      </c>
      <c r="S1666">
        <v>117</v>
      </c>
      <c r="T1666" t="s">
        <v>326</v>
      </c>
      <c r="U1666" t="s">
        <v>90</v>
      </c>
    </row>
    <row r="1667" spans="1:21">
      <c r="A1667" t="s">
        <v>2676</v>
      </c>
      <c r="B1667" t="s">
        <v>2677</v>
      </c>
      <c r="C1667" t="s">
        <v>1743</v>
      </c>
      <c r="D1667">
        <v>95000</v>
      </c>
      <c r="E1667">
        <v>2000</v>
      </c>
      <c r="F1667">
        <v>95000</v>
      </c>
      <c r="G1667">
        <v>95000</v>
      </c>
      <c r="H1667">
        <v>1</v>
      </c>
      <c r="I1667" t="s">
        <v>559</v>
      </c>
      <c r="J1667">
        <v>43.5</v>
      </c>
      <c r="K1667">
        <v>33</v>
      </c>
      <c r="L1667">
        <v>2</v>
      </c>
      <c r="M1667" t="s">
        <v>1842</v>
      </c>
      <c r="N1667">
        <v>10</v>
      </c>
      <c r="O1667">
        <v>16</v>
      </c>
      <c r="P1667">
        <v>123574.88</v>
      </c>
      <c r="Q1667">
        <v>141491.45000000001</v>
      </c>
      <c r="R1667">
        <v>637</v>
      </c>
      <c r="S1667">
        <v>117</v>
      </c>
      <c r="T1667" t="s">
        <v>326</v>
      </c>
      <c r="U1667" t="s">
        <v>49</v>
      </c>
    </row>
    <row r="1668" spans="1:21">
      <c r="A1668" t="s">
        <v>2678</v>
      </c>
      <c r="B1668" t="s">
        <v>2677</v>
      </c>
      <c r="C1668" t="s">
        <v>1743</v>
      </c>
      <c r="D1668">
        <v>95000</v>
      </c>
      <c r="E1668">
        <v>2000</v>
      </c>
      <c r="F1668">
        <v>95000</v>
      </c>
      <c r="G1668">
        <v>95000</v>
      </c>
      <c r="H1668">
        <v>2</v>
      </c>
      <c r="I1668" t="s">
        <v>559</v>
      </c>
      <c r="J1668">
        <v>40</v>
      </c>
      <c r="K1668">
        <v>33</v>
      </c>
      <c r="L1668">
        <v>2</v>
      </c>
      <c r="M1668" t="s">
        <v>1842</v>
      </c>
      <c r="N1668">
        <v>10</v>
      </c>
      <c r="O1668">
        <v>16</v>
      </c>
      <c r="P1668">
        <v>123574.88</v>
      </c>
      <c r="Q1668">
        <v>141491.45000000001</v>
      </c>
      <c r="R1668">
        <v>637</v>
      </c>
      <c r="S1668">
        <v>117</v>
      </c>
      <c r="T1668" t="s">
        <v>326</v>
      </c>
      <c r="U1668" t="s">
        <v>49</v>
      </c>
    </row>
    <row r="1669" spans="1:21">
      <c r="A1669" t="s">
        <v>2679</v>
      </c>
      <c r="B1669" t="s">
        <v>2677</v>
      </c>
      <c r="C1669" t="s">
        <v>1743</v>
      </c>
      <c r="D1669">
        <v>95000</v>
      </c>
      <c r="E1669">
        <v>2000</v>
      </c>
      <c r="F1669">
        <v>95000</v>
      </c>
      <c r="G1669">
        <v>95000</v>
      </c>
      <c r="H1669">
        <v>2</v>
      </c>
      <c r="I1669" t="s">
        <v>559</v>
      </c>
      <c r="J1669">
        <v>43.5</v>
      </c>
      <c r="K1669">
        <v>33</v>
      </c>
      <c r="L1669">
        <v>2</v>
      </c>
      <c r="M1669" t="s">
        <v>1842</v>
      </c>
      <c r="N1669">
        <v>10</v>
      </c>
      <c r="O1669">
        <v>16</v>
      </c>
      <c r="P1669">
        <v>123574.88</v>
      </c>
      <c r="Q1669">
        <v>141491.45000000001</v>
      </c>
      <c r="R1669">
        <v>637</v>
      </c>
      <c r="S1669">
        <v>117</v>
      </c>
      <c r="T1669" t="s">
        <v>326</v>
      </c>
      <c r="U1669" t="s">
        <v>49</v>
      </c>
    </row>
    <row r="1670" spans="1:21">
      <c r="A1670" t="s">
        <v>2680</v>
      </c>
      <c r="B1670" t="s">
        <v>2681</v>
      </c>
      <c r="C1670" t="s">
        <v>2156</v>
      </c>
      <c r="D1670">
        <v>99000</v>
      </c>
      <c r="E1670">
        <v>3000</v>
      </c>
      <c r="F1670">
        <v>99000</v>
      </c>
      <c r="G1670">
        <v>148500</v>
      </c>
      <c r="H1670">
        <v>2</v>
      </c>
      <c r="I1670" t="s">
        <v>559</v>
      </c>
      <c r="J1670">
        <v>47.2</v>
      </c>
      <c r="K1670">
        <v>27</v>
      </c>
      <c r="L1670">
        <v>3</v>
      </c>
      <c r="M1670" t="s">
        <v>1842</v>
      </c>
      <c r="N1670">
        <v>12</v>
      </c>
      <c r="O1670">
        <v>16.670000000000002</v>
      </c>
      <c r="P1670">
        <v>123574.88</v>
      </c>
      <c r="Q1670">
        <v>141491.45000000001</v>
      </c>
      <c r="R1670">
        <v>637</v>
      </c>
      <c r="S1670">
        <v>117</v>
      </c>
      <c r="T1670" t="s">
        <v>326</v>
      </c>
      <c r="U1670" t="s">
        <v>27</v>
      </c>
    </row>
    <row r="1671" spans="1:21">
      <c r="A1671" t="s">
        <v>2682</v>
      </c>
      <c r="B1671" t="s">
        <v>2683</v>
      </c>
      <c r="C1671" t="s">
        <v>688</v>
      </c>
      <c r="D1671">
        <v>120000</v>
      </c>
      <c r="F1671">
        <v>120000</v>
      </c>
      <c r="G1671">
        <v>120000</v>
      </c>
      <c r="H1671">
        <v>11</v>
      </c>
      <c r="I1671" t="s">
        <v>559</v>
      </c>
      <c r="J1671">
        <v>50</v>
      </c>
      <c r="K1671">
        <v>55</v>
      </c>
      <c r="L1671">
        <v>11</v>
      </c>
      <c r="M1671" t="s">
        <v>1842</v>
      </c>
      <c r="N1671">
        <v>8</v>
      </c>
      <c r="O1671">
        <v>10</v>
      </c>
      <c r="P1671">
        <v>123574.88</v>
      </c>
      <c r="Q1671">
        <v>141491.45000000001</v>
      </c>
      <c r="R1671">
        <v>637</v>
      </c>
      <c r="S1671">
        <v>117</v>
      </c>
      <c r="T1671" t="s">
        <v>332</v>
      </c>
      <c r="U1671" t="s">
        <v>57</v>
      </c>
    </row>
    <row r="1672" spans="1:21">
      <c r="A1672" t="s">
        <v>2684</v>
      </c>
      <c r="B1672" t="s">
        <v>2685</v>
      </c>
      <c r="C1672" t="s">
        <v>1743</v>
      </c>
      <c r="D1672">
        <v>95000</v>
      </c>
      <c r="E1672">
        <v>2000</v>
      </c>
      <c r="F1672">
        <v>95000</v>
      </c>
      <c r="G1672">
        <v>95000</v>
      </c>
      <c r="H1672">
        <v>2</v>
      </c>
      <c r="I1672" t="s">
        <v>559</v>
      </c>
      <c r="J1672">
        <v>40</v>
      </c>
      <c r="K1672">
        <v>34</v>
      </c>
      <c r="L1672">
        <v>2</v>
      </c>
      <c r="M1672" t="s">
        <v>1842</v>
      </c>
      <c r="N1672">
        <v>10</v>
      </c>
      <c r="O1672">
        <v>12</v>
      </c>
      <c r="P1672">
        <v>123574.88</v>
      </c>
      <c r="Q1672">
        <v>141491.45000000001</v>
      </c>
      <c r="R1672">
        <v>637</v>
      </c>
      <c r="S1672">
        <v>117</v>
      </c>
      <c r="T1672" t="s">
        <v>326</v>
      </c>
      <c r="U1672" t="s">
        <v>49</v>
      </c>
    </row>
    <row r="1673" spans="1:21">
      <c r="A1673" t="s">
        <v>2686</v>
      </c>
      <c r="B1673" t="s">
        <v>2687</v>
      </c>
      <c r="C1673" t="s">
        <v>1850</v>
      </c>
      <c r="D1673">
        <v>116000</v>
      </c>
      <c r="E1673">
        <v>4000</v>
      </c>
      <c r="F1673">
        <v>116000</v>
      </c>
      <c r="G1673">
        <v>116000</v>
      </c>
      <c r="H1673">
        <v>2</v>
      </c>
      <c r="I1673" t="s">
        <v>559</v>
      </c>
      <c r="J1673">
        <v>38.28</v>
      </c>
      <c r="K1673">
        <v>26</v>
      </c>
      <c r="L1673">
        <v>3</v>
      </c>
      <c r="M1673" t="s">
        <v>1842</v>
      </c>
      <c r="N1673">
        <v>8</v>
      </c>
      <c r="O1673">
        <v>14.33</v>
      </c>
      <c r="P1673">
        <v>123574.88</v>
      </c>
      <c r="Q1673">
        <v>141491.45000000001</v>
      </c>
      <c r="R1673">
        <v>637</v>
      </c>
      <c r="S1673">
        <v>117</v>
      </c>
      <c r="T1673" t="s">
        <v>26</v>
      </c>
      <c r="U1673" t="s">
        <v>27</v>
      </c>
    </row>
    <row r="1674" spans="1:21">
      <c r="A1674" t="s">
        <v>2688</v>
      </c>
      <c r="B1674" t="s">
        <v>2689</v>
      </c>
      <c r="C1674" t="s">
        <v>1890</v>
      </c>
      <c r="D1674">
        <v>142500</v>
      </c>
      <c r="E1674">
        <v>7500</v>
      </c>
      <c r="F1674">
        <v>142500</v>
      </c>
      <c r="G1674">
        <v>142500</v>
      </c>
      <c r="H1674">
        <v>2</v>
      </c>
      <c r="I1674" t="s">
        <v>559</v>
      </c>
      <c r="J1674">
        <v>45.05</v>
      </c>
      <c r="K1674">
        <v>31</v>
      </c>
      <c r="L1674">
        <v>3</v>
      </c>
      <c r="M1674" t="s">
        <v>1842</v>
      </c>
      <c r="N1674">
        <v>8</v>
      </c>
      <c r="O1674">
        <v>12</v>
      </c>
      <c r="P1674">
        <v>123574.88</v>
      </c>
      <c r="Q1674">
        <v>141491.45000000001</v>
      </c>
      <c r="R1674">
        <v>637</v>
      </c>
      <c r="S1674">
        <v>117</v>
      </c>
      <c r="T1674" t="s">
        <v>326</v>
      </c>
      <c r="U1674" t="s">
        <v>49</v>
      </c>
    </row>
    <row r="1675" spans="1:21">
      <c r="A1675" t="s">
        <v>2690</v>
      </c>
      <c r="B1675" t="s">
        <v>2179</v>
      </c>
      <c r="C1675" t="s">
        <v>1887</v>
      </c>
      <c r="D1675">
        <v>143000</v>
      </c>
      <c r="E1675">
        <v>6000</v>
      </c>
      <c r="F1675">
        <v>143000</v>
      </c>
      <c r="G1675">
        <v>143000</v>
      </c>
      <c r="H1675">
        <v>1</v>
      </c>
      <c r="I1675" t="s">
        <v>559</v>
      </c>
      <c r="J1675">
        <v>46.22</v>
      </c>
      <c r="K1675">
        <v>3</v>
      </c>
      <c r="L1675">
        <v>3</v>
      </c>
      <c r="M1675" t="s">
        <v>1842</v>
      </c>
      <c r="N1675">
        <v>4</v>
      </c>
      <c r="O1675">
        <v>13.67</v>
      </c>
      <c r="P1675">
        <v>123574.88</v>
      </c>
      <c r="Q1675">
        <v>141491.45000000001</v>
      </c>
      <c r="R1675">
        <v>637</v>
      </c>
      <c r="S1675">
        <v>117</v>
      </c>
      <c r="T1675" t="s">
        <v>326</v>
      </c>
      <c r="U1675" t="s">
        <v>31</v>
      </c>
    </row>
    <row r="1676" spans="1:21">
      <c r="A1676" t="s">
        <v>2690</v>
      </c>
      <c r="B1676" t="s">
        <v>2179</v>
      </c>
      <c r="C1676" t="s">
        <v>1887</v>
      </c>
      <c r="D1676">
        <v>143000</v>
      </c>
      <c r="E1676">
        <v>6000</v>
      </c>
      <c r="F1676">
        <v>143000</v>
      </c>
      <c r="G1676">
        <v>143000</v>
      </c>
      <c r="H1676">
        <v>2</v>
      </c>
      <c r="I1676" t="s">
        <v>559</v>
      </c>
      <c r="J1676">
        <v>46.22</v>
      </c>
      <c r="K1676">
        <v>3</v>
      </c>
      <c r="L1676">
        <v>3</v>
      </c>
      <c r="M1676" t="s">
        <v>1842</v>
      </c>
      <c r="N1676">
        <v>4</v>
      </c>
      <c r="O1676">
        <v>13.67</v>
      </c>
      <c r="P1676">
        <v>123574.88</v>
      </c>
      <c r="Q1676">
        <v>141491.45000000001</v>
      </c>
      <c r="R1676">
        <v>637</v>
      </c>
      <c r="S1676">
        <v>117</v>
      </c>
      <c r="T1676" t="s">
        <v>326</v>
      </c>
      <c r="U1676" t="s">
        <v>31</v>
      </c>
    </row>
    <row r="1677" spans="1:21">
      <c r="A1677" t="s">
        <v>2690</v>
      </c>
      <c r="B1677" t="s">
        <v>2179</v>
      </c>
      <c r="C1677" t="s">
        <v>1887</v>
      </c>
      <c r="D1677">
        <v>143000</v>
      </c>
      <c r="E1677">
        <v>6000</v>
      </c>
      <c r="F1677">
        <v>143000</v>
      </c>
      <c r="G1677">
        <v>143000</v>
      </c>
      <c r="H1677">
        <v>3</v>
      </c>
      <c r="I1677" t="s">
        <v>559</v>
      </c>
      <c r="J1677">
        <v>46.22</v>
      </c>
      <c r="K1677">
        <v>3</v>
      </c>
      <c r="L1677">
        <v>3</v>
      </c>
      <c r="M1677" t="s">
        <v>1842</v>
      </c>
      <c r="N1677">
        <v>4</v>
      </c>
      <c r="O1677">
        <v>13.67</v>
      </c>
      <c r="P1677">
        <v>123574.88</v>
      </c>
      <c r="Q1677">
        <v>141491.45000000001</v>
      </c>
      <c r="R1677">
        <v>637</v>
      </c>
      <c r="S1677">
        <v>117</v>
      </c>
      <c r="T1677" t="s">
        <v>326</v>
      </c>
      <c r="U1677" t="s">
        <v>31</v>
      </c>
    </row>
    <row r="1678" spans="1:21">
      <c r="A1678" t="s">
        <v>2691</v>
      </c>
      <c r="B1678" t="s">
        <v>2692</v>
      </c>
      <c r="C1678" t="s">
        <v>1887</v>
      </c>
      <c r="D1678">
        <v>140000</v>
      </c>
      <c r="F1678">
        <v>140000</v>
      </c>
      <c r="G1678">
        <v>140000</v>
      </c>
      <c r="H1678">
        <v>2</v>
      </c>
      <c r="I1678" t="s">
        <v>559</v>
      </c>
      <c r="J1678">
        <v>45.9</v>
      </c>
      <c r="K1678">
        <v>43</v>
      </c>
      <c r="L1678">
        <v>3</v>
      </c>
      <c r="M1678" t="s">
        <v>1842</v>
      </c>
      <c r="N1678">
        <v>2</v>
      </c>
      <c r="O1678">
        <v>10.67</v>
      </c>
      <c r="P1678">
        <v>123574.88</v>
      </c>
      <c r="Q1678">
        <v>141491.45000000001</v>
      </c>
      <c r="R1678">
        <v>637</v>
      </c>
      <c r="S1678">
        <v>117</v>
      </c>
      <c r="T1678" t="s">
        <v>326</v>
      </c>
      <c r="U1678" t="s">
        <v>42</v>
      </c>
    </row>
    <row r="1679" spans="1:21">
      <c r="A1679" t="s">
        <v>2693</v>
      </c>
      <c r="B1679" t="s">
        <v>2694</v>
      </c>
      <c r="C1679" t="s">
        <v>2695</v>
      </c>
      <c r="D1679">
        <v>110000</v>
      </c>
      <c r="F1679">
        <v>110000</v>
      </c>
      <c r="G1679">
        <v>110000</v>
      </c>
      <c r="H1679">
        <v>4</v>
      </c>
      <c r="I1679" t="s">
        <v>559</v>
      </c>
      <c r="J1679">
        <v>40</v>
      </c>
      <c r="K1679">
        <v>38</v>
      </c>
      <c r="L1679">
        <v>4</v>
      </c>
      <c r="M1679" t="s">
        <v>1842</v>
      </c>
      <c r="N1679">
        <v>10</v>
      </c>
      <c r="O1679">
        <v>11</v>
      </c>
      <c r="P1679">
        <v>123574.88</v>
      </c>
      <c r="Q1679">
        <v>141491.45000000001</v>
      </c>
      <c r="R1679">
        <v>637</v>
      </c>
      <c r="S1679">
        <v>117</v>
      </c>
      <c r="T1679" t="s">
        <v>326</v>
      </c>
      <c r="U1679" t="s">
        <v>49</v>
      </c>
    </row>
    <row r="1680" spans="1:21">
      <c r="A1680" t="s">
        <v>2696</v>
      </c>
      <c r="B1680" t="s">
        <v>2697</v>
      </c>
      <c r="C1680" t="s">
        <v>1841</v>
      </c>
      <c r="D1680">
        <v>192000</v>
      </c>
      <c r="E1680">
        <v>7000</v>
      </c>
      <c r="H1680">
        <v>3</v>
      </c>
      <c r="I1680" t="s">
        <v>559</v>
      </c>
      <c r="J1680">
        <v>50.45</v>
      </c>
      <c r="K1680">
        <v>13</v>
      </c>
      <c r="L1680">
        <v>5</v>
      </c>
      <c r="M1680" t="s">
        <v>1842</v>
      </c>
      <c r="N1680">
        <v>9</v>
      </c>
      <c r="O1680">
        <v>11.67</v>
      </c>
      <c r="P1680">
        <v>123574.88</v>
      </c>
      <c r="Q1680">
        <v>141491.45000000001</v>
      </c>
      <c r="R1680">
        <v>637</v>
      </c>
      <c r="S1680">
        <v>117</v>
      </c>
      <c r="T1680" t="s">
        <v>332</v>
      </c>
      <c r="U1680" t="s">
        <v>90</v>
      </c>
    </row>
    <row r="1681" spans="1:21">
      <c r="A1681" t="s">
        <v>2698</v>
      </c>
      <c r="B1681" t="s">
        <v>2699</v>
      </c>
      <c r="C1681" t="s">
        <v>1857</v>
      </c>
      <c r="D1681">
        <v>125000</v>
      </c>
      <c r="E1681">
        <v>3000</v>
      </c>
      <c r="F1681">
        <v>125000</v>
      </c>
      <c r="H1681">
        <v>2</v>
      </c>
      <c r="I1681" t="s">
        <v>559</v>
      </c>
      <c r="J1681">
        <v>41.58</v>
      </c>
      <c r="K1681">
        <v>35</v>
      </c>
      <c r="L1681">
        <v>3</v>
      </c>
      <c r="M1681" t="s">
        <v>1842</v>
      </c>
      <c r="N1681">
        <v>9</v>
      </c>
      <c r="O1681">
        <v>12.67</v>
      </c>
      <c r="P1681">
        <v>123574.88</v>
      </c>
      <c r="Q1681">
        <v>141491.45000000001</v>
      </c>
      <c r="R1681">
        <v>637</v>
      </c>
      <c r="S1681">
        <v>117</v>
      </c>
      <c r="T1681" t="s">
        <v>326</v>
      </c>
      <c r="U1681" t="s">
        <v>49</v>
      </c>
    </row>
    <row r="1682" spans="1:21">
      <c r="A1682" t="s">
        <v>2700</v>
      </c>
      <c r="B1682" t="s">
        <v>1932</v>
      </c>
      <c r="C1682" t="s">
        <v>1857</v>
      </c>
      <c r="D1682">
        <v>213000</v>
      </c>
      <c r="E1682">
        <v>15000</v>
      </c>
      <c r="H1682">
        <v>2</v>
      </c>
      <c r="I1682" t="s">
        <v>559</v>
      </c>
      <c r="J1682">
        <v>44.73</v>
      </c>
      <c r="K1682">
        <v>1</v>
      </c>
      <c r="L1682">
        <v>5</v>
      </c>
      <c r="M1682" t="s">
        <v>1842</v>
      </c>
      <c r="N1682">
        <v>10</v>
      </c>
      <c r="O1682">
        <v>12.33</v>
      </c>
      <c r="P1682">
        <v>123574.88</v>
      </c>
      <c r="Q1682">
        <v>141491.45000000001</v>
      </c>
      <c r="R1682">
        <v>637</v>
      </c>
      <c r="S1682">
        <v>117</v>
      </c>
      <c r="T1682" t="s">
        <v>326</v>
      </c>
      <c r="U1682" t="s">
        <v>31</v>
      </c>
    </row>
    <row r="1683" spans="1:21">
      <c r="A1683" t="s">
        <v>2701</v>
      </c>
      <c r="B1683" t="s">
        <v>1932</v>
      </c>
      <c r="C1683" t="s">
        <v>1857</v>
      </c>
      <c r="D1683">
        <v>203000</v>
      </c>
      <c r="E1683">
        <v>15000</v>
      </c>
      <c r="H1683">
        <v>3</v>
      </c>
      <c r="I1683" t="s">
        <v>559</v>
      </c>
      <c r="J1683">
        <v>42.75</v>
      </c>
      <c r="K1683">
        <v>1</v>
      </c>
      <c r="L1683">
        <v>5</v>
      </c>
      <c r="M1683" t="s">
        <v>1842</v>
      </c>
      <c r="N1683">
        <v>10</v>
      </c>
      <c r="O1683">
        <v>12.33</v>
      </c>
      <c r="P1683">
        <v>123574.88</v>
      </c>
      <c r="Q1683">
        <v>141491.45000000001</v>
      </c>
      <c r="R1683">
        <v>637</v>
      </c>
      <c r="S1683">
        <v>117</v>
      </c>
      <c r="T1683" t="s">
        <v>326</v>
      </c>
      <c r="U1683" t="s">
        <v>31</v>
      </c>
    </row>
    <row r="1684" spans="1:21">
      <c r="A1684" t="s">
        <v>2702</v>
      </c>
      <c r="B1684" t="s">
        <v>1932</v>
      </c>
      <c r="C1684" t="s">
        <v>1857</v>
      </c>
      <c r="D1684">
        <v>213500</v>
      </c>
      <c r="E1684">
        <v>15000</v>
      </c>
      <c r="H1684">
        <v>3</v>
      </c>
      <c r="I1684" t="s">
        <v>559</v>
      </c>
      <c r="J1684">
        <v>44.73</v>
      </c>
      <c r="K1684">
        <v>1</v>
      </c>
      <c r="L1684">
        <v>5</v>
      </c>
      <c r="M1684" t="s">
        <v>1842</v>
      </c>
      <c r="N1684">
        <v>10</v>
      </c>
      <c r="O1684">
        <v>12.33</v>
      </c>
      <c r="P1684">
        <v>123574.88</v>
      </c>
      <c r="Q1684">
        <v>141491.45000000001</v>
      </c>
      <c r="R1684">
        <v>637</v>
      </c>
      <c r="S1684">
        <v>117</v>
      </c>
      <c r="T1684" t="s">
        <v>326</v>
      </c>
      <c r="U1684" t="s">
        <v>31</v>
      </c>
    </row>
    <row r="1685" spans="1:21">
      <c r="A1685" t="s">
        <v>2703</v>
      </c>
      <c r="B1685" t="s">
        <v>2704</v>
      </c>
      <c r="C1685" t="s">
        <v>1291</v>
      </c>
      <c r="D1685">
        <v>149000</v>
      </c>
      <c r="E1685">
        <v>6000</v>
      </c>
      <c r="H1685">
        <v>5</v>
      </c>
      <c r="I1685" t="s">
        <v>559</v>
      </c>
      <c r="J1685">
        <v>40.799999999999997</v>
      </c>
      <c r="K1685">
        <v>40</v>
      </c>
      <c r="L1685">
        <v>6</v>
      </c>
      <c r="M1685" t="s">
        <v>1842</v>
      </c>
      <c r="N1685">
        <v>8</v>
      </c>
      <c r="O1685">
        <v>10</v>
      </c>
      <c r="P1685">
        <v>123574.88</v>
      </c>
      <c r="Q1685">
        <v>141491.45000000001</v>
      </c>
      <c r="R1685">
        <v>637</v>
      </c>
      <c r="S1685">
        <v>117</v>
      </c>
      <c r="T1685" t="s">
        <v>326</v>
      </c>
      <c r="U1685" t="s">
        <v>49</v>
      </c>
    </row>
    <row r="1686" spans="1:21">
      <c r="A1686" t="s">
        <v>2705</v>
      </c>
      <c r="B1686" t="s">
        <v>2659</v>
      </c>
      <c r="C1686" t="s">
        <v>1850</v>
      </c>
      <c r="D1686">
        <v>116000</v>
      </c>
      <c r="E1686">
        <v>3000</v>
      </c>
      <c r="F1686">
        <v>116000</v>
      </c>
      <c r="G1686">
        <v>116000</v>
      </c>
      <c r="H1686">
        <v>2</v>
      </c>
      <c r="I1686" t="s">
        <v>573</v>
      </c>
      <c r="J1686">
        <v>38.28</v>
      </c>
      <c r="K1686">
        <v>26</v>
      </c>
      <c r="L1686">
        <v>3</v>
      </c>
      <c r="M1686" t="s">
        <v>1842</v>
      </c>
      <c r="N1686">
        <v>7</v>
      </c>
      <c r="O1686">
        <v>10.33</v>
      </c>
      <c r="P1686">
        <v>123574.88</v>
      </c>
      <c r="Q1686">
        <v>117441.44</v>
      </c>
      <c r="R1686">
        <v>637</v>
      </c>
      <c r="S1686">
        <v>111</v>
      </c>
      <c r="T1686" t="s">
        <v>26</v>
      </c>
      <c r="U1686" t="s">
        <v>27</v>
      </c>
    </row>
    <row r="1687" spans="1:21">
      <c r="A1687" t="s">
        <v>2705</v>
      </c>
      <c r="B1687" t="s">
        <v>2659</v>
      </c>
      <c r="C1687" t="s">
        <v>1850</v>
      </c>
      <c r="D1687">
        <v>116000</v>
      </c>
      <c r="E1687">
        <v>3000</v>
      </c>
      <c r="F1687">
        <v>116000</v>
      </c>
      <c r="G1687">
        <v>116000</v>
      </c>
      <c r="H1687">
        <v>3</v>
      </c>
      <c r="I1687" t="s">
        <v>573</v>
      </c>
      <c r="J1687">
        <v>38.28</v>
      </c>
      <c r="K1687">
        <v>26</v>
      </c>
      <c r="L1687">
        <v>3</v>
      </c>
      <c r="M1687" t="s">
        <v>1842</v>
      </c>
      <c r="N1687">
        <v>7</v>
      </c>
      <c r="O1687">
        <v>10.33</v>
      </c>
      <c r="P1687">
        <v>123574.88</v>
      </c>
      <c r="Q1687">
        <v>117441.44</v>
      </c>
      <c r="R1687">
        <v>637</v>
      </c>
      <c r="S1687">
        <v>111</v>
      </c>
      <c r="T1687" t="s">
        <v>26</v>
      </c>
      <c r="U1687" t="s">
        <v>27</v>
      </c>
    </row>
    <row r="1688" spans="1:21">
      <c r="A1688" t="s">
        <v>2706</v>
      </c>
      <c r="B1688" t="s">
        <v>2339</v>
      </c>
      <c r="C1688" t="s">
        <v>1870</v>
      </c>
      <c r="D1688">
        <v>93000</v>
      </c>
      <c r="E1688">
        <v>7000</v>
      </c>
      <c r="F1688">
        <v>93000</v>
      </c>
      <c r="H1688">
        <v>3</v>
      </c>
      <c r="I1688" t="s">
        <v>573</v>
      </c>
      <c r="J1688">
        <v>36.5</v>
      </c>
      <c r="K1688">
        <v>56</v>
      </c>
      <c r="L1688">
        <v>5</v>
      </c>
      <c r="M1688" t="s">
        <v>1842</v>
      </c>
      <c r="N1688">
        <v>2</v>
      </c>
      <c r="O1688">
        <v>9</v>
      </c>
      <c r="P1688">
        <v>123574.88</v>
      </c>
      <c r="Q1688">
        <v>117441.44</v>
      </c>
      <c r="R1688">
        <v>637</v>
      </c>
      <c r="S1688">
        <v>111</v>
      </c>
      <c r="T1688" t="s">
        <v>26</v>
      </c>
      <c r="U1688" t="s">
        <v>57</v>
      </c>
    </row>
    <row r="1689" spans="1:21">
      <c r="A1689" t="s">
        <v>2707</v>
      </c>
      <c r="B1689" t="s">
        <v>2708</v>
      </c>
      <c r="C1689" t="s">
        <v>1870</v>
      </c>
      <c r="D1689">
        <v>125000</v>
      </c>
      <c r="F1689">
        <v>125000</v>
      </c>
      <c r="G1689">
        <v>125000</v>
      </c>
      <c r="H1689">
        <v>3</v>
      </c>
      <c r="I1689" t="s">
        <v>573</v>
      </c>
      <c r="J1689">
        <v>37</v>
      </c>
      <c r="K1689">
        <v>52</v>
      </c>
      <c r="L1689">
        <v>4</v>
      </c>
      <c r="M1689" t="s">
        <v>1842</v>
      </c>
      <c r="N1689">
        <v>3</v>
      </c>
      <c r="O1689">
        <v>9.67</v>
      </c>
      <c r="P1689">
        <v>123574.88</v>
      </c>
      <c r="Q1689">
        <v>117441.44</v>
      </c>
      <c r="R1689">
        <v>637</v>
      </c>
      <c r="S1689">
        <v>111</v>
      </c>
      <c r="T1689" t="s">
        <v>26</v>
      </c>
      <c r="U1689" t="s">
        <v>57</v>
      </c>
    </row>
    <row r="1690" spans="1:21">
      <c r="A1690" t="s">
        <v>2709</v>
      </c>
      <c r="B1690" t="s">
        <v>2685</v>
      </c>
      <c r="C1690" t="s">
        <v>1743</v>
      </c>
      <c r="D1690">
        <v>79000</v>
      </c>
      <c r="E1690">
        <v>3000</v>
      </c>
      <c r="F1690">
        <v>79000</v>
      </c>
      <c r="G1690">
        <v>79000</v>
      </c>
      <c r="H1690">
        <v>2</v>
      </c>
      <c r="I1690" t="s">
        <v>573</v>
      </c>
      <c r="J1690">
        <v>29.81</v>
      </c>
      <c r="K1690">
        <v>34</v>
      </c>
      <c r="L1690">
        <v>2</v>
      </c>
      <c r="M1690" t="s">
        <v>1842</v>
      </c>
      <c r="N1690">
        <v>10</v>
      </c>
      <c r="O1690">
        <v>13.33</v>
      </c>
      <c r="P1690">
        <v>123574.88</v>
      </c>
      <c r="Q1690">
        <v>117441.44</v>
      </c>
      <c r="R1690">
        <v>637</v>
      </c>
      <c r="S1690">
        <v>111</v>
      </c>
      <c r="T1690" t="s">
        <v>34</v>
      </c>
      <c r="U1690" t="s">
        <v>49</v>
      </c>
    </row>
    <row r="1691" spans="1:21">
      <c r="A1691" t="s">
        <v>2710</v>
      </c>
      <c r="B1691" t="s">
        <v>2711</v>
      </c>
      <c r="C1691" t="s">
        <v>2033</v>
      </c>
      <c r="D1691">
        <v>75000</v>
      </c>
      <c r="E1691">
        <v>5000</v>
      </c>
      <c r="F1691">
        <v>75000</v>
      </c>
      <c r="G1691">
        <v>75000</v>
      </c>
      <c r="H1691">
        <v>1</v>
      </c>
      <c r="I1691" t="s">
        <v>573</v>
      </c>
      <c r="J1691">
        <v>29.04</v>
      </c>
      <c r="K1691">
        <v>52</v>
      </c>
      <c r="L1691">
        <v>2</v>
      </c>
      <c r="M1691" t="s">
        <v>1842</v>
      </c>
      <c r="N1691">
        <v>11</v>
      </c>
      <c r="O1691">
        <v>13.67</v>
      </c>
      <c r="P1691">
        <v>123574.88</v>
      </c>
      <c r="Q1691">
        <v>117441.44</v>
      </c>
      <c r="R1691">
        <v>637</v>
      </c>
      <c r="S1691">
        <v>111</v>
      </c>
      <c r="T1691" t="s">
        <v>34</v>
      </c>
      <c r="U1691" t="s">
        <v>57</v>
      </c>
    </row>
    <row r="1692" spans="1:21">
      <c r="A1692" t="s">
        <v>2712</v>
      </c>
      <c r="B1692" t="s">
        <v>2687</v>
      </c>
      <c r="C1692" t="s">
        <v>1850</v>
      </c>
      <c r="D1692">
        <v>116000</v>
      </c>
      <c r="E1692">
        <v>3000</v>
      </c>
      <c r="F1692">
        <v>116000</v>
      </c>
      <c r="G1692">
        <v>116000</v>
      </c>
      <c r="H1692">
        <v>2</v>
      </c>
      <c r="I1692" t="s">
        <v>573</v>
      </c>
      <c r="J1692">
        <v>38.28</v>
      </c>
      <c r="K1692">
        <v>26</v>
      </c>
      <c r="L1692">
        <v>3</v>
      </c>
      <c r="M1692" t="s">
        <v>1842</v>
      </c>
      <c r="N1692">
        <v>7</v>
      </c>
      <c r="O1692">
        <v>10.33</v>
      </c>
      <c r="P1692">
        <v>123574.88</v>
      </c>
      <c r="Q1692">
        <v>117441.44</v>
      </c>
      <c r="R1692">
        <v>637</v>
      </c>
      <c r="S1692">
        <v>111</v>
      </c>
      <c r="T1692" t="s">
        <v>26</v>
      </c>
      <c r="U1692" t="s">
        <v>27</v>
      </c>
    </row>
    <row r="1693" spans="1:21">
      <c r="A1693" t="s">
        <v>2712</v>
      </c>
      <c r="B1693" t="s">
        <v>2687</v>
      </c>
      <c r="C1693" t="s">
        <v>1850</v>
      </c>
      <c r="D1693">
        <v>116000</v>
      </c>
      <c r="E1693">
        <v>3000</v>
      </c>
      <c r="F1693">
        <v>116000</v>
      </c>
      <c r="G1693">
        <v>116000</v>
      </c>
      <c r="H1693">
        <v>3</v>
      </c>
      <c r="I1693" t="s">
        <v>573</v>
      </c>
      <c r="J1693">
        <v>38.28</v>
      </c>
      <c r="K1693">
        <v>26</v>
      </c>
      <c r="L1693">
        <v>3</v>
      </c>
      <c r="M1693" t="s">
        <v>1842</v>
      </c>
      <c r="N1693">
        <v>7</v>
      </c>
      <c r="O1693">
        <v>10.33</v>
      </c>
      <c r="P1693">
        <v>123574.88</v>
      </c>
      <c r="Q1693">
        <v>117441.44</v>
      </c>
      <c r="R1693">
        <v>637</v>
      </c>
      <c r="S1693">
        <v>111</v>
      </c>
      <c r="T1693" t="s">
        <v>26</v>
      </c>
      <c r="U1693" t="s">
        <v>27</v>
      </c>
    </row>
    <row r="1694" spans="1:21">
      <c r="A1694" t="s">
        <v>2713</v>
      </c>
      <c r="B1694" t="s">
        <v>2714</v>
      </c>
      <c r="C1694" t="s">
        <v>688</v>
      </c>
      <c r="D1694">
        <v>105000</v>
      </c>
      <c r="E1694">
        <v>8000</v>
      </c>
      <c r="F1694">
        <v>105000</v>
      </c>
      <c r="G1694">
        <v>105000</v>
      </c>
      <c r="H1694">
        <v>2</v>
      </c>
      <c r="I1694" t="s">
        <v>573</v>
      </c>
      <c r="J1694">
        <v>38</v>
      </c>
      <c r="K1694">
        <v>39</v>
      </c>
      <c r="L1694">
        <v>4</v>
      </c>
      <c r="M1694" t="s">
        <v>1842</v>
      </c>
      <c r="N1694">
        <v>5</v>
      </c>
      <c r="O1694">
        <v>11.33</v>
      </c>
      <c r="P1694">
        <v>123574.88</v>
      </c>
      <c r="Q1694">
        <v>117441.44</v>
      </c>
      <c r="R1694">
        <v>637</v>
      </c>
      <c r="S1694">
        <v>111</v>
      </c>
      <c r="T1694" t="s">
        <v>26</v>
      </c>
      <c r="U1694" t="s">
        <v>49</v>
      </c>
    </row>
    <row r="1695" spans="1:21">
      <c r="A1695" t="s">
        <v>2715</v>
      </c>
      <c r="B1695" t="s">
        <v>2716</v>
      </c>
      <c r="C1695" t="s">
        <v>1857</v>
      </c>
      <c r="D1695">
        <v>77000</v>
      </c>
      <c r="E1695">
        <v>5000</v>
      </c>
      <c r="F1695">
        <v>77000</v>
      </c>
      <c r="H1695">
        <v>1</v>
      </c>
      <c r="I1695" t="s">
        <v>573</v>
      </c>
      <c r="J1695">
        <v>29.16</v>
      </c>
      <c r="K1695">
        <v>42</v>
      </c>
      <c r="L1695">
        <v>4</v>
      </c>
      <c r="M1695" t="s">
        <v>1842</v>
      </c>
      <c r="N1695">
        <v>6</v>
      </c>
      <c r="O1695">
        <v>13</v>
      </c>
      <c r="P1695">
        <v>123574.88</v>
      </c>
      <c r="Q1695">
        <v>117441.44</v>
      </c>
      <c r="R1695">
        <v>637</v>
      </c>
      <c r="S1695">
        <v>111</v>
      </c>
      <c r="T1695" t="s">
        <v>34</v>
      </c>
      <c r="U1695" t="s">
        <v>42</v>
      </c>
    </row>
    <row r="1696" spans="1:21">
      <c r="A1696" t="s">
        <v>2717</v>
      </c>
      <c r="B1696" t="s">
        <v>2718</v>
      </c>
      <c r="C1696" t="s">
        <v>1291</v>
      </c>
      <c r="D1696">
        <v>238000</v>
      </c>
      <c r="E1696">
        <v>20000</v>
      </c>
      <c r="F1696">
        <v>238000</v>
      </c>
      <c r="H1696">
        <v>3</v>
      </c>
      <c r="I1696" t="s">
        <v>585</v>
      </c>
      <c r="J1696">
        <v>45.56</v>
      </c>
      <c r="K1696">
        <v>1</v>
      </c>
      <c r="L1696">
        <v>8</v>
      </c>
      <c r="M1696" t="s">
        <v>1842</v>
      </c>
      <c r="N1696">
        <v>9</v>
      </c>
      <c r="O1696">
        <v>14.67</v>
      </c>
      <c r="P1696">
        <v>123574.88</v>
      </c>
      <c r="Q1696">
        <v>232352.65</v>
      </c>
      <c r="R1696">
        <v>637</v>
      </c>
      <c r="S1696">
        <v>359</v>
      </c>
      <c r="T1696" t="s">
        <v>326</v>
      </c>
      <c r="U1696" t="s">
        <v>31</v>
      </c>
    </row>
    <row r="1697" spans="1:21">
      <c r="A1697" t="s">
        <v>2719</v>
      </c>
      <c r="B1697" t="s">
        <v>2718</v>
      </c>
      <c r="C1697" t="s">
        <v>1291</v>
      </c>
      <c r="D1697">
        <v>238000</v>
      </c>
      <c r="E1697">
        <v>20000</v>
      </c>
      <c r="F1697">
        <v>238000</v>
      </c>
      <c r="G1697">
        <v>238000</v>
      </c>
      <c r="H1697">
        <v>7</v>
      </c>
      <c r="I1697" t="s">
        <v>585</v>
      </c>
      <c r="J1697">
        <v>42.97</v>
      </c>
      <c r="K1697">
        <v>1</v>
      </c>
      <c r="L1697">
        <v>8</v>
      </c>
      <c r="M1697" t="s">
        <v>1842</v>
      </c>
      <c r="N1697">
        <v>9</v>
      </c>
      <c r="O1697">
        <v>14.67</v>
      </c>
      <c r="P1697">
        <v>123574.88</v>
      </c>
      <c r="Q1697">
        <v>232352.65</v>
      </c>
      <c r="R1697">
        <v>637</v>
      </c>
      <c r="S1697">
        <v>359</v>
      </c>
      <c r="T1697" t="s">
        <v>326</v>
      </c>
      <c r="U1697" t="s">
        <v>31</v>
      </c>
    </row>
    <row r="1698" spans="1:21">
      <c r="A1698" t="s">
        <v>2720</v>
      </c>
      <c r="B1698" t="s">
        <v>1856</v>
      </c>
      <c r="C1698" t="s">
        <v>1857</v>
      </c>
      <c r="D1698">
        <v>226500</v>
      </c>
      <c r="E1698">
        <v>15000</v>
      </c>
      <c r="H1698">
        <v>1</v>
      </c>
      <c r="I1698" t="s">
        <v>585</v>
      </c>
      <c r="J1698">
        <v>47.73</v>
      </c>
      <c r="K1698">
        <v>0</v>
      </c>
      <c r="L1698">
        <v>5</v>
      </c>
      <c r="M1698" t="s">
        <v>1842</v>
      </c>
      <c r="N1698">
        <v>10</v>
      </c>
      <c r="O1698">
        <v>12.67</v>
      </c>
      <c r="P1698">
        <v>123574.88</v>
      </c>
      <c r="Q1698">
        <v>232352.65</v>
      </c>
      <c r="R1698">
        <v>637</v>
      </c>
      <c r="S1698">
        <v>359</v>
      </c>
      <c r="T1698" t="s">
        <v>326</v>
      </c>
      <c r="U1698" t="s">
        <v>81</v>
      </c>
    </row>
    <row r="1699" spans="1:21">
      <c r="A1699" t="s">
        <v>2721</v>
      </c>
      <c r="B1699" t="s">
        <v>1856</v>
      </c>
      <c r="C1699" t="s">
        <v>1857</v>
      </c>
      <c r="D1699">
        <v>213000</v>
      </c>
      <c r="E1699">
        <v>15000</v>
      </c>
      <c r="H1699">
        <v>2</v>
      </c>
      <c r="I1699" t="s">
        <v>585</v>
      </c>
      <c r="J1699">
        <v>44.73</v>
      </c>
      <c r="K1699">
        <v>0</v>
      </c>
      <c r="L1699">
        <v>5</v>
      </c>
      <c r="M1699" t="s">
        <v>1842</v>
      </c>
      <c r="N1699">
        <v>10</v>
      </c>
      <c r="O1699">
        <v>12.67</v>
      </c>
      <c r="P1699">
        <v>123574.88</v>
      </c>
      <c r="Q1699">
        <v>232352.65</v>
      </c>
      <c r="R1699">
        <v>637</v>
      </c>
      <c r="S1699">
        <v>359</v>
      </c>
      <c r="T1699" t="s">
        <v>326</v>
      </c>
      <c r="U1699" t="s">
        <v>81</v>
      </c>
    </row>
    <row r="1700" spans="1:21">
      <c r="A1700" t="s">
        <v>2722</v>
      </c>
      <c r="B1700" t="s">
        <v>1856</v>
      </c>
      <c r="C1700" t="s">
        <v>1857</v>
      </c>
      <c r="D1700">
        <v>227000</v>
      </c>
      <c r="E1700">
        <v>15000</v>
      </c>
      <c r="H1700">
        <v>2</v>
      </c>
      <c r="I1700" t="s">
        <v>585</v>
      </c>
      <c r="J1700">
        <v>47.73</v>
      </c>
      <c r="K1700">
        <v>0</v>
      </c>
      <c r="L1700">
        <v>5</v>
      </c>
      <c r="M1700" t="s">
        <v>1842</v>
      </c>
      <c r="N1700">
        <v>10</v>
      </c>
      <c r="O1700">
        <v>12.67</v>
      </c>
      <c r="P1700">
        <v>123574.88</v>
      </c>
      <c r="Q1700">
        <v>232352.65</v>
      </c>
      <c r="R1700">
        <v>637</v>
      </c>
      <c r="S1700">
        <v>359</v>
      </c>
      <c r="T1700" t="s">
        <v>326</v>
      </c>
      <c r="U1700" t="s">
        <v>81</v>
      </c>
    </row>
    <row r="1701" spans="1:21">
      <c r="A1701" t="s">
        <v>2723</v>
      </c>
      <c r="B1701" t="s">
        <v>1856</v>
      </c>
      <c r="C1701" t="s">
        <v>1857</v>
      </c>
      <c r="D1701">
        <v>227500</v>
      </c>
      <c r="E1701">
        <v>15000</v>
      </c>
      <c r="H1701">
        <v>3</v>
      </c>
      <c r="I1701" t="s">
        <v>585</v>
      </c>
      <c r="J1701">
        <v>47.73</v>
      </c>
      <c r="K1701">
        <v>0</v>
      </c>
      <c r="L1701">
        <v>5</v>
      </c>
      <c r="M1701" t="s">
        <v>1842</v>
      </c>
      <c r="N1701">
        <v>10</v>
      </c>
      <c r="O1701">
        <v>12.67</v>
      </c>
      <c r="P1701">
        <v>123574.88</v>
      </c>
      <c r="Q1701">
        <v>232352.65</v>
      </c>
      <c r="R1701">
        <v>637</v>
      </c>
      <c r="S1701">
        <v>359</v>
      </c>
      <c r="T1701" t="s">
        <v>326</v>
      </c>
      <c r="U1701" t="s">
        <v>81</v>
      </c>
    </row>
    <row r="1702" spans="1:21">
      <c r="A1702" t="s">
        <v>2724</v>
      </c>
      <c r="B1702" t="s">
        <v>1863</v>
      </c>
      <c r="C1702" t="s">
        <v>1743</v>
      </c>
      <c r="D1702">
        <v>203000</v>
      </c>
      <c r="E1702">
        <v>12000</v>
      </c>
      <c r="F1702">
        <v>203000</v>
      </c>
      <c r="G1702">
        <v>203000</v>
      </c>
      <c r="H1702">
        <v>2</v>
      </c>
      <c r="I1702" t="s">
        <v>585</v>
      </c>
      <c r="J1702">
        <v>56.3</v>
      </c>
      <c r="K1702">
        <v>17</v>
      </c>
      <c r="L1702">
        <v>8</v>
      </c>
      <c r="M1702" t="s">
        <v>1842</v>
      </c>
      <c r="N1702">
        <v>8</v>
      </c>
      <c r="O1702">
        <v>11.67</v>
      </c>
      <c r="P1702">
        <v>123574.88</v>
      </c>
      <c r="Q1702">
        <v>232352.65</v>
      </c>
      <c r="R1702">
        <v>637</v>
      </c>
      <c r="S1702">
        <v>359</v>
      </c>
      <c r="T1702" t="s">
        <v>332</v>
      </c>
      <c r="U1702" t="s">
        <v>90</v>
      </c>
    </row>
    <row r="1703" spans="1:21">
      <c r="A1703" t="s">
        <v>2725</v>
      </c>
      <c r="B1703" t="s">
        <v>2726</v>
      </c>
      <c r="C1703" t="s">
        <v>2033</v>
      </c>
      <c r="D1703">
        <v>170000</v>
      </c>
      <c r="E1703">
        <v>4000</v>
      </c>
      <c r="F1703">
        <v>170000</v>
      </c>
      <c r="G1703">
        <v>340000</v>
      </c>
      <c r="H1703">
        <v>1</v>
      </c>
      <c r="I1703" t="s">
        <v>585</v>
      </c>
      <c r="J1703">
        <v>62.7</v>
      </c>
      <c r="K1703">
        <v>11</v>
      </c>
      <c r="L1703">
        <v>3</v>
      </c>
      <c r="M1703" t="s">
        <v>1842</v>
      </c>
      <c r="N1703">
        <v>7</v>
      </c>
      <c r="O1703">
        <v>12.33</v>
      </c>
      <c r="P1703">
        <v>123574.88</v>
      </c>
      <c r="Q1703">
        <v>232352.65</v>
      </c>
      <c r="R1703">
        <v>637</v>
      </c>
      <c r="S1703">
        <v>359</v>
      </c>
      <c r="T1703" t="s">
        <v>593</v>
      </c>
      <c r="U1703" t="s">
        <v>90</v>
      </c>
    </row>
    <row r="1704" spans="1:21">
      <c r="A1704" t="s">
        <v>2725</v>
      </c>
      <c r="B1704" t="s">
        <v>2726</v>
      </c>
      <c r="C1704" t="s">
        <v>2033</v>
      </c>
      <c r="D1704">
        <v>170000</v>
      </c>
      <c r="E1704">
        <v>4000</v>
      </c>
      <c r="F1704">
        <v>170000</v>
      </c>
      <c r="G1704">
        <v>340000</v>
      </c>
      <c r="H1704">
        <v>2</v>
      </c>
      <c r="I1704" t="s">
        <v>585</v>
      </c>
      <c r="J1704">
        <v>62.7</v>
      </c>
      <c r="K1704">
        <v>11</v>
      </c>
      <c r="L1704">
        <v>3</v>
      </c>
      <c r="M1704" t="s">
        <v>1842</v>
      </c>
      <c r="N1704">
        <v>7</v>
      </c>
      <c r="O1704">
        <v>12.33</v>
      </c>
      <c r="P1704">
        <v>123574.88</v>
      </c>
      <c r="Q1704">
        <v>232352.65</v>
      </c>
      <c r="R1704">
        <v>637</v>
      </c>
      <c r="S1704">
        <v>359</v>
      </c>
      <c r="T1704" t="s">
        <v>593</v>
      </c>
      <c r="U1704" t="s">
        <v>90</v>
      </c>
    </row>
    <row r="1705" spans="1:21">
      <c r="A1705" t="s">
        <v>2727</v>
      </c>
      <c r="B1705" t="s">
        <v>2728</v>
      </c>
      <c r="C1705" t="s">
        <v>1841</v>
      </c>
      <c r="D1705">
        <v>187000</v>
      </c>
      <c r="E1705">
        <v>10000</v>
      </c>
      <c r="H1705">
        <v>2</v>
      </c>
      <c r="I1705" t="s">
        <v>585</v>
      </c>
      <c r="J1705">
        <v>41.02</v>
      </c>
      <c r="K1705">
        <v>0</v>
      </c>
      <c r="L1705">
        <v>4</v>
      </c>
      <c r="M1705" t="s">
        <v>1842</v>
      </c>
      <c r="N1705">
        <v>7</v>
      </c>
      <c r="O1705">
        <v>10.33</v>
      </c>
      <c r="P1705">
        <v>123574.88</v>
      </c>
      <c r="Q1705">
        <v>232352.65</v>
      </c>
      <c r="R1705">
        <v>637</v>
      </c>
      <c r="S1705">
        <v>359</v>
      </c>
      <c r="T1705" t="s">
        <v>326</v>
      </c>
      <c r="U1705" t="s">
        <v>81</v>
      </c>
    </row>
    <row r="1706" spans="1:21">
      <c r="A1706" t="s">
        <v>2729</v>
      </c>
      <c r="B1706" t="s">
        <v>2728</v>
      </c>
      <c r="C1706" t="s">
        <v>1841</v>
      </c>
      <c r="D1706">
        <v>190000</v>
      </c>
      <c r="E1706">
        <v>10000</v>
      </c>
      <c r="H1706">
        <v>2</v>
      </c>
      <c r="I1706" t="s">
        <v>585</v>
      </c>
      <c r="J1706">
        <v>41.02</v>
      </c>
      <c r="K1706">
        <v>0</v>
      </c>
      <c r="L1706">
        <v>4</v>
      </c>
      <c r="M1706" t="s">
        <v>1842</v>
      </c>
      <c r="N1706">
        <v>7</v>
      </c>
      <c r="O1706">
        <v>10.33</v>
      </c>
      <c r="P1706">
        <v>123574.88</v>
      </c>
      <c r="Q1706">
        <v>232352.65</v>
      </c>
      <c r="R1706">
        <v>637</v>
      </c>
      <c r="S1706">
        <v>359</v>
      </c>
      <c r="T1706" t="s">
        <v>326</v>
      </c>
      <c r="U1706" t="s">
        <v>81</v>
      </c>
    </row>
    <row r="1707" spans="1:21">
      <c r="A1707" t="s">
        <v>2730</v>
      </c>
      <c r="B1707" t="s">
        <v>2728</v>
      </c>
      <c r="C1707" t="s">
        <v>1841</v>
      </c>
      <c r="D1707">
        <v>188000</v>
      </c>
      <c r="E1707">
        <v>10000</v>
      </c>
      <c r="H1707">
        <v>3</v>
      </c>
      <c r="I1707" t="s">
        <v>585</v>
      </c>
      <c r="J1707">
        <v>41.02</v>
      </c>
      <c r="K1707">
        <v>0</v>
      </c>
      <c r="L1707">
        <v>4</v>
      </c>
      <c r="M1707" t="s">
        <v>1842</v>
      </c>
      <c r="N1707">
        <v>7</v>
      </c>
      <c r="O1707">
        <v>10.33</v>
      </c>
      <c r="P1707">
        <v>123574.88</v>
      </c>
      <c r="Q1707">
        <v>232352.65</v>
      </c>
      <c r="R1707">
        <v>637</v>
      </c>
      <c r="S1707">
        <v>359</v>
      </c>
      <c r="T1707" t="s">
        <v>326</v>
      </c>
      <c r="U1707" t="s">
        <v>81</v>
      </c>
    </row>
    <row r="1708" spans="1:21">
      <c r="A1708" t="s">
        <v>2731</v>
      </c>
      <c r="B1708" t="s">
        <v>2728</v>
      </c>
      <c r="C1708" t="s">
        <v>1841</v>
      </c>
      <c r="D1708">
        <v>191000</v>
      </c>
      <c r="E1708">
        <v>10000</v>
      </c>
      <c r="H1708">
        <v>3</v>
      </c>
      <c r="I1708" t="s">
        <v>585</v>
      </c>
      <c r="J1708">
        <v>41.02</v>
      </c>
      <c r="K1708">
        <v>0</v>
      </c>
      <c r="L1708">
        <v>4</v>
      </c>
      <c r="M1708" t="s">
        <v>1842</v>
      </c>
      <c r="N1708">
        <v>7</v>
      </c>
      <c r="O1708">
        <v>10.33</v>
      </c>
      <c r="P1708">
        <v>123574.88</v>
      </c>
      <c r="Q1708">
        <v>232352.65</v>
      </c>
      <c r="R1708">
        <v>637</v>
      </c>
      <c r="S1708">
        <v>359</v>
      </c>
      <c r="T1708" t="s">
        <v>326</v>
      </c>
      <c r="U1708" t="s">
        <v>81</v>
      </c>
    </row>
    <row r="1709" spans="1:21">
      <c r="A1709" t="s">
        <v>2732</v>
      </c>
      <c r="B1709" t="s">
        <v>2728</v>
      </c>
      <c r="C1709" t="s">
        <v>1841</v>
      </c>
      <c r="D1709">
        <v>188000</v>
      </c>
      <c r="E1709">
        <v>10000</v>
      </c>
      <c r="H1709">
        <v>4</v>
      </c>
      <c r="I1709" t="s">
        <v>585</v>
      </c>
      <c r="J1709">
        <v>41.02</v>
      </c>
      <c r="K1709">
        <v>0</v>
      </c>
      <c r="L1709">
        <v>4</v>
      </c>
      <c r="M1709" t="s">
        <v>1842</v>
      </c>
      <c r="N1709">
        <v>7</v>
      </c>
      <c r="O1709">
        <v>10.33</v>
      </c>
      <c r="P1709">
        <v>123574.88</v>
      </c>
      <c r="Q1709">
        <v>232352.65</v>
      </c>
      <c r="R1709">
        <v>637</v>
      </c>
      <c r="S1709">
        <v>359</v>
      </c>
      <c r="T1709" t="s">
        <v>326</v>
      </c>
      <c r="U1709" t="s">
        <v>81</v>
      </c>
    </row>
    <row r="1710" spans="1:21">
      <c r="A1710" t="s">
        <v>2733</v>
      </c>
      <c r="B1710" t="s">
        <v>2728</v>
      </c>
      <c r="C1710" t="s">
        <v>1841</v>
      </c>
      <c r="D1710">
        <v>191000</v>
      </c>
      <c r="E1710">
        <v>10000</v>
      </c>
      <c r="H1710">
        <v>4</v>
      </c>
      <c r="I1710" t="s">
        <v>585</v>
      </c>
      <c r="J1710">
        <v>41.02</v>
      </c>
      <c r="K1710">
        <v>0</v>
      </c>
      <c r="L1710">
        <v>4</v>
      </c>
      <c r="M1710" t="s">
        <v>1842</v>
      </c>
      <c r="N1710">
        <v>7</v>
      </c>
      <c r="O1710">
        <v>10.33</v>
      </c>
      <c r="P1710">
        <v>123574.88</v>
      </c>
      <c r="Q1710">
        <v>232352.65</v>
      </c>
      <c r="R1710">
        <v>637</v>
      </c>
      <c r="S1710">
        <v>359</v>
      </c>
      <c r="T1710" t="s">
        <v>326</v>
      </c>
      <c r="U1710" t="s">
        <v>81</v>
      </c>
    </row>
    <row r="1711" spans="1:21">
      <c r="A1711" t="s">
        <v>2734</v>
      </c>
      <c r="B1711" t="s">
        <v>2735</v>
      </c>
      <c r="C1711" t="s">
        <v>1743</v>
      </c>
      <c r="D1711">
        <v>143000</v>
      </c>
      <c r="E1711">
        <v>3000</v>
      </c>
      <c r="F1711">
        <v>143000</v>
      </c>
      <c r="G1711">
        <v>286000</v>
      </c>
      <c r="H1711">
        <v>1</v>
      </c>
      <c r="I1711" t="s">
        <v>585</v>
      </c>
      <c r="J1711">
        <v>46.75</v>
      </c>
      <c r="K1711">
        <v>13</v>
      </c>
      <c r="L1711">
        <v>3</v>
      </c>
      <c r="M1711" t="s">
        <v>1842</v>
      </c>
      <c r="N1711">
        <v>11</v>
      </c>
      <c r="O1711">
        <v>13</v>
      </c>
      <c r="P1711">
        <v>123574.88</v>
      </c>
      <c r="Q1711">
        <v>232352.65</v>
      </c>
      <c r="R1711">
        <v>637</v>
      </c>
      <c r="S1711">
        <v>359</v>
      </c>
      <c r="T1711" t="s">
        <v>326</v>
      </c>
      <c r="U1711" t="s">
        <v>90</v>
      </c>
    </row>
    <row r="1712" spans="1:21">
      <c r="A1712" t="s">
        <v>2736</v>
      </c>
      <c r="B1712" t="s">
        <v>2737</v>
      </c>
      <c r="C1712" t="s">
        <v>1857</v>
      </c>
      <c r="D1712">
        <v>157000</v>
      </c>
      <c r="E1712">
        <v>8000</v>
      </c>
      <c r="G1712">
        <v>157000</v>
      </c>
      <c r="H1712">
        <v>2</v>
      </c>
      <c r="I1712" t="s">
        <v>585</v>
      </c>
      <c r="J1712">
        <v>50.92</v>
      </c>
      <c r="K1712">
        <v>4</v>
      </c>
      <c r="L1712">
        <v>3</v>
      </c>
      <c r="M1712" t="s">
        <v>1842</v>
      </c>
      <c r="N1712">
        <v>5</v>
      </c>
      <c r="O1712">
        <v>13.33</v>
      </c>
      <c r="P1712">
        <v>123574.88</v>
      </c>
      <c r="Q1712">
        <v>232352.65</v>
      </c>
      <c r="R1712">
        <v>637</v>
      </c>
      <c r="S1712">
        <v>359</v>
      </c>
      <c r="T1712" t="s">
        <v>332</v>
      </c>
      <c r="U1712" t="s">
        <v>31</v>
      </c>
    </row>
    <row r="1713" spans="1:21">
      <c r="A1713" t="s">
        <v>2736</v>
      </c>
      <c r="B1713" t="s">
        <v>2737</v>
      </c>
      <c r="C1713" t="s">
        <v>1857</v>
      </c>
      <c r="D1713">
        <v>157000</v>
      </c>
      <c r="E1713">
        <v>8000</v>
      </c>
      <c r="G1713">
        <v>157000</v>
      </c>
      <c r="H1713">
        <v>3</v>
      </c>
      <c r="I1713" t="s">
        <v>585</v>
      </c>
      <c r="J1713">
        <v>50.92</v>
      </c>
      <c r="K1713">
        <v>4</v>
      </c>
      <c r="L1713">
        <v>3</v>
      </c>
      <c r="M1713" t="s">
        <v>1842</v>
      </c>
      <c r="N1713">
        <v>5</v>
      </c>
      <c r="O1713">
        <v>13.33</v>
      </c>
      <c r="P1713">
        <v>123574.88</v>
      </c>
      <c r="Q1713">
        <v>232352.65</v>
      </c>
      <c r="R1713">
        <v>637</v>
      </c>
      <c r="S1713">
        <v>359</v>
      </c>
      <c r="T1713" t="s">
        <v>332</v>
      </c>
      <c r="U1713" t="s">
        <v>31</v>
      </c>
    </row>
    <row r="1714" spans="1:21">
      <c r="A1714" t="s">
        <v>2738</v>
      </c>
      <c r="B1714" t="s">
        <v>2737</v>
      </c>
      <c r="C1714" t="s">
        <v>1857</v>
      </c>
      <c r="D1714">
        <v>157000</v>
      </c>
      <c r="E1714">
        <v>8000</v>
      </c>
      <c r="G1714">
        <v>157000</v>
      </c>
      <c r="H1714">
        <v>2</v>
      </c>
      <c r="I1714" t="s">
        <v>585</v>
      </c>
      <c r="J1714">
        <v>50.92</v>
      </c>
      <c r="K1714">
        <v>4</v>
      </c>
      <c r="L1714">
        <v>3</v>
      </c>
      <c r="M1714" t="s">
        <v>1842</v>
      </c>
      <c r="N1714">
        <v>5</v>
      </c>
      <c r="O1714">
        <v>13.33</v>
      </c>
      <c r="P1714">
        <v>123574.88</v>
      </c>
      <c r="Q1714">
        <v>232352.65</v>
      </c>
      <c r="R1714">
        <v>637</v>
      </c>
      <c r="S1714">
        <v>359</v>
      </c>
      <c r="T1714" t="s">
        <v>332</v>
      </c>
      <c r="U1714" t="s">
        <v>31</v>
      </c>
    </row>
    <row r="1715" spans="1:21">
      <c r="A1715" t="s">
        <v>2739</v>
      </c>
      <c r="B1715" t="s">
        <v>2740</v>
      </c>
      <c r="C1715" t="s">
        <v>1857</v>
      </c>
      <c r="D1715">
        <v>157000</v>
      </c>
      <c r="E1715">
        <v>8000</v>
      </c>
      <c r="G1715">
        <v>157000</v>
      </c>
      <c r="H1715">
        <v>2</v>
      </c>
      <c r="I1715" t="s">
        <v>585</v>
      </c>
      <c r="J1715">
        <v>50.92</v>
      </c>
      <c r="K1715">
        <v>2</v>
      </c>
      <c r="L1715">
        <v>3</v>
      </c>
      <c r="M1715" t="s">
        <v>1842</v>
      </c>
      <c r="N1715">
        <v>4</v>
      </c>
      <c r="O1715">
        <v>11.33</v>
      </c>
      <c r="P1715">
        <v>123574.88</v>
      </c>
      <c r="Q1715">
        <v>232352.65</v>
      </c>
      <c r="R1715">
        <v>637</v>
      </c>
      <c r="S1715">
        <v>359</v>
      </c>
      <c r="T1715" t="s">
        <v>332</v>
      </c>
      <c r="U1715" t="s">
        <v>31</v>
      </c>
    </row>
    <row r="1716" spans="1:21">
      <c r="A1716" t="s">
        <v>2741</v>
      </c>
      <c r="B1716" t="s">
        <v>2742</v>
      </c>
      <c r="C1716" t="s">
        <v>1841</v>
      </c>
      <c r="D1716">
        <v>160000</v>
      </c>
      <c r="F1716">
        <v>160000</v>
      </c>
      <c r="G1716">
        <v>160000</v>
      </c>
      <c r="H1716">
        <v>2</v>
      </c>
      <c r="I1716" t="s">
        <v>585</v>
      </c>
      <c r="J1716">
        <v>56</v>
      </c>
      <c r="K1716">
        <v>50</v>
      </c>
      <c r="L1716">
        <v>2</v>
      </c>
      <c r="M1716" t="s">
        <v>1842</v>
      </c>
      <c r="N1716">
        <v>5</v>
      </c>
      <c r="O1716">
        <v>13</v>
      </c>
      <c r="P1716">
        <v>123574.88</v>
      </c>
      <c r="Q1716">
        <v>232352.65</v>
      </c>
      <c r="R1716">
        <v>637</v>
      </c>
      <c r="S1716">
        <v>359</v>
      </c>
      <c r="T1716" t="s">
        <v>332</v>
      </c>
      <c r="U1716" t="s">
        <v>42</v>
      </c>
    </row>
    <row r="1717" spans="1:21">
      <c r="A1717" t="s">
        <v>2743</v>
      </c>
      <c r="B1717" t="s">
        <v>1878</v>
      </c>
      <c r="C1717" t="s">
        <v>1291</v>
      </c>
      <c r="D1717">
        <v>236000</v>
      </c>
      <c r="E1717">
        <v>20000</v>
      </c>
      <c r="F1717">
        <v>236000</v>
      </c>
      <c r="H1717">
        <v>2</v>
      </c>
      <c r="I1717" t="s">
        <v>585</v>
      </c>
      <c r="J1717">
        <v>45.56</v>
      </c>
      <c r="K1717">
        <v>0</v>
      </c>
      <c r="L1717">
        <v>8</v>
      </c>
      <c r="M1717" t="s">
        <v>1842</v>
      </c>
      <c r="N1717">
        <v>9</v>
      </c>
      <c r="O1717">
        <v>10.33</v>
      </c>
      <c r="P1717">
        <v>123574.88</v>
      </c>
      <c r="Q1717">
        <v>232352.65</v>
      </c>
      <c r="R1717">
        <v>637</v>
      </c>
      <c r="S1717">
        <v>359</v>
      </c>
      <c r="T1717" t="s">
        <v>326</v>
      </c>
      <c r="U1717" t="s">
        <v>81</v>
      </c>
    </row>
    <row r="1718" spans="1:21">
      <c r="A1718" t="s">
        <v>2744</v>
      </c>
      <c r="B1718" t="s">
        <v>1878</v>
      </c>
      <c r="C1718" t="s">
        <v>1291</v>
      </c>
      <c r="D1718">
        <v>234000</v>
      </c>
      <c r="E1718">
        <v>20000</v>
      </c>
      <c r="F1718">
        <v>234000</v>
      </c>
      <c r="H1718">
        <v>5</v>
      </c>
      <c r="I1718" t="s">
        <v>585</v>
      </c>
      <c r="J1718">
        <v>42.97</v>
      </c>
      <c r="K1718">
        <v>0</v>
      </c>
      <c r="L1718">
        <v>8</v>
      </c>
      <c r="M1718" t="s">
        <v>1842</v>
      </c>
      <c r="N1718">
        <v>9</v>
      </c>
      <c r="O1718">
        <v>10.33</v>
      </c>
      <c r="P1718">
        <v>123574.88</v>
      </c>
      <c r="Q1718">
        <v>232352.65</v>
      </c>
      <c r="R1718">
        <v>637</v>
      </c>
      <c r="S1718">
        <v>359</v>
      </c>
      <c r="T1718" t="s">
        <v>326</v>
      </c>
      <c r="U1718" t="s">
        <v>81</v>
      </c>
    </row>
    <row r="1719" spans="1:21">
      <c r="A1719" t="s">
        <v>2745</v>
      </c>
      <c r="B1719" t="s">
        <v>1878</v>
      </c>
      <c r="C1719" t="s">
        <v>1291</v>
      </c>
      <c r="D1719">
        <v>246000</v>
      </c>
      <c r="E1719">
        <v>20000</v>
      </c>
      <c r="F1719">
        <v>246000</v>
      </c>
      <c r="H1719">
        <v>5</v>
      </c>
      <c r="I1719" t="s">
        <v>585</v>
      </c>
      <c r="J1719">
        <v>45.56</v>
      </c>
      <c r="K1719">
        <v>0</v>
      </c>
      <c r="L1719">
        <v>8</v>
      </c>
      <c r="M1719" t="s">
        <v>1842</v>
      </c>
      <c r="N1719">
        <v>9</v>
      </c>
      <c r="O1719">
        <v>10.33</v>
      </c>
      <c r="P1719">
        <v>123574.88</v>
      </c>
      <c r="Q1719">
        <v>232352.65</v>
      </c>
      <c r="R1719">
        <v>637</v>
      </c>
      <c r="S1719">
        <v>359</v>
      </c>
      <c r="T1719" t="s">
        <v>326</v>
      </c>
      <c r="U1719" t="s">
        <v>81</v>
      </c>
    </row>
    <row r="1720" spans="1:21">
      <c r="A1720" t="s">
        <v>2746</v>
      </c>
      <c r="B1720" t="s">
        <v>1878</v>
      </c>
      <c r="C1720" t="s">
        <v>1291</v>
      </c>
      <c r="D1720">
        <v>237000</v>
      </c>
      <c r="E1720">
        <v>20000</v>
      </c>
      <c r="F1720">
        <v>237000</v>
      </c>
      <c r="G1720">
        <v>237000</v>
      </c>
      <c r="H1720">
        <v>6</v>
      </c>
      <c r="I1720" t="s">
        <v>585</v>
      </c>
      <c r="J1720">
        <v>42.97</v>
      </c>
      <c r="K1720">
        <v>0</v>
      </c>
      <c r="L1720">
        <v>8</v>
      </c>
      <c r="M1720" t="s">
        <v>1842</v>
      </c>
      <c r="N1720">
        <v>9</v>
      </c>
      <c r="O1720">
        <v>10.33</v>
      </c>
      <c r="P1720">
        <v>123574.88</v>
      </c>
      <c r="Q1720">
        <v>232352.65</v>
      </c>
      <c r="R1720">
        <v>637</v>
      </c>
      <c r="S1720">
        <v>359</v>
      </c>
      <c r="T1720" t="s">
        <v>326</v>
      </c>
      <c r="U1720" t="s">
        <v>81</v>
      </c>
    </row>
    <row r="1721" spans="1:21">
      <c r="A1721" t="s">
        <v>2747</v>
      </c>
      <c r="B1721" t="s">
        <v>1878</v>
      </c>
      <c r="C1721" t="s">
        <v>1291</v>
      </c>
      <c r="D1721">
        <v>249000</v>
      </c>
      <c r="E1721">
        <v>20000</v>
      </c>
      <c r="F1721">
        <v>249000</v>
      </c>
      <c r="G1721">
        <v>249000</v>
      </c>
      <c r="H1721">
        <v>6</v>
      </c>
      <c r="I1721" t="s">
        <v>585</v>
      </c>
      <c r="J1721">
        <v>45.56</v>
      </c>
      <c r="K1721">
        <v>0</v>
      </c>
      <c r="L1721">
        <v>8</v>
      </c>
      <c r="M1721" t="s">
        <v>1842</v>
      </c>
      <c r="N1721">
        <v>9</v>
      </c>
      <c r="O1721">
        <v>10.33</v>
      </c>
      <c r="P1721">
        <v>123574.88</v>
      </c>
      <c r="Q1721">
        <v>232352.65</v>
      </c>
      <c r="R1721">
        <v>637</v>
      </c>
      <c r="S1721">
        <v>359</v>
      </c>
      <c r="T1721" t="s">
        <v>326</v>
      </c>
      <c r="U1721" t="s">
        <v>81</v>
      </c>
    </row>
    <row r="1722" spans="1:21">
      <c r="A1722" t="s">
        <v>2748</v>
      </c>
      <c r="B1722" t="s">
        <v>2749</v>
      </c>
      <c r="C1722" t="s">
        <v>1857</v>
      </c>
      <c r="D1722">
        <v>221000</v>
      </c>
      <c r="E1722">
        <v>5000</v>
      </c>
      <c r="F1722">
        <v>221000</v>
      </c>
      <c r="G1722">
        <v>331500</v>
      </c>
      <c r="H1722">
        <v>2</v>
      </c>
      <c r="I1722" t="s">
        <v>585</v>
      </c>
      <c r="J1722">
        <v>60.78</v>
      </c>
      <c r="K1722">
        <v>0</v>
      </c>
      <c r="L1722">
        <v>2</v>
      </c>
      <c r="M1722" t="s">
        <v>1842</v>
      </c>
      <c r="N1722">
        <v>5</v>
      </c>
      <c r="O1722">
        <v>14.33</v>
      </c>
      <c r="P1722">
        <v>123574.88</v>
      </c>
      <c r="Q1722">
        <v>232352.65</v>
      </c>
      <c r="R1722">
        <v>637</v>
      </c>
      <c r="S1722">
        <v>359</v>
      </c>
      <c r="T1722" t="s">
        <v>593</v>
      </c>
      <c r="U1722" t="s">
        <v>81</v>
      </c>
    </row>
    <row r="1723" spans="1:21">
      <c r="A1723" t="s">
        <v>2750</v>
      </c>
      <c r="B1723" t="s">
        <v>2751</v>
      </c>
      <c r="C1723" t="s">
        <v>1743</v>
      </c>
      <c r="D1723">
        <v>143000</v>
      </c>
      <c r="E1723">
        <v>3000</v>
      </c>
      <c r="F1723">
        <v>143000</v>
      </c>
      <c r="G1723">
        <v>286000</v>
      </c>
      <c r="H1723">
        <v>1</v>
      </c>
      <c r="I1723" t="s">
        <v>585</v>
      </c>
      <c r="J1723">
        <v>46.75</v>
      </c>
      <c r="K1723">
        <v>13</v>
      </c>
      <c r="L1723">
        <v>3</v>
      </c>
      <c r="M1723" t="s">
        <v>1842</v>
      </c>
      <c r="N1723">
        <v>12</v>
      </c>
      <c r="O1723">
        <v>17.329999999999998</v>
      </c>
      <c r="P1723">
        <v>123574.88</v>
      </c>
      <c r="Q1723">
        <v>232352.65</v>
      </c>
      <c r="R1723">
        <v>637</v>
      </c>
      <c r="S1723">
        <v>359</v>
      </c>
      <c r="T1723" t="s">
        <v>326</v>
      </c>
      <c r="U1723" t="s">
        <v>90</v>
      </c>
    </row>
    <row r="1724" spans="1:21">
      <c r="A1724" t="s">
        <v>2752</v>
      </c>
      <c r="B1724" t="s">
        <v>2753</v>
      </c>
      <c r="C1724" t="s">
        <v>1857</v>
      </c>
      <c r="D1724">
        <v>157000</v>
      </c>
      <c r="E1724">
        <v>8000</v>
      </c>
      <c r="G1724">
        <v>157000</v>
      </c>
      <c r="H1724">
        <v>2</v>
      </c>
      <c r="I1724" t="s">
        <v>585</v>
      </c>
      <c r="J1724">
        <v>50.92</v>
      </c>
      <c r="K1724">
        <v>4</v>
      </c>
      <c r="L1724">
        <v>3</v>
      </c>
      <c r="M1724" t="s">
        <v>1842</v>
      </c>
      <c r="N1724">
        <v>5</v>
      </c>
      <c r="O1724">
        <v>11.67</v>
      </c>
      <c r="P1724">
        <v>123574.88</v>
      </c>
      <c r="Q1724">
        <v>232352.65</v>
      </c>
      <c r="R1724">
        <v>637</v>
      </c>
      <c r="S1724">
        <v>359</v>
      </c>
      <c r="T1724" t="s">
        <v>332</v>
      </c>
      <c r="U1724" t="s">
        <v>31</v>
      </c>
    </row>
    <row r="1725" spans="1:21">
      <c r="A1725" t="s">
        <v>2754</v>
      </c>
      <c r="B1725" t="s">
        <v>2366</v>
      </c>
      <c r="C1725" t="s">
        <v>1841</v>
      </c>
      <c r="D1725">
        <v>190000</v>
      </c>
      <c r="E1725">
        <v>10000</v>
      </c>
      <c r="H1725">
        <v>2</v>
      </c>
      <c r="I1725" t="s">
        <v>585</v>
      </c>
      <c r="J1725">
        <v>41.02</v>
      </c>
      <c r="K1725">
        <v>0</v>
      </c>
      <c r="L1725">
        <v>4</v>
      </c>
      <c r="M1725" t="s">
        <v>1842</v>
      </c>
      <c r="N1725">
        <v>7</v>
      </c>
      <c r="O1725">
        <v>17.670000000000002</v>
      </c>
      <c r="P1725">
        <v>123574.88</v>
      </c>
      <c r="Q1725">
        <v>232352.65</v>
      </c>
      <c r="R1725">
        <v>637</v>
      </c>
      <c r="S1725">
        <v>359</v>
      </c>
      <c r="T1725" t="s">
        <v>326</v>
      </c>
      <c r="U1725" t="s">
        <v>81</v>
      </c>
    </row>
    <row r="1726" spans="1:21">
      <c r="A1726" t="s">
        <v>2755</v>
      </c>
      <c r="B1726" t="s">
        <v>2366</v>
      </c>
      <c r="C1726" t="s">
        <v>1841</v>
      </c>
      <c r="D1726">
        <v>188000</v>
      </c>
      <c r="E1726">
        <v>10000</v>
      </c>
      <c r="H1726">
        <v>3</v>
      </c>
      <c r="I1726" t="s">
        <v>585</v>
      </c>
      <c r="J1726">
        <v>41.02</v>
      </c>
      <c r="K1726">
        <v>0</v>
      </c>
      <c r="L1726">
        <v>4</v>
      </c>
      <c r="M1726" t="s">
        <v>1842</v>
      </c>
      <c r="N1726">
        <v>7</v>
      </c>
      <c r="O1726">
        <v>17.670000000000002</v>
      </c>
      <c r="P1726">
        <v>123574.88</v>
      </c>
      <c r="Q1726">
        <v>232352.65</v>
      </c>
      <c r="R1726">
        <v>637</v>
      </c>
      <c r="S1726">
        <v>359</v>
      </c>
      <c r="T1726" t="s">
        <v>326</v>
      </c>
      <c r="U1726" t="s">
        <v>81</v>
      </c>
    </row>
    <row r="1727" spans="1:21">
      <c r="A1727" t="s">
        <v>2756</v>
      </c>
      <c r="B1727" t="s">
        <v>2366</v>
      </c>
      <c r="C1727" t="s">
        <v>1841</v>
      </c>
      <c r="D1727">
        <v>191000</v>
      </c>
      <c r="E1727">
        <v>10000</v>
      </c>
      <c r="H1727">
        <v>3</v>
      </c>
      <c r="I1727" t="s">
        <v>585</v>
      </c>
      <c r="J1727">
        <v>41.02</v>
      </c>
      <c r="K1727">
        <v>0</v>
      </c>
      <c r="L1727">
        <v>4</v>
      </c>
      <c r="M1727" t="s">
        <v>1842</v>
      </c>
      <c r="N1727">
        <v>7</v>
      </c>
      <c r="O1727">
        <v>17.670000000000002</v>
      </c>
      <c r="P1727">
        <v>123574.88</v>
      </c>
      <c r="Q1727">
        <v>232352.65</v>
      </c>
      <c r="R1727">
        <v>637</v>
      </c>
      <c r="S1727">
        <v>359</v>
      </c>
      <c r="T1727" t="s">
        <v>326</v>
      </c>
      <c r="U1727" t="s">
        <v>81</v>
      </c>
    </row>
    <row r="1728" spans="1:21">
      <c r="A1728" t="s">
        <v>2757</v>
      </c>
      <c r="B1728" t="s">
        <v>2366</v>
      </c>
      <c r="C1728" t="s">
        <v>1841</v>
      </c>
      <c r="D1728">
        <v>188000</v>
      </c>
      <c r="E1728">
        <v>10000</v>
      </c>
      <c r="H1728">
        <v>4</v>
      </c>
      <c r="I1728" t="s">
        <v>585</v>
      </c>
      <c r="J1728">
        <v>41.02</v>
      </c>
      <c r="K1728">
        <v>0</v>
      </c>
      <c r="L1728">
        <v>4</v>
      </c>
      <c r="M1728" t="s">
        <v>1842</v>
      </c>
      <c r="N1728">
        <v>7</v>
      </c>
      <c r="O1728">
        <v>17.670000000000002</v>
      </c>
      <c r="P1728">
        <v>123574.88</v>
      </c>
      <c r="Q1728">
        <v>232352.65</v>
      </c>
      <c r="R1728">
        <v>637</v>
      </c>
      <c r="S1728">
        <v>359</v>
      </c>
      <c r="T1728" t="s">
        <v>326</v>
      </c>
      <c r="U1728" t="s">
        <v>81</v>
      </c>
    </row>
    <row r="1729" spans="1:21">
      <c r="A1729" t="s">
        <v>2758</v>
      </c>
      <c r="B1729" t="s">
        <v>2366</v>
      </c>
      <c r="C1729" t="s">
        <v>1841</v>
      </c>
      <c r="D1729">
        <v>191000</v>
      </c>
      <c r="E1729">
        <v>10000</v>
      </c>
      <c r="H1729">
        <v>4</v>
      </c>
      <c r="I1729" t="s">
        <v>585</v>
      </c>
      <c r="J1729">
        <v>41.02</v>
      </c>
      <c r="K1729">
        <v>0</v>
      </c>
      <c r="L1729">
        <v>4</v>
      </c>
      <c r="M1729" t="s">
        <v>1842</v>
      </c>
      <c r="N1729">
        <v>7</v>
      </c>
      <c r="O1729">
        <v>17.670000000000002</v>
      </c>
      <c r="P1729">
        <v>123574.88</v>
      </c>
      <c r="Q1729">
        <v>232352.65</v>
      </c>
      <c r="R1729">
        <v>637</v>
      </c>
      <c r="S1729">
        <v>359</v>
      </c>
      <c r="T1729" t="s">
        <v>326</v>
      </c>
      <c r="U1729" t="s">
        <v>81</v>
      </c>
    </row>
    <row r="1730" spans="1:21">
      <c r="A1730" t="s">
        <v>2759</v>
      </c>
      <c r="B1730" t="s">
        <v>2184</v>
      </c>
      <c r="C1730" t="s">
        <v>1857</v>
      </c>
      <c r="D1730">
        <v>164000</v>
      </c>
      <c r="E1730">
        <v>4000</v>
      </c>
      <c r="F1730">
        <v>164000</v>
      </c>
      <c r="H1730">
        <v>3</v>
      </c>
      <c r="I1730" t="s">
        <v>585</v>
      </c>
      <c r="J1730">
        <v>45.6</v>
      </c>
      <c r="K1730">
        <v>20</v>
      </c>
      <c r="L1730">
        <v>4</v>
      </c>
      <c r="M1730" t="s">
        <v>1842</v>
      </c>
      <c r="N1730">
        <v>8</v>
      </c>
      <c r="O1730">
        <v>14</v>
      </c>
      <c r="P1730">
        <v>123574.88</v>
      </c>
      <c r="Q1730">
        <v>232352.65</v>
      </c>
      <c r="R1730">
        <v>637</v>
      </c>
      <c r="S1730">
        <v>359</v>
      </c>
      <c r="T1730" t="s">
        <v>326</v>
      </c>
      <c r="U1730" t="s">
        <v>90</v>
      </c>
    </row>
    <row r="1731" spans="1:21">
      <c r="A1731" t="s">
        <v>2760</v>
      </c>
      <c r="B1731" t="s">
        <v>2189</v>
      </c>
      <c r="C1731" t="s">
        <v>688</v>
      </c>
      <c r="D1731">
        <v>199000</v>
      </c>
      <c r="E1731">
        <v>10000</v>
      </c>
      <c r="F1731">
        <v>99500</v>
      </c>
      <c r="G1731">
        <v>199000</v>
      </c>
      <c r="H1731">
        <v>1</v>
      </c>
      <c r="I1731" t="s">
        <v>585</v>
      </c>
      <c r="J1731">
        <v>55.73</v>
      </c>
      <c r="K1731">
        <v>4</v>
      </c>
      <c r="L1731">
        <v>4</v>
      </c>
      <c r="M1731" t="s">
        <v>1842</v>
      </c>
      <c r="N1731">
        <v>5</v>
      </c>
      <c r="O1731">
        <v>13.67</v>
      </c>
      <c r="P1731">
        <v>123574.88</v>
      </c>
      <c r="Q1731">
        <v>232352.65</v>
      </c>
      <c r="R1731">
        <v>637</v>
      </c>
      <c r="S1731">
        <v>359</v>
      </c>
      <c r="T1731" t="s">
        <v>332</v>
      </c>
      <c r="U1731" t="s">
        <v>31</v>
      </c>
    </row>
    <row r="1732" spans="1:21">
      <c r="A1732" t="s">
        <v>2761</v>
      </c>
      <c r="B1732" t="s">
        <v>1919</v>
      </c>
      <c r="C1732" t="s">
        <v>1743</v>
      </c>
      <c r="D1732">
        <v>203000</v>
      </c>
      <c r="E1732">
        <v>12000</v>
      </c>
      <c r="F1732">
        <v>203000</v>
      </c>
      <c r="G1732">
        <v>203000</v>
      </c>
      <c r="H1732">
        <v>2</v>
      </c>
      <c r="I1732" t="s">
        <v>585</v>
      </c>
      <c r="J1732">
        <v>56.3</v>
      </c>
      <c r="K1732">
        <v>17</v>
      </c>
      <c r="L1732">
        <v>8</v>
      </c>
      <c r="M1732" t="s">
        <v>1842</v>
      </c>
      <c r="N1732">
        <v>10</v>
      </c>
      <c r="O1732">
        <v>17</v>
      </c>
      <c r="P1732">
        <v>123574.88</v>
      </c>
      <c r="Q1732">
        <v>232352.65</v>
      </c>
      <c r="R1732">
        <v>637</v>
      </c>
      <c r="S1732">
        <v>359</v>
      </c>
      <c r="T1732" t="s">
        <v>332</v>
      </c>
      <c r="U1732" t="s">
        <v>90</v>
      </c>
    </row>
    <row r="1733" spans="1:21">
      <c r="A1733" t="s">
        <v>2762</v>
      </c>
      <c r="B1733" t="s">
        <v>1529</v>
      </c>
      <c r="C1733" t="s">
        <v>1857</v>
      </c>
      <c r="D1733">
        <v>157000</v>
      </c>
      <c r="E1733">
        <v>8000</v>
      </c>
      <c r="G1733">
        <v>157000</v>
      </c>
      <c r="H1733">
        <v>2</v>
      </c>
      <c r="I1733" t="s">
        <v>585</v>
      </c>
      <c r="J1733">
        <v>50.92</v>
      </c>
      <c r="K1733">
        <v>4</v>
      </c>
      <c r="L1733">
        <v>3</v>
      </c>
      <c r="M1733" t="s">
        <v>1842</v>
      </c>
      <c r="N1733">
        <v>5</v>
      </c>
      <c r="O1733">
        <v>13.33</v>
      </c>
      <c r="P1733">
        <v>123574.88</v>
      </c>
      <c r="Q1733">
        <v>232352.65</v>
      </c>
      <c r="R1733">
        <v>637</v>
      </c>
      <c r="S1733">
        <v>359</v>
      </c>
      <c r="T1733" t="s">
        <v>332</v>
      </c>
      <c r="U1733" t="s">
        <v>31</v>
      </c>
    </row>
    <row r="1734" spans="1:21">
      <c r="A1734" t="s">
        <v>2763</v>
      </c>
      <c r="B1734" t="s">
        <v>1932</v>
      </c>
      <c r="C1734" t="s">
        <v>1857</v>
      </c>
      <c r="D1734">
        <v>226500</v>
      </c>
      <c r="E1734">
        <v>15000</v>
      </c>
      <c r="H1734">
        <v>1</v>
      </c>
      <c r="I1734" t="s">
        <v>585</v>
      </c>
      <c r="J1734">
        <v>47.73</v>
      </c>
      <c r="K1734">
        <v>1</v>
      </c>
      <c r="L1734">
        <v>5</v>
      </c>
      <c r="M1734" t="s">
        <v>1842</v>
      </c>
      <c r="N1734">
        <v>10</v>
      </c>
      <c r="O1734">
        <v>12.33</v>
      </c>
      <c r="P1734">
        <v>123574.88</v>
      </c>
      <c r="Q1734">
        <v>232352.65</v>
      </c>
      <c r="R1734">
        <v>637</v>
      </c>
      <c r="S1734">
        <v>359</v>
      </c>
      <c r="T1734" t="s">
        <v>326</v>
      </c>
      <c r="U1734" t="s">
        <v>31</v>
      </c>
    </row>
    <row r="1735" spans="1:21">
      <c r="A1735" t="s">
        <v>2764</v>
      </c>
      <c r="B1735" t="s">
        <v>1932</v>
      </c>
      <c r="C1735" t="s">
        <v>1857</v>
      </c>
      <c r="D1735">
        <v>227000</v>
      </c>
      <c r="E1735">
        <v>15000</v>
      </c>
      <c r="H1735">
        <v>2</v>
      </c>
      <c r="I1735" t="s">
        <v>585</v>
      </c>
      <c r="J1735">
        <v>47.73</v>
      </c>
      <c r="K1735">
        <v>1</v>
      </c>
      <c r="L1735">
        <v>5</v>
      </c>
      <c r="M1735" t="s">
        <v>1842</v>
      </c>
      <c r="N1735">
        <v>10</v>
      </c>
      <c r="O1735">
        <v>12.33</v>
      </c>
      <c r="P1735">
        <v>123574.88</v>
      </c>
      <c r="Q1735">
        <v>232352.65</v>
      </c>
      <c r="R1735">
        <v>637</v>
      </c>
      <c r="S1735">
        <v>359</v>
      </c>
      <c r="T1735" t="s">
        <v>326</v>
      </c>
      <c r="U1735" t="s">
        <v>31</v>
      </c>
    </row>
    <row r="1736" spans="1:21">
      <c r="A1736" t="s">
        <v>2765</v>
      </c>
      <c r="B1736" t="s">
        <v>1932</v>
      </c>
      <c r="C1736" t="s">
        <v>1857</v>
      </c>
      <c r="D1736">
        <v>227500</v>
      </c>
      <c r="E1736">
        <v>15000</v>
      </c>
      <c r="H1736">
        <v>3</v>
      </c>
      <c r="I1736" t="s">
        <v>585</v>
      </c>
      <c r="J1736">
        <v>47.73</v>
      </c>
      <c r="K1736">
        <v>1</v>
      </c>
      <c r="L1736">
        <v>5</v>
      </c>
      <c r="M1736" t="s">
        <v>1842</v>
      </c>
      <c r="N1736">
        <v>10</v>
      </c>
      <c r="O1736">
        <v>12.33</v>
      </c>
      <c r="P1736">
        <v>123574.88</v>
      </c>
      <c r="Q1736">
        <v>232352.65</v>
      </c>
      <c r="R1736">
        <v>637</v>
      </c>
      <c r="S1736">
        <v>359</v>
      </c>
      <c r="T1736" t="s">
        <v>326</v>
      </c>
      <c r="U1736" t="s">
        <v>31</v>
      </c>
    </row>
    <row r="1737" spans="1:21">
      <c r="A1737" t="s">
        <v>2766</v>
      </c>
      <c r="B1737" t="s">
        <v>1932</v>
      </c>
      <c r="C1737" t="s">
        <v>1857</v>
      </c>
      <c r="D1737">
        <v>203500</v>
      </c>
      <c r="E1737">
        <v>15000</v>
      </c>
      <c r="H1737">
        <v>4</v>
      </c>
      <c r="I1737" t="s">
        <v>585</v>
      </c>
      <c r="J1737">
        <v>42.75</v>
      </c>
      <c r="K1737">
        <v>1</v>
      </c>
      <c r="L1737">
        <v>5</v>
      </c>
      <c r="M1737" t="s">
        <v>1842</v>
      </c>
      <c r="N1737">
        <v>10</v>
      </c>
      <c r="O1737">
        <v>12.33</v>
      </c>
      <c r="P1737">
        <v>123574.88</v>
      </c>
      <c r="Q1737">
        <v>232352.65</v>
      </c>
      <c r="R1737">
        <v>637</v>
      </c>
      <c r="S1737">
        <v>359</v>
      </c>
      <c r="T1737" t="s">
        <v>326</v>
      </c>
      <c r="U1737" t="s">
        <v>31</v>
      </c>
    </row>
    <row r="1738" spans="1:21">
      <c r="A1738" t="s">
        <v>2767</v>
      </c>
      <c r="B1738" t="s">
        <v>1939</v>
      </c>
      <c r="C1738" t="s">
        <v>1291</v>
      </c>
      <c r="D1738">
        <v>236000</v>
      </c>
      <c r="E1738">
        <v>20000</v>
      </c>
      <c r="F1738">
        <v>236000</v>
      </c>
      <c r="H1738">
        <v>2</v>
      </c>
      <c r="I1738" t="s">
        <v>585</v>
      </c>
      <c r="J1738">
        <v>45.56</v>
      </c>
      <c r="K1738">
        <v>0</v>
      </c>
      <c r="L1738">
        <v>8</v>
      </c>
      <c r="M1738" t="s">
        <v>1842</v>
      </c>
      <c r="N1738">
        <v>9</v>
      </c>
      <c r="O1738">
        <v>9.67</v>
      </c>
      <c r="P1738">
        <v>123574.88</v>
      </c>
      <c r="Q1738">
        <v>232352.65</v>
      </c>
      <c r="R1738">
        <v>637</v>
      </c>
      <c r="S1738">
        <v>359</v>
      </c>
      <c r="T1738" t="s">
        <v>326</v>
      </c>
      <c r="U1738" t="s">
        <v>81</v>
      </c>
    </row>
    <row r="1739" spans="1:21">
      <c r="A1739" t="s">
        <v>2768</v>
      </c>
      <c r="B1739" t="s">
        <v>1939</v>
      </c>
      <c r="C1739" t="s">
        <v>1291</v>
      </c>
      <c r="D1739">
        <v>232000</v>
      </c>
      <c r="E1739">
        <v>20000</v>
      </c>
      <c r="F1739">
        <v>232000</v>
      </c>
      <c r="H1739">
        <v>4</v>
      </c>
      <c r="I1739" t="s">
        <v>585</v>
      </c>
      <c r="J1739">
        <v>42.97</v>
      </c>
      <c r="K1739">
        <v>0</v>
      </c>
      <c r="L1739">
        <v>8</v>
      </c>
      <c r="M1739" t="s">
        <v>1842</v>
      </c>
      <c r="N1739">
        <v>9</v>
      </c>
      <c r="O1739">
        <v>9.67</v>
      </c>
      <c r="P1739">
        <v>123574.88</v>
      </c>
      <c r="Q1739">
        <v>232352.65</v>
      </c>
      <c r="R1739">
        <v>637</v>
      </c>
      <c r="S1739">
        <v>359</v>
      </c>
      <c r="T1739" t="s">
        <v>326</v>
      </c>
      <c r="U1739" t="s">
        <v>81</v>
      </c>
    </row>
    <row r="1740" spans="1:21">
      <c r="A1740" t="s">
        <v>2769</v>
      </c>
      <c r="B1740" t="s">
        <v>1939</v>
      </c>
      <c r="C1740" t="s">
        <v>1291</v>
      </c>
      <c r="D1740">
        <v>234000</v>
      </c>
      <c r="E1740">
        <v>20000</v>
      </c>
      <c r="F1740">
        <v>234000</v>
      </c>
      <c r="H1740">
        <v>5</v>
      </c>
      <c r="I1740" t="s">
        <v>585</v>
      </c>
      <c r="J1740">
        <v>42.97</v>
      </c>
      <c r="K1740">
        <v>0</v>
      </c>
      <c r="L1740">
        <v>8</v>
      </c>
      <c r="M1740" t="s">
        <v>1842</v>
      </c>
      <c r="N1740">
        <v>9</v>
      </c>
      <c r="O1740">
        <v>9.67</v>
      </c>
      <c r="P1740">
        <v>123574.88</v>
      </c>
      <c r="Q1740">
        <v>232352.65</v>
      </c>
      <c r="R1740">
        <v>637</v>
      </c>
      <c r="S1740">
        <v>359</v>
      </c>
      <c r="T1740" t="s">
        <v>326</v>
      </c>
      <c r="U1740" t="s">
        <v>81</v>
      </c>
    </row>
    <row r="1741" spans="1:21">
      <c r="A1741" t="s">
        <v>2770</v>
      </c>
      <c r="B1741" t="s">
        <v>1939</v>
      </c>
      <c r="C1741" t="s">
        <v>1291</v>
      </c>
      <c r="D1741">
        <v>246000</v>
      </c>
      <c r="E1741">
        <v>20000</v>
      </c>
      <c r="F1741">
        <v>246000</v>
      </c>
      <c r="H1741">
        <v>5</v>
      </c>
      <c r="I1741" t="s">
        <v>585</v>
      </c>
      <c r="J1741">
        <v>45.56</v>
      </c>
      <c r="K1741">
        <v>0</v>
      </c>
      <c r="L1741">
        <v>8</v>
      </c>
      <c r="M1741" t="s">
        <v>1842</v>
      </c>
      <c r="N1741">
        <v>9</v>
      </c>
      <c r="O1741">
        <v>9.67</v>
      </c>
      <c r="P1741">
        <v>123574.88</v>
      </c>
      <c r="Q1741">
        <v>232352.65</v>
      </c>
      <c r="R1741">
        <v>637</v>
      </c>
      <c r="S1741">
        <v>359</v>
      </c>
      <c r="T1741" t="s">
        <v>326</v>
      </c>
      <c r="U1741" t="s">
        <v>81</v>
      </c>
    </row>
    <row r="1742" spans="1:21">
      <c r="A1742" t="s">
        <v>2771</v>
      </c>
      <c r="B1742" t="s">
        <v>1939</v>
      </c>
      <c r="C1742" t="s">
        <v>1291</v>
      </c>
      <c r="D1742">
        <v>237000</v>
      </c>
      <c r="E1742">
        <v>20000</v>
      </c>
      <c r="F1742">
        <v>237000</v>
      </c>
      <c r="G1742">
        <v>237000</v>
      </c>
      <c r="H1742">
        <v>6</v>
      </c>
      <c r="I1742" t="s">
        <v>585</v>
      </c>
      <c r="J1742">
        <v>42.97</v>
      </c>
      <c r="K1742">
        <v>0</v>
      </c>
      <c r="L1742">
        <v>8</v>
      </c>
      <c r="M1742" t="s">
        <v>1842</v>
      </c>
      <c r="N1742">
        <v>9</v>
      </c>
      <c r="O1742">
        <v>9.67</v>
      </c>
      <c r="P1742">
        <v>123574.88</v>
      </c>
      <c r="Q1742">
        <v>232352.65</v>
      </c>
      <c r="R1742">
        <v>637</v>
      </c>
      <c r="S1742">
        <v>359</v>
      </c>
      <c r="T1742" t="s">
        <v>326</v>
      </c>
      <c r="U1742" t="s">
        <v>81</v>
      </c>
    </row>
    <row r="1743" spans="1:21">
      <c r="A1743" t="s">
        <v>2772</v>
      </c>
      <c r="B1743" t="s">
        <v>1939</v>
      </c>
      <c r="C1743" t="s">
        <v>1291</v>
      </c>
      <c r="D1743">
        <v>249000</v>
      </c>
      <c r="E1743">
        <v>20000</v>
      </c>
      <c r="F1743">
        <v>249000</v>
      </c>
      <c r="G1743">
        <v>249000</v>
      </c>
      <c r="H1743">
        <v>6</v>
      </c>
      <c r="I1743" t="s">
        <v>585</v>
      </c>
      <c r="J1743">
        <v>45.56</v>
      </c>
      <c r="K1743">
        <v>0</v>
      </c>
      <c r="L1743">
        <v>8</v>
      </c>
      <c r="M1743" t="s">
        <v>1842</v>
      </c>
      <c r="N1743">
        <v>9</v>
      </c>
      <c r="O1743">
        <v>9.67</v>
      </c>
      <c r="P1743">
        <v>123574.88</v>
      </c>
      <c r="Q1743">
        <v>232352.65</v>
      </c>
      <c r="R1743">
        <v>637</v>
      </c>
      <c r="S1743">
        <v>359</v>
      </c>
      <c r="T1743" t="s">
        <v>326</v>
      </c>
      <c r="U1743" t="s">
        <v>81</v>
      </c>
    </row>
    <row r="1744" spans="1:21">
      <c r="A1744" t="s">
        <v>2773</v>
      </c>
      <c r="B1744" t="s">
        <v>1939</v>
      </c>
      <c r="C1744" t="s">
        <v>1291</v>
      </c>
      <c r="D1744">
        <v>238000</v>
      </c>
      <c r="E1744">
        <v>20000</v>
      </c>
      <c r="F1744">
        <v>238000</v>
      </c>
      <c r="G1744">
        <v>238000</v>
      </c>
      <c r="H1744">
        <v>7</v>
      </c>
      <c r="I1744" t="s">
        <v>585</v>
      </c>
      <c r="J1744">
        <v>42.97</v>
      </c>
      <c r="K1744">
        <v>0</v>
      </c>
      <c r="L1744">
        <v>8</v>
      </c>
      <c r="M1744" t="s">
        <v>1842</v>
      </c>
      <c r="N1744">
        <v>9</v>
      </c>
      <c r="O1744">
        <v>9.67</v>
      </c>
      <c r="P1744">
        <v>123574.88</v>
      </c>
      <c r="Q1744">
        <v>232352.65</v>
      </c>
      <c r="R1744">
        <v>637</v>
      </c>
      <c r="S1744">
        <v>359</v>
      </c>
      <c r="T1744" t="s">
        <v>326</v>
      </c>
      <c r="U1744" t="s">
        <v>81</v>
      </c>
    </row>
    <row r="1745" spans="1:21">
      <c r="A1745" t="s">
        <v>2774</v>
      </c>
      <c r="B1745" t="s">
        <v>2775</v>
      </c>
      <c r="C1745" t="s">
        <v>1743</v>
      </c>
      <c r="D1745">
        <v>217000</v>
      </c>
      <c r="E1745">
        <v>8000</v>
      </c>
      <c r="F1745">
        <v>108500</v>
      </c>
      <c r="H1745">
        <v>1</v>
      </c>
      <c r="I1745" t="s">
        <v>585</v>
      </c>
      <c r="J1745">
        <v>57.6</v>
      </c>
      <c r="K1745">
        <v>0</v>
      </c>
      <c r="L1745">
        <v>3</v>
      </c>
      <c r="M1745" t="s">
        <v>1842</v>
      </c>
      <c r="N1745">
        <v>9</v>
      </c>
      <c r="O1745">
        <v>14.33</v>
      </c>
      <c r="P1745">
        <v>123574.88</v>
      </c>
      <c r="Q1745">
        <v>232352.65</v>
      </c>
      <c r="R1745">
        <v>637</v>
      </c>
      <c r="S1745">
        <v>359</v>
      </c>
      <c r="T1745" t="s">
        <v>332</v>
      </c>
      <c r="U1745" t="s">
        <v>81</v>
      </c>
    </row>
    <row r="1746" spans="1:21">
      <c r="A1746" t="s">
        <v>2776</v>
      </c>
      <c r="B1746" t="s">
        <v>2775</v>
      </c>
      <c r="C1746" t="s">
        <v>1743</v>
      </c>
      <c r="D1746">
        <v>231000</v>
      </c>
      <c r="E1746">
        <v>10000</v>
      </c>
      <c r="F1746">
        <v>115500</v>
      </c>
      <c r="H1746">
        <v>3</v>
      </c>
      <c r="I1746" t="s">
        <v>585</v>
      </c>
      <c r="J1746">
        <v>57.6</v>
      </c>
      <c r="K1746">
        <v>0</v>
      </c>
      <c r="L1746">
        <v>3</v>
      </c>
      <c r="M1746" t="s">
        <v>1842</v>
      </c>
      <c r="N1746">
        <v>9</v>
      </c>
      <c r="O1746">
        <v>14.33</v>
      </c>
      <c r="P1746">
        <v>123574.88</v>
      </c>
      <c r="Q1746">
        <v>232352.65</v>
      </c>
      <c r="R1746">
        <v>637</v>
      </c>
      <c r="S1746">
        <v>359</v>
      </c>
      <c r="T1746" t="s">
        <v>332</v>
      </c>
      <c r="U1746" t="s">
        <v>81</v>
      </c>
    </row>
    <row r="1747" spans="1:21">
      <c r="A1747" t="s">
        <v>2777</v>
      </c>
      <c r="B1747" t="s">
        <v>2778</v>
      </c>
      <c r="C1747" t="s">
        <v>1870</v>
      </c>
      <c r="D1747">
        <v>165000</v>
      </c>
      <c r="E1747">
        <v>10000</v>
      </c>
      <c r="F1747">
        <v>165000</v>
      </c>
      <c r="G1747">
        <v>198000</v>
      </c>
      <c r="H1747">
        <v>4</v>
      </c>
      <c r="I1747" t="s">
        <v>642</v>
      </c>
      <c r="J1747">
        <v>58.12</v>
      </c>
      <c r="K1747">
        <v>39</v>
      </c>
      <c r="L1747">
        <v>6</v>
      </c>
      <c r="M1747" t="s">
        <v>1842</v>
      </c>
      <c r="N1747">
        <v>6</v>
      </c>
      <c r="O1747">
        <v>10.67</v>
      </c>
      <c r="P1747">
        <v>123574.88</v>
      </c>
      <c r="Q1747">
        <v>282153.84999999998</v>
      </c>
      <c r="R1747">
        <v>637</v>
      </c>
      <c r="S1747">
        <v>26</v>
      </c>
      <c r="T1747" t="s">
        <v>332</v>
      </c>
      <c r="U1747" t="s">
        <v>49</v>
      </c>
    </row>
    <row r="1748" spans="1:21">
      <c r="A1748" t="s">
        <v>2779</v>
      </c>
      <c r="B1748" t="s">
        <v>1878</v>
      </c>
      <c r="C1748" t="s">
        <v>1291</v>
      </c>
      <c r="D1748">
        <v>238000</v>
      </c>
      <c r="E1748">
        <v>20000</v>
      </c>
      <c r="F1748">
        <v>238000</v>
      </c>
      <c r="H1748">
        <v>3</v>
      </c>
      <c r="I1748" t="s">
        <v>642</v>
      </c>
      <c r="J1748">
        <v>45.56</v>
      </c>
      <c r="K1748">
        <v>0</v>
      </c>
      <c r="L1748">
        <v>8</v>
      </c>
      <c r="M1748" t="s">
        <v>1842</v>
      </c>
      <c r="N1748">
        <v>9</v>
      </c>
      <c r="O1748">
        <v>10.33</v>
      </c>
      <c r="P1748">
        <v>123574.88</v>
      </c>
      <c r="Q1748">
        <v>282153.84999999998</v>
      </c>
      <c r="R1748">
        <v>637</v>
      </c>
      <c r="S1748">
        <v>26</v>
      </c>
      <c r="T1748" t="s">
        <v>326</v>
      </c>
      <c r="U1748" t="s">
        <v>81</v>
      </c>
    </row>
    <row r="1749" spans="1:21">
      <c r="A1749" t="s">
        <v>2780</v>
      </c>
      <c r="B1749" t="s">
        <v>1878</v>
      </c>
      <c r="C1749" t="s">
        <v>1291</v>
      </c>
      <c r="D1749">
        <v>232000</v>
      </c>
      <c r="E1749">
        <v>20000</v>
      </c>
      <c r="F1749">
        <v>232000</v>
      </c>
      <c r="H1749">
        <v>4</v>
      </c>
      <c r="I1749" t="s">
        <v>642</v>
      </c>
      <c r="J1749">
        <v>42.97</v>
      </c>
      <c r="K1749">
        <v>0</v>
      </c>
      <c r="L1749">
        <v>8</v>
      </c>
      <c r="M1749" t="s">
        <v>1842</v>
      </c>
      <c r="N1749">
        <v>9</v>
      </c>
      <c r="O1749">
        <v>10.33</v>
      </c>
      <c r="P1749">
        <v>123574.88</v>
      </c>
      <c r="Q1749">
        <v>282153.84999999998</v>
      </c>
      <c r="R1749">
        <v>637</v>
      </c>
      <c r="S1749">
        <v>26</v>
      </c>
      <c r="T1749" t="s">
        <v>326</v>
      </c>
      <c r="U1749" t="s">
        <v>81</v>
      </c>
    </row>
    <row r="1750" spans="1:21">
      <c r="A1750" t="s">
        <v>2781</v>
      </c>
      <c r="B1750" t="s">
        <v>1878</v>
      </c>
      <c r="C1750" t="s">
        <v>1291</v>
      </c>
      <c r="D1750">
        <v>238000</v>
      </c>
      <c r="E1750">
        <v>20000</v>
      </c>
      <c r="F1750">
        <v>238000</v>
      </c>
      <c r="G1750">
        <v>238000</v>
      </c>
      <c r="H1750">
        <v>7</v>
      </c>
      <c r="I1750" t="s">
        <v>642</v>
      </c>
      <c r="J1750">
        <v>42.97</v>
      </c>
      <c r="K1750">
        <v>0</v>
      </c>
      <c r="L1750">
        <v>8</v>
      </c>
      <c r="M1750" t="s">
        <v>1842</v>
      </c>
      <c r="N1750">
        <v>9</v>
      </c>
      <c r="O1750">
        <v>10.33</v>
      </c>
      <c r="P1750">
        <v>123574.88</v>
      </c>
      <c r="Q1750">
        <v>282153.84999999998</v>
      </c>
      <c r="R1750">
        <v>637</v>
      </c>
      <c r="S1750">
        <v>26</v>
      </c>
      <c r="T1750" t="s">
        <v>326</v>
      </c>
      <c r="U1750" t="s">
        <v>81</v>
      </c>
    </row>
    <row r="1751" spans="1:21">
      <c r="A1751" t="s">
        <v>2782</v>
      </c>
      <c r="B1751" t="s">
        <v>2783</v>
      </c>
      <c r="C1751" t="s">
        <v>1857</v>
      </c>
      <c r="D1751">
        <v>215000</v>
      </c>
      <c r="F1751">
        <v>215000</v>
      </c>
      <c r="G1751">
        <v>215000</v>
      </c>
      <c r="H1751">
        <v>1</v>
      </c>
      <c r="I1751" t="s">
        <v>642</v>
      </c>
      <c r="J1751">
        <v>53.8</v>
      </c>
      <c r="K1751">
        <v>13</v>
      </c>
      <c r="L1751">
        <v>3</v>
      </c>
      <c r="M1751" t="s">
        <v>1842</v>
      </c>
      <c r="N1751">
        <v>8</v>
      </c>
      <c r="O1751">
        <v>13.33</v>
      </c>
      <c r="P1751">
        <v>123574.88</v>
      </c>
      <c r="Q1751">
        <v>282153.84999999998</v>
      </c>
      <c r="R1751">
        <v>637</v>
      </c>
      <c r="S1751">
        <v>26</v>
      </c>
      <c r="T1751" t="s">
        <v>332</v>
      </c>
      <c r="U1751" t="s">
        <v>90</v>
      </c>
    </row>
    <row r="1752" spans="1:21">
      <c r="A1752" t="s">
        <v>2784</v>
      </c>
      <c r="B1752" t="s">
        <v>2785</v>
      </c>
      <c r="C1752" t="s">
        <v>1873</v>
      </c>
      <c r="D1752">
        <v>200000</v>
      </c>
      <c r="F1752">
        <v>200000</v>
      </c>
      <c r="G1752">
        <v>200000</v>
      </c>
      <c r="H1752">
        <v>5</v>
      </c>
      <c r="I1752" t="s">
        <v>642</v>
      </c>
      <c r="J1752">
        <v>63.85</v>
      </c>
      <c r="K1752">
        <v>28</v>
      </c>
      <c r="L1752">
        <v>5</v>
      </c>
      <c r="M1752" t="s">
        <v>1842</v>
      </c>
      <c r="N1752">
        <v>5</v>
      </c>
      <c r="O1752">
        <v>10</v>
      </c>
      <c r="P1752">
        <v>123574.88</v>
      </c>
      <c r="Q1752">
        <v>282153.84999999998</v>
      </c>
      <c r="R1752">
        <v>637</v>
      </c>
      <c r="S1752">
        <v>26</v>
      </c>
      <c r="T1752" t="s">
        <v>593</v>
      </c>
      <c r="U1752" t="s">
        <v>27</v>
      </c>
    </row>
    <row r="1753" spans="1:21">
      <c r="A1753" t="s">
        <v>2786</v>
      </c>
      <c r="B1753" t="s">
        <v>2787</v>
      </c>
      <c r="C1753" t="s">
        <v>1873</v>
      </c>
      <c r="D1753">
        <v>180000</v>
      </c>
      <c r="E1753">
        <v>5000</v>
      </c>
      <c r="F1753">
        <v>180000</v>
      </c>
      <c r="G1753">
        <v>180000</v>
      </c>
      <c r="H1753">
        <v>2</v>
      </c>
      <c r="I1753" t="s">
        <v>647</v>
      </c>
      <c r="J1753">
        <v>58.2</v>
      </c>
      <c r="K1753">
        <v>34</v>
      </c>
      <c r="L1753">
        <v>6</v>
      </c>
      <c r="M1753" t="s">
        <v>1842</v>
      </c>
      <c r="N1753">
        <v>4</v>
      </c>
      <c r="O1753">
        <v>9.67</v>
      </c>
      <c r="P1753">
        <v>123574.88</v>
      </c>
      <c r="Q1753">
        <v>184333.33</v>
      </c>
      <c r="R1753">
        <v>637</v>
      </c>
      <c r="S1753">
        <v>18</v>
      </c>
      <c r="T1753" t="s">
        <v>332</v>
      </c>
      <c r="U1753" t="s">
        <v>49</v>
      </c>
    </row>
    <row r="1754" spans="1:21">
      <c r="A1754" t="s">
        <v>2788</v>
      </c>
      <c r="B1754" t="s">
        <v>2789</v>
      </c>
      <c r="C1754" t="s">
        <v>1743</v>
      </c>
      <c r="D1754">
        <v>260000</v>
      </c>
      <c r="E1754">
        <v>6000</v>
      </c>
      <c r="H1754">
        <v>2</v>
      </c>
      <c r="I1754" t="s">
        <v>654</v>
      </c>
      <c r="J1754">
        <v>74.45</v>
      </c>
      <c r="K1754">
        <v>0</v>
      </c>
      <c r="L1754">
        <v>2</v>
      </c>
      <c r="M1754" t="s">
        <v>1842</v>
      </c>
      <c r="N1754">
        <v>6</v>
      </c>
      <c r="O1754">
        <v>7</v>
      </c>
      <c r="P1754">
        <v>123574.88</v>
      </c>
      <c r="Q1754">
        <v>288705.81</v>
      </c>
      <c r="R1754">
        <v>637</v>
      </c>
      <c r="S1754">
        <v>155</v>
      </c>
      <c r="T1754" t="s">
        <v>596</v>
      </c>
      <c r="U1754" t="s">
        <v>81</v>
      </c>
    </row>
    <row r="1755" spans="1:21">
      <c r="A1755" t="s">
        <v>2790</v>
      </c>
      <c r="B1755" t="s">
        <v>2791</v>
      </c>
      <c r="C1755" t="s">
        <v>1857</v>
      </c>
      <c r="D1755">
        <v>390000</v>
      </c>
      <c r="E1755">
        <v>12000</v>
      </c>
      <c r="F1755">
        <v>390000</v>
      </c>
      <c r="H1755">
        <v>1</v>
      </c>
      <c r="I1755" t="s">
        <v>654</v>
      </c>
      <c r="J1755">
        <v>103.61</v>
      </c>
      <c r="K1755">
        <v>0</v>
      </c>
      <c r="L1755">
        <v>3</v>
      </c>
      <c r="M1755" t="s">
        <v>1842</v>
      </c>
      <c r="N1755">
        <v>10</v>
      </c>
      <c r="O1755">
        <v>14</v>
      </c>
      <c r="P1755">
        <v>123574.88</v>
      </c>
      <c r="Q1755">
        <v>288705.81</v>
      </c>
      <c r="R1755">
        <v>637</v>
      </c>
      <c r="S1755">
        <v>155</v>
      </c>
      <c r="T1755" t="s">
        <v>658</v>
      </c>
      <c r="U1755" t="s">
        <v>81</v>
      </c>
    </row>
    <row r="1756" spans="1:21">
      <c r="A1756" t="s">
        <v>2792</v>
      </c>
      <c r="B1756" t="s">
        <v>2791</v>
      </c>
      <c r="C1756" t="s">
        <v>1857</v>
      </c>
      <c r="D1756">
        <v>400000</v>
      </c>
      <c r="E1756">
        <v>12000</v>
      </c>
      <c r="F1756">
        <v>400000</v>
      </c>
      <c r="H1756">
        <v>1</v>
      </c>
      <c r="I1756" t="s">
        <v>654</v>
      </c>
      <c r="J1756">
        <v>107.44</v>
      </c>
      <c r="K1756">
        <v>0</v>
      </c>
      <c r="L1756">
        <v>3</v>
      </c>
      <c r="M1756" t="s">
        <v>1842</v>
      </c>
      <c r="N1756">
        <v>10</v>
      </c>
      <c r="O1756">
        <v>14</v>
      </c>
      <c r="P1756">
        <v>123574.88</v>
      </c>
      <c r="Q1756">
        <v>288705.81</v>
      </c>
      <c r="R1756">
        <v>637</v>
      </c>
      <c r="S1756">
        <v>155</v>
      </c>
      <c r="T1756" t="s">
        <v>658</v>
      </c>
      <c r="U1756" t="s">
        <v>81</v>
      </c>
    </row>
    <row r="1757" spans="1:21">
      <c r="A1757" t="s">
        <v>2793</v>
      </c>
      <c r="B1757" t="s">
        <v>2794</v>
      </c>
      <c r="C1757" t="s">
        <v>1857</v>
      </c>
      <c r="D1757">
        <v>250000</v>
      </c>
      <c r="F1757">
        <v>500000</v>
      </c>
      <c r="G1757">
        <v>250000</v>
      </c>
      <c r="H1757">
        <v>1</v>
      </c>
      <c r="I1757" t="s">
        <v>654</v>
      </c>
      <c r="J1757">
        <v>71.2</v>
      </c>
      <c r="K1757">
        <v>0</v>
      </c>
      <c r="L1757">
        <v>2</v>
      </c>
      <c r="M1757" t="s">
        <v>1842</v>
      </c>
      <c r="N1757">
        <v>9</v>
      </c>
      <c r="O1757">
        <v>13</v>
      </c>
      <c r="P1757">
        <v>123574.88</v>
      </c>
      <c r="Q1757">
        <v>288705.81</v>
      </c>
      <c r="R1757">
        <v>637</v>
      </c>
      <c r="S1757">
        <v>155</v>
      </c>
      <c r="T1757" t="s">
        <v>596</v>
      </c>
      <c r="U1757" t="s">
        <v>81</v>
      </c>
    </row>
    <row r="1758" spans="1:21">
      <c r="A1758" t="s">
        <v>2793</v>
      </c>
      <c r="B1758" t="s">
        <v>2794</v>
      </c>
      <c r="C1758" t="s">
        <v>1857</v>
      </c>
      <c r="D1758">
        <v>250000</v>
      </c>
      <c r="F1758">
        <v>500000</v>
      </c>
      <c r="G1758">
        <v>250000</v>
      </c>
      <c r="H1758">
        <v>2</v>
      </c>
      <c r="I1758" t="s">
        <v>654</v>
      </c>
      <c r="J1758">
        <v>71.2</v>
      </c>
      <c r="K1758">
        <v>0</v>
      </c>
      <c r="L1758">
        <v>2</v>
      </c>
      <c r="M1758" t="s">
        <v>1842</v>
      </c>
      <c r="N1758">
        <v>9</v>
      </c>
      <c r="O1758">
        <v>13</v>
      </c>
      <c r="P1758">
        <v>123574.88</v>
      </c>
      <c r="Q1758">
        <v>288705.81</v>
      </c>
      <c r="R1758">
        <v>637</v>
      </c>
      <c r="S1758">
        <v>155</v>
      </c>
      <c r="T1758" t="s">
        <v>596</v>
      </c>
      <c r="U1758" t="s">
        <v>81</v>
      </c>
    </row>
    <row r="1759" spans="1:21">
      <c r="A1759" t="s">
        <v>2795</v>
      </c>
      <c r="B1759" t="s">
        <v>2728</v>
      </c>
      <c r="C1759" t="s">
        <v>1841</v>
      </c>
      <c r="D1759">
        <v>268000</v>
      </c>
      <c r="E1759">
        <v>10000</v>
      </c>
      <c r="H1759">
        <v>1</v>
      </c>
      <c r="I1759" t="s">
        <v>654</v>
      </c>
      <c r="J1759">
        <v>60.05</v>
      </c>
      <c r="K1759">
        <v>0</v>
      </c>
      <c r="L1759">
        <v>4</v>
      </c>
      <c r="M1759" t="s">
        <v>1842</v>
      </c>
      <c r="N1759">
        <v>7</v>
      </c>
      <c r="O1759">
        <v>10.33</v>
      </c>
      <c r="P1759">
        <v>123574.88</v>
      </c>
      <c r="Q1759">
        <v>288705.81</v>
      </c>
      <c r="R1759">
        <v>637</v>
      </c>
      <c r="S1759">
        <v>155</v>
      </c>
      <c r="T1759" t="s">
        <v>593</v>
      </c>
      <c r="U1759" t="s">
        <v>81</v>
      </c>
    </row>
    <row r="1760" spans="1:21">
      <c r="A1760" t="s">
        <v>2796</v>
      </c>
      <c r="B1760" t="s">
        <v>2797</v>
      </c>
      <c r="C1760" t="s">
        <v>1870</v>
      </c>
      <c r="D1760">
        <v>250000</v>
      </c>
      <c r="E1760">
        <v>10000</v>
      </c>
      <c r="F1760">
        <v>250000</v>
      </c>
      <c r="G1760">
        <v>250000</v>
      </c>
      <c r="H1760">
        <v>5</v>
      </c>
      <c r="I1760" t="s">
        <v>654</v>
      </c>
      <c r="J1760">
        <v>79.5</v>
      </c>
      <c r="K1760">
        <v>35</v>
      </c>
      <c r="L1760">
        <v>5</v>
      </c>
      <c r="M1760" t="s">
        <v>1842</v>
      </c>
      <c r="N1760">
        <v>5</v>
      </c>
      <c r="O1760">
        <v>10</v>
      </c>
      <c r="P1760">
        <v>123574.88</v>
      </c>
      <c r="Q1760">
        <v>288705.81</v>
      </c>
      <c r="R1760">
        <v>637</v>
      </c>
      <c r="S1760">
        <v>155</v>
      </c>
      <c r="T1760" t="s">
        <v>596</v>
      </c>
      <c r="U1760" t="s">
        <v>49</v>
      </c>
    </row>
    <row r="1761" spans="1:21">
      <c r="A1761" t="s">
        <v>2798</v>
      </c>
      <c r="B1761" t="s">
        <v>2799</v>
      </c>
      <c r="C1761" t="s">
        <v>1743</v>
      </c>
      <c r="D1761">
        <v>239000</v>
      </c>
      <c r="E1761">
        <v>6000</v>
      </c>
      <c r="H1761">
        <v>1</v>
      </c>
      <c r="I1761" t="s">
        <v>654</v>
      </c>
      <c r="J1761">
        <v>58.64</v>
      </c>
      <c r="K1761">
        <v>0</v>
      </c>
      <c r="L1761">
        <v>2</v>
      </c>
      <c r="M1761" t="s">
        <v>1842</v>
      </c>
      <c r="N1761">
        <v>8</v>
      </c>
      <c r="O1761">
        <v>17.670000000000002</v>
      </c>
      <c r="P1761">
        <v>123574.88</v>
      </c>
      <c r="Q1761">
        <v>288705.81</v>
      </c>
      <c r="R1761">
        <v>637</v>
      </c>
      <c r="S1761">
        <v>155</v>
      </c>
      <c r="T1761" t="s">
        <v>332</v>
      </c>
      <c r="U1761" t="s">
        <v>81</v>
      </c>
    </row>
    <row r="1762" spans="1:21">
      <c r="A1762" t="s">
        <v>2800</v>
      </c>
      <c r="B1762" t="s">
        <v>2799</v>
      </c>
      <c r="C1762" t="s">
        <v>1743</v>
      </c>
      <c r="D1762">
        <v>247000</v>
      </c>
      <c r="E1762">
        <v>6000</v>
      </c>
      <c r="H1762">
        <v>1</v>
      </c>
      <c r="I1762" t="s">
        <v>654</v>
      </c>
      <c r="J1762">
        <v>59.02</v>
      </c>
      <c r="K1762">
        <v>0</v>
      </c>
      <c r="L1762">
        <v>2</v>
      </c>
      <c r="M1762" t="s">
        <v>1842</v>
      </c>
      <c r="N1762">
        <v>8</v>
      </c>
      <c r="O1762">
        <v>17.670000000000002</v>
      </c>
      <c r="P1762">
        <v>123574.88</v>
      </c>
      <c r="Q1762">
        <v>288705.81</v>
      </c>
      <c r="R1762">
        <v>637</v>
      </c>
      <c r="S1762">
        <v>155</v>
      </c>
      <c r="T1762" t="s">
        <v>332</v>
      </c>
      <c r="U1762" t="s">
        <v>81</v>
      </c>
    </row>
    <row r="1763" spans="1:21">
      <c r="A1763" t="s">
        <v>2801</v>
      </c>
      <c r="B1763" t="s">
        <v>2799</v>
      </c>
      <c r="C1763" t="s">
        <v>1743</v>
      </c>
      <c r="D1763">
        <v>260000</v>
      </c>
      <c r="E1763">
        <v>6000</v>
      </c>
      <c r="H1763">
        <v>2</v>
      </c>
      <c r="I1763" t="s">
        <v>654</v>
      </c>
      <c r="J1763">
        <v>74.45</v>
      </c>
      <c r="K1763">
        <v>0</v>
      </c>
      <c r="L1763">
        <v>2</v>
      </c>
      <c r="M1763" t="s">
        <v>1842</v>
      </c>
      <c r="N1763">
        <v>8</v>
      </c>
      <c r="O1763">
        <v>17.670000000000002</v>
      </c>
      <c r="P1763">
        <v>123574.88</v>
      </c>
      <c r="Q1763">
        <v>288705.81</v>
      </c>
      <c r="R1763">
        <v>637</v>
      </c>
      <c r="S1763">
        <v>155</v>
      </c>
      <c r="T1763" t="s">
        <v>596</v>
      </c>
      <c r="U1763" t="s">
        <v>81</v>
      </c>
    </row>
    <row r="1764" spans="1:21">
      <c r="A1764" t="s">
        <v>2802</v>
      </c>
      <c r="B1764" t="s">
        <v>2803</v>
      </c>
      <c r="C1764" t="s">
        <v>1857</v>
      </c>
      <c r="D1764">
        <v>390000</v>
      </c>
      <c r="E1764">
        <v>12000</v>
      </c>
      <c r="F1764">
        <v>390000</v>
      </c>
      <c r="G1764">
        <v>390000</v>
      </c>
      <c r="H1764">
        <v>1</v>
      </c>
      <c r="I1764" t="s">
        <v>654</v>
      </c>
      <c r="J1764">
        <v>103.61</v>
      </c>
      <c r="K1764">
        <v>0</v>
      </c>
      <c r="L1764">
        <v>2</v>
      </c>
      <c r="M1764" t="s">
        <v>1842</v>
      </c>
      <c r="N1764">
        <v>10</v>
      </c>
      <c r="O1764">
        <v>14</v>
      </c>
      <c r="P1764">
        <v>123574.88</v>
      </c>
      <c r="Q1764">
        <v>288705.81</v>
      </c>
      <c r="R1764">
        <v>637</v>
      </c>
      <c r="S1764">
        <v>155</v>
      </c>
      <c r="T1764" t="s">
        <v>658</v>
      </c>
      <c r="U1764" t="s">
        <v>81</v>
      </c>
    </row>
    <row r="1765" spans="1:21">
      <c r="A1765" t="s">
        <v>2804</v>
      </c>
      <c r="B1765" t="s">
        <v>2803</v>
      </c>
      <c r="C1765" t="s">
        <v>1857</v>
      </c>
      <c r="D1765">
        <v>400000</v>
      </c>
      <c r="E1765">
        <v>12000</v>
      </c>
      <c r="F1765">
        <v>400000</v>
      </c>
      <c r="G1765">
        <v>400000</v>
      </c>
      <c r="H1765">
        <v>1</v>
      </c>
      <c r="I1765" t="s">
        <v>654</v>
      </c>
      <c r="J1765">
        <v>107.44</v>
      </c>
      <c r="K1765">
        <v>0</v>
      </c>
      <c r="L1765">
        <v>2</v>
      </c>
      <c r="M1765" t="s">
        <v>1842</v>
      </c>
      <c r="N1765">
        <v>10</v>
      </c>
      <c r="O1765">
        <v>14</v>
      </c>
      <c r="P1765">
        <v>123574.88</v>
      </c>
      <c r="Q1765">
        <v>288705.81</v>
      </c>
      <c r="R1765">
        <v>637</v>
      </c>
      <c r="S1765">
        <v>155</v>
      </c>
      <c r="T1765" t="s">
        <v>658</v>
      </c>
      <c r="U1765" t="s">
        <v>81</v>
      </c>
    </row>
    <row r="1766" spans="1:21">
      <c r="A1766" t="s">
        <v>2805</v>
      </c>
      <c r="B1766" t="s">
        <v>2806</v>
      </c>
      <c r="C1766" t="s">
        <v>1857</v>
      </c>
      <c r="D1766">
        <v>350000</v>
      </c>
      <c r="F1766">
        <v>700000</v>
      </c>
      <c r="G1766">
        <v>350000</v>
      </c>
      <c r="H1766">
        <v>1</v>
      </c>
      <c r="I1766" t="s">
        <v>654</v>
      </c>
      <c r="J1766">
        <v>114.1</v>
      </c>
      <c r="K1766">
        <v>5</v>
      </c>
      <c r="L1766">
        <v>2</v>
      </c>
      <c r="M1766" t="s">
        <v>1842</v>
      </c>
      <c r="N1766">
        <v>7</v>
      </c>
      <c r="O1766">
        <v>11.67</v>
      </c>
      <c r="P1766">
        <v>123574.88</v>
      </c>
      <c r="Q1766">
        <v>288705.81</v>
      </c>
      <c r="R1766">
        <v>637</v>
      </c>
      <c r="S1766">
        <v>155</v>
      </c>
      <c r="T1766" t="s">
        <v>658</v>
      </c>
      <c r="U1766" t="s">
        <v>31</v>
      </c>
    </row>
    <row r="1767" spans="1:21">
      <c r="A1767" t="s">
        <v>2805</v>
      </c>
      <c r="B1767" t="s">
        <v>2806</v>
      </c>
      <c r="C1767" t="s">
        <v>1857</v>
      </c>
      <c r="D1767">
        <v>350000</v>
      </c>
      <c r="F1767">
        <v>700000</v>
      </c>
      <c r="G1767">
        <v>350000</v>
      </c>
      <c r="H1767">
        <v>2</v>
      </c>
      <c r="I1767" t="s">
        <v>654</v>
      </c>
      <c r="J1767">
        <v>114.1</v>
      </c>
      <c r="K1767">
        <v>5</v>
      </c>
      <c r="L1767">
        <v>2</v>
      </c>
      <c r="M1767" t="s">
        <v>1842</v>
      </c>
      <c r="N1767">
        <v>7</v>
      </c>
      <c r="O1767">
        <v>11.67</v>
      </c>
      <c r="P1767">
        <v>123574.88</v>
      </c>
      <c r="Q1767">
        <v>288705.81</v>
      </c>
      <c r="R1767">
        <v>637</v>
      </c>
      <c r="S1767">
        <v>155</v>
      </c>
      <c r="T1767" t="s">
        <v>658</v>
      </c>
      <c r="U1767" t="s">
        <v>31</v>
      </c>
    </row>
    <row r="1768" spans="1:21">
      <c r="A1768" t="s">
        <v>2807</v>
      </c>
      <c r="B1768" t="s">
        <v>2806</v>
      </c>
      <c r="C1768" t="s">
        <v>1857</v>
      </c>
      <c r="D1768">
        <v>350000</v>
      </c>
      <c r="F1768">
        <v>700000</v>
      </c>
      <c r="G1768">
        <v>350000</v>
      </c>
      <c r="H1768">
        <v>1</v>
      </c>
      <c r="I1768" t="s">
        <v>654</v>
      </c>
      <c r="J1768">
        <v>114.1</v>
      </c>
      <c r="K1768">
        <v>5</v>
      </c>
      <c r="L1768">
        <v>2</v>
      </c>
      <c r="M1768" t="s">
        <v>1842</v>
      </c>
      <c r="N1768">
        <v>7</v>
      </c>
      <c r="O1768">
        <v>11</v>
      </c>
      <c r="P1768">
        <v>123574.88</v>
      </c>
      <c r="Q1768">
        <v>288705.81</v>
      </c>
      <c r="R1768">
        <v>637</v>
      </c>
      <c r="S1768">
        <v>155</v>
      </c>
      <c r="T1768" t="s">
        <v>658</v>
      </c>
      <c r="U1768" t="s">
        <v>31</v>
      </c>
    </row>
    <row r="1769" spans="1:21">
      <c r="A1769" t="s">
        <v>2808</v>
      </c>
      <c r="B1769" t="s">
        <v>2749</v>
      </c>
      <c r="C1769" t="s">
        <v>1857</v>
      </c>
      <c r="D1769">
        <v>256000</v>
      </c>
      <c r="E1769">
        <v>5000</v>
      </c>
      <c r="F1769">
        <v>256000</v>
      </c>
      <c r="G1769">
        <v>384000</v>
      </c>
      <c r="H1769">
        <v>1</v>
      </c>
      <c r="I1769" t="s">
        <v>654</v>
      </c>
      <c r="J1769">
        <v>77.290000000000006</v>
      </c>
      <c r="K1769">
        <v>0</v>
      </c>
      <c r="L1769">
        <v>2</v>
      </c>
      <c r="M1769" t="s">
        <v>1842</v>
      </c>
      <c r="N1769">
        <v>5</v>
      </c>
      <c r="O1769">
        <v>14.33</v>
      </c>
      <c r="P1769">
        <v>123574.88</v>
      </c>
      <c r="Q1769">
        <v>288705.81</v>
      </c>
      <c r="R1769">
        <v>637</v>
      </c>
      <c r="S1769">
        <v>155</v>
      </c>
      <c r="T1769" t="s">
        <v>596</v>
      </c>
      <c r="U1769" t="s">
        <v>81</v>
      </c>
    </row>
    <row r="1770" spans="1:21">
      <c r="A1770" t="s">
        <v>2808</v>
      </c>
      <c r="B1770" t="s">
        <v>2749</v>
      </c>
      <c r="C1770" t="s">
        <v>1857</v>
      </c>
      <c r="D1770">
        <v>256000</v>
      </c>
      <c r="E1770">
        <v>5000</v>
      </c>
      <c r="F1770">
        <v>256000</v>
      </c>
      <c r="G1770">
        <v>384000</v>
      </c>
      <c r="H1770">
        <v>2</v>
      </c>
      <c r="I1770" t="s">
        <v>654</v>
      </c>
      <c r="J1770">
        <v>77.290000000000006</v>
      </c>
      <c r="K1770">
        <v>0</v>
      </c>
      <c r="L1770">
        <v>2</v>
      </c>
      <c r="M1770" t="s">
        <v>1842</v>
      </c>
      <c r="N1770">
        <v>5</v>
      </c>
      <c r="O1770">
        <v>14.33</v>
      </c>
      <c r="P1770">
        <v>123574.88</v>
      </c>
      <c r="Q1770">
        <v>288705.81</v>
      </c>
      <c r="R1770">
        <v>637</v>
      </c>
      <c r="S1770">
        <v>155</v>
      </c>
      <c r="T1770" t="s">
        <v>596</v>
      </c>
      <c r="U1770" t="s">
        <v>81</v>
      </c>
    </row>
    <row r="1771" spans="1:21">
      <c r="A1771" t="s">
        <v>2809</v>
      </c>
      <c r="B1771" t="s">
        <v>2810</v>
      </c>
      <c r="C1771" t="s">
        <v>1841</v>
      </c>
      <c r="D1771">
        <v>230000</v>
      </c>
      <c r="E1771">
        <v>20000</v>
      </c>
      <c r="F1771">
        <v>460000</v>
      </c>
      <c r="G1771">
        <v>230000</v>
      </c>
      <c r="H1771">
        <v>5</v>
      </c>
      <c r="I1771" t="s">
        <v>654</v>
      </c>
      <c r="J1771">
        <v>71.36</v>
      </c>
      <c r="K1771">
        <v>26</v>
      </c>
      <c r="L1771">
        <v>7</v>
      </c>
      <c r="M1771" t="s">
        <v>1842</v>
      </c>
      <c r="N1771">
        <v>2</v>
      </c>
      <c r="O1771">
        <v>2</v>
      </c>
      <c r="P1771">
        <v>123574.88</v>
      </c>
      <c r="Q1771">
        <v>288705.81</v>
      </c>
      <c r="R1771">
        <v>637</v>
      </c>
      <c r="S1771">
        <v>155</v>
      </c>
      <c r="T1771" t="s">
        <v>596</v>
      </c>
      <c r="U1771" t="s">
        <v>27</v>
      </c>
    </row>
    <row r="1772" spans="1:21">
      <c r="A1772" t="s">
        <v>2811</v>
      </c>
      <c r="B1772" t="s">
        <v>2366</v>
      </c>
      <c r="C1772" t="s">
        <v>1841</v>
      </c>
      <c r="D1772">
        <v>268000</v>
      </c>
      <c r="E1772">
        <v>10000</v>
      </c>
      <c r="H1772">
        <v>1</v>
      </c>
      <c r="I1772" t="s">
        <v>654</v>
      </c>
      <c r="J1772">
        <v>60.05</v>
      </c>
      <c r="K1772">
        <v>0</v>
      </c>
      <c r="L1772">
        <v>4</v>
      </c>
      <c r="M1772" t="s">
        <v>1842</v>
      </c>
      <c r="N1772">
        <v>7</v>
      </c>
      <c r="O1772">
        <v>17.670000000000002</v>
      </c>
      <c r="P1772">
        <v>123574.88</v>
      </c>
      <c r="Q1772">
        <v>288705.81</v>
      </c>
      <c r="R1772">
        <v>637</v>
      </c>
      <c r="S1772">
        <v>155</v>
      </c>
      <c r="T1772" t="s">
        <v>593</v>
      </c>
      <c r="U1772" t="s">
        <v>81</v>
      </c>
    </row>
    <row r="1773" spans="1:21">
      <c r="A1773" t="s">
        <v>2812</v>
      </c>
      <c r="B1773" t="s">
        <v>2587</v>
      </c>
      <c r="C1773" t="s">
        <v>1870</v>
      </c>
      <c r="D1773">
        <v>250000</v>
      </c>
      <c r="E1773">
        <v>10000</v>
      </c>
      <c r="F1773">
        <v>250000</v>
      </c>
      <c r="G1773">
        <v>250000</v>
      </c>
      <c r="H1773">
        <v>5</v>
      </c>
      <c r="I1773" t="s">
        <v>654</v>
      </c>
      <c r="J1773">
        <v>79.5</v>
      </c>
      <c r="K1773">
        <v>35</v>
      </c>
      <c r="L1773">
        <v>5</v>
      </c>
      <c r="M1773" t="s">
        <v>1842</v>
      </c>
      <c r="N1773">
        <v>5</v>
      </c>
      <c r="O1773">
        <v>10</v>
      </c>
      <c r="P1773">
        <v>123574.88</v>
      </c>
      <c r="Q1773">
        <v>288705.81</v>
      </c>
      <c r="R1773">
        <v>637</v>
      </c>
      <c r="S1773">
        <v>155</v>
      </c>
      <c r="T1773" t="s">
        <v>596</v>
      </c>
      <c r="U1773" t="s">
        <v>49</v>
      </c>
    </row>
    <row r="1774" spans="1:21">
      <c r="A1774" t="s">
        <v>2813</v>
      </c>
      <c r="B1774" t="s">
        <v>2814</v>
      </c>
      <c r="C1774" t="s">
        <v>1857</v>
      </c>
      <c r="D1774">
        <v>250000</v>
      </c>
      <c r="F1774">
        <v>500000</v>
      </c>
      <c r="G1774">
        <v>250000</v>
      </c>
      <c r="H1774">
        <v>1</v>
      </c>
      <c r="I1774" t="s">
        <v>654</v>
      </c>
      <c r="J1774">
        <v>71.2</v>
      </c>
      <c r="K1774">
        <v>0</v>
      </c>
      <c r="L1774">
        <v>2</v>
      </c>
      <c r="M1774" t="s">
        <v>1842</v>
      </c>
      <c r="N1774">
        <v>9</v>
      </c>
      <c r="O1774">
        <v>13</v>
      </c>
      <c r="P1774">
        <v>123574.88</v>
      </c>
      <c r="Q1774">
        <v>288705.81</v>
      </c>
      <c r="R1774">
        <v>637</v>
      </c>
      <c r="S1774">
        <v>155</v>
      </c>
      <c r="T1774" t="s">
        <v>596</v>
      </c>
      <c r="U1774" t="s">
        <v>81</v>
      </c>
    </row>
    <row r="1775" spans="1:21">
      <c r="A1775" t="s">
        <v>2813</v>
      </c>
      <c r="B1775" t="s">
        <v>2814</v>
      </c>
      <c r="C1775" t="s">
        <v>1857</v>
      </c>
      <c r="D1775">
        <v>250000</v>
      </c>
      <c r="F1775">
        <v>500000</v>
      </c>
      <c r="G1775">
        <v>250000</v>
      </c>
      <c r="H1775">
        <v>2</v>
      </c>
      <c r="I1775" t="s">
        <v>654</v>
      </c>
      <c r="J1775">
        <v>71.2</v>
      </c>
      <c r="K1775">
        <v>0</v>
      </c>
      <c r="L1775">
        <v>2</v>
      </c>
      <c r="M1775" t="s">
        <v>1842</v>
      </c>
      <c r="N1775">
        <v>9</v>
      </c>
      <c r="O1775">
        <v>13</v>
      </c>
      <c r="P1775">
        <v>123574.88</v>
      </c>
      <c r="Q1775">
        <v>288705.81</v>
      </c>
      <c r="R1775">
        <v>637</v>
      </c>
      <c r="S1775">
        <v>155</v>
      </c>
      <c r="T1775" t="s">
        <v>596</v>
      </c>
      <c r="U1775" t="s">
        <v>81</v>
      </c>
    </row>
    <row r="1776" spans="1:21">
      <c r="A1776" t="s">
        <v>2815</v>
      </c>
      <c r="B1776" t="s">
        <v>2816</v>
      </c>
      <c r="C1776" t="s">
        <v>1291</v>
      </c>
      <c r="D1776">
        <v>560000</v>
      </c>
      <c r="E1776">
        <v>20000</v>
      </c>
      <c r="F1776">
        <v>560000</v>
      </c>
      <c r="G1776">
        <v>560000</v>
      </c>
      <c r="H1776">
        <v>3</v>
      </c>
      <c r="I1776" t="s">
        <v>1737</v>
      </c>
      <c r="J1776">
        <v>158.44</v>
      </c>
      <c r="K1776">
        <v>34</v>
      </c>
      <c r="L1776">
        <v>4</v>
      </c>
      <c r="M1776" t="s">
        <v>1842</v>
      </c>
      <c r="N1776">
        <v>8</v>
      </c>
      <c r="O1776">
        <v>11</v>
      </c>
      <c r="P1776">
        <v>123574.88</v>
      </c>
      <c r="Q1776">
        <v>384285.71</v>
      </c>
      <c r="R1776">
        <v>637</v>
      </c>
      <c r="S1776">
        <v>7</v>
      </c>
      <c r="T1776" t="s">
        <v>658</v>
      </c>
      <c r="U1776" t="s">
        <v>49</v>
      </c>
    </row>
    <row r="1777" spans="1:21">
      <c r="A1777" t="s">
        <v>2817</v>
      </c>
      <c r="B1777" t="s">
        <v>2818</v>
      </c>
      <c r="C1777" t="s">
        <v>1291</v>
      </c>
      <c r="D1777">
        <v>560000</v>
      </c>
      <c r="E1777">
        <v>20000</v>
      </c>
      <c r="F1777">
        <v>560000</v>
      </c>
      <c r="H1777">
        <v>3</v>
      </c>
      <c r="I1777" t="s">
        <v>1737</v>
      </c>
      <c r="J1777">
        <v>158.44</v>
      </c>
      <c r="K1777">
        <v>34</v>
      </c>
      <c r="L1777">
        <v>4</v>
      </c>
      <c r="M1777" t="s">
        <v>1842</v>
      </c>
      <c r="N1777">
        <v>7</v>
      </c>
      <c r="O1777">
        <v>11.67</v>
      </c>
      <c r="P1777">
        <v>123574.88</v>
      </c>
      <c r="Q1777">
        <v>384285.71</v>
      </c>
      <c r="R1777">
        <v>637</v>
      </c>
      <c r="S1777">
        <v>7</v>
      </c>
      <c r="T1777" t="s">
        <v>658</v>
      </c>
      <c r="U1777" t="s">
        <v>49</v>
      </c>
    </row>
    <row r="1778" spans="1:21">
      <c r="A1778" t="s">
        <v>2819</v>
      </c>
      <c r="B1778" t="s">
        <v>2820</v>
      </c>
      <c r="C1778" t="s">
        <v>688</v>
      </c>
      <c r="D1778">
        <v>330000</v>
      </c>
      <c r="E1778">
        <v>10000</v>
      </c>
      <c r="F1778">
        <v>330000</v>
      </c>
      <c r="H1778">
        <v>2</v>
      </c>
      <c r="I1778" t="s">
        <v>681</v>
      </c>
      <c r="J1778">
        <v>112.14</v>
      </c>
      <c r="K1778">
        <v>32</v>
      </c>
      <c r="L1778">
        <v>3</v>
      </c>
      <c r="M1778" t="s">
        <v>1842</v>
      </c>
      <c r="N1778">
        <v>6</v>
      </c>
      <c r="O1778">
        <v>13</v>
      </c>
      <c r="P1778">
        <v>123574.88</v>
      </c>
      <c r="Q1778">
        <v>388200</v>
      </c>
      <c r="R1778">
        <v>637</v>
      </c>
      <c r="S1778">
        <v>20</v>
      </c>
      <c r="T1778" t="s">
        <v>658</v>
      </c>
      <c r="U1778" t="s">
        <v>49</v>
      </c>
    </row>
    <row r="1779" spans="1:21">
      <c r="A1779" t="s">
        <v>2821</v>
      </c>
      <c r="B1779" t="s">
        <v>2822</v>
      </c>
      <c r="C1779" t="s">
        <v>688</v>
      </c>
      <c r="D1779">
        <v>330000</v>
      </c>
      <c r="E1779">
        <v>10000</v>
      </c>
      <c r="F1779">
        <v>330000</v>
      </c>
      <c r="H1779">
        <v>2</v>
      </c>
      <c r="I1779" t="s">
        <v>681</v>
      </c>
      <c r="J1779">
        <v>112.14</v>
      </c>
      <c r="K1779">
        <v>32</v>
      </c>
      <c r="L1779">
        <v>3</v>
      </c>
      <c r="M1779" t="s">
        <v>1842</v>
      </c>
      <c r="N1779">
        <v>6</v>
      </c>
      <c r="O1779">
        <v>13</v>
      </c>
      <c r="P1779">
        <v>123574.88</v>
      </c>
      <c r="Q1779">
        <v>388200</v>
      </c>
      <c r="R1779">
        <v>637</v>
      </c>
      <c r="S1779">
        <v>20</v>
      </c>
      <c r="T1779" t="s">
        <v>658</v>
      </c>
      <c r="U1779" t="s">
        <v>49</v>
      </c>
    </row>
    <row r="1780" spans="1:21">
      <c r="A1780" t="s">
        <v>2823</v>
      </c>
      <c r="B1780" t="s">
        <v>2824</v>
      </c>
      <c r="C1780" t="s">
        <v>2825</v>
      </c>
      <c r="D1780">
        <v>114000</v>
      </c>
      <c r="E1780">
        <v>15000</v>
      </c>
      <c r="H1780">
        <v>1</v>
      </c>
      <c r="I1780" t="s">
        <v>89</v>
      </c>
      <c r="J1780">
        <v>25.41</v>
      </c>
      <c r="K1780">
        <v>1</v>
      </c>
      <c r="L1780">
        <v>3</v>
      </c>
      <c r="M1780" t="s">
        <v>2826</v>
      </c>
      <c r="N1780">
        <v>12</v>
      </c>
      <c r="O1780">
        <v>16.329999999999998</v>
      </c>
      <c r="P1780">
        <v>133636.04999999999</v>
      </c>
      <c r="Q1780">
        <v>95329.65</v>
      </c>
      <c r="R1780">
        <v>147</v>
      </c>
      <c r="S1780">
        <v>1622</v>
      </c>
      <c r="T1780" t="s">
        <v>34</v>
      </c>
      <c r="U1780" t="s">
        <v>31</v>
      </c>
    </row>
    <row r="1781" spans="1:21">
      <c r="A1781" t="s">
        <v>2827</v>
      </c>
      <c r="B1781" t="s">
        <v>2824</v>
      </c>
      <c r="C1781" t="s">
        <v>2825</v>
      </c>
      <c r="D1781">
        <v>115500</v>
      </c>
      <c r="E1781">
        <v>15000</v>
      </c>
      <c r="H1781">
        <v>1</v>
      </c>
      <c r="I1781" t="s">
        <v>89</v>
      </c>
      <c r="J1781">
        <v>25.41</v>
      </c>
      <c r="K1781">
        <v>1</v>
      </c>
      <c r="L1781">
        <v>3</v>
      </c>
      <c r="M1781" t="s">
        <v>2826</v>
      </c>
      <c r="N1781">
        <v>12</v>
      </c>
      <c r="O1781">
        <v>16.329999999999998</v>
      </c>
      <c r="P1781">
        <v>133636.04999999999</v>
      </c>
      <c r="Q1781">
        <v>95329.65</v>
      </c>
      <c r="R1781">
        <v>147</v>
      </c>
      <c r="S1781">
        <v>1622</v>
      </c>
      <c r="T1781" t="s">
        <v>34</v>
      </c>
      <c r="U1781" t="s">
        <v>31</v>
      </c>
    </row>
    <row r="1782" spans="1:21">
      <c r="A1782" t="s">
        <v>2828</v>
      </c>
      <c r="B1782" t="s">
        <v>2824</v>
      </c>
      <c r="C1782" t="s">
        <v>2825</v>
      </c>
      <c r="D1782">
        <v>114000</v>
      </c>
      <c r="E1782">
        <v>15000</v>
      </c>
      <c r="H1782">
        <v>1</v>
      </c>
      <c r="I1782" t="s">
        <v>89</v>
      </c>
      <c r="J1782">
        <v>25.56</v>
      </c>
      <c r="K1782">
        <v>1</v>
      </c>
      <c r="L1782">
        <v>3</v>
      </c>
      <c r="M1782" t="s">
        <v>2826</v>
      </c>
      <c r="N1782">
        <v>12</v>
      </c>
      <c r="O1782">
        <v>16.329999999999998</v>
      </c>
      <c r="P1782">
        <v>133636.04999999999</v>
      </c>
      <c r="Q1782">
        <v>95329.65</v>
      </c>
      <c r="R1782">
        <v>147</v>
      </c>
      <c r="S1782">
        <v>1622</v>
      </c>
      <c r="T1782" t="s">
        <v>34</v>
      </c>
      <c r="U1782" t="s">
        <v>31</v>
      </c>
    </row>
    <row r="1783" spans="1:21">
      <c r="A1783" t="s">
        <v>2829</v>
      </c>
      <c r="B1783" t="s">
        <v>2824</v>
      </c>
      <c r="C1783" t="s">
        <v>2825</v>
      </c>
      <c r="D1783">
        <v>115500</v>
      </c>
      <c r="E1783">
        <v>15000</v>
      </c>
      <c r="H1783">
        <v>1</v>
      </c>
      <c r="I1783" t="s">
        <v>89</v>
      </c>
      <c r="J1783">
        <v>25.56</v>
      </c>
      <c r="K1783">
        <v>1</v>
      </c>
      <c r="L1783">
        <v>3</v>
      </c>
      <c r="M1783" t="s">
        <v>2826</v>
      </c>
      <c r="N1783">
        <v>12</v>
      </c>
      <c r="O1783">
        <v>16.329999999999998</v>
      </c>
      <c r="P1783">
        <v>133636.04999999999</v>
      </c>
      <c r="Q1783">
        <v>95329.65</v>
      </c>
      <c r="R1783">
        <v>147</v>
      </c>
      <c r="S1783">
        <v>1622</v>
      </c>
      <c r="T1783" t="s">
        <v>34</v>
      </c>
      <c r="U1783" t="s">
        <v>31</v>
      </c>
    </row>
    <row r="1784" spans="1:21">
      <c r="A1784" t="s">
        <v>2830</v>
      </c>
      <c r="B1784" t="s">
        <v>2824</v>
      </c>
      <c r="C1784" t="s">
        <v>2825</v>
      </c>
      <c r="D1784">
        <v>114000</v>
      </c>
      <c r="E1784">
        <v>15000</v>
      </c>
      <c r="H1784">
        <v>1</v>
      </c>
      <c r="I1784" t="s">
        <v>89</v>
      </c>
      <c r="J1784">
        <v>25.66</v>
      </c>
      <c r="K1784">
        <v>1</v>
      </c>
      <c r="L1784">
        <v>3</v>
      </c>
      <c r="M1784" t="s">
        <v>2826</v>
      </c>
      <c r="N1784">
        <v>12</v>
      </c>
      <c r="O1784">
        <v>16.329999999999998</v>
      </c>
      <c r="P1784">
        <v>133636.04999999999</v>
      </c>
      <c r="Q1784">
        <v>95329.65</v>
      </c>
      <c r="R1784">
        <v>147</v>
      </c>
      <c r="S1784">
        <v>1622</v>
      </c>
      <c r="T1784" t="s">
        <v>34</v>
      </c>
      <c r="U1784" t="s">
        <v>31</v>
      </c>
    </row>
    <row r="1785" spans="1:21">
      <c r="A1785" t="s">
        <v>2831</v>
      </c>
      <c r="B1785" t="s">
        <v>2824</v>
      </c>
      <c r="C1785" t="s">
        <v>2825</v>
      </c>
      <c r="D1785">
        <v>115500</v>
      </c>
      <c r="E1785">
        <v>15000</v>
      </c>
      <c r="H1785">
        <v>1</v>
      </c>
      <c r="I1785" t="s">
        <v>89</v>
      </c>
      <c r="J1785">
        <v>25.66</v>
      </c>
      <c r="K1785">
        <v>1</v>
      </c>
      <c r="L1785">
        <v>3</v>
      </c>
      <c r="M1785" t="s">
        <v>2826</v>
      </c>
      <c r="N1785">
        <v>12</v>
      </c>
      <c r="O1785">
        <v>16.329999999999998</v>
      </c>
      <c r="P1785">
        <v>133636.04999999999</v>
      </c>
      <c r="Q1785">
        <v>95329.65</v>
      </c>
      <c r="R1785">
        <v>147</v>
      </c>
      <c r="S1785">
        <v>1622</v>
      </c>
      <c r="T1785" t="s">
        <v>34</v>
      </c>
      <c r="U1785" t="s">
        <v>31</v>
      </c>
    </row>
    <row r="1786" spans="1:21">
      <c r="A1786" t="s">
        <v>2832</v>
      </c>
      <c r="B1786" t="s">
        <v>2824</v>
      </c>
      <c r="C1786" t="s">
        <v>2825</v>
      </c>
      <c r="D1786">
        <v>114000</v>
      </c>
      <c r="E1786">
        <v>15000</v>
      </c>
      <c r="H1786">
        <v>1</v>
      </c>
      <c r="I1786" t="s">
        <v>89</v>
      </c>
      <c r="J1786">
        <v>25.68</v>
      </c>
      <c r="K1786">
        <v>1</v>
      </c>
      <c r="L1786">
        <v>3</v>
      </c>
      <c r="M1786" t="s">
        <v>2826</v>
      </c>
      <c r="N1786">
        <v>12</v>
      </c>
      <c r="O1786">
        <v>16.329999999999998</v>
      </c>
      <c r="P1786">
        <v>133636.04999999999</v>
      </c>
      <c r="Q1786">
        <v>95329.65</v>
      </c>
      <c r="R1786">
        <v>147</v>
      </c>
      <c r="S1786">
        <v>1622</v>
      </c>
      <c r="T1786" t="s">
        <v>34</v>
      </c>
      <c r="U1786" t="s">
        <v>31</v>
      </c>
    </row>
    <row r="1787" spans="1:21">
      <c r="A1787" t="s">
        <v>2833</v>
      </c>
      <c r="B1787" t="s">
        <v>2824</v>
      </c>
      <c r="C1787" t="s">
        <v>2825</v>
      </c>
      <c r="D1787">
        <v>115500</v>
      </c>
      <c r="E1787">
        <v>15000</v>
      </c>
      <c r="H1787">
        <v>1</v>
      </c>
      <c r="I1787" t="s">
        <v>89</v>
      </c>
      <c r="J1787">
        <v>25.68</v>
      </c>
      <c r="K1787">
        <v>1</v>
      </c>
      <c r="L1787">
        <v>3</v>
      </c>
      <c r="M1787" t="s">
        <v>2826</v>
      </c>
      <c r="N1787">
        <v>12</v>
      </c>
      <c r="O1787">
        <v>16.329999999999998</v>
      </c>
      <c r="P1787">
        <v>133636.04999999999</v>
      </c>
      <c r="Q1787">
        <v>95329.65</v>
      </c>
      <c r="R1787">
        <v>147</v>
      </c>
      <c r="S1787">
        <v>1622</v>
      </c>
      <c r="T1787" t="s">
        <v>34</v>
      </c>
      <c r="U1787" t="s">
        <v>31</v>
      </c>
    </row>
    <row r="1788" spans="1:21">
      <c r="A1788" t="s">
        <v>2834</v>
      </c>
      <c r="B1788" t="s">
        <v>2824</v>
      </c>
      <c r="C1788" t="s">
        <v>2825</v>
      </c>
      <c r="D1788">
        <v>115500</v>
      </c>
      <c r="E1788">
        <v>15000</v>
      </c>
      <c r="H1788">
        <v>1</v>
      </c>
      <c r="I1788" t="s">
        <v>89</v>
      </c>
      <c r="J1788">
        <v>25.71</v>
      </c>
      <c r="K1788">
        <v>1</v>
      </c>
      <c r="L1788">
        <v>3</v>
      </c>
      <c r="M1788" t="s">
        <v>2826</v>
      </c>
      <c r="N1788">
        <v>12</v>
      </c>
      <c r="O1788">
        <v>16.329999999999998</v>
      </c>
      <c r="P1788">
        <v>133636.04999999999</v>
      </c>
      <c r="Q1788">
        <v>95329.65</v>
      </c>
      <c r="R1788">
        <v>147</v>
      </c>
      <c r="S1788">
        <v>1622</v>
      </c>
      <c r="T1788" t="s">
        <v>34</v>
      </c>
      <c r="U1788" t="s">
        <v>31</v>
      </c>
    </row>
    <row r="1789" spans="1:21">
      <c r="A1789" t="s">
        <v>2835</v>
      </c>
      <c r="B1789" t="s">
        <v>2824</v>
      </c>
      <c r="C1789" t="s">
        <v>2825</v>
      </c>
      <c r="D1789">
        <v>114000</v>
      </c>
      <c r="E1789">
        <v>15000</v>
      </c>
      <c r="H1789">
        <v>1</v>
      </c>
      <c r="I1789" t="s">
        <v>89</v>
      </c>
      <c r="J1789">
        <v>25.83</v>
      </c>
      <c r="K1789">
        <v>1</v>
      </c>
      <c r="L1789">
        <v>3</v>
      </c>
      <c r="M1789" t="s">
        <v>2826</v>
      </c>
      <c r="N1789">
        <v>12</v>
      </c>
      <c r="O1789">
        <v>16.329999999999998</v>
      </c>
      <c r="P1789">
        <v>133636.04999999999</v>
      </c>
      <c r="Q1789">
        <v>95329.65</v>
      </c>
      <c r="R1789">
        <v>147</v>
      </c>
      <c r="S1789">
        <v>1622</v>
      </c>
      <c r="T1789" t="s">
        <v>34</v>
      </c>
      <c r="U1789" t="s">
        <v>31</v>
      </c>
    </row>
    <row r="1790" spans="1:21">
      <c r="A1790" t="s">
        <v>2836</v>
      </c>
      <c r="B1790" t="s">
        <v>2824</v>
      </c>
      <c r="C1790" t="s">
        <v>2825</v>
      </c>
      <c r="D1790">
        <v>115500</v>
      </c>
      <c r="E1790">
        <v>15000</v>
      </c>
      <c r="H1790">
        <v>1</v>
      </c>
      <c r="I1790" t="s">
        <v>89</v>
      </c>
      <c r="J1790">
        <v>25.83</v>
      </c>
      <c r="K1790">
        <v>1</v>
      </c>
      <c r="L1790">
        <v>3</v>
      </c>
      <c r="M1790" t="s">
        <v>2826</v>
      </c>
      <c r="N1790">
        <v>12</v>
      </c>
      <c r="O1790">
        <v>16.329999999999998</v>
      </c>
      <c r="P1790">
        <v>133636.04999999999</v>
      </c>
      <c r="Q1790">
        <v>95329.65</v>
      </c>
      <c r="R1790">
        <v>147</v>
      </c>
      <c r="S1790">
        <v>1622</v>
      </c>
      <c r="T1790" t="s">
        <v>34</v>
      </c>
      <c r="U1790" t="s">
        <v>31</v>
      </c>
    </row>
    <row r="1791" spans="1:21">
      <c r="A1791" t="s">
        <v>2837</v>
      </c>
      <c r="B1791" t="s">
        <v>2824</v>
      </c>
      <c r="C1791" t="s">
        <v>2825</v>
      </c>
      <c r="D1791">
        <v>115000</v>
      </c>
      <c r="E1791">
        <v>15000</v>
      </c>
      <c r="H1791">
        <v>1</v>
      </c>
      <c r="I1791" t="s">
        <v>89</v>
      </c>
      <c r="J1791">
        <v>25.83</v>
      </c>
      <c r="K1791">
        <v>1</v>
      </c>
      <c r="L1791">
        <v>3</v>
      </c>
      <c r="M1791" t="s">
        <v>2826</v>
      </c>
      <c r="N1791">
        <v>12</v>
      </c>
      <c r="O1791">
        <v>16.329999999999998</v>
      </c>
      <c r="P1791">
        <v>133636.04999999999</v>
      </c>
      <c r="Q1791">
        <v>95329.65</v>
      </c>
      <c r="R1791">
        <v>147</v>
      </c>
      <c r="S1791">
        <v>1622</v>
      </c>
      <c r="T1791" t="s">
        <v>34</v>
      </c>
      <c r="U1791" t="s">
        <v>31</v>
      </c>
    </row>
    <row r="1792" spans="1:21">
      <c r="A1792" t="s">
        <v>2838</v>
      </c>
      <c r="B1792" t="s">
        <v>2824</v>
      </c>
      <c r="C1792" t="s">
        <v>2825</v>
      </c>
      <c r="D1792">
        <v>114000</v>
      </c>
      <c r="E1792">
        <v>15000</v>
      </c>
      <c r="H1792">
        <v>1</v>
      </c>
      <c r="I1792" t="s">
        <v>89</v>
      </c>
      <c r="J1792">
        <v>26.02</v>
      </c>
      <c r="K1792">
        <v>1</v>
      </c>
      <c r="L1792">
        <v>3</v>
      </c>
      <c r="M1792" t="s">
        <v>2826</v>
      </c>
      <c r="N1792">
        <v>12</v>
      </c>
      <c r="O1792">
        <v>16.329999999999998</v>
      </c>
      <c r="P1792">
        <v>133636.04999999999</v>
      </c>
      <c r="Q1792">
        <v>95329.65</v>
      </c>
      <c r="R1792">
        <v>147</v>
      </c>
      <c r="S1792">
        <v>1622</v>
      </c>
      <c r="T1792" t="s">
        <v>34</v>
      </c>
      <c r="U1792" t="s">
        <v>31</v>
      </c>
    </row>
    <row r="1793" spans="1:21">
      <c r="A1793" t="s">
        <v>2839</v>
      </c>
      <c r="B1793" t="s">
        <v>2824</v>
      </c>
      <c r="C1793" t="s">
        <v>2825</v>
      </c>
      <c r="D1793">
        <v>115500</v>
      </c>
      <c r="E1793">
        <v>15000</v>
      </c>
      <c r="H1793">
        <v>1</v>
      </c>
      <c r="I1793" t="s">
        <v>89</v>
      </c>
      <c r="J1793">
        <v>26.02</v>
      </c>
      <c r="K1793">
        <v>1</v>
      </c>
      <c r="L1793">
        <v>3</v>
      </c>
      <c r="M1793" t="s">
        <v>2826</v>
      </c>
      <c r="N1793">
        <v>12</v>
      </c>
      <c r="O1793">
        <v>16.329999999999998</v>
      </c>
      <c r="P1793">
        <v>133636.04999999999</v>
      </c>
      <c r="Q1793">
        <v>95329.65</v>
      </c>
      <c r="R1793">
        <v>147</v>
      </c>
      <c r="S1793">
        <v>1622</v>
      </c>
      <c r="T1793" t="s">
        <v>34</v>
      </c>
      <c r="U1793" t="s">
        <v>31</v>
      </c>
    </row>
    <row r="1794" spans="1:21">
      <c r="A1794" t="s">
        <v>2840</v>
      </c>
      <c r="B1794" t="s">
        <v>2824</v>
      </c>
      <c r="C1794" t="s">
        <v>2825</v>
      </c>
      <c r="D1794">
        <v>115000</v>
      </c>
      <c r="E1794">
        <v>15000</v>
      </c>
      <c r="H1794">
        <v>1</v>
      </c>
      <c r="I1794" t="s">
        <v>89</v>
      </c>
      <c r="J1794">
        <v>26.02</v>
      </c>
      <c r="K1794">
        <v>1</v>
      </c>
      <c r="L1794">
        <v>3</v>
      </c>
      <c r="M1794" t="s">
        <v>2826</v>
      </c>
      <c r="N1794">
        <v>12</v>
      </c>
      <c r="O1794">
        <v>16.329999999999998</v>
      </c>
      <c r="P1794">
        <v>133636.04999999999</v>
      </c>
      <c r="Q1794">
        <v>95329.65</v>
      </c>
      <c r="R1794">
        <v>147</v>
      </c>
      <c r="S1794">
        <v>1622</v>
      </c>
      <c r="T1794" t="s">
        <v>34</v>
      </c>
      <c r="U1794" t="s">
        <v>31</v>
      </c>
    </row>
    <row r="1795" spans="1:21">
      <c r="A1795" t="s">
        <v>2841</v>
      </c>
      <c r="B1795" t="s">
        <v>2824</v>
      </c>
      <c r="C1795" t="s">
        <v>2825</v>
      </c>
      <c r="D1795">
        <v>115000</v>
      </c>
      <c r="E1795">
        <v>15000</v>
      </c>
      <c r="H1795">
        <v>2</v>
      </c>
      <c r="I1795" t="s">
        <v>89</v>
      </c>
      <c r="J1795">
        <v>25.66</v>
      </c>
      <c r="K1795">
        <v>1</v>
      </c>
      <c r="L1795">
        <v>3</v>
      </c>
      <c r="M1795" t="s">
        <v>2826</v>
      </c>
      <c r="N1795">
        <v>12</v>
      </c>
      <c r="O1795">
        <v>16.329999999999998</v>
      </c>
      <c r="P1795">
        <v>133636.04999999999</v>
      </c>
      <c r="Q1795">
        <v>95329.65</v>
      </c>
      <c r="R1795">
        <v>147</v>
      </c>
      <c r="S1795">
        <v>1622</v>
      </c>
      <c r="T1795" t="s">
        <v>34</v>
      </c>
      <c r="U1795" t="s">
        <v>31</v>
      </c>
    </row>
    <row r="1796" spans="1:21">
      <c r="A1796" t="s">
        <v>2842</v>
      </c>
      <c r="B1796" t="s">
        <v>2824</v>
      </c>
      <c r="C1796" t="s">
        <v>2825</v>
      </c>
      <c r="D1796">
        <v>116500</v>
      </c>
      <c r="E1796">
        <v>15000</v>
      </c>
      <c r="H1796">
        <v>2</v>
      </c>
      <c r="I1796" t="s">
        <v>89</v>
      </c>
      <c r="J1796">
        <v>25.66</v>
      </c>
      <c r="K1796">
        <v>1</v>
      </c>
      <c r="L1796">
        <v>3</v>
      </c>
      <c r="M1796" t="s">
        <v>2826</v>
      </c>
      <c r="N1796">
        <v>12</v>
      </c>
      <c r="O1796">
        <v>16.329999999999998</v>
      </c>
      <c r="P1796">
        <v>133636.04999999999</v>
      </c>
      <c r="Q1796">
        <v>95329.65</v>
      </c>
      <c r="R1796">
        <v>147</v>
      </c>
      <c r="S1796">
        <v>1622</v>
      </c>
      <c r="T1796" t="s">
        <v>34</v>
      </c>
      <c r="U1796" t="s">
        <v>31</v>
      </c>
    </row>
    <row r="1797" spans="1:21">
      <c r="A1797" t="s">
        <v>2843</v>
      </c>
      <c r="B1797" t="s">
        <v>2824</v>
      </c>
      <c r="C1797" t="s">
        <v>2825</v>
      </c>
      <c r="D1797">
        <v>115000</v>
      </c>
      <c r="E1797">
        <v>15000</v>
      </c>
      <c r="H1797">
        <v>2</v>
      </c>
      <c r="I1797" t="s">
        <v>89</v>
      </c>
      <c r="J1797">
        <v>25.71</v>
      </c>
      <c r="K1797">
        <v>1</v>
      </c>
      <c r="L1797">
        <v>3</v>
      </c>
      <c r="M1797" t="s">
        <v>2826</v>
      </c>
      <c r="N1797">
        <v>12</v>
      </c>
      <c r="O1797">
        <v>16.329999999999998</v>
      </c>
      <c r="P1797">
        <v>133636.04999999999</v>
      </c>
      <c r="Q1797">
        <v>95329.65</v>
      </c>
      <c r="R1797">
        <v>147</v>
      </c>
      <c r="S1797">
        <v>1622</v>
      </c>
      <c r="T1797" t="s">
        <v>34</v>
      </c>
      <c r="U1797" t="s">
        <v>31</v>
      </c>
    </row>
    <row r="1798" spans="1:21">
      <c r="A1798" t="s">
        <v>2844</v>
      </c>
      <c r="B1798" t="s">
        <v>2824</v>
      </c>
      <c r="C1798" t="s">
        <v>2825</v>
      </c>
      <c r="D1798">
        <v>116500</v>
      </c>
      <c r="E1798">
        <v>15000</v>
      </c>
      <c r="H1798">
        <v>2</v>
      </c>
      <c r="I1798" t="s">
        <v>89</v>
      </c>
      <c r="J1798">
        <v>25.71</v>
      </c>
      <c r="K1798">
        <v>1</v>
      </c>
      <c r="L1798">
        <v>3</v>
      </c>
      <c r="M1798" t="s">
        <v>2826</v>
      </c>
      <c r="N1798">
        <v>12</v>
      </c>
      <c r="O1798">
        <v>16.329999999999998</v>
      </c>
      <c r="P1798">
        <v>133636.04999999999</v>
      </c>
      <c r="Q1798">
        <v>95329.65</v>
      </c>
      <c r="R1798">
        <v>147</v>
      </c>
      <c r="S1798">
        <v>1622</v>
      </c>
      <c r="T1798" t="s">
        <v>34</v>
      </c>
      <c r="U1798" t="s">
        <v>31</v>
      </c>
    </row>
    <row r="1799" spans="1:21">
      <c r="A1799" t="s">
        <v>2845</v>
      </c>
      <c r="B1799" t="s">
        <v>2824</v>
      </c>
      <c r="C1799" t="s">
        <v>2825</v>
      </c>
      <c r="D1799">
        <v>116500</v>
      </c>
      <c r="E1799">
        <v>15000</v>
      </c>
      <c r="H1799">
        <v>2</v>
      </c>
      <c r="I1799" t="s">
        <v>89</v>
      </c>
      <c r="J1799">
        <v>26.02</v>
      </c>
      <c r="K1799">
        <v>1</v>
      </c>
      <c r="L1799">
        <v>3</v>
      </c>
      <c r="M1799" t="s">
        <v>2826</v>
      </c>
      <c r="N1799">
        <v>12</v>
      </c>
      <c r="O1799">
        <v>16.329999999999998</v>
      </c>
      <c r="P1799">
        <v>133636.04999999999</v>
      </c>
      <c r="Q1799">
        <v>95329.65</v>
      </c>
      <c r="R1799">
        <v>147</v>
      </c>
      <c r="S1799">
        <v>1622</v>
      </c>
      <c r="T1799" t="s">
        <v>34</v>
      </c>
      <c r="U1799" t="s">
        <v>31</v>
      </c>
    </row>
    <row r="1800" spans="1:21">
      <c r="A1800" t="s">
        <v>2846</v>
      </c>
      <c r="B1800" t="s">
        <v>2824</v>
      </c>
      <c r="C1800" t="s">
        <v>2825</v>
      </c>
      <c r="D1800">
        <v>115500</v>
      </c>
      <c r="E1800">
        <v>15000</v>
      </c>
      <c r="H1800">
        <v>2</v>
      </c>
      <c r="I1800" t="s">
        <v>89</v>
      </c>
      <c r="J1800">
        <v>26.41</v>
      </c>
      <c r="K1800">
        <v>1</v>
      </c>
      <c r="L1800">
        <v>3</v>
      </c>
      <c r="M1800" t="s">
        <v>2826</v>
      </c>
      <c r="N1800">
        <v>12</v>
      </c>
      <c r="O1800">
        <v>16.329999999999998</v>
      </c>
      <c r="P1800">
        <v>133636.04999999999</v>
      </c>
      <c r="Q1800">
        <v>95329.65</v>
      </c>
      <c r="R1800">
        <v>147</v>
      </c>
      <c r="S1800">
        <v>1622</v>
      </c>
      <c r="T1800" t="s">
        <v>34</v>
      </c>
      <c r="U1800" t="s">
        <v>31</v>
      </c>
    </row>
    <row r="1801" spans="1:21">
      <c r="A1801" t="s">
        <v>2847</v>
      </c>
      <c r="B1801" t="s">
        <v>2824</v>
      </c>
      <c r="C1801" t="s">
        <v>2825</v>
      </c>
      <c r="D1801">
        <v>189000</v>
      </c>
      <c r="E1801">
        <v>15000</v>
      </c>
      <c r="H1801">
        <v>2</v>
      </c>
      <c r="I1801" t="s">
        <v>89</v>
      </c>
      <c r="J1801">
        <v>40.369999999999997</v>
      </c>
      <c r="K1801">
        <v>1</v>
      </c>
      <c r="L1801">
        <v>3</v>
      </c>
      <c r="M1801" t="s">
        <v>2826</v>
      </c>
      <c r="N1801">
        <v>12</v>
      </c>
      <c r="O1801">
        <v>16.329999999999998</v>
      </c>
      <c r="P1801">
        <v>133636.04999999999</v>
      </c>
      <c r="Q1801">
        <v>95329.65</v>
      </c>
      <c r="R1801">
        <v>147</v>
      </c>
      <c r="S1801">
        <v>1622</v>
      </c>
      <c r="T1801" t="s">
        <v>326</v>
      </c>
      <c r="U1801" t="s">
        <v>31</v>
      </c>
    </row>
    <row r="1802" spans="1:21">
      <c r="A1802" t="s">
        <v>2848</v>
      </c>
      <c r="B1802" t="s">
        <v>2824</v>
      </c>
      <c r="C1802" t="s">
        <v>2825</v>
      </c>
      <c r="D1802">
        <v>115000</v>
      </c>
      <c r="E1802">
        <v>15000</v>
      </c>
      <c r="H1802">
        <v>3</v>
      </c>
      <c r="I1802" t="s">
        <v>89</v>
      </c>
      <c r="J1802">
        <v>25.56</v>
      </c>
      <c r="K1802">
        <v>1</v>
      </c>
      <c r="L1802">
        <v>3</v>
      </c>
      <c r="M1802" t="s">
        <v>2826</v>
      </c>
      <c r="N1802">
        <v>12</v>
      </c>
      <c r="O1802">
        <v>16.329999999999998</v>
      </c>
      <c r="P1802">
        <v>133636.04999999999</v>
      </c>
      <c r="Q1802">
        <v>95329.65</v>
      </c>
      <c r="R1802">
        <v>147</v>
      </c>
      <c r="S1802">
        <v>1622</v>
      </c>
      <c r="T1802" t="s">
        <v>34</v>
      </c>
      <c r="U1802" t="s">
        <v>31</v>
      </c>
    </row>
    <row r="1803" spans="1:21">
      <c r="A1803" t="s">
        <v>2849</v>
      </c>
      <c r="B1803" t="s">
        <v>2850</v>
      </c>
      <c r="C1803" t="s">
        <v>2695</v>
      </c>
      <c r="D1803">
        <v>90000</v>
      </c>
      <c r="E1803">
        <v>5000</v>
      </c>
      <c r="F1803">
        <v>90000</v>
      </c>
      <c r="G1803">
        <v>90000</v>
      </c>
      <c r="H1803">
        <v>1</v>
      </c>
      <c r="I1803" t="s">
        <v>89</v>
      </c>
      <c r="J1803">
        <v>22.25</v>
      </c>
      <c r="K1803">
        <v>0</v>
      </c>
      <c r="L1803">
        <v>4</v>
      </c>
      <c r="M1803" t="s">
        <v>2826</v>
      </c>
      <c r="N1803">
        <v>10</v>
      </c>
      <c r="O1803">
        <v>12.33</v>
      </c>
      <c r="P1803">
        <v>133636.04999999999</v>
      </c>
      <c r="Q1803">
        <v>95329.65</v>
      </c>
      <c r="R1803">
        <v>147</v>
      </c>
      <c r="S1803">
        <v>1622</v>
      </c>
      <c r="T1803" t="s">
        <v>34</v>
      </c>
      <c r="U1803" t="s">
        <v>81</v>
      </c>
    </row>
    <row r="1804" spans="1:21">
      <c r="A1804" t="s">
        <v>2851</v>
      </c>
      <c r="B1804" t="s">
        <v>2850</v>
      </c>
      <c r="C1804" t="s">
        <v>2695</v>
      </c>
      <c r="D1804">
        <v>90000</v>
      </c>
      <c r="E1804">
        <v>5000</v>
      </c>
      <c r="F1804">
        <v>90000</v>
      </c>
      <c r="G1804">
        <v>90000</v>
      </c>
      <c r="H1804">
        <v>2</v>
      </c>
      <c r="I1804" t="s">
        <v>89</v>
      </c>
      <c r="J1804">
        <v>20.149999999999999</v>
      </c>
      <c r="K1804">
        <v>0</v>
      </c>
      <c r="L1804">
        <v>4</v>
      </c>
      <c r="M1804" t="s">
        <v>2826</v>
      </c>
      <c r="N1804">
        <v>10</v>
      </c>
      <c r="O1804">
        <v>12.33</v>
      </c>
      <c r="P1804">
        <v>133636.04999999999</v>
      </c>
      <c r="Q1804">
        <v>95329.65</v>
      </c>
      <c r="R1804">
        <v>147</v>
      </c>
      <c r="S1804">
        <v>1622</v>
      </c>
      <c r="T1804" t="s">
        <v>34</v>
      </c>
      <c r="U1804" t="s">
        <v>81</v>
      </c>
    </row>
    <row r="1805" spans="1:21">
      <c r="A1805" t="s">
        <v>2852</v>
      </c>
      <c r="B1805" t="s">
        <v>2850</v>
      </c>
      <c r="C1805" t="s">
        <v>2695</v>
      </c>
      <c r="D1805">
        <v>91000</v>
      </c>
      <c r="E1805">
        <v>5000</v>
      </c>
      <c r="F1805">
        <v>91000</v>
      </c>
      <c r="G1805">
        <v>91000</v>
      </c>
      <c r="H1805">
        <v>3</v>
      </c>
      <c r="I1805" t="s">
        <v>89</v>
      </c>
      <c r="J1805">
        <v>20.149999999999999</v>
      </c>
      <c r="K1805">
        <v>0</v>
      </c>
      <c r="L1805">
        <v>4</v>
      </c>
      <c r="M1805" t="s">
        <v>2826</v>
      </c>
      <c r="N1805">
        <v>10</v>
      </c>
      <c r="O1805">
        <v>12.33</v>
      </c>
      <c r="P1805">
        <v>133636.04999999999</v>
      </c>
      <c r="Q1805">
        <v>95329.65</v>
      </c>
      <c r="R1805">
        <v>147</v>
      </c>
      <c r="S1805">
        <v>1622</v>
      </c>
      <c r="T1805" t="s">
        <v>34</v>
      </c>
      <c r="U1805" t="s">
        <v>81</v>
      </c>
    </row>
    <row r="1806" spans="1:21">
      <c r="A1806" t="s">
        <v>2853</v>
      </c>
      <c r="B1806" t="s">
        <v>2850</v>
      </c>
      <c r="C1806" t="s">
        <v>2695</v>
      </c>
      <c r="D1806">
        <v>94000</v>
      </c>
      <c r="E1806">
        <v>5000</v>
      </c>
      <c r="F1806">
        <v>94000</v>
      </c>
      <c r="G1806">
        <v>94000</v>
      </c>
      <c r="H1806">
        <v>3</v>
      </c>
      <c r="I1806" t="s">
        <v>89</v>
      </c>
      <c r="J1806">
        <v>22.64</v>
      </c>
      <c r="K1806">
        <v>0</v>
      </c>
      <c r="L1806">
        <v>4</v>
      </c>
      <c r="M1806" t="s">
        <v>2826</v>
      </c>
      <c r="N1806">
        <v>10</v>
      </c>
      <c r="O1806">
        <v>12.33</v>
      </c>
      <c r="P1806">
        <v>133636.04999999999</v>
      </c>
      <c r="Q1806">
        <v>95329.65</v>
      </c>
      <c r="R1806">
        <v>147</v>
      </c>
      <c r="S1806">
        <v>1622</v>
      </c>
      <c r="T1806" t="s">
        <v>34</v>
      </c>
      <c r="U1806" t="s">
        <v>81</v>
      </c>
    </row>
    <row r="1807" spans="1:21">
      <c r="A1807" t="s">
        <v>2854</v>
      </c>
      <c r="B1807" t="s">
        <v>2850</v>
      </c>
      <c r="C1807" t="s">
        <v>2695</v>
      </c>
      <c r="D1807">
        <v>92000</v>
      </c>
      <c r="E1807">
        <v>5000</v>
      </c>
      <c r="F1807">
        <v>92000</v>
      </c>
      <c r="G1807">
        <v>92000</v>
      </c>
      <c r="H1807">
        <v>4</v>
      </c>
      <c r="I1807" t="s">
        <v>89</v>
      </c>
      <c r="J1807">
        <v>20.149999999999999</v>
      </c>
      <c r="K1807">
        <v>0</v>
      </c>
      <c r="L1807">
        <v>4</v>
      </c>
      <c r="M1807" t="s">
        <v>2826</v>
      </c>
      <c r="N1807">
        <v>10</v>
      </c>
      <c r="O1807">
        <v>12.33</v>
      </c>
      <c r="P1807">
        <v>133636.04999999999</v>
      </c>
      <c r="Q1807">
        <v>95329.65</v>
      </c>
      <c r="R1807">
        <v>147</v>
      </c>
      <c r="S1807">
        <v>1622</v>
      </c>
      <c r="T1807" t="s">
        <v>34</v>
      </c>
      <c r="U1807" t="s">
        <v>81</v>
      </c>
    </row>
    <row r="1808" spans="1:21">
      <c r="A1808" t="s">
        <v>2855</v>
      </c>
      <c r="B1808" t="s">
        <v>2850</v>
      </c>
      <c r="C1808" t="s">
        <v>2695</v>
      </c>
      <c r="D1808">
        <v>95000</v>
      </c>
      <c r="E1808">
        <v>5000</v>
      </c>
      <c r="F1808">
        <v>95000</v>
      </c>
      <c r="G1808">
        <v>95000</v>
      </c>
      <c r="H1808">
        <v>4</v>
      </c>
      <c r="I1808" t="s">
        <v>89</v>
      </c>
      <c r="J1808">
        <v>22.64</v>
      </c>
      <c r="K1808">
        <v>0</v>
      </c>
      <c r="L1808">
        <v>4</v>
      </c>
      <c r="M1808" t="s">
        <v>2826</v>
      </c>
      <c r="N1808">
        <v>10</v>
      </c>
      <c r="O1808">
        <v>12.33</v>
      </c>
      <c r="P1808">
        <v>133636.04999999999</v>
      </c>
      <c r="Q1808">
        <v>95329.65</v>
      </c>
      <c r="R1808">
        <v>147</v>
      </c>
      <c r="S1808">
        <v>1622</v>
      </c>
      <c r="T1808" t="s">
        <v>34</v>
      </c>
      <c r="U1808" t="s">
        <v>81</v>
      </c>
    </row>
    <row r="1809" spans="1:21">
      <c r="A1809" t="s">
        <v>2856</v>
      </c>
      <c r="B1809" t="s">
        <v>2850</v>
      </c>
      <c r="C1809" t="s">
        <v>2695</v>
      </c>
      <c r="D1809">
        <v>95000</v>
      </c>
      <c r="E1809">
        <v>5000</v>
      </c>
      <c r="F1809">
        <v>95000</v>
      </c>
      <c r="G1809">
        <v>95000</v>
      </c>
      <c r="H1809">
        <v>4</v>
      </c>
      <c r="I1809" t="s">
        <v>89</v>
      </c>
      <c r="J1809">
        <v>24.12</v>
      </c>
      <c r="K1809">
        <v>0</v>
      </c>
      <c r="L1809">
        <v>4</v>
      </c>
      <c r="M1809" t="s">
        <v>2826</v>
      </c>
      <c r="N1809">
        <v>10</v>
      </c>
      <c r="O1809">
        <v>12.33</v>
      </c>
      <c r="P1809">
        <v>133636.04999999999</v>
      </c>
      <c r="Q1809">
        <v>95329.65</v>
      </c>
      <c r="R1809">
        <v>147</v>
      </c>
      <c r="S1809">
        <v>1622</v>
      </c>
      <c r="T1809" t="s">
        <v>34</v>
      </c>
      <c r="U1809" t="s">
        <v>81</v>
      </c>
    </row>
    <row r="1810" spans="1:21">
      <c r="A1810" t="s">
        <v>2857</v>
      </c>
      <c r="B1810" t="s">
        <v>2858</v>
      </c>
      <c r="C1810" t="s">
        <v>2156</v>
      </c>
      <c r="D1810">
        <v>47000</v>
      </c>
      <c r="E1810">
        <v>3000</v>
      </c>
      <c r="H1810">
        <v>2</v>
      </c>
      <c r="I1810" t="s">
        <v>89</v>
      </c>
      <c r="J1810">
        <v>17</v>
      </c>
      <c r="K1810">
        <v>39</v>
      </c>
      <c r="L1810">
        <v>2</v>
      </c>
      <c r="M1810" t="s">
        <v>2826</v>
      </c>
      <c r="N1810">
        <v>10</v>
      </c>
      <c r="O1810">
        <v>13</v>
      </c>
      <c r="P1810">
        <v>133636.04999999999</v>
      </c>
      <c r="Q1810">
        <v>95329.65</v>
      </c>
      <c r="R1810">
        <v>147</v>
      </c>
      <c r="S1810">
        <v>1622</v>
      </c>
      <c r="T1810" t="s">
        <v>108</v>
      </c>
      <c r="U1810" t="s">
        <v>49</v>
      </c>
    </row>
    <row r="1811" spans="1:21">
      <c r="A1811" t="s">
        <v>2859</v>
      </c>
      <c r="B1811" t="s">
        <v>2860</v>
      </c>
      <c r="C1811" t="s">
        <v>2695</v>
      </c>
      <c r="D1811">
        <v>78000</v>
      </c>
      <c r="E1811">
        <v>15000</v>
      </c>
      <c r="H1811">
        <v>1</v>
      </c>
      <c r="I1811" t="s">
        <v>89</v>
      </c>
      <c r="J1811">
        <v>23.69</v>
      </c>
      <c r="K1811">
        <v>18</v>
      </c>
      <c r="L1811">
        <v>6</v>
      </c>
      <c r="M1811" t="s">
        <v>2826</v>
      </c>
      <c r="N1811">
        <v>10</v>
      </c>
      <c r="O1811">
        <v>13.33</v>
      </c>
      <c r="P1811">
        <v>133636.04999999999</v>
      </c>
      <c r="Q1811">
        <v>95329.65</v>
      </c>
      <c r="R1811">
        <v>147</v>
      </c>
      <c r="S1811">
        <v>1622</v>
      </c>
      <c r="T1811" t="s">
        <v>34</v>
      </c>
      <c r="U1811" t="s">
        <v>90</v>
      </c>
    </row>
    <row r="1812" spans="1:21">
      <c r="A1812" t="s">
        <v>2861</v>
      </c>
      <c r="B1812" t="s">
        <v>2862</v>
      </c>
      <c r="C1812" t="s">
        <v>2695</v>
      </c>
      <c r="D1812">
        <v>73000</v>
      </c>
      <c r="E1812">
        <v>5000</v>
      </c>
      <c r="F1812">
        <v>73000</v>
      </c>
      <c r="G1812">
        <v>36500</v>
      </c>
      <c r="H1812">
        <v>2</v>
      </c>
      <c r="I1812" t="s">
        <v>89</v>
      </c>
      <c r="J1812">
        <v>17.21</v>
      </c>
      <c r="K1812">
        <v>6</v>
      </c>
      <c r="L1812">
        <v>4</v>
      </c>
      <c r="M1812" t="s">
        <v>2826</v>
      </c>
      <c r="N1812">
        <v>9</v>
      </c>
      <c r="O1812">
        <v>13.67</v>
      </c>
      <c r="P1812">
        <v>133636.04999999999</v>
      </c>
      <c r="Q1812">
        <v>95329.65</v>
      </c>
      <c r="R1812">
        <v>147</v>
      </c>
      <c r="S1812">
        <v>1622</v>
      </c>
      <c r="T1812" t="s">
        <v>108</v>
      </c>
      <c r="U1812" t="s">
        <v>31</v>
      </c>
    </row>
    <row r="1813" spans="1:21">
      <c r="A1813" t="s">
        <v>2863</v>
      </c>
      <c r="B1813" t="s">
        <v>2864</v>
      </c>
      <c r="C1813" t="s">
        <v>2825</v>
      </c>
      <c r="D1813">
        <v>79500</v>
      </c>
      <c r="E1813">
        <v>9500</v>
      </c>
      <c r="G1813">
        <v>79500</v>
      </c>
      <c r="H1813">
        <v>2</v>
      </c>
      <c r="I1813" t="s">
        <v>89</v>
      </c>
      <c r="J1813">
        <v>23.04</v>
      </c>
      <c r="K1813">
        <v>20</v>
      </c>
      <c r="L1813">
        <v>3</v>
      </c>
      <c r="M1813" t="s">
        <v>2826</v>
      </c>
      <c r="N1813">
        <v>12</v>
      </c>
      <c r="O1813">
        <v>15</v>
      </c>
      <c r="P1813">
        <v>133636.04999999999</v>
      </c>
      <c r="Q1813">
        <v>95329.65</v>
      </c>
      <c r="R1813">
        <v>147</v>
      </c>
      <c r="S1813">
        <v>1622</v>
      </c>
      <c r="T1813" t="s">
        <v>34</v>
      </c>
      <c r="U1813" t="s">
        <v>90</v>
      </c>
    </row>
    <row r="1814" spans="1:21">
      <c r="A1814" t="s">
        <v>2865</v>
      </c>
      <c r="B1814" t="s">
        <v>2866</v>
      </c>
      <c r="C1814" t="s">
        <v>2695</v>
      </c>
      <c r="D1814">
        <v>75000</v>
      </c>
      <c r="E1814">
        <v>5000</v>
      </c>
      <c r="H1814">
        <v>1</v>
      </c>
      <c r="I1814" t="s">
        <v>89</v>
      </c>
      <c r="J1814">
        <v>18.559999999999999</v>
      </c>
      <c r="K1814">
        <v>15</v>
      </c>
      <c r="L1814">
        <v>3</v>
      </c>
      <c r="M1814" t="s">
        <v>2826</v>
      </c>
      <c r="N1814">
        <v>11</v>
      </c>
      <c r="O1814">
        <v>14.33</v>
      </c>
      <c r="P1814">
        <v>133636.04999999999</v>
      </c>
      <c r="Q1814">
        <v>95329.65</v>
      </c>
      <c r="R1814">
        <v>147</v>
      </c>
      <c r="S1814">
        <v>1622</v>
      </c>
      <c r="T1814" t="s">
        <v>108</v>
      </c>
      <c r="U1814" t="s">
        <v>90</v>
      </c>
    </row>
    <row r="1815" spans="1:21">
      <c r="A1815" t="s">
        <v>2867</v>
      </c>
      <c r="B1815" t="s">
        <v>2868</v>
      </c>
      <c r="C1815" t="s">
        <v>2825</v>
      </c>
      <c r="D1815">
        <v>74000</v>
      </c>
      <c r="E1815">
        <v>8000</v>
      </c>
      <c r="H1815">
        <v>2</v>
      </c>
      <c r="I1815" t="s">
        <v>89</v>
      </c>
      <c r="J1815">
        <v>19.77</v>
      </c>
      <c r="K1815">
        <v>5</v>
      </c>
      <c r="L1815">
        <v>2</v>
      </c>
      <c r="M1815" t="s">
        <v>2826</v>
      </c>
      <c r="N1815">
        <v>13</v>
      </c>
      <c r="O1815">
        <v>15</v>
      </c>
      <c r="P1815">
        <v>133636.04999999999</v>
      </c>
      <c r="Q1815">
        <v>95329.65</v>
      </c>
      <c r="R1815">
        <v>147</v>
      </c>
      <c r="S1815">
        <v>1622</v>
      </c>
      <c r="T1815" t="s">
        <v>108</v>
      </c>
      <c r="U1815" t="s">
        <v>31</v>
      </c>
    </row>
    <row r="1816" spans="1:21">
      <c r="A1816" t="s">
        <v>2869</v>
      </c>
      <c r="B1816" t="s">
        <v>2868</v>
      </c>
      <c r="C1816" t="s">
        <v>2825</v>
      </c>
      <c r="D1816">
        <v>79000</v>
      </c>
      <c r="E1816">
        <v>8000</v>
      </c>
      <c r="H1816">
        <v>2</v>
      </c>
      <c r="I1816" t="s">
        <v>89</v>
      </c>
      <c r="J1816">
        <v>19.77</v>
      </c>
      <c r="K1816">
        <v>5</v>
      </c>
      <c r="L1816">
        <v>2</v>
      </c>
      <c r="M1816" t="s">
        <v>2826</v>
      </c>
      <c r="N1816">
        <v>13</v>
      </c>
      <c r="O1816">
        <v>15</v>
      </c>
      <c r="P1816">
        <v>133636.04999999999</v>
      </c>
      <c r="Q1816">
        <v>95329.65</v>
      </c>
      <c r="R1816">
        <v>147</v>
      </c>
      <c r="S1816">
        <v>1622</v>
      </c>
      <c r="T1816" t="s">
        <v>108</v>
      </c>
      <c r="U1816" t="s">
        <v>31</v>
      </c>
    </row>
    <row r="1817" spans="1:21">
      <c r="A1817" t="s">
        <v>2870</v>
      </c>
      <c r="B1817" t="s">
        <v>2871</v>
      </c>
      <c r="C1817" t="s">
        <v>2156</v>
      </c>
      <c r="D1817">
        <v>82000</v>
      </c>
      <c r="E1817">
        <v>5500</v>
      </c>
      <c r="G1817">
        <v>82000</v>
      </c>
      <c r="H1817">
        <v>2</v>
      </c>
      <c r="I1817" t="s">
        <v>89</v>
      </c>
      <c r="J1817">
        <v>26.08</v>
      </c>
      <c r="K1817">
        <v>21</v>
      </c>
      <c r="L1817">
        <v>2</v>
      </c>
      <c r="M1817" t="s">
        <v>2826</v>
      </c>
      <c r="N1817">
        <v>15</v>
      </c>
      <c r="O1817">
        <v>17.670000000000002</v>
      </c>
      <c r="P1817">
        <v>133636.04999999999</v>
      </c>
      <c r="Q1817">
        <v>95329.65</v>
      </c>
      <c r="R1817">
        <v>147</v>
      </c>
      <c r="S1817">
        <v>1622</v>
      </c>
      <c r="T1817" t="s">
        <v>34</v>
      </c>
      <c r="U1817" t="s">
        <v>27</v>
      </c>
    </row>
    <row r="1818" spans="1:21">
      <c r="A1818" t="s">
        <v>2872</v>
      </c>
      <c r="B1818" t="s">
        <v>2871</v>
      </c>
      <c r="C1818" t="s">
        <v>2156</v>
      </c>
      <c r="D1818">
        <v>83000</v>
      </c>
      <c r="E1818">
        <v>5500</v>
      </c>
      <c r="G1818">
        <v>83000</v>
      </c>
      <c r="H1818">
        <v>2</v>
      </c>
      <c r="I1818" t="s">
        <v>89</v>
      </c>
      <c r="J1818">
        <v>26.08</v>
      </c>
      <c r="K1818">
        <v>21</v>
      </c>
      <c r="L1818">
        <v>2</v>
      </c>
      <c r="M1818" t="s">
        <v>2826</v>
      </c>
      <c r="N1818">
        <v>15</v>
      </c>
      <c r="O1818">
        <v>17.670000000000002</v>
      </c>
      <c r="P1818">
        <v>133636.04999999999</v>
      </c>
      <c r="Q1818">
        <v>95329.65</v>
      </c>
      <c r="R1818">
        <v>147</v>
      </c>
      <c r="S1818">
        <v>1622</v>
      </c>
      <c r="T1818" t="s">
        <v>34</v>
      </c>
      <c r="U1818" t="s">
        <v>27</v>
      </c>
    </row>
    <row r="1819" spans="1:21">
      <c r="A1819" t="s">
        <v>2873</v>
      </c>
      <c r="B1819" t="s">
        <v>2874</v>
      </c>
      <c r="C1819" t="s">
        <v>2156</v>
      </c>
      <c r="D1819">
        <v>86000</v>
      </c>
      <c r="E1819">
        <v>5500</v>
      </c>
      <c r="G1819">
        <v>86000</v>
      </c>
      <c r="H1819">
        <v>1</v>
      </c>
      <c r="I1819" t="s">
        <v>89</v>
      </c>
      <c r="J1819">
        <v>19.87</v>
      </c>
      <c r="K1819">
        <v>14</v>
      </c>
      <c r="L1819">
        <v>2</v>
      </c>
      <c r="M1819" t="s">
        <v>2826</v>
      </c>
      <c r="N1819">
        <v>13</v>
      </c>
      <c r="O1819">
        <v>15.67</v>
      </c>
      <c r="P1819">
        <v>133636.04999999999</v>
      </c>
      <c r="Q1819">
        <v>95329.65</v>
      </c>
      <c r="R1819">
        <v>147</v>
      </c>
      <c r="S1819">
        <v>1622</v>
      </c>
      <c r="T1819" t="s">
        <v>108</v>
      </c>
      <c r="U1819" t="s">
        <v>90</v>
      </c>
    </row>
    <row r="1820" spans="1:21">
      <c r="A1820" t="s">
        <v>2875</v>
      </c>
      <c r="B1820" t="s">
        <v>2876</v>
      </c>
      <c r="C1820" t="s">
        <v>2825</v>
      </c>
      <c r="D1820">
        <v>88000</v>
      </c>
      <c r="E1820">
        <v>5500</v>
      </c>
      <c r="G1820">
        <v>88000</v>
      </c>
      <c r="H1820">
        <v>2</v>
      </c>
      <c r="I1820" t="s">
        <v>89</v>
      </c>
      <c r="J1820">
        <v>19.87</v>
      </c>
      <c r="K1820">
        <v>17</v>
      </c>
      <c r="L1820">
        <v>2</v>
      </c>
      <c r="M1820" t="s">
        <v>2826</v>
      </c>
      <c r="N1820">
        <v>15</v>
      </c>
      <c r="O1820">
        <v>16.670000000000002</v>
      </c>
      <c r="P1820">
        <v>133636.04999999999</v>
      </c>
      <c r="Q1820">
        <v>95329.65</v>
      </c>
      <c r="R1820">
        <v>147</v>
      </c>
      <c r="S1820">
        <v>1622</v>
      </c>
      <c r="T1820" t="s">
        <v>108</v>
      </c>
      <c r="U1820" t="s">
        <v>90</v>
      </c>
    </row>
    <row r="1821" spans="1:21">
      <c r="A1821" t="s">
        <v>2877</v>
      </c>
      <c r="B1821" t="s">
        <v>2876</v>
      </c>
      <c r="C1821" t="s">
        <v>2825</v>
      </c>
      <c r="D1821">
        <v>89000</v>
      </c>
      <c r="E1821">
        <v>5500</v>
      </c>
      <c r="G1821">
        <v>89000</v>
      </c>
      <c r="H1821">
        <v>2</v>
      </c>
      <c r="I1821" t="s">
        <v>89</v>
      </c>
      <c r="J1821">
        <v>19.87</v>
      </c>
      <c r="K1821">
        <v>17</v>
      </c>
      <c r="L1821">
        <v>2</v>
      </c>
      <c r="M1821" t="s">
        <v>2826</v>
      </c>
      <c r="N1821">
        <v>15</v>
      </c>
      <c r="O1821">
        <v>16.670000000000002</v>
      </c>
      <c r="P1821">
        <v>133636.04999999999</v>
      </c>
      <c r="Q1821">
        <v>95329.65</v>
      </c>
      <c r="R1821">
        <v>147</v>
      </c>
      <c r="S1821">
        <v>1622</v>
      </c>
      <c r="T1821" t="s">
        <v>108</v>
      </c>
      <c r="U1821" t="s">
        <v>90</v>
      </c>
    </row>
    <row r="1822" spans="1:21">
      <c r="A1822" t="s">
        <v>2878</v>
      </c>
      <c r="B1822" t="s">
        <v>2879</v>
      </c>
      <c r="C1822" t="s">
        <v>2156</v>
      </c>
      <c r="D1822">
        <v>86000</v>
      </c>
      <c r="E1822">
        <v>5500</v>
      </c>
      <c r="G1822">
        <v>86000</v>
      </c>
      <c r="H1822">
        <v>1</v>
      </c>
      <c r="I1822" t="s">
        <v>89</v>
      </c>
      <c r="J1822">
        <v>19.87</v>
      </c>
      <c r="K1822">
        <v>14</v>
      </c>
      <c r="L1822">
        <v>2</v>
      </c>
      <c r="M1822" t="s">
        <v>2826</v>
      </c>
      <c r="N1822">
        <v>13</v>
      </c>
      <c r="O1822">
        <v>15.67</v>
      </c>
      <c r="P1822">
        <v>133636.04999999999</v>
      </c>
      <c r="Q1822">
        <v>95329.65</v>
      </c>
      <c r="R1822">
        <v>147</v>
      </c>
      <c r="S1822">
        <v>1622</v>
      </c>
      <c r="T1822" t="s">
        <v>108</v>
      </c>
      <c r="U1822" t="s">
        <v>90</v>
      </c>
    </row>
    <row r="1823" spans="1:21">
      <c r="A1823" t="s">
        <v>2880</v>
      </c>
      <c r="B1823" t="s">
        <v>2881</v>
      </c>
      <c r="C1823" t="s">
        <v>2825</v>
      </c>
      <c r="D1823">
        <v>88000</v>
      </c>
      <c r="E1823">
        <v>5500</v>
      </c>
      <c r="G1823">
        <v>88000</v>
      </c>
      <c r="H1823">
        <v>2</v>
      </c>
      <c r="I1823" t="s">
        <v>89</v>
      </c>
      <c r="J1823">
        <v>19.87</v>
      </c>
      <c r="K1823">
        <v>17</v>
      </c>
      <c r="L1823">
        <v>2</v>
      </c>
      <c r="M1823" t="s">
        <v>2826</v>
      </c>
      <c r="N1823">
        <v>15</v>
      </c>
      <c r="O1823">
        <v>16.329999999999998</v>
      </c>
      <c r="P1823">
        <v>133636.04999999999</v>
      </c>
      <c r="Q1823">
        <v>95329.65</v>
      </c>
      <c r="R1823">
        <v>147</v>
      </c>
      <c r="S1823">
        <v>1622</v>
      </c>
      <c r="T1823" t="s">
        <v>108</v>
      </c>
      <c r="U1823" t="s">
        <v>90</v>
      </c>
    </row>
    <row r="1824" spans="1:21">
      <c r="A1824" t="s">
        <v>2882</v>
      </c>
      <c r="B1824" t="s">
        <v>2881</v>
      </c>
      <c r="C1824" t="s">
        <v>2825</v>
      </c>
      <c r="D1824">
        <v>89000</v>
      </c>
      <c r="E1824">
        <v>5500</v>
      </c>
      <c r="G1824">
        <v>89000</v>
      </c>
      <c r="H1824">
        <v>2</v>
      </c>
      <c r="I1824" t="s">
        <v>89</v>
      </c>
      <c r="J1824">
        <v>19.87</v>
      </c>
      <c r="K1824">
        <v>17</v>
      </c>
      <c r="L1824">
        <v>2</v>
      </c>
      <c r="M1824" t="s">
        <v>2826</v>
      </c>
      <c r="N1824">
        <v>15</v>
      </c>
      <c r="O1824">
        <v>16.329999999999998</v>
      </c>
      <c r="P1824">
        <v>133636.04999999999</v>
      </c>
      <c r="Q1824">
        <v>95329.65</v>
      </c>
      <c r="R1824">
        <v>147</v>
      </c>
      <c r="S1824">
        <v>1622</v>
      </c>
      <c r="T1824" t="s">
        <v>108</v>
      </c>
      <c r="U1824" t="s">
        <v>90</v>
      </c>
    </row>
    <row r="1825" spans="1:21">
      <c r="A1825" t="s">
        <v>2883</v>
      </c>
      <c r="B1825" t="s">
        <v>2884</v>
      </c>
      <c r="C1825" t="s">
        <v>2825</v>
      </c>
      <c r="D1825">
        <v>74000</v>
      </c>
      <c r="E1825">
        <v>8000</v>
      </c>
      <c r="H1825">
        <v>2</v>
      </c>
      <c r="I1825" t="s">
        <v>89</v>
      </c>
      <c r="J1825">
        <v>19.77</v>
      </c>
      <c r="K1825">
        <v>5</v>
      </c>
      <c r="L1825">
        <v>2</v>
      </c>
      <c r="M1825" t="s">
        <v>2826</v>
      </c>
      <c r="N1825">
        <v>10</v>
      </c>
      <c r="O1825">
        <v>12.67</v>
      </c>
      <c r="P1825">
        <v>133636.04999999999</v>
      </c>
      <c r="Q1825">
        <v>95329.65</v>
      </c>
      <c r="R1825">
        <v>147</v>
      </c>
      <c r="S1825">
        <v>1622</v>
      </c>
      <c r="T1825" t="s">
        <v>108</v>
      </c>
      <c r="U1825" t="s">
        <v>31</v>
      </c>
    </row>
    <row r="1826" spans="1:21">
      <c r="A1826" t="s">
        <v>2885</v>
      </c>
      <c r="B1826" t="s">
        <v>2884</v>
      </c>
      <c r="C1826" t="s">
        <v>2825</v>
      </c>
      <c r="D1826">
        <v>79000</v>
      </c>
      <c r="E1826">
        <v>8000</v>
      </c>
      <c r="H1826">
        <v>2</v>
      </c>
      <c r="I1826" t="s">
        <v>89</v>
      </c>
      <c r="J1826">
        <v>19.77</v>
      </c>
      <c r="K1826">
        <v>5</v>
      </c>
      <c r="L1826">
        <v>2</v>
      </c>
      <c r="M1826" t="s">
        <v>2826</v>
      </c>
      <c r="N1826">
        <v>10</v>
      </c>
      <c r="O1826">
        <v>12.67</v>
      </c>
      <c r="P1826">
        <v>133636.04999999999</v>
      </c>
      <c r="Q1826">
        <v>95329.65</v>
      </c>
      <c r="R1826">
        <v>147</v>
      </c>
      <c r="S1826">
        <v>1622</v>
      </c>
      <c r="T1826" t="s">
        <v>108</v>
      </c>
      <c r="U1826" t="s">
        <v>31</v>
      </c>
    </row>
    <row r="1827" spans="1:21">
      <c r="A1827" t="s">
        <v>2886</v>
      </c>
      <c r="B1827" t="s">
        <v>2887</v>
      </c>
      <c r="C1827" t="s">
        <v>2825</v>
      </c>
      <c r="D1827">
        <v>114000</v>
      </c>
      <c r="E1827">
        <v>15000</v>
      </c>
      <c r="H1827">
        <v>1</v>
      </c>
      <c r="I1827" t="s">
        <v>89</v>
      </c>
      <c r="J1827">
        <v>25.56</v>
      </c>
      <c r="K1827">
        <v>0</v>
      </c>
      <c r="L1827">
        <v>3</v>
      </c>
      <c r="M1827" t="s">
        <v>2826</v>
      </c>
      <c r="N1827">
        <v>11</v>
      </c>
      <c r="O1827">
        <v>13.67</v>
      </c>
      <c r="P1827">
        <v>133636.04999999999</v>
      </c>
      <c r="Q1827">
        <v>95329.65</v>
      </c>
      <c r="R1827">
        <v>147</v>
      </c>
      <c r="S1827">
        <v>1622</v>
      </c>
      <c r="T1827" t="s">
        <v>34</v>
      </c>
      <c r="U1827" t="s">
        <v>81</v>
      </c>
    </row>
    <row r="1828" spans="1:21">
      <c r="A1828" t="s">
        <v>2888</v>
      </c>
      <c r="B1828" t="s">
        <v>2887</v>
      </c>
      <c r="C1828" t="s">
        <v>2825</v>
      </c>
      <c r="D1828">
        <v>115500</v>
      </c>
      <c r="E1828">
        <v>15000</v>
      </c>
      <c r="H1828">
        <v>1</v>
      </c>
      <c r="I1828" t="s">
        <v>89</v>
      </c>
      <c r="J1828">
        <v>25.56</v>
      </c>
      <c r="K1828">
        <v>0</v>
      </c>
      <c r="L1828">
        <v>3</v>
      </c>
      <c r="M1828" t="s">
        <v>2826</v>
      </c>
      <c r="N1828">
        <v>11</v>
      </c>
      <c r="O1828">
        <v>13.67</v>
      </c>
      <c r="P1828">
        <v>133636.04999999999</v>
      </c>
      <c r="Q1828">
        <v>95329.65</v>
      </c>
      <c r="R1828">
        <v>147</v>
      </c>
      <c r="S1828">
        <v>1622</v>
      </c>
      <c r="T1828" t="s">
        <v>34</v>
      </c>
      <c r="U1828" t="s">
        <v>81</v>
      </c>
    </row>
    <row r="1829" spans="1:21">
      <c r="A1829" t="s">
        <v>2889</v>
      </c>
      <c r="B1829" t="s">
        <v>2887</v>
      </c>
      <c r="C1829" t="s">
        <v>2825</v>
      </c>
      <c r="D1829">
        <v>115500</v>
      </c>
      <c r="E1829">
        <v>15000</v>
      </c>
      <c r="H1829">
        <v>1</v>
      </c>
      <c r="I1829" t="s">
        <v>89</v>
      </c>
      <c r="J1829">
        <v>25.66</v>
      </c>
      <c r="K1829">
        <v>0</v>
      </c>
      <c r="L1829">
        <v>3</v>
      </c>
      <c r="M1829" t="s">
        <v>2826</v>
      </c>
      <c r="N1829">
        <v>11</v>
      </c>
      <c r="O1829">
        <v>13.67</v>
      </c>
      <c r="P1829">
        <v>133636.04999999999</v>
      </c>
      <c r="Q1829">
        <v>95329.65</v>
      </c>
      <c r="R1829">
        <v>147</v>
      </c>
      <c r="S1829">
        <v>1622</v>
      </c>
      <c r="T1829" t="s">
        <v>34</v>
      </c>
      <c r="U1829" t="s">
        <v>81</v>
      </c>
    </row>
    <row r="1830" spans="1:21">
      <c r="A1830" t="s">
        <v>2890</v>
      </c>
      <c r="B1830" t="s">
        <v>2887</v>
      </c>
      <c r="C1830" t="s">
        <v>2825</v>
      </c>
      <c r="D1830">
        <v>115500</v>
      </c>
      <c r="E1830">
        <v>15000</v>
      </c>
      <c r="H1830">
        <v>1</v>
      </c>
      <c r="I1830" t="s">
        <v>89</v>
      </c>
      <c r="J1830">
        <v>25.68</v>
      </c>
      <c r="K1830">
        <v>0</v>
      </c>
      <c r="L1830">
        <v>3</v>
      </c>
      <c r="M1830" t="s">
        <v>2826</v>
      </c>
      <c r="N1830">
        <v>11</v>
      </c>
      <c r="O1830">
        <v>13.67</v>
      </c>
      <c r="P1830">
        <v>133636.04999999999</v>
      </c>
      <c r="Q1830">
        <v>95329.65</v>
      </c>
      <c r="R1830">
        <v>147</v>
      </c>
      <c r="S1830">
        <v>1622</v>
      </c>
      <c r="T1830" t="s">
        <v>34</v>
      </c>
      <c r="U1830" t="s">
        <v>81</v>
      </c>
    </row>
    <row r="1831" spans="1:21">
      <c r="A1831" t="s">
        <v>2891</v>
      </c>
      <c r="B1831" t="s">
        <v>2887</v>
      </c>
      <c r="C1831" t="s">
        <v>2825</v>
      </c>
      <c r="D1831">
        <v>115500</v>
      </c>
      <c r="E1831">
        <v>15000</v>
      </c>
      <c r="H1831">
        <v>1</v>
      </c>
      <c r="I1831" t="s">
        <v>89</v>
      </c>
      <c r="J1831">
        <v>25.71</v>
      </c>
      <c r="K1831">
        <v>0</v>
      </c>
      <c r="L1831">
        <v>3</v>
      </c>
      <c r="M1831" t="s">
        <v>2826</v>
      </c>
      <c r="N1831">
        <v>11</v>
      </c>
      <c r="O1831">
        <v>13.67</v>
      </c>
      <c r="P1831">
        <v>133636.04999999999</v>
      </c>
      <c r="Q1831">
        <v>95329.65</v>
      </c>
      <c r="R1831">
        <v>147</v>
      </c>
      <c r="S1831">
        <v>1622</v>
      </c>
      <c r="T1831" t="s">
        <v>34</v>
      </c>
      <c r="U1831" t="s">
        <v>81</v>
      </c>
    </row>
    <row r="1832" spans="1:21">
      <c r="A1832" t="s">
        <v>2892</v>
      </c>
      <c r="B1832" t="s">
        <v>2887</v>
      </c>
      <c r="C1832" t="s">
        <v>2825</v>
      </c>
      <c r="D1832">
        <v>115000</v>
      </c>
      <c r="E1832">
        <v>15000</v>
      </c>
      <c r="H1832">
        <v>2</v>
      </c>
      <c r="I1832" t="s">
        <v>89</v>
      </c>
      <c r="J1832">
        <v>25.56</v>
      </c>
      <c r="K1832">
        <v>0</v>
      </c>
      <c r="L1832">
        <v>3</v>
      </c>
      <c r="M1832" t="s">
        <v>2826</v>
      </c>
      <c r="N1832">
        <v>11</v>
      </c>
      <c r="O1832">
        <v>13.67</v>
      </c>
      <c r="P1832">
        <v>133636.04999999999</v>
      </c>
      <c r="Q1832">
        <v>95329.65</v>
      </c>
      <c r="R1832">
        <v>147</v>
      </c>
      <c r="S1832">
        <v>1622</v>
      </c>
      <c r="T1832" t="s">
        <v>34</v>
      </c>
      <c r="U1832" t="s">
        <v>81</v>
      </c>
    </row>
    <row r="1833" spans="1:21">
      <c r="A1833" t="s">
        <v>2893</v>
      </c>
      <c r="B1833" t="s">
        <v>2887</v>
      </c>
      <c r="C1833" t="s">
        <v>2825</v>
      </c>
      <c r="D1833">
        <v>116500</v>
      </c>
      <c r="E1833">
        <v>15000</v>
      </c>
      <c r="H1833">
        <v>2</v>
      </c>
      <c r="I1833" t="s">
        <v>89</v>
      </c>
      <c r="J1833">
        <v>25.71</v>
      </c>
      <c r="K1833">
        <v>0</v>
      </c>
      <c r="L1833">
        <v>3</v>
      </c>
      <c r="M1833" t="s">
        <v>2826</v>
      </c>
      <c r="N1833">
        <v>11</v>
      </c>
      <c r="O1833">
        <v>13.67</v>
      </c>
      <c r="P1833">
        <v>133636.04999999999</v>
      </c>
      <c r="Q1833">
        <v>95329.65</v>
      </c>
      <c r="R1833">
        <v>147</v>
      </c>
      <c r="S1833">
        <v>1622</v>
      </c>
      <c r="T1833" t="s">
        <v>34</v>
      </c>
      <c r="U1833" t="s">
        <v>81</v>
      </c>
    </row>
    <row r="1834" spans="1:21">
      <c r="A1834" t="s">
        <v>2894</v>
      </c>
      <c r="B1834" t="s">
        <v>2887</v>
      </c>
      <c r="C1834" t="s">
        <v>2825</v>
      </c>
      <c r="D1834">
        <v>191000</v>
      </c>
      <c r="E1834">
        <v>15000</v>
      </c>
      <c r="H1834">
        <v>2</v>
      </c>
      <c r="I1834" t="s">
        <v>89</v>
      </c>
      <c r="J1834">
        <v>40.369999999999997</v>
      </c>
      <c r="K1834">
        <v>0</v>
      </c>
      <c r="L1834">
        <v>3</v>
      </c>
      <c r="M1834" t="s">
        <v>2826</v>
      </c>
      <c r="N1834">
        <v>11</v>
      </c>
      <c r="O1834">
        <v>13.67</v>
      </c>
      <c r="P1834">
        <v>133636.04999999999</v>
      </c>
      <c r="Q1834">
        <v>95329.65</v>
      </c>
      <c r="R1834">
        <v>147</v>
      </c>
      <c r="S1834">
        <v>1622</v>
      </c>
      <c r="T1834" t="s">
        <v>326</v>
      </c>
      <c r="U1834" t="s">
        <v>81</v>
      </c>
    </row>
    <row r="1835" spans="1:21">
      <c r="A1835" t="s">
        <v>2895</v>
      </c>
      <c r="B1835" t="s">
        <v>2896</v>
      </c>
      <c r="C1835" t="s">
        <v>2695</v>
      </c>
      <c r="D1835">
        <v>73000</v>
      </c>
      <c r="E1835">
        <v>5000</v>
      </c>
      <c r="F1835">
        <v>73000</v>
      </c>
      <c r="G1835">
        <v>36500</v>
      </c>
      <c r="H1835">
        <v>2</v>
      </c>
      <c r="I1835" t="s">
        <v>89</v>
      </c>
      <c r="J1835">
        <v>17.21</v>
      </c>
      <c r="K1835">
        <v>6</v>
      </c>
      <c r="L1835">
        <v>4</v>
      </c>
      <c r="M1835" t="s">
        <v>2826</v>
      </c>
      <c r="N1835">
        <v>9</v>
      </c>
      <c r="O1835">
        <v>13.67</v>
      </c>
      <c r="P1835">
        <v>133636.04999999999</v>
      </c>
      <c r="Q1835">
        <v>95329.65</v>
      </c>
      <c r="R1835">
        <v>147</v>
      </c>
      <c r="S1835">
        <v>1622</v>
      </c>
      <c r="T1835" t="s">
        <v>108</v>
      </c>
      <c r="U1835" t="s">
        <v>31</v>
      </c>
    </row>
    <row r="1836" spans="1:21">
      <c r="A1836" t="s">
        <v>2897</v>
      </c>
      <c r="B1836" t="s">
        <v>2824</v>
      </c>
      <c r="C1836" t="s">
        <v>2825</v>
      </c>
      <c r="D1836">
        <v>187000</v>
      </c>
      <c r="E1836">
        <v>15000</v>
      </c>
      <c r="H1836">
        <v>1</v>
      </c>
      <c r="I1836" t="s">
        <v>325</v>
      </c>
      <c r="J1836">
        <v>40.51</v>
      </c>
      <c r="K1836">
        <v>1</v>
      </c>
      <c r="L1836">
        <v>3</v>
      </c>
      <c r="M1836" t="s">
        <v>2826</v>
      </c>
      <c r="N1836">
        <v>12</v>
      </c>
      <c r="O1836">
        <v>16.329999999999998</v>
      </c>
      <c r="P1836">
        <v>133636.04999999999</v>
      </c>
      <c r="Q1836">
        <v>168453.81</v>
      </c>
      <c r="R1836">
        <v>147</v>
      </c>
      <c r="S1836">
        <v>788</v>
      </c>
      <c r="T1836" t="s">
        <v>326</v>
      </c>
      <c r="U1836" t="s">
        <v>31</v>
      </c>
    </row>
    <row r="1837" spans="1:21">
      <c r="A1837" t="s">
        <v>2898</v>
      </c>
      <c r="B1837" t="s">
        <v>2824</v>
      </c>
      <c r="C1837" t="s">
        <v>2825</v>
      </c>
      <c r="D1837">
        <v>189000</v>
      </c>
      <c r="E1837">
        <v>15000</v>
      </c>
      <c r="H1837">
        <v>1</v>
      </c>
      <c r="I1837" t="s">
        <v>325</v>
      </c>
      <c r="J1837">
        <v>40.51</v>
      </c>
      <c r="K1837">
        <v>1</v>
      </c>
      <c r="L1837">
        <v>3</v>
      </c>
      <c r="M1837" t="s">
        <v>2826</v>
      </c>
      <c r="N1837">
        <v>12</v>
      </c>
      <c r="O1837">
        <v>16.329999999999998</v>
      </c>
      <c r="P1837">
        <v>133636.04999999999</v>
      </c>
      <c r="Q1837">
        <v>168453.81</v>
      </c>
      <c r="R1837">
        <v>147</v>
      </c>
      <c r="S1837">
        <v>788</v>
      </c>
      <c r="T1837" t="s">
        <v>326</v>
      </c>
      <c r="U1837" t="s">
        <v>31</v>
      </c>
    </row>
    <row r="1838" spans="1:21">
      <c r="A1838" t="s">
        <v>2899</v>
      </c>
      <c r="B1838" t="s">
        <v>2824</v>
      </c>
      <c r="C1838" t="s">
        <v>2825</v>
      </c>
      <c r="D1838">
        <v>187000</v>
      </c>
      <c r="E1838">
        <v>15000</v>
      </c>
      <c r="H1838">
        <v>1</v>
      </c>
      <c r="I1838" t="s">
        <v>325</v>
      </c>
      <c r="J1838">
        <v>40.630000000000003</v>
      </c>
      <c r="K1838">
        <v>1</v>
      </c>
      <c r="L1838">
        <v>3</v>
      </c>
      <c r="M1838" t="s">
        <v>2826</v>
      </c>
      <c r="N1838">
        <v>12</v>
      </c>
      <c r="O1838">
        <v>16.329999999999998</v>
      </c>
      <c r="P1838">
        <v>133636.04999999999</v>
      </c>
      <c r="Q1838">
        <v>168453.81</v>
      </c>
      <c r="R1838">
        <v>147</v>
      </c>
      <c r="S1838">
        <v>788</v>
      </c>
      <c r="T1838" t="s">
        <v>326</v>
      </c>
      <c r="U1838" t="s">
        <v>31</v>
      </c>
    </row>
    <row r="1839" spans="1:21">
      <c r="A1839" t="s">
        <v>2900</v>
      </c>
      <c r="B1839" t="s">
        <v>2824</v>
      </c>
      <c r="C1839" t="s">
        <v>2825</v>
      </c>
      <c r="D1839">
        <v>189000</v>
      </c>
      <c r="E1839">
        <v>15000</v>
      </c>
      <c r="H1839">
        <v>1</v>
      </c>
      <c r="I1839" t="s">
        <v>325</v>
      </c>
      <c r="J1839">
        <v>40.630000000000003</v>
      </c>
      <c r="K1839">
        <v>1</v>
      </c>
      <c r="L1839">
        <v>3</v>
      </c>
      <c r="M1839" t="s">
        <v>2826</v>
      </c>
      <c r="N1839">
        <v>12</v>
      </c>
      <c r="O1839">
        <v>16.329999999999998</v>
      </c>
      <c r="P1839">
        <v>133636.04999999999</v>
      </c>
      <c r="Q1839">
        <v>168453.81</v>
      </c>
      <c r="R1839">
        <v>147</v>
      </c>
      <c r="S1839">
        <v>788</v>
      </c>
      <c r="T1839" t="s">
        <v>326</v>
      </c>
      <c r="U1839" t="s">
        <v>31</v>
      </c>
    </row>
    <row r="1840" spans="1:21">
      <c r="A1840" t="s">
        <v>2901</v>
      </c>
      <c r="B1840" t="s">
        <v>2824</v>
      </c>
      <c r="C1840" t="s">
        <v>2825</v>
      </c>
      <c r="D1840">
        <v>189000</v>
      </c>
      <c r="E1840">
        <v>15000</v>
      </c>
      <c r="H1840">
        <v>1</v>
      </c>
      <c r="I1840" t="s">
        <v>325</v>
      </c>
      <c r="J1840">
        <v>40.659999999999997</v>
      </c>
      <c r="K1840">
        <v>1</v>
      </c>
      <c r="L1840">
        <v>3</v>
      </c>
      <c r="M1840" t="s">
        <v>2826</v>
      </c>
      <c r="N1840">
        <v>12</v>
      </c>
      <c r="O1840">
        <v>16.329999999999998</v>
      </c>
      <c r="P1840">
        <v>133636.04999999999</v>
      </c>
      <c r="Q1840">
        <v>168453.81</v>
      </c>
      <c r="R1840">
        <v>147</v>
      </c>
      <c r="S1840">
        <v>788</v>
      </c>
      <c r="T1840" t="s">
        <v>326</v>
      </c>
      <c r="U1840" t="s">
        <v>31</v>
      </c>
    </row>
    <row r="1841" spans="1:21">
      <c r="A1841" t="s">
        <v>2902</v>
      </c>
      <c r="B1841" t="s">
        <v>2824</v>
      </c>
      <c r="C1841" t="s">
        <v>2825</v>
      </c>
      <c r="D1841">
        <v>187000</v>
      </c>
      <c r="E1841">
        <v>15000</v>
      </c>
      <c r="H1841">
        <v>1</v>
      </c>
      <c r="I1841" t="s">
        <v>325</v>
      </c>
      <c r="J1841">
        <v>40.79</v>
      </c>
      <c r="K1841">
        <v>1</v>
      </c>
      <c r="L1841">
        <v>3</v>
      </c>
      <c r="M1841" t="s">
        <v>2826</v>
      </c>
      <c r="N1841">
        <v>12</v>
      </c>
      <c r="O1841">
        <v>16.329999999999998</v>
      </c>
      <c r="P1841">
        <v>133636.04999999999</v>
      </c>
      <c r="Q1841">
        <v>168453.81</v>
      </c>
      <c r="R1841">
        <v>147</v>
      </c>
      <c r="S1841">
        <v>788</v>
      </c>
      <c r="T1841" t="s">
        <v>326</v>
      </c>
      <c r="U1841" t="s">
        <v>31</v>
      </c>
    </row>
    <row r="1842" spans="1:21">
      <c r="A1842" t="s">
        <v>2903</v>
      </c>
      <c r="B1842" t="s">
        <v>2824</v>
      </c>
      <c r="C1842" t="s">
        <v>2825</v>
      </c>
      <c r="D1842">
        <v>189000</v>
      </c>
      <c r="E1842">
        <v>15000</v>
      </c>
      <c r="H1842">
        <v>1</v>
      </c>
      <c r="I1842" t="s">
        <v>325</v>
      </c>
      <c r="J1842">
        <v>40.79</v>
      </c>
      <c r="K1842">
        <v>1</v>
      </c>
      <c r="L1842">
        <v>3</v>
      </c>
      <c r="M1842" t="s">
        <v>2826</v>
      </c>
      <c r="N1842">
        <v>12</v>
      </c>
      <c r="O1842">
        <v>16.329999999999998</v>
      </c>
      <c r="P1842">
        <v>133636.04999999999</v>
      </c>
      <c r="Q1842">
        <v>168453.81</v>
      </c>
      <c r="R1842">
        <v>147</v>
      </c>
      <c r="S1842">
        <v>788</v>
      </c>
      <c r="T1842" t="s">
        <v>326</v>
      </c>
      <c r="U1842" t="s">
        <v>31</v>
      </c>
    </row>
    <row r="1843" spans="1:21">
      <c r="A1843" t="s">
        <v>2904</v>
      </c>
      <c r="B1843" t="s">
        <v>2824</v>
      </c>
      <c r="C1843" t="s">
        <v>2825</v>
      </c>
      <c r="D1843">
        <v>191000</v>
      </c>
      <c r="E1843">
        <v>15000</v>
      </c>
      <c r="H1843">
        <v>2</v>
      </c>
      <c r="I1843" t="s">
        <v>325</v>
      </c>
      <c r="J1843">
        <v>40.369999999999997</v>
      </c>
      <c r="K1843">
        <v>1</v>
      </c>
      <c r="L1843">
        <v>3</v>
      </c>
      <c r="M1843" t="s">
        <v>2826</v>
      </c>
      <c r="N1843">
        <v>12</v>
      </c>
      <c r="O1843">
        <v>16.329999999999998</v>
      </c>
      <c r="P1843">
        <v>133636.04999999999</v>
      </c>
      <c r="Q1843">
        <v>168453.81</v>
      </c>
      <c r="R1843">
        <v>147</v>
      </c>
      <c r="S1843">
        <v>788</v>
      </c>
      <c r="T1843" t="s">
        <v>326</v>
      </c>
      <c r="U1843" t="s">
        <v>31</v>
      </c>
    </row>
    <row r="1844" spans="1:21">
      <c r="A1844" t="s">
        <v>2905</v>
      </c>
      <c r="B1844" t="s">
        <v>2824</v>
      </c>
      <c r="C1844" t="s">
        <v>2825</v>
      </c>
      <c r="D1844">
        <v>189000</v>
      </c>
      <c r="E1844">
        <v>15000</v>
      </c>
      <c r="H1844">
        <v>2</v>
      </c>
      <c r="I1844" t="s">
        <v>325</v>
      </c>
      <c r="J1844">
        <v>40.51</v>
      </c>
      <c r="K1844">
        <v>1</v>
      </c>
      <c r="L1844">
        <v>3</v>
      </c>
      <c r="M1844" t="s">
        <v>2826</v>
      </c>
      <c r="N1844">
        <v>12</v>
      </c>
      <c r="O1844">
        <v>16.329999999999998</v>
      </c>
      <c r="P1844">
        <v>133636.04999999999</v>
      </c>
      <c r="Q1844">
        <v>168453.81</v>
      </c>
      <c r="R1844">
        <v>147</v>
      </c>
      <c r="S1844">
        <v>788</v>
      </c>
      <c r="T1844" t="s">
        <v>326</v>
      </c>
      <c r="U1844" t="s">
        <v>31</v>
      </c>
    </row>
    <row r="1845" spans="1:21">
      <c r="A1845" t="s">
        <v>2906</v>
      </c>
      <c r="B1845" t="s">
        <v>2824</v>
      </c>
      <c r="C1845" t="s">
        <v>2825</v>
      </c>
      <c r="D1845">
        <v>191000</v>
      </c>
      <c r="E1845">
        <v>15000</v>
      </c>
      <c r="H1845">
        <v>2</v>
      </c>
      <c r="I1845" t="s">
        <v>325</v>
      </c>
      <c r="J1845">
        <v>40.51</v>
      </c>
      <c r="K1845">
        <v>1</v>
      </c>
      <c r="L1845">
        <v>3</v>
      </c>
      <c r="M1845" t="s">
        <v>2826</v>
      </c>
      <c r="N1845">
        <v>12</v>
      </c>
      <c r="O1845">
        <v>16.329999999999998</v>
      </c>
      <c r="P1845">
        <v>133636.04999999999</v>
      </c>
      <c r="Q1845">
        <v>168453.81</v>
      </c>
      <c r="R1845">
        <v>147</v>
      </c>
      <c r="S1845">
        <v>788</v>
      </c>
      <c r="T1845" t="s">
        <v>326</v>
      </c>
      <c r="U1845" t="s">
        <v>31</v>
      </c>
    </row>
    <row r="1846" spans="1:21">
      <c r="A1846" t="s">
        <v>2907</v>
      </c>
      <c r="B1846" t="s">
        <v>2824</v>
      </c>
      <c r="C1846" t="s">
        <v>2825</v>
      </c>
      <c r="D1846">
        <v>189000</v>
      </c>
      <c r="E1846">
        <v>15000</v>
      </c>
      <c r="H1846">
        <v>2</v>
      </c>
      <c r="I1846" t="s">
        <v>325</v>
      </c>
      <c r="J1846">
        <v>40.630000000000003</v>
      </c>
      <c r="K1846">
        <v>1</v>
      </c>
      <c r="L1846">
        <v>3</v>
      </c>
      <c r="M1846" t="s">
        <v>2826</v>
      </c>
      <c r="N1846">
        <v>12</v>
      </c>
      <c r="O1846">
        <v>16.329999999999998</v>
      </c>
      <c r="P1846">
        <v>133636.04999999999</v>
      </c>
      <c r="Q1846">
        <v>168453.81</v>
      </c>
      <c r="R1846">
        <v>147</v>
      </c>
      <c r="S1846">
        <v>788</v>
      </c>
      <c r="T1846" t="s">
        <v>326</v>
      </c>
      <c r="U1846" t="s">
        <v>31</v>
      </c>
    </row>
    <row r="1847" spans="1:21">
      <c r="A1847" t="s">
        <v>2908</v>
      </c>
      <c r="B1847" t="s">
        <v>2824</v>
      </c>
      <c r="C1847" t="s">
        <v>2825</v>
      </c>
      <c r="D1847">
        <v>191000</v>
      </c>
      <c r="E1847">
        <v>15000</v>
      </c>
      <c r="H1847">
        <v>2</v>
      </c>
      <c r="I1847" t="s">
        <v>325</v>
      </c>
      <c r="J1847">
        <v>40.630000000000003</v>
      </c>
      <c r="K1847">
        <v>1</v>
      </c>
      <c r="L1847">
        <v>3</v>
      </c>
      <c r="M1847" t="s">
        <v>2826</v>
      </c>
      <c r="N1847">
        <v>12</v>
      </c>
      <c r="O1847">
        <v>16.329999999999998</v>
      </c>
      <c r="P1847">
        <v>133636.04999999999</v>
      </c>
      <c r="Q1847">
        <v>168453.81</v>
      </c>
      <c r="R1847">
        <v>147</v>
      </c>
      <c r="S1847">
        <v>788</v>
      </c>
      <c r="T1847" t="s">
        <v>326</v>
      </c>
      <c r="U1847" t="s">
        <v>31</v>
      </c>
    </row>
    <row r="1848" spans="1:21">
      <c r="A1848" t="s">
        <v>2909</v>
      </c>
      <c r="B1848" t="s">
        <v>2824</v>
      </c>
      <c r="C1848" t="s">
        <v>2825</v>
      </c>
      <c r="D1848">
        <v>189000</v>
      </c>
      <c r="E1848">
        <v>15000</v>
      </c>
      <c r="H1848">
        <v>2</v>
      </c>
      <c r="I1848" t="s">
        <v>325</v>
      </c>
      <c r="J1848">
        <v>40.659999999999997</v>
      </c>
      <c r="K1848">
        <v>1</v>
      </c>
      <c r="L1848">
        <v>3</v>
      </c>
      <c r="M1848" t="s">
        <v>2826</v>
      </c>
      <c r="N1848">
        <v>12</v>
      </c>
      <c r="O1848">
        <v>16.329999999999998</v>
      </c>
      <c r="P1848">
        <v>133636.04999999999</v>
      </c>
      <c r="Q1848">
        <v>168453.81</v>
      </c>
      <c r="R1848">
        <v>147</v>
      </c>
      <c r="S1848">
        <v>788</v>
      </c>
      <c r="T1848" t="s">
        <v>326</v>
      </c>
      <c r="U1848" t="s">
        <v>31</v>
      </c>
    </row>
    <row r="1849" spans="1:21">
      <c r="A1849" t="s">
        <v>2910</v>
      </c>
      <c r="B1849" t="s">
        <v>2824</v>
      </c>
      <c r="C1849" t="s">
        <v>2825</v>
      </c>
      <c r="D1849">
        <v>191000</v>
      </c>
      <c r="E1849">
        <v>15000</v>
      </c>
      <c r="H1849">
        <v>2</v>
      </c>
      <c r="I1849" t="s">
        <v>325</v>
      </c>
      <c r="J1849">
        <v>40.659999999999997</v>
      </c>
      <c r="K1849">
        <v>1</v>
      </c>
      <c r="L1849">
        <v>3</v>
      </c>
      <c r="M1849" t="s">
        <v>2826</v>
      </c>
      <c r="N1849">
        <v>12</v>
      </c>
      <c r="O1849">
        <v>16.329999999999998</v>
      </c>
      <c r="P1849">
        <v>133636.04999999999</v>
      </c>
      <c r="Q1849">
        <v>168453.81</v>
      </c>
      <c r="R1849">
        <v>147</v>
      </c>
      <c r="S1849">
        <v>788</v>
      </c>
      <c r="T1849" t="s">
        <v>326</v>
      </c>
      <c r="U1849" t="s">
        <v>31</v>
      </c>
    </row>
    <row r="1850" spans="1:21">
      <c r="A1850" t="s">
        <v>2911</v>
      </c>
      <c r="B1850" t="s">
        <v>2824</v>
      </c>
      <c r="C1850" t="s">
        <v>2825</v>
      </c>
      <c r="D1850">
        <v>191000</v>
      </c>
      <c r="E1850">
        <v>15000</v>
      </c>
      <c r="H1850">
        <v>2</v>
      </c>
      <c r="I1850" t="s">
        <v>325</v>
      </c>
      <c r="J1850">
        <v>40.79</v>
      </c>
      <c r="K1850">
        <v>1</v>
      </c>
      <c r="L1850">
        <v>3</v>
      </c>
      <c r="M1850" t="s">
        <v>2826</v>
      </c>
      <c r="N1850">
        <v>12</v>
      </c>
      <c r="O1850">
        <v>16.329999999999998</v>
      </c>
      <c r="P1850">
        <v>133636.04999999999</v>
      </c>
      <c r="Q1850">
        <v>168453.81</v>
      </c>
      <c r="R1850">
        <v>147</v>
      </c>
      <c r="S1850">
        <v>788</v>
      </c>
      <c r="T1850" t="s">
        <v>326</v>
      </c>
      <c r="U1850" t="s">
        <v>31</v>
      </c>
    </row>
    <row r="1851" spans="1:21">
      <c r="A1851" t="s">
        <v>2912</v>
      </c>
      <c r="B1851" t="s">
        <v>2824</v>
      </c>
      <c r="C1851" t="s">
        <v>2825</v>
      </c>
      <c r="D1851">
        <v>192000</v>
      </c>
      <c r="E1851">
        <v>15000</v>
      </c>
      <c r="H1851">
        <v>3</v>
      </c>
      <c r="I1851" t="s">
        <v>325</v>
      </c>
      <c r="J1851">
        <v>40.51</v>
      </c>
      <c r="K1851">
        <v>1</v>
      </c>
      <c r="L1851">
        <v>3</v>
      </c>
      <c r="M1851" t="s">
        <v>2826</v>
      </c>
      <c r="N1851">
        <v>12</v>
      </c>
      <c r="O1851">
        <v>16.329999999999998</v>
      </c>
      <c r="P1851">
        <v>133636.04999999999</v>
      </c>
      <c r="Q1851">
        <v>168453.81</v>
      </c>
      <c r="R1851">
        <v>147</v>
      </c>
      <c r="S1851">
        <v>788</v>
      </c>
      <c r="T1851" t="s">
        <v>326</v>
      </c>
      <c r="U1851" t="s">
        <v>31</v>
      </c>
    </row>
    <row r="1852" spans="1:21">
      <c r="A1852" t="s">
        <v>2913</v>
      </c>
      <c r="B1852" t="s">
        <v>2824</v>
      </c>
      <c r="C1852" t="s">
        <v>2825</v>
      </c>
      <c r="D1852">
        <v>190000</v>
      </c>
      <c r="E1852">
        <v>15000</v>
      </c>
      <c r="H1852">
        <v>3</v>
      </c>
      <c r="I1852" t="s">
        <v>325</v>
      </c>
      <c r="J1852">
        <v>40.51</v>
      </c>
      <c r="K1852">
        <v>1</v>
      </c>
      <c r="L1852">
        <v>3</v>
      </c>
      <c r="M1852" t="s">
        <v>2826</v>
      </c>
      <c r="N1852">
        <v>12</v>
      </c>
      <c r="O1852">
        <v>16.329999999999998</v>
      </c>
      <c r="P1852">
        <v>133636.04999999999</v>
      </c>
      <c r="Q1852">
        <v>168453.81</v>
      </c>
      <c r="R1852">
        <v>147</v>
      </c>
      <c r="S1852">
        <v>788</v>
      </c>
      <c r="T1852" t="s">
        <v>326</v>
      </c>
      <c r="U1852" t="s">
        <v>31</v>
      </c>
    </row>
    <row r="1853" spans="1:21">
      <c r="A1853" t="s">
        <v>2914</v>
      </c>
      <c r="B1853" t="s">
        <v>2824</v>
      </c>
      <c r="C1853" t="s">
        <v>2825</v>
      </c>
      <c r="D1853">
        <v>192000</v>
      </c>
      <c r="E1853">
        <v>15000</v>
      </c>
      <c r="H1853">
        <v>3</v>
      </c>
      <c r="I1853" t="s">
        <v>325</v>
      </c>
      <c r="J1853">
        <v>40.630000000000003</v>
      </c>
      <c r="K1853">
        <v>1</v>
      </c>
      <c r="L1853">
        <v>3</v>
      </c>
      <c r="M1853" t="s">
        <v>2826</v>
      </c>
      <c r="N1853">
        <v>12</v>
      </c>
      <c r="O1853">
        <v>16.329999999999998</v>
      </c>
      <c r="P1853">
        <v>133636.04999999999</v>
      </c>
      <c r="Q1853">
        <v>168453.81</v>
      </c>
      <c r="R1853">
        <v>147</v>
      </c>
      <c r="S1853">
        <v>788</v>
      </c>
      <c r="T1853" t="s">
        <v>326</v>
      </c>
      <c r="U1853" t="s">
        <v>31</v>
      </c>
    </row>
    <row r="1854" spans="1:21">
      <c r="A1854" t="s">
        <v>2915</v>
      </c>
      <c r="B1854" t="s">
        <v>2824</v>
      </c>
      <c r="C1854" t="s">
        <v>2825</v>
      </c>
      <c r="D1854">
        <v>210000</v>
      </c>
      <c r="E1854">
        <v>15000</v>
      </c>
      <c r="H1854">
        <v>3</v>
      </c>
      <c r="I1854" t="s">
        <v>325</v>
      </c>
      <c r="J1854">
        <v>44.69</v>
      </c>
      <c r="K1854">
        <v>1</v>
      </c>
      <c r="L1854">
        <v>3</v>
      </c>
      <c r="M1854" t="s">
        <v>2826</v>
      </c>
      <c r="N1854">
        <v>12</v>
      </c>
      <c r="O1854">
        <v>16.329999999999998</v>
      </c>
      <c r="P1854">
        <v>133636.04999999999</v>
      </c>
      <c r="Q1854">
        <v>168453.81</v>
      </c>
      <c r="R1854">
        <v>147</v>
      </c>
      <c r="S1854">
        <v>788</v>
      </c>
      <c r="T1854" t="s">
        <v>326</v>
      </c>
      <c r="U1854" t="s">
        <v>31</v>
      </c>
    </row>
    <row r="1855" spans="1:21">
      <c r="A1855" t="s">
        <v>2916</v>
      </c>
      <c r="B1855" t="s">
        <v>2917</v>
      </c>
      <c r="C1855" t="s">
        <v>2825</v>
      </c>
      <c r="D1855">
        <v>116000</v>
      </c>
      <c r="E1855">
        <v>3000</v>
      </c>
      <c r="F1855">
        <v>116000</v>
      </c>
      <c r="G1855">
        <v>116000</v>
      </c>
      <c r="H1855">
        <v>1</v>
      </c>
      <c r="I1855" t="s">
        <v>325</v>
      </c>
      <c r="J1855">
        <v>34.76</v>
      </c>
      <c r="K1855">
        <v>7</v>
      </c>
      <c r="L1855">
        <v>3</v>
      </c>
      <c r="M1855" t="s">
        <v>2826</v>
      </c>
      <c r="N1855">
        <v>10</v>
      </c>
      <c r="O1855">
        <v>11.33</v>
      </c>
      <c r="P1855">
        <v>133636.04999999999</v>
      </c>
      <c r="Q1855">
        <v>168453.81</v>
      </c>
      <c r="R1855">
        <v>147</v>
      </c>
      <c r="S1855">
        <v>788</v>
      </c>
      <c r="T1855" t="s">
        <v>26</v>
      </c>
      <c r="U1855" t="s">
        <v>31</v>
      </c>
    </row>
    <row r="1856" spans="1:21">
      <c r="A1856" t="s">
        <v>2918</v>
      </c>
      <c r="B1856" t="s">
        <v>2917</v>
      </c>
      <c r="C1856" t="s">
        <v>2825</v>
      </c>
      <c r="D1856">
        <v>112000</v>
      </c>
      <c r="E1856">
        <v>3000</v>
      </c>
      <c r="F1856">
        <v>112000</v>
      </c>
      <c r="G1856">
        <v>112000</v>
      </c>
      <c r="H1856">
        <v>3</v>
      </c>
      <c r="I1856" t="s">
        <v>325</v>
      </c>
      <c r="J1856">
        <v>35.700000000000003</v>
      </c>
      <c r="K1856">
        <v>7</v>
      </c>
      <c r="L1856">
        <v>3</v>
      </c>
      <c r="M1856" t="s">
        <v>2826</v>
      </c>
      <c r="N1856">
        <v>10</v>
      </c>
      <c r="O1856">
        <v>11.33</v>
      </c>
      <c r="P1856">
        <v>133636.04999999999</v>
      </c>
      <c r="Q1856">
        <v>168453.81</v>
      </c>
      <c r="R1856">
        <v>147</v>
      </c>
      <c r="S1856">
        <v>788</v>
      </c>
      <c r="T1856" t="s">
        <v>26</v>
      </c>
      <c r="U1856" t="s">
        <v>31</v>
      </c>
    </row>
    <row r="1857" spans="1:21">
      <c r="A1857" t="s">
        <v>2919</v>
      </c>
      <c r="B1857" t="s">
        <v>2920</v>
      </c>
      <c r="C1857" t="s">
        <v>2825</v>
      </c>
      <c r="D1857">
        <v>140000</v>
      </c>
      <c r="E1857">
        <v>3000</v>
      </c>
      <c r="F1857">
        <v>140000</v>
      </c>
      <c r="G1857">
        <v>280000</v>
      </c>
      <c r="H1857">
        <v>1</v>
      </c>
      <c r="I1857" t="s">
        <v>325</v>
      </c>
      <c r="J1857">
        <v>50.69</v>
      </c>
      <c r="K1857">
        <v>7</v>
      </c>
      <c r="L1857">
        <v>2</v>
      </c>
      <c r="M1857" t="s">
        <v>2826</v>
      </c>
      <c r="N1857">
        <v>10</v>
      </c>
      <c r="O1857">
        <v>12.67</v>
      </c>
      <c r="P1857">
        <v>133636.04999999999</v>
      </c>
      <c r="Q1857">
        <v>168453.81</v>
      </c>
      <c r="R1857">
        <v>147</v>
      </c>
      <c r="S1857">
        <v>788</v>
      </c>
      <c r="T1857" t="s">
        <v>332</v>
      </c>
      <c r="U1857" t="s">
        <v>31</v>
      </c>
    </row>
    <row r="1858" spans="1:21">
      <c r="A1858" t="s">
        <v>2919</v>
      </c>
      <c r="B1858" t="s">
        <v>2920</v>
      </c>
      <c r="C1858" t="s">
        <v>2825</v>
      </c>
      <c r="D1858">
        <v>140000</v>
      </c>
      <c r="E1858">
        <v>3000</v>
      </c>
      <c r="F1858">
        <v>140000</v>
      </c>
      <c r="G1858">
        <v>280000</v>
      </c>
      <c r="H1858">
        <v>2</v>
      </c>
      <c r="I1858" t="s">
        <v>325</v>
      </c>
      <c r="J1858">
        <v>50.69</v>
      </c>
      <c r="K1858">
        <v>7</v>
      </c>
      <c r="L1858">
        <v>2</v>
      </c>
      <c r="M1858" t="s">
        <v>2826</v>
      </c>
      <c r="N1858">
        <v>10</v>
      </c>
      <c r="O1858">
        <v>12.67</v>
      </c>
      <c r="P1858">
        <v>133636.04999999999</v>
      </c>
      <c r="Q1858">
        <v>168453.81</v>
      </c>
      <c r="R1858">
        <v>147</v>
      </c>
      <c r="S1858">
        <v>788</v>
      </c>
      <c r="T1858" t="s">
        <v>332</v>
      </c>
      <c r="U1858" t="s">
        <v>31</v>
      </c>
    </row>
    <row r="1859" spans="1:21">
      <c r="A1859" t="s">
        <v>2921</v>
      </c>
      <c r="B1859" t="s">
        <v>2920</v>
      </c>
      <c r="C1859" t="s">
        <v>2825</v>
      </c>
      <c r="D1859">
        <v>140000</v>
      </c>
      <c r="E1859">
        <v>3000</v>
      </c>
      <c r="F1859">
        <v>140000</v>
      </c>
      <c r="G1859">
        <v>280000</v>
      </c>
      <c r="H1859">
        <v>2</v>
      </c>
      <c r="I1859" t="s">
        <v>325</v>
      </c>
      <c r="J1859">
        <v>50.69</v>
      </c>
      <c r="K1859">
        <v>7</v>
      </c>
      <c r="L1859">
        <v>2</v>
      </c>
      <c r="M1859" t="s">
        <v>2826</v>
      </c>
      <c r="N1859">
        <v>10</v>
      </c>
      <c r="O1859">
        <v>12.67</v>
      </c>
      <c r="P1859">
        <v>133636.04999999999</v>
      </c>
      <c r="Q1859">
        <v>168453.81</v>
      </c>
      <c r="R1859">
        <v>147</v>
      </c>
      <c r="S1859">
        <v>788</v>
      </c>
      <c r="T1859" t="s">
        <v>332</v>
      </c>
      <c r="U1859" t="s">
        <v>31</v>
      </c>
    </row>
    <row r="1860" spans="1:21">
      <c r="A1860" t="s">
        <v>2922</v>
      </c>
      <c r="B1860" t="s">
        <v>2923</v>
      </c>
      <c r="C1860" t="s">
        <v>2924</v>
      </c>
      <c r="D1860">
        <v>142000</v>
      </c>
      <c r="E1860">
        <v>3000</v>
      </c>
      <c r="F1860">
        <v>142000</v>
      </c>
      <c r="G1860">
        <v>284000</v>
      </c>
      <c r="H1860">
        <v>1</v>
      </c>
      <c r="I1860" t="s">
        <v>325</v>
      </c>
      <c r="J1860">
        <v>55.89</v>
      </c>
      <c r="K1860">
        <v>10</v>
      </c>
      <c r="L1860">
        <v>2</v>
      </c>
      <c r="M1860" t="s">
        <v>2826</v>
      </c>
      <c r="N1860">
        <v>10</v>
      </c>
      <c r="O1860">
        <v>14</v>
      </c>
      <c r="P1860">
        <v>133636.04999999999</v>
      </c>
      <c r="Q1860">
        <v>168453.81</v>
      </c>
      <c r="R1860">
        <v>147</v>
      </c>
      <c r="S1860">
        <v>788</v>
      </c>
      <c r="T1860" t="s">
        <v>332</v>
      </c>
      <c r="U1860" t="s">
        <v>31</v>
      </c>
    </row>
    <row r="1861" spans="1:21">
      <c r="A1861" t="s">
        <v>2922</v>
      </c>
      <c r="B1861" t="s">
        <v>2923</v>
      </c>
      <c r="C1861" t="s">
        <v>2924</v>
      </c>
      <c r="D1861">
        <v>142000</v>
      </c>
      <c r="E1861">
        <v>3000</v>
      </c>
      <c r="F1861">
        <v>142000</v>
      </c>
      <c r="G1861">
        <v>284000</v>
      </c>
      <c r="H1861">
        <v>2</v>
      </c>
      <c r="I1861" t="s">
        <v>325</v>
      </c>
      <c r="J1861">
        <v>55.89</v>
      </c>
      <c r="K1861">
        <v>10</v>
      </c>
      <c r="L1861">
        <v>2</v>
      </c>
      <c r="M1861" t="s">
        <v>2826</v>
      </c>
      <c r="N1861">
        <v>10</v>
      </c>
      <c r="O1861">
        <v>14</v>
      </c>
      <c r="P1861">
        <v>133636.04999999999</v>
      </c>
      <c r="Q1861">
        <v>168453.81</v>
      </c>
      <c r="R1861">
        <v>147</v>
      </c>
      <c r="S1861">
        <v>788</v>
      </c>
      <c r="T1861" t="s">
        <v>332</v>
      </c>
      <c r="U1861" t="s">
        <v>31</v>
      </c>
    </row>
    <row r="1862" spans="1:21">
      <c r="A1862" t="s">
        <v>2925</v>
      </c>
      <c r="B1862" t="s">
        <v>2926</v>
      </c>
      <c r="C1862" t="s">
        <v>2825</v>
      </c>
      <c r="D1862">
        <v>140000</v>
      </c>
      <c r="E1862">
        <v>3000</v>
      </c>
      <c r="F1862">
        <v>140000</v>
      </c>
      <c r="G1862">
        <v>280000</v>
      </c>
      <c r="H1862">
        <v>1</v>
      </c>
      <c r="I1862" t="s">
        <v>325</v>
      </c>
      <c r="J1862">
        <v>50.69</v>
      </c>
      <c r="K1862">
        <v>7</v>
      </c>
      <c r="L1862">
        <v>2</v>
      </c>
      <c r="M1862" t="s">
        <v>2826</v>
      </c>
      <c r="N1862">
        <v>10</v>
      </c>
      <c r="O1862">
        <v>12</v>
      </c>
      <c r="P1862">
        <v>133636.04999999999</v>
      </c>
      <c r="Q1862">
        <v>168453.81</v>
      </c>
      <c r="R1862">
        <v>147</v>
      </c>
      <c r="S1862">
        <v>788</v>
      </c>
      <c r="T1862" t="s">
        <v>332</v>
      </c>
      <c r="U1862" t="s">
        <v>31</v>
      </c>
    </row>
    <row r="1863" spans="1:21">
      <c r="A1863" t="s">
        <v>2925</v>
      </c>
      <c r="B1863" t="s">
        <v>2926</v>
      </c>
      <c r="C1863" t="s">
        <v>2825</v>
      </c>
      <c r="D1863">
        <v>140000</v>
      </c>
      <c r="E1863">
        <v>3000</v>
      </c>
      <c r="F1863">
        <v>140000</v>
      </c>
      <c r="G1863">
        <v>280000</v>
      </c>
      <c r="H1863">
        <v>2</v>
      </c>
      <c r="I1863" t="s">
        <v>325</v>
      </c>
      <c r="J1863">
        <v>50.69</v>
      </c>
      <c r="K1863">
        <v>7</v>
      </c>
      <c r="L1863">
        <v>2</v>
      </c>
      <c r="M1863" t="s">
        <v>2826</v>
      </c>
      <c r="N1863">
        <v>10</v>
      </c>
      <c r="O1863">
        <v>12</v>
      </c>
      <c r="P1863">
        <v>133636.04999999999</v>
      </c>
      <c r="Q1863">
        <v>168453.81</v>
      </c>
      <c r="R1863">
        <v>147</v>
      </c>
      <c r="S1863">
        <v>788</v>
      </c>
      <c r="T1863" t="s">
        <v>332</v>
      </c>
      <c r="U1863" t="s">
        <v>31</v>
      </c>
    </row>
    <row r="1864" spans="1:21">
      <c r="A1864" t="s">
        <v>2927</v>
      </c>
      <c r="B1864" t="s">
        <v>2887</v>
      </c>
      <c r="C1864" t="s">
        <v>2825</v>
      </c>
      <c r="D1864">
        <v>189000</v>
      </c>
      <c r="E1864">
        <v>15000</v>
      </c>
      <c r="H1864">
        <v>1</v>
      </c>
      <c r="I1864" t="s">
        <v>325</v>
      </c>
      <c r="J1864">
        <v>40.51</v>
      </c>
      <c r="K1864">
        <v>0</v>
      </c>
      <c r="L1864">
        <v>3</v>
      </c>
      <c r="M1864" t="s">
        <v>2826</v>
      </c>
      <c r="N1864">
        <v>11</v>
      </c>
      <c r="O1864">
        <v>13.67</v>
      </c>
      <c r="P1864">
        <v>133636.04999999999</v>
      </c>
      <c r="Q1864">
        <v>168453.81</v>
      </c>
      <c r="R1864">
        <v>147</v>
      </c>
      <c r="S1864">
        <v>788</v>
      </c>
      <c r="T1864" t="s">
        <v>326</v>
      </c>
      <c r="U1864" t="s">
        <v>81</v>
      </c>
    </row>
    <row r="1865" spans="1:21">
      <c r="A1865" t="s">
        <v>2928</v>
      </c>
      <c r="B1865" t="s">
        <v>2887</v>
      </c>
      <c r="C1865" t="s">
        <v>2825</v>
      </c>
      <c r="D1865">
        <v>189000</v>
      </c>
      <c r="E1865">
        <v>15000</v>
      </c>
      <c r="H1865">
        <v>1</v>
      </c>
      <c r="I1865" t="s">
        <v>325</v>
      </c>
      <c r="J1865">
        <v>40.630000000000003</v>
      </c>
      <c r="K1865">
        <v>0</v>
      </c>
      <c r="L1865">
        <v>3</v>
      </c>
      <c r="M1865" t="s">
        <v>2826</v>
      </c>
      <c r="N1865">
        <v>11</v>
      </c>
      <c r="O1865">
        <v>13.67</v>
      </c>
      <c r="P1865">
        <v>133636.04999999999</v>
      </c>
      <c r="Q1865">
        <v>168453.81</v>
      </c>
      <c r="R1865">
        <v>147</v>
      </c>
      <c r="S1865">
        <v>788</v>
      </c>
      <c r="T1865" t="s">
        <v>326</v>
      </c>
      <c r="U1865" t="s">
        <v>81</v>
      </c>
    </row>
    <row r="1866" spans="1:21">
      <c r="A1866" t="s">
        <v>2929</v>
      </c>
      <c r="B1866" t="s">
        <v>2887</v>
      </c>
      <c r="C1866" t="s">
        <v>2825</v>
      </c>
      <c r="D1866">
        <v>189000</v>
      </c>
      <c r="E1866">
        <v>15000</v>
      </c>
      <c r="H1866">
        <v>1</v>
      </c>
      <c r="I1866" t="s">
        <v>325</v>
      </c>
      <c r="J1866">
        <v>40.659999999999997</v>
      </c>
      <c r="K1866">
        <v>0</v>
      </c>
      <c r="L1866">
        <v>3</v>
      </c>
      <c r="M1866" t="s">
        <v>2826</v>
      </c>
      <c r="N1866">
        <v>11</v>
      </c>
      <c r="O1866">
        <v>13.67</v>
      </c>
      <c r="P1866">
        <v>133636.04999999999</v>
      </c>
      <c r="Q1866">
        <v>168453.81</v>
      </c>
      <c r="R1866">
        <v>147</v>
      </c>
      <c r="S1866">
        <v>788</v>
      </c>
      <c r="T1866" t="s">
        <v>326</v>
      </c>
      <c r="U1866" t="s">
        <v>81</v>
      </c>
    </row>
    <row r="1867" spans="1:21">
      <c r="A1867" t="s">
        <v>2930</v>
      </c>
      <c r="B1867" t="s">
        <v>2887</v>
      </c>
      <c r="C1867" t="s">
        <v>2825</v>
      </c>
      <c r="D1867">
        <v>189000</v>
      </c>
      <c r="E1867">
        <v>15000</v>
      </c>
      <c r="H1867">
        <v>1</v>
      </c>
      <c r="I1867" t="s">
        <v>325</v>
      </c>
      <c r="J1867">
        <v>40.79</v>
      </c>
      <c r="K1867">
        <v>0</v>
      </c>
      <c r="L1867">
        <v>3</v>
      </c>
      <c r="M1867" t="s">
        <v>2826</v>
      </c>
      <c r="N1867">
        <v>11</v>
      </c>
      <c r="O1867">
        <v>13.67</v>
      </c>
      <c r="P1867">
        <v>133636.04999999999</v>
      </c>
      <c r="Q1867">
        <v>168453.81</v>
      </c>
      <c r="R1867">
        <v>147</v>
      </c>
      <c r="S1867">
        <v>788</v>
      </c>
      <c r="T1867" t="s">
        <v>326</v>
      </c>
      <c r="U1867" t="s">
        <v>81</v>
      </c>
    </row>
    <row r="1868" spans="1:21">
      <c r="A1868" t="s">
        <v>2931</v>
      </c>
      <c r="B1868" t="s">
        <v>2887</v>
      </c>
      <c r="C1868" t="s">
        <v>2825</v>
      </c>
      <c r="D1868">
        <v>183000</v>
      </c>
      <c r="E1868">
        <v>9000</v>
      </c>
      <c r="F1868">
        <v>91500</v>
      </c>
      <c r="G1868">
        <v>183000</v>
      </c>
      <c r="H1868">
        <v>1</v>
      </c>
      <c r="I1868" t="s">
        <v>325</v>
      </c>
      <c r="J1868">
        <v>49.41</v>
      </c>
      <c r="K1868">
        <v>0</v>
      </c>
      <c r="L1868">
        <v>3</v>
      </c>
      <c r="M1868" t="s">
        <v>2826</v>
      </c>
      <c r="N1868">
        <v>9</v>
      </c>
      <c r="O1868">
        <v>11</v>
      </c>
      <c r="P1868">
        <v>133636.04999999999</v>
      </c>
      <c r="Q1868">
        <v>168453.81</v>
      </c>
      <c r="R1868">
        <v>147</v>
      </c>
      <c r="S1868">
        <v>788</v>
      </c>
      <c r="T1868" t="s">
        <v>326</v>
      </c>
      <c r="U1868" t="s">
        <v>81</v>
      </c>
    </row>
    <row r="1869" spans="1:21">
      <c r="A1869" t="s">
        <v>2932</v>
      </c>
      <c r="B1869" t="s">
        <v>2887</v>
      </c>
      <c r="C1869" t="s">
        <v>2825</v>
      </c>
      <c r="D1869">
        <v>191000</v>
      </c>
      <c r="E1869">
        <v>15000</v>
      </c>
      <c r="H1869">
        <v>2</v>
      </c>
      <c r="I1869" t="s">
        <v>325</v>
      </c>
      <c r="J1869">
        <v>40.51</v>
      </c>
      <c r="K1869">
        <v>0</v>
      </c>
      <c r="L1869">
        <v>3</v>
      </c>
      <c r="M1869" t="s">
        <v>2826</v>
      </c>
      <c r="N1869">
        <v>11</v>
      </c>
      <c r="O1869">
        <v>13.67</v>
      </c>
      <c r="P1869">
        <v>133636.04999999999</v>
      </c>
      <c r="Q1869">
        <v>168453.81</v>
      </c>
      <c r="R1869">
        <v>147</v>
      </c>
      <c r="S1869">
        <v>788</v>
      </c>
      <c r="T1869" t="s">
        <v>326</v>
      </c>
      <c r="U1869" t="s">
        <v>81</v>
      </c>
    </row>
    <row r="1870" spans="1:21">
      <c r="A1870" t="s">
        <v>2933</v>
      </c>
      <c r="B1870" t="s">
        <v>2887</v>
      </c>
      <c r="C1870" t="s">
        <v>2825</v>
      </c>
      <c r="D1870">
        <v>191000</v>
      </c>
      <c r="E1870">
        <v>15000</v>
      </c>
      <c r="H1870">
        <v>2</v>
      </c>
      <c r="I1870" t="s">
        <v>325</v>
      </c>
      <c r="J1870">
        <v>40.630000000000003</v>
      </c>
      <c r="K1870">
        <v>0</v>
      </c>
      <c r="L1870">
        <v>3</v>
      </c>
      <c r="M1870" t="s">
        <v>2826</v>
      </c>
      <c r="N1870">
        <v>11</v>
      </c>
      <c r="O1870">
        <v>13.67</v>
      </c>
      <c r="P1870">
        <v>133636.04999999999</v>
      </c>
      <c r="Q1870">
        <v>168453.81</v>
      </c>
      <c r="R1870">
        <v>147</v>
      </c>
      <c r="S1870">
        <v>788</v>
      </c>
      <c r="T1870" t="s">
        <v>326</v>
      </c>
      <c r="U1870" t="s">
        <v>81</v>
      </c>
    </row>
    <row r="1871" spans="1:21">
      <c r="A1871" t="s">
        <v>2934</v>
      </c>
      <c r="B1871" t="s">
        <v>2887</v>
      </c>
      <c r="C1871" t="s">
        <v>2825</v>
      </c>
      <c r="D1871">
        <v>191000</v>
      </c>
      <c r="E1871">
        <v>15000</v>
      </c>
      <c r="H1871">
        <v>2</v>
      </c>
      <c r="I1871" t="s">
        <v>325</v>
      </c>
      <c r="J1871">
        <v>40.659999999999997</v>
      </c>
      <c r="K1871">
        <v>0</v>
      </c>
      <c r="L1871">
        <v>3</v>
      </c>
      <c r="M1871" t="s">
        <v>2826</v>
      </c>
      <c r="N1871">
        <v>11</v>
      </c>
      <c r="O1871">
        <v>13.67</v>
      </c>
      <c r="P1871">
        <v>133636.04999999999</v>
      </c>
      <c r="Q1871">
        <v>168453.81</v>
      </c>
      <c r="R1871">
        <v>147</v>
      </c>
      <c r="S1871">
        <v>788</v>
      </c>
      <c r="T1871" t="s">
        <v>326</v>
      </c>
      <c r="U1871" t="s">
        <v>81</v>
      </c>
    </row>
    <row r="1872" spans="1:21">
      <c r="A1872" t="s">
        <v>2935</v>
      </c>
      <c r="B1872" t="s">
        <v>2887</v>
      </c>
      <c r="C1872" t="s">
        <v>2156</v>
      </c>
      <c r="D1872">
        <v>150500</v>
      </c>
      <c r="E1872">
        <v>4400</v>
      </c>
      <c r="G1872">
        <v>225799.99999999901</v>
      </c>
      <c r="H1872">
        <v>2</v>
      </c>
      <c r="I1872" t="s">
        <v>325</v>
      </c>
      <c r="J1872">
        <v>44.46</v>
      </c>
      <c r="K1872">
        <v>0</v>
      </c>
      <c r="L1872">
        <v>3</v>
      </c>
      <c r="M1872" t="s">
        <v>2826</v>
      </c>
      <c r="N1872">
        <v>11</v>
      </c>
      <c r="O1872">
        <v>13.67</v>
      </c>
      <c r="P1872">
        <v>133636.04999999999</v>
      </c>
      <c r="Q1872">
        <v>168453.81</v>
      </c>
      <c r="R1872">
        <v>147</v>
      </c>
      <c r="S1872">
        <v>788</v>
      </c>
      <c r="T1872" t="s">
        <v>326</v>
      </c>
      <c r="U1872" t="s">
        <v>81</v>
      </c>
    </row>
    <row r="1873" spans="1:21">
      <c r="A1873" t="s">
        <v>2936</v>
      </c>
      <c r="B1873" t="s">
        <v>2887</v>
      </c>
      <c r="C1873" t="s">
        <v>2156</v>
      </c>
      <c r="D1873">
        <v>149000</v>
      </c>
      <c r="E1873">
        <v>4400</v>
      </c>
      <c r="G1873">
        <v>223500</v>
      </c>
      <c r="H1873">
        <v>2</v>
      </c>
      <c r="I1873" t="s">
        <v>325</v>
      </c>
      <c r="J1873">
        <v>45.57</v>
      </c>
      <c r="K1873">
        <v>0</v>
      </c>
      <c r="L1873">
        <v>3</v>
      </c>
      <c r="M1873" t="s">
        <v>2826</v>
      </c>
      <c r="N1873">
        <v>11</v>
      </c>
      <c r="O1873">
        <v>13.67</v>
      </c>
      <c r="P1873">
        <v>133636.04999999999</v>
      </c>
      <c r="Q1873">
        <v>168453.81</v>
      </c>
      <c r="R1873">
        <v>147</v>
      </c>
      <c r="S1873">
        <v>788</v>
      </c>
      <c r="T1873" t="s">
        <v>326</v>
      </c>
      <c r="U1873" t="s">
        <v>81</v>
      </c>
    </row>
    <row r="1874" spans="1:21">
      <c r="A1874" t="s">
        <v>2937</v>
      </c>
      <c r="B1874" t="s">
        <v>2887</v>
      </c>
      <c r="C1874" t="s">
        <v>2825</v>
      </c>
      <c r="D1874">
        <v>192000</v>
      </c>
      <c r="E1874">
        <v>15000</v>
      </c>
      <c r="H1874">
        <v>3</v>
      </c>
      <c r="I1874" t="s">
        <v>325</v>
      </c>
      <c r="J1874">
        <v>40.51</v>
      </c>
      <c r="K1874">
        <v>0</v>
      </c>
      <c r="L1874">
        <v>3</v>
      </c>
      <c r="M1874" t="s">
        <v>2826</v>
      </c>
      <c r="N1874">
        <v>11</v>
      </c>
      <c r="O1874">
        <v>13.67</v>
      </c>
      <c r="P1874">
        <v>133636.04999999999</v>
      </c>
      <c r="Q1874">
        <v>168453.81</v>
      </c>
      <c r="R1874">
        <v>147</v>
      </c>
      <c r="S1874">
        <v>788</v>
      </c>
      <c r="T1874" t="s">
        <v>326</v>
      </c>
      <c r="U1874" t="s">
        <v>81</v>
      </c>
    </row>
    <row r="1875" spans="1:21">
      <c r="A1875" t="s">
        <v>2938</v>
      </c>
      <c r="B1875" t="s">
        <v>2887</v>
      </c>
      <c r="C1875" t="s">
        <v>2825</v>
      </c>
      <c r="D1875">
        <v>192000</v>
      </c>
      <c r="E1875">
        <v>15000</v>
      </c>
      <c r="H1875">
        <v>3</v>
      </c>
      <c r="I1875" t="s">
        <v>325</v>
      </c>
      <c r="J1875">
        <v>40.630000000000003</v>
      </c>
      <c r="K1875">
        <v>0</v>
      </c>
      <c r="L1875">
        <v>3</v>
      </c>
      <c r="M1875" t="s">
        <v>2826</v>
      </c>
      <c r="N1875">
        <v>11</v>
      </c>
      <c r="O1875">
        <v>13.67</v>
      </c>
      <c r="P1875">
        <v>133636.04999999999</v>
      </c>
      <c r="Q1875">
        <v>168453.81</v>
      </c>
      <c r="R1875">
        <v>147</v>
      </c>
      <c r="S1875">
        <v>788</v>
      </c>
      <c r="T1875" t="s">
        <v>326</v>
      </c>
      <c r="U1875" t="s">
        <v>81</v>
      </c>
    </row>
    <row r="1876" spans="1:21">
      <c r="A1876" t="s">
        <v>2939</v>
      </c>
      <c r="B1876" t="s">
        <v>2887</v>
      </c>
      <c r="C1876" t="s">
        <v>2825</v>
      </c>
      <c r="D1876">
        <v>210000</v>
      </c>
      <c r="E1876">
        <v>15000</v>
      </c>
      <c r="H1876">
        <v>3</v>
      </c>
      <c r="I1876" t="s">
        <v>325</v>
      </c>
      <c r="J1876">
        <v>44.69</v>
      </c>
      <c r="K1876">
        <v>0</v>
      </c>
      <c r="L1876">
        <v>3</v>
      </c>
      <c r="M1876" t="s">
        <v>2826</v>
      </c>
      <c r="N1876">
        <v>11</v>
      </c>
      <c r="O1876">
        <v>13.67</v>
      </c>
      <c r="P1876">
        <v>133636.04999999999</v>
      </c>
      <c r="Q1876">
        <v>168453.81</v>
      </c>
      <c r="R1876">
        <v>147</v>
      </c>
      <c r="S1876">
        <v>788</v>
      </c>
      <c r="T1876" t="s">
        <v>326</v>
      </c>
      <c r="U1876" t="s">
        <v>81</v>
      </c>
    </row>
    <row r="1877" spans="1:21">
      <c r="A1877" t="s">
        <v>2940</v>
      </c>
      <c r="B1877" t="s">
        <v>2941</v>
      </c>
      <c r="C1877" t="s">
        <v>2156</v>
      </c>
      <c r="D1877">
        <v>120000</v>
      </c>
      <c r="E1877">
        <v>5000</v>
      </c>
      <c r="H1877">
        <v>2</v>
      </c>
      <c r="I1877" t="s">
        <v>325</v>
      </c>
      <c r="J1877">
        <v>37.6</v>
      </c>
      <c r="K1877">
        <v>10</v>
      </c>
      <c r="L1877">
        <v>3</v>
      </c>
      <c r="M1877" t="s">
        <v>2826</v>
      </c>
      <c r="N1877">
        <v>13</v>
      </c>
      <c r="O1877">
        <v>14</v>
      </c>
      <c r="P1877">
        <v>133636.04999999999</v>
      </c>
      <c r="Q1877">
        <v>168453.81</v>
      </c>
      <c r="R1877">
        <v>147</v>
      </c>
      <c r="S1877">
        <v>788</v>
      </c>
      <c r="T1877" t="s">
        <v>26</v>
      </c>
      <c r="U1877" t="s">
        <v>31</v>
      </c>
    </row>
    <row r="1878" spans="1:21">
      <c r="A1878" t="s">
        <v>2942</v>
      </c>
      <c r="B1878" t="s">
        <v>2943</v>
      </c>
      <c r="C1878" t="s">
        <v>2825</v>
      </c>
      <c r="D1878">
        <v>116000</v>
      </c>
      <c r="E1878">
        <v>3000</v>
      </c>
      <c r="F1878">
        <v>116000</v>
      </c>
      <c r="G1878">
        <v>116000</v>
      </c>
      <c r="H1878">
        <v>1</v>
      </c>
      <c r="I1878" t="s">
        <v>325</v>
      </c>
      <c r="J1878">
        <v>34.76</v>
      </c>
      <c r="K1878">
        <v>7</v>
      </c>
      <c r="L1878">
        <v>3</v>
      </c>
      <c r="M1878" t="s">
        <v>2826</v>
      </c>
      <c r="N1878">
        <v>10</v>
      </c>
      <c r="O1878">
        <v>11.33</v>
      </c>
      <c r="P1878">
        <v>133636.04999999999</v>
      </c>
      <c r="Q1878">
        <v>168453.81</v>
      </c>
      <c r="R1878">
        <v>147</v>
      </c>
      <c r="S1878">
        <v>788</v>
      </c>
      <c r="T1878" t="s">
        <v>26</v>
      </c>
      <c r="U1878" t="s">
        <v>31</v>
      </c>
    </row>
    <row r="1879" spans="1:21">
      <c r="A1879" t="s">
        <v>2944</v>
      </c>
      <c r="B1879" t="s">
        <v>2945</v>
      </c>
      <c r="C1879" t="s">
        <v>2924</v>
      </c>
      <c r="D1879">
        <v>152000</v>
      </c>
      <c r="E1879">
        <v>3000</v>
      </c>
      <c r="F1879">
        <v>152000</v>
      </c>
      <c r="G1879">
        <v>304000</v>
      </c>
      <c r="H1879">
        <v>1</v>
      </c>
      <c r="I1879" t="s">
        <v>325</v>
      </c>
      <c r="J1879">
        <v>55.89</v>
      </c>
      <c r="K1879">
        <v>10</v>
      </c>
      <c r="L1879">
        <v>2</v>
      </c>
      <c r="M1879" t="s">
        <v>2826</v>
      </c>
      <c r="N1879">
        <v>10</v>
      </c>
      <c r="O1879">
        <v>14.33</v>
      </c>
      <c r="P1879">
        <v>133636.04999999999</v>
      </c>
      <c r="Q1879">
        <v>168453.81</v>
      </c>
      <c r="R1879">
        <v>147</v>
      </c>
      <c r="S1879">
        <v>788</v>
      </c>
      <c r="T1879" t="s">
        <v>332</v>
      </c>
      <c r="U1879" t="s">
        <v>31</v>
      </c>
    </row>
    <row r="1880" spans="1:21">
      <c r="A1880" t="s">
        <v>2944</v>
      </c>
      <c r="B1880" t="s">
        <v>2945</v>
      </c>
      <c r="C1880" t="s">
        <v>2924</v>
      </c>
      <c r="D1880">
        <v>152000</v>
      </c>
      <c r="E1880">
        <v>3000</v>
      </c>
      <c r="F1880">
        <v>152000</v>
      </c>
      <c r="G1880">
        <v>304000</v>
      </c>
      <c r="H1880">
        <v>2</v>
      </c>
      <c r="I1880" t="s">
        <v>325</v>
      </c>
      <c r="J1880">
        <v>55.89</v>
      </c>
      <c r="K1880">
        <v>10</v>
      </c>
      <c r="L1880">
        <v>2</v>
      </c>
      <c r="M1880" t="s">
        <v>2826</v>
      </c>
      <c r="N1880">
        <v>10</v>
      </c>
      <c r="O1880">
        <v>14.33</v>
      </c>
      <c r="P1880">
        <v>133636.04999999999</v>
      </c>
      <c r="Q1880">
        <v>168453.81</v>
      </c>
      <c r="R1880">
        <v>147</v>
      </c>
      <c r="S1880">
        <v>788</v>
      </c>
      <c r="T1880" t="s">
        <v>332</v>
      </c>
      <c r="U1880" t="s">
        <v>31</v>
      </c>
    </row>
    <row r="1881" spans="1:21">
      <c r="A1881" t="s">
        <v>2946</v>
      </c>
      <c r="B1881" t="s">
        <v>2947</v>
      </c>
      <c r="C1881" t="s">
        <v>2156</v>
      </c>
      <c r="D1881">
        <v>120000</v>
      </c>
      <c r="E1881">
        <v>5000</v>
      </c>
      <c r="H1881">
        <v>2</v>
      </c>
      <c r="I1881" t="s">
        <v>325</v>
      </c>
      <c r="J1881">
        <v>37.6</v>
      </c>
      <c r="K1881">
        <v>11</v>
      </c>
      <c r="L1881">
        <v>3</v>
      </c>
      <c r="M1881" t="s">
        <v>2826</v>
      </c>
      <c r="N1881">
        <v>13</v>
      </c>
      <c r="O1881">
        <v>14</v>
      </c>
      <c r="P1881">
        <v>133636.04999999999</v>
      </c>
      <c r="Q1881">
        <v>168453.81</v>
      </c>
      <c r="R1881">
        <v>147</v>
      </c>
      <c r="S1881">
        <v>788</v>
      </c>
      <c r="T1881" t="s">
        <v>26</v>
      </c>
      <c r="U1881" t="s">
        <v>90</v>
      </c>
    </row>
    <row r="1882" spans="1:21">
      <c r="A1882" t="s">
        <v>2948</v>
      </c>
      <c r="B1882" t="s">
        <v>2949</v>
      </c>
      <c r="C1882" t="s">
        <v>2825</v>
      </c>
      <c r="D1882">
        <v>183000</v>
      </c>
      <c r="E1882">
        <v>9000</v>
      </c>
      <c r="F1882">
        <v>91500</v>
      </c>
      <c r="G1882">
        <v>183000</v>
      </c>
      <c r="H1882">
        <v>1</v>
      </c>
      <c r="I1882" t="s">
        <v>325</v>
      </c>
      <c r="J1882">
        <v>49.41</v>
      </c>
      <c r="K1882">
        <v>1</v>
      </c>
      <c r="L1882">
        <v>3</v>
      </c>
      <c r="M1882" t="s">
        <v>2826</v>
      </c>
      <c r="N1882">
        <v>9</v>
      </c>
      <c r="O1882">
        <v>11</v>
      </c>
      <c r="P1882">
        <v>133636.04999999999</v>
      </c>
      <c r="Q1882">
        <v>168453.81</v>
      </c>
      <c r="R1882">
        <v>147</v>
      </c>
      <c r="S1882">
        <v>788</v>
      </c>
      <c r="T1882" t="s">
        <v>326</v>
      </c>
      <c r="U1882" t="s">
        <v>31</v>
      </c>
    </row>
    <row r="1883" spans="1:21">
      <c r="A1883" t="s">
        <v>2950</v>
      </c>
      <c r="B1883" t="s">
        <v>2951</v>
      </c>
      <c r="C1883" t="s">
        <v>2156</v>
      </c>
      <c r="D1883">
        <v>150500</v>
      </c>
      <c r="E1883">
        <v>4400</v>
      </c>
      <c r="G1883">
        <v>225799.99999999901</v>
      </c>
      <c r="H1883">
        <v>2</v>
      </c>
      <c r="I1883" t="s">
        <v>325</v>
      </c>
      <c r="J1883">
        <v>44.46</v>
      </c>
      <c r="K1883">
        <v>0</v>
      </c>
      <c r="L1883">
        <v>3</v>
      </c>
      <c r="M1883" t="s">
        <v>2826</v>
      </c>
      <c r="N1883">
        <v>11</v>
      </c>
      <c r="O1883">
        <v>13.67</v>
      </c>
      <c r="P1883">
        <v>133636.04999999999</v>
      </c>
      <c r="Q1883">
        <v>168453.81</v>
      </c>
      <c r="R1883">
        <v>147</v>
      </c>
      <c r="S1883">
        <v>788</v>
      </c>
      <c r="T1883" t="s">
        <v>326</v>
      </c>
      <c r="U1883" t="s">
        <v>81</v>
      </c>
    </row>
    <row r="1884" spans="1:21">
      <c r="A1884" t="s">
        <v>2952</v>
      </c>
      <c r="B1884" t="s">
        <v>2951</v>
      </c>
      <c r="C1884" t="s">
        <v>2156</v>
      </c>
      <c r="D1884">
        <v>149000</v>
      </c>
      <c r="E1884">
        <v>4400</v>
      </c>
      <c r="G1884">
        <v>223500</v>
      </c>
      <c r="H1884">
        <v>2</v>
      </c>
      <c r="I1884" t="s">
        <v>325</v>
      </c>
      <c r="J1884">
        <v>45.57</v>
      </c>
      <c r="K1884">
        <v>0</v>
      </c>
      <c r="L1884">
        <v>3</v>
      </c>
      <c r="M1884" t="s">
        <v>2826</v>
      </c>
      <c r="N1884">
        <v>11</v>
      </c>
      <c r="O1884">
        <v>13.67</v>
      </c>
      <c r="P1884">
        <v>133636.04999999999</v>
      </c>
      <c r="Q1884">
        <v>168453.81</v>
      </c>
      <c r="R1884">
        <v>147</v>
      </c>
      <c r="S1884">
        <v>788</v>
      </c>
      <c r="T1884" t="s">
        <v>326</v>
      </c>
      <c r="U1884" t="s">
        <v>81</v>
      </c>
    </row>
    <row r="1885" spans="1:21">
      <c r="A1885" t="s">
        <v>2953</v>
      </c>
      <c r="B1885" t="s">
        <v>2954</v>
      </c>
      <c r="C1885" t="s">
        <v>2156</v>
      </c>
      <c r="D1885">
        <v>71000</v>
      </c>
      <c r="E1885">
        <v>3000</v>
      </c>
      <c r="F1885">
        <v>71000</v>
      </c>
      <c r="G1885">
        <v>71000</v>
      </c>
      <c r="H1885">
        <v>1</v>
      </c>
      <c r="I1885" t="s">
        <v>432</v>
      </c>
      <c r="J1885">
        <v>20.56</v>
      </c>
      <c r="K1885">
        <v>7</v>
      </c>
      <c r="L1885">
        <v>2</v>
      </c>
      <c r="M1885" t="s">
        <v>2826</v>
      </c>
      <c r="N1885">
        <v>12</v>
      </c>
      <c r="O1885">
        <v>15</v>
      </c>
      <c r="P1885">
        <v>133636.04999999999</v>
      </c>
      <c r="Q1885">
        <v>77692.34</v>
      </c>
      <c r="R1885">
        <v>147</v>
      </c>
      <c r="S1885">
        <v>1071</v>
      </c>
      <c r="T1885" t="s">
        <v>34</v>
      </c>
      <c r="U1885" t="s">
        <v>31</v>
      </c>
    </row>
    <row r="1886" spans="1:21">
      <c r="A1886" t="s">
        <v>2955</v>
      </c>
      <c r="B1886" t="s">
        <v>2956</v>
      </c>
      <c r="C1886" t="s">
        <v>2156</v>
      </c>
      <c r="D1886">
        <v>44000</v>
      </c>
      <c r="E1886">
        <v>3000</v>
      </c>
      <c r="H1886">
        <v>1</v>
      </c>
      <c r="I1886" t="s">
        <v>432</v>
      </c>
      <c r="J1886">
        <v>12</v>
      </c>
      <c r="K1886">
        <v>15</v>
      </c>
      <c r="L1886">
        <v>2</v>
      </c>
      <c r="M1886" t="s">
        <v>2826</v>
      </c>
      <c r="N1886">
        <v>9</v>
      </c>
      <c r="O1886">
        <v>12.33</v>
      </c>
      <c r="P1886">
        <v>133636.04999999999</v>
      </c>
      <c r="Q1886">
        <v>77692.34</v>
      </c>
      <c r="R1886">
        <v>147</v>
      </c>
      <c r="S1886">
        <v>1071</v>
      </c>
      <c r="T1886" t="s">
        <v>108</v>
      </c>
      <c r="U1886" t="s">
        <v>90</v>
      </c>
    </row>
    <row r="1887" spans="1:21">
      <c r="A1887" t="s">
        <v>2957</v>
      </c>
      <c r="B1887" t="s">
        <v>2956</v>
      </c>
      <c r="C1887" t="s">
        <v>2156</v>
      </c>
      <c r="D1887">
        <v>52000</v>
      </c>
      <c r="E1887">
        <v>3000</v>
      </c>
      <c r="H1887">
        <v>2</v>
      </c>
      <c r="I1887" t="s">
        <v>432</v>
      </c>
      <c r="J1887">
        <v>12</v>
      </c>
      <c r="K1887">
        <v>15</v>
      </c>
      <c r="L1887">
        <v>2</v>
      </c>
      <c r="M1887" t="s">
        <v>2826</v>
      </c>
      <c r="N1887">
        <v>9</v>
      </c>
      <c r="O1887">
        <v>12.33</v>
      </c>
      <c r="P1887">
        <v>133636.04999999999</v>
      </c>
      <c r="Q1887">
        <v>77692.34</v>
      </c>
      <c r="R1887">
        <v>147</v>
      </c>
      <c r="S1887">
        <v>1071</v>
      </c>
      <c r="T1887" t="s">
        <v>108</v>
      </c>
      <c r="U1887" t="s">
        <v>90</v>
      </c>
    </row>
    <row r="1888" spans="1:21">
      <c r="A1888" t="s">
        <v>2958</v>
      </c>
      <c r="B1888" t="s">
        <v>2959</v>
      </c>
      <c r="C1888" t="s">
        <v>2156</v>
      </c>
      <c r="D1888">
        <v>48000</v>
      </c>
      <c r="E1888">
        <v>2000</v>
      </c>
      <c r="F1888">
        <v>48000</v>
      </c>
      <c r="H1888">
        <v>1</v>
      </c>
      <c r="I1888" t="s">
        <v>432</v>
      </c>
      <c r="J1888">
        <v>14</v>
      </c>
      <c r="K1888">
        <v>36</v>
      </c>
      <c r="L1888">
        <v>2</v>
      </c>
      <c r="M1888" t="s">
        <v>2826</v>
      </c>
      <c r="N1888">
        <v>13</v>
      </c>
      <c r="O1888">
        <v>14</v>
      </c>
      <c r="P1888">
        <v>133636.04999999999</v>
      </c>
      <c r="Q1888">
        <v>77692.34</v>
      </c>
      <c r="R1888">
        <v>147</v>
      </c>
      <c r="S1888">
        <v>1071</v>
      </c>
      <c r="T1888" t="s">
        <v>108</v>
      </c>
      <c r="U1888" t="s">
        <v>49</v>
      </c>
    </row>
    <row r="1889" spans="1:21">
      <c r="A1889" t="s">
        <v>2960</v>
      </c>
      <c r="B1889" t="s">
        <v>2961</v>
      </c>
      <c r="C1889" t="s">
        <v>2962</v>
      </c>
      <c r="D1889">
        <v>47000</v>
      </c>
      <c r="E1889">
        <v>10000</v>
      </c>
      <c r="F1889">
        <v>47000</v>
      </c>
      <c r="G1889">
        <v>47000</v>
      </c>
      <c r="H1889">
        <v>4</v>
      </c>
      <c r="I1889" t="s">
        <v>432</v>
      </c>
      <c r="J1889">
        <v>14.24</v>
      </c>
      <c r="K1889">
        <v>37</v>
      </c>
      <c r="L1889">
        <v>6</v>
      </c>
      <c r="M1889" t="s">
        <v>2826</v>
      </c>
      <c r="N1889">
        <v>11</v>
      </c>
      <c r="O1889">
        <v>12</v>
      </c>
      <c r="P1889">
        <v>133636.04999999999</v>
      </c>
      <c r="Q1889">
        <v>77692.34</v>
      </c>
      <c r="R1889">
        <v>147</v>
      </c>
      <c r="S1889">
        <v>1071</v>
      </c>
      <c r="T1889" t="s">
        <v>108</v>
      </c>
      <c r="U1889" t="s">
        <v>49</v>
      </c>
    </row>
    <row r="1890" spans="1:21">
      <c r="A1890" t="s">
        <v>2963</v>
      </c>
      <c r="B1890" t="s">
        <v>2964</v>
      </c>
      <c r="C1890" t="s">
        <v>2156</v>
      </c>
      <c r="D1890">
        <v>61000</v>
      </c>
      <c r="E1890">
        <v>2000</v>
      </c>
      <c r="F1890">
        <v>61000</v>
      </c>
      <c r="H1890">
        <v>2</v>
      </c>
      <c r="I1890" t="s">
        <v>432</v>
      </c>
      <c r="J1890">
        <v>17</v>
      </c>
      <c r="K1890">
        <v>22</v>
      </c>
      <c r="L1890">
        <v>2</v>
      </c>
      <c r="M1890" t="s">
        <v>2826</v>
      </c>
      <c r="N1890">
        <v>15</v>
      </c>
      <c r="O1890">
        <v>16.329999999999998</v>
      </c>
      <c r="P1890">
        <v>133636.04999999999</v>
      </c>
      <c r="Q1890">
        <v>77692.34</v>
      </c>
      <c r="R1890">
        <v>147</v>
      </c>
      <c r="S1890">
        <v>1071</v>
      </c>
      <c r="T1890" t="s">
        <v>108</v>
      </c>
      <c r="U1890" t="s">
        <v>27</v>
      </c>
    </row>
    <row r="1891" spans="1:21">
      <c r="A1891" t="s">
        <v>2965</v>
      </c>
      <c r="B1891" t="s">
        <v>2966</v>
      </c>
      <c r="C1891" t="s">
        <v>2156</v>
      </c>
      <c r="D1891">
        <v>75000</v>
      </c>
      <c r="E1891">
        <v>8000</v>
      </c>
      <c r="H1891">
        <v>1</v>
      </c>
      <c r="I1891" t="s">
        <v>432</v>
      </c>
      <c r="J1891">
        <v>19.28</v>
      </c>
      <c r="K1891">
        <v>6</v>
      </c>
      <c r="L1891">
        <v>2</v>
      </c>
      <c r="M1891" t="s">
        <v>2826</v>
      </c>
      <c r="N1891">
        <v>11</v>
      </c>
      <c r="O1891">
        <v>13.33</v>
      </c>
      <c r="P1891">
        <v>133636.04999999999</v>
      </c>
      <c r="Q1891">
        <v>77692.34</v>
      </c>
      <c r="R1891">
        <v>147</v>
      </c>
      <c r="S1891">
        <v>1071</v>
      </c>
      <c r="T1891" t="s">
        <v>108</v>
      </c>
      <c r="U1891" t="s">
        <v>31</v>
      </c>
    </row>
    <row r="1892" spans="1:21">
      <c r="A1892" t="s">
        <v>2967</v>
      </c>
      <c r="B1892" t="s">
        <v>2968</v>
      </c>
      <c r="C1892" t="s">
        <v>2825</v>
      </c>
      <c r="D1892">
        <v>66000</v>
      </c>
      <c r="E1892">
        <v>4000</v>
      </c>
      <c r="G1892">
        <v>66000</v>
      </c>
      <c r="H1892">
        <v>2</v>
      </c>
      <c r="I1892" t="s">
        <v>432</v>
      </c>
      <c r="J1892">
        <v>11.63</v>
      </c>
      <c r="K1892">
        <v>9</v>
      </c>
      <c r="L1892">
        <v>2</v>
      </c>
      <c r="M1892" t="s">
        <v>2826</v>
      </c>
      <c r="N1892">
        <v>8</v>
      </c>
      <c r="O1892">
        <v>14</v>
      </c>
      <c r="P1892">
        <v>133636.04999999999</v>
      </c>
      <c r="Q1892">
        <v>77692.34</v>
      </c>
      <c r="R1892">
        <v>147</v>
      </c>
      <c r="S1892">
        <v>1071</v>
      </c>
      <c r="T1892" t="s">
        <v>108</v>
      </c>
      <c r="U1892" t="s">
        <v>31</v>
      </c>
    </row>
    <row r="1893" spans="1:21">
      <c r="A1893" t="s">
        <v>2969</v>
      </c>
      <c r="B1893" t="s">
        <v>2970</v>
      </c>
      <c r="C1893" t="s">
        <v>2825</v>
      </c>
      <c r="D1893">
        <v>70000</v>
      </c>
      <c r="E1893">
        <v>3500</v>
      </c>
      <c r="F1893">
        <v>70000</v>
      </c>
      <c r="G1893">
        <v>70000</v>
      </c>
      <c r="H1893">
        <v>1</v>
      </c>
      <c r="I1893" t="s">
        <v>432</v>
      </c>
      <c r="J1893">
        <v>11.86</v>
      </c>
      <c r="K1893">
        <v>6</v>
      </c>
      <c r="L1893">
        <v>2</v>
      </c>
      <c r="M1893" t="s">
        <v>2826</v>
      </c>
      <c r="N1893">
        <v>8</v>
      </c>
      <c r="O1893">
        <v>11.33</v>
      </c>
      <c r="P1893">
        <v>133636.04999999999</v>
      </c>
      <c r="Q1893">
        <v>77692.34</v>
      </c>
      <c r="R1893">
        <v>147</v>
      </c>
      <c r="S1893">
        <v>1071</v>
      </c>
      <c r="T1893" t="s">
        <v>108</v>
      </c>
      <c r="U1893" t="s">
        <v>31</v>
      </c>
    </row>
    <row r="1894" spans="1:21">
      <c r="A1894" t="s">
        <v>2971</v>
      </c>
      <c r="B1894" t="s">
        <v>2970</v>
      </c>
      <c r="C1894" t="s">
        <v>2825</v>
      </c>
      <c r="D1894">
        <v>74000</v>
      </c>
      <c r="E1894">
        <v>3500</v>
      </c>
      <c r="F1894">
        <v>74000</v>
      </c>
      <c r="G1894">
        <v>74000</v>
      </c>
      <c r="H1894">
        <v>2</v>
      </c>
      <c r="I1894" t="s">
        <v>432</v>
      </c>
      <c r="J1894">
        <v>11</v>
      </c>
      <c r="K1894">
        <v>6</v>
      </c>
      <c r="L1894">
        <v>2</v>
      </c>
      <c r="M1894" t="s">
        <v>2826</v>
      </c>
      <c r="N1894">
        <v>8</v>
      </c>
      <c r="O1894">
        <v>11.33</v>
      </c>
      <c r="P1894">
        <v>133636.04999999999</v>
      </c>
      <c r="Q1894">
        <v>77692.34</v>
      </c>
      <c r="R1894">
        <v>147</v>
      </c>
      <c r="S1894">
        <v>1071</v>
      </c>
      <c r="T1894" t="s">
        <v>108</v>
      </c>
      <c r="U1894" t="s">
        <v>31</v>
      </c>
    </row>
    <row r="1895" spans="1:21">
      <c r="A1895" t="s">
        <v>2972</v>
      </c>
      <c r="B1895" t="s">
        <v>2973</v>
      </c>
      <c r="C1895" t="s">
        <v>2695</v>
      </c>
      <c r="D1895">
        <v>48000</v>
      </c>
      <c r="E1895">
        <v>3000</v>
      </c>
      <c r="H1895">
        <v>2</v>
      </c>
      <c r="I1895" t="s">
        <v>432</v>
      </c>
      <c r="J1895">
        <v>9.07</v>
      </c>
      <c r="K1895">
        <v>19</v>
      </c>
      <c r="L1895">
        <v>2</v>
      </c>
      <c r="M1895" t="s">
        <v>2826</v>
      </c>
      <c r="N1895">
        <v>13</v>
      </c>
      <c r="O1895">
        <v>15.33</v>
      </c>
      <c r="P1895">
        <v>133636.04999999999</v>
      </c>
      <c r="Q1895">
        <v>77692.34</v>
      </c>
      <c r="R1895">
        <v>147</v>
      </c>
      <c r="S1895">
        <v>1071</v>
      </c>
      <c r="T1895" t="s">
        <v>231</v>
      </c>
      <c r="U1895" t="s">
        <v>90</v>
      </c>
    </row>
    <row r="1896" spans="1:21">
      <c r="A1896" t="s">
        <v>2974</v>
      </c>
      <c r="B1896" t="s">
        <v>2975</v>
      </c>
      <c r="C1896" t="s">
        <v>2825</v>
      </c>
      <c r="D1896">
        <v>58000</v>
      </c>
      <c r="E1896">
        <v>9000</v>
      </c>
      <c r="F1896">
        <v>58000</v>
      </c>
      <c r="H1896">
        <v>4</v>
      </c>
      <c r="I1896" t="s">
        <v>432</v>
      </c>
      <c r="J1896">
        <v>17.809999999999999</v>
      </c>
      <c r="K1896">
        <v>35</v>
      </c>
      <c r="L1896">
        <v>7</v>
      </c>
      <c r="M1896" t="s">
        <v>2826</v>
      </c>
      <c r="N1896">
        <v>7</v>
      </c>
      <c r="O1896">
        <v>9.67</v>
      </c>
      <c r="P1896">
        <v>133636.04999999999</v>
      </c>
      <c r="Q1896">
        <v>77692.34</v>
      </c>
      <c r="R1896">
        <v>147</v>
      </c>
      <c r="S1896">
        <v>1071</v>
      </c>
      <c r="T1896" t="s">
        <v>108</v>
      </c>
      <c r="U1896" t="s">
        <v>49</v>
      </c>
    </row>
    <row r="1897" spans="1:21">
      <c r="A1897" t="s">
        <v>2976</v>
      </c>
      <c r="B1897" t="s">
        <v>2975</v>
      </c>
      <c r="C1897" t="s">
        <v>2825</v>
      </c>
      <c r="D1897">
        <v>58000</v>
      </c>
      <c r="E1897">
        <v>10000</v>
      </c>
      <c r="H1897">
        <v>7</v>
      </c>
      <c r="I1897" t="s">
        <v>432</v>
      </c>
      <c r="J1897">
        <v>17.809999999999999</v>
      </c>
      <c r="K1897">
        <v>35</v>
      </c>
      <c r="L1897">
        <v>7</v>
      </c>
      <c r="M1897" t="s">
        <v>2826</v>
      </c>
      <c r="N1897">
        <v>7</v>
      </c>
      <c r="O1897">
        <v>9.67</v>
      </c>
      <c r="P1897">
        <v>133636.04999999999</v>
      </c>
      <c r="Q1897">
        <v>77692.34</v>
      </c>
      <c r="R1897">
        <v>147</v>
      </c>
      <c r="S1897">
        <v>1071</v>
      </c>
      <c r="T1897" t="s">
        <v>108</v>
      </c>
      <c r="U1897" t="s">
        <v>49</v>
      </c>
    </row>
    <row r="1898" spans="1:21">
      <c r="A1898" t="s">
        <v>2977</v>
      </c>
      <c r="B1898" t="s">
        <v>2978</v>
      </c>
      <c r="C1898" t="s">
        <v>2979</v>
      </c>
      <c r="D1898">
        <v>106000</v>
      </c>
      <c r="E1898">
        <v>5500</v>
      </c>
      <c r="G1898">
        <v>106000</v>
      </c>
      <c r="H1898">
        <v>2</v>
      </c>
      <c r="I1898" t="s">
        <v>432</v>
      </c>
      <c r="J1898">
        <v>26.84</v>
      </c>
      <c r="K1898">
        <v>13</v>
      </c>
      <c r="L1898">
        <v>3</v>
      </c>
      <c r="M1898" t="s">
        <v>2826</v>
      </c>
      <c r="N1898">
        <v>10</v>
      </c>
      <c r="O1898">
        <v>11.67</v>
      </c>
      <c r="P1898">
        <v>133636.04999999999</v>
      </c>
      <c r="Q1898">
        <v>77692.34</v>
      </c>
      <c r="R1898">
        <v>147</v>
      </c>
      <c r="S1898">
        <v>1071</v>
      </c>
      <c r="T1898" t="s">
        <v>34</v>
      </c>
      <c r="U1898" t="s">
        <v>90</v>
      </c>
    </row>
    <row r="1899" spans="1:21">
      <c r="A1899" t="s">
        <v>2980</v>
      </c>
      <c r="B1899" t="s">
        <v>2981</v>
      </c>
      <c r="C1899" t="s">
        <v>2825</v>
      </c>
      <c r="D1899">
        <v>58000</v>
      </c>
      <c r="E1899">
        <v>9000</v>
      </c>
      <c r="F1899">
        <v>58000</v>
      </c>
      <c r="G1899">
        <v>58000</v>
      </c>
      <c r="H1899">
        <v>4</v>
      </c>
      <c r="I1899" t="s">
        <v>432</v>
      </c>
      <c r="J1899">
        <v>17.809999999999999</v>
      </c>
      <c r="K1899">
        <v>35</v>
      </c>
      <c r="L1899">
        <v>7</v>
      </c>
      <c r="M1899" t="s">
        <v>2826</v>
      </c>
      <c r="N1899">
        <v>7</v>
      </c>
      <c r="O1899">
        <v>9.67</v>
      </c>
      <c r="P1899">
        <v>133636.04999999999</v>
      </c>
      <c r="Q1899">
        <v>77692.34</v>
      </c>
      <c r="R1899">
        <v>147</v>
      </c>
      <c r="S1899">
        <v>1071</v>
      </c>
      <c r="T1899" t="s">
        <v>108</v>
      </c>
      <c r="U1899" t="s">
        <v>49</v>
      </c>
    </row>
    <row r="1900" spans="1:21">
      <c r="A1900" t="s">
        <v>2982</v>
      </c>
      <c r="B1900" t="s">
        <v>2983</v>
      </c>
      <c r="C1900" t="s">
        <v>2695</v>
      </c>
      <c r="D1900">
        <v>48000</v>
      </c>
      <c r="E1900">
        <v>3000</v>
      </c>
      <c r="H1900">
        <v>2</v>
      </c>
      <c r="I1900" t="s">
        <v>432</v>
      </c>
      <c r="J1900">
        <v>9.07</v>
      </c>
      <c r="K1900">
        <v>19</v>
      </c>
      <c r="L1900">
        <v>2</v>
      </c>
      <c r="M1900" t="s">
        <v>2826</v>
      </c>
      <c r="N1900">
        <v>13</v>
      </c>
      <c r="O1900">
        <v>15.33</v>
      </c>
      <c r="P1900">
        <v>133636.04999999999</v>
      </c>
      <c r="Q1900">
        <v>77692.34</v>
      </c>
      <c r="R1900">
        <v>147</v>
      </c>
      <c r="S1900">
        <v>1071</v>
      </c>
      <c r="T1900" t="s">
        <v>231</v>
      </c>
      <c r="U1900" t="s">
        <v>90</v>
      </c>
    </row>
    <row r="1901" spans="1:21">
      <c r="A1901" t="s">
        <v>2984</v>
      </c>
      <c r="B1901" t="s">
        <v>2985</v>
      </c>
      <c r="C1901" t="s">
        <v>2156</v>
      </c>
      <c r="D1901">
        <v>61000</v>
      </c>
      <c r="E1901">
        <v>2000</v>
      </c>
      <c r="F1901">
        <v>61000</v>
      </c>
      <c r="H1901">
        <v>2</v>
      </c>
      <c r="I1901" t="s">
        <v>432</v>
      </c>
      <c r="J1901">
        <v>17</v>
      </c>
      <c r="K1901">
        <v>33</v>
      </c>
      <c r="L1901">
        <v>2</v>
      </c>
      <c r="M1901" t="s">
        <v>2826</v>
      </c>
      <c r="N1901">
        <v>12</v>
      </c>
      <c r="O1901">
        <v>14</v>
      </c>
      <c r="P1901">
        <v>133636.04999999999</v>
      </c>
      <c r="Q1901">
        <v>77692.34</v>
      </c>
      <c r="R1901">
        <v>147</v>
      </c>
      <c r="S1901">
        <v>1071</v>
      </c>
      <c r="T1901" t="s">
        <v>108</v>
      </c>
      <c r="U1901" t="s">
        <v>49</v>
      </c>
    </row>
    <row r="1902" spans="1:21">
      <c r="A1902" t="s">
        <v>2986</v>
      </c>
      <c r="B1902" t="s">
        <v>2987</v>
      </c>
      <c r="C1902" t="s">
        <v>2156</v>
      </c>
      <c r="D1902">
        <v>48000</v>
      </c>
      <c r="E1902">
        <v>2000</v>
      </c>
      <c r="F1902">
        <v>48000</v>
      </c>
      <c r="H1902">
        <v>1</v>
      </c>
      <c r="I1902" t="s">
        <v>432</v>
      </c>
      <c r="J1902">
        <v>14</v>
      </c>
      <c r="K1902">
        <v>36</v>
      </c>
      <c r="L1902">
        <v>2</v>
      </c>
      <c r="M1902" t="s">
        <v>2826</v>
      </c>
      <c r="N1902">
        <v>13</v>
      </c>
      <c r="O1902">
        <v>14</v>
      </c>
      <c r="P1902">
        <v>133636.04999999999</v>
      </c>
      <c r="Q1902">
        <v>77692.34</v>
      </c>
      <c r="R1902">
        <v>147</v>
      </c>
      <c r="S1902">
        <v>1071</v>
      </c>
      <c r="T1902" t="s">
        <v>108</v>
      </c>
      <c r="U1902" t="s">
        <v>49</v>
      </c>
    </row>
    <row r="1903" spans="1:21">
      <c r="A1903" t="s">
        <v>2988</v>
      </c>
      <c r="B1903" t="s">
        <v>2884</v>
      </c>
      <c r="C1903" t="s">
        <v>2825</v>
      </c>
      <c r="D1903">
        <v>70000</v>
      </c>
      <c r="E1903">
        <v>3500</v>
      </c>
      <c r="F1903">
        <v>70000</v>
      </c>
      <c r="G1903">
        <v>70000</v>
      </c>
      <c r="H1903">
        <v>1</v>
      </c>
      <c r="I1903" t="s">
        <v>432</v>
      </c>
      <c r="J1903">
        <v>11.86</v>
      </c>
      <c r="K1903">
        <v>5</v>
      </c>
      <c r="L1903">
        <v>2</v>
      </c>
      <c r="M1903" t="s">
        <v>2826</v>
      </c>
      <c r="N1903">
        <v>8</v>
      </c>
      <c r="O1903">
        <v>11</v>
      </c>
      <c r="P1903">
        <v>133636.04999999999</v>
      </c>
      <c r="Q1903">
        <v>77692.34</v>
      </c>
      <c r="R1903">
        <v>147</v>
      </c>
      <c r="S1903">
        <v>1071</v>
      </c>
      <c r="T1903" t="s">
        <v>108</v>
      </c>
      <c r="U1903" t="s">
        <v>31</v>
      </c>
    </row>
    <row r="1904" spans="1:21">
      <c r="A1904" t="s">
        <v>2989</v>
      </c>
      <c r="B1904" t="s">
        <v>2884</v>
      </c>
      <c r="C1904" t="s">
        <v>2825</v>
      </c>
      <c r="D1904">
        <v>74000</v>
      </c>
      <c r="E1904">
        <v>3500</v>
      </c>
      <c r="G1904">
        <v>74000</v>
      </c>
      <c r="H1904">
        <v>2</v>
      </c>
      <c r="I1904" t="s">
        <v>432</v>
      </c>
      <c r="J1904">
        <v>11</v>
      </c>
      <c r="K1904">
        <v>5</v>
      </c>
      <c r="L1904">
        <v>2</v>
      </c>
      <c r="M1904" t="s">
        <v>2826</v>
      </c>
      <c r="N1904">
        <v>8</v>
      </c>
      <c r="O1904">
        <v>11</v>
      </c>
      <c r="P1904">
        <v>133636.04999999999</v>
      </c>
      <c r="Q1904">
        <v>77692.34</v>
      </c>
      <c r="R1904">
        <v>147</v>
      </c>
      <c r="S1904">
        <v>1071</v>
      </c>
      <c r="T1904" t="s">
        <v>108</v>
      </c>
      <c r="U1904" t="s">
        <v>31</v>
      </c>
    </row>
    <row r="1905" spans="1:21">
      <c r="A1905" t="s">
        <v>2990</v>
      </c>
      <c r="B1905" t="s">
        <v>2991</v>
      </c>
      <c r="C1905" t="s">
        <v>2156</v>
      </c>
      <c r="D1905">
        <v>98000</v>
      </c>
      <c r="E1905">
        <v>6000</v>
      </c>
      <c r="G1905">
        <v>98000</v>
      </c>
      <c r="H1905">
        <v>2</v>
      </c>
      <c r="I1905" t="s">
        <v>559</v>
      </c>
      <c r="J1905">
        <v>38.200000000000003</v>
      </c>
      <c r="K1905">
        <v>34</v>
      </c>
      <c r="L1905">
        <v>2</v>
      </c>
      <c r="M1905" t="s">
        <v>2826</v>
      </c>
      <c r="N1905">
        <v>12</v>
      </c>
      <c r="O1905">
        <v>13.33</v>
      </c>
      <c r="P1905">
        <v>133636.04999999999</v>
      </c>
      <c r="Q1905">
        <v>141491.45000000001</v>
      </c>
      <c r="R1905">
        <v>147</v>
      </c>
      <c r="S1905">
        <v>117</v>
      </c>
      <c r="T1905" t="s">
        <v>26</v>
      </c>
      <c r="U1905" t="s">
        <v>49</v>
      </c>
    </row>
    <row r="1906" spans="1:21">
      <c r="A1906" t="s">
        <v>2992</v>
      </c>
      <c r="B1906" t="s">
        <v>2993</v>
      </c>
      <c r="C1906" t="s">
        <v>2695</v>
      </c>
      <c r="D1906">
        <v>90000</v>
      </c>
      <c r="E1906">
        <v>10000</v>
      </c>
      <c r="G1906">
        <v>90000</v>
      </c>
      <c r="H1906">
        <v>3</v>
      </c>
      <c r="I1906" t="s">
        <v>559</v>
      </c>
      <c r="J1906">
        <v>31.2</v>
      </c>
      <c r="K1906">
        <v>37</v>
      </c>
      <c r="L1906">
        <v>4</v>
      </c>
      <c r="M1906" t="s">
        <v>2826</v>
      </c>
      <c r="N1906">
        <v>10</v>
      </c>
      <c r="O1906">
        <v>14.33</v>
      </c>
      <c r="P1906">
        <v>133636.04999999999</v>
      </c>
      <c r="Q1906">
        <v>141491.45000000001</v>
      </c>
      <c r="R1906">
        <v>147</v>
      </c>
      <c r="S1906">
        <v>117</v>
      </c>
      <c r="T1906" t="s">
        <v>26</v>
      </c>
      <c r="U1906" t="s">
        <v>49</v>
      </c>
    </row>
    <row r="1907" spans="1:21">
      <c r="A1907" t="s">
        <v>2994</v>
      </c>
      <c r="B1907" t="s">
        <v>2995</v>
      </c>
      <c r="C1907" t="s">
        <v>2825</v>
      </c>
      <c r="D1907">
        <v>110000</v>
      </c>
      <c r="E1907">
        <v>3000</v>
      </c>
      <c r="F1907">
        <v>110000</v>
      </c>
      <c r="G1907">
        <v>110000</v>
      </c>
      <c r="H1907">
        <v>1</v>
      </c>
      <c r="I1907" t="s">
        <v>559</v>
      </c>
      <c r="J1907">
        <v>45</v>
      </c>
      <c r="K1907">
        <v>33</v>
      </c>
      <c r="L1907">
        <v>3</v>
      </c>
      <c r="M1907" t="s">
        <v>2826</v>
      </c>
      <c r="N1907">
        <v>10</v>
      </c>
      <c r="O1907">
        <v>14.33</v>
      </c>
      <c r="P1907">
        <v>133636.04999999999</v>
      </c>
      <c r="Q1907">
        <v>141491.45000000001</v>
      </c>
      <c r="R1907">
        <v>147</v>
      </c>
      <c r="S1907">
        <v>117</v>
      </c>
      <c r="T1907" t="s">
        <v>326</v>
      </c>
      <c r="U1907" t="s">
        <v>49</v>
      </c>
    </row>
    <row r="1908" spans="1:21">
      <c r="A1908" t="s">
        <v>2996</v>
      </c>
      <c r="B1908" t="s">
        <v>2997</v>
      </c>
      <c r="C1908" t="s">
        <v>2825</v>
      </c>
      <c r="D1908">
        <v>85000</v>
      </c>
      <c r="E1908">
        <v>5000</v>
      </c>
      <c r="F1908">
        <v>85000</v>
      </c>
      <c r="G1908">
        <v>85000</v>
      </c>
      <c r="H1908">
        <v>2</v>
      </c>
      <c r="I1908" t="s">
        <v>559</v>
      </c>
      <c r="J1908">
        <v>32.81</v>
      </c>
      <c r="K1908">
        <v>52</v>
      </c>
      <c r="L1908">
        <v>3</v>
      </c>
      <c r="M1908" t="s">
        <v>2826</v>
      </c>
      <c r="N1908">
        <v>8</v>
      </c>
      <c r="O1908">
        <v>10.33</v>
      </c>
      <c r="P1908">
        <v>133636.04999999999</v>
      </c>
      <c r="Q1908">
        <v>141491.45000000001</v>
      </c>
      <c r="R1908">
        <v>147</v>
      </c>
      <c r="S1908">
        <v>117</v>
      </c>
      <c r="T1908" t="s">
        <v>26</v>
      </c>
      <c r="U1908" t="s">
        <v>57</v>
      </c>
    </row>
    <row r="1909" spans="1:21">
      <c r="A1909" t="s">
        <v>2998</v>
      </c>
      <c r="B1909" t="s">
        <v>2999</v>
      </c>
      <c r="C1909" t="s">
        <v>2979</v>
      </c>
      <c r="D1909">
        <v>90000</v>
      </c>
      <c r="F1909">
        <v>90000</v>
      </c>
      <c r="G1909">
        <v>90000</v>
      </c>
      <c r="H1909">
        <v>1</v>
      </c>
      <c r="I1909" t="s">
        <v>559</v>
      </c>
      <c r="J1909">
        <v>40</v>
      </c>
      <c r="K1909">
        <v>39</v>
      </c>
      <c r="L1909">
        <v>3</v>
      </c>
      <c r="M1909" t="s">
        <v>2826</v>
      </c>
      <c r="N1909">
        <v>3</v>
      </c>
      <c r="O1909">
        <v>9.67</v>
      </c>
      <c r="P1909">
        <v>133636.04999999999</v>
      </c>
      <c r="Q1909">
        <v>141491.45000000001</v>
      </c>
      <c r="R1909">
        <v>147</v>
      </c>
      <c r="S1909">
        <v>117</v>
      </c>
      <c r="T1909" t="s">
        <v>326</v>
      </c>
      <c r="U1909" t="s">
        <v>49</v>
      </c>
    </row>
    <row r="1910" spans="1:21">
      <c r="A1910" t="s">
        <v>3000</v>
      </c>
      <c r="B1910" t="s">
        <v>2997</v>
      </c>
      <c r="C1910" t="s">
        <v>2825</v>
      </c>
      <c r="D1910">
        <v>82000</v>
      </c>
      <c r="E1910">
        <v>5000</v>
      </c>
      <c r="F1910">
        <v>82000</v>
      </c>
      <c r="G1910">
        <v>82000</v>
      </c>
      <c r="H1910">
        <v>2</v>
      </c>
      <c r="I1910" t="s">
        <v>573</v>
      </c>
      <c r="J1910">
        <v>32.03</v>
      </c>
      <c r="K1910">
        <v>52</v>
      </c>
      <c r="L1910">
        <v>3</v>
      </c>
      <c r="M1910" t="s">
        <v>2826</v>
      </c>
      <c r="N1910">
        <v>8</v>
      </c>
      <c r="O1910">
        <v>10.33</v>
      </c>
      <c r="P1910">
        <v>133636.04999999999</v>
      </c>
      <c r="Q1910">
        <v>117441.44</v>
      </c>
      <c r="R1910">
        <v>147</v>
      </c>
      <c r="S1910">
        <v>111</v>
      </c>
      <c r="T1910" t="s">
        <v>26</v>
      </c>
      <c r="U1910" t="s">
        <v>57</v>
      </c>
    </row>
    <row r="1911" spans="1:21">
      <c r="A1911" t="s">
        <v>3001</v>
      </c>
      <c r="B1911" t="s">
        <v>2997</v>
      </c>
      <c r="C1911" t="s">
        <v>2825</v>
      </c>
      <c r="D1911">
        <v>88000</v>
      </c>
      <c r="E1911">
        <v>5000</v>
      </c>
      <c r="F1911">
        <v>88000</v>
      </c>
      <c r="G1911">
        <v>88000</v>
      </c>
      <c r="H1911">
        <v>2</v>
      </c>
      <c r="I1911" t="s">
        <v>573</v>
      </c>
      <c r="J1911">
        <v>32.03</v>
      </c>
      <c r="K1911">
        <v>52</v>
      </c>
      <c r="L1911">
        <v>3</v>
      </c>
      <c r="M1911" t="s">
        <v>2826</v>
      </c>
      <c r="N1911">
        <v>8</v>
      </c>
      <c r="O1911">
        <v>10.33</v>
      </c>
      <c r="P1911">
        <v>133636.04999999999</v>
      </c>
      <c r="Q1911">
        <v>117441.44</v>
      </c>
      <c r="R1911">
        <v>147</v>
      </c>
      <c r="S1911">
        <v>111</v>
      </c>
      <c r="T1911" t="s">
        <v>26</v>
      </c>
      <c r="U1911" t="s">
        <v>57</v>
      </c>
    </row>
    <row r="1912" spans="1:21">
      <c r="A1912" t="s">
        <v>3002</v>
      </c>
      <c r="B1912" t="s">
        <v>3003</v>
      </c>
      <c r="C1912" t="s">
        <v>2156</v>
      </c>
      <c r="D1912">
        <v>73000</v>
      </c>
      <c r="E1912">
        <v>2000</v>
      </c>
      <c r="F1912">
        <v>73000</v>
      </c>
      <c r="G1912">
        <v>73000</v>
      </c>
      <c r="H1912">
        <v>2</v>
      </c>
      <c r="I1912" t="s">
        <v>573</v>
      </c>
      <c r="J1912">
        <v>29.7</v>
      </c>
      <c r="K1912">
        <v>56</v>
      </c>
      <c r="L1912">
        <v>3</v>
      </c>
      <c r="M1912" t="s">
        <v>2826</v>
      </c>
      <c r="N1912">
        <v>13</v>
      </c>
      <c r="O1912">
        <v>14</v>
      </c>
      <c r="P1912">
        <v>133636.04999999999</v>
      </c>
      <c r="Q1912">
        <v>117441.44</v>
      </c>
      <c r="R1912">
        <v>147</v>
      </c>
      <c r="S1912">
        <v>111</v>
      </c>
      <c r="T1912" t="s">
        <v>34</v>
      </c>
      <c r="U1912" t="s">
        <v>57</v>
      </c>
    </row>
    <row r="1913" spans="1:21">
      <c r="A1913" t="s">
        <v>3004</v>
      </c>
      <c r="B1913" t="s">
        <v>3005</v>
      </c>
      <c r="C1913" t="s">
        <v>2156</v>
      </c>
      <c r="D1913">
        <v>73000</v>
      </c>
      <c r="E1913">
        <v>2000</v>
      </c>
      <c r="F1913">
        <v>73000</v>
      </c>
      <c r="G1913">
        <v>73000</v>
      </c>
      <c r="H1913">
        <v>2</v>
      </c>
      <c r="I1913" t="s">
        <v>573</v>
      </c>
      <c r="J1913">
        <v>29.7</v>
      </c>
      <c r="K1913">
        <v>57</v>
      </c>
      <c r="L1913">
        <v>3</v>
      </c>
      <c r="M1913" t="s">
        <v>2826</v>
      </c>
      <c r="N1913">
        <v>12</v>
      </c>
      <c r="O1913">
        <v>13</v>
      </c>
      <c r="P1913">
        <v>133636.04999999999</v>
      </c>
      <c r="Q1913">
        <v>117441.44</v>
      </c>
      <c r="R1913">
        <v>147</v>
      </c>
      <c r="S1913">
        <v>111</v>
      </c>
      <c r="T1913" t="s">
        <v>34</v>
      </c>
      <c r="U1913" t="s">
        <v>57</v>
      </c>
    </row>
    <row r="1914" spans="1:21">
      <c r="A1914" t="s">
        <v>3006</v>
      </c>
      <c r="B1914" t="s">
        <v>3007</v>
      </c>
      <c r="C1914" t="s">
        <v>2825</v>
      </c>
      <c r="D1914">
        <v>188000</v>
      </c>
      <c r="E1914">
        <v>5000</v>
      </c>
      <c r="F1914">
        <v>188000</v>
      </c>
      <c r="G1914">
        <v>188000</v>
      </c>
      <c r="H1914">
        <v>2</v>
      </c>
      <c r="I1914" t="s">
        <v>585</v>
      </c>
      <c r="J1914">
        <v>48.74</v>
      </c>
      <c r="K1914">
        <v>0</v>
      </c>
      <c r="L1914">
        <v>3</v>
      </c>
      <c r="M1914" t="s">
        <v>2826</v>
      </c>
      <c r="N1914">
        <v>11</v>
      </c>
      <c r="O1914">
        <v>12.33</v>
      </c>
      <c r="P1914">
        <v>133636.04999999999</v>
      </c>
      <c r="Q1914">
        <v>232352.65</v>
      </c>
      <c r="R1914">
        <v>147</v>
      </c>
      <c r="S1914">
        <v>359</v>
      </c>
      <c r="T1914" t="s">
        <v>326</v>
      </c>
      <c r="U1914" t="s">
        <v>81</v>
      </c>
    </row>
    <row r="1915" spans="1:21">
      <c r="A1915" t="s">
        <v>3008</v>
      </c>
      <c r="B1915" t="s">
        <v>3009</v>
      </c>
      <c r="C1915" t="s">
        <v>2156</v>
      </c>
      <c r="D1915">
        <v>230000</v>
      </c>
      <c r="F1915">
        <v>230000</v>
      </c>
      <c r="G1915">
        <v>230000</v>
      </c>
      <c r="H1915">
        <v>1</v>
      </c>
      <c r="I1915" t="s">
        <v>585</v>
      </c>
      <c r="J1915">
        <v>82.8</v>
      </c>
      <c r="K1915">
        <v>39</v>
      </c>
      <c r="L1915">
        <v>2</v>
      </c>
      <c r="M1915" t="s">
        <v>2826</v>
      </c>
      <c r="N1915">
        <v>12</v>
      </c>
      <c r="O1915">
        <v>15.33</v>
      </c>
      <c r="P1915">
        <v>133636.04999999999</v>
      </c>
      <c r="Q1915">
        <v>232352.65</v>
      </c>
      <c r="R1915">
        <v>147</v>
      </c>
      <c r="S1915">
        <v>359</v>
      </c>
      <c r="T1915" t="s">
        <v>413</v>
      </c>
      <c r="U1915" t="s">
        <v>49</v>
      </c>
    </row>
    <row r="1916" spans="1:21">
      <c r="A1916" t="s">
        <v>3008</v>
      </c>
      <c r="B1916" t="s">
        <v>3009</v>
      </c>
      <c r="C1916" t="s">
        <v>2156</v>
      </c>
      <c r="D1916">
        <v>230000</v>
      </c>
      <c r="F1916">
        <v>230000</v>
      </c>
      <c r="G1916">
        <v>230000</v>
      </c>
      <c r="H1916">
        <v>2</v>
      </c>
      <c r="I1916" t="s">
        <v>585</v>
      </c>
      <c r="J1916">
        <v>82.8</v>
      </c>
      <c r="K1916">
        <v>39</v>
      </c>
      <c r="L1916">
        <v>2</v>
      </c>
      <c r="M1916" t="s">
        <v>2826</v>
      </c>
      <c r="N1916">
        <v>12</v>
      </c>
      <c r="O1916">
        <v>15.33</v>
      </c>
      <c r="P1916">
        <v>133636.04999999999</v>
      </c>
      <c r="Q1916">
        <v>232352.65</v>
      </c>
      <c r="R1916">
        <v>147</v>
      </c>
      <c r="S1916">
        <v>359</v>
      </c>
      <c r="T1916" t="s">
        <v>413</v>
      </c>
      <c r="U1916" t="s">
        <v>49</v>
      </c>
    </row>
    <row r="1917" spans="1:21">
      <c r="A1917" t="s">
        <v>3010</v>
      </c>
      <c r="B1917" t="s">
        <v>3009</v>
      </c>
      <c r="C1917" t="s">
        <v>2156</v>
      </c>
      <c r="D1917">
        <v>230000</v>
      </c>
      <c r="F1917">
        <v>230000</v>
      </c>
      <c r="G1917">
        <v>230000</v>
      </c>
      <c r="H1917">
        <v>1</v>
      </c>
      <c r="I1917" t="s">
        <v>585</v>
      </c>
      <c r="J1917">
        <v>82.8</v>
      </c>
      <c r="K1917">
        <v>39</v>
      </c>
      <c r="L1917">
        <v>2</v>
      </c>
      <c r="M1917" t="s">
        <v>2826</v>
      </c>
      <c r="N1917">
        <v>12</v>
      </c>
      <c r="O1917">
        <v>14.33</v>
      </c>
      <c r="P1917">
        <v>133636.04999999999</v>
      </c>
      <c r="Q1917">
        <v>232352.65</v>
      </c>
      <c r="R1917">
        <v>147</v>
      </c>
      <c r="S1917">
        <v>359</v>
      </c>
      <c r="T1917" t="s">
        <v>413</v>
      </c>
      <c r="U1917" t="s">
        <v>49</v>
      </c>
    </row>
    <row r="1918" spans="1:21">
      <c r="A1918" t="s">
        <v>3011</v>
      </c>
      <c r="B1918" t="s">
        <v>2887</v>
      </c>
      <c r="C1918" t="s">
        <v>2156</v>
      </c>
      <c r="D1918">
        <v>180000</v>
      </c>
      <c r="E1918">
        <v>4400</v>
      </c>
      <c r="G1918">
        <v>360000</v>
      </c>
      <c r="H1918">
        <v>1</v>
      </c>
      <c r="I1918" t="s">
        <v>585</v>
      </c>
      <c r="J1918">
        <v>52.82</v>
      </c>
      <c r="K1918">
        <v>0</v>
      </c>
      <c r="L1918">
        <v>3</v>
      </c>
      <c r="M1918" t="s">
        <v>2826</v>
      </c>
      <c r="N1918">
        <v>11</v>
      </c>
      <c r="O1918">
        <v>13.67</v>
      </c>
      <c r="P1918">
        <v>133636.04999999999</v>
      </c>
      <c r="Q1918">
        <v>232352.65</v>
      </c>
      <c r="R1918">
        <v>147</v>
      </c>
      <c r="S1918">
        <v>359</v>
      </c>
      <c r="T1918" t="s">
        <v>332</v>
      </c>
      <c r="U1918" t="s">
        <v>81</v>
      </c>
    </row>
    <row r="1919" spans="1:21">
      <c r="A1919" t="s">
        <v>3012</v>
      </c>
      <c r="B1919" t="s">
        <v>2887</v>
      </c>
      <c r="C1919" t="s">
        <v>2825</v>
      </c>
      <c r="D1919">
        <v>223000</v>
      </c>
      <c r="E1919">
        <v>9000</v>
      </c>
      <c r="F1919">
        <v>111500</v>
      </c>
      <c r="H1919">
        <v>1</v>
      </c>
      <c r="I1919" t="s">
        <v>585</v>
      </c>
      <c r="J1919">
        <v>61.19</v>
      </c>
      <c r="K1919">
        <v>0</v>
      </c>
      <c r="L1919">
        <v>3</v>
      </c>
      <c r="M1919" t="s">
        <v>2826</v>
      </c>
      <c r="N1919">
        <v>9</v>
      </c>
      <c r="O1919">
        <v>11</v>
      </c>
      <c r="P1919">
        <v>133636.04999999999</v>
      </c>
      <c r="Q1919">
        <v>232352.65</v>
      </c>
      <c r="R1919">
        <v>147</v>
      </c>
      <c r="S1919">
        <v>359</v>
      </c>
      <c r="T1919" t="s">
        <v>593</v>
      </c>
      <c r="U1919" t="s">
        <v>81</v>
      </c>
    </row>
    <row r="1920" spans="1:21">
      <c r="A1920" t="s">
        <v>3013</v>
      </c>
      <c r="B1920" t="s">
        <v>2887</v>
      </c>
      <c r="C1920" t="s">
        <v>2825</v>
      </c>
      <c r="D1920">
        <v>188000</v>
      </c>
      <c r="E1920">
        <v>5000</v>
      </c>
      <c r="F1920">
        <v>188000</v>
      </c>
      <c r="G1920">
        <v>188000</v>
      </c>
      <c r="H1920">
        <v>2</v>
      </c>
      <c r="I1920" t="s">
        <v>585</v>
      </c>
      <c r="J1920">
        <v>48.74</v>
      </c>
      <c r="K1920">
        <v>0</v>
      </c>
      <c r="L1920">
        <v>3</v>
      </c>
      <c r="M1920" t="s">
        <v>2826</v>
      </c>
      <c r="N1920">
        <v>11</v>
      </c>
      <c r="O1920">
        <v>12.33</v>
      </c>
      <c r="P1920">
        <v>133636.04999999999</v>
      </c>
      <c r="Q1920">
        <v>232352.65</v>
      </c>
      <c r="R1920">
        <v>147</v>
      </c>
      <c r="S1920">
        <v>359</v>
      </c>
      <c r="T1920" t="s">
        <v>326</v>
      </c>
      <c r="U1920" t="s">
        <v>81</v>
      </c>
    </row>
    <row r="1921" spans="1:21">
      <c r="A1921" t="s">
        <v>3014</v>
      </c>
      <c r="B1921" t="s">
        <v>2887</v>
      </c>
      <c r="C1921" t="s">
        <v>2156</v>
      </c>
      <c r="D1921">
        <v>183000</v>
      </c>
      <c r="E1921">
        <v>4400</v>
      </c>
      <c r="G1921">
        <v>366000</v>
      </c>
      <c r="H1921">
        <v>2</v>
      </c>
      <c r="I1921" t="s">
        <v>585</v>
      </c>
      <c r="J1921">
        <v>52.82</v>
      </c>
      <c r="K1921">
        <v>0</v>
      </c>
      <c r="L1921">
        <v>3</v>
      </c>
      <c r="M1921" t="s">
        <v>2826</v>
      </c>
      <c r="N1921">
        <v>11</v>
      </c>
      <c r="O1921">
        <v>13.67</v>
      </c>
      <c r="P1921">
        <v>133636.04999999999</v>
      </c>
      <c r="Q1921">
        <v>232352.65</v>
      </c>
      <c r="R1921">
        <v>147</v>
      </c>
      <c r="S1921">
        <v>359</v>
      </c>
      <c r="T1921" t="s">
        <v>332</v>
      </c>
      <c r="U1921" t="s">
        <v>81</v>
      </c>
    </row>
    <row r="1922" spans="1:21">
      <c r="A1922" t="s">
        <v>3015</v>
      </c>
      <c r="B1922" t="s">
        <v>2887</v>
      </c>
      <c r="C1922" t="s">
        <v>2156</v>
      </c>
      <c r="D1922">
        <v>184000</v>
      </c>
      <c r="E1922">
        <v>4400</v>
      </c>
      <c r="G1922">
        <v>368000</v>
      </c>
      <c r="H1922">
        <v>3</v>
      </c>
      <c r="I1922" t="s">
        <v>585</v>
      </c>
      <c r="J1922">
        <v>52.82</v>
      </c>
      <c r="K1922">
        <v>0</v>
      </c>
      <c r="L1922">
        <v>3</v>
      </c>
      <c r="M1922" t="s">
        <v>2826</v>
      </c>
      <c r="N1922">
        <v>11</v>
      </c>
      <c r="O1922">
        <v>13.67</v>
      </c>
      <c r="P1922">
        <v>133636.04999999999</v>
      </c>
      <c r="Q1922">
        <v>232352.65</v>
      </c>
      <c r="R1922">
        <v>147</v>
      </c>
      <c r="S1922">
        <v>359</v>
      </c>
      <c r="T1922" t="s">
        <v>332</v>
      </c>
      <c r="U1922" t="s">
        <v>81</v>
      </c>
    </row>
    <row r="1923" spans="1:21">
      <c r="A1923" t="s">
        <v>3016</v>
      </c>
      <c r="B1923" t="s">
        <v>2949</v>
      </c>
      <c r="C1923" t="s">
        <v>2825</v>
      </c>
      <c r="D1923">
        <v>223000</v>
      </c>
      <c r="E1923">
        <v>9000</v>
      </c>
      <c r="F1923">
        <v>111500</v>
      </c>
      <c r="H1923">
        <v>1</v>
      </c>
      <c r="I1923" t="s">
        <v>585</v>
      </c>
      <c r="J1923">
        <v>61.19</v>
      </c>
      <c r="K1923">
        <v>1</v>
      </c>
      <c r="L1923">
        <v>3</v>
      </c>
      <c r="M1923" t="s">
        <v>2826</v>
      </c>
      <c r="N1923">
        <v>9</v>
      </c>
      <c r="O1923">
        <v>11</v>
      </c>
      <c r="P1923">
        <v>133636.04999999999</v>
      </c>
      <c r="Q1923">
        <v>232352.65</v>
      </c>
      <c r="R1923">
        <v>147</v>
      </c>
      <c r="S1923">
        <v>359</v>
      </c>
      <c r="T1923" t="s">
        <v>593</v>
      </c>
      <c r="U1923" t="s">
        <v>31</v>
      </c>
    </row>
    <row r="1924" spans="1:21">
      <c r="A1924" t="s">
        <v>3017</v>
      </c>
      <c r="B1924" t="s">
        <v>2951</v>
      </c>
      <c r="C1924" t="s">
        <v>2156</v>
      </c>
      <c r="D1924">
        <v>183000</v>
      </c>
      <c r="E1924">
        <v>4400</v>
      </c>
      <c r="G1924">
        <v>366000</v>
      </c>
      <c r="H1924">
        <v>2</v>
      </c>
      <c r="I1924" t="s">
        <v>585</v>
      </c>
      <c r="J1924">
        <v>52.82</v>
      </c>
      <c r="K1924">
        <v>0</v>
      </c>
      <c r="L1924">
        <v>3</v>
      </c>
      <c r="M1924" t="s">
        <v>2826</v>
      </c>
      <c r="N1924">
        <v>11</v>
      </c>
      <c r="O1924">
        <v>13.67</v>
      </c>
      <c r="P1924">
        <v>133636.04999999999</v>
      </c>
      <c r="Q1924">
        <v>232352.65</v>
      </c>
      <c r="R1924">
        <v>147</v>
      </c>
      <c r="S1924">
        <v>359</v>
      </c>
      <c r="T1924" t="s">
        <v>332</v>
      </c>
      <c r="U1924" t="s">
        <v>81</v>
      </c>
    </row>
    <row r="1925" spans="1:21">
      <c r="A1925" t="s">
        <v>3018</v>
      </c>
      <c r="B1925" t="s">
        <v>2951</v>
      </c>
      <c r="C1925" t="s">
        <v>2156</v>
      </c>
      <c r="D1925">
        <v>184000</v>
      </c>
      <c r="E1925">
        <v>4400</v>
      </c>
      <c r="G1925">
        <v>368000</v>
      </c>
      <c r="H1925">
        <v>3</v>
      </c>
      <c r="I1925" t="s">
        <v>585</v>
      </c>
      <c r="J1925">
        <v>52.82</v>
      </c>
      <c r="K1925">
        <v>0</v>
      </c>
      <c r="L1925">
        <v>3</v>
      </c>
      <c r="M1925" t="s">
        <v>2826</v>
      </c>
      <c r="N1925">
        <v>11</v>
      </c>
      <c r="O1925">
        <v>13.67</v>
      </c>
      <c r="P1925">
        <v>133636.04999999999</v>
      </c>
      <c r="Q1925">
        <v>232352.65</v>
      </c>
      <c r="R1925">
        <v>147</v>
      </c>
      <c r="S1925">
        <v>359</v>
      </c>
      <c r="T1925" t="s">
        <v>332</v>
      </c>
      <c r="U1925" t="s">
        <v>81</v>
      </c>
    </row>
    <row r="1926" spans="1:21">
      <c r="A1926" t="s">
        <v>3019</v>
      </c>
      <c r="B1926" t="s">
        <v>2997</v>
      </c>
      <c r="C1926" t="s">
        <v>2825</v>
      </c>
      <c r="D1926">
        <v>145000</v>
      </c>
      <c r="E1926">
        <v>5000</v>
      </c>
      <c r="F1926">
        <v>145000</v>
      </c>
      <c r="G1926">
        <v>145000</v>
      </c>
      <c r="H1926">
        <v>1</v>
      </c>
      <c r="I1926" t="s">
        <v>654</v>
      </c>
      <c r="J1926">
        <v>64.8</v>
      </c>
      <c r="K1926">
        <v>52</v>
      </c>
      <c r="L1926">
        <v>3</v>
      </c>
      <c r="M1926" t="s">
        <v>2826</v>
      </c>
      <c r="N1926">
        <v>8</v>
      </c>
      <c r="O1926">
        <v>10.33</v>
      </c>
      <c r="P1926">
        <v>133636.04999999999</v>
      </c>
      <c r="Q1926">
        <v>288705.81</v>
      </c>
      <c r="R1926">
        <v>147</v>
      </c>
      <c r="S1926">
        <v>155</v>
      </c>
      <c r="T1926" t="s">
        <v>593</v>
      </c>
      <c r="U1926" t="s">
        <v>57</v>
      </c>
    </row>
    <row r="1927" spans="1:21">
      <c r="A1927" t="s">
        <v>3020</v>
      </c>
      <c r="B1927" t="s">
        <v>3021</v>
      </c>
      <c r="C1927" t="s">
        <v>1231</v>
      </c>
      <c r="D1927">
        <v>158000</v>
      </c>
      <c r="F1927">
        <v>158000</v>
      </c>
      <c r="G1927">
        <v>158000</v>
      </c>
      <c r="H1927">
        <v>6</v>
      </c>
      <c r="I1927" t="s">
        <v>24</v>
      </c>
      <c r="J1927">
        <v>30.73</v>
      </c>
      <c r="K1927">
        <v>8</v>
      </c>
      <c r="L1927">
        <v>14</v>
      </c>
      <c r="M1927" t="s">
        <v>3022</v>
      </c>
      <c r="N1927">
        <v>2</v>
      </c>
      <c r="O1927">
        <v>8</v>
      </c>
      <c r="P1927">
        <v>144436.73000000001</v>
      </c>
      <c r="Q1927">
        <v>123325.96</v>
      </c>
      <c r="R1927">
        <v>648</v>
      </c>
      <c r="S1927">
        <v>339</v>
      </c>
      <c r="T1927" t="s">
        <v>26</v>
      </c>
      <c r="U1927" t="s">
        <v>31</v>
      </c>
    </row>
    <row r="1928" spans="1:21">
      <c r="A1928" t="s">
        <v>3023</v>
      </c>
      <c r="B1928" t="s">
        <v>3024</v>
      </c>
      <c r="C1928" t="s">
        <v>3025</v>
      </c>
      <c r="D1928">
        <v>140000</v>
      </c>
      <c r="E1928">
        <v>15000</v>
      </c>
      <c r="F1928">
        <v>140000</v>
      </c>
      <c r="G1928">
        <v>140000</v>
      </c>
      <c r="H1928">
        <v>2</v>
      </c>
      <c r="I1928" t="s">
        <v>24</v>
      </c>
      <c r="J1928">
        <v>25.98</v>
      </c>
      <c r="K1928">
        <v>3</v>
      </c>
      <c r="L1928">
        <v>5</v>
      </c>
      <c r="M1928" t="s">
        <v>3022</v>
      </c>
      <c r="N1928">
        <v>7</v>
      </c>
      <c r="O1928">
        <v>9</v>
      </c>
      <c r="P1928">
        <v>144436.73000000001</v>
      </c>
      <c r="Q1928">
        <v>123325.96</v>
      </c>
      <c r="R1928">
        <v>648</v>
      </c>
      <c r="S1928">
        <v>339</v>
      </c>
      <c r="T1928" t="s">
        <v>34</v>
      </c>
      <c r="U1928" t="s">
        <v>31</v>
      </c>
    </row>
    <row r="1929" spans="1:21">
      <c r="A1929" t="s">
        <v>3026</v>
      </c>
      <c r="B1929" t="s">
        <v>3024</v>
      </c>
      <c r="C1929" t="s">
        <v>3025</v>
      </c>
      <c r="D1929">
        <v>139500</v>
      </c>
      <c r="E1929">
        <v>15000</v>
      </c>
      <c r="G1929">
        <v>139500</v>
      </c>
      <c r="H1929">
        <v>2</v>
      </c>
      <c r="I1929" t="s">
        <v>24</v>
      </c>
      <c r="J1929">
        <v>26.32</v>
      </c>
      <c r="K1929">
        <v>3</v>
      </c>
      <c r="L1929">
        <v>5</v>
      </c>
      <c r="M1929" t="s">
        <v>3022</v>
      </c>
      <c r="N1929">
        <v>7</v>
      </c>
      <c r="O1929">
        <v>9</v>
      </c>
      <c r="P1929">
        <v>144436.73000000001</v>
      </c>
      <c r="Q1929">
        <v>123325.96</v>
      </c>
      <c r="R1929">
        <v>648</v>
      </c>
      <c r="S1929">
        <v>339</v>
      </c>
      <c r="T1929" t="s">
        <v>34</v>
      </c>
      <c r="U1929" t="s">
        <v>31</v>
      </c>
    </row>
    <row r="1930" spans="1:21">
      <c r="A1930" t="s">
        <v>3027</v>
      </c>
      <c r="B1930" t="s">
        <v>3024</v>
      </c>
      <c r="C1930" t="s">
        <v>3025</v>
      </c>
      <c r="D1930">
        <v>140000</v>
      </c>
      <c r="E1930">
        <v>15000</v>
      </c>
      <c r="F1930">
        <v>140000</v>
      </c>
      <c r="G1930">
        <v>140000</v>
      </c>
      <c r="H1930">
        <v>2</v>
      </c>
      <c r="I1930" t="s">
        <v>24</v>
      </c>
      <c r="J1930">
        <v>27.91</v>
      </c>
      <c r="K1930">
        <v>3</v>
      </c>
      <c r="L1930">
        <v>5</v>
      </c>
      <c r="M1930" t="s">
        <v>3022</v>
      </c>
      <c r="N1930">
        <v>7</v>
      </c>
      <c r="O1930">
        <v>9</v>
      </c>
      <c r="P1930">
        <v>144436.73000000001</v>
      </c>
      <c r="Q1930">
        <v>123325.96</v>
      </c>
      <c r="R1930">
        <v>648</v>
      </c>
      <c r="S1930">
        <v>339</v>
      </c>
      <c r="T1930" t="s">
        <v>34</v>
      </c>
      <c r="U1930" t="s">
        <v>31</v>
      </c>
    </row>
    <row r="1931" spans="1:21">
      <c r="A1931" t="s">
        <v>3028</v>
      </c>
      <c r="B1931" t="s">
        <v>3024</v>
      </c>
      <c r="C1931" t="s">
        <v>3025</v>
      </c>
      <c r="D1931">
        <v>140500</v>
      </c>
      <c r="E1931">
        <v>15000</v>
      </c>
      <c r="F1931">
        <v>140500</v>
      </c>
      <c r="G1931">
        <v>140500</v>
      </c>
      <c r="H1931">
        <v>3</v>
      </c>
      <c r="I1931" t="s">
        <v>24</v>
      </c>
      <c r="J1931">
        <v>26.32</v>
      </c>
      <c r="K1931">
        <v>3</v>
      </c>
      <c r="L1931">
        <v>5</v>
      </c>
      <c r="M1931" t="s">
        <v>3022</v>
      </c>
      <c r="N1931">
        <v>7</v>
      </c>
      <c r="O1931">
        <v>9</v>
      </c>
      <c r="P1931">
        <v>144436.73000000001</v>
      </c>
      <c r="Q1931">
        <v>123325.96</v>
      </c>
      <c r="R1931">
        <v>648</v>
      </c>
      <c r="S1931">
        <v>339</v>
      </c>
      <c r="T1931" t="s">
        <v>34</v>
      </c>
      <c r="U1931" t="s">
        <v>31</v>
      </c>
    </row>
    <row r="1932" spans="1:21">
      <c r="A1932" t="s">
        <v>3029</v>
      </c>
      <c r="B1932" t="s">
        <v>3024</v>
      </c>
      <c r="C1932" t="s">
        <v>3025</v>
      </c>
      <c r="D1932">
        <v>141500</v>
      </c>
      <c r="E1932">
        <v>15000</v>
      </c>
      <c r="F1932">
        <v>141500</v>
      </c>
      <c r="G1932">
        <v>141500</v>
      </c>
      <c r="H1932">
        <v>5</v>
      </c>
      <c r="I1932" t="s">
        <v>24</v>
      </c>
      <c r="J1932">
        <v>26.32</v>
      </c>
      <c r="K1932">
        <v>3</v>
      </c>
      <c r="L1932">
        <v>5</v>
      </c>
      <c r="M1932" t="s">
        <v>3022</v>
      </c>
      <c r="N1932">
        <v>7</v>
      </c>
      <c r="O1932">
        <v>9</v>
      </c>
      <c r="P1932">
        <v>144436.73000000001</v>
      </c>
      <c r="Q1932">
        <v>123325.96</v>
      </c>
      <c r="R1932">
        <v>648</v>
      </c>
      <c r="S1932">
        <v>339</v>
      </c>
      <c r="T1932" t="s">
        <v>34</v>
      </c>
      <c r="U1932" t="s">
        <v>31</v>
      </c>
    </row>
    <row r="1933" spans="1:21">
      <c r="A1933" t="s">
        <v>3030</v>
      </c>
      <c r="B1933" t="s">
        <v>3031</v>
      </c>
      <c r="C1933" t="s">
        <v>1228</v>
      </c>
      <c r="D1933">
        <v>140000</v>
      </c>
      <c r="E1933">
        <v>10000</v>
      </c>
      <c r="H1933">
        <v>2</v>
      </c>
      <c r="I1933" t="s">
        <v>24</v>
      </c>
      <c r="J1933">
        <v>25.64</v>
      </c>
      <c r="K1933">
        <v>3</v>
      </c>
      <c r="L1933">
        <v>12</v>
      </c>
      <c r="M1933" t="s">
        <v>3022</v>
      </c>
      <c r="N1933">
        <v>3</v>
      </c>
      <c r="O1933">
        <v>9.67</v>
      </c>
      <c r="P1933">
        <v>144436.73000000001</v>
      </c>
      <c r="Q1933">
        <v>123325.96</v>
      </c>
      <c r="R1933">
        <v>648</v>
      </c>
      <c r="S1933">
        <v>339</v>
      </c>
      <c r="T1933" t="s">
        <v>34</v>
      </c>
      <c r="U1933" t="s">
        <v>31</v>
      </c>
    </row>
    <row r="1934" spans="1:21">
      <c r="A1934" t="s">
        <v>3032</v>
      </c>
      <c r="B1934" t="s">
        <v>3031</v>
      </c>
      <c r="C1934" t="s">
        <v>1228</v>
      </c>
      <c r="D1934">
        <v>143000</v>
      </c>
      <c r="E1934">
        <v>10000</v>
      </c>
      <c r="H1934">
        <v>6</v>
      </c>
      <c r="I1934" t="s">
        <v>24</v>
      </c>
      <c r="J1934">
        <v>25.64</v>
      </c>
      <c r="K1934">
        <v>3</v>
      </c>
      <c r="L1934">
        <v>12</v>
      </c>
      <c r="M1934" t="s">
        <v>3022</v>
      </c>
      <c r="N1934">
        <v>3</v>
      </c>
      <c r="O1934">
        <v>9.67</v>
      </c>
      <c r="P1934">
        <v>144436.73000000001</v>
      </c>
      <c r="Q1934">
        <v>123325.96</v>
      </c>
      <c r="R1934">
        <v>648</v>
      </c>
      <c r="S1934">
        <v>339</v>
      </c>
      <c r="T1934" t="s">
        <v>34</v>
      </c>
      <c r="U1934" t="s">
        <v>31</v>
      </c>
    </row>
    <row r="1935" spans="1:21">
      <c r="A1935" t="s">
        <v>3033</v>
      </c>
      <c r="B1935" t="s">
        <v>3034</v>
      </c>
      <c r="C1935" t="s">
        <v>1768</v>
      </c>
      <c r="D1935">
        <v>144000</v>
      </c>
      <c r="E1935">
        <v>20000</v>
      </c>
      <c r="G1935">
        <v>144000</v>
      </c>
      <c r="H1935">
        <v>5</v>
      </c>
      <c r="I1935" t="s">
        <v>24</v>
      </c>
      <c r="J1935">
        <v>47.13</v>
      </c>
      <c r="K1935">
        <v>24</v>
      </c>
      <c r="L1935">
        <v>8</v>
      </c>
      <c r="M1935" t="s">
        <v>3022</v>
      </c>
      <c r="N1935">
        <v>7</v>
      </c>
      <c r="O1935">
        <v>8</v>
      </c>
      <c r="P1935">
        <v>144436.73000000001</v>
      </c>
      <c r="Q1935">
        <v>123325.96</v>
      </c>
      <c r="R1935">
        <v>648</v>
      </c>
      <c r="S1935">
        <v>339</v>
      </c>
      <c r="T1935" t="s">
        <v>326</v>
      </c>
      <c r="U1935" t="s">
        <v>27</v>
      </c>
    </row>
    <row r="1936" spans="1:21">
      <c r="A1936" t="s">
        <v>3035</v>
      </c>
      <c r="B1936" t="s">
        <v>3036</v>
      </c>
      <c r="C1936" t="s">
        <v>1768</v>
      </c>
      <c r="D1936">
        <v>144000</v>
      </c>
      <c r="E1936">
        <v>20000</v>
      </c>
      <c r="G1936">
        <v>144000</v>
      </c>
      <c r="H1936">
        <v>5</v>
      </c>
      <c r="I1936" t="s">
        <v>24</v>
      </c>
      <c r="J1936">
        <v>47.13</v>
      </c>
      <c r="K1936">
        <v>22</v>
      </c>
      <c r="L1936">
        <v>9</v>
      </c>
      <c r="M1936" t="s">
        <v>3022</v>
      </c>
      <c r="N1936">
        <v>7</v>
      </c>
      <c r="O1936">
        <v>10</v>
      </c>
      <c r="P1936">
        <v>144436.73000000001</v>
      </c>
      <c r="Q1936">
        <v>123325.96</v>
      </c>
      <c r="R1936">
        <v>648</v>
      </c>
      <c r="S1936">
        <v>339</v>
      </c>
      <c r="T1936" t="s">
        <v>326</v>
      </c>
      <c r="U1936" t="s">
        <v>27</v>
      </c>
    </row>
    <row r="1937" spans="1:21">
      <c r="A1937" t="s">
        <v>3037</v>
      </c>
      <c r="B1937" t="s">
        <v>3038</v>
      </c>
      <c r="C1937" t="s">
        <v>1773</v>
      </c>
      <c r="D1937">
        <v>107000</v>
      </c>
      <c r="E1937">
        <v>3000</v>
      </c>
      <c r="F1937">
        <v>107000</v>
      </c>
      <c r="H1937">
        <v>1</v>
      </c>
      <c r="I1937" t="s">
        <v>24</v>
      </c>
      <c r="J1937">
        <v>32.409999999999997</v>
      </c>
      <c r="K1937">
        <v>18</v>
      </c>
      <c r="L1937">
        <v>2</v>
      </c>
      <c r="M1937" t="s">
        <v>3022</v>
      </c>
      <c r="N1937">
        <v>7</v>
      </c>
      <c r="O1937">
        <v>10.33</v>
      </c>
      <c r="P1937">
        <v>144436.73000000001</v>
      </c>
      <c r="Q1937">
        <v>123325.96</v>
      </c>
      <c r="R1937">
        <v>648</v>
      </c>
      <c r="S1937">
        <v>339</v>
      </c>
      <c r="T1937" t="s">
        <v>26</v>
      </c>
      <c r="U1937" t="s">
        <v>90</v>
      </c>
    </row>
    <row r="1938" spans="1:21">
      <c r="A1938" t="s">
        <v>3039</v>
      </c>
      <c r="B1938" t="s">
        <v>3040</v>
      </c>
      <c r="C1938" t="s">
        <v>1768</v>
      </c>
      <c r="D1938">
        <v>158000</v>
      </c>
      <c r="E1938">
        <v>10000</v>
      </c>
      <c r="F1938">
        <v>158000</v>
      </c>
      <c r="H1938">
        <v>10</v>
      </c>
      <c r="I1938" t="s">
        <v>24</v>
      </c>
      <c r="J1938">
        <v>25.1</v>
      </c>
      <c r="K1938">
        <v>2</v>
      </c>
      <c r="L1938">
        <v>13</v>
      </c>
      <c r="M1938" t="s">
        <v>3022</v>
      </c>
      <c r="N1938">
        <v>9</v>
      </c>
      <c r="O1938">
        <v>12.33</v>
      </c>
      <c r="P1938">
        <v>144436.73000000001</v>
      </c>
      <c r="Q1938">
        <v>123325.96</v>
      </c>
      <c r="R1938">
        <v>648</v>
      </c>
      <c r="S1938">
        <v>339</v>
      </c>
      <c r="T1938" t="s">
        <v>34</v>
      </c>
      <c r="U1938" t="s">
        <v>31</v>
      </c>
    </row>
    <row r="1939" spans="1:21">
      <c r="A1939" t="s">
        <v>3041</v>
      </c>
      <c r="B1939" t="s">
        <v>3040</v>
      </c>
      <c r="C1939" t="s">
        <v>1768</v>
      </c>
      <c r="D1939">
        <v>146000</v>
      </c>
      <c r="E1939">
        <v>10000</v>
      </c>
      <c r="F1939">
        <v>146000</v>
      </c>
      <c r="H1939">
        <v>2</v>
      </c>
      <c r="I1939" t="s">
        <v>24</v>
      </c>
      <c r="J1939">
        <v>25.1</v>
      </c>
      <c r="K1939">
        <v>2</v>
      </c>
      <c r="L1939">
        <v>13</v>
      </c>
      <c r="M1939" t="s">
        <v>3022</v>
      </c>
      <c r="N1939">
        <v>9</v>
      </c>
      <c r="O1939">
        <v>12.33</v>
      </c>
      <c r="P1939">
        <v>144436.73000000001</v>
      </c>
      <c r="Q1939">
        <v>123325.96</v>
      </c>
      <c r="R1939">
        <v>648</v>
      </c>
      <c r="S1939">
        <v>339</v>
      </c>
      <c r="T1939" t="s">
        <v>34</v>
      </c>
      <c r="U1939" t="s">
        <v>31</v>
      </c>
    </row>
    <row r="1940" spans="1:21">
      <c r="A1940" t="s">
        <v>3042</v>
      </c>
      <c r="B1940" t="s">
        <v>3040</v>
      </c>
      <c r="C1940" t="s">
        <v>1768</v>
      </c>
      <c r="D1940">
        <v>151000</v>
      </c>
      <c r="E1940">
        <v>10000</v>
      </c>
      <c r="F1940">
        <v>151000</v>
      </c>
      <c r="H1940">
        <v>6</v>
      </c>
      <c r="I1940" t="s">
        <v>24</v>
      </c>
      <c r="J1940">
        <v>25.1</v>
      </c>
      <c r="K1940">
        <v>2</v>
      </c>
      <c r="L1940">
        <v>13</v>
      </c>
      <c r="M1940" t="s">
        <v>3022</v>
      </c>
      <c r="N1940">
        <v>9</v>
      </c>
      <c r="O1940">
        <v>12.33</v>
      </c>
      <c r="P1940">
        <v>144436.73000000001</v>
      </c>
      <c r="Q1940">
        <v>123325.96</v>
      </c>
      <c r="R1940">
        <v>648</v>
      </c>
      <c r="S1940">
        <v>339</v>
      </c>
      <c r="T1940" t="s">
        <v>34</v>
      </c>
      <c r="U1940" t="s">
        <v>31</v>
      </c>
    </row>
    <row r="1941" spans="1:21">
      <c r="A1941" t="s">
        <v>3043</v>
      </c>
      <c r="B1941" t="s">
        <v>3040</v>
      </c>
      <c r="C1941" t="s">
        <v>1768</v>
      </c>
      <c r="D1941">
        <v>152000</v>
      </c>
      <c r="E1941">
        <v>10000</v>
      </c>
      <c r="F1941">
        <v>152000</v>
      </c>
      <c r="H1941">
        <v>7</v>
      </c>
      <c r="I1941" t="s">
        <v>24</v>
      </c>
      <c r="J1941">
        <v>25.1</v>
      </c>
      <c r="K1941">
        <v>2</v>
      </c>
      <c r="L1941">
        <v>13</v>
      </c>
      <c r="M1941" t="s">
        <v>3022</v>
      </c>
      <c r="N1941">
        <v>9</v>
      </c>
      <c r="O1941">
        <v>12.33</v>
      </c>
      <c r="P1941">
        <v>144436.73000000001</v>
      </c>
      <c r="Q1941">
        <v>123325.96</v>
      </c>
      <c r="R1941">
        <v>648</v>
      </c>
      <c r="S1941">
        <v>339</v>
      </c>
      <c r="T1941" t="s">
        <v>34</v>
      </c>
      <c r="U1941" t="s">
        <v>31</v>
      </c>
    </row>
    <row r="1942" spans="1:21">
      <c r="A1942" t="s">
        <v>3044</v>
      </c>
      <c r="B1942" t="s">
        <v>3045</v>
      </c>
      <c r="C1942" t="s">
        <v>1768</v>
      </c>
      <c r="D1942">
        <v>85000</v>
      </c>
      <c r="E1942">
        <v>5000</v>
      </c>
      <c r="H1942">
        <v>7</v>
      </c>
      <c r="I1942" t="s">
        <v>24</v>
      </c>
      <c r="J1942">
        <v>23.4</v>
      </c>
      <c r="K1942">
        <v>34</v>
      </c>
      <c r="L1942">
        <v>8</v>
      </c>
      <c r="M1942" t="s">
        <v>3022</v>
      </c>
      <c r="N1942">
        <v>9</v>
      </c>
      <c r="O1942">
        <v>10.67</v>
      </c>
      <c r="P1942">
        <v>144436.73000000001</v>
      </c>
      <c r="Q1942">
        <v>123325.96</v>
      </c>
      <c r="R1942">
        <v>648</v>
      </c>
      <c r="S1942">
        <v>339</v>
      </c>
      <c r="T1942" t="s">
        <v>34</v>
      </c>
      <c r="U1942" t="s">
        <v>49</v>
      </c>
    </row>
    <row r="1943" spans="1:21">
      <c r="A1943" t="s">
        <v>3046</v>
      </c>
      <c r="B1943" t="s">
        <v>3047</v>
      </c>
      <c r="C1943" t="s">
        <v>3025</v>
      </c>
      <c r="D1943">
        <v>140000</v>
      </c>
      <c r="E1943">
        <v>15000</v>
      </c>
      <c r="F1943">
        <v>140000</v>
      </c>
      <c r="G1943">
        <v>140000</v>
      </c>
      <c r="H1943">
        <v>1</v>
      </c>
      <c r="I1943" t="s">
        <v>24</v>
      </c>
      <c r="J1943">
        <v>25.98</v>
      </c>
      <c r="K1943">
        <v>3</v>
      </c>
      <c r="L1943">
        <v>5</v>
      </c>
      <c r="M1943" t="s">
        <v>3022</v>
      </c>
      <c r="N1943">
        <v>7</v>
      </c>
      <c r="O1943">
        <v>9.33</v>
      </c>
      <c r="P1943">
        <v>144436.73000000001</v>
      </c>
      <c r="Q1943">
        <v>123325.96</v>
      </c>
      <c r="R1943">
        <v>648</v>
      </c>
      <c r="S1943">
        <v>339</v>
      </c>
      <c r="T1943" t="s">
        <v>34</v>
      </c>
      <c r="U1943" t="s">
        <v>31</v>
      </c>
    </row>
    <row r="1944" spans="1:21">
      <c r="A1944" t="s">
        <v>3048</v>
      </c>
      <c r="B1944" t="s">
        <v>3047</v>
      </c>
      <c r="C1944" t="s">
        <v>3025</v>
      </c>
      <c r="D1944">
        <v>140000</v>
      </c>
      <c r="E1944">
        <v>15000</v>
      </c>
      <c r="F1944">
        <v>140000</v>
      </c>
      <c r="G1944">
        <v>140000</v>
      </c>
      <c r="H1944">
        <v>2</v>
      </c>
      <c r="I1944" t="s">
        <v>24</v>
      </c>
      <c r="J1944">
        <v>25.98</v>
      </c>
      <c r="K1944">
        <v>3</v>
      </c>
      <c r="L1944">
        <v>5</v>
      </c>
      <c r="M1944" t="s">
        <v>3022</v>
      </c>
      <c r="N1944">
        <v>7</v>
      </c>
      <c r="O1944">
        <v>9.33</v>
      </c>
      <c r="P1944">
        <v>144436.73000000001</v>
      </c>
      <c r="Q1944">
        <v>123325.96</v>
      </c>
      <c r="R1944">
        <v>648</v>
      </c>
      <c r="S1944">
        <v>339</v>
      </c>
      <c r="T1944" t="s">
        <v>34</v>
      </c>
      <c r="U1944" t="s">
        <v>31</v>
      </c>
    </row>
    <row r="1945" spans="1:21">
      <c r="A1945" t="s">
        <v>3049</v>
      </c>
      <c r="B1945" t="s">
        <v>3047</v>
      </c>
      <c r="C1945" t="s">
        <v>3025</v>
      </c>
      <c r="D1945">
        <v>139500</v>
      </c>
      <c r="E1945">
        <v>15000</v>
      </c>
      <c r="G1945">
        <v>139500</v>
      </c>
      <c r="H1945">
        <v>2</v>
      </c>
      <c r="I1945" t="s">
        <v>24</v>
      </c>
      <c r="J1945">
        <v>26.32</v>
      </c>
      <c r="K1945">
        <v>3</v>
      </c>
      <c r="L1945">
        <v>5</v>
      </c>
      <c r="M1945" t="s">
        <v>3022</v>
      </c>
      <c r="N1945">
        <v>7</v>
      </c>
      <c r="O1945">
        <v>9.33</v>
      </c>
      <c r="P1945">
        <v>144436.73000000001</v>
      </c>
      <c r="Q1945">
        <v>123325.96</v>
      </c>
      <c r="R1945">
        <v>648</v>
      </c>
      <c r="S1945">
        <v>339</v>
      </c>
      <c r="T1945" t="s">
        <v>34</v>
      </c>
      <c r="U1945" t="s">
        <v>31</v>
      </c>
    </row>
    <row r="1946" spans="1:21">
      <c r="A1946" t="s">
        <v>3050</v>
      </c>
      <c r="B1946" t="s">
        <v>3047</v>
      </c>
      <c r="C1946" t="s">
        <v>3025</v>
      </c>
      <c r="D1946">
        <v>141500</v>
      </c>
      <c r="E1946">
        <v>15000</v>
      </c>
      <c r="F1946">
        <v>141500</v>
      </c>
      <c r="G1946">
        <v>141500</v>
      </c>
      <c r="H1946">
        <v>5</v>
      </c>
      <c r="I1946" t="s">
        <v>24</v>
      </c>
      <c r="J1946">
        <v>26.32</v>
      </c>
      <c r="K1946">
        <v>3</v>
      </c>
      <c r="L1946">
        <v>5</v>
      </c>
      <c r="M1946" t="s">
        <v>3022</v>
      </c>
      <c r="N1946">
        <v>7</v>
      </c>
      <c r="O1946">
        <v>9.33</v>
      </c>
      <c r="P1946">
        <v>144436.73000000001</v>
      </c>
      <c r="Q1946">
        <v>123325.96</v>
      </c>
      <c r="R1946">
        <v>648</v>
      </c>
      <c r="S1946">
        <v>339</v>
      </c>
      <c r="T1946" t="s">
        <v>34</v>
      </c>
      <c r="U1946" t="s">
        <v>31</v>
      </c>
    </row>
    <row r="1947" spans="1:21">
      <c r="A1947" t="s">
        <v>3051</v>
      </c>
      <c r="B1947" t="s">
        <v>3052</v>
      </c>
      <c r="C1947" t="s">
        <v>1231</v>
      </c>
      <c r="D1947">
        <v>67000</v>
      </c>
      <c r="F1947">
        <v>67000</v>
      </c>
      <c r="H1947">
        <v>1</v>
      </c>
      <c r="I1947" t="s">
        <v>24</v>
      </c>
      <c r="J1947">
        <v>22</v>
      </c>
      <c r="K1947">
        <v>37</v>
      </c>
      <c r="L1947">
        <v>2</v>
      </c>
      <c r="M1947" t="s">
        <v>3022</v>
      </c>
      <c r="N1947">
        <v>8</v>
      </c>
      <c r="O1947">
        <v>11</v>
      </c>
      <c r="P1947">
        <v>144436.73000000001</v>
      </c>
      <c r="Q1947">
        <v>123325.96</v>
      </c>
      <c r="R1947">
        <v>648</v>
      </c>
      <c r="S1947">
        <v>339</v>
      </c>
      <c r="T1947" t="s">
        <v>34</v>
      </c>
      <c r="U1947" t="s">
        <v>49</v>
      </c>
    </row>
    <row r="1948" spans="1:21">
      <c r="A1948" t="s">
        <v>3053</v>
      </c>
      <c r="B1948" t="s">
        <v>3054</v>
      </c>
      <c r="C1948" t="s">
        <v>1890</v>
      </c>
      <c r="D1948">
        <v>102000</v>
      </c>
      <c r="E1948">
        <v>1000</v>
      </c>
      <c r="F1948">
        <v>102000</v>
      </c>
      <c r="G1948">
        <v>204000</v>
      </c>
      <c r="H1948">
        <v>1</v>
      </c>
      <c r="I1948" t="s">
        <v>24</v>
      </c>
      <c r="J1948">
        <v>37.07</v>
      </c>
      <c r="K1948">
        <v>26</v>
      </c>
      <c r="L1948">
        <v>2</v>
      </c>
      <c r="M1948" t="s">
        <v>3022</v>
      </c>
      <c r="N1948">
        <v>10</v>
      </c>
      <c r="O1948">
        <v>11.33</v>
      </c>
      <c r="P1948">
        <v>144436.73000000001</v>
      </c>
      <c r="Q1948">
        <v>123325.96</v>
      </c>
      <c r="R1948">
        <v>648</v>
      </c>
      <c r="S1948">
        <v>339</v>
      </c>
      <c r="T1948" t="s">
        <v>26</v>
      </c>
      <c r="U1948" t="s">
        <v>27</v>
      </c>
    </row>
    <row r="1949" spans="1:21">
      <c r="A1949" t="s">
        <v>3055</v>
      </c>
      <c r="B1949" t="s">
        <v>3056</v>
      </c>
      <c r="C1949" t="s">
        <v>1890</v>
      </c>
      <c r="D1949">
        <v>87000</v>
      </c>
      <c r="F1949">
        <v>87000</v>
      </c>
      <c r="G1949">
        <v>87000</v>
      </c>
      <c r="H1949">
        <v>1</v>
      </c>
      <c r="I1949" t="s">
        <v>24</v>
      </c>
      <c r="J1949">
        <v>27</v>
      </c>
      <c r="K1949">
        <v>25</v>
      </c>
      <c r="L1949">
        <v>1</v>
      </c>
      <c r="M1949" t="s">
        <v>3022</v>
      </c>
      <c r="N1949">
        <v>12</v>
      </c>
      <c r="O1949">
        <v>13.67</v>
      </c>
      <c r="P1949">
        <v>144436.73000000001</v>
      </c>
      <c r="Q1949">
        <v>123325.96</v>
      </c>
      <c r="R1949">
        <v>648</v>
      </c>
      <c r="S1949">
        <v>339</v>
      </c>
      <c r="T1949" t="s">
        <v>34</v>
      </c>
      <c r="U1949" t="s">
        <v>27</v>
      </c>
    </row>
    <row r="1950" spans="1:21">
      <c r="A1950" t="s">
        <v>3057</v>
      </c>
      <c r="B1950" t="s">
        <v>3058</v>
      </c>
      <c r="C1950" t="s">
        <v>3059</v>
      </c>
      <c r="D1950">
        <v>140000</v>
      </c>
      <c r="E1950">
        <v>10000</v>
      </c>
      <c r="F1950">
        <v>140000</v>
      </c>
      <c r="G1950">
        <v>168000</v>
      </c>
      <c r="H1950">
        <v>6</v>
      </c>
      <c r="I1950" t="s">
        <v>24</v>
      </c>
      <c r="J1950">
        <v>25.12</v>
      </c>
      <c r="K1950">
        <v>5</v>
      </c>
      <c r="L1950">
        <v>6</v>
      </c>
      <c r="M1950" t="s">
        <v>3022</v>
      </c>
      <c r="N1950">
        <v>5</v>
      </c>
      <c r="O1950">
        <v>5.33</v>
      </c>
      <c r="P1950">
        <v>144436.73000000001</v>
      </c>
      <c r="Q1950">
        <v>123325.96</v>
      </c>
      <c r="R1950">
        <v>648</v>
      </c>
      <c r="S1950">
        <v>339</v>
      </c>
      <c r="T1950" t="s">
        <v>34</v>
      </c>
      <c r="U1950" t="s">
        <v>31</v>
      </c>
    </row>
    <row r="1951" spans="1:21">
      <c r="A1951" t="s">
        <v>3060</v>
      </c>
      <c r="B1951" t="s">
        <v>3061</v>
      </c>
      <c r="C1951" t="s">
        <v>1228</v>
      </c>
      <c r="D1951">
        <v>78000</v>
      </c>
      <c r="E1951">
        <v>2000</v>
      </c>
      <c r="F1951">
        <v>78000</v>
      </c>
      <c r="G1951">
        <v>78000</v>
      </c>
      <c r="H1951">
        <v>4</v>
      </c>
      <c r="I1951" t="s">
        <v>24</v>
      </c>
      <c r="J1951">
        <v>31.5</v>
      </c>
      <c r="K1951">
        <v>59</v>
      </c>
      <c r="L1951">
        <v>6</v>
      </c>
      <c r="M1951" t="s">
        <v>3022</v>
      </c>
      <c r="N1951">
        <v>6</v>
      </c>
      <c r="O1951">
        <v>10.67</v>
      </c>
      <c r="P1951">
        <v>144436.73000000001</v>
      </c>
      <c r="Q1951">
        <v>123325.96</v>
      </c>
      <c r="R1951">
        <v>648</v>
      </c>
      <c r="S1951">
        <v>339</v>
      </c>
      <c r="T1951" t="s">
        <v>26</v>
      </c>
      <c r="U1951" t="s">
        <v>57</v>
      </c>
    </row>
    <row r="1952" spans="1:21">
      <c r="A1952" t="s">
        <v>3062</v>
      </c>
      <c r="B1952" t="s">
        <v>3063</v>
      </c>
      <c r="C1952" t="s">
        <v>1228</v>
      </c>
      <c r="D1952">
        <v>148000</v>
      </c>
      <c r="E1952">
        <v>10000</v>
      </c>
      <c r="F1952">
        <v>148000</v>
      </c>
      <c r="H1952">
        <v>7</v>
      </c>
      <c r="I1952" t="s">
        <v>24</v>
      </c>
      <c r="J1952">
        <v>25.47</v>
      </c>
      <c r="K1952">
        <v>3</v>
      </c>
      <c r="L1952">
        <v>12</v>
      </c>
      <c r="M1952" t="s">
        <v>3022</v>
      </c>
      <c r="N1952">
        <v>1</v>
      </c>
      <c r="O1952">
        <v>8.67</v>
      </c>
      <c r="P1952">
        <v>144436.73000000001</v>
      </c>
      <c r="Q1952">
        <v>123325.96</v>
      </c>
      <c r="R1952">
        <v>648</v>
      </c>
      <c r="S1952">
        <v>339</v>
      </c>
      <c r="T1952" t="s">
        <v>34</v>
      </c>
      <c r="U1952" t="s">
        <v>31</v>
      </c>
    </row>
    <row r="1953" spans="1:21">
      <c r="A1953" t="s">
        <v>3064</v>
      </c>
      <c r="B1953" t="s">
        <v>3065</v>
      </c>
      <c r="C1953" t="s">
        <v>1768</v>
      </c>
      <c r="D1953">
        <v>93000</v>
      </c>
      <c r="E1953">
        <v>3000</v>
      </c>
      <c r="F1953">
        <v>93000</v>
      </c>
      <c r="G1953">
        <v>93000</v>
      </c>
      <c r="H1953">
        <v>4</v>
      </c>
      <c r="I1953" t="s">
        <v>24</v>
      </c>
      <c r="J1953">
        <v>30</v>
      </c>
      <c r="K1953">
        <v>46</v>
      </c>
      <c r="L1953">
        <v>5</v>
      </c>
      <c r="M1953" t="s">
        <v>3022</v>
      </c>
      <c r="N1953">
        <v>8</v>
      </c>
      <c r="O1953">
        <v>11.33</v>
      </c>
      <c r="P1953">
        <v>144436.73000000001</v>
      </c>
      <c r="Q1953">
        <v>123325.96</v>
      </c>
      <c r="R1953">
        <v>648</v>
      </c>
      <c r="S1953">
        <v>339</v>
      </c>
      <c r="T1953" t="s">
        <v>26</v>
      </c>
      <c r="U1953" t="s">
        <v>42</v>
      </c>
    </row>
    <row r="1954" spans="1:21">
      <c r="A1954" t="s">
        <v>3066</v>
      </c>
      <c r="B1954" t="s">
        <v>3067</v>
      </c>
      <c r="C1954" t="s">
        <v>1231</v>
      </c>
      <c r="D1954">
        <v>95000</v>
      </c>
      <c r="E1954">
        <v>5000</v>
      </c>
      <c r="F1954">
        <v>95000</v>
      </c>
      <c r="G1954">
        <v>95000</v>
      </c>
      <c r="H1954">
        <v>3</v>
      </c>
      <c r="I1954" t="s">
        <v>24</v>
      </c>
      <c r="J1954">
        <v>28</v>
      </c>
      <c r="K1954">
        <v>35</v>
      </c>
      <c r="L1954">
        <v>3</v>
      </c>
      <c r="M1954" t="s">
        <v>3022</v>
      </c>
      <c r="N1954">
        <v>3</v>
      </c>
      <c r="O1954">
        <v>8.67</v>
      </c>
      <c r="P1954">
        <v>144436.73000000001</v>
      </c>
      <c r="Q1954">
        <v>123325.96</v>
      </c>
      <c r="R1954">
        <v>648</v>
      </c>
      <c r="S1954">
        <v>339</v>
      </c>
      <c r="T1954" t="s">
        <v>34</v>
      </c>
      <c r="U1954" t="s">
        <v>49</v>
      </c>
    </row>
    <row r="1955" spans="1:21">
      <c r="A1955" t="s">
        <v>3068</v>
      </c>
      <c r="B1955" t="s">
        <v>3069</v>
      </c>
      <c r="C1955" t="s">
        <v>1228</v>
      </c>
      <c r="D1955">
        <v>105000</v>
      </c>
      <c r="E1955">
        <v>5000</v>
      </c>
      <c r="F1955">
        <v>105000</v>
      </c>
      <c r="G1955">
        <v>105000</v>
      </c>
      <c r="H1955">
        <v>2</v>
      </c>
      <c r="I1955" t="s">
        <v>24</v>
      </c>
      <c r="J1955">
        <v>24.2</v>
      </c>
      <c r="K1955">
        <v>34</v>
      </c>
      <c r="L1955">
        <v>4</v>
      </c>
      <c r="M1955" t="s">
        <v>3022</v>
      </c>
      <c r="N1955">
        <v>3</v>
      </c>
      <c r="O1955">
        <v>8.67</v>
      </c>
      <c r="P1955">
        <v>144436.73000000001</v>
      </c>
      <c r="Q1955">
        <v>123325.96</v>
      </c>
      <c r="R1955">
        <v>648</v>
      </c>
      <c r="S1955">
        <v>339</v>
      </c>
      <c r="T1955" t="s">
        <v>34</v>
      </c>
      <c r="U1955" t="s">
        <v>49</v>
      </c>
    </row>
    <row r="1956" spans="1:21">
      <c r="A1956" t="s">
        <v>3070</v>
      </c>
      <c r="B1956" t="s">
        <v>3071</v>
      </c>
      <c r="C1956" t="s">
        <v>1228</v>
      </c>
      <c r="D1956">
        <v>105000</v>
      </c>
      <c r="E1956">
        <v>5000</v>
      </c>
      <c r="F1956">
        <v>105000</v>
      </c>
      <c r="G1956">
        <v>105000</v>
      </c>
      <c r="H1956">
        <v>2</v>
      </c>
      <c r="I1956" t="s">
        <v>24</v>
      </c>
      <c r="J1956">
        <v>24.2</v>
      </c>
      <c r="K1956">
        <v>33</v>
      </c>
      <c r="L1956">
        <v>4</v>
      </c>
      <c r="M1956" t="s">
        <v>3022</v>
      </c>
      <c r="N1956">
        <v>4</v>
      </c>
      <c r="O1956">
        <v>9</v>
      </c>
      <c r="P1956">
        <v>144436.73000000001</v>
      </c>
      <c r="Q1956">
        <v>123325.96</v>
      </c>
      <c r="R1956">
        <v>648</v>
      </c>
      <c r="S1956">
        <v>339</v>
      </c>
      <c r="T1956" t="s">
        <v>34</v>
      </c>
      <c r="U1956" t="s">
        <v>49</v>
      </c>
    </row>
    <row r="1957" spans="1:21">
      <c r="A1957" t="s">
        <v>3072</v>
      </c>
      <c r="B1957" t="s">
        <v>3073</v>
      </c>
      <c r="C1957" t="s">
        <v>1768</v>
      </c>
      <c r="D1957">
        <v>145000</v>
      </c>
      <c r="E1957">
        <v>8000</v>
      </c>
      <c r="F1957">
        <v>145000</v>
      </c>
      <c r="G1957">
        <v>145000</v>
      </c>
      <c r="H1957">
        <v>2</v>
      </c>
      <c r="I1957" t="s">
        <v>24</v>
      </c>
      <c r="J1957">
        <v>39</v>
      </c>
      <c r="K1957">
        <v>20</v>
      </c>
      <c r="L1957">
        <v>8</v>
      </c>
      <c r="M1957" t="s">
        <v>3022</v>
      </c>
      <c r="N1957">
        <v>8</v>
      </c>
      <c r="O1957">
        <v>8</v>
      </c>
      <c r="P1957">
        <v>144436.73000000001</v>
      </c>
      <c r="Q1957">
        <v>123325.96</v>
      </c>
      <c r="R1957">
        <v>648</v>
      </c>
      <c r="S1957">
        <v>339</v>
      </c>
      <c r="T1957" t="s">
        <v>26</v>
      </c>
      <c r="U1957" t="s">
        <v>90</v>
      </c>
    </row>
    <row r="1958" spans="1:21">
      <c r="A1958" t="s">
        <v>3074</v>
      </c>
      <c r="B1958" t="s">
        <v>3075</v>
      </c>
      <c r="C1958" t="s">
        <v>1294</v>
      </c>
      <c r="D1958">
        <v>155000</v>
      </c>
      <c r="E1958">
        <v>12000</v>
      </c>
      <c r="F1958">
        <v>155000</v>
      </c>
      <c r="H1958">
        <v>3</v>
      </c>
      <c r="I1958" t="s">
        <v>24</v>
      </c>
      <c r="J1958">
        <v>27.09</v>
      </c>
      <c r="K1958">
        <v>0</v>
      </c>
      <c r="L1958">
        <v>10</v>
      </c>
      <c r="M1958" t="s">
        <v>3022</v>
      </c>
      <c r="N1958">
        <v>11</v>
      </c>
      <c r="O1958">
        <v>11</v>
      </c>
      <c r="P1958">
        <v>144436.73000000001</v>
      </c>
      <c r="Q1958">
        <v>123325.96</v>
      </c>
      <c r="R1958">
        <v>648</v>
      </c>
      <c r="S1958">
        <v>339</v>
      </c>
      <c r="T1958" t="s">
        <v>34</v>
      </c>
      <c r="U1958" t="s">
        <v>81</v>
      </c>
    </row>
    <row r="1959" spans="1:21">
      <c r="A1959" t="s">
        <v>3076</v>
      </c>
      <c r="B1959" t="s">
        <v>3075</v>
      </c>
      <c r="C1959" t="s">
        <v>1294</v>
      </c>
      <c r="D1959">
        <v>159000</v>
      </c>
      <c r="E1959">
        <v>12000</v>
      </c>
      <c r="F1959">
        <v>159000</v>
      </c>
      <c r="H1959">
        <v>3</v>
      </c>
      <c r="I1959" t="s">
        <v>24</v>
      </c>
      <c r="J1959">
        <v>28.02</v>
      </c>
      <c r="K1959">
        <v>0</v>
      </c>
      <c r="L1959">
        <v>10</v>
      </c>
      <c r="M1959" t="s">
        <v>3022</v>
      </c>
      <c r="N1959">
        <v>11</v>
      </c>
      <c r="O1959">
        <v>11</v>
      </c>
      <c r="P1959">
        <v>144436.73000000001</v>
      </c>
      <c r="Q1959">
        <v>123325.96</v>
      </c>
      <c r="R1959">
        <v>648</v>
      </c>
      <c r="S1959">
        <v>339</v>
      </c>
      <c r="T1959" t="s">
        <v>34</v>
      </c>
      <c r="U1959" t="s">
        <v>81</v>
      </c>
    </row>
    <row r="1960" spans="1:21">
      <c r="A1960" t="s">
        <v>3077</v>
      </c>
      <c r="B1960" t="s">
        <v>3075</v>
      </c>
      <c r="C1960" t="s">
        <v>1294</v>
      </c>
      <c r="D1960">
        <v>163000</v>
      </c>
      <c r="E1960">
        <v>12000</v>
      </c>
      <c r="F1960">
        <v>163000</v>
      </c>
      <c r="H1960">
        <v>3</v>
      </c>
      <c r="I1960" t="s">
        <v>24</v>
      </c>
      <c r="J1960">
        <v>28.92</v>
      </c>
      <c r="K1960">
        <v>0</v>
      </c>
      <c r="L1960">
        <v>10</v>
      </c>
      <c r="M1960" t="s">
        <v>3022</v>
      </c>
      <c r="N1960">
        <v>11</v>
      </c>
      <c r="O1960">
        <v>11</v>
      </c>
      <c r="P1960">
        <v>144436.73000000001</v>
      </c>
      <c r="Q1960">
        <v>123325.96</v>
      </c>
      <c r="R1960">
        <v>648</v>
      </c>
      <c r="S1960">
        <v>339</v>
      </c>
      <c r="T1960" t="s">
        <v>34</v>
      </c>
      <c r="U1960" t="s">
        <v>81</v>
      </c>
    </row>
    <row r="1961" spans="1:21">
      <c r="A1961" t="s">
        <v>3078</v>
      </c>
      <c r="B1961" t="s">
        <v>3075</v>
      </c>
      <c r="C1961" t="s">
        <v>1294</v>
      </c>
      <c r="D1961">
        <v>157000</v>
      </c>
      <c r="E1961">
        <v>12000</v>
      </c>
      <c r="F1961">
        <v>157000</v>
      </c>
      <c r="H1961">
        <v>5</v>
      </c>
      <c r="I1961" t="s">
        <v>24</v>
      </c>
      <c r="J1961">
        <v>27.09</v>
      </c>
      <c r="K1961">
        <v>0</v>
      </c>
      <c r="L1961">
        <v>10</v>
      </c>
      <c r="M1961" t="s">
        <v>3022</v>
      </c>
      <c r="N1961">
        <v>11</v>
      </c>
      <c r="O1961">
        <v>11</v>
      </c>
      <c r="P1961">
        <v>144436.73000000001</v>
      </c>
      <c r="Q1961">
        <v>123325.96</v>
      </c>
      <c r="R1961">
        <v>648</v>
      </c>
      <c r="S1961">
        <v>339</v>
      </c>
      <c r="T1961" t="s">
        <v>34</v>
      </c>
      <c r="U1961" t="s">
        <v>81</v>
      </c>
    </row>
    <row r="1962" spans="1:21">
      <c r="A1962" t="s">
        <v>3079</v>
      </c>
      <c r="B1962" t="s">
        <v>3075</v>
      </c>
      <c r="C1962" t="s">
        <v>1294</v>
      </c>
      <c r="D1962">
        <v>165000</v>
      </c>
      <c r="E1962">
        <v>12000</v>
      </c>
      <c r="F1962">
        <v>165000</v>
      </c>
      <c r="H1962">
        <v>5</v>
      </c>
      <c r="I1962" t="s">
        <v>24</v>
      </c>
      <c r="J1962">
        <v>28.92</v>
      </c>
      <c r="K1962">
        <v>0</v>
      </c>
      <c r="L1962">
        <v>10</v>
      </c>
      <c r="M1962" t="s">
        <v>3022</v>
      </c>
      <c r="N1962">
        <v>11</v>
      </c>
      <c r="O1962">
        <v>11</v>
      </c>
      <c r="P1962">
        <v>144436.73000000001</v>
      </c>
      <c r="Q1962">
        <v>123325.96</v>
      </c>
      <c r="R1962">
        <v>648</v>
      </c>
      <c r="S1962">
        <v>339</v>
      </c>
      <c r="T1962" t="s">
        <v>34</v>
      </c>
      <c r="U1962" t="s">
        <v>81</v>
      </c>
    </row>
    <row r="1963" spans="1:21">
      <c r="A1963" t="s">
        <v>3080</v>
      </c>
      <c r="B1963" t="s">
        <v>3075</v>
      </c>
      <c r="C1963" t="s">
        <v>1294</v>
      </c>
      <c r="D1963">
        <v>159000</v>
      </c>
      <c r="E1963">
        <v>12000</v>
      </c>
      <c r="F1963">
        <v>159000</v>
      </c>
      <c r="H1963">
        <v>7</v>
      </c>
      <c r="I1963" t="s">
        <v>24</v>
      </c>
      <c r="J1963">
        <v>27.09</v>
      </c>
      <c r="K1963">
        <v>0</v>
      </c>
      <c r="L1963">
        <v>10</v>
      </c>
      <c r="M1963" t="s">
        <v>3022</v>
      </c>
      <c r="N1963">
        <v>11</v>
      </c>
      <c r="O1963">
        <v>11</v>
      </c>
      <c r="P1963">
        <v>144436.73000000001</v>
      </c>
      <c r="Q1963">
        <v>123325.96</v>
      </c>
      <c r="R1963">
        <v>648</v>
      </c>
      <c r="S1963">
        <v>339</v>
      </c>
      <c r="T1963" t="s">
        <v>34</v>
      </c>
      <c r="U1963" t="s">
        <v>81</v>
      </c>
    </row>
    <row r="1964" spans="1:21">
      <c r="A1964" t="s">
        <v>3081</v>
      </c>
      <c r="B1964" t="s">
        <v>3075</v>
      </c>
      <c r="C1964" t="s">
        <v>1294</v>
      </c>
      <c r="D1964">
        <v>167000</v>
      </c>
      <c r="E1964">
        <v>12000</v>
      </c>
      <c r="F1964">
        <v>167000</v>
      </c>
      <c r="H1964">
        <v>7</v>
      </c>
      <c r="I1964" t="s">
        <v>24</v>
      </c>
      <c r="J1964">
        <v>28.92</v>
      </c>
      <c r="K1964">
        <v>0</v>
      </c>
      <c r="L1964">
        <v>10</v>
      </c>
      <c r="M1964" t="s">
        <v>3022</v>
      </c>
      <c r="N1964">
        <v>11</v>
      </c>
      <c r="O1964">
        <v>11</v>
      </c>
      <c r="P1964">
        <v>144436.73000000001</v>
      </c>
      <c r="Q1964">
        <v>123325.96</v>
      </c>
      <c r="R1964">
        <v>648</v>
      </c>
      <c r="S1964">
        <v>339</v>
      </c>
      <c r="T1964" t="s">
        <v>34</v>
      </c>
      <c r="U1964" t="s">
        <v>81</v>
      </c>
    </row>
    <row r="1965" spans="1:21">
      <c r="A1965" t="s">
        <v>3082</v>
      </c>
      <c r="B1965" t="s">
        <v>3075</v>
      </c>
      <c r="C1965" t="s">
        <v>1294</v>
      </c>
      <c r="D1965">
        <v>179000</v>
      </c>
      <c r="E1965">
        <v>12000</v>
      </c>
      <c r="F1965">
        <v>179000</v>
      </c>
      <c r="H1965">
        <v>7</v>
      </c>
      <c r="I1965" t="s">
        <v>24</v>
      </c>
      <c r="J1965">
        <v>28.92</v>
      </c>
      <c r="K1965">
        <v>0</v>
      </c>
      <c r="L1965">
        <v>10</v>
      </c>
      <c r="M1965" t="s">
        <v>3022</v>
      </c>
      <c r="N1965">
        <v>11</v>
      </c>
      <c r="O1965">
        <v>11</v>
      </c>
      <c r="P1965">
        <v>144436.73000000001</v>
      </c>
      <c r="Q1965">
        <v>123325.96</v>
      </c>
      <c r="R1965">
        <v>648</v>
      </c>
      <c r="S1965">
        <v>339</v>
      </c>
      <c r="T1965" t="s">
        <v>34</v>
      </c>
      <c r="U1965" t="s">
        <v>81</v>
      </c>
    </row>
    <row r="1966" spans="1:21">
      <c r="A1966" t="s">
        <v>3083</v>
      </c>
      <c r="B1966" t="s">
        <v>3084</v>
      </c>
      <c r="C1966" t="s">
        <v>1228</v>
      </c>
      <c r="D1966">
        <v>110000</v>
      </c>
      <c r="F1966">
        <v>110000</v>
      </c>
      <c r="G1966">
        <v>110000</v>
      </c>
      <c r="H1966">
        <v>3</v>
      </c>
      <c r="I1966" t="s">
        <v>24</v>
      </c>
      <c r="J1966">
        <v>22.35</v>
      </c>
      <c r="K1966">
        <v>56</v>
      </c>
      <c r="L1966">
        <v>6</v>
      </c>
      <c r="M1966" t="s">
        <v>3022</v>
      </c>
      <c r="N1966">
        <v>3</v>
      </c>
      <c r="O1966">
        <v>9</v>
      </c>
      <c r="P1966">
        <v>144436.73000000001</v>
      </c>
      <c r="Q1966">
        <v>123325.96</v>
      </c>
      <c r="R1966">
        <v>648</v>
      </c>
      <c r="S1966">
        <v>339</v>
      </c>
      <c r="T1966" t="s">
        <v>34</v>
      </c>
      <c r="U1966" t="s">
        <v>57</v>
      </c>
    </row>
    <row r="1967" spans="1:21">
      <c r="A1967" t="s">
        <v>3085</v>
      </c>
      <c r="B1967" t="s">
        <v>3086</v>
      </c>
      <c r="C1967" t="s">
        <v>1228</v>
      </c>
      <c r="D1967">
        <v>77000</v>
      </c>
      <c r="E1967">
        <v>3000</v>
      </c>
      <c r="F1967">
        <v>77000</v>
      </c>
      <c r="G1967">
        <v>77000</v>
      </c>
      <c r="H1967">
        <v>1</v>
      </c>
      <c r="I1967" t="s">
        <v>24</v>
      </c>
      <c r="J1967">
        <v>27.5</v>
      </c>
      <c r="K1967">
        <v>41</v>
      </c>
      <c r="L1967">
        <v>4</v>
      </c>
      <c r="M1967" t="s">
        <v>3022</v>
      </c>
      <c r="N1967">
        <v>4</v>
      </c>
      <c r="O1967">
        <v>7</v>
      </c>
      <c r="P1967">
        <v>144436.73000000001</v>
      </c>
      <c r="Q1967">
        <v>123325.96</v>
      </c>
      <c r="R1967">
        <v>648</v>
      </c>
      <c r="S1967">
        <v>339</v>
      </c>
      <c r="T1967" t="s">
        <v>34</v>
      </c>
      <c r="U1967" t="s">
        <v>42</v>
      </c>
    </row>
    <row r="1968" spans="1:21">
      <c r="A1968" t="s">
        <v>3087</v>
      </c>
      <c r="B1968" t="s">
        <v>3088</v>
      </c>
      <c r="C1968" t="s">
        <v>1228</v>
      </c>
      <c r="D1968">
        <v>125000</v>
      </c>
      <c r="E1968">
        <v>5000</v>
      </c>
      <c r="F1968">
        <v>125000</v>
      </c>
      <c r="G1968">
        <v>125000</v>
      </c>
      <c r="H1968">
        <v>6</v>
      </c>
      <c r="I1968" t="s">
        <v>24</v>
      </c>
      <c r="J1968">
        <v>35</v>
      </c>
      <c r="K1968">
        <v>28</v>
      </c>
      <c r="L1968">
        <v>7</v>
      </c>
      <c r="M1968" t="s">
        <v>3022</v>
      </c>
      <c r="N1968">
        <v>6</v>
      </c>
      <c r="O1968">
        <v>9.33</v>
      </c>
      <c r="P1968">
        <v>144436.73000000001</v>
      </c>
      <c r="Q1968">
        <v>123325.96</v>
      </c>
      <c r="R1968">
        <v>648</v>
      </c>
      <c r="S1968">
        <v>339</v>
      </c>
      <c r="T1968" t="s">
        <v>26</v>
      </c>
      <c r="U1968" t="s">
        <v>27</v>
      </c>
    </row>
    <row r="1969" spans="1:21">
      <c r="A1969" t="s">
        <v>3089</v>
      </c>
      <c r="B1969" t="s">
        <v>3090</v>
      </c>
      <c r="C1969" t="s">
        <v>3059</v>
      </c>
      <c r="D1969">
        <v>100000</v>
      </c>
      <c r="E1969">
        <v>5000</v>
      </c>
      <c r="F1969">
        <v>100000</v>
      </c>
      <c r="H1969">
        <v>1</v>
      </c>
      <c r="I1969" t="s">
        <v>24</v>
      </c>
      <c r="J1969">
        <v>35</v>
      </c>
      <c r="K1969">
        <v>54</v>
      </c>
      <c r="L1969">
        <v>5</v>
      </c>
      <c r="M1969" t="s">
        <v>3022</v>
      </c>
      <c r="N1969">
        <v>3</v>
      </c>
      <c r="O1969">
        <v>6</v>
      </c>
      <c r="P1969">
        <v>144436.73000000001</v>
      </c>
      <c r="Q1969">
        <v>123325.96</v>
      </c>
      <c r="R1969">
        <v>648</v>
      </c>
      <c r="S1969">
        <v>339</v>
      </c>
      <c r="T1969" t="s">
        <v>26</v>
      </c>
      <c r="U1969" t="s">
        <v>57</v>
      </c>
    </row>
    <row r="1970" spans="1:21">
      <c r="A1970" t="s">
        <v>3091</v>
      </c>
      <c r="B1970" t="s">
        <v>3092</v>
      </c>
      <c r="C1970" t="s">
        <v>1228</v>
      </c>
      <c r="D1970">
        <v>125000</v>
      </c>
      <c r="E1970">
        <v>5000</v>
      </c>
      <c r="F1970">
        <v>125000</v>
      </c>
      <c r="G1970">
        <v>125000</v>
      </c>
      <c r="H1970">
        <v>6</v>
      </c>
      <c r="I1970" t="s">
        <v>24</v>
      </c>
      <c r="J1970">
        <v>35</v>
      </c>
      <c r="K1970">
        <v>28</v>
      </c>
      <c r="L1970">
        <v>7</v>
      </c>
      <c r="M1970" t="s">
        <v>3022</v>
      </c>
      <c r="N1970">
        <v>6</v>
      </c>
      <c r="O1970">
        <v>8.5</v>
      </c>
      <c r="P1970">
        <v>144436.73000000001</v>
      </c>
      <c r="Q1970">
        <v>123325.96</v>
      </c>
      <c r="R1970">
        <v>648</v>
      </c>
      <c r="S1970">
        <v>339</v>
      </c>
      <c r="T1970" t="s">
        <v>26</v>
      </c>
      <c r="U1970" t="s">
        <v>27</v>
      </c>
    </row>
    <row r="1971" spans="1:21">
      <c r="A1971" t="s">
        <v>3093</v>
      </c>
      <c r="B1971" t="s">
        <v>3094</v>
      </c>
      <c r="C1971" t="s">
        <v>1231</v>
      </c>
      <c r="D1971">
        <v>142000</v>
      </c>
      <c r="E1971">
        <v>20000</v>
      </c>
      <c r="H1971">
        <v>2</v>
      </c>
      <c r="I1971" t="s">
        <v>24</v>
      </c>
      <c r="J1971">
        <v>28.79</v>
      </c>
      <c r="K1971">
        <v>25</v>
      </c>
      <c r="L1971">
        <v>8</v>
      </c>
      <c r="M1971" t="s">
        <v>3022</v>
      </c>
      <c r="N1971">
        <v>2</v>
      </c>
      <c r="O1971">
        <v>5.33</v>
      </c>
      <c r="P1971">
        <v>144436.73000000001</v>
      </c>
      <c r="Q1971">
        <v>123325.96</v>
      </c>
      <c r="R1971">
        <v>648</v>
      </c>
      <c r="S1971">
        <v>339</v>
      </c>
      <c r="T1971" t="s">
        <v>34</v>
      </c>
      <c r="U1971" t="s">
        <v>27</v>
      </c>
    </row>
    <row r="1972" spans="1:21">
      <c r="A1972" t="s">
        <v>3095</v>
      </c>
      <c r="B1972" t="s">
        <v>3094</v>
      </c>
      <c r="C1972" t="s">
        <v>1231</v>
      </c>
      <c r="D1972">
        <v>148000</v>
      </c>
      <c r="E1972">
        <v>9000</v>
      </c>
      <c r="F1972">
        <v>148000</v>
      </c>
      <c r="H1972">
        <v>2</v>
      </c>
      <c r="I1972" t="s">
        <v>24</v>
      </c>
      <c r="J1972">
        <v>28.79</v>
      </c>
      <c r="K1972">
        <v>25</v>
      </c>
      <c r="L1972">
        <v>8</v>
      </c>
      <c r="M1972" t="s">
        <v>3022</v>
      </c>
      <c r="N1972">
        <v>2</v>
      </c>
      <c r="O1972">
        <v>5.33</v>
      </c>
      <c r="P1972">
        <v>144436.73000000001</v>
      </c>
      <c r="Q1972">
        <v>123325.96</v>
      </c>
      <c r="R1972">
        <v>648</v>
      </c>
      <c r="S1972">
        <v>339</v>
      </c>
      <c r="T1972" t="s">
        <v>34</v>
      </c>
      <c r="U1972" t="s">
        <v>27</v>
      </c>
    </row>
    <row r="1973" spans="1:21">
      <c r="A1973" t="s">
        <v>3096</v>
      </c>
      <c r="B1973" t="s">
        <v>3097</v>
      </c>
      <c r="C1973" t="s">
        <v>1228</v>
      </c>
      <c r="D1973">
        <v>177000</v>
      </c>
      <c r="E1973">
        <v>13000</v>
      </c>
      <c r="F1973">
        <v>177000</v>
      </c>
      <c r="G1973">
        <v>265500</v>
      </c>
      <c r="H1973">
        <v>3</v>
      </c>
      <c r="I1973" t="s">
        <v>24</v>
      </c>
      <c r="J1973">
        <v>38.92</v>
      </c>
      <c r="K1973">
        <v>17</v>
      </c>
      <c r="L1973">
        <v>10</v>
      </c>
      <c r="M1973" t="s">
        <v>3022</v>
      </c>
      <c r="N1973">
        <v>5</v>
      </c>
      <c r="O1973">
        <v>9.67</v>
      </c>
      <c r="P1973">
        <v>144436.73000000001</v>
      </c>
      <c r="Q1973">
        <v>123325.96</v>
      </c>
      <c r="R1973">
        <v>648</v>
      </c>
      <c r="S1973">
        <v>339</v>
      </c>
      <c r="T1973" t="s">
        <v>26</v>
      </c>
      <c r="U1973" t="s">
        <v>90</v>
      </c>
    </row>
    <row r="1974" spans="1:21">
      <c r="A1974" t="s">
        <v>3098</v>
      </c>
      <c r="B1974" t="s">
        <v>3099</v>
      </c>
      <c r="C1974" t="s">
        <v>1294</v>
      </c>
      <c r="D1974">
        <v>136000</v>
      </c>
      <c r="E1974">
        <v>15000</v>
      </c>
      <c r="H1974">
        <v>3</v>
      </c>
      <c r="I1974" t="s">
        <v>24</v>
      </c>
      <c r="J1974">
        <v>30.27</v>
      </c>
      <c r="K1974">
        <v>5</v>
      </c>
      <c r="L1974">
        <v>10</v>
      </c>
      <c r="M1974" t="s">
        <v>3022</v>
      </c>
      <c r="N1974">
        <v>10</v>
      </c>
      <c r="O1974">
        <v>11.67</v>
      </c>
      <c r="P1974">
        <v>144436.73000000001</v>
      </c>
      <c r="Q1974">
        <v>123325.96</v>
      </c>
      <c r="R1974">
        <v>648</v>
      </c>
      <c r="S1974">
        <v>339</v>
      </c>
      <c r="T1974" t="s">
        <v>26</v>
      </c>
      <c r="U1974" t="s">
        <v>31</v>
      </c>
    </row>
    <row r="1975" spans="1:21">
      <c r="A1975" t="s">
        <v>3100</v>
      </c>
      <c r="B1975" t="s">
        <v>3101</v>
      </c>
      <c r="C1975" t="s">
        <v>1228</v>
      </c>
      <c r="D1975">
        <v>143000</v>
      </c>
      <c r="E1975">
        <v>10000</v>
      </c>
      <c r="H1975">
        <v>6</v>
      </c>
      <c r="I1975" t="s">
        <v>24</v>
      </c>
      <c r="J1975">
        <v>25.64</v>
      </c>
      <c r="K1975">
        <v>3</v>
      </c>
      <c r="L1975">
        <v>12</v>
      </c>
      <c r="M1975" t="s">
        <v>3022</v>
      </c>
      <c r="N1975">
        <v>3</v>
      </c>
      <c r="O1975">
        <v>7</v>
      </c>
      <c r="P1975">
        <v>144436.73000000001</v>
      </c>
      <c r="Q1975">
        <v>123325.96</v>
      </c>
      <c r="R1975">
        <v>648</v>
      </c>
      <c r="S1975">
        <v>339</v>
      </c>
      <c r="T1975" t="s">
        <v>34</v>
      </c>
      <c r="U1975" t="s">
        <v>31</v>
      </c>
    </row>
    <row r="1976" spans="1:21">
      <c r="A1976" t="s">
        <v>3102</v>
      </c>
      <c r="B1976" t="s">
        <v>3103</v>
      </c>
      <c r="C1976" t="s">
        <v>1768</v>
      </c>
      <c r="D1976">
        <v>146000</v>
      </c>
      <c r="E1976">
        <v>10000</v>
      </c>
      <c r="F1976">
        <v>146000</v>
      </c>
      <c r="H1976">
        <v>2</v>
      </c>
      <c r="I1976" t="s">
        <v>24</v>
      </c>
      <c r="J1976">
        <v>25.1</v>
      </c>
      <c r="K1976">
        <v>2</v>
      </c>
      <c r="L1976">
        <v>13</v>
      </c>
      <c r="M1976" t="s">
        <v>3022</v>
      </c>
      <c r="N1976">
        <v>9</v>
      </c>
      <c r="O1976">
        <v>11.33</v>
      </c>
      <c r="P1976">
        <v>144436.73000000001</v>
      </c>
      <c r="Q1976">
        <v>123325.96</v>
      </c>
      <c r="R1976">
        <v>648</v>
      </c>
      <c r="S1976">
        <v>339</v>
      </c>
      <c r="T1976" t="s">
        <v>34</v>
      </c>
      <c r="U1976" t="s">
        <v>31</v>
      </c>
    </row>
    <row r="1977" spans="1:21">
      <c r="A1977" t="s">
        <v>3104</v>
      </c>
      <c r="B1977" t="s">
        <v>3105</v>
      </c>
      <c r="C1977" t="s">
        <v>1773</v>
      </c>
      <c r="D1977">
        <v>79000</v>
      </c>
      <c r="E1977">
        <v>2000</v>
      </c>
      <c r="F1977">
        <v>158000</v>
      </c>
      <c r="H1977">
        <v>3</v>
      </c>
      <c r="I1977" t="s">
        <v>24</v>
      </c>
      <c r="J1977">
        <v>24</v>
      </c>
      <c r="K1977">
        <v>42</v>
      </c>
      <c r="L1977">
        <v>3</v>
      </c>
      <c r="M1977" t="s">
        <v>3022</v>
      </c>
      <c r="N1977">
        <v>7</v>
      </c>
      <c r="O1977">
        <v>11.67</v>
      </c>
      <c r="P1977">
        <v>144436.73000000001</v>
      </c>
      <c r="Q1977">
        <v>123325.96</v>
      </c>
      <c r="R1977">
        <v>648</v>
      </c>
      <c r="S1977">
        <v>339</v>
      </c>
      <c r="T1977" t="s">
        <v>34</v>
      </c>
      <c r="U1977" t="s">
        <v>42</v>
      </c>
    </row>
    <row r="1978" spans="1:21">
      <c r="A1978" t="s">
        <v>3106</v>
      </c>
      <c r="B1978" t="s">
        <v>3107</v>
      </c>
      <c r="C1978" t="s">
        <v>1773</v>
      </c>
      <c r="D1978">
        <v>130000</v>
      </c>
      <c r="E1978">
        <v>12000</v>
      </c>
      <c r="H1978">
        <v>1</v>
      </c>
      <c r="I1978" t="s">
        <v>24</v>
      </c>
      <c r="J1978">
        <v>25.3</v>
      </c>
      <c r="K1978">
        <v>0</v>
      </c>
      <c r="L1978">
        <v>4</v>
      </c>
      <c r="M1978" t="s">
        <v>3022</v>
      </c>
      <c r="N1978">
        <v>9</v>
      </c>
      <c r="O1978">
        <v>12.67</v>
      </c>
      <c r="P1978">
        <v>144436.73000000001</v>
      </c>
      <c r="Q1978">
        <v>123325.96</v>
      </c>
      <c r="R1978">
        <v>648</v>
      </c>
      <c r="S1978">
        <v>339</v>
      </c>
      <c r="T1978" t="s">
        <v>34</v>
      </c>
      <c r="U1978" t="s">
        <v>81</v>
      </c>
    </row>
    <row r="1979" spans="1:21">
      <c r="A1979" t="s">
        <v>3108</v>
      </c>
      <c r="B1979" t="s">
        <v>3107</v>
      </c>
      <c r="C1979" t="s">
        <v>1773</v>
      </c>
      <c r="D1979">
        <v>155000</v>
      </c>
      <c r="E1979">
        <v>12000</v>
      </c>
      <c r="H1979">
        <v>4</v>
      </c>
      <c r="I1979" t="s">
        <v>24</v>
      </c>
      <c r="J1979">
        <v>31.04</v>
      </c>
      <c r="K1979">
        <v>0</v>
      </c>
      <c r="L1979">
        <v>4</v>
      </c>
      <c r="M1979" t="s">
        <v>3022</v>
      </c>
      <c r="N1979">
        <v>9</v>
      </c>
      <c r="O1979">
        <v>12.67</v>
      </c>
      <c r="P1979">
        <v>144436.73000000001</v>
      </c>
      <c r="Q1979">
        <v>123325.96</v>
      </c>
      <c r="R1979">
        <v>648</v>
      </c>
      <c r="S1979">
        <v>339</v>
      </c>
      <c r="T1979" t="s">
        <v>26</v>
      </c>
      <c r="U1979" t="s">
        <v>81</v>
      </c>
    </row>
    <row r="1980" spans="1:21">
      <c r="A1980" t="s">
        <v>3109</v>
      </c>
      <c r="B1980" t="s">
        <v>3110</v>
      </c>
      <c r="C1980" t="s">
        <v>1773</v>
      </c>
      <c r="D1980">
        <v>164000</v>
      </c>
      <c r="E1980">
        <v>15000</v>
      </c>
      <c r="H1980">
        <v>2</v>
      </c>
      <c r="I1980" t="s">
        <v>24</v>
      </c>
      <c r="J1980">
        <v>27.85</v>
      </c>
      <c r="K1980">
        <v>1</v>
      </c>
      <c r="L1980">
        <v>4</v>
      </c>
      <c r="M1980" t="s">
        <v>3022</v>
      </c>
      <c r="N1980">
        <v>8</v>
      </c>
      <c r="O1980">
        <v>12.67</v>
      </c>
      <c r="P1980">
        <v>144436.73000000001</v>
      </c>
      <c r="Q1980">
        <v>123325.96</v>
      </c>
      <c r="R1980">
        <v>648</v>
      </c>
      <c r="S1980">
        <v>339</v>
      </c>
      <c r="T1980" t="s">
        <v>34</v>
      </c>
      <c r="U1980" t="s">
        <v>31</v>
      </c>
    </row>
    <row r="1981" spans="1:21">
      <c r="A1981" t="s">
        <v>3111</v>
      </c>
      <c r="B1981" t="s">
        <v>3112</v>
      </c>
      <c r="C1981" t="s">
        <v>3025</v>
      </c>
      <c r="D1981">
        <v>140000</v>
      </c>
      <c r="E1981">
        <v>15000</v>
      </c>
      <c r="F1981">
        <v>140000</v>
      </c>
      <c r="G1981">
        <v>140000</v>
      </c>
      <c r="H1981">
        <v>2</v>
      </c>
      <c r="I1981" t="s">
        <v>24</v>
      </c>
      <c r="J1981">
        <v>25.98</v>
      </c>
      <c r="K1981">
        <v>3</v>
      </c>
      <c r="L1981">
        <v>5</v>
      </c>
      <c r="M1981" t="s">
        <v>3022</v>
      </c>
      <c r="N1981">
        <v>7</v>
      </c>
      <c r="O1981">
        <v>9.33</v>
      </c>
      <c r="P1981">
        <v>144436.73000000001</v>
      </c>
      <c r="Q1981">
        <v>123325.96</v>
      </c>
      <c r="R1981">
        <v>648</v>
      </c>
      <c r="S1981">
        <v>339</v>
      </c>
      <c r="T1981" t="s">
        <v>34</v>
      </c>
      <c r="U1981" t="s">
        <v>31</v>
      </c>
    </row>
    <row r="1982" spans="1:21">
      <c r="A1982" t="s">
        <v>3113</v>
      </c>
      <c r="B1982" t="s">
        <v>3114</v>
      </c>
      <c r="C1982" t="s">
        <v>1228</v>
      </c>
      <c r="D1982">
        <v>110000</v>
      </c>
      <c r="F1982">
        <v>110000</v>
      </c>
      <c r="G1982">
        <v>110000</v>
      </c>
      <c r="H1982">
        <v>3</v>
      </c>
      <c r="I1982" t="s">
        <v>24</v>
      </c>
      <c r="J1982">
        <v>22.34</v>
      </c>
      <c r="K1982">
        <v>56</v>
      </c>
      <c r="L1982">
        <v>6</v>
      </c>
      <c r="M1982" t="s">
        <v>3022</v>
      </c>
      <c r="N1982">
        <v>5</v>
      </c>
      <c r="O1982">
        <v>8</v>
      </c>
      <c r="P1982">
        <v>144436.73000000001</v>
      </c>
      <c r="Q1982">
        <v>123325.96</v>
      </c>
      <c r="R1982">
        <v>648</v>
      </c>
      <c r="S1982">
        <v>339</v>
      </c>
      <c r="T1982" t="s">
        <v>34</v>
      </c>
      <c r="U1982" t="s">
        <v>57</v>
      </c>
    </row>
    <row r="1983" spans="1:21">
      <c r="A1983" t="s">
        <v>3115</v>
      </c>
      <c r="B1983" t="s">
        <v>3116</v>
      </c>
      <c r="C1983" t="s">
        <v>1768</v>
      </c>
      <c r="D1983">
        <v>144000</v>
      </c>
      <c r="E1983">
        <v>20000</v>
      </c>
      <c r="G1983">
        <v>144000</v>
      </c>
      <c r="H1983">
        <v>5</v>
      </c>
      <c r="I1983" t="s">
        <v>24</v>
      </c>
      <c r="J1983">
        <v>47.13</v>
      </c>
      <c r="K1983">
        <v>24</v>
      </c>
      <c r="L1983">
        <v>8</v>
      </c>
      <c r="M1983" t="s">
        <v>3022</v>
      </c>
      <c r="N1983">
        <v>7</v>
      </c>
      <c r="O1983">
        <v>10</v>
      </c>
      <c r="P1983">
        <v>144436.73000000001</v>
      </c>
      <c r="Q1983">
        <v>123325.96</v>
      </c>
      <c r="R1983">
        <v>648</v>
      </c>
      <c r="S1983">
        <v>339</v>
      </c>
      <c r="T1983" t="s">
        <v>326</v>
      </c>
      <c r="U1983" t="s">
        <v>27</v>
      </c>
    </row>
    <row r="1984" spans="1:21">
      <c r="A1984" t="s">
        <v>3117</v>
      </c>
      <c r="B1984" t="s">
        <v>3118</v>
      </c>
      <c r="C1984" t="s">
        <v>1768</v>
      </c>
      <c r="D1984">
        <v>170000</v>
      </c>
      <c r="E1984">
        <v>15000</v>
      </c>
      <c r="F1984">
        <v>170000</v>
      </c>
      <c r="G1984">
        <v>170000</v>
      </c>
      <c r="H1984">
        <v>2</v>
      </c>
      <c r="I1984" t="s">
        <v>24</v>
      </c>
      <c r="J1984">
        <v>37.01</v>
      </c>
      <c r="K1984">
        <v>10</v>
      </c>
      <c r="L1984">
        <v>9</v>
      </c>
      <c r="M1984" t="s">
        <v>3022</v>
      </c>
      <c r="N1984">
        <v>5</v>
      </c>
      <c r="O1984">
        <v>11.33</v>
      </c>
      <c r="P1984">
        <v>144436.73000000001</v>
      </c>
      <c r="Q1984">
        <v>123325.96</v>
      </c>
      <c r="R1984">
        <v>648</v>
      </c>
      <c r="S1984">
        <v>339</v>
      </c>
      <c r="T1984" t="s">
        <v>26</v>
      </c>
      <c r="U1984" t="s">
        <v>31</v>
      </c>
    </row>
    <row r="1985" spans="1:21">
      <c r="A1985" t="s">
        <v>3119</v>
      </c>
      <c r="B1985" t="s">
        <v>3120</v>
      </c>
      <c r="C1985" t="s">
        <v>1228</v>
      </c>
      <c r="D1985">
        <v>78000</v>
      </c>
      <c r="E1985">
        <v>2000</v>
      </c>
      <c r="F1985">
        <v>78000</v>
      </c>
      <c r="G1985">
        <v>78000</v>
      </c>
      <c r="H1985">
        <v>4</v>
      </c>
      <c r="I1985" t="s">
        <v>24</v>
      </c>
      <c r="J1985">
        <v>31.5</v>
      </c>
      <c r="K1985">
        <v>58</v>
      </c>
      <c r="L1985">
        <v>6</v>
      </c>
      <c r="M1985" t="s">
        <v>3022</v>
      </c>
      <c r="N1985">
        <v>6</v>
      </c>
      <c r="O1985">
        <v>10.67</v>
      </c>
      <c r="P1985">
        <v>144436.73000000001</v>
      </c>
      <c r="Q1985">
        <v>123325.96</v>
      </c>
      <c r="R1985">
        <v>648</v>
      </c>
      <c r="S1985">
        <v>339</v>
      </c>
      <c r="T1985" t="s">
        <v>26</v>
      </c>
      <c r="U1985" t="s">
        <v>57</v>
      </c>
    </row>
    <row r="1986" spans="1:21">
      <c r="A1986" t="s">
        <v>3121</v>
      </c>
      <c r="B1986" t="s">
        <v>3122</v>
      </c>
      <c r="C1986" t="s">
        <v>1228</v>
      </c>
      <c r="D1986">
        <v>151000</v>
      </c>
      <c r="E1986">
        <v>10000</v>
      </c>
      <c r="F1986">
        <v>151000</v>
      </c>
      <c r="H1986">
        <v>10</v>
      </c>
      <c r="I1986" t="s">
        <v>24</v>
      </c>
      <c r="J1986">
        <v>25.47</v>
      </c>
      <c r="K1986">
        <v>3</v>
      </c>
      <c r="L1986">
        <v>12</v>
      </c>
      <c r="M1986" t="s">
        <v>3022</v>
      </c>
      <c r="N1986">
        <v>1</v>
      </c>
      <c r="O1986">
        <v>5.67</v>
      </c>
      <c r="P1986">
        <v>144436.73000000001</v>
      </c>
      <c r="Q1986">
        <v>123325.96</v>
      </c>
      <c r="R1986">
        <v>648</v>
      </c>
      <c r="S1986">
        <v>339</v>
      </c>
      <c r="T1986" t="s">
        <v>34</v>
      </c>
      <c r="U1986" t="s">
        <v>31</v>
      </c>
    </row>
    <row r="1987" spans="1:21">
      <c r="A1987" t="s">
        <v>3123</v>
      </c>
      <c r="B1987" t="s">
        <v>3124</v>
      </c>
      <c r="C1987" t="s">
        <v>1228</v>
      </c>
      <c r="D1987">
        <v>105000</v>
      </c>
      <c r="E1987">
        <v>5000</v>
      </c>
      <c r="F1987">
        <v>105000</v>
      </c>
      <c r="G1987">
        <v>105000</v>
      </c>
      <c r="H1987">
        <v>2</v>
      </c>
      <c r="I1987" t="s">
        <v>24</v>
      </c>
      <c r="J1987">
        <v>24.2</v>
      </c>
      <c r="K1987">
        <v>34</v>
      </c>
      <c r="L1987">
        <v>4</v>
      </c>
      <c r="M1987" t="s">
        <v>3022</v>
      </c>
      <c r="N1987">
        <v>2</v>
      </c>
      <c r="O1987">
        <v>7.33</v>
      </c>
      <c r="P1987">
        <v>144436.73000000001</v>
      </c>
      <c r="Q1987">
        <v>123325.96</v>
      </c>
      <c r="R1987">
        <v>648</v>
      </c>
      <c r="S1987">
        <v>339</v>
      </c>
      <c r="T1987" t="s">
        <v>34</v>
      </c>
      <c r="U1987" t="s">
        <v>49</v>
      </c>
    </row>
    <row r="1988" spans="1:21">
      <c r="A1988" t="s">
        <v>3125</v>
      </c>
      <c r="B1988" t="s">
        <v>3126</v>
      </c>
      <c r="C1988" t="s">
        <v>3025</v>
      </c>
      <c r="D1988">
        <v>179000</v>
      </c>
      <c r="E1988">
        <v>9000</v>
      </c>
      <c r="F1988">
        <v>179000</v>
      </c>
      <c r="H1988">
        <v>1</v>
      </c>
      <c r="I1988" t="s">
        <v>24</v>
      </c>
      <c r="J1988">
        <v>38.630000000000003</v>
      </c>
      <c r="K1988">
        <v>3</v>
      </c>
      <c r="L1988">
        <v>5</v>
      </c>
      <c r="M1988" t="s">
        <v>3022</v>
      </c>
      <c r="N1988">
        <v>7</v>
      </c>
      <c r="O1988">
        <v>10.67</v>
      </c>
      <c r="P1988">
        <v>144436.73000000001</v>
      </c>
      <c r="Q1988">
        <v>123325.96</v>
      </c>
      <c r="R1988">
        <v>648</v>
      </c>
      <c r="S1988">
        <v>339</v>
      </c>
      <c r="T1988" t="s">
        <v>26</v>
      </c>
      <c r="U1988" t="s">
        <v>31</v>
      </c>
    </row>
    <row r="1989" spans="1:21">
      <c r="A1989" t="s">
        <v>3127</v>
      </c>
      <c r="B1989" t="s">
        <v>3126</v>
      </c>
      <c r="C1989" t="s">
        <v>3025</v>
      </c>
      <c r="D1989">
        <v>198000</v>
      </c>
      <c r="E1989">
        <v>9000</v>
      </c>
      <c r="F1989">
        <v>198000</v>
      </c>
      <c r="H1989">
        <v>2</v>
      </c>
      <c r="I1989" t="s">
        <v>24</v>
      </c>
      <c r="J1989">
        <v>38.630000000000003</v>
      </c>
      <c r="K1989">
        <v>3</v>
      </c>
      <c r="L1989">
        <v>5</v>
      </c>
      <c r="M1989" t="s">
        <v>3022</v>
      </c>
      <c r="N1989">
        <v>7</v>
      </c>
      <c r="O1989">
        <v>10.67</v>
      </c>
      <c r="P1989">
        <v>144436.73000000001</v>
      </c>
      <c r="Q1989">
        <v>123325.96</v>
      </c>
      <c r="R1989">
        <v>648</v>
      </c>
      <c r="S1989">
        <v>339</v>
      </c>
      <c r="T1989" t="s">
        <v>26</v>
      </c>
      <c r="U1989" t="s">
        <v>31</v>
      </c>
    </row>
    <row r="1990" spans="1:21">
      <c r="A1990" t="s">
        <v>3128</v>
      </c>
      <c r="B1990" t="s">
        <v>3129</v>
      </c>
      <c r="C1990" t="s">
        <v>1768</v>
      </c>
      <c r="D1990">
        <v>93000</v>
      </c>
      <c r="E1990">
        <v>3000</v>
      </c>
      <c r="F1990">
        <v>93000</v>
      </c>
      <c r="G1990">
        <v>93000</v>
      </c>
      <c r="H1990">
        <v>4</v>
      </c>
      <c r="I1990" t="s">
        <v>24</v>
      </c>
      <c r="J1990">
        <v>30</v>
      </c>
      <c r="K1990">
        <v>46</v>
      </c>
      <c r="L1990">
        <v>5</v>
      </c>
      <c r="M1990" t="s">
        <v>3022</v>
      </c>
      <c r="N1990">
        <v>10</v>
      </c>
      <c r="O1990">
        <v>11</v>
      </c>
      <c r="P1990">
        <v>144436.73000000001</v>
      </c>
      <c r="Q1990">
        <v>123325.96</v>
      </c>
      <c r="R1990">
        <v>648</v>
      </c>
      <c r="S1990">
        <v>339</v>
      </c>
      <c r="T1990" t="s">
        <v>26</v>
      </c>
      <c r="U1990" t="s">
        <v>42</v>
      </c>
    </row>
    <row r="1991" spans="1:21">
      <c r="A1991" t="s">
        <v>3130</v>
      </c>
      <c r="B1991" t="s">
        <v>3131</v>
      </c>
      <c r="C1991" t="s">
        <v>1231</v>
      </c>
      <c r="D1991">
        <v>142000</v>
      </c>
      <c r="E1991">
        <v>20000</v>
      </c>
      <c r="H1991">
        <v>2</v>
      </c>
      <c r="I1991" t="s">
        <v>24</v>
      </c>
      <c r="J1991">
        <v>28.79</v>
      </c>
      <c r="K1991">
        <v>25</v>
      </c>
      <c r="L1991">
        <v>8</v>
      </c>
      <c r="M1991" t="s">
        <v>3022</v>
      </c>
      <c r="N1991">
        <v>2</v>
      </c>
      <c r="O1991">
        <v>5</v>
      </c>
      <c r="P1991">
        <v>144436.73000000001</v>
      </c>
      <c r="Q1991">
        <v>123325.96</v>
      </c>
      <c r="R1991">
        <v>648</v>
      </c>
      <c r="S1991">
        <v>339</v>
      </c>
      <c r="T1991" t="s">
        <v>34</v>
      </c>
      <c r="U1991" t="s">
        <v>27</v>
      </c>
    </row>
    <row r="1992" spans="1:21">
      <c r="A1992" t="s">
        <v>3132</v>
      </c>
      <c r="B1992" t="s">
        <v>3133</v>
      </c>
      <c r="C1992" t="s">
        <v>1768</v>
      </c>
      <c r="D1992">
        <v>78000</v>
      </c>
      <c r="F1992">
        <v>78000</v>
      </c>
      <c r="G1992">
        <v>78000</v>
      </c>
      <c r="H1992">
        <v>6</v>
      </c>
      <c r="I1992" t="s">
        <v>24</v>
      </c>
      <c r="J1992">
        <v>26.22</v>
      </c>
      <c r="K1992">
        <v>56</v>
      </c>
      <c r="L1992">
        <v>8</v>
      </c>
      <c r="M1992" t="s">
        <v>3022</v>
      </c>
      <c r="N1992">
        <v>6</v>
      </c>
      <c r="O1992">
        <v>10.33</v>
      </c>
      <c r="P1992">
        <v>144436.73000000001</v>
      </c>
      <c r="Q1992">
        <v>123325.96</v>
      </c>
      <c r="R1992">
        <v>648</v>
      </c>
      <c r="S1992">
        <v>339</v>
      </c>
      <c r="T1992" t="s">
        <v>34</v>
      </c>
      <c r="U1992" t="s">
        <v>57</v>
      </c>
    </row>
    <row r="1993" spans="1:21">
      <c r="A1993" t="s">
        <v>3134</v>
      </c>
      <c r="B1993" t="s">
        <v>3135</v>
      </c>
      <c r="C1993" t="s">
        <v>1773</v>
      </c>
      <c r="D1993">
        <v>104000</v>
      </c>
      <c r="E1993">
        <v>8000</v>
      </c>
      <c r="H1993">
        <v>4</v>
      </c>
      <c r="I1993" t="s">
        <v>89</v>
      </c>
      <c r="J1993">
        <v>18.53</v>
      </c>
      <c r="K1993">
        <v>0</v>
      </c>
      <c r="L1993">
        <v>4</v>
      </c>
      <c r="M1993" t="s">
        <v>3022</v>
      </c>
      <c r="N1993">
        <v>9</v>
      </c>
      <c r="O1993">
        <v>13</v>
      </c>
      <c r="P1993">
        <v>144436.73000000001</v>
      </c>
      <c r="Q1993">
        <v>95329.65</v>
      </c>
      <c r="R1993">
        <v>648</v>
      </c>
      <c r="S1993">
        <v>1622</v>
      </c>
      <c r="T1993" t="s">
        <v>108</v>
      </c>
      <c r="U1993" t="s">
        <v>81</v>
      </c>
    </row>
    <row r="1994" spans="1:21">
      <c r="A1994" t="s">
        <v>3136</v>
      </c>
      <c r="B1994" t="s">
        <v>3137</v>
      </c>
      <c r="C1994" t="s">
        <v>1228</v>
      </c>
      <c r="D1994">
        <v>130000</v>
      </c>
      <c r="E1994">
        <v>9500</v>
      </c>
      <c r="G1994">
        <v>130000</v>
      </c>
      <c r="H1994">
        <v>7</v>
      </c>
      <c r="I1994" t="s">
        <v>89</v>
      </c>
      <c r="J1994">
        <v>26.43</v>
      </c>
      <c r="K1994">
        <v>3</v>
      </c>
      <c r="L1994">
        <v>10</v>
      </c>
      <c r="M1994" t="s">
        <v>3022</v>
      </c>
      <c r="N1994">
        <v>4</v>
      </c>
      <c r="O1994">
        <v>9.33</v>
      </c>
      <c r="P1994">
        <v>144436.73000000001</v>
      </c>
      <c r="Q1994">
        <v>95329.65</v>
      </c>
      <c r="R1994">
        <v>648</v>
      </c>
      <c r="S1994">
        <v>1622</v>
      </c>
      <c r="T1994" t="s">
        <v>34</v>
      </c>
      <c r="U1994" t="s">
        <v>31</v>
      </c>
    </row>
    <row r="1995" spans="1:21">
      <c r="A1995" t="s">
        <v>3138</v>
      </c>
      <c r="B1995" t="s">
        <v>3137</v>
      </c>
      <c r="C1995" t="s">
        <v>1228</v>
      </c>
      <c r="D1995">
        <v>135000</v>
      </c>
      <c r="E1995">
        <v>9500</v>
      </c>
      <c r="G1995">
        <v>135000</v>
      </c>
      <c r="H1995">
        <v>8</v>
      </c>
      <c r="I1995" t="s">
        <v>89</v>
      </c>
      <c r="J1995">
        <v>26.87</v>
      </c>
      <c r="K1995">
        <v>3</v>
      </c>
      <c r="L1995">
        <v>10</v>
      </c>
      <c r="M1995" t="s">
        <v>3022</v>
      </c>
      <c r="N1995">
        <v>4</v>
      </c>
      <c r="O1995">
        <v>9.33</v>
      </c>
      <c r="P1995">
        <v>144436.73000000001</v>
      </c>
      <c r="Q1995">
        <v>95329.65</v>
      </c>
      <c r="R1995">
        <v>648</v>
      </c>
      <c r="S1995">
        <v>1622</v>
      </c>
      <c r="T1995" t="s">
        <v>34</v>
      </c>
      <c r="U1995" t="s">
        <v>31</v>
      </c>
    </row>
    <row r="1996" spans="1:21">
      <c r="A1996" t="s">
        <v>3139</v>
      </c>
      <c r="B1996" t="s">
        <v>3140</v>
      </c>
      <c r="C1996" t="s">
        <v>1231</v>
      </c>
      <c r="D1996">
        <v>113000</v>
      </c>
      <c r="E1996">
        <v>10000</v>
      </c>
      <c r="F1996">
        <v>113000</v>
      </c>
      <c r="G1996">
        <v>113000</v>
      </c>
      <c r="H1996">
        <v>1</v>
      </c>
      <c r="I1996" t="s">
        <v>89</v>
      </c>
      <c r="J1996">
        <v>24.47</v>
      </c>
      <c r="K1996">
        <v>0</v>
      </c>
      <c r="L1996">
        <v>2</v>
      </c>
      <c r="M1996" t="s">
        <v>3022</v>
      </c>
      <c r="N1996">
        <v>7</v>
      </c>
      <c r="O1996">
        <v>11</v>
      </c>
      <c r="P1996">
        <v>144436.73000000001</v>
      </c>
      <c r="Q1996">
        <v>95329.65</v>
      </c>
      <c r="R1996">
        <v>648</v>
      </c>
      <c r="S1996">
        <v>1622</v>
      </c>
      <c r="T1996" t="s">
        <v>34</v>
      </c>
      <c r="U1996" t="s">
        <v>81</v>
      </c>
    </row>
    <row r="1997" spans="1:21">
      <c r="A1997" t="s">
        <v>3141</v>
      </c>
      <c r="B1997" t="s">
        <v>3140</v>
      </c>
      <c r="C1997" t="s">
        <v>1231</v>
      </c>
      <c r="D1997">
        <v>120000</v>
      </c>
      <c r="E1997">
        <v>10000</v>
      </c>
      <c r="F1997">
        <v>120000</v>
      </c>
      <c r="G1997">
        <v>120000</v>
      </c>
      <c r="H1997">
        <v>2</v>
      </c>
      <c r="I1997" t="s">
        <v>89</v>
      </c>
      <c r="J1997">
        <v>24.47</v>
      </c>
      <c r="K1997">
        <v>0</v>
      </c>
      <c r="L1997">
        <v>2</v>
      </c>
      <c r="M1997" t="s">
        <v>3022</v>
      </c>
      <c r="N1997">
        <v>7</v>
      </c>
      <c r="O1997">
        <v>11</v>
      </c>
      <c r="P1997">
        <v>144436.73000000001</v>
      </c>
      <c r="Q1997">
        <v>95329.65</v>
      </c>
      <c r="R1997">
        <v>648</v>
      </c>
      <c r="S1997">
        <v>1622</v>
      </c>
      <c r="T1997" t="s">
        <v>34</v>
      </c>
      <c r="U1997" t="s">
        <v>81</v>
      </c>
    </row>
    <row r="1998" spans="1:21">
      <c r="A1998" t="s">
        <v>3142</v>
      </c>
      <c r="B1998" t="s">
        <v>3143</v>
      </c>
      <c r="C1998" t="s">
        <v>1231</v>
      </c>
      <c r="D1998">
        <v>120000</v>
      </c>
      <c r="E1998">
        <v>5000</v>
      </c>
      <c r="F1998">
        <v>120000</v>
      </c>
      <c r="G1998">
        <v>120000</v>
      </c>
      <c r="H1998">
        <v>8</v>
      </c>
      <c r="I1998" t="s">
        <v>89</v>
      </c>
      <c r="J1998">
        <v>26.02</v>
      </c>
      <c r="K1998">
        <v>17</v>
      </c>
      <c r="L1998">
        <v>13</v>
      </c>
      <c r="M1998" t="s">
        <v>3022</v>
      </c>
      <c r="N1998">
        <v>2</v>
      </c>
      <c r="O1998">
        <v>4.33</v>
      </c>
      <c r="P1998">
        <v>144436.73000000001</v>
      </c>
      <c r="Q1998">
        <v>95329.65</v>
      </c>
      <c r="R1998">
        <v>648</v>
      </c>
      <c r="S1998">
        <v>1622</v>
      </c>
      <c r="T1998" t="s">
        <v>34</v>
      </c>
      <c r="U1998" t="s">
        <v>90</v>
      </c>
    </row>
    <row r="1999" spans="1:21">
      <c r="A1999" t="s">
        <v>3144</v>
      </c>
      <c r="B1999" t="s">
        <v>3145</v>
      </c>
      <c r="C1999" t="s">
        <v>1228</v>
      </c>
      <c r="D1999">
        <v>73000</v>
      </c>
      <c r="F1999">
        <v>73000</v>
      </c>
      <c r="H1999">
        <v>2</v>
      </c>
      <c r="I1999" t="s">
        <v>89</v>
      </c>
      <c r="J1999">
        <v>22.68</v>
      </c>
      <c r="K1999">
        <v>39</v>
      </c>
      <c r="L1999">
        <v>3</v>
      </c>
      <c r="M1999" t="s">
        <v>3022</v>
      </c>
      <c r="N1999">
        <v>3</v>
      </c>
      <c r="O1999">
        <v>8.67</v>
      </c>
      <c r="P1999">
        <v>144436.73000000001</v>
      </c>
      <c r="Q1999">
        <v>95329.65</v>
      </c>
      <c r="R1999">
        <v>648</v>
      </c>
      <c r="S1999">
        <v>1622</v>
      </c>
      <c r="T1999" t="s">
        <v>34</v>
      </c>
      <c r="U1999" t="s">
        <v>49</v>
      </c>
    </row>
    <row r="2000" spans="1:21">
      <c r="A2000" t="s">
        <v>3146</v>
      </c>
      <c r="B2000" t="s">
        <v>3147</v>
      </c>
      <c r="C2000" t="s">
        <v>1773</v>
      </c>
      <c r="D2000">
        <v>116000</v>
      </c>
      <c r="E2000">
        <v>20000</v>
      </c>
      <c r="G2000">
        <v>116000</v>
      </c>
      <c r="H2000">
        <v>3</v>
      </c>
      <c r="I2000" t="s">
        <v>89</v>
      </c>
      <c r="J2000">
        <v>25.51</v>
      </c>
      <c r="K2000">
        <v>6</v>
      </c>
      <c r="L2000">
        <v>5</v>
      </c>
      <c r="M2000" t="s">
        <v>3022</v>
      </c>
      <c r="N2000">
        <v>3</v>
      </c>
      <c r="O2000">
        <v>10</v>
      </c>
      <c r="P2000">
        <v>144436.73000000001</v>
      </c>
      <c r="Q2000">
        <v>95329.65</v>
      </c>
      <c r="R2000">
        <v>648</v>
      </c>
      <c r="S2000">
        <v>1622</v>
      </c>
      <c r="T2000" t="s">
        <v>34</v>
      </c>
      <c r="U2000" t="s">
        <v>31</v>
      </c>
    </row>
    <row r="2001" spans="1:21">
      <c r="A2001" t="s">
        <v>3148</v>
      </c>
      <c r="B2001" t="s">
        <v>3149</v>
      </c>
      <c r="C2001" t="s">
        <v>1228</v>
      </c>
      <c r="D2001">
        <v>140000</v>
      </c>
      <c r="E2001">
        <v>10000</v>
      </c>
      <c r="H2001">
        <v>4</v>
      </c>
      <c r="I2001" t="s">
        <v>89</v>
      </c>
      <c r="J2001">
        <v>25.35</v>
      </c>
      <c r="K2001">
        <v>5</v>
      </c>
      <c r="L2001">
        <v>4</v>
      </c>
      <c r="M2001" t="s">
        <v>3022</v>
      </c>
      <c r="N2001">
        <v>9</v>
      </c>
      <c r="O2001">
        <v>11.33</v>
      </c>
      <c r="P2001">
        <v>144436.73000000001</v>
      </c>
      <c r="Q2001">
        <v>95329.65</v>
      </c>
      <c r="R2001">
        <v>648</v>
      </c>
      <c r="S2001">
        <v>1622</v>
      </c>
      <c r="T2001" t="s">
        <v>34</v>
      </c>
      <c r="U2001" t="s">
        <v>31</v>
      </c>
    </row>
    <row r="2002" spans="1:21">
      <c r="A2002" t="s">
        <v>3150</v>
      </c>
      <c r="B2002" t="s">
        <v>3024</v>
      </c>
      <c r="C2002" t="s">
        <v>3025</v>
      </c>
      <c r="D2002">
        <v>130000</v>
      </c>
      <c r="E2002">
        <v>15000</v>
      </c>
      <c r="F2002">
        <v>130000</v>
      </c>
      <c r="G2002">
        <v>130000</v>
      </c>
      <c r="H2002">
        <v>1</v>
      </c>
      <c r="I2002" t="s">
        <v>89</v>
      </c>
      <c r="J2002">
        <v>25.5</v>
      </c>
      <c r="K2002">
        <v>3</v>
      </c>
      <c r="L2002">
        <v>5</v>
      </c>
      <c r="M2002" t="s">
        <v>3022</v>
      </c>
      <c r="N2002">
        <v>7</v>
      </c>
      <c r="O2002">
        <v>9</v>
      </c>
      <c r="P2002">
        <v>144436.73000000001</v>
      </c>
      <c r="Q2002">
        <v>95329.65</v>
      </c>
      <c r="R2002">
        <v>648</v>
      </c>
      <c r="S2002">
        <v>1622</v>
      </c>
      <c r="T2002" t="s">
        <v>34</v>
      </c>
      <c r="U2002" t="s">
        <v>31</v>
      </c>
    </row>
    <row r="2003" spans="1:21">
      <c r="A2003" t="s">
        <v>3151</v>
      </c>
      <c r="B2003" t="s">
        <v>3024</v>
      </c>
      <c r="C2003" t="s">
        <v>3025</v>
      </c>
      <c r="D2003">
        <v>142000</v>
      </c>
      <c r="E2003">
        <v>15000</v>
      </c>
      <c r="F2003">
        <v>142000</v>
      </c>
      <c r="G2003">
        <v>142000</v>
      </c>
      <c r="H2003">
        <v>1</v>
      </c>
      <c r="I2003" t="s">
        <v>89</v>
      </c>
      <c r="J2003">
        <v>28.87</v>
      </c>
      <c r="K2003">
        <v>3</v>
      </c>
      <c r="L2003">
        <v>5</v>
      </c>
      <c r="M2003" t="s">
        <v>3022</v>
      </c>
      <c r="N2003">
        <v>7</v>
      </c>
      <c r="O2003">
        <v>9</v>
      </c>
      <c r="P2003">
        <v>144436.73000000001</v>
      </c>
      <c r="Q2003">
        <v>95329.65</v>
      </c>
      <c r="R2003">
        <v>648</v>
      </c>
      <c r="S2003">
        <v>1622</v>
      </c>
      <c r="T2003" t="s">
        <v>34</v>
      </c>
      <c r="U2003" t="s">
        <v>31</v>
      </c>
    </row>
    <row r="2004" spans="1:21">
      <c r="A2004" t="s">
        <v>3152</v>
      </c>
      <c r="B2004" t="s">
        <v>3024</v>
      </c>
      <c r="C2004" t="s">
        <v>3025</v>
      </c>
      <c r="D2004">
        <v>144000</v>
      </c>
      <c r="E2004">
        <v>15000</v>
      </c>
      <c r="F2004">
        <v>144000</v>
      </c>
      <c r="G2004">
        <v>144000</v>
      </c>
      <c r="H2004">
        <v>1</v>
      </c>
      <c r="I2004" t="s">
        <v>89</v>
      </c>
      <c r="J2004">
        <v>31.35</v>
      </c>
      <c r="K2004">
        <v>3</v>
      </c>
      <c r="L2004">
        <v>5</v>
      </c>
      <c r="M2004" t="s">
        <v>3022</v>
      </c>
      <c r="N2004">
        <v>7</v>
      </c>
      <c r="O2004">
        <v>9</v>
      </c>
      <c r="P2004">
        <v>144436.73000000001</v>
      </c>
      <c r="Q2004">
        <v>95329.65</v>
      </c>
      <c r="R2004">
        <v>648</v>
      </c>
      <c r="S2004">
        <v>1622</v>
      </c>
      <c r="T2004" t="s">
        <v>26</v>
      </c>
      <c r="U2004" t="s">
        <v>31</v>
      </c>
    </row>
    <row r="2005" spans="1:21">
      <c r="A2005" t="s">
        <v>3153</v>
      </c>
      <c r="B2005" t="s">
        <v>3024</v>
      </c>
      <c r="C2005" t="s">
        <v>3025</v>
      </c>
      <c r="D2005">
        <v>140000</v>
      </c>
      <c r="E2005">
        <v>15000</v>
      </c>
      <c r="F2005">
        <v>140000</v>
      </c>
      <c r="G2005">
        <v>140000</v>
      </c>
      <c r="H2005">
        <v>2</v>
      </c>
      <c r="I2005" t="s">
        <v>89</v>
      </c>
      <c r="J2005">
        <v>28.87</v>
      </c>
      <c r="K2005">
        <v>3</v>
      </c>
      <c r="L2005">
        <v>5</v>
      </c>
      <c r="M2005" t="s">
        <v>3022</v>
      </c>
      <c r="N2005">
        <v>7</v>
      </c>
      <c r="O2005">
        <v>9</v>
      </c>
      <c r="P2005">
        <v>144436.73000000001</v>
      </c>
      <c r="Q2005">
        <v>95329.65</v>
      </c>
      <c r="R2005">
        <v>648</v>
      </c>
      <c r="S2005">
        <v>1622</v>
      </c>
      <c r="T2005" t="s">
        <v>34</v>
      </c>
      <c r="U2005" t="s">
        <v>31</v>
      </c>
    </row>
    <row r="2006" spans="1:21">
      <c r="A2006" t="s">
        <v>3154</v>
      </c>
      <c r="B2006" t="s">
        <v>3024</v>
      </c>
      <c r="C2006" t="s">
        <v>3025</v>
      </c>
      <c r="D2006">
        <v>135000</v>
      </c>
      <c r="E2006">
        <v>15000</v>
      </c>
      <c r="F2006">
        <v>135000</v>
      </c>
      <c r="G2006">
        <v>135000</v>
      </c>
      <c r="H2006">
        <v>3</v>
      </c>
      <c r="I2006" t="s">
        <v>89</v>
      </c>
      <c r="J2006">
        <v>25.5</v>
      </c>
      <c r="K2006">
        <v>3</v>
      </c>
      <c r="L2006">
        <v>5</v>
      </c>
      <c r="M2006" t="s">
        <v>3022</v>
      </c>
      <c r="N2006">
        <v>7</v>
      </c>
      <c r="O2006">
        <v>9</v>
      </c>
      <c r="P2006">
        <v>144436.73000000001</v>
      </c>
      <c r="Q2006">
        <v>95329.65</v>
      </c>
      <c r="R2006">
        <v>648</v>
      </c>
      <c r="S2006">
        <v>1622</v>
      </c>
      <c r="T2006" t="s">
        <v>34</v>
      </c>
      <c r="U2006" t="s">
        <v>31</v>
      </c>
    </row>
    <row r="2007" spans="1:21">
      <c r="A2007" t="s">
        <v>3155</v>
      </c>
      <c r="B2007" t="s">
        <v>3024</v>
      </c>
      <c r="C2007" t="s">
        <v>3025</v>
      </c>
      <c r="D2007">
        <v>145000</v>
      </c>
      <c r="E2007">
        <v>15000</v>
      </c>
      <c r="F2007">
        <v>145000</v>
      </c>
      <c r="G2007">
        <v>145000</v>
      </c>
      <c r="H2007">
        <v>3</v>
      </c>
      <c r="I2007" t="s">
        <v>89</v>
      </c>
      <c r="J2007">
        <v>28.87</v>
      </c>
      <c r="K2007">
        <v>3</v>
      </c>
      <c r="L2007">
        <v>5</v>
      </c>
      <c r="M2007" t="s">
        <v>3022</v>
      </c>
      <c r="N2007">
        <v>7</v>
      </c>
      <c r="O2007">
        <v>9</v>
      </c>
      <c r="P2007">
        <v>144436.73000000001</v>
      </c>
      <c r="Q2007">
        <v>95329.65</v>
      </c>
      <c r="R2007">
        <v>648</v>
      </c>
      <c r="S2007">
        <v>1622</v>
      </c>
      <c r="T2007" t="s">
        <v>34</v>
      </c>
      <c r="U2007" t="s">
        <v>31</v>
      </c>
    </row>
    <row r="2008" spans="1:21">
      <c r="A2008" t="s">
        <v>3156</v>
      </c>
      <c r="B2008" t="s">
        <v>3024</v>
      </c>
      <c r="C2008" t="s">
        <v>3025</v>
      </c>
      <c r="D2008">
        <v>150000</v>
      </c>
      <c r="E2008">
        <v>15000</v>
      </c>
      <c r="H2008">
        <v>3</v>
      </c>
      <c r="I2008" t="s">
        <v>89</v>
      </c>
      <c r="J2008">
        <v>28.87</v>
      </c>
      <c r="K2008">
        <v>3</v>
      </c>
      <c r="L2008">
        <v>5</v>
      </c>
      <c r="M2008" t="s">
        <v>3022</v>
      </c>
      <c r="N2008">
        <v>7</v>
      </c>
      <c r="O2008">
        <v>9</v>
      </c>
      <c r="P2008">
        <v>144436.73000000001</v>
      </c>
      <c r="Q2008">
        <v>95329.65</v>
      </c>
      <c r="R2008">
        <v>648</v>
      </c>
      <c r="S2008">
        <v>1622</v>
      </c>
      <c r="T2008" t="s">
        <v>34</v>
      </c>
      <c r="U2008" t="s">
        <v>31</v>
      </c>
    </row>
    <row r="2009" spans="1:21">
      <c r="A2009" t="s">
        <v>3157</v>
      </c>
      <c r="B2009" t="s">
        <v>3158</v>
      </c>
      <c r="C2009" t="s">
        <v>1890</v>
      </c>
      <c r="D2009">
        <v>65000</v>
      </c>
      <c r="E2009">
        <v>3000</v>
      </c>
      <c r="H2009">
        <v>2</v>
      </c>
      <c r="I2009" t="s">
        <v>89</v>
      </c>
      <c r="J2009">
        <v>15</v>
      </c>
      <c r="K2009">
        <v>55</v>
      </c>
      <c r="L2009">
        <v>2</v>
      </c>
      <c r="M2009" t="s">
        <v>3022</v>
      </c>
      <c r="N2009">
        <v>9</v>
      </c>
      <c r="O2009">
        <v>11</v>
      </c>
      <c r="P2009">
        <v>144436.73000000001</v>
      </c>
      <c r="Q2009">
        <v>95329.65</v>
      </c>
      <c r="R2009">
        <v>648</v>
      </c>
      <c r="S2009">
        <v>1622</v>
      </c>
      <c r="T2009" t="s">
        <v>108</v>
      </c>
      <c r="U2009" t="s">
        <v>57</v>
      </c>
    </row>
    <row r="2010" spans="1:21">
      <c r="A2010" t="s">
        <v>3159</v>
      </c>
      <c r="B2010" t="s">
        <v>3160</v>
      </c>
      <c r="C2010" t="s">
        <v>1228</v>
      </c>
      <c r="D2010">
        <v>141000</v>
      </c>
      <c r="E2010">
        <v>8000</v>
      </c>
      <c r="F2010">
        <v>141000</v>
      </c>
      <c r="G2010">
        <v>211500</v>
      </c>
      <c r="H2010">
        <v>10</v>
      </c>
      <c r="I2010" t="s">
        <v>89</v>
      </c>
      <c r="J2010">
        <v>30.3</v>
      </c>
      <c r="K2010">
        <v>16</v>
      </c>
      <c r="L2010">
        <v>10</v>
      </c>
      <c r="M2010" t="s">
        <v>3022</v>
      </c>
      <c r="N2010">
        <v>4</v>
      </c>
      <c r="O2010">
        <v>10</v>
      </c>
      <c r="P2010">
        <v>144436.73000000001</v>
      </c>
      <c r="Q2010">
        <v>95329.65</v>
      </c>
      <c r="R2010">
        <v>648</v>
      </c>
      <c r="S2010">
        <v>1622</v>
      </c>
      <c r="T2010" t="s">
        <v>26</v>
      </c>
      <c r="U2010" t="s">
        <v>90</v>
      </c>
    </row>
    <row r="2011" spans="1:21">
      <c r="A2011" t="s">
        <v>3161</v>
      </c>
      <c r="B2011" t="s">
        <v>3160</v>
      </c>
      <c r="C2011" t="s">
        <v>1228</v>
      </c>
      <c r="D2011">
        <v>133000</v>
      </c>
      <c r="E2011">
        <v>8000</v>
      </c>
      <c r="F2011">
        <v>133000</v>
      </c>
      <c r="G2011">
        <v>199500</v>
      </c>
      <c r="H2011">
        <v>2</v>
      </c>
      <c r="I2011" t="s">
        <v>89</v>
      </c>
      <c r="J2011">
        <v>30.3</v>
      </c>
      <c r="K2011">
        <v>16</v>
      </c>
      <c r="L2011">
        <v>10</v>
      </c>
      <c r="M2011" t="s">
        <v>3022</v>
      </c>
      <c r="N2011">
        <v>4</v>
      </c>
      <c r="O2011">
        <v>10</v>
      </c>
      <c r="P2011">
        <v>144436.73000000001</v>
      </c>
      <c r="Q2011">
        <v>95329.65</v>
      </c>
      <c r="R2011">
        <v>648</v>
      </c>
      <c r="S2011">
        <v>1622</v>
      </c>
      <c r="T2011" t="s">
        <v>26</v>
      </c>
      <c r="U2011" t="s">
        <v>90</v>
      </c>
    </row>
    <row r="2012" spans="1:21">
      <c r="A2012" t="s">
        <v>3162</v>
      </c>
      <c r="B2012" t="s">
        <v>3160</v>
      </c>
      <c r="C2012" t="s">
        <v>1228</v>
      </c>
      <c r="D2012">
        <v>120000</v>
      </c>
      <c r="E2012">
        <v>8000</v>
      </c>
      <c r="F2012">
        <v>120000</v>
      </c>
      <c r="G2012">
        <v>180000</v>
      </c>
      <c r="H2012">
        <v>7</v>
      </c>
      <c r="I2012" t="s">
        <v>89</v>
      </c>
      <c r="J2012">
        <v>24.49</v>
      </c>
      <c r="K2012">
        <v>16</v>
      </c>
      <c r="L2012">
        <v>10</v>
      </c>
      <c r="M2012" t="s">
        <v>3022</v>
      </c>
      <c r="N2012">
        <v>4</v>
      </c>
      <c r="O2012">
        <v>10</v>
      </c>
      <c r="P2012">
        <v>144436.73000000001</v>
      </c>
      <c r="Q2012">
        <v>95329.65</v>
      </c>
      <c r="R2012">
        <v>648</v>
      </c>
      <c r="S2012">
        <v>1622</v>
      </c>
      <c r="T2012" t="s">
        <v>34</v>
      </c>
      <c r="U2012" t="s">
        <v>90</v>
      </c>
    </row>
    <row r="2013" spans="1:21">
      <c r="A2013" t="s">
        <v>3163</v>
      </c>
      <c r="B2013" t="s">
        <v>3164</v>
      </c>
      <c r="C2013" t="s">
        <v>3059</v>
      </c>
      <c r="D2013">
        <v>92000</v>
      </c>
      <c r="E2013">
        <v>2000</v>
      </c>
      <c r="F2013">
        <v>92000</v>
      </c>
      <c r="G2013">
        <v>92000</v>
      </c>
      <c r="H2013">
        <v>1</v>
      </c>
      <c r="I2013" t="s">
        <v>89</v>
      </c>
      <c r="J2013">
        <v>18.8</v>
      </c>
      <c r="K2013">
        <v>19</v>
      </c>
      <c r="L2013">
        <v>3</v>
      </c>
      <c r="M2013" t="s">
        <v>3022</v>
      </c>
      <c r="N2013">
        <v>9</v>
      </c>
      <c r="O2013">
        <v>13.33</v>
      </c>
      <c r="P2013">
        <v>144436.73000000001</v>
      </c>
      <c r="Q2013">
        <v>95329.65</v>
      </c>
      <c r="R2013">
        <v>648</v>
      </c>
      <c r="S2013">
        <v>1622</v>
      </c>
      <c r="T2013" t="s">
        <v>108</v>
      </c>
      <c r="U2013" t="s">
        <v>90</v>
      </c>
    </row>
    <row r="2014" spans="1:21">
      <c r="A2014" t="s">
        <v>3165</v>
      </c>
      <c r="B2014" t="s">
        <v>3164</v>
      </c>
      <c r="C2014" t="s">
        <v>3059</v>
      </c>
      <c r="D2014">
        <v>98000</v>
      </c>
      <c r="E2014">
        <v>2000</v>
      </c>
      <c r="F2014">
        <v>98000</v>
      </c>
      <c r="G2014">
        <v>98000</v>
      </c>
      <c r="H2014">
        <v>1</v>
      </c>
      <c r="I2014" t="s">
        <v>89</v>
      </c>
      <c r="J2014">
        <v>18.8</v>
      </c>
      <c r="K2014">
        <v>19</v>
      </c>
      <c r="L2014">
        <v>3</v>
      </c>
      <c r="M2014" t="s">
        <v>3022</v>
      </c>
      <c r="N2014">
        <v>9</v>
      </c>
      <c r="O2014">
        <v>13.33</v>
      </c>
      <c r="P2014">
        <v>144436.73000000001</v>
      </c>
      <c r="Q2014">
        <v>95329.65</v>
      </c>
      <c r="R2014">
        <v>648</v>
      </c>
      <c r="S2014">
        <v>1622</v>
      </c>
      <c r="T2014" t="s">
        <v>108</v>
      </c>
      <c r="U2014" t="s">
        <v>90</v>
      </c>
    </row>
    <row r="2015" spans="1:21">
      <c r="A2015" t="s">
        <v>3166</v>
      </c>
      <c r="B2015" t="s">
        <v>3164</v>
      </c>
      <c r="C2015" t="s">
        <v>3059</v>
      </c>
      <c r="D2015">
        <v>90000</v>
      </c>
      <c r="E2015">
        <v>2000</v>
      </c>
      <c r="F2015">
        <v>90000</v>
      </c>
      <c r="G2015">
        <v>90000</v>
      </c>
      <c r="H2015">
        <v>1</v>
      </c>
      <c r="I2015" t="s">
        <v>89</v>
      </c>
      <c r="J2015">
        <v>18.8</v>
      </c>
      <c r="K2015">
        <v>19</v>
      </c>
      <c r="L2015">
        <v>3</v>
      </c>
      <c r="M2015" t="s">
        <v>3022</v>
      </c>
      <c r="N2015">
        <v>9</v>
      </c>
      <c r="O2015">
        <v>13.33</v>
      </c>
      <c r="P2015">
        <v>144436.73000000001</v>
      </c>
      <c r="Q2015">
        <v>95329.65</v>
      </c>
      <c r="R2015">
        <v>648</v>
      </c>
      <c r="S2015">
        <v>1622</v>
      </c>
      <c r="T2015" t="s">
        <v>108</v>
      </c>
      <c r="U2015" t="s">
        <v>90</v>
      </c>
    </row>
    <row r="2016" spans="1:21">
      <c r="A2016" t="s">
        <v>3167</v>
      </c>
      <c r="B2016" t="s">
        <v>3168</v>
      </c>
      <c r="C2016" t="s">
        <v>1231</v>
      </c>
      <c r="D2016">
        <v>60000</v>
      </c>
      <c r="F2016">
        <v>60000</v>
      </c>
      <c r="G2016">
        <v>60000</v>
      </c>
      <c r="H2016">
        <v>1</v>
      </c>
      <c r="I2016" t="s">
        <v>89</v>
      </c>
      <c r="J2016">
        <v>18</v>
      </c>
      <c r="K2016">
        <v>41</v>
      </c>
      <c r="L2016">
        <v>2</v>
      </c>
      <c r="M2016" t="s">
        <v>3022</v>
      </c>
      <c r="N2016">
        <v>8</v>
      </c>
      <c r="O2016">
        <v>12.67</v>
      </c>
      <c r="P2016">
        <v>144436.73000000001</v>
      </c>
      <c r="Q2016">
        <v>95329.65</v>
      </c>
      <c r="R2016">
        <v>648</v>
      </c>
      <c r="S2016">
        <v>1622</v>
      </c>
      <c r="T2016" t="s">
        <v>108</v>
      </c>
      <c r="U2016" t="s">
        <v>42</v>
      </c>
    </row>
    <row r="2017" spans="1:21">
      <c r="A2017" t="s">
        <v>3169</v>
      </c>
      <c r="B2017" t="s">
        <v>3170</v>
      </c>
      <c r="C2017" t="s">
        <v>1231</v>
      </c>
      <c r="D2017">
        <v>120000</v>
      </c>
      <c r="E2017">
        <v>5000</v>
      </c>
      <c r="F2017">
        <v>120000</v>
      </c>
      <c r="G2017">
        <v>120000</v>
      </c>
      <c r="H2017">
        <v>5</v>
      </c>
      <c r="I2017" t="s">
        <v>89</v>
      </c>
      <c r="J2017">
        <v>26.02</v>
      </c>
      <c r="K2017">
        <v>17</v>
      </c>
      <c r="L2017">
        <v>13</v>
      </c>
      <c r="M2017" t="s">
        <v>3022</v>
      </c>
      <c r="N2017">
        <v>3</v>
      </c>
      <c r="O2017">
        <v>8.33</v>
      </c>
      <c r="P2017">
        <v>144436.73000000001</v>
      </c>
      <c r="Q2017">
        <v>95329.65</v>
      </c>
      <c r="R2017">
        <v>648</v>
      </c>
      <c r="S2017">
        <v>1622</v>
      </c>
      <c r="T2017" t="s">
        <v>34</v>
      </c>
      <c r="U2017" t="s">
        <v>90</v>
      </c>
    </row>
    <row r="2018" spans="1:21">
      <c r="A2018" t="s">
        <v>3171</v>
      </c>
      <c r="B2018" t="s">
        <v>3172</v>
      </c>
      <c r="C2018" t="s">
        <v>1768</v>
      </c>
      <c r="D2018">
        <v>120000</v>
      </c>
      <c r="E2018">
        <v>10000</v>
      </c>
      <c r="G2018">
        <v>120000</v>
      </c>
      <c r="H2018">
        <v>7</v>
      </c>
      <c r="I2018" t="s">
        <v>89</v>
      </c>
      <c r="J2018">
        <v>26.66</v>
      </c>
      <c r="K2018">
        <v>9</v>
      </c>
      <c r="L2018">
        <v>7</v>
      </c>
      <c r="M2018" t="s">
        <v>3022</v>
      </c>
      <c r="N2018">
        <v>6</v>
      </c>
      <c r="O2018">
        <v>9</v>
      </c>
      <c r="P2018">
        <v>144436.73000000001</v>
      </c>
      <c r="Q2018">
        <v>95329.65</v>
      </c>
      <c r="R2018">
        <v>648</v>
      </c>
      <c r="S2018">
        <v>1622</v>
      </c>
      <c r="T2018" t="s">
        <v>34</v>
      </c>
      <c r="U2018" t="s">
        <v>31</v>
      </c>
    </row>
    <row r="2019" spans="1:21">
      <c r="A2019" t="s">
        <v>3173</v>
      </c>
      <c r="B2019" t="s">
        <v>3174</v>
      </c>
      <c r="C2019" t="s">
        <v>1768</v>
      </c>
      <c r="D2019">
        <v>117000</v>
      </c>
      <c r="E2019">
        <v>11000</v>
      </c>
      <c r="G2019">
        <v>117000</v>
      </c>
      <c r="H2019">
        <v>7</v>
      </c>
      <c r="I2019" t="s">
        <v>89</v>
      </c>
      <c r="J2019">
        <v>20.73</v>
      </c>
      <c r="K2019">
        <v>22</v>
      </c>
      <c r="L2019">
        <v>7</v>
      </c>
      <c r="M2019" t="s">
        <v>3022</v>
      </c>
      <c r="N2019">
        <v>7</v>
      </c>
      <c r="O2019">
        <v>9.67</v>
      </c>
      <c r="P2019">
        <v>144436.73000000001</v>
      </c>
      <c r="Q2019">
        <v>95329.65</v>
      </c>
      <c r="R2019">
        <v>648</v>
      </c>
      <c r="S2019">
        <v>1622</v>
      </c>
      <c r="T2019" t="s">
        <v>34</v>
      </c>
      <c r="U2019" t="s">
        <v>27</v>
      </c>
    </row>
    <row r="2020" spans="1:21">
      <c r="A2020" t="s">
        <v>3175</v>
      </c>
      <c r="B2020" t="s">
        <v>3176</v>
      </c>
      <c r="C2020" t="s">
        <v>1773</v>
      </c>
      <c r="D2020">
        <v>126000</v>
      </c>
      <c r="E2020">
        <v>15000</v>
      </c>
      <c r="H2020">
        <v>5</v>
      </c>
      <c r="I2020" t="s">
        <v>89</v>
      </c>
      <c r="J2020">
        <v>25.96</v>
      </c>
      <c r="K2020">
        <v>3</v>
      </c>
      <c r="L2020">
        <v>5</v>
      </c>
      <c r="M2020" t="s">
        <v>3022</v>
      </c>
      <c r="N2020">
        <v>5</v>
      </c>
      <c r="O2020">
        <v>12</v>
      </c>
      <c r="P2020">
        <v>144436.73000000001</v>
      </c>
      <c r="Q2020">
        <v>95329.65</v>
      </c>
      <c r="R2020">
        <v>648</v>
      </c>
      <c r="S2020">
        <v>1622</v>
      </c>
      <c r="T2020" t="s">
        <v>34</v>
      </c>
      <c r="U2020" t="s">
        <v>31</v>
      </c>
    </row>
    <row r="2021" spans="1:21">
      <c r="A2021" t="s">
        <v>3177</v>
      </c>
      <c r="B2021" t="s">
        <v>3178</v>
      </c>
      <c r="C2021" t="s">
        <v>1773</v>
      </c>
      <c r="D2021">
        <v>99000</v>
      </c>
      <c r="F2021">
        <v>198000</v>
      </c>
      <c r="G2021">
        <v>99000</v>
      </c>
      <c r="H2021">
        <v>3</v>
      </c>
      <c r="I2021" t="s">
        <v>89</v>
      </c>
      <c r="J2021">
        <v>31.41</v>
      </c>
      <c r="K2021">
        <v>35</v>
      </c>
      <c r="L2021">
        <v>4</v>
      </c>
      <c r="M2021" t="s">
        <v>3022</v>
      </c>
      <c r="N2021">
        <v>5</v>
      </c>
      <c r="O2021">
        <v>9</v>
      </c>
      <c r="P2021">
        <v>144436.73000000001</v>
      </c>
      <c r="Q2021">
        <v>95329.65</v>
      </c>
      <c r="R2021">
        <v>648</v>
      </c>
      <c r="S2021">
        <v>1622</v>
      </c>
      <c r="T2021" t="s">
        <v>26</v>
      </c>
      <c r="U2021" t="s">
        <v>49</v>
      </c>
    </row>
    <row r="2022" spans="1:21">
      <c r="A2022" t="s">
        <v>3179</v>
      </c>
      <c r="B2022" t="s">
        <v>3180</v>
      </c>
      <c r="C2022" t="s">
        <v>1231</v>
      </c>
      <c r="D2022">
        <v>115000</v>
      </c>
      <c r="E2022">
        <v>8100</v>
      </c>
      <c r="G2022">
        <v>230000</v>
      </c>
      <c r="H2022">
        <v>2</v>
      </c>
      <c r="I2022" t="s">
        <v>89</v>
      </c>
      <c r="J2022">
        <v>24.15</v>
      </c>
      <c r="K2022">
        <v>2</v>
      </c>
      <c r="L2022">
        <v>5</v>
      </c>
      <c r="M2022" t="s">
        <v>3022</v>
      </c>
      <c r="N2022">
        <v>4</v>
      </c>
      <c r="O2022">
        <v>9.33</v>
      </c>
      <c r="P2022">
        <v>144436.73000000001</v>
      </c>
      <c r="Q2022">
        <v>95329.65</v>
      </c>
      <c r="R2022">
        <v>648</v>
      </c>
      <c r="S2022">
        <v>1622</v>
      </c>
      <c r="T2022" t="s">
        <v>34</v>
      </c>
      <c r="U2022" t="s">
        <v>31</v>
      </c>
    </row>
    <row r="2023" spans="1:21">
      <c r="A2023" t="s">
        <v>3181</v>
      </c>
      <c r="B2023" t="s">
        <v>3182</v>
      </c>
      <c r="C2023" t="s">
        <v>1231</v>
      </c>
      <c r="D2023">
        <v>70000</v>
      </c>
      <c r="E2023">
        <v>2000</v>
      </c>
      <c r="H2023">
        <v>1</v>
      </c>
      <c r="I2023" t="s">
        <v>89</v>
      </c>
      <c r="J2023">
        <v>18</v>
      </c>
      <c r="K2023">
        <v>34</v>
      </c>
      <c r="L2023">
        <v>2</v>
      </c>
      <c r="M2023" t="s">
        <v>3022</v>
      </c>
      <c r="N2023">
        <v>6</v>
      </c>
      <c r="O2023">
        <v>10.33</v>
      </c>
      <c r="P2023">
        <v>144436.73000000001</v>
      </c>
      <c r="Q2023">
        <v>95329.65</v>
      </c>
      <c r="R2023">
        <v>648</v>
      </c>
      <c r="S2023">
        <v>1622</v>
      </c>
      <c r="T2023" t="s">
        <v>108</v>
      </c>
      <c r="U2023" t="s">
        <v>49</v>
      </c>
    </row>
    <row r="2024" spans="1:21">
      <c r="A2024" t="s">
        <v>3183</v>
      </c>
      <c r="B2024" t="s">
        <v>3184</v>
      </c>
      <c r="C2024" t="s">
        <v>1773</v>
      </c>
      <c r="D2024">
        <v>74000</v>
      </c>
      <c r="E2024">
        <v>3000</v>
      </c>
      <c r="G2024">
        <v>74000</v>
      </c>
      <c r="H2024">
        <v>1</v>
      </c>
      <c r="I2024" t="s">
        <v>89</v>
      </c>
      <c r="J2024">
        <v>20.14</v>
      </c>
      <c r="K2024">
        <v>38</v>
      </c>
      <c r="L2024">
        <v>4</v>
      </c>
      <c r="M2024" t="s">
        <v>3022</v>
      </c>
      <c r="N2024">
        <v>5</v>
      </c>
      <c r="O2024">
        <v>10.67</v>
      </c>
      <c r="P2024">
        <v>144436.73000000001</v>
      </c>
      <c r="Q2024">
        <v>95329.65</v>
      </c>
      <c r="R2024">
        <v>648</v>
      </c>
      <c r="S2024">
        <v>1622</v>
      </c>
      <c r="T2024" t="s">
        <v>34</v>
      </c>
      <c r="U2024" t="s">
        <v>49</v>
      </c>
    </row>
    <row r="2025" spans="1:21">
      <c r="A2025" t="s">
        <v>3185</v>
      </c>
      <c r="B2025" t="s">
        <v>3184</v>
      </c>
      <c r="C2025" t="s">
        <v>1773</v>
      </c>
      <c r="D2025">
        <v>74000</v>
      </c>
      <c r="E2025">
        <v>3000</v>
      </c>
      <c r="G2025">
        <v>74000</v>
      </c>
      <c r="H2025">
        <v>1</v>
      </c>
      <c r="I2025" t="s">
        <v>89</v>
      </c>
      <c r="J2025">
        <v>21.28</v>
      </c>
      <c r="K2025">
        <v>38</v>
      </c>
      <c r="L2025">
        <v>4</v>
      </c>
      <c r="M2025" t="s">
        <v>3022</v>
      </c>
      <c r="N2025">
        <v>5</v>
      </c>
      <c r="O2025">
        <v>10.67</v>
      </c>
      <c r="P2025">
        <v>144436.73000000001</v>
      </c>
      <c r="Q2025">
        <v>95329.65</v>
      </c>
      <c r="R2025">
        <v>648</v>
      </c>
      <c r="S2025">
        <v>1622</v>
      </c>
      <c r="T2025" t="s">
        <v>34</v>
      </c>
      <c r="U2025" t="s">
        <v>49</v>
      </c>
    </row>
    <row r="2026" spans="1:21">
      <c r="A2026" t="s">
        <v>3186</v>
      </c>
      <c r="B2026" t="s">
        <v>3184</v>
      </c>
      <c r="C2026" t="s">
        <v>1773</v>
      </c>
      <c r="D2026">
        <v>77000</v>
      </c>
      <c r="E2026">
        <v>3000</v>
      </c>
      <c r="G2026">
        <v>77000</v>
      </c>
      <c r="H2026">
        <v>2</v>
      </c>
      <c r="I2026" t="s">
        <v>89</v>
      </c>
      <c r="J2026">
        <v>21.28</v>
      </c>
      <c r="K2026">
        <v>38</v>
      </c>
      <c r="L2026">
        <v>4</v>
      </c>
      <c r="M2026" t="s">
        <v>3022</v>
      </c>
      <c r="N2026">
        <v>5</v>
      </c>
      <c r="O2026">
        <v>10.67</v>
      </c>
      <c r="P2026">
        <v>144436.73000000001</v>
      </c>
      <c r="Q2026">
        <v>95329.65</v>
      </c>
      <c r="R2026">
        <v>648</v>
      </c>
      <c r="S2026">
        <v>1622</v>
      </c>
      <c r="T2026" t="s">
        <v>34</v>
      </c>
      <c r="U2026" t="s">
        <v>49</v>
      </c>
    </row>
    <row r="2027" spans="1:21">
      <c r="A2027" t="s">
        <v>3187</v>
      </c>
      <c r="B2027" t="s">
        <v>3188</v>
      </c>
      <c r="C2027" t="s">
        <v>1768</v>
      </c>
      <c r="D2027">
        <v>94000</v>
      </c>
      <c r="E2027">
        <v>4500</v>
      </c>
      <c r="G2027">
        <v>94000</v>
      </c>
      <c r="H2027">
        <v>3</v>
      </c>
      <c r="I2027" t="s">
        <v>89</v>
      </c>
      <c r="J2027">
        <v>25.05</v>
      </c>
      <c r="K2027">
        <v>15</v>
      </c>
      <c r="L2027">
        <v>3</v>
      </c>
      <c r="M2027" t="s">
        <v>3022</v>
      </c>
      <c r="N2027">
        <v>10</v>
      </c>
      <c r="O2027">
        <v>12.67</v>
      </c>
      <c r="P2027">
        <v>144436.73000000001</v>
      </c>
      <c r="Q2027">
        <v>95329.65</v>
      </c>
      <c r="R2027">
        <v>648</v>
      </c>
      <c r="S2027">
        <v>1622</v>
      </c>
      <c r="T2027" t="s">
        <v>34</v>
      </c>
      <c r="U2027" t="s">
        <v>90</v>
      </c>
    </row>
    <row r="2028" spans="1:21">
      <c r="A2028" t="s">
        <v>3189</v>
      </c>
      <c r="B2028" t="s">
        <v>3190</v>
      </c>
      <c r="C2028" t="s">
        <v>1231</v>
      </c>
      <c r="D2028">
        <v>75000</v>
      </c>
      <c r="E2028">
        <v>2000</v>
      </c>
      <c r="F2028">
        <v>75000</v>
      </c>
      <c r="G2028">
        <v>75000</v>
      </c>
      <c r="H2028">
        <v>1</v>
      </c>
      <c r="I2028" t="s">
        <v>89</v>
      </c>
      <c r="J2028">
        <v>23.83</v>
      </c>
      <c r="K2028">
        <v>35</v>
      </c>
      <c r="L2028">
        <v>3</v>
      </c>
      <c r="M2028" t="s">
        <v>3022</v>
      </c>
      <c r="N2028">
        <v>5</v>
      </c>
      <c r="O2028">
        <v>9.33</v>
      </c>
      <c r="P2028">
        <v>144436.73000000001</v>
      </c>
      <c r="Q2028">
        <v>95329.65</v>
      </c>
      <c r="R2028">
        <v>648</v>
      </c>
      <c r="S2028">
        <v>1622</v>
      </c>
      <c r="T2028" t="s">
        <v>34</v>
      </c>
      <c r="U2028" t="s">
        <v>49</v>
      </c>
    </row>
    <row r="2029" spans="1:21">
      <c r="A2029" t="s">
        <v>3191</v>
      </c>
      <c r="B2029" t="s">
        <v>3192</v>
      </c>
      <c r="C2029" t="s">
        <v>1768</v>
      </c>
      <c r="D2029">
        <v>66000</v>
      </c>
      <c r="E2029">
        <v>7000</v>
      </c>
      <c r="F2029">
        <v>66000</v>
      </c>
      <c r="G2029">
        <v>33000</v>
      </c>
      <c r="H2029">
        <v>2</v>
      </c>
      <c r="I2029" t="s">
        <v>89</v>
      </c>
      <c r="J2029">
        <v>18.97</v>
      </c>
      <c r="K2029">
        <v>38</v>
      </c>
      <c r="L2029">
        <v>3</v>
      </c>
      <c r="M2029" t="s">
        <v>3022</v>
      </c>
      <c r="N2029">
        <v>6</v>
      </c>
      <c r="O2029">
        <v>7.33</v>
      </c>
      <c r="P2029">
        <v>144436.73000000001</v>
      </c>
      <c r="Q2029">
        <v>95329.65</v>
      </c>
      <c r="R2029">
        <v>648</v>
      </c>
      <c r="S2029">
        <v>1622</v>
      </c>
      <c r="T2029" t="s">
        <v>108</v>
      </c>
      <c r="U2029" t="s">
        <v>49</v>
      </c>
    </row>
    <row r="2030" spans="1:21">
      <c r="A2030" t="s">
        <v>3193</v>
      </c>
      <c r="B2030" t="s">
        <v>3194</v>
      </c>
      <c r="C2030" t="s">
        <v>3195</v>
      </c>
      <c r="D2030">
        <v>105000</v>
      </c>
      <c r="E2030">
        <v>10000</v>
      </c>
      <c r="G2030">
        <v>60000</v>
      </c>
      <c r="H2030">
        <v>4</v>
      </c>
      <c r="I2030" t="s">
        <v>89</v>
      </c>
      <c r="J2030">
        <v>23.22</v>
      </c>
      <c r="K2030">
        <v>24</v>
      </c>
      <c r="L2030">
        <v>6</v>
      </c>
      <c r="M2030" t="s">
        <v>3022</v>
      </c>
      <c r="N2030">
        <v>3</v>
      </c>
      <c r="O2030">
        <v>7</v>
      </c>
      <c r="P2030">
        <v>144436.73000000001</v>
      </c>
      <c r="Q2030">
        <v>95329.65</v>
      </c>
      <c r="R2030">
        <v>648</v>
      </c>
      <c r="S2030">
        <v>1622</v>
      </c>
      <c r="T2030" t="s">
        <v>34</v>
      </c>
      <c r="U2030" t="s">
        <v>27</v>
      </c>
    </row>
    <row r="2031" spans="1:21">
      <c r="A2031" t="s">
        <v>3196</v>
      </c>
      <c r="B2031" t="s">
        <v>3031</v>
      </c>
      <c r="C2031" t="s">
        <v>1228</v>
      </c>
      <c r="D2031">
        <v>143000</v>
      </c>
      <c r="E2031">
        <v>10000</v>
      </c>
      <c r="H2031">
        <v>5</v>
      </c>
      <c r="I2031" t="s">
        <v>89</v>
      </c>
      <c r="J2031">
        <v>26.19</v>
      </c>
      <c r="K2031">
        <v>3</v>
      </c>
      <c r="L2031">
        <v>12</v>
      </c>
      <c r="M2031" t="s">
        <v>3022</v>
      </c>
      <c r="N2031">
        <v>3</v>
      </c>
      <c r="O2031">
        <v>9.67</v>
      </c>
      <c r="P2031">
        <v>144436.73000000001</v>
      </c>
      <c r="Q2031">
        <v>95329.65</v>
      </c>
      <c r="R2031">
        <v>648</v>
      </c>
      <c r="S2031">
        <v>1622</v>
      </c>
      <c r="T2031" t="s">
        <v>34</v>
      </c>
      <c r="U2031" t="s">
        <v>31</v>
      </c>
    </row>
    <row r="2032" spans="1:21">
      <c r="A2032" t="s">
        <v>3197</v>
      </c>
      <c r="B2032" t="s">
        <v>3198</v>
      </c>
      <c r="C2032" t="s">
        <v>1228</v>
      </c>
      <c r="D2032">
        <v>109000</v>
      </c>
      <c r="E2032">
        <v>6000</v>
      </c>
      <c r="F2032">
        <v>109000</v>
      </c>
      <c r="G2032">
        <v>109000</v>
      </c>
      <c r="H2032">
        <v>1</v>
      </c>
      <c r="I2032" t="s">
        <v>89</v>
      </c>
      <c r="J2032">
        <v>27.56</v>
      </c>
      <c r="K2032">
        <v>20</v>
      </c>
      <c r="L2032">
        <v>5</v>
      </c>
      <c r="M2032" t="s">
        <v>3022</v>
      </c>
      <c r="N2032">
        <v>2</v>
      </c>
      <c r="O2032">
        <v>5.67</v>
      </c>
      <c r="P2032">
        <v>144436.73000000001</v>
      </c>
      <c r="Q2032">
        <v>95329.65</v>
      </c>
      <c r="R2032">
        <v>648</v>
      </c>
      <c r="S2032">
        <v>1622</v>
      </c>
      <c r="T2032" t="s">
        <v>34</v>
      </c>
      <c r="U2032" t="s">
        <v>90</v>
      </c>
    </row>
    <row r="2033" spans="1:21">
      <c r="A2033" t="s">
        <v>3199</v>
      </c>
      <c r="B2033" t="s">
        <v>3198</v>
      </c>
      <c r="C2033" t="s">
        <v>1228</v>
      </c>
      <c r="D2033">
        <v>119000</v>
      </c>
      <c r="E2033">
        <v>6000</v>
      </c>
      <c r="F2033">
        <v>119000</v>
      </c>
      <c r="G2033">
        <v>119000</v>
      </c>
      <c r="H2033">
        <v>1</v>
      </c>
      <c r="I2033" t="s">
        <v>89</v>
      </c>
      <c r="J2033">
        <v>27.56</v>
      </c>
      <c r="K2033">
        <v>20</v>
      </c>
      <c r="L2033">
        <v>5</v>
      </c>
      <c r="M2033" t="s">
        <v>3022</v>
      </c>
      <c r="N2033">
        <v>2</v>
      </c>
      <c r="O2033">
        <v>5.67</v>
      </c>
      <c r="P2033">
        <v>144436.73000000001</v>
      </c>
      <c r="Q2033">
        <v>95329.65</v>
      </c>
      <c r="R2033">
        <v>648</v>
      </c>
      <c r="S2033">
        <v>1622</v>
      </c>
      <c r="T2033" t="s">
        <v>34</v>
      </c>
      <c r="U2033" t="s">
        <v>90</v>
      </c>
    </row>
    <row r="2034" spans="1:21">
      <c r="A2034" t="s">
        <v>3200</v>
      </c>
      <c r="B2034" t="s">
        <v>3198</v>
      </c>
      <c r="C2034" t="s">
        <v>1228</v>
      </c>
      <c r="D2034">
        <v>121000</v>
      </c>
      <c r="E2034">
        <v>6000</v>
      </c>
      <c r="F2034">
        <v>121000</v>
      </c>
      <c r="G2034">
        <v>121000</v>
      </c>
      <c r="H2034">
        <v>2</v>
      </c>
      <c r="I2034" t="s">
        <v>89</v>
      </c>
      <c r="J2034">
        <v>26.82</v>
      </c>
      <c r="K2034">
        <v>20</v>
      </c>
      <c r="L2034">
        <v>5</v>
      </c>
      <c r="M2034" t="s">
        <v>3022</v>
      </c>
      <c r="N2034">
        <v>2</v>
      </c>
      <c r="O2034">
        <v>5.67</v>
      </c>
      <c r="P2034">
        <v>144436.73000000001</v>
      </c>
      <c r="Q2034">
        <v>95329.65</v>
      </c>
      <c r="R2034">
        <v>648</v>
      </c>
      <c r="S2034">
        <v>1622</v>
      </c>
      <c r="T2034" t="s">
        <v>34</v>
      </c>
      <c r="U2034" t="s">
        <v>90</v>
      </c>
    </row>
    <row r="2035" spans="1:21">
      <c r="A2035" t="s">
        <v>3201</v>
      </c>
      <c r="B2035" t="s">
        <v>3202</v>
      </c>
      <c r="C2035" t="s">
        <v>3195</v>
      </c>
      <c r="D2035">
        <v>140000</v>
      </c>
      <c r="E2035">
        <v>10000</v>
      </c>
      <c r="F2035">
        <v>140000</v>
      </c>
      <c r="H2035">
        <v>2</v>
      </c>
      <c r="I2035" t="s">
        <v>89</v>
      </c>
      <c r="J2035">
        <v>25.3</v>
      </c>
      <c r="K2035">
        <v>2</v>
      </c>
      <c r="L2035">
        <v>4</v>
      </c>
      <c r="M2035" t="s">
        <v>3022</v>
      </c>
      <c r="N2035">
        <v>1</v>
      </c>
      <c r="O2035">
        <v>12.33</v>
      </c>
      <c r="P2035">
        <v>144436.73000000001</v>
      </c>
      <c r="Q2035">
        <v>95329.65</v>
      </c>
      <c r="R2035">
        <v>648</v>
      </c>
      <c r="S2035">
        <v>1622</v>
      </c>
      <c r="T2035" t="s">
        <v>34</v>
      </c>
      <c r="U2035" t="s">
        <v>31</v>
      </c>
    </row>
    <row r="2036" spans="1:21">
      <c r="A2036" t="s">
        <v>3203</v>
      </c>
      <c r="B2036" t="s">
        <v>3036</v>
      </c>
      <c r="C2036" t="s">
        <v>1768</v>
      </c>
      <c r="D2036">
        <v>130000</v>
      </c>
      <c r="E2036">
        <v>10000</v>
      </c>
      <c r="F2036">
        <v>130000</v>
      </c>
      <c r="G2036">
        <v>130000</v>
      </c>
      <c r="H2036">
        <v>6</v>
      </c>
      <c r="I2036" t="s">
        <v>89</v>
      </c>
      <c r="J2036">
        <v>28.3</v>
      </c>
      <c r="K2036">
        <v>22</v>
      </c>
      <c r="L2036">
        <v>9</v>
      </c>
      <c r="M2036" t="s">
        <v>3022</v>
      </c>
      <c r="N2036">
        <v>7</v>
      </c>
      <c r="O2036">
        <v>10</v>
      </c>
      <c r="P2036">
        <v>144436.73000000001</v>
      </c>
      <c r="Q2036">
        <v>95329.65</v>
      </c>
      <c r="R2036">
        <v>648</v>
      </c>
      <c r="S2036">
        <v>1622</v>
      </c>
      <c r="T2036" t="s">
        <v>34</v>
      </c>
      <c r="U2036" t="s">
        <v>27</v>
      </c>
    </row>
    <row r="2037" spans="1:21">
      <c r="A2037" t="s">
        <v>3204</v>
      </c>
      <c r="B2037" t="s">
        <v>3036</v>
      </c>
      <c r="C2037" t="s">
        <v>1768</v>
      </c>
      <c r="D2037">
        <v>79000</v>
      </c>
      <c r="E2037">
        <v>15000</v>
      </c>
      <c r="G2037">
        <v>79000</v>
      </c>
      <c r="H2037">
        <v>7</v>
      </c>
      <c r="I2037" t="s">
        <v>89</v>
      </c>
      <c r="J2037">
        <v>22.95</v>
      </c>
      <c r="K2037">
        <v>22</v>
      </c>
      <c r="L2037">
        <v>9</v>
      </c>
      <c r="M2037" t="s">
        <v>3022</v>
      </c>
      <c r="N2037">
        <v>7</v>
      </c>
      <c r="O2037">
        <v>10</v>
      </c>
      <c r="P2037">
        <v>144436.73000000001</v>
      </c>
      <c r="Q2037">
        <v>95329.65</v>
      </c>
      <c r="R2037">
        <v>648</v>
      </c>
      <c r="S2037">
        <v>1622</v>
      </c>
      <c r="T2037" t="s">
        <v>34</v>
      </c>
      <c r="U2037" t="s">
        <v>27</v>
      </c>
    </row>
    <row r="2038" spans="1:21">
      <c r="A2038" t="s">
        <v>3205</v>
      </c>
      <c r="B2038" t="s">
        <v>3040</v>
      </c>
      <c r="C2038" t="s">
        <v>1768</v>
      </c>
      <c r="D2038">
        <v>140000</v>
      </c>
      <c r="E2038">
        <v>10000</v>
      </c>
      <c r="F2038">
        <v>140000</v>
      </c>
      <c r="H2038">
        <v>2</v>
      </c>
      <c r="I2038" t="s">
        <v>89</v>
      </c>
      <c r="J2038">
        <v>25.05</v>
      </c>
      <c r="K2038">
        <v>2</v>
      </c>
      <c r="L2038">
        <v>13</v>
      </c>
      <c r="M2038" t="s">
        <v>3022</v>
      </c>
      <c r="N2038">
        <v>9</v>
      </c>
      <c r="O2038">
        <v>12.33</v>
      </c>
      <c r="P2038">
        <v>144436.73000000001</v>
      </c>
      <c r="Q2038">
        <v>95329.65</v>
      </c>
      <c r="R2038">
        <v>648</v>
      </c>
      <c r="S2038">
        <v>1622</v>
      </c>
      <c r="T2038" t="s">
        <v>34</v>
      </c>
      <c r="U2038" t="s">
        <v>31</v>
      </c>
    </row>
    <row r="2039" spans="1:21">
      <c r="A2039" t="s">
        <v>3206</v>
      </c>
      <c r="B2039" t="s">
        <v>3040</v>
      </c>
      <c r="C2039" t="s">
        <v>1768</v>
      </c>
      <c r="D2039">
        <v>144000</v>
      </c>
      <c r="E2039">
        <v>10000</v>
      </c>
      <c r="F2039">
        <v>144000</v>
      </c>
      <c r="H2039">
        <v>4</v>
      </c>
      <c r="I2039" t="s">
        <v>89</v>
      </c>
      <c r="J2039">
        <v>25.05</v>
      </c>
      <c r="K2039">
        <v>2</v>
      </c>
      <c r="L2039">
        <v>13</v>
      </c>
      <c r="M2039" t="s">
        <v>3022</v>
      </c>
      <c r="N2039">
        <v>9</v>
      </c>
      <c r="O2039">
        <v>12.33</v>
      </c>
      <c r="P2039">
        <v>144436.73000000001</v>
      </c>
      <c r="Q2039">
        <v>95329.65</v>
      </c>
      <c r="R2039">
        <v>648</v>
      </c>
      <c r="S2039">
        <v>1622</v>
      </c>
      <c r="T2039" t="s">
        <v>34</v>
      </c>
      <c r="U2039" t="s">
        <v>31</v>
      </c>
    </row>
    <row r="2040" spans="1:21">
      <c r="A2040" t="s">
        <v>3207</v>
      </c>
      <c r="B2040" t="s">
        <v>3040</v>
      </c>
      <c r="C2040" t="s">
        <v>1768</v>
      </c>
      <c r="D2040">
        <v>148000</v>
      </c>
      <c r="E2040">
        <v>10000</v>
      </c>
      <c r="F2040">
        <v>148000</v>
      </c>
      <c r="H2040">
        <v>7</v>
      </c>
      <c r="I2040" t="s">
        <v>89</v>
      </c>
      <c r="J2040">
        <v>25.05</v>
      </c>
      <c r="K2040">
        <v>2</v>
      </c>
      <c r="L2040">
        <v>13</v>
      </c>
      <c r="M2040" t="s">
        <v>3022</v>
      </c>
      <c r="N2040">
        <v>9</v>
      </c>
      <c r="O2040">
        <v>12.33</v>
      </c>
      <c r="P2040">
        <v>144436.73000000001</v>
      </c>
      <c r="Q2040">
        <v>95329.65</v>
      </c>
      <c r="R2040">
        <v>648</v>
      </c>
      <c r="S2040">
        <v>1622</v>
      </c>
      <c r="T2040" t="s">
        <v>34</v>
      </c>
      <c r="U2040" t="s">
        <v>31</v>
      </c>
    </row>
    <row r="2041" spans="1:21">
      <c r="A2041" t="s">
        <v>3208</v>
      </c>
      <c r="B2041" t="s">
        <v>3040</v>
      </c>
      <c r="C2041" t="s">
        <v>1768</v>
      </c>
      <c r="D2041">
        <v>149000</v>
      </c>
      <c r="E2041">
        <v>10000</v>
      </c>
      <c r="F2041">
        <v>149000</v>
      </c>
      <c r="H2041">
        <v>8</v>
      </c>
      <c r="I2041" t="s">
        <v>89</v>
      </c>
      <c r="J2041">
        <v>25.05</v>
      </c>
      <c r="K2041">
        <v>2</v>
      </c>
      <c r="L2041">
        <v>13</v>
      </c>
      <c r="M2041" t="s">
        <v>3022</v>
      </c>
      <c r="N2041">
        <v>9</v>
      </c>
      <c r="O2041">
        <v>12.33</v>
      </c>
      <c r="P2041">
        <v>144436.73000000001</v>
      </c>
      <c r="Q2041">
        <v>95329.65</v>
      </c>
      <c r="R2041">
        <v>648</v>
      </c>
      <c r="S2041">
        <v>1622</v>
      </c>
      <c r="T2041" t="s">
        <v>34</v>
      </c>
      <c r="U2041" t="s">
        <v>31</v>
      </c>
    </row>
    <row r="2042" spans="1:21">
      <c r="A2042" t="s">
        <v>3209</v>
      </c>
      <c r="B2042" t="s">
        <v>3210</v>
      </c>
      <c r="C2042" t="s">
        <v>3195</v>
      </c>
      <c r="D2042">
        <v>126000</v>
      </c>
      <c r="E2042">
        <v>7000</v>
      </c>
      <c r="F2042">
        <v>126000</v>
      </c>
      <c r="H2042">
        <v>5</v>
      </c>
      <c r="I2042" t="s">
        <v>89</v>
      </c>
      <c r="J2042">
        <v>23.82</v>
      </c>
      <c r="K2042">
        <v>17</v>
      </c>
      <c r="L2042">
        <v>10</v>
      </c>
      <c r="M2042" t="s">
        <v>3022</v>
      </c>
      <c r="N2042">
        <v>2</v>
      </c>
      <c r="O2042">
        <v>5.33</v>
      </c>
      <c r="P2042">
        <v>144436.73000000001</v>
      </c>
      <c r="Q2042">
        <v>95329.65</v>
      </c>
      <c r="R2042">
        <v>648</v>
      </c>
      <c r="S2042">
        <v>1622</v>
      </c>
      <c r="T2042" t="s">
        <v>34</v>
      </c>
      <c r="U2042" t="s">
        <v>90</v>
      </c>
    </row>
    <row r="2043" spans="1:21">
      <c r="A2043" t="s">
        <v>3211</v>
      </c>
      <c r="B2043" t="s">
        <v>3212</v>
      </c>
      <c r="C2043" t="s">
        <v>3059</v>
      </c>
      <c r="D2043">
        <v>75000</v>
      </c>
      <c r="E2043">
        <v>2000</v>
      </c>
      <c r="F2043">
        <v>75000</v>
      </c>
      <c r="G2043">
        <v>75000</v>
      </c>
      <c r="H2043">
        <v>2</v>
      </c>
      <c r="I2043" t="s">
        <v>89</v>
      </c>
      <c r="J2043">
        <v>19.87</v>
      </c>
      <c r="K2043">
        <v>16</v>
      </c>
      <c r="L2043">
        <v>3</v>
      </c>
      <c r="M2043" t="s">
        <v>3022</v>
      </c>
      <c r="N2043">
        <v>3</v>
      </c>
      <c r="O2043">
        <v>8.33</v>
      </c>
      <c r="P2043">
        <v>144436.73000000001</v>
      </c>
      <c r="Q2043">
        <v>95329.65</v>
      </c>
      <c r="R2043">
        <v>648</v>
      </c>
      <c r="S2043">
        <v>1622</v>
      </c>
      <c r="T2043" t="s">
        <v>108</v>
      </c>
      <c r="U2043" t="s">
        <v>90</v>
      </c>
    </row>
    <row r="2044" spans="1:21">
      <c r="A2044" t="s">
        <v>3213</v>
      </c>
      <c r="B2044" t="s">
        <v>3214</v>
      </c>
      <c r="C2044" t="s">
        <v>1228</v>
      </c>
      <c r="D2044">
        <v>73000</v>
      </c>
      <c r="E2044">
        <v>7000</v>
      </c>
      <c r="F2044">
        <v>73000</v>
      </c>
      <c r="G2044">
        <v>73000</v>
      </c>
      <c r="H2044">
        <v>2</v>
      </c>
      <c r="I2044" t="s">
        <v>89</v>
      </c>
      <c r="J2044">
        <v>19</v>
      </c>
      <c r="K2044">
        <v>23</v>
      </c>
      <c r="L2044">
        <v>7</v>
      </c>
      <c r="M2044" t="s">
        <v>3022</v>
      </c>
      <c r="N2044">
        <v>1</v>
      </c>
      <c r="O2044">
        <v>5</v>
      </c>
      <c r="P2044">
        <v>144436.73000000001</v>
      </c>
      <c r="Q2044">
        <v>95329.65</v>
      </c>
      <c r="R2044">
        <v>648</v>
      </c>
      <c r="S2044">
        <v>1622</v>
      </c>
      <c r="T2044" t="s">
        <v>108</v>
      </c>
      <c r="U2044" t="s">
        <v>27</v>
      </c>
    </row>
    <row r="2045" spans="1:21">
      <c r="A2045" t="s">
        <v>3215</v>
      </c>
      <c r="B2045" t="s">
        <v>3216</v>
      </c>
      <c r="C2045" t="s">
        <v>3195</v>
      </c>
      <c r="D2045">
        <v>65000</v>
      </c>
      <c r="E2045">
        <v>4500</v>
      </c>
      <c r="F2045">
        <v>65000</v>
      </c>
      <c r="G2045">
        <v>65000</v>
      </c>
      <c r="H2045">
        <v>1</v>
      </c>
      <c r="I2045" t="s">
        <v>89</v>
      </c>
      <c r="J2045">
        <v>23.77</v>
      </c>
      <c r="K2045">
        <v>38</v>
      </c>
      <c r="L2045">
        <v>4</v>
      </c>
      <c r="M2045" t="s">
        <v>3022</v>
      </c>
      <c r="N2045">
        <v>3</v>
      </c>
      <c r="O2045">
        <v>5.33</v>
      </c>
      <c r="P2045">
        <v>144436.73000000001</v>
      </c>
      <c r="Q2045">
        <v>95329.65</v>
      </c>
      <c r="R2045">
        <v>648</v>
      </c>
      <c r="S2045">
        <v>1622</v>
      </c>
      <c r="T2045" t="s">
        <v>34</v>
      </c>
      <c r="U2045" t="s">
        <v>49</v>
      </c>
    </row>
    <row r="2046" spans="1:21">
      <c r="A2046" t="s">
        <v>3217</v>
      </c>
      <c r="B2046" t="s">
        <v>3047</v>
      </c>
      <c r="C2046" t="s">
        <v>3025</v>
      </c>
      <c r="D2046">
        <v>130000</v>
      </c>
      <c r="E2046">
        <v>15000</v>
      </c>
      <c r="F2046">
        <v>130000</v>
      </c>
      <c r="G2046">
        <v>130000</v>
      </c>
      <c r="H2046">
        <v>1</v>
      </c>
      <c r="I2046" t="s">
        <v>89</v>
      </c>
      <c r="J2046">
        <v>25.5</v>
      </c>
      <c r="K2046">
        <v>3</v>
      </c>
      <c r="L2046">
        <v>5</v>
      </c>
      <c r="M2046" t="s">
        <v>3022</v>
      </c>
      <c r="N2046">
        <v>7</v>
      </c>
      <c r="O2046">
        <v>9.33</v>
      </c>
      <c r="P2046">
        <v>144436.73000000001</v>
      </c>
      <c r="Q2046">
        <v>95329.65</v>
      </c>
      <c r="R2046">
        <v>648</v>
      </c>
      <c r="S2046">
        <v>1622</v>
      </c>
      <c r="T2046" t="s">
        <v>34</v>
      </c>
      <c r="U2046" t="s">
        <v>31</v>
      </c>
    </row>
    <row r="2047" spans="1:21">
      <c r="A2047" t="s">
        <v>3218</v>
      </c>
      <c r="B2047" t="s">
        <v>3047</v>
      </c>
      <c r="C2047" t="s">
        <v>3025</v>
      </c>
      <c r="D2047">
        <v>144000</v>
      </c>
      <c r="E2047">
        <v>15000</v>
      </c>
      <c r="F2047">
        <v>144000</v>
      </c>
      <c r="G2047">
        <v>144000</v>
      </c>
      <c r="H2047">
        <v>1</v>
      </c>
      <c r="I2047" t="s">
        <v>89</v>
      </c>
      <c r="J2047">
        <v>31.35</v>
      </c>
      <c r="K2047">
        <v>3</v>
      </c>
      <c r="L2047">
        <v>5</v>
      </c>
      <c r="M2047" t="s">
        <v>3022</v>
      </c>
      <c r="N2047">
        <v>7</v>
      </c>
      <c r="O2047">
        <v>9.33</v>
      </c>
      <c r="P2047">
        <v>144436.73000000001</v>
      </c>
      <c r="Q2047">
        <v>95329.65</v>
      </c>
      <c r="R2047">
        <v>648</v>
      </c>
      <c r="S2047">
        <v>1622</v>
      </c>
      <c r="T2047" t="s">
        <v>26</v>
      </c>
      <c r="U2047" t="s">
        <v>31</v>
      </c>
    </row>
    <row r="2048" spans="1:21">
      <c r="A2048" t="s">
        <v>3219</v>
      </c>
      <c r="B2048" t="s">
        <v>3047</v>
      </c>
      <c r="C2048" t="s">
        <v>3025</v>
      </c>
      <c r="D2048">
        <v>140000</v>
      </c>
      <c r="E2048">
        <v>15000</v>
      </c>
      <c r="F2048">
        <v>140000</v>
      </c>
      <c r="G2048">
        <v>140000</v>
      </c>
      <c r="H2048">
        <v>2</v>
      </c>
      <c r="I2048" t="s">
        <v>89</v>
      </c>
      <c r="J2048">
        <v>28.87</v>
      </c>
      <c r="K2048">
        <v>3</v>
      </c>
      <c r="L2048">
        <v>5</v>
      </c>
      <c r="M2048" t="s">
        <v>3022</v>
      </c>
      <c r="N2048">
        <v>7</v>
      </c>
      <c r="O2048">
        <v>9.33</v>
      </c>
      <c r="P2048">
        <v>144436.73000000001</v>
      </c>
      <c r="Q2048">
        <v>95329.65</v>
      </c>
      <c r="R2048">
        <v>648</v>
      </c>
      <c r="S2048">
        <v>1622</v>
      </c>
      <c r="T2048" t="s">
        <v>34</v>
      </c>
      <c r="U2048" t="s">
        <v>31</v>
      </c>
    </row>
    <row r="2049" spans="1:21">
      <c r="A2049" t="s">
        <v>3220</v>
      </c>
      <c r="B2049" t="s">
        <v>3047</v>
      </c>
      <c r="C2049" t="s">
        <v>3025</v>
      </c>
      <c r="D2049">
        <v>135000</v>
      </c>
      <c r="E2049">
        <v>15000</v>
      </c>
      <c r="F2049">
        <v>135000</v>
      </c>
      <c r="G2049">
        <v>135000</v>
      </c>
      <c r="H2049">
        <v>3</v>
      </c>
      <c r="I2049" t="s">
        <v>89</v>
      </c>
      <c r="J2049">
        <v>25.5</v>
      </c>
      <c r="K2049">
        <v>3</v>
      </c>
      <c r="L2049">
        <v>5</v>
      </c>
      <c r="M2049" t="s">
        <v>3022</v>
      </c>
      <c r="N2049">
        <v>7</v>
      </c>
      <c r="O2049">
        <v>9.33</v>
      </c>
      <c r="P2049">
        <v>144436.73000000001</v>
      </c>
      <c r="Q2049">
        <v>95329.65</v>
      </c>
      <c r="R2049">
        <v>648</v>
      </c>
      <c r="S2049">
        <v>1622</v>
      </c>
      <c r="T2049" t="s">
        <v>34</v>
      </c>
      <c r="U2049" t="s">
        <v>31</v>
      </c>
    </row>
    <row r="2050" spans="1:21">
      <c r="A2050" t="s">
        <v>3221</v>
      </c>
      <c r="B2050" t="s">
        <v>3047</v>
      </c>
      <c r="C2050" t="s">
        <v>3025</v>
      </c>
      <c r="D2050">
        <v>139000</v>
      </c>
      <c r="E2050">
        <v>15000</v>
      </c>
      <c r="F2050">
        <v>139000</v>
      </c>
      <c r="G2050">
        <v>139000</v>
      </c>
      <c r="H2050">
        <v>3</v>
      </c>
      <c r="I2050" t="s">
        <v>89</v>
      </c>
      <c r="J2050">
        <v>25.5</v>
      </c>
      <c r="K2050">
        <v>3</v>
      </c>
      <c r="L2050">
        <v>5</v>
      </c>
      <c r="M2050" t="s">
        <v>3022</v>
      </c>
      <c r="N2050">
        <v>7</v>
      </c>
      <c r="O2050">
        <v>9.33</v>
      </c>
      <c r="P2050">
        <v>144436.73000000001</v>
      </c>
      <c r="Q2050">
        <v>95329.65</v>
      </c>
      <c r="R2050">
        <v>648</v>
      </c>
      <c r="S2050">
        <v>1622</v>
      </c>
      <c r="T2050" t="s">
        <v>34</v>
      </c>
      <c r="U2050" t="s">
        <v>31</v>
      </c>
    </row>
    <row r="2051" spans="1:21">
      <c r="A2051" t="s">
        <v>3222</v>
      </c>
      <c r="B2051" t="s">
        <v>3047</v>
      </c>
      <c r="C2051" t="s">
        <v>3025</v>
      </c>
      <c r="D2051">
        <v>145000</v>
      </c>
      <c r="E2051">
        <v>15000</v>
      </c>
      <c r="F2051">
        <v>145000</v>
      </c>
      <c r="G2051">
        <v>145000</v>
      </c>
      <c r="H2051">
        <v>3</v>
      </c>
      <c r="I2051" t="s">
        <v>89</v>
      </c>
      <c r="J2051">
        <v>28.87</v>
      </c>
      <c r="K2051">
        <v>3</v>
      </c>
      <c r="L2051">
        <v>5</v>
      </c>
      <c r="M2051" t="s">
        <v>3022</v>
      </c>
      <c r="N2051">
        <v>7</v>
      </c>
      <c r="O2051">
        <v>9.33</v>
      </c>
      <c r="P2051">
        <v>144436.73000000001</v>
      </c>
      <c r="Q2051">
        <v>95329.65</v>
      </c>
      <c r="R2051">
        <v>648</v>
      </c>
      <c r="S2051">
        <v>1622</v>
      </c>
      <c r="T2051" t="s">
        <v>34</v>
      </c>
      <c r="U2051" t="s">
        <v>31</v>
      </c>
    </row>
    <row r="2052" spans="1:21">
      <c r="A2052" t="s">
        <v>3223</v>
      </c>
      <c r="B2052" t="s">
        <v>3224</v>
      </c>
      <c r="C2052" t="s">
        <v>3059</v>
      </c>
      <c r="D2052">
        <v>79000</v>
      </c>
      <c r="E2052">
        <v>4000</v>
      </c>
      <c r="F2052">
        <v>79000</v>
      </c>
      <c r="G2052">
        <v>118500</v>
      </c>
      <c r="H2052">
        <v>1</v>
      </c>
      <c r="I2052" t="s">
        <v>89</v>
      </c>
      <c r="J2052">
        <v>18.63</v>
      </c>
      <c r="K2052">
        <v>38</v>
      </c>
      <c r="L2052">
        <v>2</v>
      </c>
      <c r="M2052" t="s">
        <v>3022</v>
      </c>
      <c r="N2052">
        <v>4</v>
      </c>
      <c r="O2052">
        <v>5</v>
      </c>
      <c r="P2052">
        <v>144436.73000000001</v>
      </c>
      <c r="Q2052">
        <v>95329.65</v>
      </c>
      <c r="R2052">
        <v>648</v>
      </c>
      <c r="S2052">
        <v>1622</v>
      </c>
      <c r="T2052" t="s">
        <v>108</v>
      </c>
      <c r="U2052" t="s">
        <v>49</v>
      </c>
    </row>
    <row r="2053" spans="1:21">
      <c r="A2053" t="s">
        <v>3225</v>
      </c>
      <c r="B2053" t="s">
        <v>3226</v>
      </c>
      <c r="C2053" t="s">
        <v>1768</v>
      </c>
      <c r="D2053">
        <v>86000</v>
      </c>
      <c r="E2053">
        <v>10000</v>
      </c>
      <c r="F2053">
        <v>43000</v>
      </c>
      <c r="G2053">
        <v>86000</v>
      </c>
      <c r="H2053">
        <v>3</v>
      </c>
      <c r="I2053" t="s">
        <v>89</v>
      </c>
      <c r="J2053">
        <v>21.49</v>
      </c>
      <c r="K2053">
        <v>23</v>
      </c>
      <c r="L2053">
        <v>6</v>
      </c>
      <c r="M2053" t="s">
        <v>3022</v>
      </c>
      <c r="N2053">
        <v>11</v>
      </c>
      <c r="O2053">
        <v>13.67</v>
      </c>
      <c r="P2053">
        <v>144436.73000000001</v>
      </c>
      <c r="Q2053">
        <v>95329.65</v>
      </c>
      <c r="R2053">
        <v>648</v>
      </c>
      <c r="S2053">
        <v>1622</v>
      </c>
      <c r="T2053" t="s">
        <v>34</v>
      </c>
      <c r="U2053" t="s">
        <v>27</v>
      </c>
    </row>
    <row r="2054" spans="1:21">
      <c r="A2054" t="s">
        <v>3227</v>
      </c>
      <c r="B2054" t="s">
        <v>3226</v>
      </c>
      <c r="C2054" t="s">
        <v>1768</v>
      </c>
      <c r="D2054">
        <v>92000</v>
      </c>
      <c r="E2054">
        <v>10000</v>
      </c>
      <c r="F2054">
        <v>46000</v>
      </c>
      <c r="G2054">
        <v>92000</v>
      </c>
      <c r="H2054">
        <v>3</v>
      </c>
      <c r="I2054" t="s">
        <v>89</v>
      </c>
      <c r="J2054">
        <v>22.47</v>
      </c>
      <c r="K2054">
        <v>23</v>
      </c>
      <c r="L2054">
        <v>6</v>
      </c>
      <c r="M2054" t="s">
        <v>3022</v>
      </c>
      <c r="N2054">
        <v>11</v>
      </c>
      <c r="O2054">
        <v>13.67</v>
      </c>
      <c r="P2054">
        <v>144436.73000000001</v>
      </c>
      <c r="Q2054">
        <v>95329.65</v>
      </c>
      <c r="R2054">
        <v>648</v>
      </c>
      <c r="S2054">
        <v>1622</v>
      </c>
      <c r="T2054" t="s">
        <v>34</v>
      </c>
      <c r="U2054" t="s">
        <v>27</v>
      </c>
    </row>
    <row r="2055" spans="1:21">
      <c r="A2055" t="s">
        <v>3228</v>
      </c>
      <c r="B2055" t="s">
        <v>3226</v>
      </c>
      <c r="C2055" t="s">
        <v>1768</v>
      </c>
      <c r="D2055">
        <v>97000</v>
      </c>
      <c r="E2055">
        <v>5000</v>
      </c>
      <c r="G2055">
        <v>97000</v>
      </c>
      <c r="H2055">
        <v>4</v>
      </c>
      <c r="I2055" t="s">
        <v>89</v>
      </c>
      <c r="J2055">
        <v>21.97</v>
      </c>
      <c r="K2055">
        <v>23</v>
      </c>
      <c r="L2055">
        <v>6</v>
      </c>
      <c r="M2055" t="s">
        <v>3022</v>
      </c>
      <c r="N2055">
        <v>11</v>
      </c>
      <c r="O2055">
        <v>13.67</v>
      </c>
      <c r="P2055">
        <v>144436.73000000001</v>
      </c>
      <c r="Q2055">
        <v>95329.65</v>
      </c>
      <c r="R2055">
        <v>648</v>
      </c>
      <c r="S2055">
        <v>1622</v>
      </c>
      <c r="T2055" t="s">
        <v>34</v>
      </c>
      <c r="U2055" t="s">
        <v>27</v>
      </c>
    </row>
    <row r="2056" spans="1:21">
      <c r="A2056" t="s">
        <v>3229</v>
      </c>
      <c r="B2056" t="s">
        <v>3230</v>
      </c>
      <c r="C2056" t="s">
        <v>1773</v>
      </c>
      <c r="D2056">
        <v>75000</v>
      </c>
      <c r="E2056">
        <v>3000</v>
      </c>
      <c r="F2056">
        <v>75000</v>
      </c>
      <c r="G2056">
        <v>75000</v>
      </c>
      <c r="H2056">
        <v>1</v>
      </c>
      <c r="I2056" t="s">
        <v>89</v>
      </c>
      <c r="J2056">
        <v>23.14</v>
      </c>
      <c r="K2056">
        <v>29</v>
      </c>
      <c r="L2056">
        <v>3</v>
      </c>
      <c r="M2056" t="s">
        <v>3022</v>
      </c>
      <c r="N2056">
        <v>4</v>
      </c>
      <c r="O2056">
        <v>9</v>
      </c>
      <c r="P2056">
        <v>144436.73000000001</v>
      </c>
      <c r="Q2056">
        <v>95329.65</v>
      </c>
      <c r="R2056">
        <v>648</v>
      </c>
      <c r="S2056">
        <v>1622</v>
      </c>
      <c r="T2056" t="s">
        <v>34</v>
      </c>
      <c r="U2056" t="s">
        <v>27</v>
      </c>
    </row>
    <row r="2057" spans="1:21">
      <c r="A2057" t="s">
        <v>3231</v>
      </c>
      <c r="B2057" t="s">
        <v>3232</v>
      </c>
      <c r="C2057" t="s">
        <v>1768</v>
      </c>
      <c r="D2057">
        <v>68000</v>
      </c>
      <c r="E2057">
        <v>6000</v>
      </c>
      <c r="F2057">
        <v>68000</v>
      </c>
      <c r="G2057">
        <v>68000</v>
      </c>
      <c r="H2057">
        <v>4</v>
      </c>
      <c r="I2057" t="s">
        <v>89</v>
      </c>
      <c r="J2057">
        <v>19.04</v>
      </c>
      <c r="K2057">
        <v>30</v>
      </c>
      <c r="L2057">
        <v>5</v>
      </c>
      <c r="M2057" t="s">
        <v>3022</v>
      </c>
      <c r="N2057">
        <v>5</v>
      </c>
      <c r="O2057">
        <v>9.33</v>
      </c>
      <c r="P2057">
        <v>144436.73000000001</v>
      </c>
      <c r="Q2057">
        <v>95329.65</v>
      </c>
      <c r="R2057">
        <v>648</v>
      </c>
      <c r="S2057">
        <v>1622</v>
      </c>
      <c r="T2057" t="s">
        <v>108</v>
      </c>
      <c r="U2057" t="s">
        <v>27</v>
      </c>
    </row>
    <row r="2058" spans="1:21">
      <c r="A2058" t="s">
        <v>3233</v>
      </c>
      <c r="B2058" t="s">
        <v>3234</v>
      </c>
      <c r="C2058" t="s">
        <v>1768</v>
      </c>
      <c r="D2058">
        <v>96000</v>
      </c>
      <c r="E2058">
        <v>11000</v>
      </c>
      <c r="G2058">
        <v>96000</v>
      </c>
      <c r="H2058">
        <v>5</v>
      </c>
      <c r="I2058" t="s">
        <v>89</v>
      </c>
      <c r="J2058">
        <v>19.25</v>
      </c>
      <c r="K2058">
        <v>29</v>
      </c>
      <c r="L2058">
        <v>8</v>
      </c>
      <c r="M2058" t="s">
        <v>3022</v>
      </c>
      <c r="N2058">
        <v>8</v>
      </c>
      <c r="O2058">
        <v>10</v>
      </c>
      <c r="P2058">
        <v>144436.73000000001</v>
      </c>
      <c r="Q2058">
        <v>95329.65</v>
      </c>
      <c r="R2058">
        <v>648</v>
      </c>
      <c r="S2058">
        <v>1622</v>
      </c>
      <c r="T2058" t="s">
        <v>108</v>
      </c>
      <c r="U2058" t="s">
        <v>27</v>
      </c>
    </row>
    <row r="2059" spans="1:21">
      <c r="A2059" t="s">
        <v>3235</v>
      </c>
      <c r="B2059" t="s">
        <v>3236</v>
      </c>
      <c r="C2059" t="s">
        <v>1773</v>
      </c>
      <c r="D2059">
        <v>75000</v>
      </c>
      <c r="E2059">
        <v>10000</v>
      </c>
      <c r="H2059">
        <v>1</v>
      </c>
      <c r="I2059" t="s">
        <v>89</v>
      </c>
      <c r="J2059">
        <v>22.86</v>
      </c>
      <c r="K2059">
        <v>34</v>
      </c>
      <c r="L2059">
        <v>2</v>
      </c>
      <c r="M2059" t="s">
        <v>3022</v>
      </c>
      <c r="N2059">
        <v>5</v>
      </c>
      <c r="O2059">
        <v>10.67</v>
      </c>
      <c r="P2059">
        <v>144436.73000000001</v>
      </c>
      <c r="Q2059">
        <v>95329.65</v>
      </c>
      <c r="R2059">
        <v>648</v>
      </c>
      <c r="S2059">
        <v>1622</v>
      </c>
      <c r="T2059" t="s">
        <v>34</v>
      </c>
      <c r="U2059" t="s">
        <v>49</v>
      </c>
    </row>
    <row r="2060" spans="1:21">
      <c r="A2060" t="s">
        <v>3237</v>
      </c>
      <c r="B2060" t="s">
        <v>3238</v>
      </c>
      <c r="C2060" t="s">
        <v>1890</v>
      </c>
      <c r="D2060">
        <v>72000</v>
      </c>
      <c r="E2060">
        <v>6000</v>
      </c>
      <c r="F2060">
        <v>72000</v>
      </c>
      <c r="G2060">
        <v>72000</v>
      </c>
      <c r="H2060">
        <v>1</v>
      </c>
      <c r="I2060" t="s">
        <v>89</v>
      </c>
      <c r="J2060">
        <v>24.41</v>
      </c>
      <c r="K2060">
        <v>49</v>
      </c>
      <c r="L2060">
        <v>2</v>
      </c>
      <c r="M2060" t="s">
        <v>3022</v>
      </c>
      <c r="N2060">
        <v>10</v>
      </c>
      <c r="O2060">
        <v>13</v>
      </c>
      <c r="P2060">
        <v>144436.73000000001</v>
      </c>
      <c r="Q2060">
        <v>95329.65</v>
      </c>
      <c r="R2060">
        <v>648</v>
      </c>
      <c r="S2060">
        <v>1622</v>
      </c>
      <c r="T2060" t="s">
        <v>34</v>
      </c>
      <c r="U2060" t="s">
        <v>42</v>
      </c>
    </row>
    <row r="2061" spans="1:21">
      <c r="A2061" t="s">
        <v>3239</v>
      </c>
      <c r="B2061" t="s">
        <v>3240</v>
      </c>
      <c r="C2061" t="s">
        <v>1890</v>
      </c>
      <c r="D2061">
        <v>70000</v>
      </c>
      <c r="E2061">
        <v>4000</v>
      </c>
      <c r="F2061">
        <v>70000</v>
      </c>
      <c r="G2061">
        <v>70000</v>
      </c>
      <c r="H2061">
        <v>1</v>
      </c>
      <c r="I2061" t="s">
        <v>89</v>
      </c>
      <c r="J2061">
        <v>18.5</v>
      </c>
      <c r="K2061">
        <v>19</v>
      </c>
      <c r="L2061">
        <v>2</v>
      </c>
      <c r="M2061" t="s">
        <v>3022</v>
      </c>
      <c r="N2061">
        <v>10</v>
      </c>
      <c r="O2061">
        <v>10.33</v>
      </c>
      <c r="P2061">
        <v>144436.73000000001</v>
      </c>
      <c r="Q2061">
        <v>95329.65</v>
      </c>
      <c r="R2061">
        <v>648</v>
      </c>
      <c r="S2061">
        <v>1622</v>
      </c>
      <c r="T2061" t="s">
        <v>108</v>
      </c>
      <c r="U2061" t="s">
        <v>90</v>
      </c>
    </row>
    <row r="2062" spans="1:21">
      <c r="A2062" t="s">
        <v>3241</v>
      </c>
      <c r="B2062" t="s">
        <v>3242</v>
      </c>
      <c r="C2062" t="s">
        <v>1231</v>
      </c>
      <c r="D2062">
        <v>95000</v>
      </c>
      <c r="E2062">
        <v>5000</v>
      </c>
      <c r="F2062">
        <v>95000</v>
      </c>
      <c r="G2062">
        <v>95000</v>
      </c>
      <c r="H2062">
        <v>2</v>
      </c>
      <c r="I2062" t="s">
        <v>89</v>
      </c>
      <c r="J2062">
        <v>24.01</v>
      </c>
      <c r="K2062">
        <v>22</v>
      </c>
      <c r="L2062">
        <v>8</v>
      </c>
      <c r="M2062" t="s">
        <v>3022</v>
      </c>
      <c r="N2062">
        <v>4</v>
      </c>
      <c r="O2062">
        <v>9</v>
      </c>
      <c r="P2062">
        <v>144436.73000000001</v>
      </c>
      <c r="Q2062">
        <v>95329.65</v>
      </c>
      <c r="R2062">
        <v>648</v>
      </c>
      <c r="S2062">
        <v>1622</v>
      </c>
      <c r="T2062" t="s">
        <v>34</v>
      </c>
      <c r="U2062" t="s">
        <v>27</v>
      </c>
    </row>
    <row r="2063" spans="1:21">
      <c r="A2063" t="s">
        <v>3243</v>
      </c>
      <c r="B2063" t="s">
        <v>3244</v>
      </c>
      <c r="C2063" t="s">
        <v>3025</v>
      </c>
      <c r="D2063">
        <v>72000</v>
      </c>
      <c r="E2063">
        <v>6000</v>
      </c>
      <c r="H2063">
        <v>2</v>
      </c>
      <c r="I2063" t="s">
        <v>89</v>
      </c>
      <c r="J2063">
        <v>20.02</v>
      </c>
      <c r="K2063">
        <v>34</v>
      </c>
      <c r="L2063">
        <v>5</v>
      </c>
      <c r="M2063" t="s">
        <v>3022</v>
      </c>
      <c r="N2063">
        <v>4</v>
      </c>
      <c r="O2063">
        <v>10.33</v>
      </c>
      <c r="P2063">
        <v>144436.73000000001</v>
      </c>
      <c r="Q2063">
        <v>95329.65</v>
      </c>
      <c r="R2063">
        <v>648</v>
      </c>
      <c r="S2063">
        <v>1622</v>
      </c>
      <c r="T2063" t="s">
        <v>34</v>
      </c>
      <c r="U2063" t="s">
        <v>49</v>
      </c>
    </row>
    <row r="2064" spans="1:21">
      <c r="A2064" t="s">
        <v>3245</v>
      </c>
      <c r="B2064" t="s">
        <v>3246</v>
      </c>
      <c r="C2064" t="s">
        <v>1768</v>
      </c>
      <c r="D2064">
        <v>115000</v>
      </c>
      <c r="E2064">
        <v>14000</v>
      </c>
      <c r="G2064">
        <v>115000</v>
      </c>
      <c r="H2064">
        <v>5</v>
      </c>
      <c r="I2064" t="s">
        <v>89</v>
      </c>
      <c r="J2064">
        <v>26.83</v>
      </c>
      <c r="K2064">
        <v>10</v>
      </c>
      <c r="L2064">
        <v>9</v>
      </c>
      <c r="M2064" t="s">
        <v>3022</v>
      </c>
      <c r="N2064">
        <v>5</v>
      </c>
      <c r="O2064">
        <v>10</v>
      </c>
      <c r="P2064">
        <v>144436.73000000001</v>
      </c>
      <c r="Q2064">
        <v>95329.65</v>
      </c>
      <c r="R2064">
        <v>648</v>
      </c>
      <c r="S2064">
        <v>1622</v>
      </c>
      <c r="T2064" t="s">
        <v>34</v>
      </c>
      <c r="U2064" t="s">
        <v>31</v>
      </c>
    </row>
    <row r="2065" spans="1:21">
      <c r="A2065" t="s">
        <v>3247</v>
      </c>
      <c r="B2065" t="s">
        <v>3246</v>
      </c>
      <c r="C2065" t="s">
        <v>1768</v>
      </c>
      <c r="D2065">
        <v>125000</v>
      </c>
      <c r="E2065">
        <v>14000</v>
      </c>
      <c r="G2065">
        <v>125000</v>
      </c>
      <c r="H2065">
        <v>5</v>
      </c>
      <c r="I2065" t="s">
        <v>89</v>
      </c>
      <c r="J2065">
        <v>26.83</v>
      </c>
      <c r="K2065">
        <v>10</v>
      </c>
      <c r="L2065">
        <v>9</v>
      </c>
      <c r="M2065" t="s">
        <v>3022</v>
      </c>
      <c r="N2065">
        <v>5</v>
      </c>
      <c r="O2065">
        <v>10</v>
      </c>
      <c r="P2065">
        <v>144436.73000000001</v>
      </c>
      <c r="Q2065">
        <v>95329.65</v>
      </c>
      <c r="R2065">
        <v>648</v>
      </c>
      <c r="S2065">
        <v>1622</v>
      </c>
      <c r="T2065" t="s">
        <v>34</v>
      </c>
      <c r="U2065" t="s">
        <v>31</v>
      </c>
    </row>
    <row r="2066" spans="1:21">
      <c r="A2066" t="s">
        <v>3248</v>
      </c>
      <c r="B2066" t="s">
        <v>3246</v>
      </c>
      <c r="C2066" t="s">
        <v>1768</v>
      </c>
      <c r="D2066">
        <v>125000</v>
      </c>
      <c r="E2066">
        <v>14000</v>
      </c>
      <c r="G2066">
        <v>125000</v>
      </c>
      <c r="H2066">
        <v>7</v>
      </c>
      <c r="I2066" t="s">
        <v>89</v>
      </c>
      <c r="J2066">
        <v>26.83</v>
      </c>
      <c r="K2066">
        <v>10</v>
      </c>
      <c r="L2066">
        <v>9</v>
      </c>
      <c r="M2066" t="s">
        <v>3022</v>
      </c>
      <c r="N2066">
        <v>5</v>
      </c>
      <c r="O2066">
        <v>10</v>
      </c>
      <c r="P2066">
        <v>144436.73000000001</v>
      </c>
      <c r="Q2066">
        <v>95329.65</v>
      </c>
      <c r="R2066">
        <v>648</v>
      </c>
      <c r="S2066">
        <v>1622</v>
      </c>
      <c r="T2066" t="s">
        <v>34</v>
      </c>
      <c r="U2066" t="s">
        <v>31</v>
      </c>
    </row>
    <row r="2067" spans="1:21">
      <c r="A2067" t="s">
        <v>3249</v>
      </c>
      <c r="B2067" t="s">
        <v>3250</v>
      </c>
      <c r="C2067" t="s">
        <v>1228</v>
      </c>
      <c r="D2067">
        <v>57000</v>
      </c>
      <c r="E2067">
        <v>1000</v>
      </c>
      <c r="H2067">
        <v>1</v>
      </c>
      <c r="I2067" t="s">
        <v>89</v>
      </c>
      <c r="J2067">
        <v>19</v>
      </c>
      <c r="K2067">
        <v>56</v>
      </c>
      <c r="L2067">
        <v>2</v>
      </c>
      <c r="M2067" t="s">
        <v>3022</v>
      </c>
      <c r="N2067">
        <v>3</v>
      </c>
      <c r="O2067">
        <v>8.67</v>
      </c>
      <c r="P2067">
        <v>144436.73000000001</v>
      </c>
      <c r="Q2067">
        <v>95329.65</v>
      </c>
      <c r="R2067">
        <v>648</v>
      </c>
      <c r="S2067">
        <v>1622</v>
      </c>
      <c r="T2067" t="s">
        <v>108</v>
      </c>
      <c r="U2067" t="s">
        <v>57</v>
      </c>
    </row>
    <row r="2068" spans="1:21">
      <c r="A2068" t="s">
        <v>3251</v>
      </c>
      <c r="B2068" t="s">
        <v>3252</v>
      </c>
      <c r="C2068" t="s">
        <v>1228</v>
      </c>
      <c r="D2068">
        <v>119000</v>
      </c>
      <c r="E2068">
        <v>10000</v>
      </c>
      <c r="G2068">
        <v>119000</v>
      </c>
      <c r="H2068">
        <v>2</v>
      </c>
      <c r="I2068" t="s">
        <v>89</v>
      </c>
      <c r="J2068">
        <v>25.52</v>
      </c>
      <c r="K2068">
        <v>8</v>
      </c>
      <c r="L2068">
        <v>10</v>
      </c>
      <c r="M2068" t="s">
        <v>3022</v>
      </c>
      <c r="N2068">
        <v>2</v>
      </c>
      <c r="O2068">
        <v>10</v>
      </c>
      <c r="P2068">
        <v>144436.73000000001</v>
      </c>
      <c r="Q2068">
        <v>95329.65</v>
      </c>
      <c r="R2068">
        <v>648</v>
      </c>
      <c r="S2068">
        <v>1622</v>
      </c>
      <c r="T2068" t="s">
        <v>34</v>
      </c>
      <c r="U2068" t="s">
        <v>31</v>
      </c>
    </row>
    <row r="2069" spans="1:21">
      <c r="A2069" t="s">
        <v>3253</v>
      </c>
      <c r="B2069" t="s">
        <v>3252</v>
      </c>
      <c r="C2069" t="s">
        <v>1228</v>
      </c>
      <c r="D2069">
        <v>110000</v>
      </c>
      <c r="E2069">
        <v>15000</v>
      </c>
      <c r="G2069">
        <v>110000</v>
      </c>
      <c r="H2069">
        <v>3</v>
      </c>
      <c r="I2069" t="s">
        <v>89</v>
      </c>
      <c r="J2069">
        <v>25.77</v>
      </c>
      <c r="K2069">
        <v>8</v>
      </c>
      <c r="L2069">
        <v>10</v>
      </c>
      <c r="M2069" t="s">
        <v>3022</v>
      </c>
      <c r="N2069">
        <v>2</v>
      </c>
      <c r="O2069">
        <v>10</v>
      </c>
      <c r="P2069">
        <v>144436.73000000001</v>
      </c>
      <c r="Q2069">
        <v>95329.65</v>
      </c>
      <c r="R2069">
        <v>648</v>
      </c>
      <c r="S2069">
        <v>1622</v>
      </c>
      <c r="T2069" t="s">
        <v>34</v>
      </c>
      <c r="U2069" t="s">
        <v>31</v>
      </c>
    </row>
    <row r="2070" spans="1:21">
      <c r="A2070" t="s">
        <v>3254</v>
      </c>
      <c r="B2070" t="s">
        <v>3252</v>
      </c>
      <c r="C2070" t="s">
        <v>1228</v>
      </c>
      <c r="D2070">
        <v>145000</v>
      </c>
      <c r="E2070">
        <v>11000</v>
      </c>
      <c r="G2070">
        <v>145000</v>
      </c>
      <c r="H2070">
        <v>8</v>
      </c>
      <c r="I2070" t="s">
        <v>89</v>
      </c>
      <c r="J2070">
        <v>26.06</v>
      </c>
      <c r="K2070">
        <v>8</v>
      </c>
      <c r="L2070">
        <v>10</v>
      </c>
      <c r="M2070" t="s">
        <v>3022</v>
      </c>
      <c r="N2070">
        <v>2</v>
      </c>
      <c r="O2070">
        <v>10</v>
      </c>
      <c r="P2070">
        <v>144436.73000000001</v>
      </c>
      <c r="Q2070">
        <v>95329.65</v>
      </c>
      <c r="R2070">
        <v>648</v>
      </c>
      <c r="S2070">
        <v>1622</v>
      </c>
      <c r="T2070" t="s">
        <v>34</v>
      </c>
      <c r="U2070" t="s">
        <v>31</v>
      </c>
    </row>
    <row r="2071" spans="1:21">
      <c r="A2071" t="s">
        <v>3255</v>
      </c>
      <c r="B2071" t="s">
        <v>3256</v>
      </c>
      <c r="C2071" t="s">
        <v>1768</v>
      </c>
      <c r="D2071">
        <v>112000</v>
      </c>
      <c r="E2071">
        <v>6000</v>
      </c>
      <c r="F2071">
        <v>112000</v>
      </c>
      <c r="G2071">
        <v>112000</v>
      </c>
      <c r="H2071">
        <v>3</v>
      </c>
      <c r="I2071" t="s">
        <v>89</v>
      </c>
      <c r="J2071">
        <v>30.72</v>
      </c>
      <c r="K2071">
        <v>23</v>
      </c>
      <c r="L2071">
        <v>4</v>
      </c>
      <c r="M2071" t="s">
        <v>3022</v>
      </c>
      <c r="N2071">
        <v>8</v>
      </c>
      <c r="O2071">
        <v>8</v>
      </c>
      <c r="P2071">
        <v>144436.73000000001</v>
      </c>
      <c r="Q2071">
        <v>95329.65</v>
      </c>
      <c r="R2071">
        <v>648</v>
      </c>
      <c r="S2071">
        <v>1622</v>
      </c>
      <c r="T2071" t="s">
        <v>26</v>
      </c>
      <c r="U2071" t="s">
        <v>27</v>
      </c>
    </row>
    <row r="2072" spans="1:21">
      <c r="A2072" t="s">
        <v>3257</v>
      </c>
      <c r="B2072" t="s">
        <v>3258</v>
      </c>
      <c r="C2072" t="s">
        <v>1890</v>
      </c>
      <c r="D2072">
        <v>73000</v>
      </c>
      <c r="E2072">
        <v>2000</v>
      </c>
      <c r="F2072">
        <v>73000</v>
      </c>
      <c r="G2072">
        <v>73000</v>
      </c>
      <c r="H2072">
        <v>1</v>
      </c>
      <c r="I2072" t="s">
        <v>89</v>
      </c>
      <c r="J2072">
        <v>15.4</v>
      </c>
      <c r="K2072">
        <v>33</v>
      </c>
      <c r="L2072">
        <v>3</v>
      </c>
      <c r="M2072" t="s">
        <v>3022</v>
      </c>
      <c r="N2072">
        <v>10</v>
      </c>
      <c r="O2072">
        <v>11</v>
      </c>
      <c r="P2072">
        <v>144436.73000000001</v>
      </c>
      <c r="Q2072">
        <v>95329.65</v>
      </c>
      <c r="R2072">
        <v>648</v>
      </c>
      <c r="S2072">
        <v>1622</v>
      </c>
      <c r="T2072" t="s">
        <v>108</v>
      </c>
      <c r="U2072" t="s">
        <v>49</v>
      </c>
    </row>
    <row r="2073" spans="1:21">
      <c r="A2073" t="s">
        <v>3259</v>
      </c>
      <c r="B2073" t="s">
        <v>3258</v>
      </c>
      <c r="C2073" t="s">
        <v>1890</v>
      </c>
      <c r="D2073">
        <v>74000</v>
      </c>
      <c r="E2073">
        <v>2000</v>
      </c>
      <c r="F2073">
        <v>74000</v>
      </c>
      <c r="G2073">
        <v>74000</v>
      </c>
      <c r="H2073">
        <v>1</v>
      </c>
      <c r="I2073" t="s">
        <v>89</v>
      </c>
      <c r="J2073">
        <v>15.4</v>
      </c>
      <c r="K2073">
        <v>33</v>
      </c>
      <c r="L2073">
        <v>3</v>
      </c>
      <c r="M2073" t="s">
        <v>3022</v>
      </c>
      <c r="N2073">
        <v>10</v>
      </c>
      <c r="O2073">
        <v>11</v>
      </c>
      <c r="P2073">
        <v>144436.73000000001</v>
      </c>
      <c r="Q2073">
        <v>95329.65</v>
      </c>
      <c r="R2073">
        <v>648</v>
      </c>
      <c r="S2073">
        <v>1622</v>
      </c>
      <c r="T2073" t="s">
        <v>108</v>
      </c>
      <c r="U2073" t="s">
        <v>49</v>
      </c>
    </row>
    <row r="2074" spans="1:21">
      <c r="A2074" t="s">
        <v>3260</v>
      </c>
      <c r="B2074" t="s">
        <v>3258</v>
      </c>
      <c r="C2074" t="s">
        <v>1890</v>
      </c>
      <c r="D2074">
        <v>77000</v>
      </c>
      <c r="E2074">
        <v>2000</v>
      </c>
      <c r="F2074">
        <v>77000</v>
      </c>
      <c r="G2074">
        <v>77000</v>
      </c>
      <c r="H2074">
        <v>2</v>
      </c>
      <c r="I2074" t="s">
        <v>89</v>
      </c>
      <c r="J2074">
        <v>15.4</v>
      </c>
      <c r="K2074">
        <v>33</v>
      </c>
      <c r="L2074">
        <v>3</v>
      </c>
      <c r="M2074" t="s">
        <v>3022</v>
      </c>
      <c r="N2074">
        <v>10</v>
      </c>
      <c r="O2074">
        <v>11</v>
      </c>
      <c r="P2074">
        <v>144436.73000000001</v>
      </c>
      <c r="Q2074">
        <v>95329.65</v>
      </c>
      <c r="R2074">
        <v>648</v>
      </c>
      <c r="S2074">
        <v>1622</v>
      </c>
      <c r="T2074" t="s">
        <v>108</v>
      </c>
      <c r="U2074" t="s">
        <v>49</v>
      </c>
    </row>
    <row r="2075" spans="1:21">
      <c r="A2075" t="s">
        <v>3261</v>
      </c>
      <c r="B2075" t="s">
        <v>3262</v>
      </c>
      <c r="C2075" t="s">
        <v>1768</v>
      </c>
      <c r="D2075">
        <v>110000</v>
      </c>
      <c r="F2075">
        <v>110000</v>
      </c>
      <c r="G2075">
        <v>110000</v>
      </c>
      <c r="H2075">
        <v>2</v>
      </c>
      <c r="I2075" t="s">
        <v>89</v>
      </c>
      <c r="J2075">
        <v>33.97</v>
      </c>
      <c r="K2075">
        <v>19</v>
      </c>
      <c r="L2075">
        <v>3</v>
      </c>
      <c r="M2075" t="s">
        <v>3022</v>
      </c>
      <c r="N2075">
        <v>7</v>
      </c>
      <c r="O2075">
        <v>9.33</v>
      </c>
      <c r="P2075">
        <v>144436.73000000001</v>
      </c>
      <c r="Q2075">
        <v>95329.65</v>
      </c>
      <c r="R2075">
        <v>648</v>
      </c>
      <c r="S2075">
        <v>1622</v>
      </c>
      <c r="T2075" t="s">
        <v>26</v>
      </c>
      <c r="U2075" t="s">
        <v>90</v>
      </c>
    </row>
    <row r="2076" spans="1:21">
      <c r="A2076" t="s">
        <v>3263</v>
      </c>
      <c r="B2076" t="s">
        <v>3262</v>
      </c>
      <c r="C2076" t="s">
        <v>1768</v>
      </c>
      <c r="D2076">
        <v>110000</v>
      </c>
      <c r="F2076">
        <v>110000</v>
      </c>
      <c r="G2076">
        <v>110000</v>
      </c>
      <c r="H2076">
        <v>3</v>
      </c>
      <c r="I2076" t="s">
        <v>89</v>
      </c>
      <c r="J2076">
        <v>33.97</v>
      </c>
      <c r="K2076">
        <v>19</v>
      </c>
      <c r="L2076">
        <v>3</v>
      </c>
      <c r="M2076" t="s">
        <v>3022</v>
      </c>
      <c r="N2076">
        <v>7</v>
      </c>
      <c r="O2076">
        <v>9.33</v>
      </c>
      <c r="P2076">
        <v>144436.73000000001</v>
      </c>
      <c r="Q2076">
        <v>95329.65</v>
      </c>
      <c r="R2076">
        <v>648</v>
      </c>
      <c r="S2076">
        <v>1622</v>
      </c>
      <c r="T2076" t="s">
        <v>26</v>
      </c>
      <c r="U2076" t="s">
        <v>90</v>
      </c>
    </row>
    <row r="2077" spans="1:21">
      <c r="A2077" t="s">
        <v>3264</v>
      </c>
      <c r="B2077" t="s">
        <v>3265</v>
      </c>
      <c r="C2077" t="s">
        <v>3059</v>
      </c>
      <c r="D2077">
        <v>72000</v>
      </c>
      <c r="F2077">
        <v>72000</v>
      </c>
      <c r="G2077">
        <v>72000</v>
      </c>
      <c r="H2077">
        <v>2</v>
      </c>
      <c r="I2077" t="s">
        <v>89</v>
      </c>
      <c r="J2077">
        <v>18</v>
      </c>
      <c r="K2077">
        <v>24</v>
      </c>
      <c r="L2077">
        <v>2</v>
      </c>
      <c r="M2077" t="s">
        <v>3022</v>
      </c>
      <c r="N2077">
        <v>7</v>
      </c>
      <c r="O2077">
        <v>10.67</v>
      </c>
      <c r="P2077">
        <v>144436.73000000001</v>
      </c>
      <c r="Q2077">
        <v>95329.65</v>
      </c>
      <c r="R2077">
        <v>648</v>
      </c>
      <c r="S2077">
        <v>1622</v>
      </c>
      <c r="T2077" t="s">
        <v>108</v>
      </c>
      <c r="U2077" t="s">
        <v>27</v>
      </c>
    </row>
    <row r="2078" spans="1:21">
      <c r="A2078" t="s">
        <v>3266</v>
      </c>
      <c r="B2078" t="s">
        <v>3267</v>
      </c>
      <c r="C2078" t="s">
        <v>3195</v>
      </c>
      <c r="D2078">
        <v>68000</v>
      </c>
      <c r="F2078">
        <v>68000</v>
      </c>
      <c r="H2078">
        <v>2</v>
      </c>
      <c r="I2078" t="s">
        <v>89</v>
      </c>
      <c r="J2078">
        <v>25</v>
      </c>
      <c r="K2078">
        <v>32</v>
      </c>
      <c r="L2078">
        <v>4</v>
      </c>
      <c r="M2078" t="s">
        <v>3022</v>
      </c>
      <c r="N2078">
        <v>1</v>
      </c>
      <c r="O2078">
        <v>6.67</v>
      </c>
      <c r="P2078">
        <v>144436.73000000001</v>
      </c>
      <c r="Q2078">
        <v>95329.65</v>
      </c>
      <c r="R2078">
        <v>648</v>
      </c>
      <c r="S2078">
        <v>1622</v>
      </c>
      <c r="T2078" t="s">
        <v>34</v>
      </c>
      <c r="U2078" t="s">
        <v>49</v>
      </c>
    </row>
    <row r="2079" spans="1:21">
      <c r="A2079" t="s">
        <v>3268</v>
      </c>
      <c r="B2079" t="s">
        <v>3269</v>
      </c>
      <c r="C2079" t="s">
        <v>1768</v>
      </c>
      <c r="D2079">
        <v>106000</v>
      </c>
      <c r="E2079">
        <v>6000</v>
      </c>
      <c r="F2079">
        <v>106000</v>
      </c>
      <c r="G2079">
        <v>106000</v>
      </c>
      <c r="H2079">
        <v>2</v>
      </c>
      <c r="I2079" t="s">
        <v>89</v>
      </c>
      <c r="J2079">
        <v>25.94</v>
      </c>
      <c r="K2079">
        <v>31</v>
      </c>
      <c r="L2079">
        <v>5</v>
      </c>
      <c r="M2079" t="s">
        <v>3022</v>
      </c>
      <c r="N2079">
        <v>9</v>
      </c>
      <c r="O2079">
        <v>11.67</v>
      </c>
      <c r="P2079">
        <v>144436.73000000001</v>
      </c>
      <c r="Q2079">
        <v>95329.65</v>
      </c>
      <c r="R2079">
        <v>648</v>
      </c>
      <c r="S2079">
        <v>1622</v>
      </c>
      <c r="T2079" t="s">
        <v>34</v>
      </c>
      <c r="U2079" t="s">
        <v>49</v>
      </c>
    </row>
    <row r="2080" spans="1:21">
      <c r="A2080" t="s">
        <v>3270</v>
      </c>
      <c r="B2080" t="s">
        <v>3271</v>
      </c>
      <c r="C2080" t="s">
        <v>1768</v>
      </c>
      <c r="D2080">
        <v>117000</v>
      </c>
      <c r="E2080">
        <v>8000</v>
      </c>
      <c r="H2080">
        <v>5</v>
      </c>
      <c r="I2080" t="s">
        <v>89</v>
      </c>
      <c r="J2080">
        <v>25.36</v>
      </c>
      <c r="K2080">
        <v>5</v>
      </c>
      <c r="L2080">
        <v>9</v>
      </c>
      <c r="M2080" t="s">
        <v>3022</v>
      </c>
      <c r="N2080">
        <v>8</v>
      </c>
      <c r="O2080">
        <v>14</v>
      </c>
      <c r="P2080">
        <v>144436.73000000001</v>
      </c>
      <c r="Q2080">
        <v>95329.65</v>
      </c>
      <c r="R2080">
        <v>648</v>
      </c>
      <c r="S2080">
        <v>1622</v>
      </c>
      <c r="T2080" t="s">
        <v>34</v>
      </c>
      <c r="U2080" t="s">
        <v>31</v>
      </c>
    </row>
    <row r="2081" spans="1:21">
      <c r="A2081" t="s">
        <v>3272</v>
      </c>
      <c r="B2081" t="s">
        <v>3273</v>
      </c>
      <c r="C2081" t="s">
        <v>1768</v>
      </c>
      <c r="D2081">
        <v>126000</v>
      </c>
      <c r="E2081">
        <v>11000</v>
      </c>
      <c r="G2081">
        <v>126000</v>
      </c>
      <c r="H2081">
        <v>8</v>
      </c>
      <c r="I2081" t="s">
        <v>89</v>
      </c>
      <c r="J2081">
        <v>24.4</v>
      </c>
      <c r="K2081">
        <v>22</v>
      </c>
      <c r="L2081">
        <v>8</v>
      </c>
      <c r="M2081" t="s">
        <v>3022</v>
      </c>
      <c r="N2081">
        <v>7</v>
      </c>
      <c r="O2081">
        <v>10.33</v>
      </c>
      <c r="P2081">
        <v>144436.73000000001</v>
      </c>
      <c r="Q2081">
        <v>95329.65</v>
      </c>
      <c r="R2081">
        <v>648</v>
      </c>
      <c r="S2081">
        <v>1622</v>
      </c>
      <c r="T2081" t="s">
        <v>34</v>
      </c>
      <c r="U2081" t="s">
        <v>27</v>
      </c>
    </row>
    <row r="2082" spans="1:21">
      <c r="A2082" t="s">
        <v>3274</v>
      </c>
      <c r="B2082" t="s">
        <v>3275</v>
      </c>
      <c r="C2082" t="s">
        <v>1768</v>
      </c>
      <c r="D2082">
        <v>106000</v>
      </c>
      <c r="E2082">
        <v>5000</v>
      </c>
      <c r="F2082">
        <v>106000</v>
      </c>
      <c r="G2082">
        <v>106000</v>
      </c>
      <c r="H2082">
        <v>6</v>
      </c>
      <c r="I2082" t="s">
        <v>89</v>
      </c>
      <c r="J2082">
        <v>22.73</v>
      </c>
      <c r="K2082">
        <v>26</v>
      </c>
      <c r="L2082">
        <v>11</v>
      </c>
      <c r="M2082" t="s">
        <v>3022</v>
      </c>
      <c r="N2082">
        <v>9</v>
      </c>
      <c r="O2082">
        <v>10.67</v>
      </c>
      <c r="P2082">
        <v>144436.73000000001</v>
      </c>
      <c r="Q2082">
        <v>95329.65</v>
      </c>
      <c r="R2082">
        <v>648</v>
      </c>
      <c r="S2082">
        <v>1622</v>
      </c>
      <c r="T2082" t="s">
        <v>34</v>
      </c>
      <c r="U2082" t="s">
        <v>27</v>
      </c>
    </row>
    <row r="2083" spans="1:21">
      <c r="A2083" t="s">
        <v>3276</v>
      </c>
      <c r="B2083" t="s">
        <v>3275</v>
      </c>
      <c r="C2083" t="s">
        <v>1768</v>
      </c>
      <c r="D2083">
        <v>100000</v>
      </c>
      <c r="E2083">
        <v>5000</v>
      </c>
      <c r="F2083">
        <v>100000</v>
      </c>
      <c r="G2083">
        <v>100000</v>
      </c>
      <c r="H2083">
        <v>6</v>
      </c>
      <c r="I2083" t="s">
        <v>89</v>
      </c>
      <c r="J2083">
        <v>22.73</v>
      </c>
      <c r="K2083">
        <v>26</v>
      </c>
      <c r="L2083">
        <v>11</v>
      </c>
      <c r="M2083" t="s">
        <v>3022</v>
      </c>
      <c r="N2083">
        <v>9</v>
      </c>
      <c r="O2083">
        <v>10.67</v>
      </c>
      <c r="P2083">
        <v>144436.73000000001</v>
      </c>
      <c r="Q2083">
        <v>95329.65</v>
      </c>
      <c r="R2083">
        <v>648</v>
      </c>
      <c r="S2083">
        <v>1622</v>
      </c>
      <c r="T2083" t="s">
        <v>34</v>
      </c>
      <c r="U2083" t="s">
        <v>27</v>
      </c>
    </row>
    <row r="2084" spans="1:21">
      <c r="A2084" t="s">
        <v>3277</v>
      </c>
      <c r="B2084" t="s">
        <v>3278</v>
      </c>
      <c r="C2084" t="s">
        <v>3025</v>
      </c>
      <c r="D2084">
        <v>69500</v>
      </c>
      <c r="F2084">
        <v>139000</v>
      </c>
      <c r="H2084">
        <v>1</v>
      </c>
      <c r="I2084" t="s">
        <v>89</v>
      </c>
      <c r="J2084">
        <v>17.2</v>
      </c>
      <c r="K2084">
        <v>29</v>
      </c>
      <c r="L2084">
        <v>2</v>
      </c>
      <c r="M2084" t="s">
        <v>3022</v>
      </c>
      <c r="N2084">
        <v>3</v>
      </c>
      <c r="O2084">
        <v>6.67</v>
      </c>
      <c r="P2084">
        <v>144436.73000000001</v>
      </c>
      <c r="Q2084">
        <v>95329.65</v>
      </c>
      <c r="R2084">
        <v>648</v>
      </c>
      <c r="S2084">
        <v>1622</v>
      </c>
      <c r="T2084" t="s">
        <v>108</v>
      </c>
      <c r="U2084" t="s">
        <v>27</v>
      </c>
    </row>
    <row r="2085" spans="1:21">
      <c r="A2085" t="s">
        <v>3279</v>
      </c>
      <c r="B2085" t="s">
        <v>3280</v>
      </c>
      <c r="C2085" t="s">
        <v>3195</v>
      </c>
      <c r="D2085">
        <v>113000</v>
      </c>
      <c r="F2085">
        <v>113000</v>
      </c>
      <c r="G2085">
        <v>113000</v>
      </c>
      <c r="H2085">
        <v>2</v>
      </c>
      <c r="I2085" t="s">
        <v>89</v>
      </c>
      <c r="J2085">
        <v>34.26</v>
      </c>
      <c r="K2085">
        <v>54</v>
      </c>
      <c r="L2085">
        <v>4</v>
      </c>
      <c r="M2085" t="s">
        <v>3022</v>
      </c>
      <c r="N2085">
        <v>3</v>
      </c>
      <c r="O2085">
        <v>5</v>
      </c>
      <c r="P2085">
        <v>144436.73000000001</v>
      </c>
      <c r="Q2085">
        <v>95329.65</v>
      </c>
      <c r="R2085">
        <v>648</v>
      </c>
      <c r="S2085">
        <v>1622</v>
      </c>
      <c r="T2085" t="s">
        <v>26</v>
      </c>
      <c r="U2085" t="s">
        <v>57</v>
      </c>
    </row>
    <row r="2086" spans="1:21">
      <c r="A2086" t="s">
        <v>3281</v>
      </c>
      <c r="B2086" t="s">
        <v>3280</v>
      </c>
      <c r="C2086" t="s">
        <v>3195</v>
      </c>
      <c r="D2086">
        <v>85000</v>
      </c>
      <c r="F2086">
        <v>85000</v>
      </c>
      <c r="G2086">
        <v>85000</v>
      </c>
      <c r="H2086">
        <v>3</v>
      </c>
      <c r="I2086" t="s">
        <v>89</v>
      </c>
      <c r="J2086">
        <v>33.06</v>
      </c>
      <c r="K2086">
        <v>54</v>
      </c>
      <c r="L2086">
        <v>4</v>
      </c>
      <c r="M2086" t="s">
        <v>3022</v>
      </c>
      <c r="N2086">
        <v>3</v>
      </c>
      <c r="O2086">
        <v>5</v>
      </c>
      <c r="P2086">
        <v>144436.73000000001</v>
      </c>
      <c r="Q2086">
        <v>95329.65</v>
      </c>
      <c r="R2086">
        <v>648</v>
      </c>
      <c r="S2086">
        <v>1622</v>
      </c>
      <c r="T2086" t="s">
        <v>26</v>
      </c>
      <c r="U2086" t="s">
        <v>57</v>
      </c>
    </row>
    <row r="2087" spans="1:21">
      <c r="A2087" t="s">
        <v>3282</v>
      </c>
      <c r="B2087" t="s">
        <v>3283</v>
      </c>
      <c r="C2087" t="s">
        <v>1768</v>
      </c>
      <c r="D2087">
        <v>63000</v>
      </c>
      <c r="E2087">
        <v>3000</v>
      </c>
      <c r="F2087">
        <v>63000</v>
      </c>
      <c r="G2087">
        <v>63000</v>
      </c>
      <c r="H2087">
        <v>2</v>
      </c>
      <c r="I2087" t="s">
        <v>89</v>
      </c>
      <c r="J2087">
        <v>19.91</v>
      </c>
      <c r="K2087">
        <v>33</v>
      </c>
      <c r="L2087">
        <v>3</v>
      </c>
      <c r="M2087" t="s">
        <v>3022</v>
      </c>
      <c r="N2087">
        <v>7</v>
      </c>
      <c r="O2087">
        <v>8.67</v>
      </c>
      <c r="P2087">
        <v>144436.73000000001</v>
      </c>
      <c r="Q2087">
        <v>95329.65</v>
      </c>
      <c r="R2087">
        <v>648</v>
      </c>
      <c r="S2087">
        <v>1622</v>
      </c>
      <c r="T2087" t="s">
        <v>108</v>
      </c>
      <c r="U2087" t="s">
        <v>49</v>
      </c>
    </row>
    <row r="2088" spans="1:21">
      <c r="A2088" t="s">
        <v>3284</v>
      </c>
      <c r="B2088" t="s">
        <v>3283</v>
      </c>
      <c r="C2088" t="s">
        <v>1768</v>
      </c>
      <c r="D2088">
        <v>60000</v>
      </c>
      <c r="E2088">
        <v>3000</v>
      </c>
      <c r="F2088">
        <v>60000</v>
      </c>
      <c r="G2088">
        <v>60000</v>
      </c>
      <c r="H2088">
        <v>3</v>
      </c>
      <c r="I2088" t="s">
        <v>89</v>
      </c>
      <c r="J2088">
        <v>19.63</v>
      </c>
      <c r="K2088">
        <v>33</v>
      </c>
      <c r="L2088">
        <v>3</v>
      </c>
      <c r="M2088" t="s">
        <v>3022</v>
      </c>
      <c r="N2088">
        <v>7</v>
      </c>
      <c r="O2088">
        <v>8.67</v>
      </c>
      <c r="P2088">
        <v>144436.73000000001</v>
      </c>
      <c r="Q2088">
        <v>95329.65</v>
      </c>
      <c r="R2088">
        <v>648</v>
      </c>
      <c r="S2088">
        <v>1622</v>
      </c>
      <c r="T2088" t="s">
        <v>108</v>
      </c>
      <c r="U2088" t="s">
        <v>49</v>
      </c>
    </row>
    <row r="2089" spans="1:21">
      <c r="A2089" t="s">
        <v>3285</v>
      </c>
      <c r="B2089" t="s">
        <v>3286</v>
      </c>
      <c r="C2089" t="s">
        <v>1231</v>
      </c>
      <c r="D2089">
        <v>80000</v>
      </c>
      <c r="E2089">
        <v>2000</v>
      </c>
      <c r="F2089">
        <v>80000</v>
      </c>
      <c r="G2089">
        <v>80000</v>
      </c>
      <c r="H2089">
        <v>1</v>
      </c>
      <c r="I2089" t="s">
        <v>89</v>
      </c>
      <c r="J2089">
        <v>21.84</v>
      </c>
      <c r="K2089">
        <v>20</v>
      </c>
      <c r="L2089">
        <v>2</v>
      </c>
      <c r="M2089" t="s">
        <v>3022</v>
      </c>
      <c r="N2089">
        <v>3</v>
      </c>
      <c r="O2089">
        <v>9</v>
      </c>
      <c r="P2089">
        <v>144436.73000000001</v>
      </c>
      <c r="Q2089">
        <v>95329.65</v>
      </c>
      <c r="R2089">
        <v>648</v>
      </c>
      <c r="S2089">
        <v>1622</v>
      </c>
      <c r="T2089" t="s">
        <v>34</v>
      </c>
      <c r="U2089" t="s">
        <v>90</v>
      </c>
    </row>
    <row r="2090" spans="1:21">
      <c r="A2090" t="s">
        <v>3285</v>
      </c>
      <c r="B2090" t="s">
        <v>3286</v>
      </c>
      <c r="C2090" t="s">
        <v>1231</v>
      </c>
      <c r="D2090">
        <v>80000</v>
      </c>
      <c r="E2090">
        <v>2000</v>
      </c>
      <c r="F2090">
        <v>80000</v>
      </c>
      <c r="G2090">
        <v>80000</v>
      </c>
      <c r="H2090">
        <v>2</v>
      </c>
      <c r="I2090" t="s">
        <v>89</v>
      </c>
      <c r="J2090">
        <v>21.84</v>
      </c>
      <c r="K2090">
        <v>20</v>
      </c>
      <c r="L2090">
        <v>2</v>
      </c>
      <c r="M2090" t="s">
        <v>3022</v>
      </c>
      <c r="N2090">
        <v>3</v>
      </c>
      <c r="O2090">
        <v>9</v>
      </c>
      <c r="P2090">
        <v>144436.73000000001</v>
      </c>
      <c r="Q2090">
        <v>95329.65</v>
      </c>
      <c r="R2090">
        <v>648</v>
      </c>
      <c r="S2090">
        <v>1622</v>
      </c>
      <c r="T2090" t="s">
        <v>34</v>
      </c>
      <c r="U2090" t="s">
        <v>90</v>
      </c>
    </row>
    <row r="2091" spans="1:21">
      <c r="A2091" t="s">
        <v>3287</v>
      </c>
      <c r="B2091" t="s">
        <v>3288</v>
      </c>
      <c r="C2091" t="s">
        <v>1768</v>
      </c>
      <c r="D2091">
        <v>149000</v>
      </c>
      <c r="E2091">
        <v>10000</v>
      </c>
      <c r="F2091">
        <v>149000</v>
      </c>
      <c r="H2091">
        <v>4</v>
      </c>
      <c r="I2091" t="s">
        <v>89</v>
      </c>
      <c r="J2091">
        <v>31.98</v>
      </c>
      <c r="K2091">
        <v>15</v>
      </c>
      <c r="L2091">
        <v>7</v>
      </c>
      <c r="M2091" t="s">
        <v>3022</v>
      </c>
      <c r="N2091">
        <v>9</v>
      </c>
      <c r="O2091">
        <v>10.33</v>
      </c>
      <c r="P2091">
        <v>144436.73000000001</v>
      </c>
      <c r="Q2091">
        <v>95329.65</v>
      </c>
      <c r="R2091">
        <v>648</v>
      </c>
      <c r="S2091">
        <v>1622</v>
      </c>
      <c r="T2091" t="s">
        <v>26</v>
      </c>
      <c r="U2091" t="s">
        <v>90</v>
      </c>
    </row>
    <row r="2092" spans="1:21">
      <c r="A2092" t="s">
        <v>3289</v>
      </c>
      <c r="B2092" t="s">
        <v>3288</v>
      </c>
      <c r="C2092" t="s">
        <v>1768</v>
      </c>
      <c r="D2092">
        <v>146000</v>
      </c>
      <c r="E2092">
        <v>10000</v>
      </c>
      <c r="F2092">
        <v>146000</v>
      </c>
      <c r="H2092">
        <v>5</v>
      </c>
      <c r="I2092" t="s">
        <v>89</v>
      </c>
      <c r="J2092">
        <v>32.119999999999997</v>
      </c>
      <c r="K2092">
        <v>15</v>
      </c>
      <c r="L2092">
        <v>7</v>
      </c>
      <c r="M2092" t="s">
        <v>3022</v>
      </c>
      <c r="N2092">
        <v>9</v>
      </c>
      <c r="O2092">
        <v>10.33</v>
      </c>
      <c r="P2092">
        <v>144436.73000000001</v>
      </c>
      <c r="Q2092">
        <v>95329.65</v>
      </c>
      <c r="R2092">
        <v>648</v>
      </c>
      <c r="S2092">
        <v>1622</v>
      </c>
      <c r="T2092" t="s">
        <v>26</v>
      </c>
      <c r="U2092" t="s">
        <v>90</v>
      </c>
    </row>
    <row r="2093" spans="1:21">
      <c r="A2093" t="s">
        <v>3290</v>
      </c>
      <c r="B2093" t="s">
        <v>3291</v>
      </c>
      <c r="C2093" t="s">
        <v>1228</v>
      </c>
      <c r="D2093">
        <v>73000</v>
      </c>
      <c r="E2093">
        <v>2000</v>
      </c>
      <c r="F2093">
        <v>73000</v>
      </c>
      <c r="H2093">
        <v>4</v>
      </c>
      <c r="I2093" t="s">
        <v>89</v>
      </c>
      <c r="J2093">
        <v>21.06</v>
      </c>
      <c r="K2093">
        <v>39</v>
      </c>
      <c r="L2093">
        <v>4</v>
      </c>
      <c r="M2093" t="s">
        <v>3022</v>
      </c>
      <c r="N2093">
        <v>2</v>
      </c>
      <c r="O2093">
        <v>7.67</v>
      </c>
      <c r="P2093">
        <v>144436.73000000001</v>
      </c>
      <c r="Q2093">
        <v>95329.65</v>
      </c>
      <c r="R2093">
        <v>648</v>
      </c>
      <c r="S2093">
        <v>1622</v>
      </c>
      <c r="T2093" t="s">
        <v>34</v>
      </c>
      <c r="U2093" t="s">
        <v>49</v>
      </c>
    </row>
    <row r="2094" spans="1:21">
      <c r="A2094" t="s">
        <v>3292</v>
      </c>
      <c r="B2094" t="s">
        <v>3293</v>
      </c>
      <c r="C2094" t="s">
        <v>1231</v>
      </c>
      <c r="D2094">
        <v>81000</v>
      </c>
      <c r="E2094">
        <v>4000</v>
      </c>
      <c r="F2094">
        <v>81000</v>
      </c>
      <c r="G2094">
        <v>81000</v>
      </c>
      <c r="H2094">
        <v>3</v>
      </c>
      <c r="I2094" t="s">
        <v>89</v>
      </c>
      <c r="J2094">
        <v>22.42</v>
      </c>
      <c r="K2094">
        <v>25</v>
      </c>
      <c r="L2094">
        <v>3</v>
      </c>
      <c r="M2094" t="s">
        <v>3022</v>
      </c>
      <c r="N2094">
        <v>4</v>
      </c>
      <c r="O2094">
        <v>9.33</v>
      </c>
      <c r="P2094">
        <v>144436.73000000001</v>
      </c>
      <c r="Q2094">
        <v>95329.65</v>
      </c>
      <c r="R2094">
        <v>648</v>
      </c>
      <c r="S2094">
        <v>1622</v>
      </c>
      <c r="T2094" t="s">
        <v>34</v>
      </c>
      <c r="U2094" t="s">
        <v>27</v>
      </c>
    </row>
    <row r="2095" spans="1:21">
      <c r="A2095" t="s">
        <v>3294</v>
      </c>
      <c r="B2095" t="s">
        <v>3295</v>
      </c>
      <c r="C2095" t="s">
        <v>1228</v>
      </c>
      <c r="D2095">
        <v>120000</v>
      </c>
      <c r="E2095">
        <v>8000</v>
      </c>
      <c r="F2095">
        <v>120000</v>
      </c>
      <c r="G2095">
        <v>120000</v>
      </c>
      <c r="H2095">
        <v>5</v>
      </c>
      <c r="I2095" t="s">
        <v>89</v>
      </c>
      <c r="J2095">
        <v>27.08</v>
      </c>
      <c r="K2095">
        <v>9</v>
      </c>
      <c r="L2095">
        <v>5</v>
      </c>
      <c r="M2095" t="s">
        <v>3022</v>
      </c>
      <c r="N2095">
        <v>2</v>
      </c>
      <c r="O2095">
        <v>11</v>
      </c>
      <c r="P2095">
        <v>144436.73000000001</v>
      </c>
      <c r="Q2095">
        <v>95329.65</v>
      </c>
      <c r="R2095">
        <v>648</v>
      </c>
      <c r="S2095">
        <v>1622</v>
      </c>
      <c r="T2095" t="s">
        <v>34</v>
      </c>
      <c r="U2095" t="s">
        <v>31</v>
      </c>
    </row>
    <row r="2096" spans="1:21">
      <c r="A2096" t="s">
        <v>3296</v>
      </c>
      <c r="B2096" t="s">
        <v>3297</v>
      </c>
      <c r="C2096" t="s">
        <v>1768</v>
      </c>
      <c r="D2096">
        <v>81000</v>
      </c>
      <c r="E2096">
        <v>5000</v>
      </c>
      <c r="G2096">
        <v>81000</v>
      </c>
      <c r="H2096">
        <v>2</v>
      </c>
      <c r="I2096" t="s">
        <v>89</v>
      </c>
      <c r="J2096">
        <v>21.3</v>
      </c>
      <c r="K2096">
        <v>22</v>
      </c>
      <c r="L2096">
        <v>3</v>
      </c>
      <c r="M2096" t="s">
        <v>3022</v>
      </c>
      <c r="N2096">
        <v>10</v>
      </c>
      <c r="O2096">
        <v>12.67</v>
      </c>
      <c r="P2096">
        <v>144436.73000000001</v>
      </c>
      <c r="Q2096">
        <v>95329.65</v>
      </c>
      <c r="R2096">
        <v>648</v>
      </c>
      <c r="S2096">
        <v>1622</v>
      </c>
      <c r="T2096" t="s">
        <v>34</v>
      </c>
      <c r="U2096" t="s">
        <v>27</v>
      </c>
    </row>
    <row r="2097" spans="1:21">
      <c r="A2097" t="s">
        <v>3298</v>
      </c>
      <c r="B2097" t="s">
        <v>3299</v>
      </c>
      <c r="C2097" t="s">
        <v>3059</v>
      </c>
      <c r="D2097">
        <v>85000</v>
      </c>
      <c r="E2097">
        <v>5000</v>
      </c>
      <c r="F2097">
        <v>42500</v>
      </c>
      <c r="G2097">
        <v>127500</v>
      </c>
      <c r="H2097">
        <v>5</v>
      </c>
      <c r="I2097" t="s">
        <v>89</v>
      </c>
      <c r="J2097">
        <v>19</v>
      </c>
      <c r="K2097">
        <v>19</v>
      </c>
      <c r="L2097">
        <v>5</v>
      </c>
      <c r="M2097" t="s">
        <v>3022</v>
      </c>
      <c r="N2097">
        <v>3</v>
      </c>
      <c r="O2097">
        <v>5.67</v>
      </c>
      <c r="P2097">
        <v>144436.73000000001</v>
      </c>
      <c r="Q2097">
        <v>95329.65</v>
      </c>
      <c r="R2097">
        <v>648</v>
      </c>
      <c r="S2097">
        <v>1622</v>
      </c>
      <c r="T2097" t="s">
        <v>108</v>
      </c>
      <c r="U2097" t="s">
        <v>90</v>
      </c>
    </row>
    <row r="2098" spans="1:21">
      <c r="A2098" t="s">
        <v>3300</v>
      </c>
      <c r="B2098" t="s">
        <v>3301</v>
      </c>
      <c r="C2098" t="s">
        <v>1768</v>
      </c>
      <c r="D2098">
        <v>75000</v>
      </c>
      <c r="F2098">
        <v>75000</v>
      </c>
      <c r="H2098">
        <v>4</v>
      </c>
      <c r="I2098" t="s">
        <v>89</v>
      </c>
      <c r="J2098">
        <v>19.260000000000002</v>
      </c>
      <c r="K2098">
        <v>32</v>
      </c>
      <c r="L2098">
        <v>5</v>
      </c>
      <c r="M2098" t="s">
        <v>3022</v>
      </c>
      <c r="N2098">
        <v>9</v>
      </c>
      <c r="O2098">
        <v>10.67</v>
      </c>
      <c r="P2098">
        <v>144436.73000000001</v>
      </c>
      <c r="Q2098">
        <v>95329.65</v>
      </c>
      <c r="R2098">
        <v>648</v>
      </c>
      <c r="S2098">
        <v>1622</v>
      </c>
      <c r="T2098" t="s">
        <v>108</v>
      </c>
      <c r="U2098" t="s">
        <v>49</v>
      </c>
    </row>
    <row r="2099" spans="1:21">
      <c r="A2099" t="s">
        <v>3302</v>
      </c>
      <c r="B2099" t="s">
        <v>3303</v>
      </c>
      <c r="C2099" t="s">
        <v>1768</v>
      </c>
      <c r="D2099">
        <v>89000</v>
      </c>
      <c r="E2099">
        <v>8000</v>
      </c>
      <c r="G2099">
        <v>89000</v>
      </c>
      <c r="H2099">
        <v>2</v>
      </c>
      <c r="I2099" t="s">
        <v>89</v>
      </c>
      <c r="J2099">
        <v>20.440000000000001</v>
      </c>
      <c r="K2099">
        <v>20</v>
      </c>
      <c r="L2099">
        <v>10</v>
      </c>
      <c r="M2099" t="s">
        <v>3022</v>
      </c>
      <c r="N2099">
        <v>10</v>
      </c>
      <c r="O2099">
        <v>12.33</v>
      </c>
      <c r="P2099">
        <v>144436.73000000001</v>
      </c>
      <c r="Q2099">
        <v>95329.65</v>
      </c>
      <c r="R2099">
        <v>648</v>
      </c>
      <c r="S2099">
        <v>1622</v>
      </c>
      <c r="T2099" t="s">
        <v>34</v>
      </c>
      <c r="U2099" t="s">
        <v>90</v>
      </c>
    </row>
    <row r="2100" spans="1:21">
      <c r="A2100" t="s">
        <v>3304</v>
      </c>
      <c r="B2100" t="s">
        <v>3303</v>
      </c>
      <c r="C2100" t="s">
        <v>1768</v>
      </c>
      <c r="D2100">
        <v>90000</v>
      </c>
      <c r="E2100">
        <v>8000</v>
      </c>
      <c r="G2100">
        <v>90000</v>
      </c>
      <c r="H2100">
        <v>7</v>
      </c>
      <c r="I2100" t="s">
        <v>89</v>
      </c>
      <c r="J2100">
        <v>20.440000000000001</v>
      </c>
      <c r="K2100">
        <v>20</v>
      </c>
      <c r="L2100">
        <v>10</v>
      </c>
      <c r="M2100" t="s">
        <v>3022</v>
      </c>
      <c r="N2100">
        <v>10</v>
      </c>
      <c r="O2100">
        <v>12.33</v>
      </c>
      <c r="P2100">
        <v>144436.73000000001</v>
      </c>
      <c r="Q2100">
        <v>95329.65</v>
      </c>
      <c r="R2100">
        <v>648</v>
      </c>
      <c r="S2100">
        <v>1622</v>
      </c>
      <c r="T2100" t="s">
        <v>34</v>
      </c>
      <c r="U2100" t="s">
        <v>90</v>
      </c>
    </row>
    <row r="2101" spans="1:21">
      <c r="A2101" t="s">
        <v>3305</v>
      </c>
      <c r="B2101" t="s">
        <v>3306</v>
      </c>
      <c r="C2101" t="s">
        <v>1890</v>
      </c>
      <c r="D2101">
        <v>92000</v>
      </c>
      <c r="E2101">
        <v>5500</v>
      </c>
      <c r="G2101">
        <v>92000</v>
      </c>
      <c r="H2101">
        <v>1</v>
      </c>
      <c r="I2101" t="s">
        <v>89</v>
      </c>
      <c r="J2101">
        <v>19.87</v>
      </c>
      <c r="K2101">
        <v>20</v>
      </c>
      <c r="L2101">
        <v>3</v>
      </c>
      <c r="M2101" t="s">
        <v>3022</v>
      </c>
      <c r="N2101">
        <v>14</v>
      </c>
      <c r="O2101">
        <v>14.33</v>
      </c>
      <c r="P2101">
        <v>144436.73000000001</v>
      </c>
      <c r="Q2101">
        <v>95329.65</v>
      </c>
      <c r="R2101">
        <v>648</v>
      </c>
      <c r="S2101">
        <v>1622</v>
      </c>
      <c r="T2101" t="s">
        <v>108</v>
      </c>
      <c r="U2101" t="s">
        <v>90</v>
      </c>
    </row>
    <row r="2102" spans="1:21">
      <c r="A2102" t="s">
        <v>3307</v>
      </c>
      <c r="B2102" t="s">
        <v>3308</v>
      </c>
      <c r="C2102" t="s">
        <v>1768</v>
      </c>
      <c r="D2102">
        <v>101000</v>
      </c>
      <c r="E2102">
        <v>7500</v>
      </c>
      <c r="G2102">
        <v>101000</v>
      </c>
      <c r="H2102">
        <v>1</v>
      </c>
      <c r="I2102" t="s">
        <v>89</v>
      </c>
      <c r="J2102">
        <v>18.5</v>
      </c>
      <c r="K2102">
        <v>18</v>
      </c>
      <c r="L2102">
        <v>4</v>
      </c>
      <c r="M2102" t="s">
        <v>3022</v>
      </c>
      <c r="N2102">
        <v>11</v>
      </c>
      <c r="O2102">
        <v>13</v>
      </c>
      <c r="P2102">
        <v>144436.73000000001</v>
      </c>
      <c r="Q2102">
        <v>95329.65</v>
      </c>
      <c r="R2102">
        <v>648</v>
      </c>
      <c r="S2102">
        <v>1622</v>
      </c>
      <c r="T2102" t="s">
        <v>108</v>
      </c>
      <c r="U2102" t="s">
        <v>90</v>
      </c>
    </row>
    <row r="2103" spans="1:21">
      <c r="A2103" t="s">
        <v>3309</v>
      </c>
      <c r="B2103" t="s">
        <v>3308</v>
      </c>
      <c r="C2103" t="s">
        <v>1768</v>
      </c>
      <c r="D2103">
        <v>109000</v>
      </c>
      <c r="E2103">
        <v>7500</v>
      </c>
      <c r="G2103">
        <v>109000</v>
      </c>
      <c r="H2103">
        <v>4</v>
      </c>
      <c r="I2103" t="s">
        <v>89</v>
      </c>
      <c r="J2103">
        <v>18.5</v>
      </c>
      <c r="K2103">
        <v>18</v>
      </c>
      <c r="L2103">
        <v>4</v>
      </c>
      <c r="M2103" t="s">
        <v>3022</v>
      </c>
      <c r="N2103">
        <v>11</v>
      </c>
      <c r="O2103">
        <v>13</v>
      </c>
      <c r="P2103">
        <v>144436.73000000001</v>
      </c>
      <c r="Q2103">
        <v>95329.65</v>
      </c>
      <c r="R2103">
        <v>648</v>
      </c>
      <c r="S2103">
        <v>1622</v>
      </c>
      <c r="T2103" t="s">
        <v>108</v>
      </c>
      <c r="U2103" t="s">
        <v>90</v>
      </c>
    </row>
    <row r="2104" spans="1:21">
      <c r="A2104" t="s">
        <v>3310</v>
      </c>
      <c r="B2104" t="s">
        <v>3308</v>
      </c>
      <c r="C2104" t="s">
        <v>1768</v>
      </c>
      <c r="D2104">
        <v>110000</v>
      </c>
      <c r="E2104">
        <v>7500</v>
      </c>
      <c r="G2104">
        <v>110000</v>
      </c>
      <c r="H2104">
        <v>4</v>
      </c>
      <c r="I2104" t="s">
        <v>89</v>
      </c>
      <c r="J2104">
        <v>18.5</v>
      </c>
      <c r="K2104">
        <v>18</v>
      </c>
      <c r="L2104">
        <v>4</v>
      </c>
      <c r="M2104" t="s">
        <v>3022</v>
      </c>
      <c r="N2104">
        <v>11</v>
      </c>
      <c r="O2104">
        <v>13</v>
      </c>
      <c r="P2104">
        <v>144436.73000000001</v>
      </c>
      <c r="Q2104">
        <v>95329.65</v>
      </c>
      <c r="R2104">
        <v>648</v>
      </c>
      <c r="S2104">
        <v>1622</v>
      </c>
      <c r="T2104" t="s">
        <v>108</v>
      </c>
      <c r="U2104" t="s">
        <v>90</v>
      </c>
    </row>
    <row r="2105" spans="1:21">
      <c r="A2105" t="s">
        <v>3311</v>
      </c>
      <c r="B2105" t="s">
        <v>3312</v>
      </c>
      <c r="C2105" t="s">
        <v>3195</v>
      </c>
      <c r="D2105">
        <v>119000</v>
      </c>
      <c r="E2105">
        <v>5000</v>
      </c>
      <c r="F2105">
        <v>119000</v>
      </c>
      <c r="G2105">
        <v>119000</v>
      </c>
      <c r="H2105">
        <v>2</v>
      </c>
      <c r="I2105" t="s">
        <v>89</v>
      </c>
      <c r="J2105">
        <v>27.32</v>
      </c>
      <c r="K2105">
        <v>21</v>
      </c>
      <c r="L2105">
        <v>3</v>
      </c>
      <c r="M2105" t="s">
        <v>3022</v>
      </c>
      <c r="N2105">
        <v>3</v>
      </c>
      <c r="O2105">
        <v>7.67</v>
      </c>
      <c r="P2105">
        <v>144436.73000000001</v>
      </c>
      <c r="Q2105">
        <v>95329.65</v>
      </c>
      <c r="R2105">
        <v>648</v>
      </c>
      <c r="S2105">
        <v>1622</v>
      </c>
      <c r="T2105" t="s">
        <v>34</v>
      </c>
      <c r="U2105" t="s">
        <v>27</v>
      </c>
    </row>
    <row r="2106" spans="1:21">
      <c r="A2106" t="s">
        <v>3313</v>
      </c>
      <c r="B2106" t="s">
        <v>3312</v>
      </c>
      <c r="C2106" t="s">
        <v>3195</v>
      </c>
      <c r="D2106">
        <v>108000</v>
      </c>
      <c r="E2106">
        <v>5000</v>
      </c>
      <c r="F2106">
        <v>108000</v>
      </c>
      <c r="G2106">
        <v>108000</v>
      </c>
      <c r="H2106">
        <v>3</v>
      </c>
      <c r="I2106" t="s">
        <v>89</v>
      </c>
      <c r="J2106">
        <v>27.32</v>
      </c>
      <c r="K2106">
        <v>21</v>
      </c>
      <c r="L2106">
        <v>3</v>
      </c>
      <c r="M2106" t="s">
        <v>3022</v>
      </c>
      <c r="N2106">
        <v>3</v>
      </c>
      <c r="O2106">
        <v>7.67</v>
      </c>
      <c r="P2106">
        <v>144436.73000000001</v>
      </c>
      <c r="Q2106">
        <v>95329.65</v>
      </c>
      <c r="R2106">
        <v>648</v>
      </c>
      <c r="S2106">
        <v>1622</v>
      </c>
      <c r="T2106" t="s">
        <v>34</v>
      </c>
      <c r="U2106" t="s">
        <v>27</v>
      </c>
    </row>
    <row r="2107" spans="1:21">
      <c r="A2107" t="s">
        <v>3314</v>
      </c>
      <c r="B2107" t="s">
        <v>3315</v>
      </c>
      <c r="C2107" t="s">
        <v>3059</v>
      </c>
      <c r="D2107">
        <v>119000</v>
      </c>
      <c r="E2107">
        <v>10000</v>
      </c>
      <c r="H2107">
        <v>1</v>
      </c>
      <c r="I2107" t="s">
        <v>89</v>
      </c>
      <c r="J2107">
        <v>29.6</v>
      </c>
      <c r="K2107">
        <v>6</v>
      </c>
      <c r="L2107">
        <v>4</v>
      </c>
      <c r="M2107" t="s">
        <v>3022</v>
      </c>
      <c r="N2107">
        <v>3</v>
      </c>
      <c r="O2107">
        <v>5.67</v>
      </c>
      <c r="P2107">
        <v>144436.73000000001</v>
      </c>
      <c r="Q2107">
        <v>95329.65</v>
      </c>
      <c r="R2107">
        <v>648</v>
      </c>
      <c r="S2107">
        <v>1622</v>
      </c>
      <c r="T2107" t="s">
        <v>34</v>
      </c>
      <c r="U2107" t="s">
        <v>31</v>
      </c>
    </row>
    <row r="2108" spans="1:21">
      <c r="A2108" t="s">
        <v>3316</v>
      </c>
      <c r="B2108" t="s">
        <v>3315</v>
      </c>
      <c r="C2108" t="s">
        <v>3059</v>
      </c>
      <c r="D2108">
        <v>116000</v>
      </c>
      <c r="E2108">
        <v>10000</v>
      </c>
      <c r="H2108">
        <v>3</v>
      </c>
      <c r="I2108" t="s">
        <v>89</v>
      </c>
      <c r="J2108">
        <v>25.52</v>
      </c>
      <c r="K2108">
        <v>6</v>
      </c>
      <c r="L2108">
        <v>4</v>
      </c>
      <c r="M2108" t="s">
        <v>3022</v>
      </c>
      <c r="N2108">
        <v>3</v>
      </c>
      <c r="O2108">
        <v>5.67</v>
      </c>
      <c r="P2108">
        <v>144436.73000000001</v>
      </c>
      <c r="Q2108">
        <v>95329.65</v>
      </c>
      <c r="R2108">
        <v>648</v>
      </c>
      <c r="S2108">
        <v>1622</v>
      </c>
      <c r="T2108" t="s">
        <v>34</v>
      </c>
      <c r="U2108" t="s">
        <v>31</v>
      </c>
    </row>
    <row r="2109" spans="1:21">
      <c r="A2109" t="s">
        <v>3317</v>
      </c>
      <c r="B2109" t="s">
        <v>3318</v>
      </c>
      <c r="C2109" t="s">
        <v>1890</v>
      </c>
      <c r="D2109">
        <v>112000</v>
      </c>
      <c r="E2109">
        <v>3000</v>
      </c>
      <c r="F2109">
        <v>112000</v>
      </c>
      <c r="G2109">
        <v>112000</v>
      </c>
      <c r="H2109">
        <v>1</v>
      </c>
      <c r="I2109" t="s">
        <v>89</v>
      </c>
      <c r="J2109">
        <v>28.56</v>
      </c>
      <c r="K2109">
        <v>0</v>
      </c>
      <c r="L2109">
        <v>2</v>
      </c>
      <c r="M2109" t="s">
        <v>3022</v>
      </c>
      <c r="N2109">
        <v>12</v>
      </c>
      <c r="O2109">
        <v>13.67</v>
      </c>
      <c r="P2109">
        <v>144436.73000000001</v>
      </c>
      <c r="Q2109">
        <v>95329.65</v>
      </c>
      <c r="R2109">
        <v>648</v>
      </c>
      <c r="S2109">
        <v>1622</v>
      </c>
      <c r="T2109" t="s">
        <v>34</v>
      </c>
      <c r="U2109" t="s">
        <v>81</v>
      </c>
    </row>
    <row r="2110" spans="1:21">
      <c r="A2110" t="s">
        <v>3319</v>
      </c>
      <c r="B2110" t="s">
        <v>3320</v>
      </c>
      <c r="C2110" t="s">
        <v>3195</v>
      </c>
      <c r="D2110">
        <v>45000</v>
      </c>
      <c r="H2110">
        <v>2</v>
      </c>
      <c r="I2110" t="s">
        <v>89</v>
      </c>
      <c r="J2110">
        <v>18</v>
      </c>
      <c r="K2110">
        <v>38</v>
      </c>
      <c r="L2110">
        <v>2</v>
      </c>
      <c r="M2110" t="s">
        <v>3022</v>
      </c>
      <c r="N2110">
        <v>4</v>
      </c>
      <c r="O2110">
        <v>4</v>
      </c>
      <c r="P2110">
        <v>144436.73000000001</v>
      </c>
      <c r="Q2110">
        <v>95329.65</v>
      </c>
      <c r="R2110">
        <v>648</v>
      </c>
      <c r="S2110">
        <v>1622</v>
      </c>
      <c r="T2110" t="s">
        <v>108</v>
      </c>
      <c r="U2110" t="s">
        <v>49</v>
      </c>
    </row>
    <row r="2111" spans="1:21">
      <c r="A2111" t="s">
        <v>3321</v>
      </c>
      <c r="B2111" t="s">
        <v>3322</v>
      </c>
      <c r="C2111" t="s">
        <v>1768</v>
      </c>
      <c r="D2111">
        <v>90000</v>
      </c>
      <c r="E2111">
        <v>5000</v>
      </c>
      <c r="F2111">
        <v>90000</v>
      </c>
      <c r="G2111">
        <v>90000</v>
      </c>
      <c r="H2111">
        <v>3</v>
      </c>
      <c r="I2111" t="s">
        <v>89</v>
      </c>
      <c r="J2111">
        <v>33.409999999999997</v>
      </c>
      <c r="K2111">
        <v>41</v>
      </c>
      <c r="L2111">
        <v>4</v>
      </c>
      <c r="M2111" t="s">
        <v>3022</v>
      </c>
      <c r="N2111">
        <v>5</v>
      </c>
      <c r="O2111">
        <v>11</v>
      </c>
      <c r="P2111">
        <v>144436.73000000001</v>
      </c>
      <c r="Q2111">
        <v>95329.65</v>
      </c>
      <c r="R2111">
        <v>648</v>
      </c>
      <c r="S2111">
        <v>1622</v>
      </c>
      <c r="T2111" t="s">
        <v>26</v>
      </c>
      <c r="U2111" t="s">
        <v>42</v>
      </c>
    </row>
    <row r="2112" spans="1:21">
      <c r="A2112" t="s">
        <v>3323</v>
      </c>
      <c r="B2112" t="s">
        <v>3324</v>
      </c>
      <c r="C2112" t="s">
        <v>1294</v>
      </c>
      <c r="D2112">
        <v>65000</v>
      </c>
      <c r="E2112">
        <v>3000</v>
      </c>
      <c r="F2112">
        <v>65000</v>
      </c>
      <c r="G2112">
        <v>65000</v>
      </c>
      <c r="H2112">
        <v>3</v>
      </c>
      <c r="I2112" t="s">
        <v>89</v>
      </c>
      <c r="J2112">
        <v>21.5</v>
      </c>
      <c r="K2112">
        <v>45</v>
      </c>
      <c r="L2112">
        <v>3</v>
      </c>
      <c r="M2112" t="s">
        <v>3022</v>
      </c>
      <c r="N2112">
        <v>11</v>
      </c>
      <c r="O2112">
        <v>12</v>
      </c>
      <c r="P2112">
        <v>144436.73000000001</v>
      </c>
      <c r="Q2112">
        <v>95329.65</v>
      </c>
      <c r="R2112">
        <v>648</v>
      </c>
      <c r="S2112">
        <v>1622</v>
      </c>
      <c r="T2112" t="s">
        <v>34</v>
      </c>
      <c r="U2112" t="s">
        <v>42</v>
      </c>
    </row>
    <row r="2113" spans="1:21">
      <c r="A2113" t="s">
        <v>3325</v>
      </c>
      <c r="B2113" t="s">
        <v>3326</v>
      </c>
      <c r="C2113" t="s">
        <v>1294</v>
      </c>
      <c r="D2113">
        <v>85000</v>
      </c>
      <c r="E2113">
        <v>5000</v>
      </c>
      <c r="F2113">
        <v>85000</v>
      </c>
      <c r="H2113">
        <v>1</v>
      </c>
      <c r="I2113" t="s">
        <v>89</v>
      </c>
      <c r="J2113">
        <v>22.26</v>
      </c>
      <c r="K2113">
        <v>10</v>
      </c>
      <c r="L2113">
        <v>3</v>
      </c>
      <c r="M2113" t="s">
        <v>3022</v>
      </c>
      <c r="N2113">
        <v>6</v>
      </c>
      <c r="O2113">
        <v>9.67</v>
      </c>
      <c r="P2113">
        <v>144436.73000000001</v>
      </c>
      <c r="Q2113">
        <v>95329.65</v>
      </c>
      <c r="R2113">
        <v>648</v>
      </c>
      <c r="S2113">
        <v>1622</v>
      </c>
      <c r="T2113" t="s">
        <v>34</v>
      </c>
      <c r="U2113" t="s">
        <v>31</v>
      </c>
    </row>
    <row r="2114" spans="1:21">
      <c r="A2114" t="s">
        <v>3327</v>
      </c>
      <c r="B2114" t="s">
        <v>3328</v>
      </c>
      <c r="C2114" t="s">
        <v>3195</v>
      </c>
      <c r="D2114">
        <v>75000</v>
      </c>
      <c r="F2114">
        <v>75000</v>
      </c>
      <c r="G2114">
        <v>75000</v>
      </c>
      <c r="H2114">
        <v>3</v>
      </c>
      <c r="I2114" t="s">
        <v>89</v>
      </c>
      <c r="J2114">
        <v>20.51</v>
      </c>
      <c r="K2114">
        <v>42</v>
      </c>
      <c r="L2114">
        <v>3</v>
      </c>
      <c r="M2114" t="s">
        <v>3022</v>
      </c>
      <c r="N2114">
        <v>4</v>
      </c>
      <c r="O2114">
        <v>9.33</v>
      </c>
      <c r="P2114">
        <v>144436.73000000001</v>
      </c>
      <c r="Q2114">
        <v>95329.65</v>
      </c>
      <c r="R2114">
        <v>648</v>
      </c>
      <c r="S2114">
        <v>1622</v>
      </c>
      <c r="T2114" t="s">
        <v>34</v>
      </c>
      <c r="U2114" t="s">
        <v>42</v>
      </c>
    </row>
    <row r="2115" spans="1:21">
      <c r="A2115" t="s">
        <v>3329</v>
      </c>
      <c r="B2115" t="s">
        <v>3330</v>
      </c>
      <c r="C2115" t="s">
        <v>3059</v>
      </c>
      <c r="D2115">
        <v>70000</v>
      </c>
      <c r="E2115">
        <v>1000</v>
      </c>
      <c r="F2115">
        <v>70000</v>
      </c>
      <c r="G2115">
        <v>70000</v>
      </c>
      <c r="H2115">
        <v>2</v>
      </c>
      <c r="I2115" t="s">
        <v>89</v>
      </c>
      <c r="J2115">
        <v>21.5</v>
      </c>
      <c r="K2115">
        <v>47</v>
      </c>
      <c r="L2115">
        <v>3</v>
      </c>
      <c r="M2115" t="s">
        <v>3022</v>
      </c>
      <c r="N2115">
        <v>2</v>
      </c>
      <c r="O2115">
        <v>9.33</v>
      </c>
      <c r="P2115">
        <v>144436.73000000001</v>
      </c>
      <c r="Q2115">
        <v>95329.65</v>
      </c>
      <c r="R2115">
        <v>648</v>
      </c>
      <c r="S2115">
        <v>1622</v>
      </c>
      <c r="T2115" t="s">
        <v>34</v>
      </c>
      <c r="U2115" t="s">
        <v>42</v>
      </c>
    </row>
    <row r="2116" spans="1:21">
      <c r="A2116" t="s">
        <v>3331</v>
      </c>
      <c r="B2116" t="s">
        <v>3332</v>
      </c>
      <c r="C2116" t="s">
        <v>3059</v>
      </c>
      <c r="D2116">
        <v>55000</v>
      </c>
      <c r="F2116">
        <v>55000</v>
      </c>
      <c r="H2116">
        <v>2</v>
      </c>
      <c r="I2116" t="s">
        <v>89</v>
      </c>
      <c r="J2116">
        <v>20</v>
      </c>
      <c r="K2116">
        <v>50</v>
      </c>
      <c r="L2116">
        <v>2</v>
      </c>
      <c r="M2116" t="s">
        <v>3022</v>
      </c>
      <c r="N2116">
        <v>3</v>
      </c>
      <c r="O2116">
        <v>3</v>
      </c>
      <c r="P2116">
        <v>144436.73000000001</v>
      </c>
      <c r="Q2116">
        <v>95329.65</v>
      </c>
      <c r="R2116">
        <v>648</v>
      </c>
      <c r="S2116">
        <v>1622</v>
      </c>
      <c r="T2116" t="s">
        <v>34</v>
      </c>
      <c r="U2116" t="s">
        <v>42</v>
      </c>
    </row>
    <row r="2117" spans="1:21">
      <c r="A2117" t="s">
        <v>3333</v>
      </c>
      <c r="B2117" t="s">
        <v>3334</v>
      </c>
      <c r="C2117" t="s">
        <v>1890</v>
      </c>
      <c r="D2117">
        <v>112000</v>
      </c>
      <c r="E2117">
        <v>3000</v>
      </c>
      <c r="F2117">
        <v>112000</v>
      </c>
      <c r="G2117">
        <v>112000</v>
      </c>
      <c r="H2117">
        <v>1</v>
      </c>
      <c r="I2117" t="s">
        <v>89</v>
      </c>
      <c r="J2117">
        <v>28.56</v>
      </c>
      <c r="K2117">
        <v>0</v>
      </c>
      <c r="L2117">
        <v>2</v>
      </c>
      <c r="M2117" t="s">
        <v>3022</v>
      </c>
      <c r="N2117">
        <v>12</v>
      </c>
      <c r="O2117">
        <v>13.67</v>
      </c>
      <c r="P2117">
        <v>144436.73000000001</v>
      </c>
      <c r="Q2117">
        <v>95329.65</v>
      </c>
      <c r="R2117">
        <v>648</v>
      </c>
      <c r="S2117">
        <v>1622</v>
      </c>
      <c r="T2117" t="s">
        <v>34</v>
      </c>
      <c r="U2117" t="s">
        <v>81</v>
      </c>
    </row>
    <row r="2118" spans="1:21">
      <c r="A2118" t="s">
        <v>3335</v>
      </c>
      <c r="B2118" t="s">
        <v>3336</v>
      </c>
      <c r="C2118" t="s">
        <v>1231</v>
      </c>
      <c r="D2118">
        <v>108000</v>
      </c>
      <c r="E2118">
        <v>10000</v>
      </c>
      <c r="F2118">
        <v>108000</v>
      </c>
      <c r="G2118">
        <v>108000</v>
      </c>
      <c r="H2118">
        <v>1</v>
      </c>
      <c r="I2118" t="s">
        <v>89</v>
      </c>
      <c r="J2118">
        <v>24.47</v>
      </c>
      <c r="K2118">
        <v>1</v>
      </c>
      <c r="L2118">
        <v>2</v>
      </c>
      <c r="M2118" t="s">
        <v>3022</v>
      </c>
      <c r="N2118">
        <v>7</v>
      </c>
      <c r="O2118">
        <v>11.33</v>
      </c>
      <c r="P2118">
        <v>144436.73000000001</v>
      </c>
      <c r="Q2118">
        <v>95329.65</v>
      </c>
      <c r="R2118">
        <v>648</v>
      </c>
      <c r="S2118">
        <v>1622</v>
      </c>
      <c r="T2118" t="s">
        <v>34</v>
      </c>
      <c r="U2118" t="s">
        <v>31</v>
      </c>
    </row>
    <row r="2119" spans="1:21">
      <c r="A2119" t="s">
        <v>3337</v>
      </c>
      <c r="B2119" t="s">
        <v>3336</v>
      </c>
      <c r="C2119" t="s">
        <v>1231</v>
      </c>
      <c r="D2119">
        <v>120000</v>
      </c>
      <c r="E2119">
        <v>10000</v>
      </c>
      <c r="F2119">
        <v>120000</v>
      </c>
      <c r="G2119">
        <v>120000</v>
      </c>
      <c r="H2119">
        <v>2</v>
      </c>
      <c r="I2119" t="s">
        <v>89</v>
      </c>
      <c r="J2119">
        <v>24.47</v>
      </c>
      <c r="K2119">
        <v>1</v>
      </c>
      <c r="L2119">
        <v>2</v>
      </c>
      <c r="M2119" t="s">
        <v>3022</v>
      </c>
      <c r="N2119">
        <v>7</v>
      </c>
      <c r="O2119">
        <v>11.33</v>
      </c>
      <c r="P2119">
        <v>144436.73000000001</v>
      </c>
      <c r="Q2119">
        <v>95329.65</v>
      </c>
      <c r="R2119">
        <v>648</v>
      </c>
      <c r="S2119">
        <v>1622</v>
      </c>
      <c r="T2119" t="s">
        <v>34</v>
      </c>
      <c r="U2119" t="s">
        <v>31</v>
      </c>
    </row>
    <row r="2120" spans="1:21">
      <c r="A2120" t="s">
        <v>3338</v>
      </c>
      <c r="B2120" t="s">
        <v>3339</v>
      </c>
      <c r="C2120" t="s">
        <v>1890</v>
      </c>
      <c r="D2120">
        <v>67000</v>
      </c>
      <c r="H2120">
        <v>2</v>
      </c>
      <c r="I2120" t="s">
        <v>89</v>
      </c>
      <c r="J2120">
        <v>13.4</v>
      </c>
      <c r="K2120">
        <v>20</v>
      </c>
      <c r="L2120">
        <v>2</v>
      </c>
      <c r="M2120" t="s">
        <v>3022</v>
      </c>
      <c r="N2120">
        <v>12</v>
      </c>
      <c r="O2120">
        <v>12</v>
      </c>
      <c r="P2120">
        <v>144436.73000000001</v>
      </c>
      <c r="Q2120">
        <v>95329.65</v>
      </c>
      <c r="R2120">
        <v>648</v>
      </c>
      <c r="S2120">
        <v>1622</v>
      </c>
      <c r="T2120" t="s">
        <v>108</v>
      </c>
      <c r="U2120" t="s">
        <v>90</v>
      </c>
    </row>
    <row r="2121" spans="1:21">
      <c r="A2121" t="s">
        <v>3340</v>
      </c>
      <c r="B2121" t="s">
        <v>3341</v>
      </c>
      <c r="C2121" t="s">
        <v>1231</v>
      </c>
      <c r="D2121">
        <v>80000</v>
      </c>
      <c r="E2121">
        <v>2000</v>
      </c>
      <c r="F2121">
        <v>80000</v>
      </c>
      <c r="G2121">
        <v>80000</v>
      </c>
      <c r="H2121">
        <v>1</v>
      </c>
      <c r="I2121" t="s">
        <v>89</v>
      </c>
      <c r="J2121">
        <v>21.84</v>
      </c>
      <c r="K2121">
        <v>21</v>
      </c>
      <c r="L2121">
        <v>2</v>
      </c>
      <c r="M2121" t="s">
        <v>3022</v>
      </c>
      <c r="N2121">
        <v>3</v>
      </c>
      <c r="O2121">
        <v>9.33</v>
      </c>
      <c r="P2121">
        <v>144436.73000000001</v>
      </c>
      <c r="Q2121">
        <v>95329.65</v>
      </c>
      <c r="R2121">
        <v>648</v>
      </c>
      <c r="S2121">
        <v>1622</v>
      </c>
      <c r="T2121" t="s">
        <v>34</v>
      </c>
      <c r="U2121" t="s">
        <v>27</v>
      </c>
    </row>
    <row r="2122" spans="1:21">
      <c r="A2122" t="s">
        <v>3342</v>
      </c>
      <c r="B2122" t="s">
        <v>3343</v>
      </c>
      <c r="C2122" t="s">
        <v>1216</v>
      </c>
      <c r="D2122">
        <v>100000</v>
      </c>
      <c r="E2122">
        <v>8000</v>
      </c>
      <c r="H2122">
        <v>1</v>
      </c>
      <c r="I2122" t="s">
        <v>89</v>
      </c>
      <c r="J2122">
        <v>24.3</v>
      </c>
      <c r="K2122">
        <v>34</v>
      </c>
      <c r="L2122">
        <v>3</v>
      </c>
      <c r="M2122" t="s">
        <v>3022</v>
      </c>
      <c r="N2122">
        <v>9</v>
      </c>
      <c r="O2122">
        <v>12.67</v>
      </c>
      <c r="P2122">
        <v>144436.73000000001</v>
      </c>
      <c r="Q2122">
        <v>95329.65</v>
      </c>
      <c r="R2122">
        <v>648</v>
      </c>
      <c r="S2122">
        <v>1622</v>
      </c>
      <c r="T2122" t="s">
        <v>34</v>
      </c>
      <c r="U2122" t="s">
        <v>49</v>
      </c>
    </row>
    <row r="2123" spans="1:21">
      <c r="A2123" t="s">
        <v>3344</v>
      </c>
      <c r="B2123" t="s">
        <v>3345</v>
      </c>
      <c r="C2123" t="s">
        <v>1228</v>
      </c>
      <c r="D2123">
        <v>85000</v>
      </c>
      <c r="E2123">
        <v>3000</v>
      </c>
      <c r="F2123">
        <v>85000</v>
      </c>
      <c r="H2123">
        <v>2</v>
      </c>
      <c r="I2123" t="s">
        <v>89</v>
      </c>
      <c r="J2123">
        <v>23.13</v>
      </c>
      <c r="K2123">
        <v>40</v>
      </c>
      <c r="L2123">
        <v>3</v>
      </c>
      <c r="M2123" t="s">
        <v>3022</v>
      </c>
      <c r="N2123">
        <v>7</v>
      </c>
      <c r="O2123">
        <v>11</v>
      </c>
      <c r="P2123">
        <v>144436.73000000001</v>
      </c>
      <c r="Q2123">
        <v>95329.65</v>
      </c>
      <c r="R2123">
        <v>648</v>
      </c>
      <c r="S2123">
        <v>1622</v>
      </c>
      <c r="T2123" t="s">
        <v>34</v>
      </c>
      <c r="U2123" t="s">
        <v>49</v>
      </c>
    </row>
    <row r="2124" spans="1:21">
      <c r="A2124" t="s">
        <v>3346</v>
      </c>
      <c r="B2124" t="s">
        <v>3347</v>
      </c>
      <c r="C2124" t="s">
        <v>1768</v>
      </c>
      <c r="D2124">
        <v>112000</v>
      </c>
      <c r="E2124">
        <v>6000</v>
      </c>
      <c r="F2124">
        <v>112000</v>
      </c>
      <c r="G2124">
        <v>112000</v>
      </c>
      <c r="H2124">
        <v>3</v>
      </c>
      <c r="I2124" t="s">
        <v>89</v>
      </c>
      <c r="J2124">
        <v>30.72</v>
      </c>
      <c r="K2124">
        <v>23</v>
      </c>
      <c r="L2124">
        <v>4</v>
      </c>
      <c r="M2124" t="s">
        <v>3022</v>
      </c>
      <c r="N2124">
        <v>8</v>
      </c>
      <c r="O2124">
        <v>8</v>
      </c>
      <c r="P2124">
        <v>144436.73000000001</v>
      </c>
      <c r="Q2124">
        <v>95329.65</v>
      </c>
      <c r="R2124">
        <v>648</v>
      </c>
      <c r="S2124">
        <v>1622</v>
      </c>
      <c r="T2124" t="s">
        <v>26</v>
      </c>
      <c r="U2124" t="s">
        <v>27</v>
      </c>
    </row>
    <row r="2125" spans="1:21">
      <c r="A2125" t="s">
        <v>3348</v>
      </c>
      <c r="B2125" t="s">
        <v>3349</v>
      </c>
      <c r="C2125" t="s">
        <v>1768</v>
      </c>
      <c r="D2125">
        <v>120000</v>
      </c>
      <c r="E2125">
        <v>10000</v>
      </c>
      <c r="G2125">
        <v>120000</v>
      </c>
      <c r="H2125">
        <v>7</v>
      </c>
      <c r="I2125" t="s">
        <v>89</v>
      </c>
      <c r="J2125">
        <v>26.66</v>
      </c>
      <c r="K2125">
        <v>9</v>
      </c>
      <c r="L2125">
        <v>7</v>
      </c>
      <c r="M2125" t="s">
        <v>3022</v>
      </c>
      <c r="N2125">
        <v>6</v>
      </c>
      <c r="O2125">
        <v>8</v>
      </c>
      <c r="P2125">
        <v>144436.73000000001</v>
      </c>
      <c r="Q2125">
        <v>95329.65</v>
      </c>
      <c r="R2125">
        <v>648</v>
      </c>
      <c r="S2125">
        <v>1622</v>
      </c>
      <c r="T2125" t="s">
        <v>34</v>
      </c>
      <c r="U2125" t="s">
        <v>31</v>
      </c>
    </row>
    <row r="2126" spans="1:21">
      <c r="A2126" t="s">
        <v>3350</v>
      </c>
      <c r="B2126" t="s">
        <v>3351</v>
      </c>
      <c r="C2126" t="s">
        <v>1228</v>
      </c>
      <c r="D2126">
        <v>87000</v>
      </c>
      <c r="E2126">
        <v>3000</v>
      </c>
      <c r="F2126">
        <v>87000</v>
      </c>
      <c r="G2126">
        <v>87000</v>
      </c>
      <c r="H2126">
        <v>1</v>
      </c>
      <c r="I2126" t="s">
        <v>89</v>
      </c>
      <c r="J2126">
        <v>27</v>
      </c>
      <c r="K2126">
        <v>18</v>
      </c>
      <c r="L2126">
        <v>2</v>
      </c>
      <c r="M2126" t="s">
        <v>3022</v>
      </c>
      <c r="N2126">
        <v>5</v>
      </c>
      <c r="O2126">
        <v>10.67</v>
      </c>
      <c r="P2126">
        <v>144436.73000000001</v>
      </c>
      <c r="Q2126">
        <v>95329.65</v>
      </c>
      <c r="R2126">
        <v>648</v>
      </c>
      <c r="S2126">
        <v>1622</v>
      </c>
      <c r="T2126" t="s">
        <v>34</v>
      </c>
      <c r="U2126" t="s">
        <v>90</v>
      </c>
    </row>
    <row r="2127" spans="1:21">
      <c r="A2127" t="s">
        <v>3352</v>
      </c>
      <c r="B2127" t="s">
        <v>3097</v>
      </c>
      <c r="C2127" t="s">
        <v>1228</v>
      </c>
      <c r="D2127">
        <v>133000</v>
      </c>
      <c r="E2127">
        <v>8000</v>
      </c>
      <c r="F2127">
        <v>133000</v>
      </c>
      <c r="G2127">
        <v>199500</v>
      </c>
      <c r="H2127">
        <v>2</v>
      </c>
      <c r="I2127" t="s">
        <v>89</v>
      </c>
      <c r="J2127">
        <v>30.3</v>
      </c>
      <c r="K2127">
        <v>17</v>
      </c>
      <c r="L2127">
        <v>10</v>
      </c>
      <c r="M2127" t="s">
        <v>3022</v>
      </c>
      <c r="N2127">
        <v>5</v>
      </c>
      <c r="O2127">
        <v>9.67</v>
      </c>
      <c r="P2127">
        <v>144436.73000000001</v>
      </c>
      <c r="Q2127">
        <v>95329.65</v>
      </c>
      <c r="R2127">
        <v>648</v>
      </c>
      <c r="S2127">
        <v>1622</v>
      </c>
      <c r="T2127" t="s">
        <v>26</v>
      </c>
      <c r="U2127" t="s">
        <v>90</v>
      </c>
    </row>
    <row r="2128" spans="1:21">
      <c r="A2128" t="s">
        <v>3353</v>
      </c>
      <c r="B2128" t="s">
        <v>3354</v>
      </c>
      <c r="C2128" t="s">
        <v>1228</v>
      </c>
      <c r="D2128">
        <v>119000</v>
      </c>
      <c r="E2128">
        <v>10000</v>
      </c>
      <c r="G2128">
        <v>119000</v>
      </c>
      <c r="H2128">
        <v>2</v>
      </c>
      <c r="I2128" t="s">
        <v>89</v>
      </c>
      <c r="J2128">
        <v>25.52</v>
      </c>
      <c r="K2128">
        <v>8</v>
      </c>
      <c r="L2128">
        <v>10</v>
      </c>
      <c r="M2128" t="s">
        <v>3022</v>
      </c>
      <c r="N2128">
        <v>2</v>
      </c>
      <c r="O2128">
        <v>9.33</v>
      </c>
      <c r="P2128">
        <v>144436.73000000001</v>
      </c>
      <c r="Q2128">
        <v>95329.65</v>
      </c>
      <c r="R2128">
        <v>648</v>
      </c>
      <c r="S2128">
        <v>1622</v>
      </c>
      <c r="T2128" t="s">
        <v>34</v>
      </c>
      <c r="U2128" t="s">
        <v>31</v>
      </c>
    </row>
    <row r="2129" spans="1:21">
      <c r="A2129" t="s">
        <v>3355</v>
      </c>
      <c r="B2129" t="s">
        <v>3354</v>
      </c>
      <c r="C2129" t="s">
        <v>1228</v>
      </c>
      <c r="D2129">
        <v>110000</v>
      </c>
      <c r="E2129">
        <v>15000</v>
      </c>
      <c r="G2129">
        <v>110000</v>
      </c>
      <c r="H2129">
        <v>3</v>
      </c>
      <c r="I2129" t="s">
        <v>89</v>
      </c>
      <c r="J2129">
        <v>25.77</v>
      </c>
      <c r="K2129">
        <v>8</v>
      </c>
      <c r="L2129">
        <v>10</v>
      </c>
      <c r="M2129" t="s">
        <v>3022</v>
      </c>
      <c r="N2129">
        <v>2</v>
      </c>
      <c r="O2129">
        <v>9.33</v>
      </c>
      <c r="P2129">
        <v>144436.73000000001</v>
      </c>
      <c r="Q2129">
        <v>95329.65</v>
      </c>
      <c r="R2129">
        <v>648</v>
      </c>
      <c r="S2129">
        <v>1622</v>
      </c>
      <c r="T2129" t="s">
        <v>34</v>
      </c>
      <c r="U2129" t="s">
        <v>31</v>
      </c>
    </row>
    <row r="2130" spans="1:21">
      <c r="A2130" t="s">
        <v>3356</v>
      </c>
      <c r="B2130" t="s">
        <v>3354</v>
      </c>
      <c r="C2130" t="s">
        <v>1228</v>
      </c>
      <c r="D2130">
        <v>145000</v>
      </c>
      <c r="E2130">
        <v>11000</v>
      </c>
      <c r="G2130">
        <v>145000</v>
      </c>
      <c r="H2130">
        <v>8</v>
      </c>
      <c r="I2130" t="s">
        <v>89</v>
      </c>
      <c r="J2130">
        <v>26.06</v>
      </c>
      <c r="K2130">
        <v>8</v>
      </c>
      <c r="L2130">
        <v>10</v>
      </c>
      <c r="M2130" t="s">
        <v>3022</v>
      </c>
      <c r="N2130">
        <v>2</v>
      </c>
      <c r="O2130">
        <v>9.33</v>
      </c>
      <c r="P2130">
        <v>144436.73000000001</v>
      </c>
      <c r="Q2130">
        <v>95329.65</v>
      </c>
      <c r="R2130">
        <v>648</v>
      </c>
      <c r="S2130">
        <v>1622</v>
      </c>
      <c r="T2130" t="s">
        <v>34</v>
      </c>
      <c r="U2130" t="s">
        <v>31</v>
      </c>
    </row>
    <row r="2131" spans="1:21">
      <c r="A2131" t="s">
        <v>3357</v>
      </c>
      <c r="B2131" t="s">
        <v>3101</v>
      </c>
      <c r="C2131" t="s">
        <v>1228</v>
      </c>
      <c r="D2131">
        <v>143000</v>
      </c>
      <c r="E2131">
        <v>10000</v>
      </c>
      <c r="H2131">
        <v>5</v>
      </c>
      <c r="I2131" t="s">
        <v>89</v>
      </c>
      <c r="J2131">
        <v>26.19</v>
      </c>
      <c r="K2131">
        <v>3</v>
      </c>
      <c r="L2131">
        <v>12</v>
      </c>
      <c r="M2131" t="s">
        <v>3022</v>
      </c>
      <c r="N2131">
        <v>3</v>
      </c>
      <c r="O2131">
        <v>7</v>
      </c>
      <c r="P2131">
        <v>144436.73000000001</v>
      </c>
      <c r="Q2131">
        <v>95329.65</v>
      </c>
      <c r="R2131">
        <v>648</v>
      </c>
      <c r="S2131">
        <v>1622</v>
      </c>
      <c r="T2131" t="s">
        <v>34</v>
      </c>
      <c r="U2131" t="s">
        <v>31</v>
      </c>
    </row>
    <row r="2132" spans="1:21">
      <c r="A2132" t="s">
        <v>3358</v>
      </c>
      <c r="B2132" t="s">
        <v>3103</v>
      </c>
      <c r="C2132" t="s">
        <v>1768</v>
      </c>
      <c r="D2132">
        <v>140000</v>
      </c>
      <c r="E2132">
        <v>10000</v>
      </c>
      <c r="F2132">
        <v>140000</v>
      </c>
      <c r="H2132">
        <v>2</v>
      </c>
      <c r="I2132" t="s">
        <v>89</v>
      </c>
      <c r="J2132">
        <v>25.05</v>
      </c>
      <c r="K2132">
        <v>2</v>
      </c>
      <c r="L2132">
        <v>13</v>
      </c>
      <c r="M2132" t="s">
        <v>3022</v>
      </c>
      <c r="N2132">
        <v>9</v>
      </c>
      <c r="O2132">
        <v>11.33</v>
      </c>
      <c r="P2132">
        <v>144436.73000000001</v>
      </c>
      <c r="Q2132">
        <v>95329.65</v>
      </c>
      <c r="R2132">
        <v>648</v>
      </c>
      <c r="S2132">
        <v>1622</v>
      </c>
      <c r="T2132" t="s">
        <v>34</v>
      </c>
      <c r="U2132" t="s">
        <v>31</v>
      </c>
    </row>
    <row r="2133" spans="1:21">
      <c r="A2133" t="s">
        <v>3359</v>
      </c>
      <c r="B2133" t="s">
        <v>3103</v>
      </c>
      <c r="C2133" t="s">
        <v>1768</v>
      </c>
      <c r="D2133">
        <v>144000</v>
      </c>
      <c r="E2133">
        <v>10000</v>
      </c>
      <c r="F2133">
        <v>144000</v>
      </c>
      <c r="H2133">
        <v>4</v>
      </c>
      <c r="I2133" t="s">
        <v>89</v>
      </c>
      <c r="J2133">
        <v>25.05</v>
      </c>
      <c r="K2133">
        <v>2</v>
      </c>
      <c r="L2133">
        <v>13</v>
      </c>
      <c r="M2133" t="s">
        <v>3022</v>
      </c>
      <c r="N2133">
        <v>9</v>
      </c>
      <c r="O2133">
        <v>11.33</v>
      </c>
      <c r="P2133">
        <v>144436.73000000001</v>
      </c>
      <c r="Q2133">
        <v>95329.65</v>
      </c>
      <c r="R2133">
        <v>648</v>
      </c>
      <c r="S2133">
        <v>1622</v>
      </c>
      <c r="T2133" t="s">
        <v>34</v>
      </c>
      <c r="U2133" t="s">
        <v>31</v>
      </c>
    </row>
    <row r="2134" spans="1:21">
      <c r="A2134" t="s">
        <v>3360</v>
      </c>
      <c r="B2134" t="s">
        <v>3103</v>
      </c>
      <c r="C2134" t="s">
        <v>1768</v>
      </c>
      <c r="D2134">
        <v>148000</v>
      </c>
      <c r="E2134">
        <v>10000</v>
      </c>
      <c r="F2134">
        <v>148000</v>
      </c>
      <c r="H2134">
        <v>7</v>
      </c>
      <c r="I2134" t="s">
        <v>89</v>
      </c>
      <c r="J2134">
        <v>25.05</v>
      </c>
      <c r="K2134">
        <v>2</v>
      </c>
      <c r="L2134">
        <v>13</v>
      </c>
      <c r="M2134" t="s">
        <v>3022</v>
      </c>
      <c r="N2134">
        <v>9</v>
      </c>
      <c r="O2134">
        <v>11.33</v>
      </c>
      <c r="P2134">
        <v>144436.73000000001</v>
      </c>
      <c r="Q2134">
        <v>95329.65</v>
      </c>
      <c r="R2134">
        <v>648</v>
      </c>
      <c r="S2134">
        <v>1622</v>
      </c>
      <c r="T2134" t="s">
        <v>34</v>
      </c>
      <c r="U2134" t="s">
        <v>31</v>
      </c>
    </row>
    <row r="2135" spans="1:21">
      <c r="A2135" t="s">
        <v>3361</v>
      </c>
      <c r="B2135" t="s">
        <v>3362</v>
      </c>
      <c r="C2135" t="s">
        <v>1768</v>
      </c>
      <c r="D2135">
        <v>123000</v>
      </c>
      <c r="E2135">
        <v>15000</v>
      </c>
      <c r="F2135">
        <v>123000</v>
      </c>
      <c r="H2135">
        <v>2</v>
      </c>
      <c r="I2135" t="s">
        <v>89</v>
      </c>
      <c r="J2135">
        <v>25.13</v>
      </c>
      <c r="K2135">
        <v>6</v>
      </c>
      <c r="L2135">
        <v>14</v>
      </c>
      <c r="M2135" t="s">
        <v>3022</v>
      </c>
      <c r="N2135">
        <v>5</v>
      </c>
      <c r="O2135">
        <v>10</v>
      </c>
      <c r="P2135">
        <v>144436.73000000001</v>
      </c>
      <c r="Q2135">
        <v>95329.65</v>
      </c>
      <c r="R2135">
        <v>648</v>
      </c>
      <c r="S2135">
        <v>1622</v>
      </c>
      <c r="T2135" t="s">
        <v>34</v>
      </c>
      <c r="U2135" t="s">
        <v>31</v>
      </c>
    </row>
    <row r="2136" spans="1:21">
      <c r="A2136" t="s">
        <v>3363</v>
      </c>
      <c r="B2136" t="s">
        <v>3364</v>
      </c>
      <c r="C2136" t="s">
        <v>1228</v>
      </c>
      <c r="D2136">
        <v>87000</v>
      </c>
      <c r="E2136">
        <v>3000</v>
      </c>
      <c r="F2136">
        <v>87000</v>
      </c>
      <c r="G2136">
        <v>87000</v>
      </c>
      <c r="H2136">
        <v>1</v>
      </c>
      <c r="I2136" t="s">
        <v>89</v>
      </c>
      <c r="J2136">
        <v>27</v>
      </c>
      <c r="K2136">
        <v>18</v>
      </c>
      <c r="L2136">
        <v>2</v>
      </c>
      <c r="M2136" t="s">
        <v>3022</v>
      </c>
      <c r="N2136">
        <v>5</v>
      </c>
      <c r="O2136">
        <v>10.67</v>
      </c>
      <c r="P2136">
        <v>144436.73000000001</v>
      </c>
      <c r="Q2136">
        <v>95329.65</v>
      </c>
      <c r="R2136">
        <v>648</v>
      </c>
      <c r="S2136">
        <v>1622</v>
      </c>
      <c r="T2136" t="s">
        <v>34</v>
      </c>
      <c r="U2136" t="s">
        <v>90</v>
      </c>
    </row>
    <row r="2137" spans="1:21">
      <c r="A2137" t="s">
        <v>3365</v>
      </c>
      <c r="B2137" t="s">
        <v>3366</v>
      </c>
      <c r="C2137" t="s">
        <v>1890</v>
      </c>
      <c r="D2137">
        <v>70000</v>
      </c>
      <c r="E2137">
        <v>4000</v>
      </c>
      <c r="F2137">
        <v>70000</v>
      </c>
      <c r="G2137">
        <v>70000</v>
      </c>
      <c r="H2137">
        <v>1</v>
      </c>
      <c r="I2137" t="s">
        <v>89</v>
      </c>
      <c r="J2137">
        <v>18.5</v>
      </c>
      <c r="K2137">
        <v>19</v>
      </c>
      <c r="L2137">
        <v>2</v>
      </c>
      <c r="M2137" t="s">
        <v>3022</v>
      </c>
      <c r="N2137">
        <v>10</v>
      </c>
      <c r="O2137">
        <v>10.33</v>
      </c>
      <c r="P2137">
        <v>144436.73000000001</v>
      </c>
      <c r="Q2137">
        <v>95329.65</v>
      </c>
      <c r="R2137">
        <v>648</v>
      </c>
      <c r="S2137">
        <v>1622</v>
      </c>
      <c r="T2137" t="s">
        <v>108</v>
      </c>
      <c r="U2137" t="s">
        <v>90</v>
      </c>
    </row>
    <row r="2138" spans="1:21">
      <c r="A2138" t="s">
        <v>3367</v>
      </c>
      <c r="B2138" t="s">
        <v>3368</v>
      </c>
      <c r="C2138" t="s">
        <v>3059</v>
      </c>
      <c r="D2138">
        <v>79000</v>
      </c>
      <c r="E2138">
        <v>4000</v>
      </c>
      <c r="F2138">
        <v>79000</v>
      </c>
      <c r="G2138">
        <v>118500</v>
      </c>
      <c r="H2138">
        <v>1</v>
      </c>
      <c r="I2138" t="s">
        <v>89</v>
      </c>
      <c r="J2138">
        <v>18.63</v>
      </c>
      <c r="K2138">
        <v>38</v>
      </c>
      <c r="L2138">
        <v>2</v>
      </c>
      <c r="M2138" t="s">
        <v>3022</v>
      </c>
      <c r="N2138">
        <v>4</v>
      </c>
      <c r="O2138">
        <v>5</v>
      </c>
      <c r="P2138">
        <v>144436.73000000001</v>
      </c>
      <c r="Q2138">
        <v>95329.65</v>
      </c>
      <c r="R2138">
        <v>648</v>
      </c>
      <c r="S2138">
        <v>1622</v>
      </c>
      <c r="T2138" t="s">
        <v>108</v>
      </c>
      <c r="U2138" t="s">
        <v>49</v>
      </c>
    </row>
    <row r="2139" spans="1:21">
      <c r="A2139" t="s">
        <v>3369</v>
      </c>
      <c r="B2139" t="s">
        <v>3370</v>
      </c>
      <c r="C2139" t="s">
        <v>1768</v>
      </c>
      <c r="D2139">
        <v>30000</v>
      </c>
      <c r="E2139">
        <v>2000</v>
      </c>
      <c r="F2139">
        <v>30000</v>
      </c>
      <c r="H2139">
        <v>2</v>
      </c>
      <c r="I2139" t="s">
        <v>89</v>
      </c>
      <c r="J2139">
        <v>18</v>
      </c>
      <c r="K2139">
        <v>52</v>
      </c>
      <c r="L2139">
        <v>2</v>
      </c>
      <c r="M2139" t="s">
        <v>3022</v>
      </c>
      <c r="N2139">
        <v>8</v>
      </c>
      <c r="O2139">
        <v>10</v>
      </c>
      <c r="P2139">
        <v>144436.73000000001</v>
      </c>
      <c r="Q2139">
        <v>95329.65</v>
      </c>
      <c r="R2139">
        <v>648</v>
      </c>
      <c r="S2139">
        <v>1622</v>
      </c>
      <c r="T2139" t="s">
        <v>108</v>
      </c>
      <c r="U2139" t="s">
        <v>57</v>
      </c>
    </row>
    <row r="2140" spans="1:21">
      <c r="A2140" t="s">
        <v>3371</v>
      </c>
      <c r="B2140" t="s">
        <v>3372</v>
      </c>
      <c r="C2140" t="s">
        <v>1773</v>
      </c>
      <c r="D2140">
        <v>52000</v>
      </c>
      <c r="E2140">
        <v>2000</v>
      </c>
      <c r="F2140">
        <v>52000</v>
      </c>
      <c r="G2140">
        <v>52000</v>
      </c>
      <c r="H2140">
        <v>1</v>
      </c>
      <c r="I2140" t="s">
        <v>89</v>
      </c>
      <c r="J2140">
        <v>17</v>
      </c>
      <c r="K2140">
        <v>56</v>
      </c>
      <c r="L2140">
        <v>2</v>
      </c>
      <c r="M2140" t="s">
        <v>3022</v>
      </c>
      <c r="N2140">
        <v>6</v>
      </c>
      <c r="O2140">
        <v>10</v>
      </c>
      <c r="P2140">
        <v>144436.73000000001</v>
      </c>
      <c r="Q2140">
        <v>95329.65</v>
      </c>
      <c r="R2140">
        <v>648</v>
      </c>
      <c r="S2140">
        <v>1622</v>
      </c>
      <c r="T2140" t="s">
        <v>108</v>
      </c>
      <c r="U2140" t="s">
        <v>57</v>
      </c>
    </row>
    <row r="2141" spans="1:21">
      <c r="A2141" t="s">
        <v>3373</v>
      </c>
      <c r="B2141" t="s">
        <v>3372</v>
      </c>
      <c r="C2141" t="s">
        <v>1228</v>
      </c>
      <c r="D2141">
        <v>57000</v>
      </c>
      <c r="E2141">
        <v>1000</v>
      </c>
      <c r="H2141">
        <v>1</v>
      </c>
      <c r="I2141" t="s">
        <v>89</v>
      </c>
      <c r="J2141">
        <v>19</v>
      </c>
      <c r="K2141">
        <v>56</v>
      </c>
      <c r="L2141">
        <v>2</v>
      </c>
      <c r="M2141" t="s">
        <v>3022</v>
      </c>
      <c r="N2141">
        <v>2</v>
      </c>
      <c r="O2141">
        <v>9.67</v>
      </c>
      <c r="P2141">
        <v>144436.73000000001</v>
      </c>
      <c r="Q2141">
        <v>95329.65</v>
      </c>
      <c r="R2141">
        <v>648</v>
      </c>
      <c r="S2141">
        <v>1622</v>
      </c>
      <c r="T2141" t="s">
        <v>108</v>
      </c>
      <c r="U2141" t="s">
        <v>57</v>
      </c>
    </row>
    <row r="2142" spans="1:21">
      <c r="A2142" t="s">
        <v>3374</v>
      </c>
      <c r="B2142" t="s">
        <v>3372</v>
      </c>
      <c r="C2142" t="s">
        <v>1228</v>
      </c>
      <c r="D2142">
        <v>58000</v>
      </c>
      <c r="E2142">
        <v>1000</v>
      </c>
      <c r="H2142">
        <v>2</v>
      </c>
      <c r="I2142" t="s">
        <v>89</v>
      </c>
      <c r="J2142">
        <v>19</v>
      </c>
      <c r="K2142">
        <v>56</v>
      </c>
      <c r="L2142">
        <v>2</v>
      </c>
      <c r="M2142" t="s">
        <v>3022</v>
      </c>
      <c r="N2142">
        <v>2</v>
      </c>
      <c r="O2142">
        <v>9.67</v>
      </c>
      <c r="P2142">
        <v>144436.73000000001</v>
      </c>
      <c r="Q2142">
        <v>95329.65</v>
      </c>
      <c r="R2142">
        <v>648</v>
      </c>
      <c r="S2142">
        <v>1622</v>
      </c>
      <c r="T2142" t="s">
        <v>108</v>
      </c>
      <c r="U2142" t="s">
        <v>57</v>
      </c>
    </row>
    <row r="2143" spans="1:21">
      <c r="A2143" t="s">
        <v>3375</v>
      </c>
      <c r="B2143" t="s">
        <v>3376</v>
      </c>
      <c r="C2143" t="s">
        <v>1294</v>
      </c>
      <c r="D2143">
        <v>85000</v>
      </c>
      <c r="E2143">
        <v>5000</v>
      </c>
      <c r="F2143">
        <v>85000</v>
      </c>
      <c r="H2143">
        <v>1</v>
      </c>
      <c r="I2143" t="s">
        <v>89</v>
      </c>
      <c r="J2143">
        <v>19.8</v>
      </c>
      <c r="K2143">
        <v>10</v>
      </c>
      <c r="L2143">
        <v>3</v>
      </c>
      <c r="M2143" t="s">
        <v>3022</v>
      </c>
      <c r="N2143">
        <v>6</v>
      </c>
      <c r="O2143">
        <v>9.67</v>
      </c>
      <c r="P2143">
        <v>144436.73000000001</v>
      </c>
      <c r="Q2143">
        <v>95329.65</v>
      </c>
      <c r="R2143">
        <v>648</v>
      </c>
      <c r="S2143">
        <v>1622</v>
      </c>
      <c r="T2143" t="s">
        <v>108</v>
      </c>
      <c r="U2143" t="s">
        <v>31</v>
      </c>
    </row>
    <row r="2144" spans="1:21">
      <c r="A2144" t="s">
        <v>3377</v>
      </c>
      <c r="B2144" t="s">
        <v>3376</v>
      </c>
      <c r="C2144" t="s">
        <v>1294</v>
      </c>
      <c r="D2144">
        <v>85000</v>
      </c>
      <c r="E2144">
        <v>5000</v>
      </c>
      <c r="F2144">
        <v>85000</v>
      </c>
      <c r="H2144">
        <v>1</v>
      </c>
      <c r="I2144" t="s">
        <v>89</v>
      </c>
      <c r="J2144">
        <v>22.26</v>
      </c>
      <c r="K2144">
        <v>10</v>
      </c>
      <c r="L2144">
        <v>3</v>
      </c>
      <c r="M2144" t="s">
        <v>3022</v>
      </c>
      <c r="N2144">
        <v>6</v>
      </c>
      <c r="O2144">
        <v>9.67</v>
      </c>
      <c r="P2144">
        <v>144436.73000000001</v>
      </c>
      <c r="Q2144">
        <v>95329.65</v>
      </c>
      <c r="R2144">
        <v>648</v>
      </c>
      <c r="S2144">
        <v>1622</v>
      </c>
      <c r="T2144" t="s">
        <v>34</v>
      </c>
      <c r="U2144" t="s">
        <v>31</v>
      </c>
    </row>
    <row r="2145" spans="1:21">
      <c r="A2145" t="s">
        <v>3378</v>
      </c>
      <c r="B2145" t="s">
        <v>3379</v>
      </c>
      <c r="C2145" t="s">
        <v>3059</v>
      </c>
      <c r="D2145">
        <v>75000</v>
      </c>
      <c r="E2145">
        <v>2000</v>
      </c>
      <c r="F2145">
        <v>75000</v>
      </c>
      <c r="G2145">
        <v>75000</v>
      </c>
      <c r="H2145">
        <v>2</v>
      </c>
      <c r="I2145" t="s">
        <v>89</v>
      </c>
      <c r="J2145">
        <v>19.87</v>
      </c>
      <c r="K2145">
        <v>16</v>
      </c>
      <c r="L2145">
        <v>3</v>
      </c>
      <c r="M2145" t="s">
        <v>3022</v>
      </c>
      <c r="N2145">
        <v>8</v>
      </c>
      <c r="O2145">
        <v>12.33</v>
      </c>
      <c r="P2145">
        <v>144436.73000000001</v>
      </c>
      <c r="Q2145">
        <v>95329.65</v>
      </c>
      <c r="R2145">
        <v>648</v>
      </c>
      <c r="S2145">
        <v>1622</v>
      </c>
      <c r="T2145" t="s">
        <v>108</v>
      </c>
      <c r="U2145" t="s">
        <v>90</v>
      </c>
    </row>
    <row r="2146" spans="1:21">
      <c r="A2146" t="s">
        <v>3380</v>
      </c>
      <c r="B2146" t="s">
        <v>3381</v>
      </c>
      <c r="C2146" t="s">
        <v>3059</v>
      </c>
      <c r="D2146">
        <v>98000</v>
      </c>
      <c r="E2146">
        <v>2000</v>
      </c>
      <c r="F2146">
        <v>98000</v>
      </c>
      <c r="G2146">
        <v>98000</v>
      </c>
      <c r="H2146">
        <v>1</v>
      </c>
      <c r="I2146" t="s">
        <v>89</v>
      </c>
      <c r="J2146">
        <v>18.8</v>
      </c>
      <c r="K2146">
        <v>19</v>
      </c>
      <c r="L2146">
        <v>3</v>
      </c>
      <c r="M2146" t="s">
        <v>3022</v>
      </c>
      <c r="N2146">
        <v>6</v>
      </c>
      <c r="O2146">
        <v>11.33</v>
      </c>
      <c r="P2146">
        <v>144436.73000000001</v>
      </c>
      <c r="Q2146">
        <v>95329.65</v>
      </c>
      <c r="R2146">
        <v>648</v>
      </c>
      <c r="S2146">
        <v>1622</v>
      </c>
      <c r="T2146" t="s">
        <v>108</v>
      </c>
      <c r="U2146" t="s">
        <v>90</v>
      </c>
    </row>
    <row r="2147" spans="1:21">
      <c r="A2147" t="s">
        <v>3382</v>
      </c>
      <c r="B2147" t="s">
        <v>3383</v>
      </c>
      <c r="C2147" t="s">
        <v>3195</v>
      </c>
      <c r="D2147">
        <v>60000</v>
      </c>
      <c r="E2147">
        <v>3000</v>
      </c>
      <c r="F2147">
        <v>60000</v>
      </c>
      <c r="G2147">
        <v>60000</v>
      </c>
      <c r="H2147">
        <v>1</v>
      </c>
      <c r="I2147" t="s">
        <v>89</v>
      </c>
      <c r="J2147">
        <v>18</v>
      </c>
      <c r="K2147">
        <v>30</v>
      </c>
      <c r="L2147">
        <v>3</v>
      </c>
      <c r="M2147" t="s">
        <v>3022</v>
      </c>
      <c r="N2147">
        <v>3</v>
      </c>
      <c r="O2147">
        <v>6</v>
      </c>
      <c r="P2147">
        <v>144436.73000000001</v>
      </c>
      <c r="Q2147">
        <v>95329.65</v>
      </c>
      <c r="R2147">
        <v>648</v>
      </c>
      <c r="S2147">
        <v>1622</v>
      </c>
      <c r="T2147" t="s">
        <v>108</v>
      </c>
      <c r="U2147" t="s">
        <v>27</v>
      </c>
    </row>
    <row r="2148" spans="1:21">
      <c r="A2148" t="s">
        <v>3384</v>
      </c>
      <c r="B2148" t="s">
        <v>3385</v>
      </c>
      <c r="C2148" t="s">
        <v>1231</v>
      </c>
      <c r="D2148">
        <v>75000</v>
      </c>
      <c r="E2148">
        <v>2000</v>
      </c>
      <c r="F2148">
        <v>75000</v>
      </c>
      <c r="G2148">
        <v>75000</v>
      </c>
      <c r="H2148">
        <v>1</v>
      </c>
      <c r="I2148" t="s">
        <v>89</v>
      </c>
      <c r="J2148">
        <v>23.83</v>
      </c>
      <c r="K2148">
        <v>35</v>
      </c>
      <c r="L2148">
        <v>3</v>
      </c>
      <c r="M2148" t="s">
        <v>3022</v>
      </c>
      <c r="N2148">
        <v>6</v>
      </c>
      <c r="O2148">
        <v>8.67</v>
      </c>
      <c r="P2148">
        <v>144436.73000000001</v>
      </c>
      <c r="Q2148">
        <v>95329.65</v>
      </c>
      <c r="R2148">
        <v>648</v>
      </c>
      <c r="S2148">
        <v>1622</v>
      </c>
      <c r="T2148" t="s">
        <v>34</v>
      </c>
      <c r="U2148" t="s">
        <v>49</v>
      </c>
    </row>
    <row r="2149" spans="1:21">
      <c r="A2149" t="s">
        <v>3386</v>
      </c>
      <c r="B2149" t="s">
        <v>3387</v>
      </c>
      <c r="C2149" t="s">
        <v>1768</v>
      </c>
      <c r="D2149">
        <v>66000</v>
      </c>
      <c r="E2149">
        <v>7000</v>
      </c>
      <c r="F2149">
        <v>66000</v>
      </c>
      <c r="G2149">
        <v>33000</v>
      </c>
      <c r="H2149">
        <v>2</v>
      </c>
      <c r="I2149" t="s">
        <v>89</v>
      </c>
      <c r="J2149">
        <v>18.97</v>
      </c>
      <c r="K2149">
        <v>38</v>
      </c>
      <c r="L2149">
        <v>3</v>
      </c>
      <c r="M2149" t="s">
        <v>3022</v>
      </c>
      <c r="N2149">
        <v>6</v>
      </c>
      <c r="O2149">
        <v>7.33</v>
      </c>
      <c r="P2149">
        <v>144436.73000000001</v>
      </c>
      <c r="Q2149">
        <v>95329.65</v>
      </c>
      <c r="R2149">
        <v>648</v>
      </c>
      <c r="S2149">
        <v>1622</v>
      </c>
      <c r="T2149" t="s">
        <v>108</v>
      </c>
      <c r="U2149" t="s">
        <v>49</v>
      </c>
    </row>
    <row r="2150" spans="1:21">
      <c r="A2150" t="s">
        <v>3388</v>
      </c>
      <c r="B2150" t="s">
        <v>3389</v>
      </c>
      <c r="C2150" t="s">
        <v>1228</v>
      </c>
      <c r="D2150">
        <v>74000</v>
      </c>
      <c r="E2150">
        <v>5000</v>
      </c>
      <c r="F2150">
        <v>50000</v>
      </c>
      <c r="H2150">
        <v>2</v>
      </c>
      <c r="I2150" t="s">
        <v>89</v>
      </c>
      <c r="J2150">
        <v>15.41</v>
      </c>
      <c r="K2150">
        <v>5</v>
      </c>
      <c r="L2150">
        <v>3</v>
      </c>
      <c r="M2150" t="s">
        <v>3022</v>
      </c>
      <c r="N2150">
        <v>7</v>
      </c>
      <c r="O2150">
        <v>10.33</v>
      </c>
      <c r="P2150">
        <v>144436.73000000001</v>
      </c>
      <c r="Q2150">
        <v>95329.65</v>
      </c>
      <c r="R2150">
        <v>648</v>
      </c>
      <c r="S2150">
        <v>1622</v>
      </c>
      <c r="T2150" t="s">
        <v>108</v>
      </c>
      <c r="U2150" t="s">
        <v>31</v>
      </c>
    </row>
    <row r="2151" spans="1:21">
      <c r="A2151" t="s">
        <v>3390</v>
      </c>
      <c r="B2151" t="s">
        <v>3107</v>
      </c>
      <c r="C2151" t="s">
        <v>1773</v>
      </c>
      <c r="D2151">
        <v>124000</v>
      </c>
      <c r="E2151">
        <v>8000</v>
      </c>
      <c r="H2151">
        <v>1</v>
      </c>
      <c r="I2151" t="s">
        <v>89</v>
      </c>
      <c r="J2151">
        <v>22.99</v>
      </c>
      <c r="K2151">
        <v>0</v>
      </c>
      <c r="L2151">
        <v>4</v>
      </c>
      <c r="M2151" t="s">
        <v>3022</v>
      </c>
      <c r="N2151">
        <v>9</v>
      </c>
      <c r="O2151">
        <v>12.67</v>
      </c>
      <c r="P2151">
        <v>144436.73000000001</v>
      </c>
      <c r="Q2151">
        <v>95329.65</v>
      </c>
      <c r="R2151">
        <v>648</v>
      </c>
      <c r="S2151">
        <v>1622</v>
      </c>
      <c r="T2151" t="s">
        <v>34</v>
      </c>
      <c r="U2151" t="s">
        <v>81</v>
      </c>
    </row>
    <row r="2152" spans="1:21">
      <c r="A2152" t="s">
        <v>3391</v>
      </c>
      <c r="B2152" t="s">
        <v>3107</v>
      </c>
      <c r="C2152" t="s">
        <v>1773</v>
      </c>
      <c r="D2152">
        <v>120000</v>
      </c>
      <c r="E2152">
        <v>8000</v>
      </c>
      <c r="H2152">
        <v>1</v>
      </c>
      <c r="I2152" t="s">
        <v>89</v>
      </c>
      <c r="J2152">
        <v>22.99</v>
      </c>
      <c r="K2152">
        <v>0</v>
      </c>
      <c r="L2152">
        <v>4</v>
      </c>
      <c r="M2152" t="s">
        <v>3022</v>
      </c>
      <c r="N2152">
        <v>9</v>
      </c>
      <c r="O2152">
        <v>12.67</v>
      </c>
      <c r="P2152">
        <v>144436.73000000001</v>
      </c>
      <c r="Q2152">
        <v>95329.65</v>
      </c>
      <c r="R2152">
        <v>648</v>
      </c>
      <c r="S2152">
        <v>1622</v>
      </c>
      <c r="T2152" t="s">
        <v>34</v>
      </c>
      <c r="U2152" t="s">
        <v>81</v>
      </c>
    </row>
    <row r="2153" spans="1:21">
      <c r="A2153" t="s">
        <v>3392</v>
      </c>
      <c r="B2153" t="s">
        <v>3393</v>
      </c>
      <c r="C2153" t="s">
        <v>1228</v>
      </c>
      <c r="D2153">
        <v>130000</v>
      </c>
      <c r="E2153">
        <v>11000</v>
      </c>
      <c r="G2153">
        <v>130000</v>
      </c>
      <c r="H2153">
        <v>2</v>
      </c>
      <c r="I2153" t="s">
        <v>89</v>
      </c>
      <c r="J2153">
        <v>25.36</v>
      </c>
      <c r="K2153">
        <v>10</v>
      </c>
      <c r="L2153">
        <v>4</v>
      </c>
      <c r="M2153" t="s">
        <v>3022</v>
      </c>
      <c r="N2153">
        <v>5</v>
      </c>
      <c r="O2153">
        <v>10.33</v>
      </c>
      <c r="P2153">
        <v>144436.73000000001</v>
      </c>
      <c r="Q2153">
        <v>95329.65</v>
      </c>
      <c r="R2153">
        <v>648</v>
      </c>
      <c r="S2153">
        <v>1622</v>
      </c>
      <c r="T2153" t="s">
        <v>34</v>
      </c>
      <c r="U2153" t="s">
        <v>31</v>
      </c>
    </row>
    <row r="2154" spans="1:21">
      <c r="A2154" t="s">
        <v>3394</v>
      </c>
      <c r="B2154" t="s">
        <v>3395</v>
      </c>
      <c r="C2154" t="s">
        <v>1773</v>
      </c>
      <c r="D2154">
        <v>74000</v>
      </c>
      <c r="E2154">
        <v>3000</v>
      </c>
      <c r="G2154">
        <v>74000</v>
      </c>
      <c r="H2154">
        <v>1</v>
      </c>
      <c r="I2154" t="s">
        <v>89</v>
      </c>
      <c r="J2154">
        <v>21.28</v>
      </c>
      <c r="K2154">
        <v>38</v>
      </c>
      <c r="L2154">
        <v>4</v>
      </c>
      <c r="M2154" t="s">
        <v>3022</v>
      </c>
      <c r="N2154">
        <v>6</v>
      </c>
      <c r="O2154">
        <v>9</v>
      </c>
      <c r="P2154">
        <v>144436.73000000001</v>
      </c>
      <c r="Q2154">
        <v>95329.65</v>
      </c>
      <c r="R2154">
        <v>648</v>
      </c>
      <c r="S2154">
        <v>1622</v>
      </c>
      <c r="T2154" t="s">
        <v>34</v>
      </c>
      <c r="U2154" t="s">
        <v>49</v>
      </c>
    </row>
    <row r="2155" spans="1:21">
      <c r="A2155" t="s">
        <v>3396</v>
      </c>
      <c r="B2155" t="s">
        <v>3397</v>
      </c>
      <c r="C2155" t="s">
        <v>1228</v>
      </c>
      <c r="D2155">
        <v>65000</v>
      </c>
      <c r="F2155">
        <v>65000</v>
      </c>
      <c r="H2155">
        <v>3</v>
      </c>
      <c r="I2155" t="s">
        <v>89</v>
      </c>
      <c r="J2155">
        <v>24.84</v>
      </c>
      <c r="K2155">
        <v>58</v>
      </c>
      <c r="L2155">
        <v>4</v>
      </c>
      <c r="M2155" t="s">
        <v>3022</v>
      </c>
      <c r="N2155">
        <v>1</v>
      </c>
      <c r="O2155">
        <v>7.33</v>
      </c>
      <c r="P2155">
        <v>144436.73000000001</v>
      </c>
      <c r="Q2155">
        <v>95329.65</v>
      </c>
      <c r="R2155">
        <v>648</v>
      </c>
      <c r="S2155">
        <v>1622</v>
      </c>
      <c r="T2155" t="s">
        <v>34</v>
      </c>
      <c r="U2155" t="s">
        <v>57</v>
      </c>
    </row>
    <row r="2156" spans="1:21">
      <c r="A2156" t="s">
        <v>3398</v>
      </c>
      <c r="B2156" t="s">
        <v>3399</v>
      </c>
      <c r="C2156" t="s">
        <v>3059</v>
      </c>
      <c r="D2156">
        <v>85000</v>
      </c>
      <c r="E2156">
        <v>5000</v>
      </c>
      <c r="F2156">
        <v>42500</v>
      </c>
      <c r="G2156">
        <v>127500</v>
      </c>
      <c r="H2156">
        <v>5</v>
      </c>
      <c r="I2156" t="s">
        <v>89</v>
      </c>
      <c r="J2156">
        <v>19</v>
      </c>
      <c r="K2156">
        <v>19</v>
      </c>
      <c r="L2156">
        <v>5</v>
      </c>
      <c r="M2156" t="s">
        <v>3022</v>
      </c>
      <c r="N2156">
        <v>3</v>
      </c>
      <c r="O2156">
        <v>5.67</v>
      </c>
      <c r="P2156">
        <v>144436.73000000001</v>
      </c>
      <c r="Q2156">
        <v>95329.65</v>
      </c>
      <c r="R2156">
        <v>648</v>
      </c>
      <c r="S2156">
        <v>1622</v>
      </c>
      <c r="T2156" t="s">
        <v>108</v>
      </c>
      <c r="U2156" t="s">
        <v>90</v>
      </c>
    </row>
    <row r="2157" spans="1:21">
      <c r="A2157" t="s">
        <v>3400</v>
      </c>
      <c r="B2157" t="s">
        <v>3401</v>
      </c>
      <c r="C2157" t="s">
        <v>1228</v>
      </c>
      <c r="D2157">
        <v>119000</v>
      </c>
      <c r="E2157">
        <v>6000</v>
      </c>
      <c r="F2157">
        <v>119000</v>
      </c>
      <c r="G2157">
        <v>119000</v>
      </c>
      <c r="H2157">
        <v>1</v>
      </c>
      <c r="I2157" t="s">
        <v>89</v>
      </c>
      <c r="J2157">
        <v>27.56</v>
      </c>
      <c r="K2157">
        <v>21</v>
      </c>
      <c r="L2157">
        <v>5</v>
      </c>
      <c r="M2157" t="s">
        <v>3022</v>
      </c>
      <c r="N2157">
        <v>2</v>
      </c>
      <c r="O2157">
        <v>5.67</v>
      </c>
      <c r="P2157">
        <v>144436.73000000001</v>
      </c>
      <c r="Q2157">
        <v>95329.65</v>
      </c>
      <c r="R2157">
        <v>648</v>
      </c>
      <c r="S2157">
        <v>1622</v>
      </c>
      <c r="T2157" t="s">
        <v>34</v>
      </c>
      <c r="U2157" t="s">
        <v>27</v>
      </c>
    </row>
    <row r="2158" spans="1:21">
      <c r="A2158" t="s">
        <v>3402</v>
      </c>
      <c r="B2158" t="s">
        <v>3401</v>
      </c>
      <c r="C2158" t="s">
        <v>1228</v>
      </c>
      <c r="D2158">
        <v>121000</v>
      </c>
      <c r="E2158">
        <v>6000</v>
      </c>
      <c r="F2158">
        <v>121000</v>
      </c>
      <c r="G2158">
        <v>121000</v>
      </c>
      <c r="H2158">
        <v>2</v>
      </c>
      <c r="I2158" t="s">
        <v>89</v>
      </c>
      <c r="J2158">
        <v>26.28</v>
      </c>
      <c r="K2158">
        <v>21</v>
      </c>
      <c r="L2158">
        <v>5</v>
      </c>
      <c r="M2158" t="s">
        <v>3022</v>
      </c>
      <c r="N2158">
        <v>2</v>
      </c>
      <c r="O2158">
        <v>5.67</v>
      </c>
      <c r="P2158">
        <v>144436.73000000001</v>
      </c>
      <c r="Q2158">
        <v>95329.65</v>
      </c>
      <c r="R2158">
        <v>648</v>
      </c>
      <c r="S2158">
        <v>1622</v>
      </c>
      <c r="T2158" t="s">
        <v>34</v>
      </c>
      <c r="U2158" t="s">
        <v>27</v>
      </c>
    </row>
    <row r="2159" spans="1:21">
      <c r="A2159" t="s">
        <v>3403</v>
      </c>
      <c r="B2159" t="s">
        <v>3404</v>
      </c>
      <c r="C2159" t="s">
        <v>1768</v>
      </c>
      <c r="D2159">
        <v>70000</v>
      </c>
      <c r="E2159">
        <v>5000</v>
      </c>
      <c r="F2159">
        <v>70000</v>
      </c>
      <c r="G2159">
        <v>70000</v>
      </c>
      <c r="H2159">
        <v>2</v>
      </c>
      <c r="I2159" t="s">
        <v>89</v>
      </c>
      <c r="J2159">
        <v>16.41</v>
      </c>
      <c r="K2159">
        <v>30</v>
      </c>
      <c r="L2159">
        <v>5</v>
      </c>
      <c r="M2159" t="s">
        <v>3022</v>
      </c>
      <c r="N2159">
        <v>5</v>
      </c>
      <c r="O2159">
        <v>9.33</v>
      </c>
      <c r="P2159">
        <v>144436.73000000001</v>
      </c>
      <c r="Q2159">
        <v>95329.65</v>
      </c>
      <c r="R2159">
        <v>648</v>
      </c>
      <c r="S2159">
        <v>1622</v>
      </c>
      <c r="T2159" t="s">
        <v>108</v>
      </c>
      <c r="U2159" t="s">
        <v>27</v>
      </c>
    </row>
    <row r="2160" spans="1:21">
      <c r="A2160" t="s">
        <v>3405</v>
      </c>
      <c r="B2160" t="s">
        <v>3404</v>
      </c>
      <c r="C2160" t="s">
        <v>1768</v>
      </c>
      <c r="D2160">
        <v>68000</v>
      </c>
      <c r="E2160">
        <v>6000</v>
      </c>
      <c r="F2160">
        <v>68000</v>
      </c>
      <c r="G2160">
        <v>68000</v>
      </c>
      <c r="H2160">
        <v>4</v>
      </c>
      <c r="I2160" t="s">
        <v>89</v>
      </c>
      <c r="J2160">
        <v>19.04</v>
      </c>
      <c r="K2160">
        <v>30</v>
      </c>
      <c r="L2160">
        <v>5</v>
      </c>
      <c r="M2160" t="s">
        <v>3022</v>
      </c>
      <c r="N2160">
        <v>5</v>
      </c>
      <c r="O2160">
        <v>9.33</v>
      </c>
      <c r="P2160">
        <v>144436.73000000001</v>
      </c>
      <c r="Q2160">
        <v>95329.65</v>
      </c>
      <c r="R2160">
        <v>648</v>
      </c>
      <c r="S2160">
        <v>1622</v>
      </c>
      <c r="T2160" t="s">
        <v>108</v>
      </c>
      <c r="U2160" t="s">
        <v>27</v>
      </c>
    </row>
    <row r="2161" spans="1:21">
      <c r="A2161" t="s">
        <v>3406</v>
      </c>
      <c r="B2161" t="s">
        <v>3112</v>
      </c>
      <c r="C2161" t="s">
        <v>1773</v>
      </c>
      <c r="D2161">
        <v>123000</v>
      </c>
      <c r="E2161">
        <v>15000</v>
      </c>
      <c r="H2161">
        <v>2</v>
      </c>
      <c r="I2161" t="s">
        <v>89</v>
      </c>
      <c r="J2161">
        <v>25.96</v>
      </c>
      <c r="K2161">
        <v>3</v>
      </c>
      <c r="L2161">
        <v>5</v>
      </c>
      <c r="M2161" t="s">
        <v>3022</v>
      </c>
      <c r="N2161">
        <v>9</v>
      </c>
      <c r="O2161">
        <v>13</v>
      </c>
      <c r="P2161">
        <v>144436.73000000001</v>
      </c>
      <c r="Q2161">
        <v>95329.65</v>
      </c>
      <c r="R2161">
        <v>648</v>
      </c>
      <c r="S2161">
        <v>1622</v>
      </c>
      <c r="T2161" t="s">
        <v>34</v>
      </c>
      <c r="U2161" t="s">
        <v>31</v>
      </c>
    </row>
    <row r="2162" spans="1:21">
      <c r="A2162" t="s">
        <v>3407</v>
      </c>
      <c r="B2162" t="s">
        <v>3408</v>
      </c>
      <c r="C2162" t="s">
        <v>1773</v>
      </c>
      <c r="D2162">
        <v>106500</v>
      </c>
      <c r="E2162">
        <v>15000</v>
      </c>
      <c r="H2162">
        <v>1</v>
      </c>
      <c r="I2162" t="s">
        <v>89</v>
      </c>
      <c r="J2162">
        <v>25.21</v>
      </c>
      <c r="K2162">
        <v>6</v>
      </c>
      <c r="L2162">
        <v>5</v>
      </c>
      <c r="M2162" t="s">
        <v>3022</v>
      </c>
      <c r="N2162">
        <v>3</v>
      </c>
      <c r="O2162">
        <v>10</v>
      </c>
      <c r="P2162">
        <v>144436.73000000001</v>
      </c>
      <c r="Q2162">
        <v>95329.65</v>
      </c>
      <c r="R2162">
        <v>648</v>
      </c>
      <c r="S2162">
        <v>1622</v>
      </c>
      <c r="T2162" t="s">
        <v>34</v>
      </c>
      <c r="U2162" t="s">
        <v>31</v>
      </c>
    </row>
    <row r="2163" spans="1:21">
      <c r="A2163" t="s">
        <v>3409</v>
      </c>
      <c r="B2163" t="s">
        <v>3408</v>
      </c>
      <c r="C2163" t="s">
        <v>1773</v>
      </c>
      <c r="D2163">
        <v>116000</v>
      </c>
      <c r="E2163">
        <v>20000</v>
      </c>
      <c r="G2163">
        <v>116000</v>
      </c>
      <c r="H2163">
        <v>3</v>
      </c>
      <c r="I2163" t="s">
        <v>89</v>
      </c>
      <c r="J2163">
        <v>25.51</v>
      </c>
      <c r="K2163">
        <v>6</v>
      </c>
      <c r="L2163">
        <v>5</v>
      </c>
      <c r="M2163" t="s">
        <v>3022</v>
      </c>
      <c r="N2163">
        <v>3</v>
      </c>
      <c r="O2163">
        <v>10</v>
      </c>
      <c r="P2163">
        <v>144436.73000000001</v>
      </c>
      <c r="Q2163">
        <v>95329.65</v>
      </c>
      <c r="R2163">
        <v>648</v>
      </c>
      <c r="S2163">
        <v>1622</v>
      </c>
      <c r="T2163" t="s">
        <v>34</v>
      </c>
      <c r="U2163" t="s">
        <v>31</v>
      </c>
    </row>
    <row r="2164" spans="1:21">
      <c r="A2164" t="s">
        <v>3410</v>
      </c>
      <c r="B2164" t="s">
        <v>3411</v>
      </c>
      <c r="C2164" t="s">
        <v>1228</v>
      </c>
      <c r="D2164">
        <v>120000</v>
      </c>
      <c r="E2164">
        <v>8000</v>
      </c>
      <c r="F2164">
        <v>120000</v>
      </c>
      <c r="G2164">
        <v>120000</v>
      </c>
      <c r="H2164">
        <v>5</v>
      </c>
      <c r="I2164" t="s">
        <v>89</v>
      </c>
      <c r="J2164">
        <v>27.08</v>
      </c>
      <c r="K2164">
        <v>9</v>
      </c>
      <c r="L2164">
        <v>5</v>
      </c>
      <c r="M2164" t="s">
        <v>3022</v>
      </c>
      <c r="N2164">
        <v>2</v>
      </c>
      <c r="O2164">
        <v>9.33</v>
      </c>
      <c r="P2164">
        <v>144436.73000000001</v>
      </c>
      <c r="Q2164">
        <v>95329.65</v>
      </c>
      <c r="R2164">
        <v>648</v>
      </c>
      <c r="S2164">
        <v>1622</v>
      </c>
      <c r="T2164" t="s">
        <v>34</v>
      </c>
      <c r="U2164" t="s">
        <v>31</v>
      </c>
    </row>
    <row r="2165" spans="1:21">
      <c r="A2165" t="s">
        <v>3412</v>
      </c>
      <c r="B2165" t="s">
        <v>3413</v>
      </c>
      <c r="C2165" t="s">
        <v>1768</v>
      </c>
      <c r="D2165">
        <v>86000</v>
      </c>
      <c r="E2165">
        <v>10000</v>
      </c>
      <c r="F2165">
        <v>43000</v>
      </c>
      <c r="G2165">
        <v>86000</v>
      </c>
      <c r="H2165">
        <v>3</v>
      </c>
      <c r="I2165" t="s">
        <v>89</v>
      </c>
      <c r="J2165">
        <v>21.49</v>
      </c>
      <c r="K2165">
        <v>24</v>
      </c>
      <c r="L2165">
        <v>6</v>
      </c>
      <c r="M2165" t="s">
        <v>3022</v>
      </c>
      <c r="N2165">
        <v>8</v>
      </c>
      <c r="O2165">
        <v>11.33</v>
      </c>
      <c r="P2165">
        <v>144436.73000000001</v>
      </c>
      <c r="Q2165">
        <v>95329.65</v>
      </c>
      <c r="R2165">
        <v>648</v>
      </c>
      <c r="S2165">
        <v>1622</v>
      </c>
      <c r="T2165" t="s">
        <v>34</v>
      </c>
      <c r="U2165" t="s">
        <v>27</v>
      </c>
    </row>
    <row r="2166" spans="1:21">
      <c r="A2166" t="s">
        <v>3414</v>
      </c>
      <c r="B2166" t="s">
        <v>3413</v>
      </c>
      <c r="C2166" t="s">
        <v>1768</v>
      </c>
      <c r="D2166">
        <v>92000</v>
      </c>
      <c r="E2166">
        <v>10000</v>
      </c>
      <c r="F2166">
        <v>46000</v>
      </c>
      <c r="G2166">
        <v>92000</v>
      </c>
      <c r="H2166">
        <v>3</v>
      </c>
      <c r="I2166" t="s">
        <v>89</v>
      </c>
      <c r="J2166">
        <v>21.49</v>
      </c>
      <c r="K2166">
        <v>24</v>
      </c>
      <c r="L2166">
        <v>6</v>
      </c>
      <c r="M2166" t="s">
        <v>3022</v>
      </c>
      <c r="N2166">
        <v>8</v>
      </c>
      <c r="O2166">
        <v>11.33</v>
      </c>
      <c r="P2166">
        <v>144436.73000000001</v>
      </c>
      <c r="Q2166">
        <v>95329.65</v>
      </c>
      <c r="R2166">
        <v>648</v>
      </c>
      <c r="S2166">
        <v>1622</v>
      </c>
      <c r="T2166" t="s">
        <v>34</v>
      </c>
      <c r="U2166" t="s">
        <v>27</v>
      </c>
    </row>
    <row r="2167" spans="1:21">
      <c r="A2167" t="s">
        <v>3415</v>
      </c>
      <c r="B2167" t="s">
        <v>3413</v>
      </c>
      <c r="C2167" t="s">
        <v>1768</v>
      </c>
      <c r="D2167">
        <v>97000</v>
      </c>
      <c r="E2167">
        <v>5000</v>
      </c>
      <c r="G2167">
        <v>97000</v>
      </c>
      <c r="H2167">
        <v>3</v>
      </c>
      <c r="I2167" t="s">
        <v>89</v>
      </c>
      <c r="J2167">
        <v>21.97</v>
      </c>
      <c r="K2167">
        <v>24</v>
      </c>
      <c r="L2167">
        <v>6</v>
      </c>
      <c r="M2167" t="s">
        <v>3022</v>
      </c>
      <c r="N2167">
        <v>8</v>
      </c>
      <c r="O2167">
        <v>11.33</v>
      </c>
      <c r="P2167">
        <v>144436.73000000001</v>
      </c>
      <c r="Q2167">
        <v>95329.65</v>
      </c>
      <c r="R2167">
        <v>648</v>
      </c>
      <c r="S2167">
        <v>1622</v>
      </c>
      <c r="T2167" t="s">
        <v>34</v>
      </c>
      <c r="U2167" t="s">
        <v>27</v>
      </c>
    </row>
    <row r="2168" spans="1:21">
      <c r="A2168" t="s">
        <v>3416</v>
      </c>
      <c r="B2168" t="s">
        <v>3417</v>
      </c>
      <c r="C2168" t="s">
        <v>1768</v>
      </c>
      <c r="D2168">
        <v>149000</v>
      </c>
      <c r="E2168">
        <v>10000</v>
      </c>
      <c r="F2168">
        <v>149000</v>
      </c>
      <c r="H2168">
        <v>4</v>
      </c>
      <c r="I2168" t="s">
        <v>89</v>
      </c>
      <c r="J2168">
        <v>31.98</v>
      </c>
      <c r="K2168">
        <v>15</v>
      </c>
      <c r="L2168">
        <v>7</v>
      </c>
      <c r="M2168" t="s">
        <v>3022</v>
      </c>
      <c r="N2168">
        <v>8</v>
      </c>
      <c r="O2168">
        <v>10.33</v>
      </c>
      <c r="P2168">
        <v>144436.73000000001</v>
      </c>
      <c r="Q2168">
        <v>95329.65</v>
      </c>
      <c r="R2168">
        <v>648</v>
      </c>
      <c r="S2168">
        <v>1622</v>
      </c>
      <c r="T2168" t="s">
        <v>26</v>
      </c>
      <c r="U2168" t="s">
        <v>90</v>
      </c>
    </row>
    <row r="2169" spans="1:21">
      <c r="A2169" t="s">
        <v>3418</v>
      </c>
      <c r="B2169" t="s">
        <v>3417</v>
      </c>
      <c r="C2169" t="s">
        <v>1768</v>
      </c>
      <c r="D2169">
        <v>146000</v>
      </c>
      <c r="E2169">
        <v>10000</v>
      </c>
      <c r="F2169">
        <v>146000</v>
      </c>
      <c r="H2169">
        <v>5</v>
      </c>
      <c r="I2169" t="s">
        <v>89</v>
      </c>
      <c r="J2169">
        <v>32.119999999999997</v>
      </c>
      <c r="K2169">
        <v>15</v>
      </c>
      <c r="L2169">
        <v>7</v>
      </c>
      <c r="M2169" t="s">
        <v>3022</v>
      </c>
      <c r="N2169">
        <v>8</v>
      </c>
      <c r="O2169">
        <v>10.33</v>
      </c>
      <c r="P2169">
        <v>144436.73000000001</v>
      </c>
      <c r="Q2169">
        <v>95329.65</v>
      </c>
      <c r="R2169">
        <v>648</v>
      </c>
      <c r="S2169">
        <v>1622</v>
      </c>
      <c r="T2169" t="s">
        <v>26</v>
      </c>
      <c r="U2169" t="s">
        <v>90</v>
      </c>
    </row>
    <row r="2170" spans="1:21">
      <c r="A2170" t="s">
        <v>3419</v>
      </c>
      <c r="B2170" t="s">
        <v>3417</v>
      </c>
      <c r="C2170" t="s">
        <v>1768</v>
      </c>
      <c r="D2170">
        <v>150000</v>
      </c>
      <c r="E2170">
        <v>10000</v>
      </c>
      <c r="F2170">
        <v>150000</v>
      </c>
      <c r="H2170">
        <v>5</v>
      </c>
      <c r="I2170" t="s">
        <v>89</v>
      </c>
      <c r="J2170">
        <v>32.119999999999997</v>
      </c>
      <c r="K2170">
        <v>15</v>
      </c>
      <c r="L2170">
        <v>7</v>
      </c>
      <c r="M2170" t="s">
        <v>3022</v>
      </c>
      <c r="N2170">
        <v>8</v>
      </c>
      <c r="O2170">
        <v>10.33</v>
      </c>
      <c r="P2170">
        <v>144436.73000000001</v>
      </c>
      <c r="Q2170">
        <v>95329.65</v>
      </c>
      <c r="R2170">
        <v>648</v>
      </c>
      <c r="S2170">
        <v>1622</v>
      </c>
      <c r="T2170" t="s">
        <v>26</v>
      </c>
      <c r="U2170" t="s">
        <v>90</v>
      </c>
    </row>
    <row r="2171" spans="1:21">
      <c r="A2171" t="s">
        <v>3420</v>
      </c>
      <c r="B2171" t="s">
        <v>3421</v>
      </c>
      <c r="C2171" t="s">
        <v>1768</v>
      </c>
      <c r="D2171">
        <v>85000</v>
      </c>
      <c r="E2171">
        <v>10000</v>
      </c>
      <c r="F2171">
        <v>85000</v>
      </c>
      <c r="G2171">
        <v>85000</v>
      </c>
      <c r="H2171">
        <v>3</v>
      </c>
      <c r="I2171" t="s">
        <v>89</v>
      </c>
      <c r="J2171">
        <v>20.73</v>
      </c>
      <c r="K2171">
        <v>22</v>
      </c>
      <c r="L2171">
        <v>7</v>
      </c>
      <c r="M2171" t="s">
        <v>3022</v>
      </c>
      <c r="N2171">
        <v>6</v>
      </c>
      <c r="O2171">
        <v>11.33</v>
      </c>
      <c r="P2171">
        <v>144436.73000000001</v>
      </c>
      <c r="Q2171">
        <v>95329.65</v>
      </c>
      <c r="R2171">
        <v>648</v>
      </c>
      <c r="S2171">
        <v>1622</v>
      </c>
      <c r="T2171" t="s">
        <v>34</v>
      </c>
      <c r="U2171" t="s">
        <v>27</v>
      </c>
    </row>
    <row r="2172" spans="1:21">
      <c r="A2172" t="s">
        <v>3422</v>
      </c>
      <c r="B2172" t="s">
        <v>3421</v>
      </c>
      <c r="C2172" t="s">
        <v>1768</v>
      </c>
      <c r="D2172">
        <v>117000</v>
      </c>
      <c r="E2172">
        <v>11000</v>
      </c>
      <c r="G2172">
        <v>117000</v>
      </c>
      <c r="H2172">
        <v>7</v>
      </c>
      <c r="I2172" t="s">
        <v>89</v>
      </c>
      <c r="J2172">
        <v>20.73</v>
      </c>
      <c r="K2172">
        <v>22</v>
      </c>
      <c r="L2172">
        <v>7</v>
      </c>
      <c r="M2172" t="s">
        <v>3022</v>
      </c>
      <c r="N2172">
        <v>6</v>
      </c>
      <c r="O2172">
        <v>11.33</v>
      </c>
      <c r="P2172">
        <v>144436.73000000001</v>
      </c>
      <c r="Q2172">
        <v>95329.65</v>
      </c>
      <c r="R2172">
        <v>648</v>
      </c>
      <c r="S2172">
        <v>1622</v>
      </c>
      <c r="T2172" t="s">
        <v>34</v>
      </c>
      <c r="U2172" t="s">
        <v>27</v>
      </c>
    </row>
    <row r="2173" spans="1:21">
      <c r="A2173" t="s">
        <v>3423</v>
      </c>
      <c r="B2173" t="s">
        <v>3424</v>
      </c>
      <c r="C2173" t="s">
        <v>1768</v>
      </c>
      <c r="D2173">
        <v>126000</v>
      </c>
      <c r="E2173">
        <v>11000</v>
      </c>
      <c r="G2173">
        <v>126000</v>
      </c>
      <c r="H2173">
        <v>8</v>
      </c>
      <c r="I2173" t="s">
        <v>89</v>
      </c>
      <c r="J2173">
        <v>24.4</v>
      </c>
      <c r="K2173">
        <v>22</v>
      </c>
      <c r="L2173">
        <v>8</v>
      </c>
      <c r="M2173" t="s">
        <v>3022</v>
      </c>
      <c r="N2173">
        <v>7</v>
      </c>
      <c r="O2173">
        <v>11</v>
      </c>
      <c r="P2173">
        <v>144436.73000000001</v>
      </c>
      <c r="Q2173">
        <v>95329.65</v>
      </c>
      <c r="R2173">
        <v>648</v>
      </c>
      <c r="S2173">
        <v>1622</v>
      </c>
      <c r="T2173" t="s">
        <v>34</v>
      </c>
      <c r="U2173" t="s">
        <v>27</v>
      </c>
    </row>
    <row r="2174" spans="1:21">
      <c r="A2174" t="s">
        <v>3425</v>
      </c>
      <c r="B2174" t="s">
        <v>3426</v>
      </c>
      <c r="C2174" t="s">
        <v>1228</v>
      </c>
      <c r="D2174">
        <v>65000</v>
      </c>
      <c r="E2174">
        <v>4000</v>
      </c>
      <c r="F2174">
        <v>65000</v>
      </c>
      <c r="G2174">
        <v>65000</v>
      </c>
      <c r="H2174">
        <v>2</v>
      </c>
      <c r="I2174" t="s">
        <v>89</v>
      </c>
      <c r="J2174">
        <v>20</v>
      </c>
      <c r="K2174">
        <v>53</v>
      </c>
      <c r="L2174">
        <v>8</v>
      </c>
      <c r="M2174" t="s">
        <v>3022</v>
      </c>
      <c r="N2174">
        <v>3</v>
      </c>
      <c r="O2174">
        <v>8</v>
      </c>
      <c r="P2174">
        <v>144436.73000000001</v>
      </c>
      <c r="Q2174">
        <v>95329.65</v>
      </c>
      <c r="R2174">
        <v>648</v>
      </c>
      <c r="S2174">
        <v>1622</v>
      </c>
      <c r="T2174" t="s">
        <v>34</v>
      </c>
      <c r="U2174" t="s">
        <v>57</v>
      </c>
    </row>
    <row r="2175" spans="1:21">
      <c r="A2175" t="s">
        <v>3427</v>
      </c>
      <c r="B2175" t="s">
        <v>3118</v>
      </c>
      <c r="C2175" t="s">
        <v>1768</v>
      </c>
      <c r="D2175">
        <v>125000</v>
      </c>
      <c r="E2175">
        <v>14000</v>
      </c>
      <c r="G2175">
        <v>125000</v>
      </c>
      <c r="H2175">
        <v>5</v>
      </c>
      <c r="I2175" t="s">
        <v>89</v>
      </c>
      <c r="J2175">
        <v>26.83</v>
      </c>
      <c r="K2175">
        <v>10</v>
      </c>
      <c r="L2175">
        <v>9</v>
      </c>
      <c r="M2175" t="s">
        <v>3022</v>
      </c>
      <c r="N2175">
        <v>5</v>
      </c>
      <c r="O2175">
        <v>11.33</v>
      </c>
      <c r="P2175">
        <v>144436.73000000001</v>
      </c>
      <c r="Q2175">
        <v>95329.65</v>
      </c>
      <c r="R2175">
        <v>648</v>
      </c>
      <c r="S2175">
        <v>1622</v>
      </c>
      <c r="T2175" t="s">
        <v>34</v>
      </c>
      <c r="U2175" t="s">
        <v>31</v>
      </c>
    </row>
    <row r="2176" spans="1:21">
      <c r="A2176" t="s">
        <v>3428</v>
      </c>
      <c r="B2176" t="s">
        <v>3429</v>
      </c>
      <c r="C2176" t="s">
        <v>1225</v>
      </c>
      <c r="D2176">
        <v>129000</v>
      </c>
      <c r="E2176">
        <v>15000</v>
      </c>
      <c r="H2176">
        <v>1</v>
      </c>
      <c r="I2176" t="s">
        <v>89</v>
      </c>
      <c r="J2176">
        <v>26.31</v>
      </c>
      <c r="K2176">
        <v>5</v>
      </c>
      <c r="L2176">
        <v>9</v>
      </c>
      <c r="M2176" t="s">
        <v>3022</v>
      </c>
      <c r="N2176">
        <v>9</v>
      </c>
      <c r="O2176">
        <v>12</v>
      </c>
      <c r="P2176">
        <v>144436.73000000001</v>
      </c>
      <c r="Q2176">
        <v>95329.65</v>
      </c>
      <c r="R2176">
        <v>648</v>
      </c>
      <c r="S2176">
        <v>1622</v>
      </c>
      <c r="T2176" t="s">
        <v>34</v>
      </c>
      <c r="U2176" t="s">
        <v>31</v>
      </c>
    </row>
    <row r="2177" spans="1:21">
      <c r="A2177" t="s">
        <v>3430</v>
      </c>
      <c r="B2177" t="s">
        <v>3429</v>
      </c>
      <c r="C2177" t="s">
        <v>1768</v>
      </c>
      <c r="D2177">
        <v>117000</v>
      </c>
      <c r="E2177">
        <v>8000</v>
      </c>
      <c r="H2177">
        <v>5</v>
      </c>
      <c r="I2177" t="s">
        <v>89</v>
      </c>
      <c r="J2177">
        <v>25</v>
      </c>
      <c r="K2177">
        <v>5</v>
      </c>
      <c r="L2177">
        <v>9</v>
      </c>
      <c r="M2177" t="s">
        <v>3022</v>
      </c>
      <c r="N2177">
        <v>8</v>
      </c>
      <c r="O2177">
        <v>12.67</v>
      </c>
      <c r="P2177">
        <v>144436.73000000001</v>
      </c>
      <c r="Q2177">
        <v>95329.65</v>
      </c>
      <c r="R2177">
        <v>648</v>
      </c>
      <c r="S2177">
        <v>1622</v>
      </c>
      <c r="T2177" t="s">
        <v>34</v>
      </c>
      <c r="U2177" t="s">
        <v>31</v>
      </c>
    </row>
    <row r="2178" spans="1:21">
      <c r="A2178" t="s">
        <v>3431</v>
      </c>
      <c r="B2178" t="s">
        <v>3429</v>
      </c>
      <c r="C2178" t="s">
        <v>1768</v>
      </c>
      <c r="D2178">
        <v>126000</v>
      </c>
      <c r="E2178">
        <v>8000</v>
      </c>
      <c r="H2178">
        <v>9</v>
      </c>
      <c r="I2178" t="s">
        <v>89</v>
      </c>
      <c r="J2178">
        <v>25</v>
      </c>
      <c r="K2178">
        <v>5</v>
      </c>
      <c r="L2178">
        <v>9</v>
      </c>
      <c r="M2178" t="s">
        <v>3022</v>
      </c>
      <c r="N2178">
        <v>8</v>
      </c>
      <c r="O2178">
        <v>12.67</v>
      </c>
      <c r="P2178">
        <v>144436.73000000001</v>
      </c>
      <c r="Q2178">
        <v>95329.65</v>
      </c>
      <c r="R2178">
        <v>648</v>
      </c>
      <c r="S2178">
        <v>1622</v>
      </c>
      <c r="T2178" t="s">
        <v>34</v>
      </c>
      <c r="U2178" t="s">
        <v>31</v>
      </c>
    </row>
    <row r="2179" spans="1:21">
      <c r="A2179" t="s">
        <v>3432</v>
      </c>
      <c r="B2179" t="s">
        <v>3433</v>
      </c>
      <c r="C2179" t="s">
        <v>3195</v>
      </c>
      <c r="D2179">
        <v>126000</v>
      </c>
      <c r="E2179">
        <v>7000</v>
      </c>
      <c r="F2179">
        <v>126000</v>
      </c>
      <c r="H2179">
        <v>5</v>
      </c>
      <c r="I2179" t="s">
        <v>89</v>
      </c>
      <c r="J2179">
        <v>23.82</v>
      </c>
      <c r="K2179">
        <v>19</v>
      </c>
      <c r="L2179">
        <v>10</v>
      </c>
      <c r="M2179" t="s">
        <v>3022</v>
      </c>
      <c r="N2179">
        <v>2</v>
      </c>
      <c r="O2179">
        <v>7</v>
      </c>
      <c r="P2179">
        <v>144436.73000000001</v>
      </c>
      <c r="Q2179">
        <v>95329.65</v>
      </c>
      <c r="R2179">
        <v>648</v>
      </c>
      <c r="S2179">
        <v>1622</v>
      </c>
      <c r="T2179" t="s">
        <v>34</v>
      </c>
      <c r="U2179" t="s">
        <v>90</v>
      </c>
    </row>
    <row r="2180" spans="1:21">
      <c r="A2180" t="s">
        <v>3434</v>
      </c>
      <c r="B2180" t="s">
        <v>3433</v>
      </c>
      <c r="C2180" t="s">
        <v>3195</v>
      </c>
      <c r="D2180">
        <v>137000</v>
      </c>
      <c r="E2180">
        <v>7000</v>
      </c>
      <c r="F2180">
        <v>137000</v>
      </c>
      <c r="H2180">
        <v>5</v>
      </c>
      <c r="I2180" t="s">
        <v>89</v>
      </c>
      <c r="J2180">
        <v>29.06</v>
      </c>
      <c r="K2180">
        <v>19</v>
      </c>
      <c r="L2180">
        <v>10</v>
      </c>
      <c r="M2180" t="s">
        <v>3022</v>
      </c>
      <c r="N2180">
        <v>2</v>
      </c>
      <c r="O2180">
        <v>7</v>
      </c>
      <c r="P2180">
        <v>144436.73000000001</v>
      </c>
      <c r="Q2180">
        <v>95329.65</v>
      </c>
      <c r="R2180">
        <v>648</v>
      </c>
      <c r="S2180">
        <v>1622</v>
      </c>
      <c r="T2180" t="s">
        <v>34</v>
      </c>
      <c r="U2180" t="s">
        <v>90</v>
      </c>
    </row>
    <row r="2181" spans="1:21">
      <c r="A2181" t="s">
        <v>3435</v>
      </c>
      <c r="B2181" t="s">
        <v>3436</v>
      </c>
      <c r="C2181" t="s">
        <v>1768</v>
      </c>
      <c r="D2181">
        <v>100000</v>
      </c>
      <c r="E2181">
        <v>5000</v>
      </c>
      <c r="F2181">
        <v>100000</v>
      </c>
      <c r="G2181">
        <v>100000</v>
      </c>
      <c r="H2181">
        <v>3</v>
      </c>
      <c r="I2181" t="s">
        <v>89</v>
      </c>
      <c r="J2181">
        <v>22.73</v>
      </c>
      <c r="K2181">
        <v>26</v>
      </c>
      <c r="L2181">
        <v>11</v>
      </c>
      <c r="M2181" t="s">
        <v>3022</v>
      </c>
      <c r="N2181">
        <v>9</v>
      </c>
      <c r="O2181">
        <v>10.33</v>
      </c>
      <c r="P2181">
        <v>144436.73000000001</v>
      </c>
      <c r="Q2181">
        <v>95329.65</v>
      </c>
      <c r="R2181">
        <v>648</v>
      </c>
      <c r="S2181">
        <v>1622</v>
      </c>
      <c r="T2181" t="s">
        <v>34</v>
      </c>
      <c r="U2181" t="s">
        <v>27</v>
      </c>
    </row>
    <row r="2182" spans="1:21">
      <c r="A2182" t="s">
        <v>3437</v>
      </c>
      <c r="B2182" t="s">
        <v>3436</v>
      </c>
      <c r="C2182" t="s">
        <v>1768</v>
      </c>
      <c r="D2182">
        <v>106000</v>
      </c>
      <c r="E2182">
        <v>5000</v>
      </c>
      <c r="F2182">
        <v>106000</v>
      </c>
      <c r="G2182">
        <v>106000</v>
      </c>
      <c r="H2182">
        <v>6</v>
      </c>
      <c r="I2182" t="s">
        <v>89</v>
      </c>
      <c r="J2182">
        <v>22.73</v>
      </c>
      <c r="K2182">
        <v>26</v>
      </c>
      <c r="L2182">
        <v>11</v>
      </c>
      <c r="M2182" t="s">
        <v>3022</v>
      </c>
      <c r="N2182">
        <v>9</v>
      </c>
      <c r="O2182">
        <v>10.33</v>
      </c>
      <c r="P2182">
        <v>144436.73000000001</v>
      </c>
      <c r="Q2182">
        <v>95329.65</v>
      </c>
      <c r="R2182">
        <v>648</v>
      </c>
      <c r="S2182">
        <v>1622</v>
      </c>
      <c r="T2182" t="s">
        <v>34</v>
      </c>
      <c r="U2182" t="s">
        <v>27</v>
      </c>
    </row>
    <row r="2183" spans="1:21">
      <c r="A2183" t="s">
        <v>3438</v>
      </c>
      <c r="B2183" t="s">
        <v>3439</v>
      </c>
      <c r="C2183" t="s">
        <v>1231</v>
      </c>
      <c r="D2183">
        <v>120000</v>
      </c>
      <c r="E2183">
        <v>5000</v>
      </c>
      <c r="F2183">
        <v>120000</v>
      </c>
      <c r="G2183">
        <v>120000</v>
      </c>
      <c r="H2183">
        <v>5</v>
      </c>
      <c r="I2183" t="s">
        <v>89</v>
      </c>
      <c r="J2183">
        <v>26.02</v>
      </c>
      <c r="K2183">
        <v>17</v>
      </c>
      <c r="L2183">
        <v>13</v>
      </c>
      <c r="M2183" t="s">
        <v>3022</v>
      </c>
      <c r="N2183">
        <v>2</v>
      </c>
      <c r="O2183">
        <v>6.67</v>
      </c>
      <c r="P2183">
        <v>144436.73000000001</v>
      </c>
      <c r="Q2183">
        <v>95329.65</v>
      </c>
      <c r="R2183">
        <v>648</v>
      </c>
      <c r="S2183">
        <v>1622</v>
      </c>
      <c r="T2183" t="s">
        <v>34</v>
      </c>
      <c r="U2183" t="s">
        <v>90</v>
      </c>
    </row>
    <row r="2184" spans="1:21">
      <c r="A2184" t="s">
        <v>3440</v>
      </c>
      <c r="B2184" t="s">
        <v>3441</v>
      </c>
      <c r="C2184" t="s">
        <v>1768</v>
      </c>
      <c r="D2184">
        <v>110000</v>
      </c>
      <c r="F2184">
        <v>110000</v>
      </c>
      <c r="G2184">
        <v>110000</v>
      </c>
      <c r="H2184">
        <v>2</v>
      </c>
      <c r="I2184" t="s">
        <v>89</v>
      </c>
      <c r="J2184">
        <v>33.97</v>
      </c>
      <c r="K2184">
        <v>19</v>
      </c>
      <c r="L2184">
        <v>3</v>
      </c>
      <c r="M2184" t="s">
        <v>3022</v>
      </c>
      <c r="N2184">
        <v>7</v>
      </c>
      <c r="O2184">
        <v>10.67</v>
      </c>
      <c r="P2184">
        <v>144436.73000000001</v>
      </c>
      <c r="Q2184">
        <v>95329.65</v>
      </c>
      <c r="R2184">
        <v>648</v>
      </c>
      <c r="S2184">
        <v>1622</v>
      </c>
      <c r="T2184" t="s">
        <v>26</v>
      </c>
      <c r="U2184" t="s">
        <v>90</v>
      </c>
    </row>
    <row r="2185" spans="1:21">
      <c r="A2185" t="s">
        <v>3442</v>
      </c>
      <c r="B2185" t="s">
        <v>3441</v>
      </c>
      <c r="C2185" t="s">
        <v>1768</v>
      </c>
      <c r="D2185">
        <v>110000</v>
      </c>
      <c r="F2185">
        <v>110000</v>
      </c>
      <c r="G2185">
        <v>110000</v>
      </c>
      <c r="H2185">
        <v>3</v>
      </c>
      <c r="I2185" t="s">
        <v>89</v>
      </c>
      <c r="J2185">
        <v>33.97</v>
      </c>
      <c r="K2185">
        <v>19</v>
      </c>
      <c r="L2185">
        <v>3</v>
      </c>
      <c r="M2185" t="s">
        <v>3022</v>
      </c>
      <c r="N2185">
        <v>7</v>
      </c>
      <c r="O2185">
        <v>10.67</v>
      </c>
      <c r="P2185">
        <v>144436.73000000001</v>
      </c>
      <c r="Q2185">
        <v>95329.65</v>
      </c>
      <c r="R2185">
        <v>648</v>
      </c>
      <c r="S2185">
        <v>1622</v>
      </c>
      <c r="T2185" t="s">
        <v>26</v>
      </c>
      <c r="U2185" t="s">
        <v>90</v>
      </c>
    </row>
    <row r="2186" spans="1:21">
      <c r="A2186" t="s">
        <v>3443</v>
      </c>
      <c r="B2186" t="s">
        <v>3444</v>
      </c>
      <c r="C2186" t="s">
        <v>3195</v>
      </c>
      <c r="D2186">
        <v>105000</v>
      </c>
      <c r="E2186">
        <v>5000</v>
      </c>
      <c r="F2186">
        <v>105000</v>
      </c>
      <c r="G2186">
        <v>105000</v>
      </c>
      <c r="H2186">
        <v>3</v>
      </c>
      <c r="I2186" t="s">
        <v>89</v>
      </c>
      <c r="J2186">
        <v>22.99</v>
      </c>
      <c r="K2186">
        <v>20</v>
      </c>
      <c r="L2186">
        <v>3</v>
      </c>
      <c r="M2186" t="s">
        <v>3022</v>
      </c>
      <c r="N2186">
        <v>3</v>
      </c>
      <c r="O2186">
        <v>6</v>
      </c>
      <c r="P2186">
        <v>144436.73000000001</v>
      </c>
      <c r="Q2186">
        <v>95329.65</v>
      </c>
      <c r="R2186">
        <v>648</v>
      </c>
      <c r="S2186">
        <v>1622</v>
      </c>
      <c r="T2186" t="s">
        <v>34</v>
      </c>
      <c r="U2186" t="s">
        <v>90</v>
      </c>
    </row>
    <row r="2187" spans="1:21">
      <c r="A2187" t="s">
        <v>3445</v>
      </c>
      <c r="B2187" t="s">
        <v>3446</v>
      </c>
      <c r="C2187" t="s">
        <v>1294</v>
      </c>
      <c r="D2187">
        <v>90000</v>
      </c>
      <c r="E2187">
        <v>3000</v>
      </c>
      <c r="F2187">
        <v>90000</v>
      </c>
      <c r="G2187">
        <v>90000</v>
      </c>
      <c r="H2187">
        <v>1</v>
      </c>
      <c r="I2187" t="s">
        <v>89</v>
      </c>
      <c r="J2187">
        <v>20.010000000000002</v>
      </c>
      <c r="K2187">
        <v>5</v>
      </c>
      <c r="L2187">
        <v>3</v>
      </c>
      <c r="M2187" t="s">
        <v>3022</v>
      </c>
      <c r="N2187">
        <v>6</v>
      </c>
      <c r="O2187">
        <v>11</v>
      </c>
      <c r="P2187">
        <v>144436.73000000001</v>
      </c>
      <c r="Q2187">
        <v>95329.65</v>
      </c>
      <c r="R2187">
        <v>648</v>
      </c>
      <c r="S2187">
        <v>1622</v>
      </c>
      <c r="T2187" t="s">
        <v>34</v>
      </c>
      <c r="U2187" t="s">
        <v>31</v>
      </c>
    </row>
    <row r="2188" spans="1:21">
      <c r="A2188" t="s">
        <v>3447</v>
      </c>
      <c r="B2188" t="s">
        <v>3448</v>
      </c>
      <c r="C2188" t="s">
        <v>1768</v>
      </c>
      <c r="D2188">
        <v>80000</v>
      </c>
      <c r="E2188">
        <v>4000</v>
      </c>
      <c r="F2188">
        <v>80000</v>
      </c>
      <c r="G2188">
        <v>80000</v>
      </c>
      <c r="H2188">
        <v>3</v>
      </c>
      <c r="I2188" t="s">
        <v>89</v>
      </c>
      <c r="J2188">
        <v>18.07</v>
      </c>
      <c r="K2188">
        <v>11</v>
      </c>
      <c r="L2188">
        <v>4</v>
      </c>
      <c r="M2188" t="s">
        <v>3022</v>
      </c>
      <c r="N2188">
        <v>7</v>
      </c>
      <c r="O2188">
        <v>11</v>
      </c>
      <c r="P2188">
        <v>144436.73000000001</v>
      </c>
      <c r="Q2188">
        <v>95329.65</v>
      </c>
      <c r="R2188">
        <v>648</v>
      </c>
      <c r="S2188">
        <v>1622</v>
      </c>
      <c r="T2188" t="s">
        <v>108</v>
      </c>
      <c r="U2188" t="s">
        <v>90</v>
      </c>
    </row>
    <row r="2189" spans="1:21">
      <c r="A2189" t="s">
        <v>3449</v>
      </c>
      <c r="B2189" t="s">
        <v>3450</v>
      </c>
      <c r="C2189" t="s">
        <v>3195</v>
      </c>
      <c r="D2189">
        <v>140000</v>
      </c>
      <c r="E2189">
        <v>10000</v>
      </c>
      <c r="F2189">
        <v>140000</v>
      </c>
      <c r="H2189">
        <v>2</v>
      </c>
      <c r="I2189" t="s">
        <v>89</v>
      </c>
      <c r="J2189">
        <v>25.3</v>
      </c>
      <c r="K2189">
        <v>2</v>
      </c>
      <c r="L2189">
        <v>4</v>
      </c>
      <c r="M2189" t="s">
        <v>3022</v>
      </c>
      <c r="N2189">
        <v>1</v>
      </c>
      <c r="O2189">
        <v>7.67</v>
      </c>
      <c r="P2189">
        <v>144436.73000000001</v>
      </c>
      <c r="Q2189">
        <v>95329.65</v>
      </c>
      <c r="R2189">
        <v>648</v>
      </c>
      <c r="S2189">
        <v>1622</v>
      </c>
      <c r="T2189" t="s">
        <v>34</v>
      </c>
      <c r="U2189" t="s">
        <v>31</v>
      </c>
    </row>
    <row r="2190" spans="1:21">
      <c r="A2190" t="s">
        <v>3451</v>
      </c>
      <c r="B2190" t="s">
        <v>3452</v>
      </c>
      <c r="C2190" t="s">
        <v>1768</v>
      </c>
      <c r="D2190">
        <v>106000</v>
      </c>
      <c r="E2190">
        <v>6000</v>
      </c>
      <c r="F2190">
        <v>106000</v>
      </c>
      <c r="G2190">
        <v>106000</v>
      </c>
      <c r="H2190">
        <v>2</v>
      </c>
      <c r="I2190" t="s">
        <v>89</v>
      </c>
      <c r="J2190">
        <v>25.94</v>
      </c>
      <c r="K2190">
        <v>31</v>
      </c>
      <c r="L2190">
        <v>5</v>
      </c>
      <c r="M2190" t="s">
        <v>3022</v>
      </c>
      <c r="N2190">
        <v>9</v>
      </c>
      <c r="O2190">
        <v>11.67</v>
      </c>
      <c r="P2190">
        <v>144436.73000000001</v>
      </c>
      <c r="Q2190">
        <v>95329.65</v>
      </c>
      <c r="R2190">
        <v>648</v>
      </c>
      <c r="S2190">
        <v>1622</v>
      </c>
      <c r="T2190" t="s">
        <v>34</v>
      </c>
      <c r="U2190" t="s">
        <v>49</v>
      </c>
    </row>
    <row r="2191" spans="1:21">
      <c r="A2191" t="s">
        <v>3453</v>
      </c>
      <c r="B2191" t="s">
        <v>3454</v>
      </c>
      <c r="C2191" t="s">
        <v>1768</v>
      </c>
      <c r="D2191">
        <v>130000</v>
      </c>
      <c r="E2191">
        <v>10000</v>
      </c>
      <c r="F2191">
        <v>130000</v>
      </c>
      <c r="G2191">
        <v>130000</v>
      </c>
      <c r="H2191">
        <v>6</v>
      </c>
      <c r="I2191" t="s">
        <v>89</v>
      </c>
      <c r="J2191">
        <v>28.3</v>
      </c>
      <c r="K2191">
        <v>23</v>
      </c>
      <c r="L2191">
        <v>9</v>
      </c>
      <c r="M2191" t="s">
        <v>3022</v>
      </c>
      <c r="N2191">
        <v>7</v>
      </c>
      <c r="O2191">
        <v>10.33</v>
      </c>
      <c r="P2191">
        <v>144436.73000000001</v>
      </c>
      <c r="Q2191">
        <v>95329.65</v>
      </c>
      <c r="R2191">
        <v>648</v>
      </c>
      <c r="S2191">
        <v>1622</v>
      </c>
      <c r="T2191" t="s">
        <v>34</v>
      </c>
      <c r="U2191" t="s">
        <v>27</v>
      </c>
    </row>
    <row r="2192" spans="1:21">
      <c r="A2192" t="s">
        <v>3455</v>
      </c>
      <c r="B2192" t="s">
        <v>3454</v>
      </c>
      <c r="C2192" t="s">
        <v>1768</v>
      </c>
      <c r="D2192">
        <v>79000</v>
      </c>
      <c r="E2192">
        <v>15000</v>
      </c>
      <c r="G2192">
        <v>79000</v>
      </c>
      <c r="H2192">
        <v>7</v>
      </c>
      <c r="I2192" t="s">
        <v>89</v>
      </c>
      <c r="J2192">
        <v>22.95</v>
      </c>
      <c r="K2192">
        <v>23</v>
      </c>
      <c r="L2192">
        <v>9</v>
      </c>
      <c r="M2192" t="s">
        <v>3022</v>
      </c>
      <c r="N2192">
        <v>7</v>
      </c>
      <c r="O2192">
        <v>10.33</v>
      </c>
      <c r="P2192">
        <v>144436.73000000001</v>
      </c>
      <c r="Q2192">
        <v>95329.65</v>
      </c>
      <c r="R2192">
        <v>648</v>
      </c>
      <c r="S2192">
        <v>1622</v>
      </c>
      <c r="T2192" t="s">
        <v>34</v>
      </c>
      <c r="U2192" t="s">
        <v>27</v>
      </c>
    </row>
    <row r="2193" spans="1:21">
      <c r="A2193" t="s">
        <v>3456</v>
      </c>
      <c r="B2193" t="s">
        <v>3457</v>
      </c>
      <c r="C2193" t="s">
        <v>1768</v>
      </c>
      <c r="D2193">
        <v>123000</v>
      </c>
      <c r="E2193">
        <v>15000</v>
      </c>
      <c r="F2193">
        <v>123000</v>
      </c>
      <c r="H2193">
        <v>2</v>
      </c>
      <c r="I2193" t="s">
        <v>89</v>
      </c>
      <c r="J2193">
        <v>25.13</v>
      </c>
      <c r="K2193">
        <v>6</v>
      </c>
      <c r="L2193">
        <v>14</v>
      </c>
      <c r="M2193" t="s">
        <v>3022</v>
      </c>
      <c r="N2193">
        <v>6</v>
      </c>
      <c r="O2193">
        <v>10</v>
      </c>
      <c r="P2193">
        <v>144436.73000000001</v>
      </c>
      <c r="Q2193">
        <v>95329.65</v>
      </c>
      <c r="R2193">
        <v>648</v>
      </c>
      <c r="S2193">
        <v>1622</v>
      </c>
      <c r="T2193" t="s">
        <v>34</v>
      </c>
      <c r="U2193" t="s">
        <v>31</v>
      </c>
    </row>
    <row r="2194" spans="1:21">
      <c r="A2194" t="s">
        <v>3458</v>
      </c>
      <c r="B2194" t="s">
        <v>3459</v>
      </c>
      <c r="C2194" t="s">
        <v>1231</v>
      </c>
      <c r="D2194">
        <v>103000</v>
      </c>
      <c r="E2194">
        <v>5000</v>
      </c>
      <c r="G2194">
        <v>154500</v>
      </c>
      <c r="H2194">
        <v>2</v>
      </c>
      <c r="I2194" t="s">
        <v>89</v>
      </c>
      <c r="J2194">
        <v>36.200000000000003</v>
      </c>
      <c r="K2194">
        <v>18</v>
      </c>
      <c r="L2194">
        <v>2</v>
      </c>
      <c r="M2194" t="s">
        <v>3022</v>
      </c>
      <c r="N2194">
        <v>4</v>
      </c>
      <c r="O2194">
        <v>10.33</v>
      </c>
      <c r="P2194">
        <v>144436.73000000001</v>
      </c>
      <c r="Q2194">
        <v>95329.65</v>
      </c>
      <c r="R2194">
        <v>648</v>
      </c>
      <c r="S2194">
        <v>1622</v>
      </c>
      <c r="T2194" t="s">
        <v>26</v>
      </c>
      <c r="U2194" t="s">
        <v>90</v>
      </c>
    </row>
    <row r="2195" spans="1:21">
      <c r="A2195" t="s">
        <v>3460</v>
      </c>
      <c r="B2195" t="s">
        <v>3135</v>
      </c>
      <c r="C2195" t="s">
        <v>1773</v>
      </c>
      <c r="D2195">
        <v>154000</v>
      </c>
      <c r="E2195">
        <v>12000</v>
      </c>
      <c r="H2195">
        <v>3</v>
      </c>
      <c r="I2195" t="s">
        <v>325</v>
      </c>
      <c r="J2195">
        <v>31.04</v>
      </c>
      <c r="K2195">
        <v>0</v>
      </c>
      <c r="L2195">
        <v>4</v>
      </c>
      <c r="M2195" t="s">
        <v>3022</v>
      </c>
      <c r="N2195">
        <v>9</v>
      </c>
      <c r="O2195">
        <v>13</v>
      </c>
      <c r="P2195">
        <v>144436.73000000001</v>
      </c>
      <c r="Q2195">
        <v>168453.81</v>
      </c>
      <c r="R2195">
        <v>648</v>
      </c>
      <c r="S2195">
        <v>788</v>
      </c>
      <c r="T2195" t="s">
        <v>26</v>
      </c>
      <c r="U2195" t="s">
        <v>81</v>
      </c>
    </row>
    <row r="2196" spans="1:21">
      <c r="A2196" t="s">
        <v>3461</v>
      </c>
      <c r="B2196" t="s">
        <v>3135</v>
      </c>
      <c r="C2196" t="s">
        <v>1773</v>
      </c>
      <c r="D2196">
        <v>155000</v>
      </c>
      <c r="E2196">
        <v>12000</v>
      </c>
      <c r="H2196">
        <v>4</v>
      </c>
      <c r="I2196" t="s">
        <v>325</v>
      </c>
      <c r="J2196">
        <v>31.04</v>
      </c>
      <c r="K2196">
        <v>0</v>
      </c>
      <c r="L2196">
        <v>4</v>
      </c>
      <c r="M2196" t="s">
        <v>3022</v>
      </c>
      <c r="N2196">
        <v>9</v>
      </c>
      <c r="O2196">
        <v>13</v>
      </c>
      <c r="P2196">
        <v>144436.73000000001</v>
      </c>
      <c r="Q2196">
        <v>168453.81</v>
      </c>
      <c r="R2196">
        <v>648</v>
      </c>
      <c r="S2196">
        <v>788</v>
      </c>
      <c r="T2196" t="s">
        <v>26</v>
      </c>
      <c r="U2196" t="s">
        <v>81</v>
      </c>
    </row>
    <row r="2197" spans="1:21">
      <c r="A2197" t="s">
        <v>3462</v>
      </c>
      <c r="B2197" t="s">
        <v>3463</v>
      </c>
      <c r="C2197" t="s">
        <v>1228</v>
      </c>
      <c r="D2197">
        <v>239800</v>
      </c>
      <c r="E2197">
        <v>10000</v>
      </c>
      <c r="F2197">
        <v>239800</v>
      </c>
      <c r="H2197">
        <v>4</v>
      </c>
      <c r="I2197" t="s">
        <v>325</v>
      </c>
      <c r="J2197">
        <v>40.79</v>
      </c>
      <c r="K2197">
        <v>1</v>
      </c>
      <c r="L2197">
        <v>4</v>
      </c>
      <c r="M2197" t="s">
        <v>3022</v>
      </c>
      <c r="N2197">
        <v>6</v>
      </c>
      <c r="O2197">
        <v>9.33</v>
      </c>
      <c r="P2197">
        <v>144436.73000000001</v>
      </c>
      <c r="Q2197">
        <v>168453.81</v>
      </c>
      <c r="R2197">
        <v>648</v>
      </c>
      <c r="S2197">
        <v>788</v>
      </c>
      <c r="T2197" t="s">
        <v>326</v>
      </c>
      <c r="U2197" t="s">
        <v>31</v>
      </c>
    </row>
    <row r="2198" spans="1:21">
      <c r="A2198" t="s">
        <v>3464</v>
      </c>
      <c r="B2198" t="s">
        <v>3465</v>
      </c>
      <c r="C2198" t="s">
        <v>3025</v>
      </c>
      <c r="D2198">
        <v>192000</v>
      </c>
      <c r="E2198">
        <v>8000</v>
      </c>
      <c r="F2198">
        <v>192000</v>
      </c>
      <c r="H2198">
        <v>3</v>
      </c>
      <c r="I2198" t="s">
        <v>325</v>
      </c>
      <c r="J2198">
        <v>47.2</v>
      </c>
      <c r="K2198">
        <v>7</v>
      </c>
      <c r="L2198">
        <v>4</v>
      </c>
      <c r="M2198" t="s">
        <v>3022</v>
      </c>
      <c r="N2198">
        <v>3</v>
      </c>
      <c r="O2198">
        <v>5</v>
      </c>
      <c r="P2198">
        <v>144436.73000000001</v>
      </c>
      <c r="Q2198">
        <v>168453.81</v>
      </c>
      <c r="R2198">
        <v>648</v>
      </c>
      <c r="S2198">
        <v>788</v>
      </c>
      <c r="T2198" t="s">
        <v>326</v>
      </c>
      <c r="U2198" t="s">
        <v>31</v>
      </c>
    </row>
    <row r="2199" spans="1:21">
      <c r="A2199" t="s">
        <v>3466</v>
      </c>
      <c r="B2199" t="s">
        <v>3467</v>
      </c>
      <c r="C2199" t="s">
        <v>1231</v>
      </c>
      <c r="D2199">
        <v>200000</v>
      </c>
      <c r="E2199">
        <v>10000</v>
      </c>
      <c r="F2199">
        <v>200000</v>
      </c>
      <c r="H2199">
        <v>2</v>
      </c>
      <c r="I2199" t="s">
        <v>325</v>
      </c>
      <c r="J2199">
        <v>40.31</v>
      </c>
      <c r="K2199">
        <v>19</v>
      </c>
      <c r="L2199">
        <v>11</v>
      </c>
      <c r="M2199" t="s">
        <v>3022</v>
      </c>
      <c r="N2199">
        <v>5</v>
      </c>
      <c r="O2199">
        <v>8.33</v>
      </c>
      <c r="P2199">
        <v>144436.73000000001</v>
      </c>
      <c r="Q2199">
        <v>168453.81</v>
      </c>
      <c r="R2199">
        <v>648</v>
      </c>
      <c r="S2199">
        <v>788</v>
      </c>
      <c r="T2199" t="s">
        <v>326</v>
      </c>
      <c r="U2199" t="s">
        <v>90</v>
      </c>
    </row>
    <row r="2200" spans="1:21">
      <c r="A2200" t="s">
        <v>3468</v>
      </c>
      <c r="B2200" t="s">
        <v>3467</v>
      </c>
      <c r="C2200" t="s">
        <v>1231</v>
      </c>
      <c r="D2200">
        <v>215000</v>
      </c>
      <c r="E2200">
        <v>10000</v>
      </c>
      <c r="F2200">
        <v>215000</v>
      </c>
      <c r="G2200">
        <v>215000</v>
      </c>
      <c r="H2200">
        <v>6</v>
      </c>
      <c r="I2200" t="s">
        <v>325</v>
      </c>
      <c r="J2200">
        <v>40.049999999999997</v>
      </c>
      <c r="K2200">
        <v>19</v>
      </c>
      <c r="L2200">
        <v>11</v>
      </c>
      <c r="M2200" t="s">
        <v>3022</v>
      </c>
      <c r="N2200">
        <v>5</v>
      </c>
      <c r="O2200">
        <v>8.33</v>
      </c>
      <c r="P2200">
        <v>144436.73000000001</v>
      </c>
      <c r="Q2200">
        <v>168453.81</v>
      </c>
      <c r="R2200">
        <v>648</v>
      </c>
      <c r="S2200">
        <v>788</v>
      </c>
      <c r="T2200" t="s">
        <v>326</v>
      </c>
      <c r="U2200" t="s">
        <v>90</v>
      </c>
    </row>
    <row r="2201" spans="1:21">
      <c r="A2201" t="s">
        <v>3469</v>
      </c>
      <c r="B2201" t="s">
        <v>3160</v>
      </c>
      <c r="C2201" t="s">
        <v>1228</v>
      </c>
      <c r="D2201">
        <v>221000</v>
      </c>
      <c r="E2201">
        <v>13000</v>
      </c>
      <c r="F2201">
        <v>221000</v>
      </c>
      <c r="G2201">
        <v>331500</v>
      </c>
      <c r="H2201">
        <v>10</v>
      </c>
      <c r="I2201" t="s">
        <v>325</v>
      </c>
      <c r="J2201">
        <v>47.74</v>
      </c>
      <c r="K2201">
        <v>16</v>
      </c>
      <c r="L2201">
        <v>10</v>
      </c>
      <c r="M2201" t="s">
        <v>3022</v>
      </c>
      <c r="N2201">
        <v>4</v>
      </c>
      <c r="O2201">
        <v>10</v>
      </c>
      <c r="P2201">
        <v>144436.73000000001</v>
      </c>
      <c r="Q2201">
        <v>168453.81</v>
      </c>
      <c r="R2201">
        <v>648</v>
      </c>
      <c r="S2201">
        <v>788</v>
      </c>
      <c r="T2201" t="s">
        <v>326</v>
      </c>
      <c r="U2201" t="s">
        <v>90</v>
      </c>
    </row>
    <row r="2202" spans="1:21">
      <c r="A2202" t="s">
        <v>3470</v>
      </c>
      <c r="B2202" t="s">
        <v>3160</v>
      </c>
      <c r="C2202" t="s">
        <v>1228</v>
      </c>
      <c r="D2202">
        <v>225000</v>
      </c>
      <c r="E2202">
        <v>13000</v>
      </c>
      <c r="F2202">
        <v>225000</v>
      </c>
      <c r="H2202">
        <v>1</v>
      </c>
      <c r="I2202" t="s">
        <v>325</v>
      </c>
      <c r="J2202">
        <v>51.14</v>
      </c>
      <c r="K2202">
        <v>16</v>
      </c>
      <c r="L2202">
        <v>10</v>
      </c>
      <c r="M2202" t="s">
        <v>3022</v>
      </c>
      <c r="N2202">
        <v>4</v>
      </c>
      <c r="O2202">
        <v>10</v>
      </c>
      <c r="P2202">
        <v>144436.73000000001</v>
      </c>
      <c r="Q2202">
        <v>168453.81</v>
      </c>
      <c r="R2202">
        <v>648</v>
      </c>
      <c r="S2202">
        <v>788</v>
      </c>
      <c r="T2202" t="s">
        <v>332</v>
      </c>
      <c r="U2202" t="s">
        <v>90</v>
      </c>
    </row>
    <row r="2203" spans="1:21">
      <c r="A2203" t="s">
        <v>3471</v>
      </c>
      <c r="B2203" t="s">
        <v>3472</v>
      </c>
      <c r="C2203" t="s">
        <v>1890</v>
      </c>
      <c r="D2203">
        <v>164000</v>
      </c>
      <c r="E2203">
        <v>4400</v>
      </c>
      <c r="G2203">
        <v>328000</v>
      </c>
      <c r="H2203">
        <v>1</v>
      </c>
      <c r="I2203" t="s">
        <v>325</v>
      </c>
      <c r="J2203">
        <v>42.8</v>
      </c>
      <c r="K2203">
        <v>0</v>
      </c>
      <c r="L2203">
        <v>2</v>
      </c>
      <c r="M2203" t="s">
        <v>3022</v>
      </c>
      <c r="N2203">
        <v>13</v>
      </c>
      <c r="O2203">
        <v>13.67</v>
      </c>
      <c r="P2203">
        <v>144436.73000000001</v>
      </c>
      <c r="Q2203">
        <v>168453.81</v>
      </c>
      <c r="R2203">
        <v>648</v>
      </c>
      <c r="S2203">
        <v>788</v>
      </c>
      <c r="T2203" t="s">
        <v>326</v>
      </c>
      <c r="U2203" t="s">
        <v>81</v>
      </c>
    </row>
    <row r="2204" spans="1:21">
      <c r="A2204" t="s">
        <v>3473</v>
      </c>
      <c r="B2204" t="s">
        <v>3474</v>
      </c>
      <c r="C2204" t="s">
        <v>3025</v>
      </c>
      <c r="D2204">
        <v>95000</v>
      </c>
      <c r="E2204">
        <v>3000</v>
      </c>
      <c r="F2204">
        <v>95000</v>
      </c>
      <c r="G2204">
        <v>95000</v>
      </c>
      <c r="H2204">
        <v>1</v>
      </c>
      <c r="I2204" t="s">
        <v>325</v>
      </c>
      <c r="J2204">
        <v>35.380000000000003</v>
      </c>
      <c r="K2204">
        <v>52</v>
      </c>
      <c r="L2204">
        <v>5</v>
      </c>
      <c r="M2204" t="s">
        <v>3022</v>
      </c>
      <c r="N2204">
        <v>8</v>
      </c>
      <c r="O2204">
        <v>10.33</v>
      </c>
      <c r="P2204">
        <v>144436.73000000001</v>
      </c>
      <c r="Q2204">
        <v>168453.81</v>
      </c>
      <c r="R2204">
        <v>648</v>
      </c>
      <c r="S2204">
        <v>788</v>
      </c>
      <c r="T2204" t="s">
        <v>26</v>
      </c>
      <c r="U2204" t="s">
        <v>57</v>
      </c>
    </row>
    <row r="2205" spans="1:21">
      <c r="A2205" t="s">
        <v>3475</v>
      </c>
      <c r="B2205" t="s">
        <v>3476</v>
      </c>
      <c r="C2205" t="s">
        <v>1228</v>
      </c>
      <c r="D2205">
        <v>184000</v>
      </c>
      <c r="E2205">
        <v>15000</v>
      </c>
      <c r="F2205">
        <v>184000</v>
      </c>
      <c r="H2205">
        <v>10</v>
      </c>
      <c r="I2205" t="s">
        <v>325</v>
      </c>
      <c r="J2205">
        <v>29.25</v>
      </c>
      <c r="K2205">
        <v>0</v>
      </c>
      <c r="L2205">
        <v>12</v>
      </c>
      <c r="M2205" t="s">
        <v>3022</v>
      </c>
      <c r="N2205">
        <v>4</v>
      </c>
      <c r="O2205">
        <v>9.33</v>
      </c>
      <c r="P2205">
        <v>144436.73000000001</v>
      </c>
      <c r="Q2205">
        <v>168453.81</v>
      </c>
      <c r="R2205">
        <v>648</v>
      </c>
      <c r="S2205">
        <v>788</v>
      </c>
      <c r="T2205" t="s">
        <v>34</v>
      </c>
      <c r="U2205" t="s">
        <v>81</v>
      </c>
    </row>
    <row r="2206" spans="1:21">
      <c r="A2206" t="s">
        <v>3477</v>
      </c>
      <c r="B2206" t="s">
        <v>3476</v>
      </c>
      <c r="C2206" t="s">
        <v>1228</v>
      </c>
      <c r="D2206">
        <v>180000</v>
      </c>
      <c r="E2206">
        <v>15000</v>
      </c>
      <c r="H2206">
        <v>11</v>
      </c>
      <c r="I2206" t="s">
        <v>325</v>
      </c>
      <c r="J2206">
        <v>28.87</v>
      </c>
      <c r="K2206">
        <v>0</v>
      </c>
      <c r="L2206">
        <v>12</v>
      </c>
      <c r="M2206" t="s">
        <v>3022</v>
      </c>
      <c r="N2206">
        <v>4</v>
      </c>
      <c r="O2206">
        <v>9.33</v>
      </c>
      <c r="P2206">
        <v>144436.73000000001</v>
      </c>
      <c r="Q2206">
        <v>168453.81</v>
      </c>
      <c r="R2206">
        <v>648</v>
      </c>
      <c r="S2206">
        <v>788</v>
      </c>
      <c r="T2206" t="s">
        <v>34</v>
      </c>
      <c r="U2206" t="s">
        <v>81</v>
      </c>
    </row>
    <row r="2207" spans="1:21">
      <c r="A2207" t="s">
        <v>3478</v>
      </c>
      <c r="B2207" t="s">
        <v>3476</v>
      </c>
      <c r="C2207" t="s">
        <v>1228</v>
      </c>
      <c r="D2207">
        <v>185000</v>
      </c>
      <c r="E2207">
        <v>15000</v>
      </c>
      <c r="F2207">
        <v>185000</v>
      </c>
      <c r="H2207">
        <v>11</v>
      </c>
      <c r="I2207" t="s">
        <v>325</v>
      </c>
      <c r="J2207">
        <v>29.25</v>
      </c>
      <c r="K2207">
        <v>0</v>
      </c>
      <c r="L2207">
        <v>12</v>
      </c>
      <c r="M2207" t="s">
        <v>3022</v>
      </c>
      <c r="N2207">
        <v>4</v>
      </c>
      <c r="O2207">
        <v>9.33</v>
      </c>
      <c r="P2207">
        <v>144436.73000000001</v>
      </c>
      <c r="Q2207">
        <v>168453.81</v>
      </c>
      <c r="R2207">
        <v>648</v>
      </c>
      <c r="S2207">
        <v>788</v>
      </c>
      <c r="T2207" t="s">
        <v>34</v>
      </c>
      <c r="U2207" t="s">
        <v>81</v>
      </c>
    </row>
    <row r="2208" spans="1:21">
      <c r="A2208" t="s">
        <v>3479</v>
      </c>
      <c r="B2208" t="s">
        <v>3476</v>
      </c>
      <c r="C2208" t="s">
        <v>1228</v>
      </c>
      <c r="D2208">
        <v>168000</v>
      </c>
      <c r="E2208">
        <v>15000</v>
      </c>
      <c r="H2208">
        <v>3</v>
      </c>
      <c r="I2208" t="s">
        <v>325</v>
      </c>
      <c r="J2208">
        <v>28.87</v>
      </c>
      <c r="K2208">
        <v>0</v>
      </c>
      <c r="L2208">
        <v>12</v>
      </c>
      <c r="M2208" t="s">
        <v>3022</v>
      </c>
      <c r="N2208">
        <v>4</v>
      </c>
      <c r="O2208">
        <v>9.33</v>
      </c>
      <c r="P2208">
        <v>144436.73000000001</v>
      </c>
      <c r="Q2208">
        <v>168453.81</v>
      </c>
      <c r="R2208">
        <v>648</v>
      </c>
      <c r="S2208">
        <v>788</v>
      </c>
      <c r="T2208" t="s">
        <v>34</v>
      </c>
      <c r="U2208" t="s">
        <v>81</v>
      </c>
    </row>
    <row r="2209" spans="1:21">
      <c r="A2209" t="s">
        <v>3480</v>
      </c>
      <c r="B2209" t="s">
        <v>3476</v>
      </c>
      <c r="C2209" t="s">
        <v>1228</v>
      </c>
      <c r="D2209">
        <v>168000</v>
      </c>
      <c r="E2209">
        <v>15000</v>
      </c>
      <c r="F2209">
        <v>168000</v>
      </c>
      <c r="H2209">
        <v>3</v>
      </c>
      <c r="I2209" t="s">
        <v>325</v>
      </c>
      <c r="J2209">
        <v>29.25</v>
      </c>
      <c r="K2209">
        <v>0</v>
      </c>
      <c r="L2209">
        <v>12</v>
      </c>
      <c r="M2209" t="s">
        <v>3022</v>
      </c>
      <c r="N2209">
        <v>4</v>
      </c>
      <c r="O2209">
        <v>9.33</v>
      </c>
      <c r="P2209">
        <v>144436.73000000001</v>
      </c>
      <c r="Q2209">
        <v>168453.81</v>
      </c>
      <c r="R2209">
        <v>648</v>
      </c>
      <c r="S2209">
        <v>788</v>
      </c>
      <c r="T2209" t="s">
        <v>34</v>
      </c>
      <c r="U2209" t="s">
        <v>81</v>
      </c>
    </row>
    <row r="2210" spans="1:21">
      <c r="A2210" t="s">
        <v>3481</v>
      </c>
      <c r="B2210" t="s">
        <v>3476</v>
      </c>
      <c r="C2210" t="s">
        <v>1228</v>
      </c>
      <c r="D2210">
        <v>170000</v>
      </c>
      <c r="E2210">
        <v>15000</v>
      </c>
      <c r="H2210">
        <v>4</v>
      </c>
      <c r="I2210" t="s">
        <v>325</v>
      </c>
      <c r="J2210">
        <v>28.87</v>
      </c>
      <c r="K2210">
        <v>0</v>
      </c>
      <c r="L2210">
        <v>12</v>
      </c>
      <c r="M2210" t="s">
        <v>3022</v>
      </c>
      <c r="N2210">
        <v>4</v>
      </c>
      <c r="O2210">
        <v>9.33</v>
      </c>
      <c r="P2210">
        <v>144436.73000000001</v>
      </c>
      <c r="Q2210">
        <v>168453.81</v>
      </c>
      <c r="R2210">
        <v>648</v>
      </c>
      <c r="S2210">
        <v>788</v>
      </c>
      <c r="T2210" t="s">
        <v>34</v>
      </c>
      <c r="U2210" t="s">
        <v>81</v>
      </c>
    </row>
    <row r="2211" spans="1:21">
      <c r="A2211" t="s">
        <v>3482</v>
      </c>
      <c r="B2211" t="s">
        <v>3476</v>
      </c>
      <c r="C2211" t="s">
        <v>1228</v>
      </c>
      <c r="D2211">
        <v>175000</v>
      </c>
      <c r="E2211">
        <v>15000</v>
      </c>
      <c r="F2211">
        <v>175000</v>
      </c>
      <c r="H2211">
        <v>8</v>
      </c>
      <c r="I2211" t="s">
        <v>325</v>
      </c>
      <c r="J2211">
        <v>28.87</v>
      </c>
      <c r="K2211">
        <v>0</v>
      </c>
      <c r="L2211">
        <v>12</v>
      </c>
      <c r="M2211" t="s">
        <v>3022</v>
      </c>
      <c r="N2211">
        <v>4</v>
      </c>
      <c r="O2211">
        <v>9.33</v>
      </c>
      <c r="P2211">
        <v>144436.73000000001</v>
      </c>
      <c r="Q2211">
        <v>168453.81</v>
      </c>
      <c r="R2211">
        <v>648</v>
      </c>
      <c r="S2211">
        <v>788</v>
      </c>
      <c r="T2211" t="s">
        <v>34</v>
      </c>
      <c r="U2211" t="s">
        <v>81</v>
      </c>
    </row>
    <row r="2212" spans="1:21">
      <c r="A2212" t="s">
        <v>3483</v>
      </c>
      <c r="B2212" t="s">
        <v>3476</v>
      </c>
      <c r="C2212" t="s">
        <v>1228</v>
      </c>
      <c r="D2212">
        <v>180000</v>
      </c>
      <c r="E2212">
        <v>15000</v>
      </c>
      <c r="F2212">
        <v>180000</v>
      </c>
      <c r="H2212">
        <v>9</v>
      </c>
      <c r="I2212" t="s">
        <v>325</v>
      </c>
      <c r="J2212">
        <v>28.87</v>
      </c>
      <c r="K2212">
        <v>0</v>
      </c>
      <c r="L2212">
        <v>12</v>
      </c>
      <c r="M2212" t="s">
        <v>3022</v>
      </c>
      <c r="N2212">
        <v>4</v>
      </c>
      <c r="O2212">
        <v>9.33</v>
      </c>
      <c r="P2212">
        <v>144436.73000000001</v>
      </c>
      <c r="Q2212">
        <v>168453.81</v>
      </c>
      <c r="R2212">
        <v>648</v>
      </c>
      <c r="S2212">
        <v>788</v>
      </c>
      <c r="T2212" t="s">
        <v>34</v>
      </c>
      <c r="U2212" t="s">
        <v>81</v>
      </c>
    </row>
    <row r="2213" spans="1:21">
      <c r="A2213" t="s">
        <v>3484</v>
      </c>
      <c r="B2213" t="s">
        <v>3040</v>
      </c>
      <c r="C2213" t="s">
        <v>1768</v>
      </c>
      <c r="D2213">
        <v>174000</v>
      </c>
      <c r="E2213">
        <v>10000</v>
      </c>
      <c r="F2213">
        <v>174000</v>
      </c>
      <c r="H2213">
        <v>10</v>
      </c>
      <c r="I2213" t="s">
        <v>325</v>
      </c>
      <c r="J2213">
        <v>30.26</v>
      </c>
      <c r="K2213">
        <v>2</v>
      </c>
      <c r="L2213">
        <v>13</v>
      </c>
      <c r="M2213" t="s">
        <v>3022</v>
      </c>
      <c r="N2213">
        <v>9</v>
      </c>
      <c r="O2213">
        <v>12.33</v>
      </c>
      <c r="P2213">
        <v>144436.73000000001</v>
      </c>
      <c r="Q2213">
        <v>168453.81</v>
      </c>
      <c r="R2213">
        <v>648</v>
      </c>
      <c r="S2213">
        <v>788</v>
      </c>
      <c r="T2213" t="s">
        <v>26</v>
      </c>
      <c r="U2213" t="s">
        <v>31</v>
      </c>
    </row>
    <row r="2214" spans="1:21">
      <c r="A2214" t="s">
        <v>3485</v>
      </c>
      <c r="B2214" t="s">
        <v>3040</v>
      </c>
      <c r="C2214" t="s">
        <v>1768</v>
      </c>
      <c r="D2214">
        <v>176000</v>
      </c>
      <c r="E2214">
        <v>10000</v>
      </c>
      <c r="F2214">
        <v>176000</v>
      </c>
      <c r="H2214">
        <v>11</v>
      </c>
      <c r="I2214" t="s">
        <v>325</v>
      </c>
      <c r="J2214">
        <v>30.26</v>
      </c>
      <c r="K2214">
        <v>2</v>
      </c>
      <c r="L2214">
        <v>13</v>
      </c>
      <c r="M2214" t="s">
        <v>3022</v>
      </c>
      <c r="N2214">
        <v>9</v>
      </c>
      <c r="O2214">
        <v>12.33</v>
      </c>
      <c r="P2214">
        <v>144436.73000000001</v>
      </c>
      <c r="Q2214">
        <v>168453.81</v>
      </c>
      <c r="R2214">
        <v>648</v>
      </c>
      <c r="S2214">
        <v>788</v>
      </c>
      <c r="T2214" t="s">
        <v>26</v>
      </c>
      <c r="U2214" t="s">
        <v>31</v>
      </c>
    </row>
    <row r="2215" spans="1:21">
      <c r="A2215" t="s">
        <v>3486</v>
      </c>
      <c r="B2215" t="s">
        <v>3040</v>
      </c>
      <c r="C2215" t="s">
        <v>1768</v>
      </c>
      <c r="D2215">
        <v>167000</v>
      </c>
      <c r="E2215">
        <v>10000</v>
      </c>
      <c r="F2215">
        <v>167000</v>
      </c>
      <c r="H2215">
        <v>6</v>
      </c>
      <c r="I2215" t="s">
        <v>325</v>
      </c>
      <c r="J2215">
        <v>30.26</v>
      </c>
      <c r="K2215">
        <v>2</v>
      </c>
      <c r="L2215">
        <v>13</v>
      </c>
      <c r="M2215" t="s">
        <v>3022</v>
      </c>
      <c r="N2215">
        <v>9</v>
      </c>
      <c r="O2215">
        <v>12.33</v>
      </c>
      <c r="P2215">
        <v>144436.73000000001</v>
      </c>
      <c r="Q2215">
        <v>168453.81</v>
      </c>
      <c r="R2215">
        <v>648</v>
      </c>
      <c r="S2215">
        <v>788</v>
      </c>
      <c r="T2215" t="s">
        <v>26</v>
      </c>
      <c r="U2215" t="s">
        <v>31</v>
      </c>
    </row>
    <row r="2216" spans="1:21">
      <c r="A2216" t="s">
        <v>3487</v>
      </c>
      <c r="B2216" t="s">
        <v>3040</v>
      </c>
      <c r="C2216" t="s">
        <v>1768</v>
      </c>
      <c r="D2216">
        <v>168000</v>
      </c>
      <c r="E2216">
        <v>10000</v>
      </c>
      <c r="F2216">
        <v>168000</v>
      </c>
      <c r="H2216">
        <v>7</v>
      </c>
      <c r="I2216" t="s">
        <v>325</v>
      </c>
      <c r="J2216">
        <v>30.26</v>
      </c>
      <c r="K2216">
        <v>2</v>
      </c>
      <c r="L2216">
        <v>13</v>
      </c>
      <c r="M2216" t="s">
        <v>3022</v>
      </c>
      <c r="N2216">
        <v>9</v>
      </c>
      <c r="O2216">
        <v>12.33</v>
      </c>
      <c r="P2216">
        <v>144436.73000000001</v>
      </c>
      <c r="Q2216">
        <v>168453.81</v>
      </c>
      <c r="R2216">
        <v>648</v>
      </c>
      <c r="S2216">
        <v>788</v>
      </c>
      <c r="T2216" t="s">
        <v>26</v>
      </c>
      <c r="U2216" t="s">
        <v>31</v>
      </c>
    </row>
    <row r="2217" spans="1:21">
      <c r="A2217" t="s">
        <v>3488</v>
      </c>
      <c r="B2217" t="s">
        <v>3489</v>
      </c>
      <c r="C2217" t="s">
        <v>1228</v>
      </c>
      <c r="D2217">
        <v>200000</v>
      </c>
      <c r="E2217">
        <v>8000</v>
      </c>
      <c r="F2217">
        <v>200000</v>
      </c>
      <c r="G2217">
        <v>200000</v>
      </c>
      <c r="H2217">
        <v>11</v>
      </c>
      <c r="I2217" t="s">
        <v>325</v>
      </c>
      <c r="J2217">
        <v>39.92</v>
      </c>
      <c r="K2217">
        <v>11</v>
      </c>
      <c r="L2217">
        <v>14</v>
      </c>
      <c r="M2217" t="s">
        <v>3022</v>
      </c>
      <c r="N2217">
        <v>1</v>
      </c>
      <c r="O2217">
        <v>8.67</v>
      </c>
      <c r="P2217">
        <v>144436.73000000001</v>
      </c>
      <c r="Q2217">
        <v>168453.81</v>
      </c>
      <c r="R2217">
        <v>648</v>
      </c>
      <c r="S2217">
        <v>788</v>
      </c>
      <c r="T2217" t="s">
        <v>26</v>
      </c>
      <c r="U2217" t="s">
        <v>90</v>
      </c>
    </row>
    <row r="2218" spans="1:21">
      <c r="A2218" t="s">
        <v>3490</v>
      </c>
      <c r="B2218" t="s">
        <v>3489</v>
      </c>
      <c r="C2218" t="s">
        <v>1228</v>
      </c>
      <c r="D2218">
        <v>180000</v>
      </c>
      <c r="E2218">
        <v>10000</v>
      </c>
      <c r="F2218">
        <v>180000</v>
      </c>
      <c r="G2218">
        <v>180000</v>
      </c>
      <c r="H2218">
        <v>6</v>
      </c>
      <c r="I2218" t="s">
        <v>325</v>
      </c>
      <c r="J2218">
        <v>39.92</v>
      </c>
      <c r="K2218">
        <v>11</v>
      </c>
      <c r="L2218">
        <v>14</v>
      </c>
      <c r="M2218" t="s">
        <v>3022</v>
      </c>
      <c r="N2218">
        <v>1</v>
      </c>
      <c r="O2218">
        <v>8.67</v>
      </c>
      <c r="P2218">
        <v>144436.73000000001</v>
      </c>
      <c r="Q2218">
        <v>168453.81</v>
      </c>
      <c r="R2218">
        <v>648</v>
      </c>
      <c r="S2218">
        <v>788</v>
      </c>
      <c r="T2218" t="s">
        <v>26</v>
      </c>
      <c r="U2218" t="s">
        <v>90</v>
      </c>
    </row>
    <row r="2219" spans="1:21">
      <c r="A2219" t="s">
        <v>3491</v>
      </c>
      <c r="B2219" t="s">
        <v>3492</v>
      </c>
      <c r="C2219" t="s">
        <v>1768</v>
      </c>
      <c r="D2219">
        <v>198700</v>
      </c>
      <c r="E2219">
        <v>11300</v>
      </c>
      <c r="F2219">
        <v>198700</v>
      </c>
      <c r="G2219">
        <v>198700</v>
      </c>
      <c r="H2219">
        <v>9</v>
      </c>
      <c r="I2219" t="s">
        <v>325</v>
      </c>
      <c r="J2219">
        <v>41.25</v>
      </c>
      <c r="K2219">
        <v>9</v>
      </c>
      <c r="L2219">
        <v>9</v>
      </c>
      <c r="M2219" t="s">
        <v>3022</v>
      </c>
      <c r="N2219">
        <v>8</v>
      </c>
      <c r="O2219">
        <v>9.67</v>
      </c>
      <c r="P2219">
        <v>144436.73000000001</v>
      </c>
      <c r="Q2219">
        <v>168453.81</v>
      </c>
      <c r="R2219">
        <v>648</v>
      </c>
      <c r="S2219">
        <v>788</v>
      </c>
      <c r="T2219" t="s">
        <v>326</v>
      </c>
      <c r="U2219" t="s">
        <v>31</v>
      </c>
    </row>
    <row r="2220" spans="1:21">
      <c r="A2220" t="s">
        <v>3493</v>
      </c>
      <c r="B2220" t="s">
        <v>3494</v>
      </c>
      <c r="C2220" t="s">
        <v>1228</v>
      </c>
      <c r="D2220">
        <v>195000</v>
      </c>
      <c r="E2220">
        <v>5000</v>
      </c>
      <c r="F2220">
        <v>195000</v>
      </c>
      <c r="G2220">
        <v>195000</v>
      </c>
      <c r="H2220">
        <v>4</v>
      </c>
      <c r="I2220" t="s">
        <v>325</v>
      </c>
      <c r="J2220">
        <v>51.65</v>
      </c>
      <c r="K2220">
        <v>49</v>
      </c>
      <c r="L2220">
        <v>4</v>
      </c>
      <c r="M2220" t="s">
        <v>3022</v>
      </c>
      <c r="N2220">
        <v>2</v>
      </c>
      <c r="O2220">
        <v>8.67</v>
      </c>
      <c r="P2220">
        <v>144436.73000000001</v>
      </c>
      <c r="Q2220">
        <v>168453.81</v>
      </c>
      <c r="R2220">
        <v>648</v>
      </c>
      <c r="S2220">
        <v>788</v>
      </c>
      <c r="T2220" t="s">
        <v>332</v>
      </c>
      <c r="U2220" t="s">
        <v>42</v>
      </c>
    </row>
    <row r="2221" spans="1:21">
      <c r="A2221" t="s">
        <v>3495</v>
      </c>
      <c r="B2221" t="s">
        <v>3246</v>
      </c>
      <c r="C2221" t="s">
        <v>1768</v>
      </c>
      <c r="D2221">
        <v>170000</v>
      </c>
      <c r="E2221">
        <v>15000</v>
      </c>
      <c r="G2221">
        <v>170000</v>
      </c>
      <c r="H2221">
        <v>2</v>
      </c>
      <c r="I2221" t="s">
        <v>325</v>
      </c>
      <c r="J2221">
        <v>37.01</v>
      </c>
      <c r="K2221">
        <v>10</v>
      </c>
      <c r="L2221">
        <v>9</v>
      </c>
      <c r="M2221" t="s">
        <v>3022</v>
      </c>
      <c r="N2221">
        <v>5</v>
      </c>
      <c r="O2221">
        <v>10</v>
      </c>
      <c r="P2221">
        <v>144436.73000000001</v>
      </c>
      <c r="Q2221">
        <v>168453.81</v>
      </c>
      <c r="R2221">
        <v>648</v>
      </c>
      <c r="S2221">
        <v>788</v>
      </c>
      <c r="T2221" t="s">
        <v>26</v>
      </c>
      <c r="U2221" t="s">
        <v>31</v>
      </c>
    </row>
    <row r="2222" spans="1:21">
      <c r="A2222" t="s">
        <v>3496</v>
      </c>
      <c r="B2222" t="s">
        <v>3497</v>
      </c>
      <c r="C2222" t="s">
        <v>3025</v>
      </c>
      <c r="D2222">
        <v>210000</v>
      </c>
      <c r="F2222">
        <v>210000</v>
      </c>
      <c r="G2222">
        <v>210000</v>
      </c>
      <c r="H2222">
        <v>11</v>
      </c>
      <c r="I2222" t="s">
        <v>325</v>
      </c>
      <c r="J2222">
        <v>44.3</v>
      </c>
      <c r="K2222">
        <v>20</v>
      </c>
      <c r="L2222">
        <v>31</v>
      </c>
      <c r="M2222" t="s">
        <v>3022</v>
      </c>
      <c r="N2222">
        <v>3</v>
      </c>
      <c r="O2222">
        <v>6.33</v>
      </c>
      <c r="P2222">
        <v>144436.73000000001</v>
      </c>
      <c r="Q2222">
        <v>168453.81</v>
      </c>
      <c r="R2222">
        <v>648</v>
      </c>
      <c r="S2222">
        <v>788</v>
      </c>
      <c r="T2222" t="s">
        <v>326</v>
      </c>
      <c r="U2222" t="s">
        <v>90</v>
      </c>
    </row>
    <row r="2223" spans="1:21">
      <c r="A2223" t="s">
        <v>3498</v>
      </c>
      <c r="B2223" t="s">
        <v>3499</v>
      </c>
      <c r="C2223" t="s">
        <v>1228</v>
      </c>
      <c r="D2223">
        <v>290000</v>
      </c>
      <c r="E2223">
        <v>10000</v>
      </c>
      <c r="F2223">
        <v>290000</v>
      </c>
      <c r="G2223">
        <v>290000</v>
      </c>
      <c r="H2223">
        <v>15</v>
      </c>
      <c r="I2223" t="s">
        <v>325</v>
      </c>
      <c r="J2223">
        <v>55.9</v>
      </c>
      <c r="K2223">
        <v>16</v>
      </c>
      <c r="L2223">
        <v>16</v>
      </c>
      <c r="M2223" t="s">
        <v>3022</v>
      </c>
      <c r="N2223">
        <v>1</v>
      </c>
      <c r="O2223">
        <v>7</v>
      </c>
      <c r="P2223">
        <v>144436.73000000001</v>
      </c>
      <c r="Q2223">
        <v>168453.81</v>
      </c>
      <c r="R2223">
        <v>648</v>
      </c>
      <c r="S2223">
        <v>788</v>
      </c>
      <c r="T2223" t="s">
        <v>332</v>
      </c>
      <c r="U2223" t="s">
        <v>90</v>
      </c>
    </row>
    <row r="2224" spans="1:21">
      <c r="A2224" t="s">
        <v>3500</v>
      </c>
      <c r="B2224" t="s">
        <v>3501</v>
      </c>
      <c r="C2224" t="s">
        <v>3195</v>
      </c>
      <c r="D2224">
        <v>185000</v>
      </c>
      <c r="E2224">
        <v>8000</v>
      </c>
      <c r="F2224">
        <v>185000</v>
      </c>
      <c r="G2224">
        <v>185000</v>
      </c>
      <c r="H2224">
        <v>2</v>
      </c>
      <c r="I2224" t="s">
        <v>325</v>
      </c>
      <c r="J2224">
        <v>41.36</v>
      </c>
      <c r="K2224">
        <v>11</v>
      </c>
      <c r="L2224">
        <v>3</v>
      </c>
      <c r="M2224" t="s">
        <v>3022</v>
      </c>
      <c r="N2224">
        <v>3</v>
      </c>
      <c r="O2224">
        <v>5.5</v>
      </c>
      <c r="P2224">
        <v>144436.73000000001</v>
      </c>
      <c r="Q2224">
        <v>168453.81</v>
      </c>
      <c r="R2224">
        <v>648</v>
      </c>
      <c r="S2224">
        <v>788</v>
      </c>
      <c r="T2224" t="s">
        <v>326</v>
      </c>
      <c r="U2224" t="s">
        <v>90</v>
      </c>
    </row>
    <row r="2225" spans="1:21">
      <c r="A2225" t="s">
        <v>3502</v>
      </c>
      <c r="B2225" t="s">
        <v>3501</v>
      </c>
      <c r="C2225" t="s">
        <v>3195</v>
      </c>
      <c r="D2225">
        <v>185000</v>
      </c>
      <c r="E2225">
        <v>8000</v>
      </c>
      <c r="F2225">
        <v>185000</v>
      </c>
      <c r="G2225">
        <v>185000</v>
      </c>
      <c r="H2225">
        <v>2</v>
      </c>
      <c r="I2225" t="s">
        <v>325</v>
      </c>
      <c r="J2225">
        <v>42.75</v>
      </c>
      <c r="K2225">
        <v>11</v>
      </c>
      <c r="L2225">
        <v>3</v>
      </c>
      <c r="M2225" t="s">
        <v>3022</v>
      </c>
      <c r="N2225">
        <v>3</v>
      </c>
      <c r="O2225">
        <v>5.5</v>
      </c>
      <c r="P2225">
        <v>144436.73000000001</v>
      </c>
      <c r="Q2225">
        <v>168453.81</v>
      </c>
      <c r="R2225">
        <v>648</v>
      </c>
      <c r="S2225">
        <v>788</v>
      </c>
      <c r="T2225" t="s">
        <v>326</v>
      </c>
      <c r="U2225" t="s">
        <v>90</v>
      </c>
    </row>
    <row r="2226" spans="1:21">
      <c r="A2226" t="s">
        <v>3503</v>
      </c>
      <c r="B2226" t="s">
        <v>3504</v>
      </c>
      <c r="C2226" t="s">
        <v>1228</v>
      </c>
      <c r="D2226">
        <v>137000</v>
      </c>
      <c r="E2226">
        <v>2000</v>
      </c>
      <c r="F2226">
        <v>137000</v>
      </c>
      <c r="G2226">
        <v>137000</v>
      </c>
      <c r="H2226">
        <v>1</v>
      </c>
      <c r="I2226" t="s">
        <v>325</v>
      </c>
      <c r="J2226">
        <v>35.19</v>
      </c>
      <c r="K2226">
        <v>7</v>
      </c>
      <c r="L2226">
        <v>2</v>
      </c>
      <c r="M2226" t="s">
        <v>3022</v>
      </c>
      <c r="N2226">
        <v>3</v>
      </c>
      <c r="O2226">
        <v>7.67</v>
      </c>
      <c r="P2226">
        <v>144436.73000000001</v>
      </c>
      <c r="Q2226">
        <v>168453.81</v>
      </c>
      <c r="R2226">
        <v>648</v>
      </c>
      <c r="S2226">
        <v>788</v>
      </c>
      <c r="T2226" t="s">
        <v>26</v>
      </c>
      <c r="U2226" t="s">
        <v>31</v>
      </c>
    </row>
    <row r="2227" spans="1:21">
      <c r="A2227" t="s">
        <v>3505</v>
      </c>
      <c r="B2227" t="s">
        <v>3063</v>
      </c>
      <c r="C2227" t="s">
        <v>1228</v>
      </c>
      <c r="D2227">
        <v>145000</v>
      </c>
      <c r="E2227">
        <v>10000</v>
      </c>
      <c r="F2227">
        <v>145000</v>
      </c>
      <c r="H2227">
        <v>2</v>
      </c>
      <c r="I2227" t="s">
        <v>325</v>
      </c>
      <c r="J2227">
        <v>25.55</v>
      </c>
      <c r="K2227">
        <v>3</v>
      </c>
      <c r="L2227">
        <v>12</v>
      </c>
      <c r="M2227" t="s">
        <v>3022</v>
      </c>
      <c r="N2227">
        <v>1</v>
      </c>
      <c r="O2227">
        <v>8.67</v>
      </c>
      <c r="P2227">
        <v>144436.73000000001</v>
      </c>
      <c r="Q2227">
        <v>168453.81</v>
      </c>
      <c r="R2227">
        <v>648</v>
      </c>
      <c r="S2227">
        <v>788</v>
      </c>
      <c r="T2227" t="s">
        <v>34</v>
      </c>
      <c r="U2227" t="s">
        <v>31</v>
      </c>
    </row>
    <row r="2228" spans="1:21">
      <c r="A2228" t="s">
        <v>3506</v>
      </c>
      <c r="B2228" t="s">
        <v>3063</v>
      </c>
      <c r="C2228" t="s">
        <v>1228</v>
      </c>
      <c r="D2228">
        <v>145000</v>
      </c>
      <c r="E2228">
        <v>10000</v>
      </c>
      <c r="F2228">
        <v>145000</v>
      </c>
      <c r="H2228">
        <v>5</v>
      </c>
      <c r="I2228" t="s">
        <v>325</v>
      </c>
      <c r="J2228">
        <v>25.55</v>
      </c>
      <c r="K2228">
        <v>3</v>
      </c>
      <c r="L2228">
        <v>12</v>
      </c>
      <c r="M2228" t="s">
        <v>3022</v>
      </c>
      <c r="N2228">
        <v>1</v>
      </c>
      <c r="O2228">
        <v>8.67</v>
      </c>
      <c r="P2228">
        <v>144436.73000000001</v>
      </c>
      <c r="Q2228">
        <v>168453.81</v>
      </c>
      <c r="R2228">
        <v>648</v>
      </c>
      <c r="S2228">
        <v>788</v>
      </c>
      <c r="T2228" t="s">
        <v>34</v>
      </c>
      <c r="U2228" t="s">
        <v>31</v>
      </c>
    </row>
    <row r="2229" spans="1:21">
      <c r="A2229" t="s">
        <v>3507</v>
      </c>
      <c r="B2229" t="s">
        <v>3063</v>
      </c>
      <c r="C2229" t="s">
        <v>1228</v>
      </c>
      <c r="D2229">
        <v>168000</v>
      </c>
      <c r="E2229">
        <v>12000</v>
      </c>
      <c r="F2229">
        <v>168000</v>
      </c>
      <c r="H2229">
        <v>6</v>
      </c>
      <c r="I2229" t="s">
        <v>325</v>
      </c>
      <c r="J2229">
        <v>33.049999999999997</v>
      </c>
      <c r="K2229">
        <v>3</v>
      </c>
      <c r="L2229">
        <v>12</v>
      </c>
      <c r="M2229" t="s">
        <v>3022</v>
      </c>
      <c r="N2229">
        <v>1</v>
      </c>
      <c r="O2229">
        <v>8.67</v>
      </c>
      <c r="P2229">
        <v>144436.73000000001</v>
      </c>
      <c r="Q2229">
        <v>168453.81</v>
      </c>
      <c r="R2229">
        <v>648</v>
      </c>
      <c r="S2229">
        <v>788</v>
      </c>
      <c r="T2229" t="s">
        <v>26</v>
      </c>
      <c r="U2229" t="s">
        <v>31</v>
      </c>
    </row>
    <row r="2230" spans="1:21">
      <c r="A2230" t="s">
        <v>3508</v>
      </c>
      <c r="B2230" t="s">
        <v>3065</v>
      </c>
      <c r="C2230" t="s">
        <v>1768</v>
      </c>
      <c r="D2230">
        <v>98000</v>
      </c>
      <c r="E2230">
        <v>3000</v>
      </c>
      <c r="F2230">
        <v>98000</v>
      </c>
      <c r="G2230">
        <v>98000</v>
      </c>
      <c r="H2230">
        <v>4</v>
      </c>
      <c r="I2230" t="s">
        <v>325</v>
      </c>
      <c r="J2230">
        <v>35</v>
      </c>
      <c r="K2230">
        <v>46</v>
      </c>
      <c r="L2230">
        <v>5</v>
      </c>
      <c r="M2230" t="s">
        <v>3022</v>
      </c>
      <c r="N2230">
        <v>8</v>
      </c>
      <c r="O2230">
        <v>11.33</v>
      </c>
      <c r="P2230">
        <v>144436.73000000001</v>
      </c>
      <c r="Q2230">
        <v>168453.81</v>
      </c>
      <c r="R2230">
        <v>648</v>
      </c>
      <c r="S2230">
        <v>788</v>
      </c>
      <c r="T2230" t="s">
        <v>26</v>
      </c>
      <c r="U2230" t="s">
        <v>42</v>
      </c>
    </row>
    <row r="2231" spans="1:21">
      <c r="A2231" t="s">
        <v>3509</v>
      </c>
      <c r="B2231" t="s">
        <v>3510</v>
      </c>
      <c r="C2231" t="s">
        <v>3025</v>
      </c>
      <c r="D2231">
        <v>225000</v>
      </c>
      <c r="E2231">
        <v>12000</v>
      </c>
      <c r="F2231">
        <v>225000</v>
      </c>
      <c r="G2231">
        <v>225000</v>
      </c>
      <c r="H2231">
        <v>13</v>
      </c>
      <c r="I2231" t="s">
        <v>325</v>
      </c>
      <c r="J2231">
        <v>52.75</v>
      </c>
      <c r="K2231">
        <v>19</v>
      </c>
      <c r="L2231">
        <v>33</v>
      </c>
      <c r="M2231" t="s">
        <v>3022</v>
      </c>
      <c r="N2231">
        <v>1</v>
      </c>
      <c r="O2231">
        <v>9</v>
      </c>
      <c r="P2231">
        <v>144436.73000000001</v>
      </c>
      <c r="Q2231">
        <v>168453.81</v>
      </c>
      <c r="R2231">
        <v>648</v>
      </c>
      <c r="S2231">
        <v>788</v>
      </c>
      <c r="T2231" t="s">
        <v>332</v>
      </c>
      <c r="U2231" t="s">
        <v>90</v>
      </c>
    </row>
    <row r="2232" spans="1:21">
      <c r="A2232" t="s">
        <v>3511</v>
      </c>
      <c r="B2232" t="s">
        <v>3510</v>
      </c>
      <c r="C2232" t="s">
        <v>3025</v>
      </c>
      <c r="D2232">
        <v>237000</v>
      </c>
      <c r="E2232">
        <v>12000</v>
      </c>
      <c r="F2232">
        <v>237000</v>
      </c>
      <c r="G2232">
        <v>237000</v>
      </c>
      <c r="H2232">
        <v>13</v>
      </c>
      <c r="I2232" t="s">
        <v>325</v>
      </c>
      <c r="J2232">
        <v>52.75</v>
      </c>
      <c r="K2232">
        <v>19</v>
      </c>
      <c r="L2232">
        <v>33</v>
      </c>
      <c r="M2232" t="s">
        <v>3022</v>
      </c>
      <c r="N2232">
        <v>1</v>
      </c>
      <c r="O2232">
        <v>9</v>
      </c>
      <c r="P2232">
        <v>144436.73000000001</v>
      </c>
      <c r="Q2232">
        <v>168453.81</v>
      </c>
      <c r="R2232">
        <v>648</v>
      </c>
      <c r="S2232">
        <v>788</v>
      </c>
      <c r="T2232" t="s">
        <v>332</v>
      </c>
      <c r="U2232" t="s">
        <v>90</v>
      </c>
    </row>
    <row r="2233" spans="1:21">
      <c r="A2233" t="s">
        <v>3512</v>
      </c>
      <c r="B2233" t="s">
        <v>3510</v>
      </c>
      <c r="C2233" t="s">
        <v>3025</v>
      </c>
      <c r="D2233">
        <v>267000</v>
      </c>
      <c r="E2233">
        <v>12000</v>
      </c>
      <c r="F2233">
        <v>267000</v>
      </c>
      <c r="G2233">
        <v>320400</v>
      </c>
      <c r="H2233">
        <v>13</v>
      </c>
      <c r="I2233" t="s">
        <v>325</v>
      </c>
      <c r="J2233">
        <v>52.75</v>
      </c>
      <c r="K2233">
        <v>19</v>
      </c>
      <c r="L2233">
        <v>33</v>
      </c>
      <c r="M2233" t="s">
        <v>3022</v>
      </c>
      <c r="N2233">
        <v>1</v>
      </c>
      <c r="O2233">
        <v>9</v>
      </c>
      <c r="P2233">
        <v>144436.73000000001</v>
      </c>
      <c r="Q2233">
        <v>168453.81</v>
      </c>
      <c r="R2233">
        <v>648</v>
      </c>
      <c r="S2233">
        <v>788</v>
      </c>
      <c r="T2233" t="s">
        <v>332</v>
      </c>
      <c r="U2233" t="s">
        <v>90</v>
      </c>
    </row>
    <row r="2234" spans="1:21">
      <c r="A2234" t="s">
        <v>3513</v>
      </c>
      <c r="B2234" t="s">
        <v>3510</v>
      </c>
      <c r="C2234" t="s">
        <v>3025</v>
      </c>
      <c r="D2234">
        <v>215000</v>
      </c>
      <c r="E2234">
        <v>12000</v>
      </c>
      <c r="F2234">
        <v>215000</v>
      </c>
      <c r="G2234">
        <v>215000</v>
      </c>
      <c r="H2234">
        <v>14</v>
      </c>
      <c r="I2234" t="s">
        <v>325</v>
      </c>
      <c r="J2234">
        <v>47.06</v>
      </c>
      <c r="K2234">
        <v>19</v>
      </c>
      <c r="L2234">
        <v>33</v>
      </c>
      <c r="M2234" t="s">
        <v>3022</v>
      </c>
      <c r="N2234">
        <v>1</v>
      </c>
      <c r="O2234">
        <v>9</v>
      </c>
      <c r="P2234">
        <v>144436.73000000001</v>
      </c>
      <c r="Q2234">
        <v>168453.81</v>
      </c>
      <c r="R2234">
        <v>648</v>
      </c>
      <c r="S2234">
        <v>788</v>
      </c>
      <c r="T2234" t="s">
        <v>326</v>
      </c>
      <c r="U2234" t="s">
        <v>90</v>
      </c>
    </row>
    <row r="2235" spans="1:21">
      <c r="A2235" t="s">
        <v>3514</v>
      </c>
      <c r="B2235" t="s">
        <v>3510</v>
      </c>
      <c r="C2235" t="s">
        <v>3025</v>
      </c>
      <c r="D2235">
        <v>233000</v>
      </c>
      <c r="E2235">
        <v>12000</v>
      </c>
      <c r="F2235">
        <v>233000</v>
      </c>
      <c r="G2235">
        <v>279600</v>
      </c>
      <c r="H2235">
        <v>14</v>
      </c>
      <c r="I2235" t="s">
        <v>325</v>
      </c>
      <c r="J2235">
        <v>47.06</v>
      </c>
      <c r="K2235">
        <v>19</v>
      </c>
      <c r="L2235">
        <v>33</v>
      </c>
      <c r="M2235" t="s">
        <v>3022</v>
      </c>
      <c r="N2235">
        <v>1</v>
      </c>
      <c r="O2235">
        <v>9</v>
      </c>
      <c r="P2235">
        <v>144436.73000000001</v>
      </c>
      <c r="Q2235">
        <v>168453.81</v>
      </c>
      <c r="R2235">
        <v>648</v>
      </c>
      <c r="S2235">
        <v>788</v>
      </c>
      <c r="T2235" t="s">
        <v>326</v>
      </c>
      <c r="U2235" t="s">
        <v>90</v>
      </c>
    </row>
    <row r="2236" spans="1:21">
      <c r="A2236" t="s">
        <v>3515</v>
      </c>
      <c r="B2236" t="s">
        <v>3510</v>
      </c>
      <c r="C2236" t="s">
        <v>3025</v>
      </c>
      <c r="D2236">
        <v>241000</v>
      </c>
      <c r="E2236">
        <v>12000</v>
      </c>
      <c r="F2236">
        <v>241000</v>
      </c>
      <c r="G2236">
        <v>241000</v>
      </c>
      <c r="H2236">
        <v>15</v>
      </c>
      <c r="I2236" t="s">
        <v>325</v>
      </c>
      <c r="J2236">
        <v>55.65</v>
      </c>
      <c r="K2236">
        <v>19</v>
      </c>
      <c r="L2236">
        <v>33</v>
      </c>
      <c r="M2236" t="s">
        <v>3022</v>
      </c>
      <c r="N2236">
        <v>1</v>
      </c>
      <c r="O2236">
        <v>9</v>
      </c>
      <c r="P2236">
        <v>144436.73000000001</v>
      </c>
      <c r="Q2236">
        <v>168453.81</v>
      </c>
      <c r="R2236">
        <v>648</v>
      </c>
      <c r="S2236">
        <v>788</v>
      </c>
      <c r="T2236" t="s">
        <v>332</v>
      </c>
      <c r="U2236" t="s">
        <v>90</v>
      </c>
    </row>
    <row r="2237" spans="1:21">
      <c r="A2237" t="s">
        <v>3516</v>
      </c>
      <c r="B2237" t="s">
        <v>3510</v>
      </c>
      <c r="C2237" t="s">
        <v>3025</v>
      </c>
      <c r="D2237">
        <v>211000</v>
      </c>
      <c r="E2237">
        <v>10000</v>
      </c>
      <c r="F2237">
        <v>211000</v>
      </c>
      <c r="G2237">
        <v>211000</v>
      </c>
      <c r="H2237">
        <v>18</v>
      </c>
      <c r="I2237" t="s">
        <v>325</v>
      </c>
      <c r="J2237">
        <v>46.07</v>
      </c>
      <c r="K2237">
        <v>19</v>
      </c>
      <c r="L2237">
        <v>33</v>
      </c>
      <c r="M2237" t="s">
        <v>3022</v>
      </c>
      <c r="N2237">
        <v>1</v>
      </c>
      <c r="O2237">
        <v>9</v>
      </c>
      <c r="P2237">
        <v>144436.73000000001</v>
      </c>
      <c r="Q2237">
        <v>168453.81</v>
      </c>
      <c r="R2237">
        <v>648</v>
      </c>
      <c r="S2237">
        <v>788</v>
      </c>
      <c r="T2237" t="s">
        <v>326</v>
      </c>
      <c r="U2237" t="s">
        <v>90</v>
      </c>
    </row>
    <row r="2238" spans="1:21">
      <c r="A2238" t="s">
        <v>3517</v>
      </c>
      <c r="B2238" t="s">
        <v>3510</v>
      </c>
      <c r="C2238" t="s">
        <v>3025</v>
      </c>
      <c r="D2238">
        <v>247000</v>
      </c>
      <c r="E2238">
        <v>12000</v>
      </c>
      <c r="F2238">
        <v>247000</v>
      </c>
      <c r="G2238">
        <v>296400</v>
      </c>
      <c r="H2238">
        <v>21</v>
      </c>
      <c r="I2238" t="s">
        <v>325</v>
      </c>
      <c r="J2238">
        <v>48.17</v>
      </c>
      <c r="K2238">
        <v>19</v>
      </c>
      <c r="L2238">
        <v>33</v>
      </c>
      <c r="M2238" t="s">
        <v>3022</v>
      </c>
      <c r="N2238">
        <v>1</v>
      </c>
      <c r="O2238">
        <v>9</v>
      </c>
      <c r="P2238">
        <v>144436.73000000001</v>
      </c>
      <c r="Q2238">
        <v>168453.81</v>
      </c>
      <c r="R2238">
        <v>648</v>
      </c>
      <c r="S2238">
        <v>788</v>
      </c>
      <c r="T2238" t="s">
        <v>326</v>
      </c>
      <c r="U2238" t="s">
        <v>90</v>
      </c>
    </row>
    <row r="2239" spans="1:21">
      <c r="A2239" t="s">
        <v>3518</v>
      </c>
      <c r="B2239" t="s">
        <v>3510</v>
      </c>
      <c r="C2239" t="s">
        <v>3025</v>
      </c>
      <c r="D2239">
        <v>226000</v>
      </c>
      <c r="E2239">
        <v>10000</v>
      </c>
      <c r="F2239">
        <v>226000</v>
      </c>
      <c r="G2239">
        <v>226000</v>
      </c>
      <c r="H2239">
        <v>24</v>
      </c>
      <c r="I2239" t="s">
        <v>325</v>
      </c>
      <c r="J2239">
        <v>46.07</v>
      </c>
      <c r="K2239">
        <v>19</v>
      </c>
      <c r="L2239">
        <v>33</v>
      </c>
      <c r="M2239" t="s">
        <v>3022</v>
      </c>
      <c r="N2239">
        <v>1</v>
      </c>
      <c r="O2239">
        <v>9</v>
      </c>
      <c r="P2239">
        <v>144436.73000000001</v>
      </c>
      <c r="Q2239">
        <v>168453.81</v>
      </c>
      <c r="R2239">
        <v>648</v>
      </c>
      <c r="S2239">
        <v>788</v>
      </c>
      <c r="T2239" t="s">
        <v>326</v>
      </c>
      <c r="U2239" t="s">
        <v>90</v>
      </c>
    </row>
    <row r="2240" spans="1:21">
      <c r="A2240" t="s">
        <v>3519</v>
      </c>
      <c r="B2240" t="s">
        <v>3510</v>
      </c>
      <c r="C2240" t="s">
        <v>3025</v>
      </c>
      <c r="D2240">
        <v>238000</v>
      </c>
      <c r="E2240">
        <v>12000</v>
      </c>
      <c r="F2240">
        <v>238000</v>
      </c>
      <c r="G2240">
        <v>238000</v>
      </c>
      <c r="H2240">
        <v>24</v>
      </c>
      <c r="I2240" t="s">
        <v>325</v>
      </c>
      <c r="J2240">
        <v>52.75</v>
      </c>
      <c r="K2240">
        <v>19</v>
      </c>
      <c r="L2240">
        <v>33</v>
      </c>
      <c r="M2240" t="s">
        <v>3022</v>
      </c>
      <c r="N2240">
        <v>1</v>
      </c>
      <c r="O2240">
        <v>9</v>
      </c>
      <c r="P2240">
        <v>144436.73000000001</v>
      </c>
      <c r="Q2240">
        <v>168453.81</v>
      </c>
      <c r="R2240">
        <v>648</v>
      </c>
      <c r="S2240">
        <v>788</v>
      </c>
      <c r="T2240" t="s">
        <v>332</v>
      </c>
      <c r="U2240" t="s">
        <v>90</v>
      </c>
    </row>
    <row r="2241" spans="1:21">
      <c r="A2241" t="s">
        <v>3520</v>
      </c>
      <c r="B2241" t="s">
        <v>3510</v>
      </c>
      <c r="C2241" t="s">
        <v>3025</v>
      </c>
      <c r="D2241">
        <v>193000</v>
      </c>
      <c r="E2241">
        <v>12000</v>
      </c>
      <c r="F2241">
        <v>193000</v>
      </c>
      <c r="H2241">
        <v>5</v>
      </c>
      <c r="I2241" t="s">
        <v>325</v>
      </c>
      <c r="J2241">
        <v>47.06</v>
      </c>
      <c r="K2241">
        <v>19</v>
      </c>
      <c r="L2241">
        <v>33</v>
      </c>
      <c r="M2241" t="s">
        <v>3022</v>
      </c>
      <c r="N2241">
        <v>1</v>
      </c>
      <c r="O2241">
        <v>9</v>
      </c>
      <c r="P2241">
        <v>144436.73000000001</v>
      </c>
      <c r="Q2241">
        <v>168453.81</v>
      </c>
      <c r="R2241">
        <v>648</v>
      </c>
      <c r="S2241">
        <v>788</v>
      </c>
      <c r="T2241" t="s">
        <v>326</v>
      </c>
      <c r="U2241" t="s">
        <v>90</v>
      </c>
    </row>
    <row r="2242" spans="1:21">
      <c r="A2242" t="s">
        <v>3521</v>
      </c>
      <c r="B2242" t="s">
        <v>3510</v>
      </c>
      <c r="C2242" t="s">
        <v>3025</v>
      </c>
      <c r="D2242">
        <v>203000</v>
      </c>
      <c r="E2242">
        <v>12000</v>
      </c>
      <c r="F2242">
        <v>203000</v>
      </c>
      <c r="G2242">
        <v>203000</v>
      </c>
      <c r="H2242">
        <v>5</v>
      </c>
      <c r="I2242" t="s">
        <v>325</v>
      </c>
      <c r="J2242">
        <v>47.06</v>
      </c>
      <c r="K2242">
        <v>19</v>
      </c>
      <c r="L2242">
        <v>33</v>
      </c>
      <c r="M2242" t="s">
        <v>3022</v>
      </c>
      <c r="N2242">
        <v>1</v>
      </c>
      <c r="O2242">
        <v>9</v>
      </c>
      <c r="P2242">
        <v>144436.73000000001</v>
      </c>
      <c r="Q2242">
        <v>168453.81</v>
      </c>
      <c r="R2242">
        <v>648</v>
      </c>
      <c r="S2242">
        <v>788</v>
      </c>
      <c r="T2242" t="s">
        <v>326</v>
      </c>
      <c r="U2242" t="s">
        <v>90</v>
      </c>
    </row>
    <row r="2243" spans="1:21">
      <c r="A2243" t="s">
        <v>3522</v>
      </c>
      <c r="B2243" t="s">
        <v>3523</v>
      </c>
      <c r="C2243" t="s">
        <v>3195</v>
      </c>
      <c r="D2243">
        <v>150000</v>
      </c>
      <c r="E2243">
        <v>5000</v>
      </c>
      <c r="F2243">
        <v>75000</v>
      </c>
      <c r="G2243">
        <v>225000</v>
      </c>
      <c r="H2243">
        <v>3</v>
      </c>
      <c r="I2243" t="s">
        <v>325</v>
      </c>
      <c r="J2243">
        <v>37.89</v>
      </c>
      <c r="K2243">
        <v>11</v>
      </c>
      <c r="L2243">
        <v>3</v>
      </c>
      <c r="M2243" t="s">
        <v>3022</v>
      </c>
      <c r="N2243">
        <v>2</v>
      </c>
      <c r="O2243">
        <v>3</v>
      </c>
      <c r="P2243">
        <v>144436.73000000001</v>
      </c>
      <c r="Q2243">
        <v>168453.81</v>
      </c>
      <c r="R2243">
        <v>648</v>
      </c>
      <c r="S2243">
        <v>788</v>
      </c>
      <c r="T2243" t="s">
        <v>26</v>
      </c>
      <c r="U2243" t="s">
        <v>90</v>
      </c>
    </row>
    <row r="2244" spans="1:21">
      <c r="A2244" t="s">
        <v>3524</v>
      </c>
      <c r="B2244" t="s">
        <v>3525</v>
      </c>
      <c r="C2244" t="s">
        <v>1773</v>
      </c>
      <c r="D2244">
        <v>164000</v>
      </c>
      <c r="E2244">
        <v>15000</v>
      </c>
      <c r="H2244">
        <v>2</v>
      </c>
      <c r="I2244" t="s">
        <v>325</v>
      </c>
      <c r="J2244">
        <v>27.85</v>
      </c>
      <c r="K2244">
        <v>1</v>
      </c>
      <c r="L2244">
        <v>4</v>
      </c>
      <c r="M2244" t="s">
        <v>3022</v>
      </c>
      <c r="N2244">
        <v>8</v>
      </c>
      <c r="O2244">
        <v>12.67</v>
      </c>
      <c r="P2244">
        <v>144436.73000000001</v>
      </c>
      <c r="Q2244">
        <v>168453.81</v>
      </c>
      <c r="R2244">
        <v>648</v>
      </c>
      <c r="S2244">
        <v>788</v>
      </c>
      <c r="T2244" t="s">
        <v>34</v>
      </c>
      <c r="U2244" t="s">
        <v>31</v>
      </c>
    </row>
    <row r="2245" spans="1:21">
      <c r="A2245" t="s">
        <v>3526</v>
      </c>
      <c r="B2245" t="s">
        <v>3527</v>
      </c>
      <c r="C2245" t="s">
        <v>1228</v>
      </c>
      <c r="D2245">
        <v>192000</v>
      </c>
      <c r="E2245">
        <v>12000</v>
      </c>
      <c r="F2245">
        <v>192000</v>
      </c>
      <c r="G2245">
        <v>192000</v>
      </c>
      <c r="H2245">
        <v>2</v>
      </c>
      <c r="I2245" t="s">
        <v>325</v>
      </c>
      <c r="J2245">
        <v>36.119999999999997</v>
      </c>
      <c r="K2245">
        <v>7</v>
      </c>
      <c r="L2245">
        <v>5</v>
      </c>
      <c r="M2245" t="s">
        <v>3022</v>
      </c>
      <c r="N2245">
        <v>2</v>
      </c>
      <c r="O2245">
        <v>7</v>
      </c>
      <c r="P2245">
        <v>144436.73000000001</v>
      </c>
      <c r="Q2245">
        <v>168453.81</v>
      </c>
      <c r="R2245">
        <v>648</v>
      </c>
      <c r="S2245">
        <v>788</v>
      </c>
      <c r="T2245" t="s">
        <v>26</v>
      </c>
      <c r="U2245" t="s">
        <v>31</v>
      </c>
    </row>
    <row r="2246" spans="1:21">
      <c r="A2246" t="s">
        <v>3528</v>
      </c>
      <c r="B2246" t="s">
        <v>3527</v>
      </c>
      <c r="C2246" t="s">
        <v>1228</v>
      </c>
      <c r="D2246">
        <v>190000</v>
      </c>
      <c r="E2246">
        <v>12000</v>
      </c>
      <c r="F2246">
        <v>190000</v>
      </c>
      <c r="G2246">
        <v>190000</v>
      </c>
      <c r="H2246">
        <v>2</v>
      </c>
      <c r="I2246" t="s">
        <v>325</v>
      </c>
      <c r="J2246">
        <v>36.119999999999997</v>
      </c>
      <c r="K2246">
        <v>7</v>
      </c>
      <c r="L2246">
        <v>5</v>
      </c>
      <c r="M2246" t="s">
        <v>3022</v>
      </c>
      <c r="N2246">
        <v>2</v>
      </c>
      <c r="O2246">
        <v>7</v>
      </c>
      <c r="P2246">
        <v>144436.73000000001</v>
      </c>
      <c r="Q2246">
        <v>168453.81</v>
      </c>
      <c r="R2246">
        <v>648</v>
      </c>
      <c r="S2246">
        <v>788</v>
      </c>
      <c r="T2246" t="s">
        <v>26</v>
      </c>
      <c r="U2246" t="s">
        <v>31</v>
      </c>
    </row>
    <row r="2247" spans="1:21">
      <c r="A2247" t="s">
        <v>3529</v>
      </c>
      <c r="B2247" t="s">
        <v>3527</v>
      </c>
      <c r="C2247" t="s">
        <v>1228</v>
      </c>
      <c r="D2247">
        <v>192000</v>
      </c>
      <c r="E2247">
        <v>12000</v>
      </c>
      <c r="F2247">
        <v>192000</v>
      </c>
      <c r="G2247">
        <v>192000</v>
      </c>
      <c r="H2247">
        <v>3</v>
      </c>
      <c r="I2247" t="s">
        <v>325</v>
      </c>
      <c r="J2247">
        <v>36.119999999999997</v>
      </c>
      <c r="K2247">
        <v>7</v>
      </c>
      <c r="L2247">
        <v>5</v>
      </c>
      <c r="M2247" t="s">
        <v>3022</v>
      </c>
      <c r="N2247">
        <v>2</v>
      </c>
      <c r="O2247">
        <v>7</v>
      </c>
      <c r="P2247">
        <v>144436.73000000001</v>
      </c>
      <c r="Q2247">
        <v>168453.81</v>
      </c>
      <c r="R2247">
        <v>648</v>
      </c>
      <c r="S2247">
        <v>788</v>
      </c>
      <c r="T2247" t="s">
        <v>26</v>
      </c>
      <c r="U2247" t="s">
        <v>31</v>
      </c>
    </row>
    <row r="2248" spans="1:21">
      <c r="A2248" t="s">
        <v>3530</v>
      </c>
      <c r="B2248" t="s">
        <v>3527</v>
      </c>
      <c r="C2248" t="s">
        <v>1228</v>
      </c>
      <c r="D2248">
        <v>196000</v>
      </c>
      <c r="E2248">
        <v>12000</v>
      </c>
      <c r="F2248">
        <v>196000</v>
      </c>
      <c r="G2248">
        <v>196000</v>
      </c>
      <c r="H2248">
        <v>3</v>
      </c>
      <c r="I2248" t="s">
        <v>325</v>
      </c>
      <c r="J2248">
        <v>36.119999999999997</v>
      </c>
      <c r="K2248">
        <v>7</v>
      </c>
      <c r="L2248">
        <v>5</v>
      </c>
      <c r="M2248" t="s">
        <v>3022</v>
      </c>
      <c r="N2248">
        <v>2</v>
      </c>
      <c r="O2248">
        <v>7</v>
      </c>
      <c r="P2248">
        <v>144436.73000000001</v>
      </c>
      <c r="Q2248">
        <v>168453.81</v>
      </c>
      <c r="R2248">
        <v>648</v>
      </c>
      <c r="S2248">
        <v>788</v>
      </c>
      <c r="T2248" t="s">
        <v>26</v>
      </c>
      <c r="U2248" t="s">
        <v>31</v>
      </c>
    </row>
    <row r="2249" spans="1:21">
      <c r="A2249" t="s">
        <v>3531</v>
      </c>
      <c r="B2249" t="s">
        <v>3527</v>
      </c>
      <c r="C2249" t="s">
        <v>1228</v>
      </c>
      <c r="D2249">
        <v>192000</v>
      </c>
      <c r="E2249">
        <v>12000</v>
      </c>
      <c r="F2249">
        <v>192000</v>
      </c>
      <c r="G2249">
        <v>192000</v>
      </c>
      <c r="H2249">
        <v>5</v>
      </c>
      <c r="I2249" t="s">
        <v>325</v>
      </c>
      <c r="J2249">
        <v>36.119999999999997</v>
      </c>
      <c r="K2249">
        <v>7</v>
      </c>
      <c r="L2249">
        <v>5</v>
      </c>
      <c r="M2249" t="s">
        <v>3022</v>
      </c>
      <c r="N2249">
        <v>2</v>
      </c>
      <c r="O2249">
        <v>7</v>
      </c>
      <c r="P2249">
        <v>144436.73000000001</v>
      </c>
      <c r="Q2249">
        <v>168453.81</v>
      </c>
      <c r="R2249">
        <v>648</v>
      </c>
      <c r="S2249">
        <v>788</v>
      </c>
      <c r="T2249" t="s">
        <v>26</v>
      </c>
      <c r="U2249" t="s">
        <v>31</v>
      </c>
    </row>
    <row r="2250" spans="1:21">
      <c r="A2250" t="s">
        <v>3532</v>
      </c>
      <c r="B2250" t="s">
        <v>3533</v>
      </c>
      <c r="C2250" t="s">
        <v>3025</v>
      </c>
      <c r="D2250">
        <v>185000</v>
      </c>
      <c r="E2250">
        <v>9000</v>
      </c>
      <c r="F2250">
        <v>185000</v>
      </c>
      <c r="H2250">
        <v>1</v>
      </c>
      <c r="I2250" t="s">
        <v>325</v>
      </c>
      <c r="J2250">
        <v>38.630000000000003</v>
      </c>
      <c r="K2250">
        <v>3</v>
      </c>
      <c r="L2250">
        <v>5</v>
      </c>
      <c r="M2250" t="s">
        <v>3022</v>
      </c>
      <c r="N2250">
        <v>6</v>
      </c>
      <c r="O2250">
        <v>10.33</v>
      </c>
      <c r="P2250">
        <v>144436.73000000001</v>
      </c>
      <c r="Q2250">
        <v>168453.81</v>
      </c>
      <c r="R2250">
        <v>648</v>
      </c>
      <c r="S2250">
        <v>788</v>
      </c>
      <c r="T2250" t="s">
        <v>26</v>
      </c>
      <c r="U2250" t="s">
        <v>31</v>
      </c>
    </row>
    <row r="2251" spans="1:21">
      <c r="A2251" t="s">
        <v>3534</v>
      </c>
      <c r="B2251" t="s">
        <v>3533</v>
      </c>
      <c r="C2251" t="s">
        <v>3025</v>
      </c>
      <c r="D2251">
        <v>190000</v>
      </c>
      <c r="E2251">
        <v>15000</v>
      </c>
      <c r="F2251">
        <v>190000</v>
      </c>
      <c r="H2251">
        <v>1</v>
      </c>
      <c r="I2251" t="s">
        <v>325</v>
      </c>
      <c r="J2251">
        <v>38.630000000000003</v>
      </c>
      <c r="K2251">
        <v>3</v>
      </c>
      <c r="L2251">
        <v>5</v>
      </c>
      <c r="M2251" t="s">
        <v>3022</v>
      </c>
      <c r="N2251">
        <v>6</v>
      </c>
      <c r="O2251">
        <v>10.33</v>
      </c>
      <c r="P2251">
        <v>144436.73000000001</v>
      </c>
      <c r="Q2251">
        <v>168453.81</v>
      </c>
      <c r="R2251">
        <v>648</v>
      </c>
      <c r="S2251">
        <v>788</v>
      </c>
      <c r="T2251" t="s">
        <v>26</v>
      </c>
      <c r="U2251" t="s">
        <v>31</v>
      </c>
    </row>
    <row r="2252" spans="1:21">
      <c r="A2252" t="s">
        <v>3535</v>
      </c>
      <c r="B2252" t="s">
        <v>3075</v>
      </c>
      <c r="C2252" t="s">
        <v>1294</v>
      </c>
      <c r="D2252">
        <v>191000</v>
      </c>
      <c r="E2252">
        <v>15000</v>
      </c>
      <c r="F2252">
        <v>191000</v>
      </c>
      <c r="H2252">
        <v>3</v>
      </c>
      <c r="I2252" t="s">
        <v>325</v>
      </c>
      <c r="J2252">
        <v>35.47</v>
      </c>
      <c r="K2252">
        <v>0</v>
      </c>
      <c r="L2252">
        <v>10</v>
      </c>
      <c r="M2252" t="s">
        <v>3022</v>
      </c>
      <c r="N2252">
        <v>11</v>
      </c>
      <c r="O2252">
        <v>11</v>
      </c>
      <c r="P2252">
        <v>144436.73000000001</v>
      </c>
      <c r="Q2252">
        <v>168453.81</v>
      </c>
      <c r="R2252">
        <v>648</v>
      </c>
      <c r="S2252">
        <v>788</v>
      </c>
      <c r="T2252" t="s">
        <v>26</v>
      </c>
      <c r="U2252" t="s">
        <v>81</v>
      </c>
    </row>
    <row r="2253" spans="1:21">
      <c r="A2253" t="s">
        <v>3536</v>
      </c>
      <c r="B2253" t="s">
        <v>3075</v>
      </c>
      <c r="C2253" t="s">
        <v>1294</v>
      </c>
      <c r="D2253">
        <v>197000</v>
      </c>
      <c r="E2253">
        <v>15000</v>
      </c>
      <c r="F2253">
        <v>197000</v>
      </c>
      <c r="H2253">
        <v>7</v>
      </c>
      <c r="I2253" t="s">
        <v>325</v>
      </c>
      <c r="J2253">
        <v>34.18</v>
      </c>
      <c r="K2253">
        <v>0</v>
      </c>
      <c r="L2253">
        <v>10</v>
      </c>
      <c r="M2253" t="s">
        <v>3022</v>
      </c>
      <c r="N2253">
        <v>11</v>
      </c>
      <c r="O2253">
        <v>11</v>
      </c>
      <c r="P2253">
        <v>144436.73000000001</v>
      </c>
      <c r="Q2253">
        <v>168453.81</v>
      </c>
      <c r="R2253">
        <v>648</v>
      </c>
      <c r="S2253">
        <v>788</v>
      </c>
      <c r="T2253" t="s">
        <v>26</v>
      </c>
      <c r="U2253" t="s">
        <v>81</v>
      </c>
    </row>
    <row r="2254" spans="1:21">
      <c r="A2254" t="s">
        <v>3537</v>
      </c>
      <c r="B2254" t="s">
        <v>3538</v>
      </c>
      <c r="C2254" t="s">
        <v>1768</v>
      </c>
      <c r="D2254">
        <v>130000</v>
      </c>
      <c r="E2254">
        <v>10000</v>
      </c>
      <c r="G2254">
        <v>130000</v>
      </c>
      <c r="H2254">
        <v>2</v>
      </c>
      <c r="I2254" t="s">
        <v>325</v>
      </c>
      <c r="J2254">
        <v>24.59</v>
      </c>
      <c r="K2254">
        <v>2</v>
      </c>
      <c r="L2254">
        <v>4</v>
      </c>
      <c r="M2254" t="s">
        <v>3022</v>
      </c>
      <c r="N2254">
        <v>8</v>
      </c>
      <c r="O2254">
        <v>9.67</v>
      </c>
      <c r="P2254">
        <v>144436.73000000001</v>
      </c>
      <c r="Q2254">
        <v>168453.81</v>
      </c>
      <c r="R2254">
        <v>648</v>
      </c>
      <c r="S2254">
        <v>788</v>
      </c>
      <c r="T2254" t="s">
        <v>34</v>
      </c>
      <c r="U2254" t="s">
        <v>31</v>
      </c>
    </row>
    <row r="2255" spans="1:21">
      <c r="A2255" t="s">
        <v>3539</v>
      </c>
      <c r="B2255" t="s">
        <v>3540</v>
      </c>
      <c r="C2255" t="s">
        <v>1890</v>
      </c>
      <c r="D2255">
        <v>156000</v>
      </c>
      <c r="F2255">
        <v>156000</v>
      </c>
      <c r="G2255">
        <v>156000</v>
      </c>
      <c r="H2255">
        <v>1</v>
      </c>
      <c r="I2255" t="s">
        <v>325</v>
      </c>
      <c r="J2255">
        <v>49.15</v>
      </c>
      <c r="K2255">
        <v>0</v>
      </c>
      <c r="L2255">
        <v>2</v>
      </c>
      <c r="M2255" t="s">
        <v>3022</v>
      </c>
      <c r="N2255">
        <v>11</v>
      </c>
      <c r="O2255">
        <v>12.33</v>
      </c>
      <c r="P2255">
        <v>144436.73000000001</v>
      </c>
      <c r="Q2255">
        <v>168453.81</v>
      </c>
      <c r="R2255">
        <v>648</v>
      </c>
      <c r="S2255">
        <v>788</v>
      </c>
      <c r="T2255" t="s">
        <v>326</v>
      </c>
      <c r="U2255" t="s">
        <v>81</v>
      </c>
    </row>
    <row r="2256" spans="1:21">
      <c r="A2256" t="s">
        <v>3541</v>
      </c>
      <c r="B2256" t="s">
        <v>3540</v>
      </c>
      <c r="C2256" t="s">
        <v>1890</v>
      </c>
      <c r="D2256">
        <v>156000</v>
      </c>
      <c r="F2256">
        <v>156000</v>
      </c>
      <c r="G2256">
        <v>156000</v>
      </c>
      <c r="H2256">
        <v>1</v>
      </c>
      <c r="I2256" t="s">
        <v>325</v>
      </c>
      <c r="J2256">
        <v>51.02</v>
      </c>
      <c r="K2256">
        <v>0</v>
      </c>
      <c r="L2256">
        <v>2</v>
      </c>
      <c r="M2256" t="s">
        <v>3022</v>
      </c>
      <c r="N2256">
        <v>11</v>
      </c>
      <c r="O2256">
        <v>12.33</v>
      </c>
      <c r="P2256">
        <v>144436.73000000001</v>
      </c>
      <c r="Q2256">
        <v>168453.81</v>
      </c>
      <c r="R2256">
        <v>648</v>
      </c>
      <c r="S2256">
        <v>788</v>
      </c>
      <c r="T2256" t="s">
        <v>332</v>
      </c>
      <c r="U2256" t="s">
        <v>81</v>
      </c>
    </row>
    <row r="2257" spans="1:21">
      <c r="A2257" t="s">
        <v>3542</v>
      </c>
      <c r="B2257" t="s">
        <v>3543</v>
      </c>
      <c r="C2257" t="s">
        <v>1228</v>
      </c>
      <c r="D2257">
        <v>85000</v>
      </c>
      <c r="E2257">
        <v>4400</v>
      </c>
      <c r="F2257">
        <v>170000</v>
      </c>
      <c r="G2257">
        <v>85000</v>
      </c>
      <c r="H2257">
        <v>4</v>
      </c>
      <c r="I2257" t="s">
        <v>325</v>
      </c>
      <c r="J2257">
        <v>25</v>
      </c>
      <c r="K2257">
        <v>28</v>
      </c>
      <c r="L2257">
        <v>5</v>
      </c>
      <c r="M2257" t="s">
        <v>3022</v>
      </c>
      <c r="N2257">
        <v>1</v>
      </c>
      <c r="O2257">
        <v>10</v>
      </c>
      <c r="P2257">
        <v>144436.73000000001</v>
      </c>
      <c r="Q2257">
        <v>168453.81</v>
      </c>
      <c r="R2257">
        <v>648</v>
      </c>
      <c r="S2257">
        <v>788</v>
      </c>
      <c r="T2257" t="s">
        <v>34</v>
      </c>
      <c r="U2257" t="s">
        <v>27</v>
      </c>
    </row>
    <row r="2258" spans="1:21">
      <c r="A2258" t="s">
        <v>3544</v>
      </c>
      <c r="B2258" t="s">
        <v>3545</v>
      </c>
      <c r="C2258" t="s">
        <v>1890</v>
      </c>
      <c r="D2258">
        <v>115000</v>
      </c>
      <c r="F2258">
        <v>115000</v>
      </c>
      <c r="G2258">
        <v>115000</v>
      </c>
      <c r="H2258">
        <v>1</v>
      </c>
      <c r="I2258" t="s">
        <v>325</v>
      </c>
      <c r="J2258">
        <v>44.71</v>
      </c>
      <c r="K2258">
        <v>33</v>
      </c>
      <c r="L2258">
        <v>2</v>
      </c>
      <c r="M2258" t="s">
        <v>3022</v>
      </c>
      <c r="N2258">
        <v>10</v>
      </c>
      <c r="O2258">
        <v>11</v>
      </c>
      <c r="P2258">
        <v>144436.73000000001</v>
      </c>
      <c r="Q2258">
        <v>168453.81</v>
      </c>
      <c r="R2258">
        <v>648</v>
      </c>
      <c r="S2258">
        <v>788</v>
      </c>
      <c r="T2258" t="s">
        <v>326</v>
      </c>
      <c r="U2258" t="s">
        <v>49</v>
      </c>
    </row>
    <row r="2259" spans="1:21">
      <c r="A2259" t="s">
        <v>3546</v>
      </c>
      <c r="B2259" t="s">
        <v>3547</v>
      </c>
      <c r="C2259" t="s">
        <v>3059</v>
      </c>
      <c r="D2259">
        <v>134000</v>
      </c>
      <c r="E2259">
        <v>3000</v>
      </c>
      <c r="F2259">
        <v>268000</v>
      </c>
      <c r="H2259">
        <v>3</v>
      </c>
      <c r="I2259" t="s">
        <v>325</v>
      </c>
      <c r="J2259">
        <v>52.23</v>
      </c>
      <c r="K2259">
        <v>14</v>
      </c>
      <c r="L2259">
        <v>3</v>
      </c>
      <c r="M2259" t="s">
        <v>3022</v>
      </c>
      <c r="N2259">
        <v>2</v>
      </c>
      <c r="O2259">
        <v>5.33</v>
      </c>
      <c r="P2259">
        <v>144436.73000000001</v>
      </c>
      <c r="Q2259">
        <v>168453.81</v>
      </c>
      <c r="R2259">
        <v>648</v>
      </c>
      <c r="S2259">
        <v>788</v>
      </c>
      <c r="T2259" t="s">
        <v>332</v>
      </c>
      <c r="U2259" t="s">
        <v>90</v>
      </c>
    </row>
    <row r="2260" spans="1:21">
      <c r="A2260" t="s">
        <v>3548</v>
      </c>
      <c r="B2260" t="s">
        <v>3549</v>
      </c>
      <c r="C2260" t="s">
        <v>1231</v>
      </c>
      <c r="D2260">
        <v>155000</v>
      </c>
      <c r="E2260">
        <v>7000</v>
      </c>
      <c r="G2260">
        <v>310000</v>
      </c>
      <c r="H2260">
        <v>2</v>
      </c>
      <c r="I2260" t="s">
        <v>325</v>
      </c>
      <c r="J2260">
        <v>43.68</v>
      </c>
      <c r="K2260">
        <v>12</v>
      </c>
      <c r="L2260">
        <v>2</v>
      </c>
      <c r="M2260" t="s">
        <v>3022</v>
      </c>
      <c r="N2260">
        <v>8</v>
      </c>
      <c r="O2260">
        <v>11.67</v>
      </c>
      <c r="P2260">
        <v>144436.73000000001</v>
      </c>
      <c r="Q2260">
        <v>168453.81</v>
      </c>
      <c r="R2260">
        <v>648</v>
      </c>
      <c r="S2260">
        <v>788</v>
      </c>
      <c r="T2260" t="s">
        <v>326</v>
      </c>
      <c r="U2260" t="s">
        <v>90</v>
      </c>
    </row>
    <row r="2261" spans="1:21">
      <c r="A2261" t="s">
        <v>3550</v>
      </c>
      <c r="B2261" t="s">
        <v>3551</v>
      </c>
      <c r="C2261" t="s">
        <v>1890</v>
      </c>
      <c r="D2261">
        <v>164000</v>
      </c>
      <c r="E2261">
        <v>4400</v>
      </c>
      <c r="G2261">
        <v>328000</v>
      </c>
      <c r="H2261">
        <v>1</v>
      </c>
      <c r="I2261" t="s">
        <v>325</v>
      </c>
      <c r="J2261">
        <v>42.8</v>
      </c>
      <c r="K2261">
        <v>0</v>
      </c>
      <c r="L2261">
        <v>2</v>
      </c>
      <c r="M2261" t="s">
        <v>3022</v>
      </c>
      <c r="N2261">
        <v>13</v>
      </c>
      <c r="O2261">
        <v>13.67</v>
      </c>
      <c r="P2261">
        <v>144436.73000000001</v>
      </c>
      <c r="Q2261">
        <v>168453.81</v>
      </c>
      <c r="R2261">
        <v>648</v>
      </c>
      <c r="S2261">
        <v>788</v>
      </c>
      <c r="T2261" t="s">
        <v>326</v>
      </c>
      <c r="U2261" t="s">
        <v>81</v>
      </c>
    </row>
    <row r="2262" spans="1:21">
      <c r="A2262" t="s">
        <v>3552</v>
      </c>
      <c r="B2262" t="s">
        <v>3097</v>
      </c>
      <c r="C2262" t="s">
        <v>1228</v>
      </c>
      <c r="D2262">
        <v>221000</v>
      </c>
      <c r="E2262">
        <v>13000</v>
      </c>
      <c r="F2262">
        <v>221000</v>
      </c>
      <c r="G2262">
        <v>331500</v>
      </c>
      <c r="H2262">
        <v>10</v>
      </c>
      <c r="I2262" t="s">
        <v>325</v>
      </c>
      <c r="J2262">
        <v>47.74</v>
      </c>
      <c r="K2262">
        <v>17</v>
      </c>
      <c r="L2262">
        <v>10</v>
      </c>
      <c r="M2262" t="s">
        <v>3022</v>
      </c>
      <c r="N2262">
        <v>5</v>
      </c>
      <c r="O2262">
        <v>9.67</v>
      </c>
      <c r="P2262">
        <v>144436.73000000001</v>
      </c>
      <c r="Q2262">
        <v>168453.81</v>
      </c>
      <c r="R2262">
        <v>648</v>
      </c>
      <c r="S2262">
        <v>788</v>
      </c>
      <c r="T2262" t="s">
        <v>326</v>
      </c>
      <c r="U2262" t="s">
        <v>90</v>
      </c>
    </row>
    <row r="2263" spans="1:21">
      <c r="A2263" t="s">
        <v>3553</v>
      </c>
      <c r="B2263" t="s">
        <v>3097</v>
      </c>
      <c r="C2263" t="s">
        <v>1228</v>
      </c>
      <c r="D2263">
        <v>225000</v>
      </c>
      <c r="E2263">
        <v>13000</v>
      </c>
      <c r="F2263">
        <v>225000</v>
      </c>
      <c r="H2263">
        <v>1</v>
      </c>
      <c r="I2263" t="s">
        <v>325</v>
      </c>
      <c r="J2263">
        <v>51.14</v>
      </c>
      <c r="K2263">
        <v>17</v>
      </c>
      <c r="L2263">
        <v>10</v>
      </c>
      <c r="M2263" t="s">
        <v>3022</v>
      </c>
      <c r="N2263">
        <v>5</v>
      </c>
      <c r="O2263">
        <v>9.67</v>
      </c>
      <c r="P2263">
        <v>144436.73000000001</v>
      </c>
      <c r="Q2263">
        <v>168453.81</v>
      </c>
      <c r="R2263">
        <v>648</v>
      </c>
      <c r="S2263">
        <v>788</v>
      </c>
      <c r="T2263" t="s">
        <v>332</v>
      </c>
      <c r="U2263" t="s">
        <v>90</v>
      </c>
    </row>
    <row r="2264" spans="1:21">
      <c r="A2264" t="s">
        <v>3554</v>
      </c>
      <c r="B2264" t="s">
        <v>3099</v>
      </c>
      <c r="C2264" t="s">
        <v>1294</v>
      </c>
      <c r="D2264">
        <v>135000</v>
      </c>
      <c r="E2264">
        <v>15000</v>
      </c>
      <c r="F2264">
        <v>135000</v>
      </c>
      <c r="G2264">
        <v>135000</v>
      </c>
      <c r="H2264">
        <v>4</v>
      </c>
      <c r="I2264" t="s">
        <v>325</v>
      </c>
      <c r="J2264">
        <v>30.42</v>
      </c>
      <c r="K2264">
        <v>5</v>
      </c>
      <c r="L2264">
        <v>10</v>
      </c>
      <c r="M2264" t="s">
        <v>3022</v>
      </c>
      <c r="N2264">
        <v>10</v>
      </c>
      <c r="O2264">
        <v>11.67</v>
      </c>
      <c r="P2264">
        <v>144436.73000000001</v>
      </c>
      <c r="Q2264">
        <v>168453.81</v>
      </c>
      <c r="R2264">
        <v>648</v>
      </c>
      <c r="S2264">
        <v>788</v>
      </c>
      <c r="T2264" t="s">
        <v>26</v>
      </c>
      <c r="U2264" t="s">
        <v>31</v>
      </c>
    </row>
    <row r="2265" spans="1:21">
      <c r="A2265" t="s">
        <v>3555</v>
      </c>
      <c r="B2265" t="s">
        <v>3103</v>
      </c>
      <c r="C2265" t="s">
        <v>1768</v>
      </c>
      <c r="D2265">
        <v>167000</v>
      </c>
      <c r="E2265">
        <v>10000</v>
      </c>
      <c r="F2265">
        <v>167000</v>
      </c>
      <c r="H2265">
        <v>6</v>
      </c>
      <c r="I2265" t="s">
        <v>325</v>
      </c>
      <c r="J2265">
        <v>30.26</v>
      </c>
      <c r="K2265">
        <v>2</v>
      </c>
      <c r="L2265">
        <v>13</v>
      </c>
      <c r="M2265" t="s">
        <v>3022</v>
      </c>
      <c r="N2265">
        <v>9</v>
      </c>
      <c r="O2265">
        <v>11.33</v>
      </c>
      <c r="P2265">
        <v>144436.73000000001</v>
      </c>
      <c r="Q2265">
        <v>168453.81</v>
      </c>
      <c r="R2265">
        <v>648</v>
      </c>
      <c r="S2265">
        <v>788</v>
      </c>
      <c r="T2265" t="s">
        <v>26</v>
      </c>
      <c r="U2265" t="s">
        <v>31</v>
      </c>
    </row>
    <row r="2266" spans="1:21">
      <c r="A2266" t="s">
        <v>3556</v>
      </c>
      <c r="B2266" t="s">
        <v>3557</v>
      </c>
      <c r="C2266" t="s">
        <v>1228</v>
      </c>
      <c r="D2266">
        <v>290000</v>
      </c>
      <c r="E2266">
        <v>10000</v>
      </c>
      <c r="F2266">
        <v>290000</v>
      </c>
      <c r="G2266">
        <v>290000</v>
      </c>
      <c r="H2266">
        <v>12</v>
      </c>
      <c r="I2266" t="s">
        <v>325</v>
      </c>
      <c r="J2266">
        <v>55.9</v>
      </c>
      <c r="K2266">
        <v>16</v>
      </c>
      <c r="L2266">
        <v>15</v>
      </c>
      <c r="M2266" t="s">
        <v>3022</v>
      </c>
      <c r="N2266">
        <v>1</v>
      </c>
      <c r="O2266">
        <v>8.33</v>
      </c>
      <c r="P2266">
        <v>144436.73000000001</v>
      </c>
      <c r="Q2266">
        <v>168453.81</v>
      </c>
      <c r="R2266">
        <v>648</v>
      </c>
      <c r="S2266">
        <v>788</v>
      </c>
      <c r="T2266" t="s">
        <v>332</v>
      </c>
      <c r="U2266" t="s">
        <v>90</v>
      </c>
    </row>
    <row r="2267" spans="1:21">
      <c r="A2267" t="s">
        <v>3558</v>
      </c>
      <c r="B2267" t="s">
        <v>3559</v>
      </c>
      <c r="C2267" t="s">
        <v>1231</v>
      </c>
      <c r="D2267">
        <v>155000</v>
      </c>
      <c r="E2267">
        <v>7000</v>
      </c>
      <c r="G2267">
        <v>310000</v>
      </c>
      <c r="H2267">
        <v>2</v>
      </c>
      <c r="I2267" t="s">
        <v>325</v>
      </c>
      <c r="J2267">
        <v>43.68</v>
      </c>
      <c r="K2267">
        <v>12</v>
      </c>
      <c r="L2267">
        <v>2</v>
      </c>
      <c r="M2267" t="s">
        <v>3022</v>
      </c>
      <c r="N2267">
        <v>8</v>
      </c>
      <c r="O2267">
        <v>12</v>
      </c>
      <c r="P2267">
        <v>144436.73000000001</v>
      </c>
      <c r="Q2267">
        <v>168453.81</v>
      </c>
      <c r="R2267">
        <v>648</v>
      </c>
      <c r="S2267">
        <v>788</v>
      </c>
      <c r="T2267" t="s">
        <v>326</v>
      </c>
      <c r="U2267" t="s">
        <v>90</v>
      </c>
    </row>
    <row r="2268" spans="1:21">
      <c r="A2268" t="s">
        <v>3560</v>
      </c>
      <c r="B2268" t="s">
        <v>3561</v>
      </c>
      <c r="C2268" t="s">
        <v>1228</v>
      </c>
      <c r="D2268">
        <v>137000</v>
      </c>
      <c r="E2268">
        <v>2000</v>
      </c>
      <c r="F2268">
        <v>137000</v>
      </c>
      <c r="G2268">
        <v>137000</v>
      </c>
      <c r="H2268">
        <v>1</v>
      </c>
      <c r="I2268" t="s">
        <v>325</v>
      </c>
      <c r="J2268">
        <v>35.19</v>
      </c>
      <c r="K2268">
        <v>7</v>
      </c>
      <c r="L2268">
        <v>2</v>
      </c>
      <c r="M2268" t="s">
        <v>3022</v>
      </c>
      <c r="N2268">
        <v>5</v>
      </c>
      <c r="O2268">
        <v>10</v>
      </c>
      <c r="P2268">
        <v>144436.73000000001</v>
      </c>
      <c r="Q2268">
        <v>168453.81</v>
      </c>
      <c r="R2268">
        <v>648</v>
      </c>
      <c r="S2268">
        <v>788</v>
      </c>
      <c r="T2268" t="s">
        <v>26</v>
      </c>
      <c r="U2268" t="s">
        <v>31</v>
      </c>
    </row>
    <row r="2269" spans="1:21">
      <c r="A2269" t="s">
        <v>3562</v>
      </c>
      <c r="B2269" t="s">
        <v>3563</v>
      </c>
      <c r="C2269" t="s">
        <v>3195</v>
      </c>
      <c r="D2269">
        <v>185000</v>
      </c>
      <c r="E2269">
        <v>8000</v>
      </c>
      <c r="F2269">
        <v>185000</v>
      </c>
      <c r="G2269">
        <v>185000</v>
      </c>
      <c r="H2269">
        <v>2</v>
      </c>
      <c r="I2269" t="s">
        <v>325</v>
      </c>
      <c r="J2269">
        <v>42.75</v>
      </c>
      <c r="K2269">
        <v>11</v>
      </c>
      <c r="L2269">
        <v>3</v>
      </c>
      <c r="M2269" t="s">
        <v>3022</v>
      </c>
      <c r="N2269">
        <v>3</v>
      </c>
      <c r="O2269">
        <v>9.67</v>
      </c>
      <c r="P2269">
        <v>144436.73000000001</v>
      </c>
      <c r="Q2269">
        <v>168453.81</v>
      </c>
      <c r="R2269">
        <v>648</v>
      </c>
      <c r="S2269">
        <v>788</v>
      </c>
      <c r="T2269" t="s">
        <v>326</v>
      </c>
      <c r="U2269" t="s">
        <v>90</v>
      </c>
    </row>
    <row r="2270" spans="1:21">
      <c r="A2270" t="s">
        <v>3564</v>
      </c>
      <c r="B2270" t="s">
        <v>3563</v>
      </c>
      <c r="C2270" t="s">
        <v>3195</v>
      </c>
      <c r="D2270">
        <v>150000</v>
      </c>
      <c r="E2270">
        <v>5000</v>
      </c>
      <c r="F2270">
        <v>75000</v>
      </c>
      <c r="G2270">
        <v>225000</v>
      </c>
      <c r="H2270">
        <v>3</v>
      </c>
      <c r="I2270" t="s">
        <v>325</v>
      </c>
      <c r="J2270">
        <v>37.89</v>
      </c>
      <c r="K2270">
        <v>11</v>
      </c>
      <c r="L2270">
        <v>3</v>
      </c>
      <c r="M2270" t="s">
        <v>3022</v>
      </c>
      <c r="N2270">
        <v>2</v>
      </c>
      <c r="O2270">
        <v>3</v>
      </c>
      <c r="P2270">
        <v>144436.73000000001</v>
      </c>
      <c r="Q2270">
        <v>168453.81</v>
      </c>
      <c r="R2270">
        <v>648</v>
      </c>
      <c r="S2270">
        <v>788</v>
      </c>
      <c r="T2270" t="s">
        <v>26</v>
      </c>
      <c r="U2270" t="s">
        <v>90</v>
      </c>
    </row>
    <row r="2271" spans="1:21">
      <c r="A2271" t="s">
        <v>3565</v>
      </c>
      <c r="B2271" t="s">
        <v>3566</v>
      </c>
      <c r="C2271" t="s">
        <v>1768</v>
      </c>
      <c r="D2271">
        <v>100000</v>
      </c>
      <c r="F2271">
        <v>100000</v>
      </c>
      <c r="G2271">
        <v>100000</v>
      </c>
      <c r="H2271">
        <v>2</v>
      </c>
      <c r="I2271" t="s">
        <v>325</v>
      </c>
      <c r="J2271">
        <v>33</v>
      </c>
      <c r="K2271">
        <v>44</v>
      </c>
      <c r="L2271">
        <v>3</v>
      </c>
      <c r="M2271" t="s">
        <v>3022</v>
      </c>
      <c r="N2271">
        <v>8</v>
      </c>
      <c r="O2271">
        <v>9.33</v>
      </c>
      <c r="P2271">
        <v>144436.73000000001</v>
      </c>
      <c r="Q2271">
        <v>168453.81</v>
      </c>
      <c r="R2271">
        <v>648</v>
      </c>
      <c r="S2271">
        <v>788</v>
      </c>
      <c r="T2271" t="s">
        <v>26</v>
      </c>
      <c r="U2271" t="s">
        <v>42</v>
      </c>
    </row>
    <row r="2272" spans="1:21">
      <c r="A2272" t="s">
        <v>3567</v>
      </c>
      <c r="B2272" t="s">
        <v>3107</v>
      </c>
      <c r="C2272" t="s">
        <v>1773</v>
      </c>
      <c r="D2272">
        <v>154000</v>
      </c>
      <c r="E2272">
        <v>12000</v>
      </c>
      <c r="H2272">
        <v>3</v>
      </c>
      <c r="I2272" t="s">
        <v>325</v>
      </c>
      <c r="J2272">
        <v>31.04</v>
      </c>
      <c r="K2272">
        <v>0</v>
      </c>
      <c r="L2272">
        <v>4</v>
      </c>
      <c r="M2272" t="s">
        <v>3022</v>
      </c>
      <c r="N2272">
        <v>9</v>
      </c>
      <c r="O2272">
        <v>12.67</v>
      </c>
      <c r="P2272">
        <v>144436.73000000001</v>
      </c>
      <c r="Q2272">
        <v>168453.81</v>
      </c>
      <c r="R2272">
        <v>648</v>
      </c>
      <c r="S2272">
        <v>788</v>
      </c>
      <c r="T2272" t="s">
        <v>26</v>
      </c>
      <c r="U2272" t="s">
        <v>81</v>
      </c>
    </row>
    <row r="2273" spans="1:21">
      <c r="A2273" t="s">
        <v>3568</v>
      </c>
      <c r="B2273" t="s">
        <v>3569</v>
      </c>
      <c r="C2273" t="s">
        <v>1768</v>
      </c>
      <c r="D2273">
        <v>130000</v>
      </c>
      <c r="E2273">
        <v>10000</v>
      </c>
      <c r="H2273">
        <v>2</v>
      </c>
      <c r="I2273" t="s">
        <v>325</v>
      </c>
      <c r="J2273">
        <v>24.59</v>
      </c>
      <c r="K2273">
        <v>2</v>
      </c>
      <c r="L2273">
        <v>4</v>
      </c>
      <c r="M2273" t="s">
        <v>3022</v>
      </c>
      <c r="N2273">
        <v>8</v>
      </c>
      <c r="O2273">
        <v>9.67</v>
      </c>
      <c r="P2273">
        <v>144436.73000000001</v>
      </c>
      <c r="Q2273">
        <v>168453.81</v>
      </c>
      <c r="R2273">
        <v>648</v>
      </c>
      <c r="S2273">
        <v>788</v>
      </c>
      <c r="T2273" t="s">
        <v>34</v>
      </c>
      <c r="U2273" t="s">
        <v>31</v>
      </c>
    </row>
    <row r="2274" spans="1:21">
      <c r="A2274" t="s">
        <v>3570</v>
      </c>
      <c r="B2274" t="s">
        <v>3395</v>
      </c>
      <c r="C2274" t="s">
        <v>3059</v>
      </c>
      <c r="D2274">
        <v>125000</v>
      </c>
      <c r="E2274">
        <v>5000</v>
      </c>
      <c r="F2274">
        <v>125000</v>
      </c>
      <c r="G2274">
        <v>125000</v>
      </c>
      <c r="H2274">
        <v>4</v>
      </c>
      <c r="I2274" t="s">
        <v>325</v>
      </c>
      <c r="J2274">
        <v>43.96</v>
      </c>
      <c r="K2274">
        <v>38</v>
      </c>
      <c r="L2274">
        <v>4</v>
      </c>
      <c r="M2274" t="s">
        <v>3022</v>
      </c>
      <c r="N2274">
        <v>2</v>
      </c>
      <c r="O2274">
        <v>3.67</v>
      </c>
      <c r="P2274">
        <v>144436.73000000001</v>
      </c>
      <c r="Q2274">
        <v>168453.81</v>
      </c>
      <c r="R2274">
        <v>648</v>
      </c>
      <c r="S2274">
        <v>788</v>
      </c>
      <c r="T2274" t="s">
        <v>326</v>
      </c>
      <c r="U2274" t="s">
        <v>49</v>
      </c>
    </row>
    <row r="2275" spans="1:21">
      <c r="A2275" t="s">
        <v>3571</v>
      </c>
      <c r="B2275" t="s">
        <v>3572</v>
      </c>
      <c r="C2275" t="s">
        <v>3025</v>
      </c>
      <c r="D2275">
        <v>95000</v>
      </c>
      <c r="E2275">
        <v>3000</v>
      </c>
      <c r="F2275">
        <v>95000</v>
      </c>
      <c r="G2275">
        <v>95000</v>
      </c>
      <c r="H2275">
        <v>1</v>
      </c>
      <c r="I2275" t="s">
        <v>325</v>
      </c>
      <c r="J2275">
        <v>35.380000000000003</v>
      </c>
      <c r="K2275">
        <v>52</v>
      </c>
      <c r="L2275">
        <v>5</v>
      </c>
      <c r="M2275" t="s">
        <v>3022</v>
      </c>
      <c r="N2275">
        <v>8</v>
      </c>
      <c r="O2275">
        <v>10.33</v>
      </c>
      <c r="P2275">
        <v>144436.73000000001</v>
      </c>
      <c r="Q2275">
        <v>168453.81</v>
      </c>
      <c r="R2275">
        <v>648</v>
      </c>
      <c r="S2275">
        <v>788</v>
      </c>
      <c r="T2275" t="s">
        <v>26</v>
      </c>
      <c r="U2275" t="s">
        <v>57</v>
      </c>
    </row>
    <row r="2276" spans="1:21">
      <c r="A2276" t="s">
        <v>3573</v>
      </c>
      <c r="B2276" t="s">
        <v>3574</v>
      </c>
      <c r="C2276" t="s">
        <v>1228</v>
      </c>
      <c r="D2276">
        <v>192000</v>
      </c>
      <c r="E2276">
        <v>12000</v>
      </c>
      <c r="F2276">
        <v>192000</v>
      </c>
      <c r="G2276">
        <v>192000</v>
      </c>
      <c r="H2276">
        <v>2</v>
      </c>
      <c r="I2276" t="s">
        <v>325</v>
      </c>
      <c r="J2276">
        <v>36.119999999999997</v>
      </c>
      <c r="K2276">
        <v>7</v>
      </c>
      <c r="L2276">
        <v>5</v>
      </c>
      <c r="M2276" t="s">
        <v>3022</v>
      </c>
      <c r="N2276">
        <v>3</v>
      </c>
      <c r="O2276">
        <v>7.67</v>
      </c>
      <c r="P2276">
        <v>144436.73000000001</v>
      </c>
      <c r="Q2276">
        <v>168453.81</v>
      </c>
      <c r="R2276">
        <v>648</v>
      </c>
      <c r="S2276">
        <v>788</v>
      </c>
      <c r="T2276" t="s">
        <v>26</v>
      </c>
      <c r="U2276" t="s">
        <v>31</v>
      </c>
    </row>
    <row r="2277" spans="1:21">
      <c r="A2277" t="s">
        <v>3575</v>
      </c>
      <c r="B2277" t="s">
        <v>3574</v>
      </c>
      <c r="C2277" t="s">
        <v>1228</v>
      </c>
      <c r="D2277">
        <v>190000</v>
      </c>
      <c r="E2277">
        <v>12000</v>
      </c>
      <c r="F2277">
        <v>190000</v>
      </c>
      <c r="G2277">
        <v>190000</v>
      </c>
      <c r="H2277">
        <v>2</v>
      </c>
      <c r="I2277" t="s">
        <v>325</v>
      </c>
      <c r="J2277">
        <v>36.119999999999997</v>
      </c>
      <c r="K2277">
        <v>7</v>
      </c>
      <c r="L2277">
        <v>5</v>
      </c>
      <c r="M2277" t="s">
        <v>3022</v>
      </c>
      <c r="N2277">
        <v>3</v>
      </c>
      <c r="O2277">
        <v>7.67</v>
      </c>
      <c r="P2277">
        <v>144436.73000000001</v>
      </c>
      <c r="Q2277">
        <v>168453.81</v>
      </c>
      <c r="R2277">
        <v>648</v>
      </c>
      <c r="S2277">
        <v>788</v>
      </c>
      <c r="T2277" t="s">
        <v>26</v>
      </c>
      <c r="U2277" t="s">
        <v>31</v>
      </c>
    </row>
    <row r="2278" spans="1:21">
      <c r="A2278" t="s">
        <v>3576</v>
      </c>
      <c r="B2278" t="s">
        <v>3574</v>
      </c>
      <c r="C2278" t="s">
        <v>1228</v>
      </c>
      <c r="D2278">
        <v>192000</v>
      </c>
      <c r="E2278">
        <v>12000</v>
      </c>
      <c r="F2278">
        <v>192000</v>
      </c>
      <c r="G2278">
        <v>192000</v>
      </c>
      <c r="H2278">
        <v>3</v>
      </c>
      <c r="I2278" t="s">
        <v>325</v>
      </c>
      <c r="J2278">
        <v>36.119999999999997</v>
      </c>
      <c r="K2278">
        <v>7</v>
      </c>
      <c r="L2278">
        <v>5</v>
      </c>
      <c r="M2278" t="s">
        <v>3022</v>
      </c>
      <c r="N2278">
        <v>3</v>
      </c>
      <c r="O2278">
        <v>7.67</v>
      </c>
      <c r="P2278">
        <v>144436.73000000001</v>
      </c>
      <c r="Q2278">
        <v>168453.81</v>
      </c>
      <c r="R2278">
        <v>648</v>
      </c>
      <c r="S2278">
        <v>788</v>
      </c>
      <c r="T2278" t="s">
        <v>26</v>
      </c>
      <c r="U2278" t="s">
        <v>31</v>
      </c>
    </row>
    <row r="2279" spans="1:21">
      <c r="A2279" t="s">
        <v>3577</v>
      </c>
      <c r="B2279" t="s">
        <v>3574</v>
      </c>
      <c r="C2279" t="s">
        <v>1228</v>
      </c>
      <c r="D2279">
        <v>196000</v>
      </c>
      <c r="E2279">
        <v>12000</v>
      </c>
      <c r="F2279">
        <v>196000</v>
      </c>
      <c r="G2279">
        <v>196000</v>
      </c>
      <c r="H2279">
        <v>3</v>
      </c>
      <c r="I2279" t="s">
        <v>325</v>
      </c>
      <c r="J2279">
        <v>36.119999999999997</v>
      </c>
      <c r="K2279">
        <v>7</v>
      </c>
      <c r="L2279">
        <v>5</v>
      </c>
      <c r="M2279" t="s">
        <v>3022</v>
      </c>
      <c r="N2279">
        <v>3</v>
      </c>
      <c r="O2279">
        <v>7.67</v>
      </c>
      <c r="P2279">
        <v>144436.73000000001</v>
      </c>
      <c r="Q2279">
        <v>168453.81</v>
      </c>
      <c r="R2279">
        <v>648</v>
      </c>
      <c r="S2279">
        <v>788</v>
      </c>
      <c r="T2279" t="s">
        <v>26</v>
      </c>
      <c r="U2279" t="s">
        <v>31</v>
      </c>
    </row>
    <row r="2280" spans="1:21">
      <c r="A2280" t="s">
        <v>3578</v>
      </c>
      <c r="B2280" t="s">
        <v>3579</v>
      </c>
      <c r="C2280" t="s">
        <v>1768</v>
      </c>
      <c r="D2280">
        <v>168000</v>
      </c>
      <c r="E2280">
        <v>11000</v>
      </c>
      <c r="F2280">
        <v>168000</v>
      </c>
      <c r="G2280">
        <v>168000</v>
      </c>
      <c r="H2280">
        <v>3</v>
      </c>
      <c r="I2280" t="s">
        <v>325</v>
      </c>
      <c r="J2280">
        <v>39.78</v>
      </c>
      <c r="K2280">
        <v>19</v>
      </c>
      <c r="L2280">
        <v>7</v>
      </c>
      <c r="M2280" t="s">
        <v>3022</v>
      </c>
      <c r="N2280">
        <v>7</v>
      </c>
      <c r="O2280">
        <v>10.33</v>
      </c>
      <c r="P2280">
        <v>144436.73000000001</v>
      </c>
      <c r="Q2280">
        <v>168453.81</v>
      </c>
      <c r="R2280">
        <v>648</v>
      </c>
      <c r="S2280">
        <v>788</v>
      </c>
      <c r="T2280" t="s">
        <v>26</v>
      </c>
      <c r="U2280" t="s">
        <v>90</v>
      </c>
    </row>
    <row r="2281" spans="1:21">
      <c r="A2281" t="s">
        <v>3580</v>
      </c>
      <c r="B2281" t="s">
        <v>3581</v>
      </c>
      <c r="C2281" t="s">
        <v>1231</v>
      </c>
      <c r="D2281">
        <v>174000</v>
      </c>
      <c r="E2281">
        <v>10000</v>
      </c>
      <c r="F2281">
        <v>174000</v>
      </c>
      <c r="G2281">
        <v>174000</v>
      </c>
      <c r="H2281">
        <v>9</v>
      </c>
      <c r="I2281" t="s">
        <v>325</v>
      </c>
      <c r="J2281">
        <v>31.52</v>
      </c>
      <c r="K2281">
        <v>8</v>
      </c>
      <c r="L2281">
        <v>9</v>
      </c>
      <c r="M2281" t="s">
        <v>3022</v>
      </c>
      <c r="N2281">
        <v>7</v>
      </c>
      <c r="O2281">
        <v>9.67</v>
      </c>
      <c r="P2281">
        <v>144436.73000000001</v>
      </c>
      <c r="Q2281">
        <v>168453.81</v>
      </c>
      <c r="R2281">
        <v>648</v>
      </c>
      <c r="S2281">
        <v>788</v>
      </c>
      <c r="T2281" t="s">
        <v>26</v>
      </c>
      <c r="U2281" t="s">
        <v>31</v>
      </c>
    </row>
    <row r="2282" spans="1:21">
      <c r="A2282" t="s">
        <v>3582</v>
      </c>
      <c r="B2282" t="s">
        <v>3583</v>
      </c>
      <c r="C2282" t="s">
        <v>3025</v>
      </c>
      <c r="D2282">
        <v>210000</v>
      </c>
      <c r="F2282">
        <v>210000</v>
      </c>
      <c r="G2282">
        <v>210000</v>
      </c>
      <c r="H2282">
        <v>11</v>
      </c>
      <c r="I2282" t="s">
        <v>325</v>
      </c>
      <c r="J2282">
        <v>44.3</v>
      </c>
      <c r="K2282">
        <v>20</v>
      </c>
      <c r="L2282">
        <v>31</v>
      </c>
      <c r="M2282" t="s">
        <v>3022</v>
      </c>
      <c r="N2282">
        <v>3</v>
      </c>
      <c r="O2282">
        <v>6.33</v>
      </c>
      <c r="P2282">
        <v>144436.73000000001</v>
      </c>
      <c r="Q2282">
        <v>168453.81</v>
      </c>
      <c r="R2282">
        <v>648</v>
      </c>
      <c r="S2282">
        <v>788</v>
      </c>
      <c r="T2282" t="s">
        <v>326</v>
      </c>
      <c r="U2282" t="s">
        <v>90</v>
      </c>
    </row>
    <row r="2283" spans="1:21">
      <c r="A2283" t="s">
        <v>3584</v>
      </c>
      <c r="B2283" t="s">
        <v>3585</v>
      </c>
      <c r="C2283" t="s">
        <v>3025</v>
      </c>
      <c r="D2283">
        <v>225000</v>
      </c>
      <c r="E2283">
        <v>12000</v>
      </c>
      <c r="F2283">
        <v>225000</v>
      </c>
      <c r="G2283">
        <v>225000</v>
      </c>
      <c r="H2283">
        <v>13</v>
      </c>
      <c r="I2283" t="s">
        <v>325</v>
      </c>
      <c r="J2283">
        <v>52.75</v>
      </c>
      <c r="K2283">
        <v>19</v>
      </c>
      <c r="L2283">
        <v>33</v>
      </c>
      <c r="M2283" t="s">
        <v>3022</v>
      </c>
      <c r="N2283">
        <v>1</v>
      </c>
      <c r="O2283">
        <v>9</v>
      </c>
      <c r="P2283">
        <v>144436.73000000001</v>
      </c>
      <c r="Q2283">
        <v>168453.81</v>
      </c>
      <c r="R2283">
        <v>648</v>
      </c>
      <c r="S2283">
        <v>788</v>
      </c>
      <c r="T2283" t="s">
        <v>332</v>
      </c>
      <c r="U2283" t="s">
        <v>90</v>
      </c>
    </row>
    <row r="2284" spans="1:21">
      <c r="A2284" t="s">
        <v>3586</v>
      </c>
      <c r="B2284" t="s">
        <v>3585</v>
      </c>
      <c r="C2284" t="s">
        <v>3025</v>
      </c>
      <c r="D2284">
        <v>237000</v>
      </c>
      <c r="E2284">
        <v>12000</v>
      </c>
      <c r="F2284">
        <v>237000</v>
      </c>
      <c r="G2284">
        <v>237000</v>
      </c>
      <c r="H2284">
        <v>13</v>
      </c>
      <c r="I2284" t="s">
        <v>325</v>
      </c>
      <c r="J2284">
        <v>52.75</v>
      </c>
      <c r="K2284">
        <v>19</v>
      </c>
      <c r="L2284">
        <v>33</v>
      </c>
      <c r="M2284" t="s">
        <v>3022</v>
      </c>
      <c r="N2284">
        <v>1</v>
      </c>
      <c r="O2284">
        <v>9</v>
      </c>
      <c r="P2284">
        <v>144436.73000000001</v>
      </c>
      <c r="Q2284">
        <v>168453.81</v>
      </c>
      <c r="R2284">
        <v>648</v>
      </c>
      <c r="S2284">
        <v>788</v>
      </c>
      <c r="T2284" t="s">
        <v>332</v>
      </c>
      <c r="U2284" t="s">
        <v>90</v>
      </c>
    </row>
    <row r="2285" spans="1:21">
      <c r="A2285" t="s">
        <v>3587</v>
      </c>
      <c r="B2285" t="s">
        <v>3585</v>
      </c>
      <c r="C2285" t="s">
        <v>3025</v>
      </c>
      <c r="D2285">
        <v>267000</v>
      </c>
      <c r="E2285">
        <v>12000</v>
      </c>
      <c r="F2285">
        <v>267000</v>
      </c>
      <c r="G2285">
        <v>320400</v>
      </c>
      <c r="H2285">
        <v>13</v>
      </c>
      <c r="I2285" t="s">
        <v>325</v>
      </c>
      <c r="J2285">
        <v>52.75</v>
      </c>
      <c r="K2285">
        <v>19</v>
      </c>
      <c r="L2285">
        <v>33</v>
      </c>
      <c r="M2285" t="s">
        <v>3022</v>
      </c>
      <c r="N2285">
        <v>1</v>
      </c>
      <c r="O2285">
        <v>9</v>
      </c>
      <c r="P2285">
        <v>144436.73000000001</v>
      </c>
      <c r="Q2285">
        <v>168453.81</v>
      </c>
      <c r="R2285">
        <v>648</v>
      </c>
      <c r="S2285">
        <v>788</v>
      </c>
      <c r="T2285" t="s">
        <v>332</v>
      </c>
      <c r="U2285" t="s">
        <v>90</v>
      </c>
    </row>
    <row r="2286" spans="1:21">
      <c r="A2286" t="s">
        <v>3588</v>
      </c>
      <c r="B2286" t="s">
        <v>3585</v>
      </c>
      <c r="C2286" t="s">
        <v>3025</v>
      </c>
      <c r="D2286">
        <v>241000</v>
      </c>
      <c r="E2286">
        <v>12000</v>
      </c>
      <c r="F2286">
        <v>241000</v>
      </c>
      <c r="G2286">
        <v>241000</v>
      </c>
      <c r="H2286">
        <v>15</v>
      </c>
      <c r="I2286" t="s">
        <v>325</v>
      </c>
      <c r="J2286">
        <v>55.65</v>
      </c>
      <c r="K2286">
        <v>19</v>
      </c>
      <c r="L2286">
        <v>33</v>
      </c>
      <c r="M2286" t="s">
        <v>3022</v>
      </c>
      <c r="N2286">
        <v>1</v>
      </c>
      <c r="O2286">
        <v>9</v>
      </c>
      <c r="P2286">
        <v>144436.73000000001</v>
      </c>
      <c r="Q2286">
        <v>168453.81</v>
      </c>
      <c r="R2286">
        <v>648</v>
      </c>
      <c r="S2286">
        <v>788</v>
      </c>
      <c r="T2286" t="s">
        <v>332</v>
      </c>
      <c r="U2286" t="s">
        <v>90</v>
      </c>
    </row>
    <row r="2287" spans="1:21">
      <c r="A2287" t="s">
        <v>3589</v>
      </c>
      <c r="B2287" t="s">
        <v>3585</v>
      </c>
      <c r="C2287" t="s">
        <v>3025</v>
      </c>
      <c r="D2287">
        <v>226000</v>
      </c>
      <c r="E2287">
        <v>10000</v>
      </c>
      <c r="F2287">
        <v>226000</v>
      </c>
      <c r="G2287">
        <v>226000</v>
      </c>
      <c r="H2287">
        <v>24</v>
      </c>
      <c r="I2287" t="s">
        <v>325</v>
      </c>
      <c r="J2287">
        <v>46.07</v>
      </c>
      <c r="K2287">
        <v>19</v>
      </c>
      <c r="L2287">
        <v>33</v>
      </c>
      <c r="M2287" t="s">
        <v>3022</v>
      </c>
      <c r="N2287">
        <v>1</v>
      </c>
      <c r="O2287">
        <v>9</v>
      </c>
      <c r="P2287">
        <v>144436.73000000001</v>
      </c>
      <c r="Q2287">
        <v>168453.81</v>
      </c>
      <c r="R2287">
        <v>648</v>
      </c>
      <c r="S2287">
        <v>788</v>
      </c>
      <c r="T2287" t="s">
        <v>326</v>
      </c>
      <c r="U2287" t="s">
        <v>90</v>
      </c>
    </row>
    <row r="2288" spans="1:21">
      <c r="A2288" t="s">
        <v>3590</v>
      </c>
      <c r="B2288" t="s">
        <v>3585</v>
      </c>
      <c r="C2288" t="s">
        <v>3025</v>
      </c>
      <c r="D2288">
        <v>238000</v>
      </c>
      <c r="E2288">
        <v>12000</v>
      </c>
      <c r="F2288">
        <v>238000</v>
      </c>
      <c r="G2288">
        <v>238000</v>
      </c>
      <c r="H2288">
        <v>24</v>
      </c>
      <c r="I2288" t="s">
        <v>325</v>
      </c>
      <c r="J2288">
        <v>52.75</v>
      </c>
      <c r="K2288">
        <v>19</v>
      </c>
      <c r="L2288">
        <v>33</v>
      </c>
      <c r="M2288" t="s">
        <v>3022</v>
      </c>
      <c r="N2288">
        <v>1</v>
      </c>
      <c r="O2288">
        <v>9</v>
      </c>
      <c r="P2288">
        <v>144436.73000000001</v>
      </c>
      <c r="Q2288">
        <v>168453.81</v>
      </c>
      <c r="R2288">
        <v>648</v>
      </c>
      <c r="S2288">
        <v>788</v>
      </c>
      <c r="T2288" t="s">
        <v>332</v>
      </c>
      <c r="U2288" t="s">
        <v>90</v>
      </c>
    </row>
    <row r="2289" spans="1:21">
      <c r="A2289" t="s">
        <v>3591</v>
      </c>
      <c r="B2289" t="s">
        <v>3592</v>
      </c>
      <c r="C2289" t="s">
        <v>1228</v>
      </c>
      <c r="D2289">
        <v>184000</v>
      </c>
      <c r="E2289">
        <v>15000</v>
      </c>
      <c r="H2289">
        <v>10</v>
      </c>
      <c r="I2289" t="s">
        <v>325</v>
      </c>
      <c r="J2289">
        <v>29.25</v>
      </c>
      <c r="K2289">
        <v>1</v>
      </c>
      <c r="L2289">
        <v>12</v>
      </c>
      <c r="M2289" t="s">
        <v>3022</v>
      </c>
      <c r="N2289">
        <v>3</v>
      </c>
      <c r="O2289">
        <v>9.33</v>
      </c>
      <c r="P2289">
        <v>144436.73000000001</v>
      </c>
      <c r="Q2289">
        <v>168453.81</v>
      </c>
      <c r="R2289">
        <v>648</v>
      </c>
      <c r="S2289">
        <v>788</v>
      </c>
      <c r="T2289" t="s">
        <v>34</v>
      </c>
      <c r="U2289" t="s">
        <v>31</v>
      </c>
    </row>
    <row r="2290" spans="1:21">
      <c r="A2290" t="s">
        <v>3593</v>
      </c>
      <c r="B2290" t="s">
        <v>3592</v>
      </c>
      <c r="C2290" t="s">
        <v>1228</v>
      </c>
      <c r="D2290">
        <v>180000</v>
      </c>
      <c r="E2290">
        <v>15000</v>
      </c>
      <c r="H2290">
        <v>11</v>
      </c>
      <c r="I2290" t="s">
        <v>325</v>
      </c>
      <c r="J2290">
        <v>28.87</v>
      </c>
      <c r="K2290">
        <v>1</v>
      </c>
      <c r="L2290">
        <v>12</v>
      </c>
      <c r="M2290" t="s">
        <v>3022</v>
      </c>
      <c r="N2290">
        <v>3</v>
      </c>
      <c r="O2290">
        <v>9.33</v>
      </c>
      <c r="P2290">
        <v>144436.73000000001</v>
      </c>
      <c r="Q2290">
        <v>168453.81</v>
      </c>
      <c r="R2290">
        <v>648</v>
      </c>
      <c r="S2290">
        <v>788</v>
      </c>
      <c r="T2290" t="s">
        <v>34</v>
      </c>
      <c r="U2290" t="s">
        <v>31</v>
      </c>
    </row>
    <row r="2291" spans="1:21">
      <c r="A2291" t="s">
        <v>3594</v>
      </c>
      <c r="B2291" t="s">
        <v>3592</v>
      </c>
      <c r="C2291" t="s">
        <v>1228</v>
      </c>
      <c r="D2291">
        <v>185000</v>
      </c>
      <c r="E2291">
        <v>15000</v>
      </c>
      <c r="H2291">
        <v>11</v>
      </c>
      <c r="I2291" t="s">
        <v>325</v>
      </c>
      <c r="J2291">
        <v>29.25</v>
      </c>
      <c r="K2291">
        <v>1</v>
      </c>
      <c r="L2291">
        <v>12</v>
      </c>
      <c r="M2291" t="s">
        <v>3022</v>
      </c>
      <c r="N2291">
        <v>3</v>
      </c>
      <c r="O2291">
        <v>9.33</v>
      </c>
      <c r="P2291">
        <v>144436.73000000001</v>
      </c>
      <c r="Q2291">
        <v>168453.81</v>
      </c>
      <c r="R2291">
        <v>648</v>
      </c>
      <c r="S2291">
        <v>788</v>
      </c>
      <c r="T2291" t="s">
        <v>34</v>
      </c>
      <c r="U2291" t="s">
        <v>31</v>
      </c>
    </row>
    <row r="2292" spans="1:21">
      <c r="A2292" t="s">
        <v>3595</v>
      </c>
      <c r="B2292" t="s">
        <v>3592</v>
      </c>
      <c r="C2292" t="s">
        <v>1228</v>
      </c>
      <c r="D2292">
        <v>168000</v>
      </c>
      <c r="E2292">
        <v>15000</v>
      </c>
      <c r="H2292">
        <v>3</v>
      </c>
      <c r="I2292" t="s">
        <v>325</v>
      </c>
      <c r="J2292">
        <v>28.87</v>
      </c>
      <c r="K2292">
        <v>1</v>
      </c>
      <c r="L2292">
        <v>12</v>
      </c>
      <c r="M2292" t="s">
        <v>3022</v>
      </c>
      <c r="N2292">
        <v>3</v>
      </c>
      <c r="O2292">
        <v>9.33</v>
      </c>
      <c r="P2292">
        <v>144436.73000000001</v>
      </c>
      <c r="Q2292">
        <v>168453.81</v>
      </c>
      <c r="R2292">
        <v>648</v>
      </c>
      <c r="S2292">
        <v>788</v>
      </c>
      <c r="T2292" t="s">
        <v>34</v>
      </c>
      <c r="U2292" t="s">
        <v>31</v>
      </c>
    </row>
    <row r="2293" spans="1:21">
      <c r="A2293" t="s">
        <v>3596</v>
      </c>
      <c r="B2293" t="s">
        <v>3592</v>
      </c>
      <c r="C2293" t="s">
        <v>1228</v>
      </c>
      <c r="D2293">
        <v>168000</v>
      </c>
      <c r="E2293">
        <v>15000</v>
      </c>
      <c r="F2293">
        <v>168000</v>
      </c>
      <c r="H2293">
        <v>3</v>
      </c>
      <c r="I2293" t="s">
        <v>325</v>
      </c>
      <c r="J2293">
        <v>29.25</v>
      </c>
      <c r="K2293">
        <v>1</v>
      </c>
      <c r="L2293">
        <v>12</v>
      </c>
      <c r="M2293" t="s">
        <v>3022</v>
      </c>
      <c r="N2293">
        <v>3</v>
      </c>
      <c r="O2293">
        <v>9.33</v>
      </c>
      <c r="P2293">
        <v>144436.73000000001</v>
      </c>
      <c r="Q2293">
        <v>168453.81</v>
      </c>
      <c r="R2293">
        <v>648</v>
      </c>
      <c r="S2293">
        <v>788</v>
      </c>
      <c r="T2293" t="s">
        <v>34</v>
      </c>
      <c r="U2293" t="s">
        <v>31</v>
      </c>
    </row>
    <row r="2294" spans="1:21">
      <c r="A2294" t="s">
        <v>3597</v>
      </c>
      <c r="B2294" t="s">
        <v>3592</v>
      </c>
      <c r="C2294" t="s">
        <v>1228</v>
      </c>
      <c r="D2294">
        <v>170000</v>
      </c>
      <c r="E2294">
        <v>15000</v>
      </c>
      <c r="H2294">
        <v>4</v>
      </c>
      <c r="I2294" t="s">
        <v>325</v>
      </c>
      <c r="J2294">
        <v>28.87</v>
      </c>
      <c r="K2294">
        <v>1</v>
      </c>
      <c r="L2294">
        <v>12</v>
      </c>
      <c r="M2294" t="s">
        <v>3022</v>
      </c>
      <c r="N2294">
        <v>3</v>
      </c>
      <c r="O2294">
        <v>9.33</v>
      </c>
      <c r="P2294">
        <v>144436.73000000001</v>
      </c>
      <c r="Q2294">
        <v>168453.81</v>
      </c>
      <c r="R2294">
        <v>648</v>
      </c>
      <c r="S2294">
        <v>788</v>
      </c>
      <c r="T2294" t="s">
        <v>34</v>
      </c>
      <c r="U2294" t="s">
        <v>31</v>
      </c>
    </row>
    <row r="2295" spans="1:21">
      <c r="A2295" t="s">
        <v>3598</v>
      </c>
      <c r="B2295" t="s">
        <v>3592</v>
      </c>
      <c r="C2295" t="s">
        <v>1228</v>
      </c>
      <c r="D2295">
        <v>175000</v>
      </c>
      <c r="E2295">
        <v>15000</v>
      </c>
      <c r="H2295">
        <v>8</v>
      </c>
      <c r="I2295" t="s">
        <v>325</v>
      </c>
      <c r="J2295">
        <v>28.87</v>
      </c>
      <c r="K2295">
        <v>1</v>
      </c>
      <c r="L2295">
        <v>12</v>
      </c>
      <c r="M2295" t="s">
        <v>3022</v>
      </c>
      <c r="N2295">
        <v>3</v>
      </c>
      <c r="O2295">
        <v>9.33</v>
      </c>
      <c r="P2295">
        <v>144436.73000000001</v>
      </c>
      <c r="Q2295">
        <v>168453.81</v>
      </c>
      <c r="R2295">
        <v>648</v>
      </c>
      <c r="S2295">
        <v>788</v>
      </c>
      <c r="T2295" t="s">
        <v>34</v>
      </c>
      <c r="U2295" t="s">
        <v>31</v>
      </c>
    </row>
    <row r="2296" spans="1:21">
      <c r="A2296" t="s">
        <v>3599</v>
      </c>
      <c r="B2296" t="s">
        <v>3592</v>
      </c>
      <c r="C2296" t="s">
        <v>1228</v>
      </c>
      <c r="D2296">
        <v>180000</v>
      </c>
      <c r="E2296">
        <v>15000</v>
      </c>
      <c r="H2296">
        <v>9</v>
      </c>
      <c r="I2296" t="s">
        <v>325</v>
      </c>
      <c r="J2296">
        <v>29.25</v>
      </c>
      <c r="K2296">
        <v>1</v>
      </c>
      <c r="L2296">
        <v>12</v>
      </c>
      <c r="M2296" t="s">
        <v>3022</v>
      </c>
      <c r="N2296">
        <v>3</v>
      </c>
      <c r="O2296">
        <v>9.33</v>
      </c>
      <c r="P2296">
        <v>144436.73000000001</v>
      </c>
      <c r="Q2296">
        <v>168453.81</v>
      </c>
      <c r="R2296">
        <v>648</v>
      </c>
      <c r="S2296">
        <v>788</v>
      </c>
      <c r="T2296" t="s">
        <v>34</v>
      </c>
      <c r="U2296" t="s">
        <v>31</v>
      </c>
    </row>
    <row r="2297" spans="1:21">
      <c r="A2297" t="s">
        <v>3600</v>
      </c>
      <c r="B2297" t="s">
        <v>3122</v>
      </c>
      <c r="C2297" t="s">
        <v>1228</v>
      </c>
      <c r="D2297">
        <v>145000</v>
      </c>
      <c r="E2297">
        <v>10000</v>
      </c>
      <c r="F2297">
        <v>145000</v>
      </c>
      <c r="H2297">
        <v>3</v>
      </c>
      <c r="I2297" t="s">
        <v>325</v>
      </c>
      <c r="J2297">
        <v>25.55</v>
      </c>
      <c r="K2297">
        <v>3</v>
      </c>
      <c r="L2297">
        <v>12</v>
      </c>
      <c r="M2297" t="s">
        <v>3022</v>
      </c>
      <c r="N2297">
        <v>1</v>
      </c>
      <c r="O2297">
        <v>5.67</v>
      </c>
      <c r="P2297">
        <v>144436.73000000001</v>
      </c>
      <c r="Q2297">
        <v>168453.81</v>
      </c>
      <c r="R2297">
        <v>648</v>
      </c>
      <c r="S2297">
        <v>788</v>
      </c>
      <c r="T2297" t="s">
        <v>34</v>
      </c>
      <c r="U2297" t="s">
        <v>31</v>
      </c>
    </row>
    <row r="2298" spans="1:21">
      <c r="A2298" t="s">
        <v>3601</v>
      </c>
      <c r="B2298" t="s">
        <v>3602</v>
      </c>
      <c r="C2298" t="s">
        <v>1228</v>
      </c>
      <c r="D2298">
        <v>200000</v>
      </c>
      <c r="E2298">
        <v>8000</v>
      </c>
      <c r="F2298">
        <v>200000</v>
      </c>
      <c r="G2298">
        <v>200000</v>
      </c>
      <c r="H2298">
        <v>11</v>
      </c>
      <c r="I2298" t="s">
        <v>325</v>
      </c>
      <c r="J2298">
        <v>39.92</v>
      </c>
      <c r="K2298">
        <v>11</v>
      </c>
      <c r="L2298">
        <v>14</v>
      </c>
      <c r="M2298" t="s">
        <v>3022</v>
      </c>
      <c r="N2298">
        <v>1</v>
      </c>
      <c r="O2298">
        <v>4.67</v>
      </c>
      <c r="P2298">
        <v>144436.73000000001</v>
      </c>
      <c r="Q2298">
        <v>168453.81</v>
      </c>
      <c r="R2298">
        <v>648</v>
      </c>
      <c r="S2298">
        <v>788</v>
      </c>
      <c r="T2298" t="s">
        <v>26</v>
      </c>
      <c r="U2298" t="s">
        <v>90</v>
      </c>
    </row>
    <row r="2299" spans="1:21">
      <c r="A2299" t="s">
        <v>3603</v>
      </c>
      <c r="B2299" t="s">
        <v>3604</v>
      </c>
      <c r="C2299" t="s">
        <v>1231</v>
      </c>
      <c r="D2299">
        <v>188000</v>
      </c>
      <c r="E2299">
        <v>10000</v>
      </c>
      <c r="G2299">
        <v>188000</v>
      </c>
      <c r="H2299">
        <v>1</v>
      </c>
      <c r="I2299" t="s">
        <v>325</v>
      </c>
      <c r="J2299">
        <v>53.61</v>
      </c>
      <c r="K2299">
        <v>2</v>
      </c>
      <c r="L2299">
        <v>2</v>
      </c>
      <c r="M2299" t="s">
        <v>3022</v>
      </c>
      <c r="N2299">
        <v>7</v>
      </c>
      <c r="O2299">
        <v>11.67</v>
      </c>
      <c r="P2299">
        <v>144436.73000000001</v>
      </c>
      <c r="Q2299">
        <v>168453.81</v>
      </c>
      <c r="R2299">
        <v>648</v>
      </c>
      <c r="S2299">
        <v>788</v>
      </c>
      <c r="T2299" t="s">
        <v>332</v>
      </c>
      <c r="U2299" t="s">
        <v>31</v>
      </c>
    </row>
    <row r="2300" spans="1:21">
      <c r="A2300" t="s">
        <v>3603</v>
      </c>
      <c r="B2300" t="s">
        <v>3604</v>
      </c>
      <c r="C2300" t="s">
        <v>1231</v>
      </c>
      <c r="D2300">
        <v>188000</v>
      </c>
      <c r="E2300">
        <v>10000</v>
      </c>
      <c r="G2300">
        <v>188000</v>
      </c>
      <c r="H2300">
        <v>2</v>
      </c>
      <c r="I2300" t="s">
        <v>325</v>
      </c>
      <c r="J2300">
        <v>53.61</v>
      </c>
      <c r="K2300">
        <v>2</v>
      </c>
      <c r="L2300">
        <v>2</v>
      </c>
      <c r="M2300" t="s">
        <v>3022</v>
      </c>
      <c r="N2300">
        <v>7</v>
      </c>
      <c r="O2300">
        <v>11.67</v>
      </c>
      <c r="P2300">
        <v>144436.73000000001</v>
      </c>
      <c r="Q2300">
        <v>168453.81</v>
      </c>
      <c r="R2300">
        <v>648</v>
      </c>
      <c r="S2300">
        <v>788</v>
      </c>
      <c r="T2300" t="s">
        <v>332</v>
      </c>
      <c r="U2300" t="s">
        <v>31</v>
      </c>
    </row>
    <row r="2301" spans="1:21">
      <c r="A2301" t="s">
        <v>3605</v>
      </c>
      <c r="B2301" t="s">
        <v>3606</v>
      </c>
      <c r="C2301" t="s">
        <v>3195</v>
      </c>
      <c r="D2301">
        <v>185000</v>
      </c>
      <c r="E2301">
        <v>8000</v>
      </c>
      <c r="F2301">
        <v>185000</v>
      </c>
      <c r="G2301">
        <v>185000</v>
      </c>
      <c r="H2301">
        <v>2</v>
      </c>
      <c r="I2301" t="s">
        <v>325</v>
      </c>
      <c r="J2301">
        <v>41.36</v>
      </c>
      <c r="K2301">
        <v>11</v>
      </c>
      <c r="L2301">
        <v>3</v>
      </c>
      <c r="M2301" t="s">
        <v>3022</v>
      </c>
      <c r="N2301">
        <v>3</v>
      </c>
      <c r="O2301">
        <v>4.67</v>
      </c>
      <c r="P2301">
        <v>144436.73000000001</v>
      </c>
      <c r="Q2301">
        <v>168453.81</v>
      </c>
      <c r="R2301">
        <v>648</v>
      </c>
      <c r="S2301">
        <v>788</v>
      </c>
      <c r="T2301" t="s">
        <v>326</v>
      </c>
      <c r="U2301" t="s">
        <v>90</v>
      </c>
    </row>
    <row r="2302" spans="1:21">
      <c r="A2302" t="s">
        <v>3607</v>
      </c>
      <c r="B2302" t="s">
        <v>3606</v>
      </c>
      <c r="C2302" t="s">
        <v>3195</v>
      </c>
      <c r="D2302">
        <v>185000</v>
      </c>
      <c r="E2302">
        <v>8000</v>
      </c>
      <c r="F2302">
        <v>185000</v>
      </c>
      <c r="G2302">
        <v>185000</v>
      </c>
      <c r="H2302">
        <v>2</v>
      </c>
      <c r="I2302" t="s">
        <v>325</v>
      </c>
      <c r="J2302">
        <v>42.75</v>
      </c>
      <c r="K2302">
        <v>11</v>
      </c>
      <c r="L2302">
        <v>3</v>
      </c>
      <c r="M2302" t="s">
        <v>3022</v>
      </c>
      <c r="N2302">
        <v>3</v>
      </c>
      <c r="O2302">
        <v>4.67</v>
      </c>
      <c r="P2302">
        <v>144436.73000000001</v>
      </c>
      <c r="Q2302">
        <v>168453.81</v>
      </c>
      <c r="R2302">
        <v>648</v>
      </c>
      <c r="S2302">
        <v>788</v>
      </c>
      <c r="T2302" t="s">
        <v>326</v>
      </c>
      <c r="U2302" t="s">
        <v>90</v>
      </c>
    </row>
    <row r="2303" spans="1:21">
      <c r="A2303" t="s">
        <v>3608</v>
      </c>
      <c r="B2303" t="s">
        <v>3609</v>
      </c>
      <c r="C2303" t="s">
        <v>3025</v>
      </c>
      <c r="D2303">
        <v>160000</v>
      </c>
      <c r="E2303">
        <v>7000</v>
      </c>
      <c r="G2303">
        <v>320000</v>
      </c>
      <c r="H2303">
        <v>3</v>
      </c>
      <c r="I2303" t="s">
        <v>325</v>
      </c>
      <c r="J2303">
        <v>40.07</v>
      </c>
      <c r="K2303">
        <v>14</v>
      </c>
      <c r="L2303">
        <v>3</v>
      </c>
      <c r="M2303" t="s">
        <v>3022</v>
      </c>
      <c r="N2303">
        <v>7</v>
      </c>
      <c r="O2303">
        <v>9</v>
      </c>
      <c r="P2303">
        <v>144436.73000000001</v>
      </c>
      <c r="Q2303">
        <v>168453.81</v>
      </c>
      <c r="R2303">
        <v>648</v>
      </c>
      <c r="S2303">
        <v>788</v>
      </c>
      <c r="T2303" t="s">
        <v>326</v>
      </c>
      <c r="U2303" t="s">
        <v>90</v>
      </c>
    </row>
    <row r="2304" spans="1:21">
      <c r="A2304" t="s">
        <v>3610</v>
      </c>
      <c r="B2304" t="s">
        <v>3611</v>
      </c>
      <c r="C2304" t="s">
        <v>1228</v>
      </c>
      <c r="D2304">
        <v>195000</v>
      </c>
      <c r="E2304">
        <v>5000</v>
      </c>
      <c r="F2304">
        <v>195000</v>
      </c>
      <c r="G2304">
        <v>195000</v>
      </c>
      <c r="H2304">
        <v>4</v>
      </c>
      <c r="I2304" t="s">
        <v>325</v>
      </c>
      <c r="J2304">
        <v>51.65</v>
      </c>
      <c r="K2304">
        <v>49</v>
      </c>
      <c r="L2304">
        <v>4</v>
      </c>
      <c r="M2304" t="s">
        <v>3022</v>
      </c>
      <c r="N2304">
        <v>2</v>
      </c>
      <c r="O2304">
        <v>8.67</v>
      </c>
      <c r="P2304">
        <v>144436.73000000001</v>
      </c>
      <c r="Q2304">
        <v>168453.81</v>
      </c>
      <c r="R2304">
        <v>648</v>
      </c>
      <c r="S2304">
        <v>788</v>
      </c>
      <c r="T2304" t="s">
        <v>332</v>
      </c>
      <c r="U2304" t="s">
        <v>42</v>
      </c>
    </row>
    <row r="2305" spans="1:21">
      <c r="A2305" t="s">
        <v>3612</v>
      </c>
      <c r="B2305" t="s">
        <v>3126</v>
      </c>
      <c r="C2305" t="s">
        <v>3025</v>
      </c>
      <c r="D2305">
        <v>179000</v>
      </c>
      <c r="E2305">
        <v>15000</v>
      </c>
      <c r="F2305">
        <v>179000</v>
      </c>
      <c r="H2305">
        <v>1</v>
      </c>
      <c r="I2305" t="s">
        <v>325</v>
      </c>
      <c r="J2305">
        <v>38.630000000000003</v>
      </c>
      <c r="K2305">
        <v>3</v>
      </c>
      <c r="L2305">
        <v>5</v>
      </c>
      <c r="M2305" t="s">
        <v>3022</v>
      </c>
      <c r="N2305">
        <v>7</v>
      </c>
      <c r="O2305">
        <v>10.67</v>
      </c>
      <c r="P2305">
        <v>144436.73000000001</v>
      </c>
      <c r="Q2305">
        <v>168453.81</v>
      </c>
      <c r="R2305">
        <v>648</v>
      </c>
      <c r="S2305">
        <v>788</v>
      </c>
      <c r="T2305" t="s">
        <v>26</v>
      </c>
      <c r="U2305" t="s">
        <v>31</v>
      </c>
    </row>
    <row r="2306" spans="1:21">
      <c r="A2306" t="s">
        <v>3613</v>
      </c>
      <c r="B2306" t="s">
        <v>3614</v>
      </c>
      <c r="C2306" t="s">
        <v>1231</v>
      </c>
      <c r="D2306">
        <v>200000</v>
      </c>
      <c r="E2306">
        <v>10000</v>
      </c>
      <c r="F2306">
        <v>200000</v>
      </c>
      <c r="G2306">
        <v>200000</v>
      </c>
      <c r="H2306">
        <v>2</v>
      </c>
      <c r="I2306" t="s">
        <v>325</v>
      </c>
      <c r="J2306">
        <v>40.31</v>
      </c>
      <c r="K2306">
        <v>19</v>
      </c>
      <c r="L2306">
        <v>12</v>
      </c>
      <c r="M2306" t="s">
        <v>3022</v>
      </c>
      <c r="N2306">
        <v>5</v>
      </c>
      <c r="O2306">
        <v>8</v>
      </c>
      <c r="P2306">
        <v>144436.73000000001</v>
      </c>
      <c r="Q2306">
        <v>168453.81</v>
      </c>
      <c r="R2306">
        <v>648</v>
      </c>
      <c r="S2306">
        <v>788</v>
      </c>
      <c r="T2306" t="s">
        <v>326</v>
      </c>
      <c r="U2306" t="s">
        <v>90</v>
      </c>
    </row>
    <row r="2307" spans="1:21">
      <c r="A2307" t="s">
        <v>3615</v>
      </c>
      <c r="B2307" t="s">
        <v>3614</v>
      </c>
      <c r="C2307" t="s">
        <v>1231</v>
      </c>
      <c r="D2307">
        <v>215000</v>
      </c>
      <c r="E2307">
        <v>10000</v>
      </c>
      <c r="F2307">
        <v>215000</v>
      </c>
      <c r="H2307">
        <v>6</v>
      </c>
      <c r="I2307" t="s">
        <v>325</v>
      </c>
      <c r="J2307">
        <v>40.31</v>
      </c>
      <c r="K2307">
        <v>19</v>
      </c>
      <c r="L2307">
        <v>12</v>
      </c>
      <c r="M2307" t="s">
        <v>3022</v>
      </c>
      <c r="N2307">
        <v>5</v>
      </c>
      <c r="O2307">
        <v>8</v>
      </c>
      <c r="P2307">
        <v>144436.73000000001</v>
      </c>
      <c r="Q2307">
        <v>168453.81</v>
      </c>
      <c r="R2307">
        <v>648</v>
      </c>
      <c r="S2307">
        <v>788</v>
      </c>
      <c r="T2307" t="s">
        <v>326</v>
      </c>
      <c r="U2307" t="s">
        <v>90</v>
      </c>
    </row>
    <row r="2308" spans="1:21">
      <c r="A2308" t="s">
        <v>3616</v>
      </c>
      <c r="B2308" t="s">
        <v>3617</v>
      </c>
      <c r="C2308" t="s">
        <v>1768</v>
      </c>
      <c r="D2308">
        <v>168000</v>
      </c>
      <c r="E2308">
        <v>11000</v>
      </c>
      <c r="F2308">
        <v>168000</v>
      </c>
      <c r="G2308">
        <v>168000</v>
      </c>
      <c r="H2308">
        <v>3</v>
      </c>
      <c r="I2308" t="s">
        <v>325</v>
      </c>
      <c r="J2308">
        <v>39.78</v>
      </c>
      <c r="K2308">
        <v>19</v>
      </c>
      <c r="L2308">
        <v>7</v>
      </c>
      <c r="M2308" t="s">
        <v>3022</v>
      </c>
      <c r="N2308">
        <v>7</v>
      </c>
      <c r="O2308">
        <v>8</v>
      </c>
      <c r="P2308">
        <v>144436.73000000001</v>
      </c>
      <c r="Q2308">
        <v>168453.81</v>
      </c>
      <c r="R2308">
        <v>648</v>
      </c>
      <c r="S2308">
        <v>788</v>
      </c>
      <c r="T2308" t="s">
        <v>26</v>
      </c>
      <c r="U2308" t="s">
        <v>90</v>
      </c>
    </row>
    <row r="2309" spans="1:21">
      <c r="A2309" t="s">
        <v>3618</v>
      </c>
      <c r="B2309" t="s">
        <v>3619</v>
      </c>
      <c r="C2309" t="s">
        <v>1231</v>
      </c>
      <c r="D2309">
        <v>188000</v>
      </c>
      <c r="E2309">
        <v>10000</v>
      </c>
      <c r="G2309">
        <v>188000</v>
      </c>
      <c r="H2309">
        <v>1</v>
      </c>
      <c r="I2309" t="s">
        <v>325</v>
      </c>
      <c r="J2309">
        <v>53.61</v>
      </c>
      <c r="K2309">
        <v>2</v>
      </c>
      <c r="L2309">
        <v>2</v>
      </c>
      <c r="M2309" t="s">
        <v>3022</v>
      </c>
      <c r="N2309">
        <v>6</v>
      </c>
      <c r="O2309">
        <v>11</v>
      </c>
      <c r="P2309">
        <v>144436.73000000001</v>
      </c>
      <c r="Q2309">
        <v>168453.81</v>
      </c>
      <c r="R2309">
        <v>648</v>
      </c>
      <c r="S2309">
        <v>788</v>
      </c>
      <c r="T2309" t="s">
        <v>332</v>
      </c>
      <c r="U2309" t="s">
        <v>31</v>
      </c>
    </row>
    <row r="2310" spans="1:21">
      <c r="A2310" t="s">
        <v>3618</v>
      </c>
      <c r="B2310" t="s">
        <v>3619</v>
      </c>
      <c r="C2310" t="s">
        <v>1231</v>
      </c>
      <c r="D2310">
        <v>188000</v>
      </c>
      <c r="E2310">
        <v>10000</v>
      </c>
      <c r="G2310">
        <v>188000</v>
      </c>
      <c r="H2310">
        <v>2</v>
      </c>
      <c r="I2310" t="s">
        <v>325</v>
      </c>
      <c r="J2310">
        <v>53.61</v>
      </c>
      <c r="K2310">
        <v>2</v>
      </c>
      <c r="L2310">
        <v>2</v>
      </c>
      <c r="M2310" t="s">
        <v>3022</v>
      </c>
      <c r="N2310">
        <v>6</v>
      </c>
      <c r="O2310">
        <v>11</v>
      </c>
      <c r="P2310">
        <v>144436.73000000001</v>
      </c>
      <c r="Q2310">
        <v>168453.81</v>
      </c>
      <c r="R2310">
        <v>648</v>
      </c>
      <c r="S2310">
        <v>788</v>
      </c>
      <c r="T2310" t="s">
        <v>332</v>
      </c>
      <c r="U2310" t="s">
        <v>31</v>
      </c>
    </row>
    <row r="2311" spans="1:21">
      <c r="A2311" t="s">
        <v>3620</v>
      </c>
      <c r="B2311" t="s">
        <v>3621</v>
      </c>
      <c r="C2311" t="s">
        <v>1294</v>
      </c>
      <c r="D2311">
        <v>169000</v>
      </c>
      <c r="E2311">
        <v>5000</v>
      </c>
      <c r="F2311">
        <v>169000</v>
      </c>
      <c r="G2311">
        <v>169000</v>
      </c>
      <c r="H2311">
        <v>1</v>
      </c>
      <c r="I2311" t="s">
        <v>325</v>
      </c>
      <c r="J2311">
        <v>40.159999999999997</v>
      </c>
      <c r="K2311">
        <v>0</v>
      </c>
      <c r="L2311">
        <v>2</v>
      </c>
      <c r="M2311" t="s">
        <v>3022</v>
      </c>
      <c r="N2311">
        <v>9</v>
      </c>
      <c r="O2311">
        <v>11</v>
      </c>
      <c r="P2311">
        <v>144436.73000000001</v>
      </c>
      <c r="Q2311">
        <v>168453.81</v>
      </c>
      <c r="R2311">
        <v>648</v>
      </c>
      <c r="S2311">
        <v>788</v>
      </c>
      <c r="T2311" t="s">
        <v>326</v>
      </c>
      <c r="U2311" t="s">
        <v>81</v>
      </c>
    </row>
    <row r="2312" spans="1:21">
      <c r="A2312" t="s">
        <v>3622</v>
      </c>
      <c r="B2312" t="s">
        <v>3621</v>
      </c>
      <c r="C2312" t="s">
        <v>1294</v>
      </c>
      <c r="D2312">
        <v>169000</v>
      </c>
      <c r="E2312">
        <v>5000</v>
      </c>
      <c r="F2312">
        <v>169000</v>
      </c>
      <c r="G2312">
        <v>169000</v>
      </c>
      <c r="H2312">
        <v>1</v>
      </c>
      <c r="I2312" t="s">
        <v>325</v>
      </c>
      <c r="J2312">
        <v>41.21</v>
      </c>
      <c r="K2312">
        <v>0</v>
      </c>
      <c r="L2312">
        <v>2</v>
      </c>
      <c r="M2312" t="s">
        <v>3022</v>
      </c>
      <c r="N2312">
        <v>9</v>
      </c>
      <c r="O2312">
        <v>11</v>
      </c>
      <c r="P2312">
        <v>144436.73000000001</v>
      </c>
      <c r="Q2312">
        <v>168453.81</v>
      </c>
      <c r="R2312">
        <v>648</v>
      </c>
      <c r="S2312">
        <v>788</v>
      </c>
      <c r="T2312" t="s">
        <v>326</v>
      </c>
      <c r="U2312" t="s">
        <v>81</v>
      </c>
    </row>
    <row r="2313" spans="1:21">
      <c r="A2313" t="s">
        <v>3623</v>
      </c>
      <c r="B2313" t="s">
        <v>3621</v>
      </c>
      <c r="C2313" t="s">
        <v>1294</v>
      </c>
      <c r="D2313">
        <v>179000</v>
      </c>
      <c r="E2313">
        <v>5000</v>
      </c>
      <c r="F2313">
        <v>179000</v>
      </c>
      <c r="G2313">
        <v>179000</v>
      </c>
      <c r="H2313">
        <v>2</v>
      </c>
      <c r="I2313" t="s">
        <v>325</v>
      </c>
      <c r="J2313">
        <v>40.159999999999997</v>
      </c>
      <c r="K2313">
        <v>0</v>
      </c>
      <c r="L2313">
        <v>2</v>
      </c>
      <c r="M2313" t="s">
        <v>3022</v>
      </c>
      <c r="N2313">
        <v>9</v>
      </c>
      <c r="O2313">
        <v>11</v>
      </c>
      <c r="P2313">
        <v>144436.73000000001</v>
      </c>
      <c r="Q2313">
        <v>168453.81</v>
      </c>
      <c r="R2313">
        <v>648</v>
      </c>
      <c r="S2313">
        <v>788</v>
      </c>
      <c r="T2313" t="s">
        <v>326</v>
      </c>
      <c r="U2313" t="s">
        <v>81</v>
      </c>
    </row>
    <row r="2314" spans="1:21">
      <c r="A2314" t="s">
        <v>3624</v>
      </c>
      <c r="B2314" t="s">
        <v>3625</v>
      </c>
      <c r="C2314" t="s">
        <v>1768</v>
      </c>
      <c r="D2314">
        <v>89000</v>
      </c>
      <c r="E2314">
        <v>6000</v>
      </c>
      <c r="F2314">
        <v>89000</v>
      </c>
      <c r="G2314">
        <v>89000</v>
      </c>
      <c r="H2314">
        <v>3</v>
      </c>
      <c r="I2314" t="s">
        <v>432</v>
      </c>
      <c r="J2314">
        <v>20.65</v>
      </c>
      <c r="K2314">
        <v>10</v>
      </c>
      <c r="L2314">
        <v>5</v>
      </c>
      <c r="M2314" t="s">
        <v>3022</v>
      </c>
      <c r="N2314">
        <v>7</v>
      </c>
      <c r="O2314">
        <v>11.67</v>
      </c>
      <c r="P2314">
        <v>144436.73000000001</v>
      </c>
      <c r="Q2314">
        <v>77692.34</v>
      </c>
      <c r="R2314">
        <v>648</v>
      </c>
      <c r="S2314">
        <v>1071</v>
      </c>
      <c r="T2314" t="s">
        <v>34</v>
      </c>
      <c r="U2314" t="s">
        <v>31</v>
      </c>
    </row>
    <row r="2315" spans="1:21">
      <c r="A2315" t="s">
        <v>3626</v>
      </c>
      <c r="B2315" t="s">
        <v>3627</v>
      </c>
      <c r="C2315" t="s">
        <v>1231</v>
      </c>
      <c r="D2315">
        <v>62000</v>
      </c>
      <c r="E2315">
        <v>3000</v>
      </c>
      <c r="H2315">
        <v>1</v>
      </c>
      <c r="I2315" t="s">
        <v>432</v>
      </c>
      <c r="J2315">
        <v>9.82</v>
      </c>
      <c r="K2315">
        <v>13</v>
      </c>
      <c r="L2315">
        <v>2</v>
      </c>
      <c r="M2315" t="s">
        <v>3022</v>
      </c>
      <c r="N2315">
        <v>3</v>
      </c>
      <c r="O2315">
        <v>8.33</v>
      </c>
      <c r="P2315">
        <v>144436.73000000001</v>
      </c>
      <c r="Q2315">
        <v>77692.34</v>
      </c>
      <c r="R2315">
        <v>648</v>
      </c>
      <c r="S2315">
        <v>1071</v>
      </c>
      <c r="T2315" t="s">
        <v>231</v>
      </c>
      <c r="U2315" t="s">
        <v>90</v>
      </c>
    </row>
    <row r="2316" spans="1:21">
      <c r="A2316" t="s">
        <v>3628</v>
      </c>
      <c r="B2316" t="s">
        <v>3629</v>
      </c>
      <c r="C2316" t="s">
        <v>1228</v>
      </c>
      <c r="D2316">
        <v>105000</v>
      </c>
      <c r="E2316">
        <v>2000</v>
      </c>
      <c r="F2316">
        <v>105000</v>
      </c>
      <c r="G2316">
        <v>105000</v>
      </c>
      <c r="H2316">
        <v>1</v>
      </c>
      <c r="I2316" t="s">
        <v>432</v>
      </c>
      <c r="J2316">
        <v>20.48</v>
      </c>
      <c r="K2316">
        <v>1</v>
      </c>
      <c r="L2316">
        <v>3</v>
      </c>
      <c r="M2316" t="s">
        <v>3022</v>
      </c>
      <c r="N2316">
        <v>4</v>
      </c>
      <c r="O2316">
        <v>6.67</v>
      </c>
      <c r="P2316">
        <v>144436.73000000001</v>
      </c>
      <c r="Q2316">
        <v>77692.34</v>
      </c>
      <c r="R2316">
        <v>648</v>
      </c>
      <c r="S2316">
        <v>1071</v>
      </c>
      <c r="T2316" t="s">
        <v>34</v>
      </c>
      <c r="U2316" t="s">
        <v>31</v>
      </c>
    </row>
    <row r="2317" spans="1:21">
      <c r="A2317" t="s">
        <v>3630</v>
      </c>
      <c r="B2317" t="s">
        <v>3631</v>
      </c>
      <c r="C2317" t="s">
        <v>1231</v>
      </c>
      <c r="D2317">
        <v>56000</v>
      </c>
      <c r="E2317">
        <v>3000</v>
      </c>
      <c r="H2317">
        <v>1</v>
      </c>
      <c r="I2317" t="s">
        <v>432</v>
      </c>
      <c r="J2317">
        <v>10.3</v>
      </c>
      <c r="K2317">
        <v>13</v>
      </c>
      <c r="L2317">
        <v>2</v>
      </c>
      <c r="M2317" t="s">
        <v>3022</v>
      </c>
      <c r="N2317">
        <v>4</v>
      </c>
      <c r="O2317">
        <v>7.33</v>
      </c>
      <c r="P2317">
        <v>144436.73000000001</v>
      </c>
      <c r="Q2317">
        <v>77692.34</v>
      </c>
      <c r="R2317">
        <v>648</v>
      </c>
      <c r="S2317">
        <v>1071</v>
      </c>
      <c r="T2317" t="s">
        <v>108</v>
      </c>
      <c r="U2317" t="s">
        <v>90</v>
      </c>
    </row>
    <row r="2318" spans="1:21">
      <c r="A2318" t="s">
        <v>3632</v>
      </c>
      <c r="B2318" t="s">
        <v>3633</v>
      </c>
      <c r="C2318" t="s">
        <v>1228</v>
      </c>
      <c r="D2318">
        <v>104000</v>
      </c>
      <c r="E2318">
        <v>15000</v>
      </c>
      <c r="F2318">
        <v>104000</v>
      </c>
      <c r="G2318">
        <v>104000</v>
      </c>
      <c r="H2318">
        <v>2</v>
      </c>
      <c r="I2318" t="s">
        <v>432</v>
      </c>
      <c r="J2318">
        <v>20.6</v>
      </c>
      <c r="K2318">
        <v>2</v>
      </c>
      <c r="L2318">
        <v>4</v>
      </c>
      <c r="M2318" t="s">
        <v>3022</v>
      </c>
      <c r="N2318">
        <v>5</v>
      </c>
      <c r="O2318">
        <v>9.67</v>
      </c>
      <c r="P2318">
        <v>144436.73000000001</v>
      </c>
      <c r="Q2318">
        <v>77692.34</v>
      </c>
      <c r="R2318">
        <v>648</v>
      </c>
      <c r="S2318">
        <v>1071</v>
      </c>
      <c r="T2318" t="s">
        <v>34</v>
      </c>
      <c r="U2318" t="s">
        <v>31</v>
      </c>
    </row>
    <row r="2319" spans="1:21">
      <c r="A2319" t="s">
        <v>3634</v>
      </c>
      <c r="B2319" t="s">
        <v>3635</v>
      </c>
      <c r="C2319" t="s">
        <v>3636</v>
      </c>
      <c r="D2319">
        <v>107000</v>
      </c>
      <c r="E2319">
        <v>7000</v>
      </c>
      <c r="F2319">
        <v>214000</v>
      </c>
      <c r="G2319">
        <v>107000</v>
      </c>
      <c r="H2319">
        <v>2</v>
      </c>
      <c r="I2319" t="s">
        <v>432</v>
      </c>
      <c r="J2319">
        <v>30.22</v>
      </c>
      <c r="K2319">
        <v>31</v>
      </c>
      <c r="L2319">
        <v>5</v>
      </c>
      <c r="M2319" t="s">
        <v>3022</v>
      </c>
      <c r="N2319">
        <v>5</v>
      </c>
      <c r="O2319">
        <v>9</v>
      </c>
      <c r="P2319">
        <v>144436.73000000001</v>
      </c>
      <c r="Q2319">
        <v>77692.34</v>
      </c>
      <c r="R2319">
        <v>648</v>
      </c>
      <c r="S2319">
        <v>1071</v>
      </c>
      <c r="T2319" t="s">
        <v>26</v>
      </c>
      <c r="U2319" t="s">
        <v>49</v>
      </c>
    </row>
    <row r="2320" spans="1:21">
      <c r="A2320" t="s">
        <v>3637</v>
      </c>
      <c r="B2320" t="s">
        <v>3635</v>
      </c>
      <c r="C2320" t="s">
        <v>3636</v>
      </c>
      <c r="D2320">
        <v>109000</v>
      </c>
      <c r="E2320">
        <v>7000</v>
      </c>
      <c r="F2320">
        <v>218000</v>
      </c>
      <c r="G2320">
        <v>109000</v>
      </c>
      <c r="H2320">
        <v>3</v>
      </c>
      <c r="I2320" t="s">
        <v>432</v>
      </c>
      <c r="J2320">
        <v>30.22</v>
      </c>
      <c r="K2320">
        <v>31</v>
      </c>
      <c r="L2320">
        <v>5</v>
      </c>
      <c r="M2320" t="s">
        <v>3022</v>
      </c>
      <c r="N2320">
        <v>5</v>
      </c>
      <c r="O2320">
        <v>9</v>
      </c>
      <c r="P2320">
        <v>144436.73000000001</v>
      </c>
      <c r="Q2320">
        <v>77692.34</v>
      </c>
      <c r="R2320">
        <v>648</v>
      </c>
      <c r="S2320">
        <v>1071</v>
      </c>
      <c r="T2320" t="s">
        <v>26</v>
      </c>
      <c r="U2320" t="s">
        <v>49</v>
      </c>
    </row>
    <row r="2321" spans="1:21">
      <c r="A2321" t="s">
        <v>3638</v>
      </c>
      <c r="B2321" t="s">
        <v>3639</v>
      </c>
      <c r="C2321" t="s">
        <v>1228</v>
      </c>
      <c r="D2321">
        <v>100000</v>
      </c>
      <c r="E2321">
        <v>4000</v>
      </c>
      <c r="F2321">
        <v>100000</v>
      </c>
      <c r="H2321">
        <v>1</v>
      </c>
      <c r="I2321" t="s">
        <v>432</v>
      </c>
      <c r="J2321">
        <v>11.61</v>
      </c>
      <c r="K2321">
        <v>6</v>
      </c>
      <c r="L2321">
        <v>2</v>
      </c>
      <c r="M2321" t="s">
        <v>3022</v>
      </c>
      <c r="N2321">
        <v>5</v>
      </c>
      <c r="O2321">
        <v>8.67</v>
      </c>
      <c r="P2321">
        <v>144436.73000000001</v>
      </c>
      <c r="Q2321">
        <v>77692.34</v>
      </c>
      <c r="R2321">
        <v>648</v>
      </c>
      <c r="S2321">
        <v>1071</v>
      </c>
      <c r="T2321" t="s">
        <v>108</v>
      </c>
      <c r="U2321" t="s">
        <v>31</v>
      </c>
    </row>
    <row r="2322" spans="1:21">
      <c r="A2322" t="s">
        <v>3640</v>
      </c>
      <c r="B2322" t="s">
        <v>3639</v>
      </c>
      <c r="C2322" t="s">
        <v>1228</v>
      </c>
      <c r="D2322">
        <v>120000</v>
      </c>
      <c r="E2322">
        <v>4000</v>
      </c>
      <c r="F2322">
        <v>120000</v>
      </c>
      <c r="H2322">
        <v>1</v>
      </c>
      <c r="I2322" t="s">
        <v>432</v>
      </c>
      <c r="J2322">
        <v>11.61</v>
      </c>
      <c r="K2322">
        <v>6</v>
      </c>
      <c r="L2322">
        <v>2</v>
      </c>
      <c r="M2322" t="s">
        <v>3022</v>
      </c>
      <c r="N2322">
        <v>5</v>
      </c>
      <c r="O2322">
        <v>8.67</v>
      </c>
      <c r="P2322">
        <v>144436.73000000001</v>
      </c>
      <c r="Q2322">
        <v>77692.34</v>
      </c>
      <c r="R2322">
        <v>648</v>
      </c>
      <c r="S2322">
        <v>1071</v>
      </c>
      <c r="T2322" t="s">
        <v>108</v>
      </c>
      <c r="U2322" t="s">
        <v>31</v>
      </c>
    </row>
    <row r="2323" spans="1:21">
      <c r="A2323" t="s">
        <v>3641</v>
      </c>
      <c r="B2323" t="s">
        <v>3642</v>
      </c>
      <c r="C2323" t="s">
        <v>1228</v>
      </c>
      <c r="D2323">
        <v>75000</v>
      </c>
      <c r="E2323">
        <v>4000</v>
      </c>
      <c r="F2323">
        <v>75000</v>
      </c>
      <c r="H2323">
        <v>2</v>
      </c>
      <c r="I2323" t="s">
        <v>432</v>
      </c>
      <c r="J2323">
        <v>10.7</v>
      </c>
      <c r="K2323">
        <v>6</v>
      </c>
      <c r="L2323">
        <v>2</v>
      </c>
      <c r="M2323" t="s">
        <v>3022</v>
      </c>
      <c r="N2323">
        <v>7</v>
      </c>
      <c r="O2323">
        <v>10.33</v>
      </c>
      <c r="P2323">
        <v>144436.73000000001</v>
      </c>
      <c r="Q2323">
        <v>77692.34</v>
      </c>
      <c r="R2323">
        <v>648</v>
      </c>
      <c r="S2323">
        <v>1071</v>
      </c>
      <c r="T2323" t="s">
        <v>108</v>
      </c>
      <c r="U2323" t="s">
        <v>31</v>
      </c>
    </row>
    <row r="2324" spans="1:21">
      <c r="A2324" t="s">
        <v>3643</v>
      </c>
      <c r="B2324" t="s">
        <v>3644</v>
      </c>
      <c r="C2324" t="s">
        <v>3059</v>
      </c>
      <c r="D2324">
        <v>110000</v>
      </c>
      <c r="E2324">
        <v>5000</v>
      </c>
      <c r="F2324">
        <v>110000</v>
      </c>
      <c r="H2324">
        <v>4</v>
      </c>
      <c r="I2324" t="s">
        <v>432</v>
      </c>
      <c r="J2324">
        <v>29</v>
      </c>
      <c r="K2324">
        <v>17</v>
      </c>
      <c r="L2324">
        <v>4</v>
      </c>
      <c r="M2324" t="s">
        <v>3022</v>
      </c>
      <c r="N2324">
        <v>3</v>
      </c>
      <c r="O2324">
        <v>5.67</v>
      </c>
      <c r="P2324">
        <v>144436.73000000001</v>
      </c>
      <c r="Q2324">
        <v>77692.34</v>
      </c>
      <c r="R2324">
        <v>648</v>
      </c>
      <c r="S2324">
        <v>1071</v>
      </c>
      <c r="T2324" t="s">
        <v>34</v>
      </c>
      <c r="U2324" t="s">
        <v>90</v>
      </c>
    </row>
    <row r="2325" spans="1:21">
      <c r="A2325" t="s">
        <v>3645</v>
      </c>
      <c r="B2325" t="s">
        <v>3646</v>
      </c>
      <c r="C2325" t="s">
        <v>1773</v>
      </c>
      <c r="D2325">
        <v>119500</v>
      </c>
      <c r="E2325">
        <v>20000</v>
      </c>
      <c r="H2325">
        <v>2</v>
      </c>
      <c r="I2325" t="s">
        <v>432</v>
      </c>
      <c r="J2325">
        <v>25.79</v>
      </c>
      <c r="K2325">
        <v>2</v>
      </c>
      <c r="L2325">
        <v>7</v>
      </c>
      <c r="M2325" t="s">
        <v>3022</v>
      </c>
      <c r="N2325">
        <v>6</v>
      </c>
      <c r="O2325">
        <v>10.33</v>
      </c>
      <c r="P2325">
        <v>144436.73000000001</v>
      </c>
      <c r="Q2325">
        <v>77692.34</v>
      </c>
      <c r="R2325">
        <v>648</v>
      </c>
      <c r="S2325">
        <v>1071</v>
      </c>
      <c r="T2325" t="s">
        <v>34</v>
      </c>
      <c r="U2325" t="s">
        <v>31</v>
      </c>
    </row>
    <row r="2326" spans="1:21">
      <c r="A2326" t="s">
        <v>3647</v>
      </c>
      <c r="B2326" t="s">
        <v>3646</v>
      </c>
      <c r="C2326" t="s">
        <v>1773</v>
      </c>
      <c r="D2326">
        <v>131000</v>
      </c>
      <c r="E2326">
        <v>20000</v>
      </c>
      <c r="G2326">
        <v>131000</v>
      </c>
      <c r="H2326">
        <v>3</v>
      </c>
      <c r="I2326" t="s">
        <v>432</v>
      </c>
      <c r="J2326">
        <v>30.6</v>
      </c>
      <c r="K2326">
        <v>2</v>
      </c>
      <c r="L2326">
        <v>7</v>
      </c>
      <c r="M2326" t="s">
        <v>3022</v>
      </c>
      <c r="N2326">
        <v>6</v>
      </c>
      <c r="O2326">
        <v>10.33</v>
      </c>
      <c r="P2326">
        <v>144436.73000000001</v>
      </c>
      <c r="Q2326">
        <v>77692.34</v>
      </c>
      <c r="R2326">
        <v>648</v>
      </c>
      <c r="S2326">
        <v>1071</v>
      </c>
      <c r="T2326" t="s">
        <v>26</v>
      </c>
      <c r="U2326" t="s">
        <v>31</v>
      </c>
    </row>
    <row r="2327" spans="1:21">
      <c r="A2327" t="s">
        <v>3648</v>
      </c>
      <c r="B2327" t="s">
        <v>3646</v>
      </c>
      <c r="C2327" t="s">
        <v>1773</v>
      </c>
      <c r="D2327">
        <v>118000</v>
      </c>
      <c r="E2327">
        <v>20000</v>
      </c>
      <c r="G2327">
        <v>118000</v>
      </c>
      <c r="H2327">
        <v>5</v>
      </c>
      <c r="I2327" t="s">
        <v>432</v>
      </c>
      <c r="J2327">
        <v>25.79</v>
      </c>
      <c r="K2327">
        <v>2</v>
      </c>
      <c r="L2327">
        <v>7</v>
      </c>
      <c r="M2327" t="s">
        <v>3022</v>
      </c>
      <c r="N2327">
        <v>6</v>
      </c>
      <c r="O2327">
        <v>10.33</v>
      </c>
      <c r="P2327">
        <v>144436.73000000001</v>
      </c>
      <c r="Q2327">
        <v>77692.34</v>
      </c>
      <c r="R2327">
        <v>648</v>
      </c>
      <c r="S2327">
        <v>1071</v>
      </c>
      <c r="T2327" t="s">
        <v>34</v>
      </c>
      <c r="U2327" t="s">
        <v>31</v>
      </c>
    </row>
    <row r="2328" spans="1:21">
      <c r="A2328" t="s">
        <v>3649</v>
      </c>
      <c r="B2328" t="s">
        <v>3646</v>
      </c>
      <c r="C2328" t="s">
        <v>1773</v>
      </c>
      <c r="D2328">
        <v>138000</v>
      </c>
      <c r="E2328">
        <v>10000</v>
      </c>
      <c r="G2328">
        <v>138000</v>
      </c>
      <c r="H2328">
        <v>5</v>
      </c>
      <c r="I2328" t="s">
        <v>432</v>
      </c>
      <c r="J2328">
        <v>25.8</v>
      </c>
      <c r="K2328">
        <v>2</v>
      </c>
      <c r="L2328">
        <v>7</v>
      </c>
      <c r="M2328" t="s">
        <v>3022</v>
      </c>
      <c r="N2328">
        <v>6</v>
      </c>
      <c r="O2328">
        <v>10.33</v>
      </c>
      <c r="P2328">
        <v>144436.73000000001</v>
      </c>
      <c r="Q2328">
        <v>77692.34</v>
      </c>
      <c r="R2328">
        <v>648</v>
      </c>
      <c r="S2328">
        <v>1071</v>
      </c>
      <c r="T2328" t="s">
        <v>34</v>
      </c>
      <c r="U2328" t="s">
        <v>31</v>
      </c>
    </row>
    <row r="2329" spans="1:21">
      <c r="A2329" t="s">
        <v>3650</v>
      </c>
      <c r="B2329" t="s">
        <v>3024</v>
      </c>
      <c r="C2329" t="s">
        <v>3025</v>
      </c>
      <c r="D2329">
        <v>139000</v>
      </c>
      <c r="E2329">
        <v>15000</v>
      </c>
      <c r="F2329">
        <v>139000</v>
      </c>
      <c r="G2329">
        <v>139000</v>
      </c>
      <c r="H2329">
        <v>3</v>
      </c>
      <c r="I2329" t="s">
        <v>432</v>
      </c>
      <c r="J2329">
        <v>25.5</v>
      </c>
      <c r="K2329">
        <v>3</v>
      </c>
      <c r="L2329">
        <v>5</v>
      </c>
      <c r="M2329" t="s">
        <v>3022</v>
      </c>
      <c r="N2329">
        <v>7</v>
      </c>
      <c r="O2329">
        <v>9</v>
      </c>
      <c r="P2329">
        <v>144436.73000000001</v>
      </c>
      <c r="Q2329">
        <v>77692.34</v>
      </c>
      <c r="R2329">
        <v>648</v>
      </c>
      <c r="S2329">
        <v>1071</v>
      </c>
      <c r="T2329" t="s">
        <v>34</v>
      </c>
      <c r="U2329" t="s">
        <v>31</v>
      </c>
    </row>
    <row r="2330" spans="1:21">
      <c r="A2330" t="s">
        <v>3651</v>
      </c>
      <c r="B2330" t="s">
        <v>3024</v>
      </c>
      <c r="C2330" t="s">
        <v>3025</v>
      </c>
      <c r="D2330">
        <v>129000</v>
      </c>
      <c r="E2330">
        <v>15000</v>
      </c>
      <c r="F2330">
        <v>129000</v>
      </c>
      <c r="G2330">
        <v>129000</v>
      </c>
      <c r="H2330">
        <v>4</v>
      </c>
      <c r="I2330" t="s">
        <v>432</v>
      </c>
      <c r="J2330">
        <v>25.5</v>
      </c>
      <c r="K2330">
        <v>3</v>
      </c>
      <c r="L2330">
        <v>5</v>
      </c>
      <c r="M2330" t="s">
        <v>3022</v>
      </c>
      <c r="N2330">
        <v>7</v>
      </c>
      <c r="O2330">
        <v>9</v>
      </c>
      <c r="P2330">
        <v>144436.73000000001</v>
      </c>
      <c r="Q2330">
        <v>77692.34</v>
      </c>
      <c r="R2330">
        <v>648</v>
      </c>
      <c r="S2330">
        <v>1071</v>
      </c>
      <c r="T2330" t="s">
        <v>34</v>
      </c>
      <c r="U2330" t="s">
        <v>31</v>
      </c>
    </row>
    <row r="2331" spans="1:21">
      <c r="A2331" t="s">
        <v>3652</v>
      </c>
      <c r="B2331" t="s">
        <v>3024</v>
      </c>
      <c r="C2331" t="s">
        <v>3025</v>
      </c>
      <c r="D2331">
        <v>141000</v>
      </c>
      <c r="E2331">
        <v>15000</v>
      </c>
      <c r="F2331">
        <v>141000</v>
      </c>
      <c r="G2331">
        <v>141000</v>
      </c>
      <c r="H2331">
        <v>4</v>
      </c>
      <c r="I2331" t="s">
        <v>432</v>
      </c>
      <c r="J2331">
        <v>25.5</v>
      </c>
      <c r="K2331">
        <v>3</v>
      </c>
      <c r="L2331">
        <v>5</v>
      </c>
      <c r="M2331" t="s">
        <v>3022</v>
      </c>
      <c r="N2331">
        <v>7</v>
      </c>
      <c r="O2331">
        <v>9</v>
      </c>
      <c r="P2331">
        <v>144436.73000000001</v>
      </c>
      <c r="Q2331">
        <v>77692.34</v>
      </c>
      <c r="R2331">
        <v>648</v>
      </c>
      <c r="S2331">
        <v>1071</v>
      </c>
      <c r="T2331" t="s">
        <v>34</v>
      </c>
      <c r="U2331" t="s">
        <v>31</v>
      </c>
    </row>
    <row r="2332" spans="1:21">
      <c r="A2332" t="s">
        <v>3653</v>
      </c>
      <c r="B2332" t="s">
        <v>3654</v>
      </c>
      <c r="C2332" t="s">
        <v>1890</v>
      </c>
      <c r="D2332">
        <v>73000</v>
      </c>
      <c r="E2332">
        <v>2000</v>
      </c>
      <c r="F2332">
        <v>73000</v>
      </c>
      <c r="G2332">
        <v>73000</v>
      </c>
      <c r="H2332">
        <v>1</v>
      </c>
      <c r="I2332" t="s">
        <v>432</v>
      </c>
      <c r="J2332">
        <v>18</v>
      </c>
      <c r="K2332">
        <v>43</v>
      </c>
      <c r="L2332">
        <v>2</v>
      </c>
      <c r="M2332" t="s">
        <v>3022</v>
      </c>
      <c r="N2332">
        <v>10</v>
      </c>
      <c r="O2332">
        <v>12</v>
      </c>
      <c r="P2332">
        <v>144436.73000000001</v>
      </c>
      <c r="Q2332">
        <v>77692.34</v>
      </c>
      <c r="R2332">
        <v>648</v>
      </c>
      <c r="S2332">
        <v>1071</v>
      </c>
      <c r="T2332" t="s">
        <v>108</v>
      </c>
      <c r="U2332" t="s">
        <v>42</v>
      </c>
    </row>
    <row r="2333" spans="1:21">
      <c r="A2333" t="s">
        <v>3655</v>
      </c>
      <c r="B2333" t="s">
        <v>3656</v>
      </c>
      <c r="C2333" t="s">
        <v>1228</v>
      </c>
      <c r="D2333">
        <v>65000</v>
      </c>
      <c r="F2333">
        <v>65000</v>
      </c>
      <c r="G2333">
        <v>65000</v>
      </c>
      <c r="H2333">
        <v>2</v>
      </c>
      <c r="I2333" t="s">
        <v>432</v>
      </c>
      <c r="J2333">
        <v>19</v>
      </c>
      <c r="K2333">
        <v>33</v>
      </c>
      <c r="L2333">
        <v>5</v>
      </c>
      <c r="M2333" t="s">
        <v>3022</v>
      </c>
      <c r="N2333">
        <v>3</v>
      </c>
      <c r="O2333">
        <v>8</v>
      </c>
      <c r="P2333">
        <v>144436.73000000001</v>
      </c>
      <c r="Q2333">
        <v>77692.34</v>
      </c>
      <c r="R2333">
        <v>648</v>
      </c>
      <c r="S2333">
        <v>1071</v>
      </c>
      <c r="T2333" t="s">
        <v>108</v>
      </c>
      <c r="U2333" t="s">
        <v>49</v>
      </c>
    </row>
    <row r="2334" spans="1:21">
      <c r="A2334" t="s">
        <v>3657</v>
      </c>
      <c r="B2334" t="s">
        <v>3658</v>
      </c>
      <c r="C2334" t="s">
        <v>3195</v>
      </c>
      <c r="D2334">
        <v>48000</v>
      </c>
      <c r="E2334">
        <v>2500</v>
      </c>
      <c r="F2334">
        <v>48000</v>
      </c>
      <c r="H2334">
        <v>1</v>
      </c>
      <c r="I2334" t="s">
        <v>432</v>
      </c>
      <c r="J2334">
        <v>10</v>
      </c>
      <c r="K2334">
        <v>72</v>
      </c>
      <c r="L2334">
        <v>2</v>
      </c>
      <c r="M2334" t="s">
        <v>3022</v>
      </c>
      <c r="N2334">
        <v>2</v>
      </c>
      <c r="O2334">
        <v>6.67</v>
      </c>
      <c r="P2334">
        <v>144436.73000000001</v>
      </c>
      <c r="Q2334">
        <v>77692.34</v>
      </c>
      <c r="R2334">
        <v>648</v>
      </c>
      <c r="S2334">
        <v>1071</v>
      </c>
      <c r="T2334" t="s">
        <v>108</v>
      </c>
      <c r="U2334" t="s">
        <v>38</v>
      </c>
    </row>
    <row r="2335" spans="1:21">
      <c r="A2335" t="s">
        <v>3659</v>
      </c>
      <c r="B2335" t="s">
        <v>3658</v>
      </c>
      <c r="C2335" t="s">
        <v>3195</v>
      </c>
      <c r="D2335">
        <v>55000</v>
      </c>
      <c r="E2335">
        <v>2500</v>
      </c>
      <c r="F2335">
        <v>55000</v>
      </c>
      <c r="H2335">
        <v>2</v>
      </c>
      <c r="I2335" t="s">
        <v>432</v>
      </c>
      <c r="J2335">
        <v>11</v>
      </c>
      <c r="K2335">
        <v>72</v>
      </c>
      <c r="L2335">
        <v>2</v>
      </c>
      <c r="M2335" t="s">
        <v>3022</v>
      </c>
      <c r="N2335">
        <v>2</v>
      </c>
      <c r="O2335">
        <v>6.67</v>
      </c>
      <c r="P2335">
        <v>144436.73000000001</v>
      </c>
      <c r="Q2335">
        <v>77692.34</v>
      </c>
      <c r="R2335">
        <v>648</v>
      </c>
      <c r="S2335">
        <v>1071</v>
      </c>
      <c r="T2335" t="s">
        <v>108</v>
      </c>
      <c r="U2335" t="s">
        <v>38</v>
      </c>
    </row>
    <row r="2336" spans="1:21">
      <c r="A2336" t="s">
        <v>3660</v>
      </c>
      <c r="B2336" t="s">
        <v>3661</v>
      </c>
      <c r="C2336" t="s">
        <v>1768</v>
      </c>
      <c r="D2336">
        <v>80000</v>
      </c>
      <c r="E2336">
        <v>4000</v>
      </c>
      <c r="F2336">
        <v>80000</v>
      </c>
      <c r="H2336">
        <v>3</v>
      </c>
      <c r="I2336" t="s">
        <v>432</v>
      </c>
      <c r="J2336">
        <v>26.45</v>
      </c>
      <c r="K2336">
        <v>40</v>
      </c>
      <c r="L2336">
        <v>4</v>
      </c>
      <c r="M2336" t="s">
        <v>3022</v>
      </c>
      <c r="N2336">
        <v>6</v>
      </c>
      <c r="O2336">
        <v>8</v>
      </c>
      <c r="P2336">
        <v>144436.73000000001</v>
      </c>
      <c r="Q2336">
        <v>77692.34</v>
      </c>
      <c r="R2336">
        <v>648</v>
      </c>
      <c r="S2336">
        <v>1071</v>
      </c>
      <c r="T2336" t="s">
        <v>34</v>
      </c>
      <c r="U2336" t="s">
        <v>49</v>
      </c>
    </row>
    <row r="2337" spans="1:21">
      <c r="A2337" t="s">
        <v>3662</v>
      </c>
      <c r="B2337" t="s">
        <v>3176</v>
      </c>
      <c r="C2337" t="s">
        <v>1773</v>
      </c>
      <c r="D2337">
        <v>123000</v>
      </c>
      <c r="E2337">
        <v>15000</v>
      </c>
      <c r="H2337">
        <v>3</v>
      </c>
      <c r="I2337" t="s">
        <v>432</v>
      </c>
      <c r="J2337">
        <v>25.66</v>
      </c>
      <c r="K2337">
        <v>3</v>
      </c>
      <c r="L2337">
        <v>5</v>
      </c>
      <c r="M2337" t="s">
        <v>3022</v>
      </c>
      <c r="N2337">
        <v>5</v>
      </c>
      <c r="O2337">
        <v>12</v>
      </c>
      <c r="P2337">
        <v>144436.73000000001</v>
      </c>
      <c r="Q2337">
        <v>77692.34</v>
      </c>
      <c r="R2337">
        <v>648</v>
      </c>
      <c r="S2337">
        <v>1071</v>
      </c>
      <c r="T2337" t="s">
        <v>34</v>
      </c>
      <c r="U2337" t="s">
        <v>31</v>
      </c>
    </row>
    <row r="2338" spans="1:21">
      <c r="A2338" t="s">
        <v>3663</v>
      </c>
      <c r="B2338" t="s">
        <v>3664</v>
      </c>
      <c r="C2338" t="s">
        <v>3059</v>
      </c>
      <c r="D2338">
        <v>52000</v>
      </c>
      <c r="E2338">
        <v>3000</v>
      </c>
      <c r="H2338">
        <v>1</v>
      </c>
      <c r="I2338" t="s">
        <v>432</v>
      </c>
      <c r="J2338">
        <v>12.1</v>
      </c>
      <c r="K2338">
        <v>20</v>
      </c>
      <c r="L2338">
        <v>2</v>
      </c>
      <c r="M2338" t="s">
        <v>3022</v>
      </c>
      <c r="N2338">
        <v>5</v>
      </c>
      <c r="O2338">
        <v>8.67</v>
      </c>
      <c r="P2338">
        <v>144436.73000000001</v>
      </c>
      <c r="Q2338">
        <v>77692.34</v>
      </c>
      <c r="R2338">
        <v>648</v>
      </c>
      <c r="S2338">
        <v>1071</v>
      </c>
      <c r="T2338" t="s">
        <v>108</v>
      </c>
      <c r="U2338" t="s">
        <v>90</v>
      </c>
    </row>
    <row r="2339" spans="1:21">
      <c r="A2339" t="s">
        <v>3665</v>
      </c>
      <c r="B2339" t="s">
        <v>3178</v>
      </c>
      <c r="C2339" t="s">
        <v>1773</v>
      </c>
      <c r="D2339">
        <v>120000</v>
      </c>
      <c r="F2339">
        <v>240000</v>
      </c>
      <c r="G2339">
        <v>120000</v>
      </c>
      <c r="H2339">
        <v>2</v>
      </c>
      <c r="I2339" t="s">
        <v>432</v>
      </c>
      <c r="J2339">
        <v>31.41</v>
      </c>
      <c r="K2339">
        <v>35</v>
      </c>
      <c r="L2339">
        <v>4</v>
      </c>
      <c r="M2339" t="s">
        <v>3022</v>
      </c>
      <c r="N2339">
        <v>5</v>
      </c>
      <c r="O2339">
        <v>9</v>
      </c>
      <c r="P2339">
        <v>144436.73000000001</v>
      </c>
      <c r="Q2339">
        <v>77692.34</v>
      </c>
      <c r="R2339">
        <v>648</v>
      </c>
      <c r="S2339">
        <v>1071</v>
      </c>
      <c r="T2339" t="s">
        <v>26</v>
      </c>
      <c r="U2339" t="s">
        <v>49</v>
      </c>
    </row>
    <row r="2340" spans="1:21">
      <c r="A2340" t="s">
        <v>3666</v>
      </c>
      <c r="B2340" t="s">
        <v>3667</v>
      </c>
      <c r="C2340" t="s">
        <v>3059</v>
      </c>
      <c r="D2340">
        <v>81000</v>
      </c>
      <c r="E2340">
        <v>2000</v>
      </c>
      <c r="F2340">
        <v>81000</v>
      </c>
      <c r="G2340">
        <v>81000</v>
      </c>
      <c r="H2340">
        <v>2</v>
      </c>
      <c r="I2340" t="s">
        <v>432</v>
      </c>
      <c r="J2340">
        <v>22.35</v>
      </c>
      <c r="K2340">
        <v>24</v>
      </c>
      <c r="L2340">
        <v>2</v>
      </c>
      <c r="M2340" t="s">
        <v>3022</v>
      </c>
      <c r="N2340">
        <v>4</v>
      </c>
      <c r="O2340">
        <v>7</v>
      </c>
      <c r="P2340">
        <v>144436.73000000001</v>
      </c>
      <c r="Q2340">
        <v>77692.34</v>
      </c>
      <c r="R2340">
        <v>648</v>
      </c>
      <c r="S2340">
        <v>1071</v>
      </c>
      <c r="T2340" t="s">
        <v>34</v>
      </c>
      <c r="U2340" t="s">
        <v>27</v>
      </c>
    </row>
    <row r="2341" spans="1:21">
      <c r="A2341" t="s">
        <v>3668</v>
      </c>
      <c r="B2341" t="s">
        <v>3669</v>
      </c>
      <c r="C2341" t="s">
        <v>3059</v>
      </c>
      <c r="D2341">
        <v>89000</v>
      </c>
      <c r="E2341">
        <v>6000</v>
      </c>
      <c r="G2341">
        <v>89000</v>
      </c>
      <c r="H2341">
        <v>1</v>
      </c>
      <c r="I2341" t="s">
        <v>432</v>
      </c>
      <c r="J2341">
        <v>15.2</v>
      </c>
      <c r="K2341">
        <v>7</v>
      </c>
      <c r="L2341">
        <v>2</v>
      </c>
      <c r="M2341" t="s">
        <v>3022</v>
      </c>
      <c r="N2341">
        <v>5</v>
      </c>
      <c r="O2341">
        <v>9.33</v>
      </c>
      <c r="P2341">
        <v>144436.73000000001</v>
      </c>
      <c r="Q2341">
        <v>77692.34</v>
      </c>
      <c r="R2341">
        <v>648</v>
      </c>
      <c r="S2341">
        <v>1071</v>
      </c>
      <c r="T2341" t="s">
        <v>108</v>
      </c>
      <c r="U2341" t="s">
        <v>31</v>
      </c>
    </row>
    <row r="2342" spans="1:21">
      <c r="A2342" t="s">
        <v>3670</v>
      </c>
      <c r="B2342" t="s">
        <v>3669</v>
      </c>
      <c r="C2342" t="s">
        <v>3059</v>
      </c>
      <c r="D2342">
        <v>89000</v>
      </c>
      <c r="E2342">
        <v>6000</v>
      </c>
      <c r="G2342">
        <v>89000</v>
      </c>
      <c r="H2342">
        <v>2</v>
      </c>
      <c r="I2342" t="s">
        <v>432</v>
      </c>
      <c r="J2342">
        <v>15.2</v>
      </c>
      <c r="K2342">
        <v>7</v>
      </c>
      <c r="L2342">
        <v>2</v>
      </c>
      <c r="M2342" t="s">
        <v>3022</v>
      </c>
      <c r="N2342">
        <v>5</v>
      </c>
      <c r="O2342">
        <v>9.33</v>
      </c>
      <c r="P2342">
        <v>144436.73000000001</v>
      </c>
      <c r="Q2342">
        <v>77692.34</v>
      </c>
      <c r="R2342">
        <v>648</v>
      </c>
      <c r="S2342">
        <v>1071</v>
      </c>
      <c r="T2342" t="s">
        <v>108</v>
      </c>
      <c r="U2342" t="s">
        <v>31</v>
      </c>
    </row>
    <row r="2343" spans="1:21">
      <c r="A2343" t="s">
        <v>3671</v>
      </c>
      <c r="B2343" t="s">
        <v>3038</v>
      </c>
      <c r="C2343" t="s">
        <v>1773</v>
      </c>
      <c r="D2343">
        <v>85000</v>
      </c>
      <c r="E2343">
        <v>3000</v>
      </c>
      <c r="F2343">
        <v>85000</v>
      </c>
      <c r="H2343">
        <v>1</v>
      </c>
      <c r="I2343" t="s">
        <v>432</v>
      </c>
      <c r="J2343">
        <v>22.86</v>
      </c>
      <c r="K2343">
        <v>18</v>
      </c>
      <c r="L2343">
        <v>2</v>
      </c>
      <c r="M2343" t="s">
        <v>3022</v>
      </c>
      <c r="N2343">
        <v>7</v>
      </c>
      <c r="O2343">
        <v>10.33</v>
      </c>
      <c r="P2343">
        <v>144436.73000000001</v>
      </c>
      <c r="Q2343">
        <v>77692.34</v>
      </c>
      <c r="R2343">
        <v>648</v>
      </c>
      <c r="S2343">
        <v>1071</v>
      </c>
      <c r="T2343" t="s">
        <v>34</v>
      </c>
      <c r="U2343" t="s">
        <v>90</v>
      </c>
    </row>
    <row r="2344" spans="1:21">
      <c r="A2344" t="s">
        <v>3672</v>
      </c>
      <c r="B2344" t="s">
        <v>3673</v>
      </c>
      <c r="C2344" t="s">
        <v>1228</v>
      </c>
      <c r="D2344">
        <v>57000</v>
      </c>
      <c r="E2344">
        <v>3000</v>
      </c>
      <c r="H2344">
        <v>2</v>
      </c>
      <c r="I2344" t="s">
        <v>432</v>
      </c>
      <c r="J2344">
        <v>9.2899999999999991</v>
      </c>
      <c r="K2344">
        <v>14</v>
      </c>
      <c r="L2344">
        <v>2</v>
      </c>
      <c r="M2344" t="s">
        <v>3022</v>
      </c>
      <c r="N2344">
        <v>7</v>
      </c>
      <c r="O2344">
        <v>14.67</v>
      </c>
      <c r="P2344">
        <v>144436.73000000001</v>
      </c>
      <c r="Q2344">
        <v>77692.34</v>
      </c>
      <c r="R2344">
        <v>648</v>
      </c>
      <c r="S2344">
        <v>1071</v>
      </c>
      <c r="T2344" t="s">
        <v>231</v>
      </c>
      <c r="U2344" t="s">
        <v>90</v>
      </c>
    </row>
    <row r="2345" spans="1:21">
      <c r="A2345" t="s">
        <v>3674</v>
      </c>
      <c r="B2345" t="s">
        <v>3675</v>
      </c>
      <c r="C2345" t="s">
        <v>1890</v>
      </c>
      <c r="D2345">
        <v>68000</v>
      </c>
      <c r="F2345">
        <v>68000</v>
      </c>
      <c r="H2345">
        <v>2</v>
      </c>
      <c r="I2345" t="s">
        <v>432</v>
      </c>
      <c r="J2345">
        <v>17.2</v>
      </c>
      <c r="K2345">
        <v>32</v>
      </c>
      <c r="L2345">
        <v>3</v>
      </c>
      <c r="M2345" t="s">
        <v>3022</v>
      </c>
      <c r="N2345">
        <v>10</v>
      </c>
      <c r="O2345">
        <v>11</v>
      </c>
      <c r="P2345">
        <v>144436.73000000001</v>
      </c>
      <c r="Q2345">
        <v>77692.34</v>
      </c>
      <c r="R2345">
        <v>648</v>
      </c>
      <c r="S2345">
        <v>1071</v>
      </c>
      <c r="T2345" t="s">
        <v>108</v>
      </c>
      <c r="U2345" t="s">
        <v>49</v>
      </c>
    </row>
    <row r="2346" spans="1:21">
      <c r="A2346" t="s">
        <v>3676</v>
      </c>
      <c r="B2346" t="s">
        <v>3677</v>
      </c>
      <c r="C2346" t="s">
        <v>1228</v>
      </c>
      <c r="D2346">
        <v>67000</v>
      </c>
      <c r="E2346">
        <v>3000</v>
      </c>
      <c r="F2346">
        <v>67000</v>
      </c>
      <c r="G2346">
        <v>67000</v>
      </c>
      <c r="H2346">
        <v>1</v>
      </c>
      <c r="I2346" t="s">
        <v>432</v>
      </c>
      <c r="J2346">
        <v>15.27</v>
      </c>
      <c r="K2346">
        <v>8</v>
      </c>
      <c r="L2346">
        <v>3</v>
      </c>
      <c r="M2346" t="s">
        <v>3022</v>
      </c>
      <c r="N2346">
        <v>6</v>
      </c>
      <c r="O2346">
        <v>10.33</v>
      </c>
      <c r="P2346">
        <v>144436.73000000001</v>
      </c>
      <c r="Q2346">
        <v>77692.34</v>
      </c>
      <c r="R2346">
        <v>648</v>
      </c>
      <c r="S2346">
        <v>1071</v>
      </c>
      <c r="T2346" t="s">
        <v>108</v>
      </c>
      <c r="U2346" t="s">
        <v>31</v>
      </c>
    </row>
    <row r="2347" spans="1:21">
      <c r="A2347" t="s">
        <v>3678</v>
      </c>
      <c r="B2347" t="s">
        <v>3679</v>
      </c>
      <c r="C2347" t="s">
        <v>1768</v>
      </c>
      <c r="D2347">
        <v>70000</v>
      </c>
      <c r="E2347">
        <v>2500</v>
      </c>
      <c r="G2347">
        <v>70000</v>
      </c>
      <c r="H2347">
        <v>4</v>
      </c>
      <c r="I2347" t="s">
        <v>432</v>
      </c>
      <c r="J2347">
        <v>15.57</v>
      </c>
      <c r="K2347">
        <v>22</v>
      </c>
      <c r="L2347">
        <v>4</v>
      </c>
      <c r="M2347" t="s">
        <v>3022</v>
      </c>
      <c r="N2347">
        <v>7</v>
      </c>
      <c r="O2347">
        <v>9.67</v>
      </c>
      <c r="P2347">
        <v>144436.73000000001</v>
      </c>
      <c r="Q2347">
        <v>77692.34</v>
      </c>
      <c r="R2347">
        <v>648</v>
      </c>
      <c r="S2347">
        <v>1071</v>
      </c>
      <c r="T2347" t="s">
        <v>108</v>
      </c>
      <c r="U2347" t="s">
        <v>27</v>
      </c>
    </row>
    <row r="2348" spans="1:21">
      <c r="A2348" t="s">
        <v>3680</v>
      </c>
      <c r="B2348" t="s">
        <v>3047</v>
      </c>
      <c r="C2348" t="s">
        <v>3025</v>
      </c>
      <c r="D2348">
        <v>141000</v>
      </c>
      <c r="E2348">
        <v>15000</v>
      </c>
      <c r="F2348">
        <v>141000</v>
      </c>
      <c r="G2348">
        <v>141000</v>
      </c>
      <c r="H2348">
        <v>4</v>
      </c>
      <c r="I2348" t="s">
        <v>432</v>
      </c>
      <c r="J2348">
        <v>25.5</v>
      </c>
      <c r="K2348">
        <v>3</v>
      </c>
      <c r="L2348">
        <v>5</v>
      </c>
      <c r="M2348" t="s">
        <v>3022</v>
      </c>
      <c r="N2348">
        <v>7</v>
      </c>
      <c r="O2348">
        <v>9.33</v>
      </c>
      <c r="P2348">
        <v>144436.73000000001</v>
      </c>
      <c r="Q2348">
        <v>77692.34</v>
      </c>
      <c r="R2348">
        <v>648</v>
      </c>
      <c r="S2348">
        <v>1071</v>
      </c>
      <c r="T2348" t="s">
        <v>34</v>
      </c>
      <c r="U2348" t="s">
        <v>31</v>
      </c>
    </row>
    <row r="2349" spans="1:21">
      <c r="A2349" t="s">
        <v>3681</v>
      </c>
      <c r="B2349" t="s">
        <v>3682</v>
      </c>
      <c r="C2349" t="s">
        <v>3059</v>
      </c>
      <c r="D2349">
        <v>69000</v>
      </c>
      <c r="E2349">
        <v>3000</v>
      </c>
      <c r="F2349">
        <v>69000</v>
      </c>
      <c r="G2349">
        <v>69000</v>
      </c>
      <c r="H2349">
        <v>2</v>
      </c>
      <c r="I2349" t="s">
        <v>432</v>
      </c>
      <c r="J2349">
        <v>18</v>
      </c>
      <c r="K2349">
        <v>35</v>
      </c>
      <c r="L2349">
        <v>3</v>
      </c>
      <c r="M2349" t="s">
        <v>3022</v>
      </c>
      <c r="N2349">
        <v>3</v>
      </c>
      <c r="O2349">
        <v>6.67</v>
      </c>
      <c r="P2349">
        <v>144436.73000000001</v>
      </c>
      <c r="Q2349">
        <v>77692.34</v>
      </c>
      <c r="R2349">
        <v>648</v>
      </c>
      <c r="S2349">
        <v>1071</v>
      </c>
      <c r="T2349" t="s">
        <v>108</v>
      </c>
      <c r="U2349" t="s">
        <v>49</v>
      </c>
    </row>
    <row r="2350" spans="1:21">
      <c r="A2350" t="s">
        <v>3683</v>
      </c>
      <c r="B2350" t="s">
        <v>3682</v>
      </c>
      <c r="C2350" t="s">
        <v>3059</v>
      </c>
      <c r="D2350">
        <v>69000</v>
      </c>
      <c r="E2350">
        <v>3000</v>
      </c>
      <c r="F2350">
        <v>69000</v>
      </c>
      <c r="H2350">
        <v>3</v>
      </c>
      <c r="I2350" t="s">
        <v>432</v>
      </c>
      <c r="J2350">
        <v>17.329999999999998</v>
      </c>
      <c r="K2350">
        <v>35</v>
      </c>
      <c r="L2350">
        <v>3</v>
      </c>
      <c r="M2350" t="s">
        <v>3022</v>
      </c>
      <c r="N2350">
        <v>3</v>
      </c>
      <c r="O2350">
        <v>6.67</v>
      </c>
      <c r="P2350">
        <v>144436.73000000001</v>
      </c>
      <c r="Q2350">
        <v>77692.34</v>
      </c>
      <c r="R2350">
        <v>648</v>
      </c>
      <c r="S2350">
        <v>1071</v>
      </c>
      <c r="T2350" t="s">
        <v>108</v>
      </c>
      <c r="U2350" t="s">
        <v>49</v>
      </c>
    </row>
    <row r="2351" spans="1:21">
      <c r="A2351" t="s">
        <v>3684</v>
      </c>
      <c r="B2351" t="s">
        <v>3682</v>
      </c>
      <c r="C2351" t="s">
        <v>3059</v>
      </c>
      <c r="D2351">
        <v>71000</v>
      </c>
      <c r="E2351">
        <v>3000</v>
      </c>
      <c r="F2351">
        <v>71000</v>
      </c>
      <c r="H2351">
        <v>3</v>
      </c>
      <c r="I2351" t="s">
        <v>432</v>
      </c>
      <c r="J2351">
        <v>18</v>
      </c>
      <c r="K2351">
        <v>35</v>
      </c>
      <c r="L2351">
        <v>3</v>
      </c>
      <c r="M2351" t="s">
        <v>3022</v>
      </c>
      <c r="N2351">
        <v>3</v>
      </c>
      <c r="O2351">
        <v>6.67</v>
      </c>
      <c r="P2351">
        <v>144436.73000000001</v>
      </c>
      <c r="Q2351">
        <v>77692.34</v>
      </c>
      <c r="R2351">
        <v>648</v>
      </c>
      <c r="S2351">
        <v>1071</v>
      </c>
      <c r="T2351" t="s">
        <v>108</v>
      </c>
      <c r="U2351" t="s">
        <v>49</v>
      </c>
    </row>
    <row r="2352" spans="1:21">
      <c r="A2352" t="s">
        <v>3685</v>
      </c>
      <c r="B2352" t="s">
        <v>3682</v>
      </c>
      <c r="C2352" t="s">
        <v>3059</v>
      </c>
      <c r="D2352">
        <v>72000</v>
      </c>
      <c r="E2352">
        <v>3000</v>
      </c>
      <c r="F2352">
        <v>72000</v>
      </c>
      <c r="G2352">
        <v>72000</v>
      </c>
      <c r="H2352">
        <v>3</v>
      </c>
      <c r="I2352" t="s">
        <v>432</v>
      </c>
      <c r="J2352">
        <v>18</v>
      </c>
      <c r="K2352">
        <v>35</v>
      </c>
      <c r="L2352">
        <v>3</v>
      </c>
      <c r="M2352" t="s">
        <v>3022</v>
      </c>
      <c r="N2352">
        <v>3</v>
      </c>
      <c r="O2352">
        <v>6.67</v>
      </c>
      <c r="P2352">
        <v>144436.73000000001</v>
      </c>
      <c r="Q2352">
        <v>77692.34</v>
      </c>
      <c r="R2352">
        <v>648</v>
      </c>
      <c r="S2352">
        <v>1071</v>
      </c>
      <c r="T2352" t="s">
        <v>108</v>
      </c>
      <c r="U2352" t="s">
        <v>49</v>
      </c>
    </row>
    <row r="2353" spans="1:21">
      <c r="A2353" t="s">
        <v>3686</v>
      </c>
      <c r="B2353" t="s">
        <v>3687</v>
      </c>
      <c r="C2353" t="s">
        <v>1768</v>
      </c>
      <c r="D2353">
        <v>72000</v>
      </c>
      <c r="E2353">
        <v>10000</v>
      </c>
      <c r="G2353">
        <v>72000</v>
      </c>
      <c r="H2353">
        <v>6</v>
      </c>
      <c r="I2353" t="s">
        <v>432</v>
      </c>
      <c r="J2353">
        <v>18.579999999999998</v>
      </c>
      <c r="K2353">
        <v>28</v>
      </c>
      <c r="L2353">
        <v>7</v>
      </c>
      <c r="M2353" t="s">
        <v>3022</v>
      </c>
      <c r="N2353">
        <v>7</v>
      </c>
      <c r="O2353">
        <v>9.67</v>
      </c>
      <c r="P2353">
        <v>144436.73000000001</v>
      </c>
      <c r="Q2353">
        <v>77692.34</v>
      </c>
      <c r="R2353">
        <v>648</v>
      </c>
      <c r="S2353">
        <v>1071</v>
      </c>
      <c r="T2353" t="s">
        <v>108</v>
      </c>
      <c r="U2353" t="s">
        <v>27</v>
      </c>
    </row>
    <row r="2354" spans="1:21">
      <c r="A2354" t="s">
        <v>3688</v>
      </c>
      <c r="B2354" t="s">
        <v>3232</v>
      </c>
      <c r="C2354" t="s">
        <v>1768</v>
      </c>
      <c r="D2354">
        <v>60000</v>
      </c>
      <c r="E2354">
        <v>7200</v>
      </c>
      <c r="F2354">
        <v>60000</v>
      </c>
      <c r="H2354">
        <v>1</v>
      </c>
      <c r="I2354" t="s">
        <v>432</v>
      </c>
      <c r="J2354">
        <v>16.41</v>
      </c>
      <c r="K2354">
        <v>30</v>
      </c>
      <c r="L2354">
        <v>5</v>
      </c>
      <c r="M2354" t="s">
        <v>3022</v>
      </c>
      <c r="N2354">
        <v>5</v>
      </c>
      <c r="O2354">
        <v>9.33</v>
      </c>
      <c r="P2354">
        <v>144436.73000000001</v>
      </c>
      <c r="Q2354">
        <v>77692.34</v>
      </c>
      <c r="R2354">
        <v>648</v>
      </c>
      <c r="S2354">
        <v>1071</v>
      </c>
      <c r="T2354" t="s">
        <v>108</v>
      </c>
      <c r="U2354" t="s">
        <v>27</v>
      </c>
    </row>
    <row r="2355" spans="1:21">
      <c r="A2355" t="s">
        <v>3689</v>
      </c>
      <c r="B2355" t="s">
        <v>3232</v>
      </c>
      <c r="C2355" t="s">
        <v>1768</v>
      </c>
      <c r="D2355">
        <v>70000</v>
      </c>
      <c r="E2355">
        <v>5000</v>
      </c>
      <c r="F2355">
        <v>70000</v>
      </c>
      <c r="G2355">
        <v>70000</v>
      </c>
      <c r="H2355">
        <v>2</v>
      </c>
      <c r="I2355" t="s">
        <v>432</v>
      </c>
      <c r="J2355">
        <v>16.41</v>
      </c>
      <c r="K2355">
        <v>30</v>
      </c>
      <c r="L2355">
        <v>5</v>
      </c>
      <c r="M2355" t="s">
        <v>3022</v>
      </c>
      <c r="N2355">
        <v>5</v>
      </c>
      <c r="O2355">
        <v>9.33</v>
      </c>
      <c r="P2355">
        <v>144436.73000000001</v>
      </c>
      <c r="Q2355">
        <v>77692.34</v>
      </c>
      <c r="R2355">
        <v>648</v>
      </c>
      <c r="S2355">
        <v>1071</v>
      </c>
      <c r="T2355" t="s">
        <v>108</v>
      </c>
      <c r="U2355" t="s">
        <v>27</v>
      </c>
    </row>
    <row r="2356" spans="1:21">
      <c r="A2356" t="s">
        <v>3690</v>
      </c>
      <c r="B2356" t="s">
        <v>3691</v>
      </c>
      <c r="C2356" t="s">
        <v>1890</v>
      </c>
      <c r="D2356">
        <v>105000</v>
      </c>
      <c r="E2356">
        <v>10000</v>
      </c>
      <c r="F2356">
        <v>105000</v>
      </c>
      <c r="H2356">
        <v>1</v>
      </c>
      <c r="I2356" t="s">
        <v>432</v>
      </c>
      <c r="J2356">
        <v>27</v>
      </c>
      <c r="K2356">
        <v>6</v>
      </c>
      <c r="L2356">
        <v>6</v>
      </c>
      <c r="M2356" t="s">
        <v>3022</v>
      </c>
      <c r="N2356">
        <v>10</v>
      </c>
      <c r="O2356">
        <v>10</v>
      </c>
      <c r="P2356">
        <v>144436.73000000001</v>
      </c>
      <c r="Q2356">
        <v>77692.34</v>
      </c>
      <c r="R2356">
        <v>648</v>
      </c>
      <c r="S2356">
        <v>1071</v>
      </c>
      <c r="T2356" t="s">
        <v>34</v>
      </c>
      <c r="U2356" t="s">
        <v>31</v>
      </c>
    </row>
    <row r="2357" spans="1:21">
      <c r="A2357" t="s">
        <v>3692</v>
      </c>
      <c r="B2357" t="s">
        <v>3693</v>
      </c>
      <c r="C2357" t="s">
        <v>3059</v>
      </c>
      <c r="D2357">
        <v>63000</v>
      </c>
      <c r="E2357">
        <v>2000</v>
      </c>
      <c r="F2357">
        <v>63000</v>
      </c>
      <c r="G2357">
        <v>63000</v>
      </c>
      <c r="H2357">
        <v>2</v>
      </c>
      <c r="I2357" t="s">
        <v>432</v>
      </c>
      <c r="J2357">
        <v>16.2</v>
      </c>
      <c r="K2357">
        <v>40</v>
      </c>
      <c r="L2357">
        <v>4</v>
      </c>
      <c r="M2357" t="s">
        <v>3022</v>
      </c>
      <c r="N2357">
        <v>5</v>
      </c>
      <c r="O2357">
        <v>11</v>
      </c>
      <c r="P2357">
        <v>144436.73000000001</v>
      </c>
      <c r="Q2357">
        <v>77692.34</v>
      </c>
      <c r="R2357">
        <v>648</v>
      </c>
      <c r="S2357">
        <v>1071</v>
      </c>
      <c r="T2357" t="s">
        <v>108</v>
      </c>
      <c r="U2357" t="s">
        <v>49</v>
      </c>
    </row>
    <row r="2358" spans="1:21">
      <c r="A2358" t="s">
        <v>3694</v>
      </c>
      <c r="B2358" t="s">
        <v>3695</v>
      </c>
      <c r="C2358" t="s">
        <v>1228</v>
      </c>
      <c r="D2358">
        <v>112000</v>
      </c>
      <c r="E2358">
        <v>4000</v>
      </c>
      <c r="F2358">
        <v>112000</v>
      </c>
      <c r="G2358">
        <v>168000</v>
      </c>
      <c r="H2358">
        <v>3</v>
      </c>
      <c r="I2358" t="s">
        <v>432</v>
      </c>
      <c r="J2358">
        <v>28.76</v>
      </c>
      <c r="K2358">
        <v>11</v>
      </c>
      <c r="L2358">
        <v>3</v>
      </c>
      <c r="M2358" t="s">
        <v>3022</v>
      </c>
      <c r="N2358">
        <v>3</v>
      </c>
      <c r="O2358">
        <v>5.33</v>
      </c>
      <c r="P2358">
        <v>144436.73000000001</v>
      </c>
      <c r="Q2358">
        <v>77692.34</v>
      </c>
      <c r="R2358">
        <v>648</v>
      </c>
      <c r="S2358">
        <v>1071</v>
      </c>
      <c r="T2358" t="s">
        <v>34</v>
      </c>
      <c r="U2358" t="s">
        <v>90</v>
      </c>
    </row>
    <row r="2359" spans="1:21">
      <c r="A2359" t="s">
        <v>3696</v>
      </c>
      <c r="B2359" t="s">
        <v>3697</v>
      </c>
      <c r="C2359" t="s">
        <v>3059</v>
      </c>
      <c r="D2359">
        <v>62000</v>
      </c>
      <c r="E2359">
        <v>5000</v>
      </c>
      <c r="F2359">
        <v>62000</v>
      </c>
      <c r="H2359">
        <v>1</v>
      </c>
      <c r="I2359" t="s">
        <v>432</v>
      </c>
      <c r="J2359">
        <v>17</v>
      </c>
      <c r="K2359">
        <v>33</v>
      </c>
      <c r="L2359">
        <v>2</v>
      </c>
      <c r="M2359" t="s">
        <v>3022</v>
      </c>
      <c r="N2359">
        <v>4</v>
      </c>
      <c r="O2359">
        <v>10</v>
      </c>
      <c r="P2359">
        <v>144436.73000000001</v>
      </c>
      <c r="Q2359">
        <v>77692.34</v>
      </c>
      <c r="R2359">
        <v>648</v>
      </c>
      <c r="S2359">
        <v>1071</v>
      </c>
      <c r="T2359" t="s">
        <v>108</v>
      </c>
      <c r="U2359" t="s">
        <v>49</v>
      </c>
    </row>
    <row r="2360" spans="1:21">
      <c r="A2360" t="s">
        <v>3698</v>
      </c>
      <c r="B2360" t="s">
        <v>3697</v>
      </c>
      <c r="C2360" t="s">
        <v>3059</v>
      </c>
      <c r="D2360">
        <v>73000</v>
      </c>
      <c r="E2360">
        <v>5000</v>
      </c>
      <c r="F2360">
        <v>73000</v>
      </c>
      <c r="H2360">
        <v>2</v>
      </c>
      <c r="I2360" t="s">
        <v>432</v>
      </c>
      <c r="J2360">
        <v>17</v>
      </c>
      <c r="K2360">
        <v>33</v>
      </c>
      <c r="L2360">
        <v>2</v>
      </c>
      <c r="M2360" t="s">
        <v>3022</v>
      </c>
      <c r="N2360">
        <v>4</v>
      </c>
      <c r="O2360">
        <v>10</v>
      </c>
      <c r="P2360">
        <v>144436.73000000001</v>
      </c>
      <c r="Q2360">
        <v>77692.34</v>
      </c>
      <c r="R2360">
        <v>648</v>
      </c>
      <c r="S2360">
        <v>1071</v>
      </c>
      <c r="T2360" t="s">
        <v>108</v>
      </c>
      <c r="U2360" t="s">
        <v>49</v>
      </c>
    </row>
    <row r="2361" spans="1:21">
      <c r="A2361" t="s">
        <v>3699</v>
      </c>
      <c r="B2361" t="s">
        <v>3700</v>
      </c>
      <c r="C2361" t="s">
        <v>1294</v>
      </c>
      <c r="D2361">
        <v>64000</v>
      </c>
      <c r="E2361">
        <v>4000</v>
      </c>
      <c r="G2361">
        <v>64000</v>
      </c>
      <c r="H2361">
        <v>1</v>
      </c>
      <c r="I2361" t="s">
        <v>432</v>
      </c>
      <c r="J2361">
        <v>10.8</v>
      </c>
      <c r="K2361">
        <v>8</v>
      </c>
      <c r="L2361">
        <v>2</v>
      </c>
      <c r="M2361" t="s">
        <v>3022</v>
      </c>
      <c r="N2361">
        <v>8</v>
      </c>
      <c r="O2361">
        <v>11</v>
      </c>
      <c r="P2361">
        <v>144436.73000000001</v>
      </c>
      <c r="Q2361">
        <v>77692.34</v>
      </c>
      <c r="R2361">
        <v>648</v>
      </c>
      <c r="S2361">
        <v>1071</v>
      </c>
      <c r="T2361" t="s">
        <v>108</v>
      </c>
      <c r="U2361" t="s">
        <v>31</v>
      </c>
    </row>
    <row r="2362" spans="1:21">
      <c r="A2362" t="s">
        <v>3701</v>
      </c>
      <c r="B2362" t="s">
        <v>3700</v>
      </c>
      <c r="C2362" t="s">
        <v>1294</v>
      </c>
      <c r="D2362">
        <v>66000</v>
      </c>
      <c r="E2362">
        <v>4000</v>
      </c>
      <c r="H2362">
        <v>1</v>
      </c>
      <c r="I2362" t="s">
        <v>432</v>
      </c>
      <c r="J2362">
        <v>12.87</v>
      </c>
      <c r="K2362">
        <v>8</v>
      </c>
      <c r="L2362">
        <v>2</v>
      </c>
      <c r="M2362" t="s">
        <v>3022</v>
      </c>
      <c r="N2362">
        <v>8</v>
      </c>
      <c r="O2362">
        <v>11</v>
      </c>
      <c r="P2362">
        <v>144436.73000000001</v>
      </c>
      <c r="Q2362">
        <v>77692.34</v>
      </c>
      <c r="R2362">
        <v>648</v>
      </c>
      <c r="S2362">
        <v>1071</v>
      </c>
      <c r="T2362" t="s">
        <v>108</v>
      </c>
      <c r="U2362" t="s">
        <v>31</v>
      </c>
    </row>
    <row r="2363" spans="1:21">
      <c r="A2363" t="s">
        <v>3702</v>
      </c>
      <c r="B2363" t="s">
        <v>3700</v>
      </c>
      <c r="C2363" t="s">
        <v>1294</v>
      </c>
      <c r="D2363">
        <v>76000</v>
      </c>
      <c r="E2363">
        <v>4000</v>
      </c>
      <c r="G2363">
        <v>76000</v>
      </c>
      <c r="H2363">
        <v>2</v>
      </c>
      <c r="I2363" t="s">
        <v>432</v>
      </c>
      <c r="J2363">
        <v>10.8</v>
      </c>
      <c r="K2363">
        <v>8</v>
      </c>
      <c r="L2363">
        <v>2</v>
      </c>
      <c r="M2363" t="s">
        <v>3022</v>
      </c>
      <c r="N2363">
        <v>8</v>
      </c>
      <c r="O2363">
        <v>11</v>
      </c>
      <c r="P2363">
        <v>144436.73000000001</v>
      </c>
      <c r="Q2363">
        <v>77692.34</v>
      </c>
      <c r="R2363">
        <v>648</v>
      </c>
      <c r="S2363">
        <v>1071</v>
      </c>
      <c r="T2363" t="s">
        <v>108</v>
      </c>
      <c r="U2363" t="s">
        <v>31</v>
      </c>
    </row>
    <row r="2364" spans="1:21">
      <c r="A2364" t="s">
        <v>3703</v>
      </c>
      <c r="B2364" t="s">
        <v>3704</v>
      </c>
      <c r="C2364" t="s">
        <v>1768</v>
      </c>
      <c r="D2364">
        <v>89500</v>
      </c>
      <c r="E2364">
        <v>23000</v>
      </c>
      <c r="F2364">
        <v>89500</v>
      </c>
      <c r="G2364">
        <v>240000</v>
      </c>
      <c r="H2364">
        <v>6</v>
      </c>
      <c r="I2364" t="s">
        <v>432</v>
      </c>
      <c r="J2364">
        <v>14.51</v>
      </c>
      <c r="K2364">
        <v>5</v>
      </c>
      <c r="L2364">
        <v>10</v>
      </c>
      <c r="M2364" t="s">
        <v>3022</v>
      </c>
      <c r="N2364">
        <v>9</v>
      </c>
      <c r="O2364">
        <v>9</v>
      </c>
      <c r="P2364">
        <v>144436.73000000001</v>
      </c>
      <c r="Q2364">
        <v>77692.34</v>
      </c>
      <c r="R2364">
        <v>648</v>
      </c>
      <c r="S2364">
        <v>1071</v>
      </c>
      <c r="T2364" t="s">
        <v>108</v>
      </c>
      <c r="U2364" t="s">
        <v>31</v>
      </c>
    </row>
    <row r="2365" spans="1:21">
      <c r="A2365" t="s">
        <v>3705</v>
      </c>
      <c r="B2365" t="s">
        <v>3706</v>
      </c>
      <c r="C2365" t="s">
        <v>1294</v>
      </c>
      <c r="D2365">
        <v>136000</v>
      </c>
      <c r="E2365">
        <v>15000</v>
      </c>
      <c r="G2365">
        <v>136000</v>
      </c>
      <c r="H2365">
        <v>3</v>
      </c>
      <c r="I2365" t="s">
        <v>432</v>
      </c>
      <c r="J2365">
        <v>30.27</v>
      </c>
      <c r="K2365">
        <v>5</v>
      </c>
      <c r="L2365">
        <v>10</v>
      </c>
      <c r="M2365" t="s">
        <v>3022</v>
      </c>
      <c r="N2365">
        <v>10</v>
      </c>
      <c r="O2365">
        <v>11.67</v>
      </c>
      <c r="P2365">
        <v>144436.73000000001</v>
      </c>
      <c r="Q2365">
        <v>77692.34</v>
      </c>
      <c r="R2365">
        <v>648</v>
      </c>
      <c r="S2365">
        <v>1071</v>
      </c>
      <c r="T2365" t="s">
        <v>26</v>
      </c>
      <c r="U2365" t="s">
        <v>31</v>
      </c>
    </row>
    <row r="2366" spans="1:21">
      <c r="A2366" t="s">
        <v>3707</v>
      </c>
      <c r="B2366" t="s">
        <v>3708</v>
      </c>
      <c r="C2366" t="s">
        <v>1768</v>
      </c>
      <c r="D2366">
        <v>72000</v>
      </c>
      <c r="F2366">
        <v>72000</v>
      </c>
      <c r="G2366">
        <v>72000</v>
      </c>
      <c r="H2366">
        <v>1</v>
      </c>
      <c r="I2366" t="s">
        <v>432</v>
      </c>
      <c r="J2366">
        <v>19.87</v>
      </c>
      <c r="K2366">
        <v>23</v>
      </c>
      <c r="L2366">
        <v>4</v>
      </c>
      <c r="M2366" t="s">
        <v>3022</v>
      </c>
      <c r="N2366">
        <v>7</v>
      </c>
      <c r="O2366">
        <v>10.33</v>
      </c>
      <c r="P2366">
        <v>144436.73000000001</v>
      </c>
      <c r="Q2366">
        <v>77692.34</v>
      </c>
      <c r="R2366">
        <v>648</v>
      </c>
      <c r="S2366">
        <v>1071</v>
      </c>
      <c r="T2366" t="s">
        <v>108</v>
      </c>
      <c r="U2366" t="s">
        <v>27</v>
      </c>
    </row>
    <row r="2367" spans="1:21">
      <c r="A2367" t="s">
        <v>3709</v>
      </c>
      <c r="B2367" t="s">
        <v>3499</v>
      </c>
      <c r="C2367" t="s">
        <v>1228</v>
      </c>
      <c r="D2367">
        <v>137000</v>
      </c>
      <c r="E2367">
        <v>8000</v>
      </c>
      <c r="F2367">
        <v>137000</v>
      </c>
      <c r="G2367">
        <v>137000</v>
      </c>
      <c r="H2367">
        <v>2</v>
      </c>
      <c r="I2367" t="s">
        <v>432</v>
      </c>
      <c r="J2367">
        <v>26.7</v>
      </c>
      <c r="K2367">
        <v>16</v>
      </c>
      <c r="L2367">
        <v>16</v>
      </c>
      <c r="M2367" t="s">
        <v>3022</v>
      </c>
      <c r="N2367">
        <v>1</v>
      </c>
      <c r="O2367">
        <v>7</v>
      </c>
      <c r="P2367">
        <v>144436.73000000001</v>
      </c>
      <c r="Q2367">
        <v>77692.34</v>
      </c>
      <c r="R2367">
        <v>648</v>
      </c>
      <c r="S2367">
        <v>1071</v>
      </c>
      <c r="T2367" t="s">
        <v>34</v>
      </c>
      <c r="U2367" t="s">
        <v>90</v>
      </c>
    </row>
    <row r="2368" spans="1:21">
      <c r="A2368" t="s">
        <v>3710</v>
      </c>
      <c r="B2368" t="s">
        <v>3499</v>
      </c>
      <c r="C2368" t="s">
        <v>1228</v>
      </c>
      <c r="D2368">
        <v>149000</v>
      </c>
      <c r="E2368">
        <v>8000</v>
      </c>
      <c r="F2368">
        <v>149000</v>
      </c>
      <c r="G2368">
        <v>149000</v>
      </c>
      <c r="H2368">
        <v>3</v>
      </c>
      <c r="I2368" t="s">
        <v>432</v>
      </c>
      <c r="J2368">
        <v>30.3</v>
      </c>
      <c r="K2368">
        <v>16</v>
      </c>
      <c r="L2368">
        <v>16</v>
      </c>
      <c r="M2368" t="s">
        <v>3022</v>
      </c>
      <c r="N2368">
        <v>1</v>
      </c>
      <c r="O2368">
        <v>7</v>
      </c>
      <c r="P2368">
        <v>144436.73000000001</v>
      </c>
      <c r="Q2368">
        <v>77692.34</v>
      </c>
      <c r="R2368">
        <v>648</v>
      </c>
      <c r="S2368">
        <v>1071</v>
      </c>
      <c r="T2368" t="s">
        <v>26</v>
      </c>
      <c r="U2368" t="s">
        <v>90</v>
      </c>
    </row>
    <row r="2369" spans="1:21">
      <c r="A2369" t="s">
        <v>3711</v>
      </c>
      <c r="B2369" t="s">
        <v>3712</v>
      </c>
      <c r="C2369" t="s">
        <v>1228</v>
      </c>
      <c r="D2369">
        <v>65000</v>
      </c>
      <c r="E2369">
        <v>3000</v>
      </c>
      <c r="H2369">
        <v>1</v>
      </c>
      <c r="I2369" t="s">
        <v>432</v>
      </c>
      <c r="J2369">
        <v>13</v>
      </c>
      <c r="K2369">
        <v>40</v>
      </c>
      <c r="L2369">
        <v>2</v>
      </c>
      <c r="M2369" t="s">
        <v>3022</v>
      </c>
      <c r="N2369">
        <v>2</v>
      </c>
      <c r="O2369">
        <v>9</v>
      </c>
      <c r="P2369">
        <v>144436.73000000001</v>
      </c>
      <c r="Q2369">
        <v>77692.34</v>
      </c>
      <c r="R2369">
        <v>648</v>
      </c>
      <c r="S2369">
        <v>1071</v>
      </c>
      <c r="T2369" t="s">
        <v>108</v>
      </c>
      <c r="U2369" t="s">
        <v>49</v>
      </c>
    </row>
    <row r="2370" spans="1:21">
      <c r="A2370" t="s">
        <v>3713</v>
      </c>
      <c r="B2370" t="s">
        <v>3712</v>
      </c>
      <c r="C2370" t="s">
        <v>1228</v>
      </c>
      <c r="D2370">
        <v>67000</v>
      </c>
      <c r="E2370">
        <v>3000</v>
      </c>
      <c r="H2370">
        <v>2</v>
      </c>
      <c r="I2370" t="s">
        <v>432</v>
      </c>
      <c r="J2370">
        <v>13</v>
      </c>
      <c r="K2370">
        <v>40</v>
      </c>
      <c r="L2370">
        <v>2</v>
      </c>
      <c r="M2370" t="s">
        <v>3022</v>
      </c>
      <c r="N2370">
        <v>2</v>
      </c>
      <c r="O2370">
        <v>9</v>
      </c>
      <c r="P2370">
        <v>144436.73000000001</v>
      </c>
      <c r="Q2370">
        <v>77692.34</v>
      </c>
      <c r="R2370">
        <v>648</v>
      </c>
      <c r="S2370">
        <v>1071</v>
      </c>
      <c r="T2370" t="s">
        <v>108</v>
      </c>
      <c r="U2370" t="s">
        <v>49</v>
      </c>
    </row>
    <row r="2371" spans="1:21">
      <c r="A2371" t="s">
        <v>3714</v>
      </c>
      <c r="B2371" t="s">
        <v>3715</v>
      </c>
      <c r="C2371" t="s">
        <v>1231</v>
      </c>
      <c r="D2371">
        <v>58000</v>
      </c>
      <c r="F2371">
        <v>58000</v>
      </c>
      <c r="G2371">
        <v>58000</v>
      </c>
      <c r="H2371">
        <v>2</v>
      </c>
      <c r="I2371" t="s">
        <v>432</v>
      </c>
      <c r="J2371">
        <v>13.11</v>
      </c>
      <c r="K2371">
        <v>33</v>
      </c>
      <c r="L2371">
        <v>2</v>
      </c>
      <c r="M2371" t="s">
        <v>3022</v>
      </c>
      <c r="N2371">
        <v>9</v>
      </c>
      <c r="O2371">
        <v>12.33</v>
      </c>
      <c r="P2371">
        <v>144436.73000000001</v>
      </c>
      <c r="Q2371">
        <v>77692.34</v>
      </c>
      <c r="R2371">
        <v>648</v>
      </c>
      <c r="S2371">
        <v>1071</v>
      </c>
      <c r="T2371" t="s">
        <v>108</v>
      </c>
      <c r="U2371" t="s">
        <v>49</v>
      </c>
    </row>
    <row r="2372" spans="1:21">
      <c r="A2372" t="s">
        <v>3716</v>
      </c>
      <c r="B2372" t="s">
        <v>3717</v>
      </c>
      <c r="C2372" t="s">
        <v>1768</v>
      </c>
      <c r="D2372">
        <v>82000</v>
      </c>
      <c r="E2372">
        <v>2000</v>
      </c>
      <c r="F2372">
        <v>82000</v>
      </c>
      <c r="G2372">
        <v>82000</v>
      </c>
      <c r="H2372">
        <v>2</v>
      </c>
      <c r="I2372" t="s">
        <v>432</v>
      </c>
      <c r="J2372">
        <v>21</v>
      </c>
      <c r="K2372">
        <v>45</v>
      </c>
      <c r="L2372">
        <v>4</v>
      </c>
      <c r="M2372" t="s">
        <v>3022</v>
      </c>
      <c r="N2372">
        <v>6</v>
      </c>
      <c r="O2372">
        <v>9.33</v>
      </c>
      <c r="P2372">
        <v>144436.73000000001</v>
      </c>
      <c r="Q2372">
        <v>77692.34</v>
      </c>
      <c r="R2372">
        <v>648</v>
      </c>
      <c r="S2372">
        <v>1071</v>
      </c>
      <c r="T2372" t="s">
        <v>34</v>
      </c>
      <c r="U2372" t="s">
        <v>42</v>
      </c>
    </row>
    <row r="2373" spans="1:21">
      <c r="A2373" t="s">
        <v>3718</v>
      </c>
      <c r="B2373" t="s">
        <v>3719</v>
      </c>
      <c r="C2373" t="s">
        <v>1890</v>
      </c>
      <c r="D2373">
        <v>75000</v>
      </c>
      <c r="E2373">
        <v>4000</v>
      </c>
      <c r="F2373">
        <v>75000</v>
      </c>
      <c r="G2373">
        <v>75000</v>
      </c>
      <c r="H2373">
        <v>1</v>
      </c>
      <c r="I2373" t="s">
        <v>432</v>
      </c>
      <c r="J2373">
        <v>22</v>
      </c>
      <c r="K2373">
        <v>60</v>
      </c>
      <c r="L2373">
        <v>2</v>
      </c>
      <c r="M2373" t="s">
        <v>3022</v>
      </c>
      <c r="N2373">
        <v>8</v>
      </c>
      <c r="O2373">
        <v>11.67</v>
      </c>
      <c r="P2373">
        <v>144436.73000000001</v>
      </c>
      <c r="Q2373">
        <v>77692.34</v>
      </c>
      <c r="R2373">
        <v>648</v>
      </c>
      <c r="S2373">
        <v>1071</v>
      </c>
      <c r="T2373" t="s">
        <v>34</v>
      </c>
      <c r="U2373" t="s">
        <v>57</v>
      </c>
    </row>
    <row r="2374" spans="1:21">
      <c r="A2374" t="s">
        <v>3720</v>
      </c>
      <c r="B2374" t="s">
        <v>3721</v>
      </c>
      <c r="C2374" t="s">
        <v>1228</v>
      </c>
      <c r="D2374">
        <v>72000</v>
      </c>
      <c r="F2374">
        <v>72000</v>
      </c>
      <c r="G2374">
        <v>72000</v>
      </c>
      <c r="H2374">
        <v>1</v>
      </c>
      <c r="I2374" t="s">
        <v>432</v>
      </c>
      <c r="J2374">
        <v>21.13</v>
      </c>
      <c r="K2374">
        <v>38</v>
      </c>
      <c r="L2374">
        <v>3</v>
      </c>
      <c r="M2374" t="s">
        <v>3022</v>
      </c>
      <c r="N2374">
        <v>2</v>
      </c>
      <c r="O2374">
        <v>7</v>
      </c>
      <c r="P2374">
        <v>144436.73000000001</v>
      </c>
      <c r="Q2374">
        <v>77692.34</v>
      </c>
      <c r="R2374">
        <v>648</v>
      </c>
      <c r="S2374">
        <v>1071</v>
      </c>
      <c r="T2374" t="s">
        <v>34</v>
      </c>
      <c r="U2374" t="s">
        <v>49</v>
      </c>
    </row>
    <row r="2375" spans="1:21">
      <c r="A2375" t="s">
        <v>3722</v>
      </c>
      <c r="B2375" t="s">
        <v>3723</v>
      </c>
      <c r="C2375" t="s">
        <v>1768</v>
      </c>
      <c r="D2375">
        <v>75000</v>
      </c>
      <c r="E2375">
        <v>4000</v>
      </c>
      <c r="G2375">
        <v>75000</v>
      </c>
      <c r="H2375">
        <v>1</v>
      </c>
      <c r="I2375" t="s">
        <v>432</v>
      </c>
      <c r="J2375">
        <v>10.1</v>
      </c>
      <c r="K2375">
        <v>10</v>
      </c>
      <c r="L2375">
        <v>2</v>
      </c>
      <c r="M2375" t="s">
        <v>3022</v>
      </c>
      <c r="N2375">
        <v>6</v>
      </c>
      <c r="O2375">
        <v>9.33</v>
      </c>
      <c r="P2375">
        <v>144436.73000000001</v>
      </c>
      <c r="Q2375">
        <v>77692.34</v>
      </c>
      <c r="R2375">
        <v>648</v>
      </c>
      <c r="S2375">
        <v>1071</v>
      </c>
      <c r="T2375" t="s">
        <v>108</v>
      </c>
      <c r="U2375" t="s">
        <v>31</v>
      </c>
    </row>
    <row r="2376" spans="1:21">
      <c r="A2376" t="s">
        <v>3724</v>
      </c>
      <c r="B2376" t="s">
        <v>3288</v>
      </c>
      <c r="C2376" t="s">
        <v>1768</v>
      </c>
      <c r="D2376">
        <v>150000</v>
      </c>
      <c r="E2376">
        <v>10000</v>
      </c>
      <c r="F2376">
        <v>150000</v>
      </c>
      <c r="H2376">
        <v>5</v>
      </c>
      <c r="I2376" t="s">
        <v>432</v>
      </c>
      <c r="J2376">
        <v>32.119999999999997</v>
      </c>
      <c r="K2376">
        <v>15</v>
      </c>
      <c r="L2376">
        <v>7</v>
      </c>
      <c r="M2376" t="s">
        <v>3022</v>
      </c>
      <c r="N2376">
        <v>9</v>
      </c>
      <c r="O2376">
        <v>10.33</v>
      </c>
      <c r="P2376">
        <v>144436.73000000001</v>
      </c>
      <c r="Q2376">
        <v>77692.34</v>
      </c>
      <c r="R2376">
        <v>648</v>
      </c>
      <c r="S2376">
        <v>1071</v>
      </c>
      <c r="T2376" t="s">
        <v>26</v>
      </c>
      <c r="U2376" t="s">
        <v>90</v>
      </c>
    </row>
    <row r="2377" spans="1:21">
      <c r="A2377" t="s">
        <v>3725</v>
      </c>
      <c r="B2377" t="s">
        <v>3288</v>
      </c>
      <c r="C2377" t="s">
        <v>1768</v>
      </c>
      <c r="D2377">
        <v>154000</v>
      </c>
      <c r="E2377">
        <v>10000</v>
      </c>
      <c r="F2377">
        <v>154000</v>
      </c>
      <c r="H2377">
        <v>6</v>
      </c>
      <c r="I2377" t="s">
        <v>432</v>
      </c>
      <c r="J2377">
        <v>33.6</v>
      </c>
      <c r="K2377">
        <v>15</v>
      </c>
      <c r="L2377">
        <v>7</v>
      </c>
      <c r="M2377" t="s">
        <v>3022</v>
      </c>
      <c r="N2377">
        <v>9</v>
      </c>
      <c r="O2377">
        <v>10.33</v>
      </c>
      <c r="P2377">
        <v>144436.73000000001</v>
      </c>
      <c r="Q2377">
        <v>77692.34</v>
      </c>
      <c r="R2377">
        <v>648</v>
      </c>
      <c r="S2377">
        <v>1071</v>
      </c>
      <c r="T2377" t="s">
        <v>26</v>
      </c>
      <c r="U2377" t="s">
        <v>90</v>
      </c>
    </row>
    <row r="2378" spans="1:21">
      <c r="A2378" t="s">
        <v>3726</v>
      </c>
      <c r="B2378" t="s">
        <v>3727</v>
      </c>
      <c r="C2378" t="s">
        <v>1768</v>
      </c>
      <c r="D2378">
        <v>110000</v>
      </c>
      <c r="E2378">
        <v>5000</v>
      </c>
      <c r="F2378">
        <v>110000</v>
      </c>
      <c r="G2378">
        <v>110000</v>
      </c>
      <c r="H2378">
        <v>4</v>
      </c>
      <c r="I2378" t="s">
        <v>432</v>
      </c>
      <c r="J2378">
        <v>35.85</v>
      </c>
      <c r="K2378">
        <v>51</v>
      </c>
      <c r="L2378">
        <v>4</v>
      </c>
      <c r="M2378" t="s">
        <v>3022</v>
      </c>
      <c r="N2378">
        <v>5</v>
      </c>
      <c r="O2378">
        <v>10</v>
      </c>
      <c r="P2378">
        <v>144436.73000000001</v>
      </c>
      <c r="Q2378">
        <v>77692.34</v>
      </c>
      <c r="R2378">
        <v>648</v>
      </c>
      <c r="S2378">
        <v>1071</v>
      </c>
      <c r="T2378" t="s">
        <v>26</v>
      </c>
      <c r="U2378" t="s">
        <v>57</v>
      </c>
    </row>
    <row r="2379" spans="1:21">
      <c r="A2379" t="s">
        <v>3728</v>
      </c>
      <c r="B2379" t="s">
        <v>3729</v>
      </c>
      <c r="C2379" t="s">
        <v>1231</v>
      </c>
      <c r="D2379">
        <v>53000</v>
      </c>
      <c r="F2379">
        <v>53000</v>
      </c>
      <c r="H2379">
        <v>1</v>
      </c>
      <c r="I2379" t="s">
        <v>432</v>
      </c>
      <c r="J2379">
        <v>11.27</v>
      </c>
      <c r="K2379">
        <v>27</v>
      </c>
      <c r="L2379">
        <v>2</v>
      </c>
      <c r="M2379" t="s">
        <v>3022</v>
      </c>
      <c r="N2379">
        <v>10</v>
      </c>
      <c r="O2379">
        <v>12.67</v>
      </c>
      <c r="P2379">
        <v>144436.73000000001</v>
      </c>
      <c r="Q2379">
        <v>77692.34</v>
      </c>
      <c r="R2379">
        <v>648</v>
      </c>
      <c r="S2379">
        <v>1071</v>
      </c>
      <c r="T2379" t="s">
        <v>108</v>
      </c>
      <c r="U2379" t="s">
        <v>27</v>
      </c>
    </row>
    <row r="2380" spans="1:21">
      <c r="A2380" t="s">
        <v>3730</v>
      </c>
      <c r="B2380" t="s">
        <v>3731</v>
      </c>
      <c r="C2380" t="s">
        <v>1768</v>
      </c>
      <c r="D2380">
        <v>70000</v>
      </c>
      <c r="E2380">
        <v>5000</v>
      </c>
      <c r="F2380">
        <v>70000</v>
      </c>
      <c r="G2380">
        <v>70000</v>
      </c>
      <c r="H2380">
        <v>2</v>
      </c>
      <c r="I2380" t="s">
        <v>432</v>
      </c>
      <c r="J2380">
        <v>12.03</v>
      </c>
      <c r="K2380">
        <v>43</v>
      </c>
      <c r="L2380">
        <v>4</v>
      </c>
      <c r="M2380" t="s">
        <v>3022</v>
      </c>
      <c r="N2380">
        <v>5</v>
      </c>
      <c r="O2380">
        <v>9.33</v>
      </c>
      <c r="P2380">
        <v>144436.73000000001</v>
      </c>
      <c r="Q2380">
        <v>77692.34</v>
      </c>
      <c r="R2380">
        <v>648</v>
      </c>
      <c r="S2380">
        <v>1071</v>
      </c>
      <c r="T2380" t="s">
        <v>108</v>
      </c>
      <c r="U2380" t="s">
        <v>42</v>
      </c>
    </row>
    <row r="2381" spans="1:21">
      <c r="A2381" t="s">
        <v>3732</v>
      </c>
      <c r="B2381" t="s">
        <v>3733</v>
      </c>
      <c r="C2381" t="s">
        <v>1773</v>
      </c>
      <c r="D2381">
        <v>70000</v>
      </c>
      <c r="E2381">
        <v>3000</v>
      </c>
      <c r="F2381">
        <v>70000</v>
      </c>
      <c r="G2381">
        <v>70000</v>
      </c>
      <c r="H2381">
        <v>1</v>
      </c>
      <c r="I2381" t="s">
        <v>432</v>
      </c>
      <c r="J2381">
        <v>19.100000000000001</v>
      </c>
      <c r="K2381">
        <v>50</v>
      </c>
      <c r="L2381">
        <v>2</v>
      </c>
      <c r="M2381" t="s">
        <v>3022</v>
      </c>
      <c r="N2381">
        <v>6</v>
      </c>
      <c r="O2381">
        <v>10.33</v>
      </c>
      <c r="P2381">
        <v>144436.73000000001</v>
      </c>
      <c r="Q2381">
        <v>77692.34</v>
      </c>
      <c r="R2381">
        <v>648</v>
      </c>
      <c r="S2381">
        <v>1071</v>
      </c>
      <c r="T2381" t="s">
        <v>108</v>
      </c>
      <c r="U2381" t="s">
        <v>42</v>
      </c>
    </row>
    <row r="2382" spans="1:21">
      <c r="A2382" t="s">
        <v>3734</v>
      </c>
      <c r="B2382" t="s">
        <v>3735</v>
      </c>
      <c r="C2382" t="s">
        <v>1231</v>
      </c>
      <c r="D2382">
        <v>60000</v>
      </c>
      <c r="E2382">
        <v>3000</v>
      </c>
      <c r="F2382">
        <v>60000</v>
      </c>
      <c r="H2382">
        <v>1</v>
      </c>
      <c r="I2382" t="s">
        <v>432</v>
      </c>
      <c r="J2382">
        <v>15.63</v>
      </c>
      <c r="K2382">
        <v>34</v>
      </c>
      <c r="L2382">
        <v>2</v>
      </c>
      <c r="M2382" t="s">
        <v>3022</v>
      </c>
      <c r="N2382">
        <v>6</v>
      </c>
      <c r="O2382">
        <v>10.67</v>
      </c>
      <c r="P2382">
        <v>144436.73000000001</v>
      </c>
      <c r="Q2382">
        <v>77692.34</v>
      </c>
      <c r="R2382">
        <v>648</v>
      </c>
      <c r="S2382">
        <v>1071</v>
      </c>
      <c r="T2382" t="s">
        <v>108</v>
      </c>
      <c r="U2382" t="s">
        <v>49</v>
      </c>
    </row>
    <row r="2383" spans="1:21">
      <c r="A2383" t="s">
        <v>3736</v>
      </c>
      <c r="B2383" t="s">
        <v>3737</v>
      </c>
      <c r="C2383" t="s">
        <v>1294</v>
      </c>
      <c r="D2383">
        <v>50000</v>
      </c>
      <c r="E2383">
        <v>4000</v>
      </c>
      <c r="F2383">
        <v>50000</v>
      </c>
      <c r="G2383">
        <v>50000</v>
      </c>
      <c r="H2383">
        <v>1</v>
      </c>
      <c r="I2383" t="s">
        <v>432</v>
      </c>
      <c r="J2383">
        <v>10.4</v>
      </c>
      <c r="K2383">
        <v>19</v>
      </c>
      <c r="L2383">
        <v>2</v>
      </c>
      <c r="M2383" t="s">
        <v>3022</v>
      </c>
      <c r="N2383">
        <v>10</v>
      </c>
      <c r="O2383">
        <v>10.5</v>
      </c>
      <c r="P2383">
        <v>144436.73000000001</v>
      </c>
      <c r="Q2383">
        <v>77692.34</v>
      </c>
      <c r="R2383">
        <v>648</v>
      </c>
      <c r="S2383">
        <v>1071</v>
      </c>
      <c r="T2383" t="s">
        <v>108</v>
      </c>
      <c r="U2383" t="s">
        <v>90</v>
      </c>
    </row>
    <row r="2384" spans="1:21">
      <c r="A2384" t="s">
        <v>3738</v>
      </c>
      <c r="B2384" t="s">
        <v>3737</v>
      </c>
      <c r="C2384" t="s">
        <v>1294</v>
      </c>
      <c r="D2384">
        <v>54000</v>
      </c>
      <c r="E2384">
        <v>4000</v>
      </c>
      <c r="F2384">
        <v>54000</v>
      </c>
      <c r="G2384">
        <v>54000</v>
      </c>
      <c r="H2384">
        <v>2</v>
      </c>
      <c r="I2384" t="s">
        <v>432</v>
      </c>
      <c r="J2384">
        <v>10.8</v>
      </c>
      <c r="K2384">
        <v>19</v>
      </c>
      <c r="L2384">
        <v>2</v>
      </c>
      <c r="M2384" t="s">
        <v>3022</v>
      </c>
      <c r="N2384">
        <v>10</v>
      </c>
      <c r="O2384">
        <v>10.5</v>
      </c>
      <c r="P2384">
        <v>144436.73000000001</v>
      </c>
      <c r="Q2384">
        <v>77692.34</v>
      </c>
      <c r="R2384">
        <v>648</v>
      </c>
      <c r="S2384">
        <v>1071</v>
      </c>
      <c r="T2384" t="s">
        <v>108</v>
      </c>
      <c r="U2384" t="s">
        <v>90</v>
      </c>
    </row>
    <row r="2385" spans="1:21">
      <c r="A2385" t="s">
        <v>3739</v>
      </c>
      <c r="B2385" t="s">
        <v>3740</v>
      </c>
      <c r="C2385" t="s">
        <v>1890</v>
      </c>
      <c r="D2385">
        <v>56000</v>
      </c>
      <c r="E2385">
        <v>3000</v>
      </c>
      <c r="H2385">
        <v>1</v>
      </c>
      <c r="I2385" t="s">
        <v>432</v>
      </c>
      <c r="J2385">
        <v>11.08</v>
      </c>
      <c r="K2385">
        <v>20</v>
      </c>
      <c r="L2385">
        <v>2</v>
      </c>
      <c r="M2385" t="s">
        <v>3022</v>
      </c>
      <c r="N2385">
        <v>10</v>
      </c>
      <c r="O2385">
        <v>11</v>
      </c>
      <c r="P2385">
        <v>144436.73000000001</v>
      </c>
      <c r="Q2385">
        <v>77692.34</v>
      </c>
      <c r="R2385">
        <v>648</v>
      </c>
      <c r="S2385">
        <v>1071</v>
      </c>
      <c r="T2385" t="s">
        <v>108</v>
      </c>
      <c r="U2385" t="s">
        <v>90</v>
      </c>
    </row>
    <row r="2386" spans="1:21">
      <c r="A2386" t="s">
        <v>3741</v>
      </c>
      <c r="B2386" t="s">
        <v>3742</v>
      </c>
      <c r="C2386" t="s">
        <v>1228</v>
      </c>
      <c r="D2386">
        <v>41000</v>
      </c>
      <c r="E2386">
        <v>2000</v>
      </c>
      <c r="G2386">
        <v>41000</v>
      </c>
      <c r="H2386">
        <v>1</v>
      </c>
      <c r="I2386" t="s">
        <v>432</v>
      </c>
      <c r="J2386">
        <v>8</v>
      </c>
      <c r="K2386">
        <v>37</v>
      </c>
      <c r="L2386">
        <v>2</v>
      </c>
      <c r="M2386" t="s">
        <v>3022</v>
      </c>
      <c r="N2386">
        <v>6</v>
      </c>
      <c r="O2386">
        <v>10</v>
      </c>
      <c r="P2386">
        <v>144436.73000000001</v>
      </c>
      <c r="Q2386">
        <v>77692.34</v>
      </c>
      <c r="R2386">
        <v>648</v>
      </c>
      <c r="S2386">
        <v>1071</v>
      </c>
      <c r="T2386" t="s">
        <v>231</v>
      </c>
      <c r="U2386" t="s">
        <v>49</v>
      </c>
    </row>
    <row r="2387" spans="1:21">
      <c r="A2387" t="s">
        <v>3743</v>
      </c>
      <c r="B2387" t="s">
        <v>3744</v>
      </c>
      <c r="C2387" t="s">
        <v>1768</v>
      </c>
      <c r="D2387">
        <v>85000</v>
      </c>
      <c r="E2387">
        <v>6000</v>
      </c>
      <c r="F2387">
        <v>85000</v>
      </c>
      <c r="G2387">
        <v>85000</v>
      </c>
      <c r="H2387">
        <v>3</v>
      </c>
      <c r="I2387" t="s">
        <v>432</v>
      </c>
      <c r="J2387">
        <v>26.07</v>
      </c>
      <c r="K2387">
        <v>37</v>
      </c>
      <c r="L2387">
        <v>6</v>
      </c>
      <c r="M2387" t="s">
        <v>3022</v>
      </c>
      <c r="N2387">
        <v>7</v>
      </c>
      <c r="O2387">
        <v>8.5</v>
      </c>
      <c r="P2387">
        <v>144436.73000000001</v>
      </c>
      <c r="Q2387">
        <v>77692.34</v>
      </c>
      <c r="R2387">
        <v>648</v>
      </c>
      <c r="S2387">
        <v>1071</v>
      </c>
      <c r="T2387" t="s">
        <v>34</v>
      </c>
      <c r="U2387" t="s">
        <v>49</v>
      </c>
    </row>
    <row r="2388" spans="1:21">
      <c r="A2388" t="s">
        <v>3745</v>
      </c>
      <c r="B2388" t="s">
        <v>3746</v>
      </c>
      <c r="C2388" t="s">
        <v>1768</v>
      </c>
      <c r="D2388">
        <v>69000</v>
      </c>
      <c r="E2388">
        <v>4000</v>
      </c>
      <c r="H2388">
        <v>1</v>
      </c>
      <c r="I2388" t="s">
        <v>432</v>
      </c>
      <c r="J2388">
        <v>10.07</v>
      </c>
      <c r="K2388">
        <v>9</v>
      </c>
      <c r="L2388">
        <v>2</v>
      </c>
      <c r="M2388" t="s">
        <v>3022</v>
      </c>
      <c r="N2388">
        <v>10</v>
      </c>
      <c r="O2388">
        <v>12.67</v>
      </c>
      <c r="P2388">
        <v>144436.73000000001</v>
      </c>
      <c r="Q2388">
        <v>77692.34</v>
      </c>
      <c r="R2388">
        <v>648</v>
      </c>
      <c r="S2388">
        <v>1071</v>
      </c>
      <c r="T2388" t="s">
        <v>108</v>
      </c>
      <c r="U2388" t="s">
        <v>31</v>
      </c>
    </row>
    <row r="2389" spans="1:21">
      <c r="A2389" t="s">
        <v>3747</v>
      </c>
      <c r="B2389" t="s">
        <v>3748</v>
      </c>
      <c r="C2389" t="s">
        <v>1216</v>
      </c>
      <c r="D2389">
        <v>80000</v>
      </c>
      <c r="E2389">
        <v>3000</v>
      </c>
      <c r="F2389">
        <v>80000</v>
      </c>
      <c r="G2389">
        <v>80000</v>
      </c>
      <c r="H2389">
        <v>1</v>
      </c>
      <c r="I2389" t="s">
        <v>432</v>
      </c>
      <c r="J2389">
        <v>15.33</v>
      </c>
      <c r="K2389">
        <v>2</v>
      </c>
      <c r="L2389">
        <v>3</v>
      </c>
      <c r="M2389" t="s">
        <v>3022</v>
      </c>
      <c r="N2389">
        <v>9</v>
      </c>
      <c r="O2389">
        <v>13</v>
      </c>
      <c r="P2389">
        <v>144436.73000000001</v>
      </c>
      <c r="Q2389">
        <v>77692.34</v>
      </c>
      <c r="R2389">
        <v>648</v>
      </c>
      <c r="S2389">
        <v>1071</v>
      </c>
      <c r="T2389" t="s">
        <v>108</v>
      </c>
      <c r="U2389" t="s">
        <v>31</v>
      </c>
    </row>
    <row r="2390" spans="1:21">
      <c r="A2390" t="s">
        <v>3749</v>
      </c>
      <c r="B2390" t="s">
        <v>3748</v>
      </c>
      <c r="C2390" t="s">
        <v>1216</v>
      </c>
      <c r="D2390">
        <v>83000</v>
      </c>
      <c r="E2390">
        <v>3000</v>
      </c>
      <c r="F2390">
        <v>83000</v>
      </c>
      <c r="G2390">
        <v>83000</v>
      </c>
      <c r="H2390">
        <v>1</v>
      </c>
      <c r="I2390" t="s">
        <v>432</v>
      </c>
      <c r="J2390">
        <v>17.12</v>
      </c>
      <c r="K2390">
        <v>2</v>
      </c>
      <c r="L2390">
        <v>3</v>
      </c>
      <c r="M2390" t="s">
        <v>3022</v>
      </c>
      <c r="N2390">
        <v>9</v>
      </c>
      <c r="O2390">
        <v>13</v>
      </c>
      <c r="P2390">
        <v>144436.73000000001</v>
      </c>
      <c r="Q2390">
        <v>77692.34</v>
      </c>
      <c r="R2390">
        <v>648</v>
      </c>
      <c r="S2390">
        <v>1071</v>
      </c>
      <c r="T2390" t="s">
        <v>108</v>
      </c>
      <c r="U2390" t="s">
        <v>31</v>
      </c>
    </row>
    <row r="2391" spans="1:21">
      <c r="A2391" t="s">
        <v>3750</v>
      </c>
      <c r="B2391" t="s">
        <v>3748</v>
      </c>
      <c r="C2391" t="s">
        <v>1216</v>
      </c>
      <c r="D2391">
        <v>83000</v>
      </c>
      <c r="E2391">
        <v>3000</v>
      </c>
      <c r="F2391">
        <v>83000</v>
      </c>
      <c r="G2391">
        <v>83000</v>
      </c>
      <c r="H2391">
        <v>2</v>
      </c>
      <c r="I2391" t="s">
        <v>432</v>
      </c>
      <c r="J2391">
        <v>15.33</v>
      </c>
      <c r="K2391">
        <v>2</v>
      </c>
      <c r="L2391">
        <v>3</v>
      </c>
      <c r="M2391" t="s">
        <v>3022</v>
      </c>
      <c r="N2391">
        <v>9</v>
      </c>
      <c r="O2391">
        <v>13</v>
      </c>
      <c r="P2391">
        <v>144436.73000000001</v>
      </c>
      <c r="Q2391">
        <v>77692.34</v>
      </c>
      <c r="R2391">
        <v>648</v>
      </c>
      <c r="S2391">
        <v>1071</v>
      </c>
      <c r="T2391" t="s">
        <v>108</v>
      </c>
      <c r="U2391" t="s">
        <v>31</v>
      </c>
    </row>
    <row r="2392" spans="1:21">
      <c r="A2392" t="s">
        <v>3751</v>
      </c>
      <c r="B2392" t="s">
        <v>3748</v>
      </c>
      <c r="C2392" t="s">
        <v>1216</v>
      </c>
      <c r="D2392">
        <v>84000</v>
      </c>
      <c r="E2392">
        <v>3000</v>
      </c>
      <c r="F2392">
        <v>84000</v>
      </c>
      <c r="G2392">
        <v>84000</v>
      </c>
      <c r="H2392">
        <v>2</v>
      </c>
      <c r="I2392" t="s">
        <v>432</v>
      </c>
      <c r="J2392">
        <v>17.2</v>
      </c>
      <c r="K2392">
        <v>2</v>
      </c>
      <c r="L2392">
        <v>3</v>
      </c>
      <c r="M2392" t="s">
        <v>3022</v>
      </c>
      <c r="N2392">
        <v>9</v>
      </c>
      <c r="O2392">
        <v>13</v>
      </c>
      <c r="P2392">
        <v>144436.73000000001</v>
      </c>
      <c r="Q2392">
        <v>77692.34</v>
      </c>
      <c r="R2392">
        <v>648</v>
      </c>
      <c r="S2392">
        <v>1071</v>
      </c>
      <c r="T2392" t="s">
        <v>108</v>
      </c>
      <c r="U2392" t="s">
        <v>31</v>
      </c>
    </row>
    <row r="2393" spans="1:21">
      <c r="A2393" t="s">
        <v>3752</v>
      </c>
      <c r="B2393" t="s">
        <v>3748</v>
      </c>
      <c r="C2393" t="s">
        <v>1216</v>
      </c>
      <c r="D2393">
        <v>82000</v>
      </c>
      <c r="E2393">
        <v>3000</v>
      </c>
      <c r="F2393">
        <v>82000</v>
      </c>
      <c r="G2393">
        <v>82000</v>
      </c>
      <c r="H2393">
        <v>3</v>
      </c>
      <c r="I2393" t="s">
        <v>432</v>
      </c>
      <c r="J2393">
        <v>15.33</v>
      </c>
      <c r="K2393">
        <v>2</v>
      </c>
      <c r="L2393">
        <v>3</v>
      </c>
      <c r="M2393" t="s">
        <v>3022</v>
      </c>
      <c r="N2393">
        <v>9</v>
      </c>
      <c r="O2393">
        <v>13</v>
      </c>
      <c r="P2393">
        <v>144436.73000000001</v>
      </c>
      <c r="Q2393">
        <v>77692.34</v>
      </c>
      <c r="R2393">
        <v>648</v>
      </c>
      <c r="S2393">
        <v>1071</v>
      </c>
      <c r="T2393" t="s">
        <v>108</v>
      </c>
      <c r="U2393" t="s">
        <v>31</v>
      </c>
    </row>
    <row r="2394" spans="1:21">
      <c r="A2394" t="s">
        <v>3753</v>
      </c>
      <c r="B2394" t="s">
        <v>3748</v>
      </c>
      <c r="C2394" t="s">
        <v>1216</v>
      </c>
      <c r="D2394">
        <v>83000</v>
      </c>
      <c r="E2394">
        <v>3000</v>
      </c>
      <c r="F2394">
        <v>83000</v>
      </c>
      <c r="G2394">
        <v>83000</v>
      </c>
      <c r="H2394">
        <v>3</v>
      </c>
      <c r="I2394" t="s">
        <v>432</v>
      </c>
      <c r="J2394">
        <v>17.71</v>
      </c>
      <c r="K2394">
        <v>2</v>
      </c>
      <c r="L2394">
        <v>3</v>
      </c>
      <c r="M2394" t="s">
        <v>3022</v>
      </c>
      <c r="N2394">
        <v>9</v>
      </c>
      <c r="O2394">
        <v>13</v>
      </c>
      <c r="P2394">
        <v>144436.73000000001</v>
      </c>
      <c r="Q2394">
        <v>77692.34</v>
      </c>
      <c r="R2394">
        <v>648</v>
      </c>
      <c r="S2394">
        <v>1071</v>
      </c>
      <c r="T2394" t="s">
        <v>108</v>
      </c>
      <c r="U2394" t="s">
        <v>31</v>
      </c>
    </row>
    <row r="2395" spans="1:21">
      <c r="A2395" t="s">
        <v>3754</v>
      </c>
      <c r="B2395" t="s">
        <v>3755</v>
      </c>
      <c r="C2395" t="s">
        <v>1216</v>
      </c>
      <c r="D2395">
        <v>75000</v>
      </c>
      <c r="E2395">
        <v>5000</v>
      </c>
      <c r="F2395">
        <v>75000</v>
      </c>
      <c r="G2395">
        <v>75000</v>
      </c>
      <c r="H2395">
        <v>2</v>
      </c>
      <c r="I2395" t="s">
        <v>432</v>
      </c>
      <c r="J2395">
        <v>16.52</v>
      </c>
      <c r="K2395">
        <v>22</v>
      </c>
      <c r="L2395">
        <v>2</v>
      </c>
      <c r="M2395" t="s">
        <v>3022</v>
      </c>
      <c r="N2395">
        <v>7</v>
      </c>
      <c r="O2395">
        <v>12.67</v>
      </c>
      <c r="P2395">
        <v>144436.73000000001</v>
      </c>
      <c r="Q2395">
        <v>77692.34</v>
      </c>
      <c r="R2395">
        <v>648</v>
      </c>
      <c r="S2395">
        <v>1071</v>
      </c>
      <c r="T2395" t="s">
        <v>108</v>
      </c>
      <c r="U2395" t="s">
        <v>27</v>
      </c>
    </row>
    <row r="2396" spans="1:21">
      <c r="A2396" t="s">
        <v>3756</v>
      </c>
      <c r="B2396" t="s">
        <v>3318</v>
      </c>
      <c r="C2396" t="s">
        <v>1890</v>
      </c>
      <c r="D2396">
        <v>122000</v>
      </c>
      <c r="E2396">
        <v>3000</v>
      </c>
      <c r="F2396">
        <v>122000</v>
      </c>
      <c r="G2396">
        <v>122000</v>
      </c>
      <c r="H2396">
        <v>2</v>
      </c>
      <c r="I2396" t="s">
        <v>432</v>
      </c>
      <c r="J2396">
        <v>37.869999999999997</v>
      </c>
      <c r="K2396">
        <v>0</v>
      </c>
      <c r="L2396">
        <v>2</v>
      </c>
      <c r="M2396" t="s">
        <v>3022</v>
      </c>
      <c r="N2396">
        <v>12</v>
      </c>
      <c r="O2396">
        <v>13.67</v>
      </c>
      <c r="P2396">
        <v>144436.73000000001</v>
      </c>
      <c r="Q2396">
        <v>77692.34</v>
      </c>
      <c r="R2396">
        <v>648</v>
      </c>
      <c r="S2396">
        <v>1071</v>
      </c>
      <c r="T2396" t="s">
        <v>26</v>
      </c>
      <c r="U2396" t="s">
        <v>81</v>
      </c>
    </row>
    <row r="2397" spans="1:21">
      <c r="A2397" t="s">
        <v>3757</v>
      </c>
      <c r="B2397" t="s">
        <v>3758</v>
      </c>
      <c r="C2397" t="s">
        <v>1768</v>
      </c>
      <c r="D2397">
        <v>52000</v>
      </c>
      <c r="E2397">
        <v>2000</v>
      </c>
      <c r="F2397">
        <v>52000</v>
      </c>
      <c r="G2397">
        <v>52000</v>
      </c>
      <c r="H2397">
        <v>2</v>
      </c>
      <c r="I2397" t="s">
        <v>432</v>
      </c>
      <c r="J2397">
        <v>12.21</v>
      </c>
      <c r="K2397">
        <v>46</v>
      </c>
      <c r="L2397">
        <v>4</v>
      </c>
      <c r="M2397" t="s">
        <v>3022</v>
      </c>
      <c r="N2397">
        <v>10</v>
      </c>
      <c r="O2397">
        <v>12.33</v>
      </c>
      <c r="P2397">
        <v>144436.73000000001</v>
      </c>
      <c r="Q2397">
        <v>77692.34</v>
      </c>
      <c r="R2397">
        <v>648</v>
      </c>
      <c r="S2397">
        <v>1071</v>
      </c>
      <c r="T2397" t="s">
        <v>108</v>
      </c>
      <c r="U2397" t="s">
        <v>42</v>
      </c>
    </row>
    <row r="2398" spans="1:21">
      <c r="A2398" t="s">
        <v>3759</v>
      </c>
      <c r="B2398" t="s">
        <v>3760</v>
      </c>
      <c r="C2398" t="s">
        <v>3195</v>
      </c>
      <c r="D2398">
        <v>87500</v>
      </c>
      <c r="F2398">
        <v>87500</v>
      </c>
      <c r="G2398">
        <v>87500</v>
      </c>
      <c r="H2398">
        <v>5</v>
      </c>
      <c r="I2398" t="s">
        <v>432</v>
      </c>
      <c r="J2398">
        <v>23.41</v>
      </c>
      <c r="K2398">
        <v>47</v>
      </c>
      <c r="L2398">
        <v>7</v>
      </c>
      <c r="M2398" t="s">
        <v>3022</v>
      </c>
      <c r="N2398">
        <v>1</v>
      </c>
      <c r="O2398">
        <v>7</v>
      </c>
      <c r="P2398">
        <v>144436.73000000001</v>
      </c>
      <c r="Q2398">
        <v>77692.34</v>
      </c>
      <c r="R2398">
        <v>648</v>
      </c>
      <c r="S2398">
        <v>1071</v>
      </c>
      <c r="T2398" t="s">
        <v>34</v>
      </c>
      <c r="U2398" t="s">
        <v>42</v>
      </c>
    </row>
    <row r="2399" spans="1:21">
      <c r="A2399" t="s">
        <v>3761</v>
      </c>
      <c r="B2399" t="s">
        <v>3762</v>
      </c>
      <c r="C2399" t="s">
        <v>3195</v>
      </c>
      <c r="D2399">
        <v>75000</v>
      </c>
      <c r="F2399">
        <v>75000</v>
      </c>
      <c r="G2399">
        <v>75000</v>
      </c>
      <c r="H2399">
        <v>1</v>
      </c>
      <c r="I2399" t="s">
        <v>432</v>
      </c>
      <c r="J2399">
        <v>21.06</v>
      </c>
      <c r="K2399">
        <v>40</v>
      </c>
      <c r="L2399">
        <v>3</v>
      </c>
      <c r="M2399" t="s">
        <v>3022</v>
      </c>
      <c r="N2399">
        <v>3</v>
      </c>
      <c r="O2399">
        <v>3.67</v>
      </c>
      <c r="P2399">
        <v>144436.73000000001</v>
      </c>
      <c r="Q2399">
        <v>77692.34</v>
      </c>
      <c r="R2399">
        <v>648</v>
      </c>
      <c r="S2399">
        <v>1071</v>
      </c>
      <c r="T2399" t="s">
        <v>34</v>
      </c>
      <c r="U2399" t="s">
        <v>49</v>
      </c>
    </row>
    <row r="2400" spans="1:21">
      <c r="A2400" t="s">
        <v>3763</v>
      </c>
      <c r="B2400" t="s">
        <v>3334</v>
      </c>
      <c r="C2400" t="s">
        <v>1890</v>
      </c>
      <c r="D2400">
        <v>122000</v>
      </c>
      <c r="E2400">
        <v>3000</v>
      </c>
      <c r="F2400">
        <v>122000</v>
      </c>
      <c r="G2400">
        <v>122000</v>
      </c>
      <c r="H2400">
        <v>2</v>
      </c>
      <c r="I2400" t="s">
        <v>432</v>
      </c>
      <c r="J2400">
        <v>37.869999999999997</v>
      </c>
      <c r="K2400">
        <v>0</v>
      </c>
      <c r="L2400">
        <v>2</v>
      </c>
      <c r="M2400" t="s">
        <v>3022</v>
      </c>
      <c r="N2400">
        <v>12</v>
      </c>
      <c r="O2400">
        <v>13.67</v>
      </c>
      <c r="P2400">
        <v>144436.73000000001</v>
      </c>
      <c r="Q2400">
        <v>77692.34</v>
      </c>
      <c r="R2400">
        <v>648</v>
      </c>
      <c r="S2400">
        <v>1071</v>
      </c>
      <c r="T2400" t="s">
        <v>26</v>
      </c>
      <c r="U2400" t="s">
        <v>81</v>
      </c>
    </row>
    <row r="2401" spans="1:21">
      <c r="A2401" t="s">
        <v>3764</v>
      </c>
      <c r="B2401" t="s">
        <v>3336</v>
      </c>
      <c r="C2401" t="s">
        <v>1231</v>
      </c>
      <c r="D2401">
        <v>113000</v>
      </c>
      <c r="E2401">
        <v>10000</v>
      </c>
      <c r="F2401">
        <v>113000</v>
      </c>
      <c r="G2401">
        <v>113000</v>
      </c>
      <c r="H2401">
        <v>1</v>
      </c>
      <c r="I2401" t="s">
        <v>432</v>
      </c>
      <c r="J2401">
        <v>24.47</v>
      </c>
      <c r="K2401">
        <v>1</v>
      </c>
      <c r="L2401">
        <v>2</v>
      </c>
      <c r="M2401" t="s">
        <v>3022</v>
      </c>
      <c r="N2401">
        <v>7</v>
      </c>
      <c r="O2401">
        <v>11.33</v>
      </c>
      <c r="P2401">
        <v>144436.73000000001</v>
      </c>
      <c r="Q2401">
        <v>77692.34</v>
      </c>
      <c r="R2401">
        <v>648</v>
      </c>
      <c r="S2401">
        <v>1071</v>
      </c>
      <c r="T2401" t="s">
        <v>34</v>
      </c>
      <c r="U2401" t="s">
        <v>31</v>
      </c>
    </row>
    <row r="2402" spans="1:21">
      <c r="A2402" t="s">
        <v>3765</v>
      </c>
      <c r="B2402" t="s">
        <v>3336</v>
      </c>
      <c r="C2402" t="s">
        <v>1231</v>
      </c>
      <c r="D2402">
        <v>120000</v>
      </c>
      <c r="E2402">
        <v>10000</v>
      </c>
      <c r="F2402">
        <v>120000</v>
      </c>
      <c r="G2402">
        <v>120000</v>
      </c>
      <c r="H2402">
        <v>2</v>
      </c>
      <c r="I2402" t="s">
        <v>432</v>
      </c>
      <c r="J2402">
        <v>24.47</v>
      </c>
      <c r="K2402">
        <v>1</v>
      </c>
      <c r="L2402">
        <v>2</v>
      </c>
      <c r="M2402" t="s">
        <v>3022</v>
      </c>
      <c r="N2402">
        <v>7</v>
      </c>
      <c r="O2402">
        <v>11.33</v>
      </c>
      <c r="P2402">
        <v>144436.73000000001</v>
      </c>
      <c r="Q2402">
        <v>77692.34</v>
      </c>
      <c r="R2402">
        <v>648</v>
      </c>
      <c r="S2402">
        <v>1071</v>
      </c>
      <c r="T2402" t="s">
        <v>34</v>
      </c>
      <c r="U2402" t="s">
        <v>31</v>
      </c>
    </row>
    <row r="2403" spans="1:21">
      <c r="A2403" t="s">
        <v>3766</v>
      </c>
      <c r="B2403" t="s">
        <v>3767</v>
      </c>
      <c r="C2403" t="s">
        <v>1231</v>
      </c>
      <c r="D2403">
        <v>51000</v>
      </c>
      <c r="E2403">
        <v>3000</v>
      </c>
      <c r="H2403">
        <v>2</v>
      </c>
      <c r="I2403" t="s">
        <v>432</v>
      </c>
      <c r="J2403">
        <v>11.13</v>
      </c>
      <c r="K2403">
        <v>99</v>
      </c>
      <c r="L2403">
        <v>2</v>
      </c>
      <c r="M2403" t="s">
        <v>3022</v>
      </c>
      <c r="N2403">
        <v>6</v>
      </c>
      <c r="O2403">
        <v>9.67</v>
      </c>
      <c r="P2403">
        <v>144436.73000000001</v>
      </c>
      <c r="Q2403">
        <v>77692.34</v>
      </c>
      <c r="R2403">
        <v>648</v>
      </c>
      <c r="S2403">
        <v>1071</v>
      </c>
      <c r="T2403" t="s">
        <v>108</v>
      </c>
      <c r="U2403" t="s">
        <v>38</v>
      </c>
    </row>
    <row r="2404" spans="1:21">
      <c r="A2404" t="s">
        <v>3768</v>
      </c>
      <c r="B2404" t="s">
        <v>3769</v>
      </c>
      <c r="C2404" t="s">
        <v>1228</v>
      </c>
      <c r="D2404">
        <v>231000</v>
      </c>
      <c r="F2404">
        <v>462000</v>
      </c>
      <c r="G2404">
        <v>231000</v>
      </c>
      <c r="H2404">
        <v>3</v>
      </c>
      <c r="I2404" t="s">
        <v>432</v>
      </c>
      <c r="J2404">
        <v>49.06</v>
      </c>
      <c r="K2404">
        <v>25</v>
      </c>
      <c r="L2404">
        <v>7</v>
      </c>
      <c r="M2404" t="s">
        <v>3022</v>
      </c>
      <c r="N2404">
        <v>1</v>
      </c>
      <c r="O2404">
        <v>6.67</v>
      </c>
      <c r="P2404">
        <v>144436.73000000001</v>
      </c>
      <c r="Q2404">
        <v>77692.34</v>
      </c>
      <c r="R2404">
        <v>648</v>
      </c>
      <c r="S2404">
        <v>1071</v>
      </c>
      <c r="T2404" t="s">
        <v>326</v>
      </c>
      <c r="U2404" t="s">
        <v>27</v>
      </c>
    </row>
    <row r="2405" spans="1:21">
      <c r="A2405" t="s">
        <v>3770</v>
      </c>
      <c r="B2405" t="s">
        <v>3771</v>
      </c>
      <c r="C2405" t="s">
        <v>1768</v>
      </c>
      <c r="D2405">
        <v>62000</v>
      </c>
      <c r="F2405">
        <v>62000</v>
      </c>
      <c r="H2405">
        <v>2</v>
      </c>
      <c r="I2405" t="s">
        <v>432</v>
      </c>
      <c r="J2405">
        <v>14.43</v>
      </c>
      <c r="K2405">
        <v>20</v>
      </c>
      <c r="L2405">
        <v>2</v>
      </c>
      <c r="M2405" t="s">
        <v>3022</v>
      </c>
      <c r="N2405">
        <v>9</v>
      </c>
      <c r="O2405">
        <v>10.33</v>
      </c>
      <c r="P2405">
        <v>144436.73000000001</v>
      </c>
      <c r="Q2405">
        <v>77692.34</v>
      </c>
      <c r="R2405">
        <v>648</v>
      </c>
      <c r="S2405">
        <v>1071</v>
      </c>
      <c r="T2405" t="s">
        <v>108</v>
      </c>
      <c r="U2405" t="s">
        <v>90</v>
      </c>
    </row>
    <row r="2406" spans="1:21">
      <c r="A2406" t="s">
        <v>3772</v>
      </c>
      <c r="B2406" t="s">
        <v>3773</v>
      </c>
      <c r="C2406" t="s">
        <v>1890</v>
      </c>
      <c r="D2406">
        <v>82000</v>
      </c>
      <c r="E2406">
        <v>3000</v>
      </c>
      <c r="H2406">
        <v>2</v>
      </c>
      <c r="I2406" t="s">
        <v>432</v>
      </c>
      <c r="J2406">
        <v>16.079999999999998</v>
      </c>
      <c r="K2406">
        <v>3</v>
      </c>
      <c r="L2406">
        <v>2</v>
      </c>
      <c r="M2406" t="s">
        <v>3022</v>
      </c>
      <c r="N2406">
        <v>10</v>
      </c>
      <c r="O2406">
        <v>10</v>
      </c>
      <c r="P2406">
        <v>144436.73000000001</v>
      </c>
      <c r="Q2406">
        <v>77692.34</v>
      </c>
      <c r="R2406">
        <v>648</v>
      </c>
      <c r="S2406">
        <v>1071</v>
      </c>
      <c r="T2406" t="s">
        <v>108</v>
      </c>
      <c r="U2406" t="s">
        <v>31</v>
      </c>
    </row>
    <row r="2407" spans="1:21">
      <c r="A2407" t="s">
        <v>3774</v>
      </c>
      <c r="B2407" t="s">
        <v>3775</v>
      </c>
      <c r="C2407" t="s">
        <v>1890</v>
      </c>
      <c r="D2407">
        <v>70000</v>
      </c>
      <c r="E2407">
        <v>4000</v>
      </c>
      <c r="G2407">
        <v>70000</v>
      </c>
      <c r="H2407">
        <v>1</v>
      </c>
      <c r="I2407" t="s">
        <v>432</v>
      </c>
      <c r="J2407">
        <v>13.58</v>
      </c>
      <c r="K2407">
        <v>2</v>
      </c>
      <c r="L2407">
        <v>2</v>
      </c>
      <c r="M2407" t="s">
        <v>3022</v>
      </c>
      <c r="N2407">
        <v>9</v>
      </c>
      <c r="O2407">
        <v>11</v>
      </c>
      <c r="P2407">
        <v>144436.73000000001</v>
      </c>
      <c r="Q2407">
        <v>77692.34</v>
      </c>
      <c r="R2407">
        <v>648</v>
      </c>
      <c r="S2407">
        <v>1071</v>
      </c>
      <c r="T2407" t="s">
        <v>108</v>
      </c>
      <c r="U2407" t="s">
        <v>31</v>
      </c>
    </row>
    <row r="2408" spans="1:21">
      <c r="A2408" t="s">
        <v>3776</v>
      </c>
      <c r="B2408" t="s">
        <v>3094</v>
      </c>
      <c r="C2408" t="s">
        <v>1231</v>
      </c>
      <c r="D2408">
        <v>147000</v>
      </c>
      <c r="E2408">
        <v>20000</v>
      </c>
      <c r="H2408">
        <v>6</v>
      </c>
      <c r="I2408" t="s">
        <v>432</v>
      </c>
      <c r="J2408">
        <v>28.99</v>
      </c>
      <c r="K2408">
        <v>25</v>
      </c>
      <c r="L2408">
        <v>8</v>
      </c>
      <c r="M2408" t="s">
        <v>3022</v>
      </c>
      <c r="N2408">
        <v>2</v>
      </c>
      <c r="O2408">
        <v>5.33</v>
      </c>
      <c r="P2408">
        <v>144436.73000000001</v>
      </c>
      <c r="Q2408">
        <v>77692.34</v>
      </c>
      <c r="R2408">
        <v>648</v>
      </c>
      <c r="S2408">
        <v>1071</v>
      </c>
      <c r="T2408" t="s">
        <v>34</v>
      </c>
      <c r="U2408" t="s">
        <v>27</v>
      </c>
    </row>
    <row r="2409" spans="1:21">
      <c r="A2409" t="s">
        <v>3777</v>
      </c>
      <c r="B2409" t="s">
        <v>3094</v>
      </c>
      <c r="C2409" t="s">
        <v>1231</v>
      </c>
      <c r="D2409">
        <v>149000</v>
      </c>
      <c r="E2409">
        <v>9000</v>
      </c>
      <c r="F2409">
        <v>149000</v>
      </c>
      <c r="H2409">
        <v>6</v>
      </c>
      <c r="I2409" t="s">
        <v>432</v>
      </c>
      <c r="J2409">
        <v>28.99</v>
      </c>
      <c r="K2409">
        <v>25</v>
      </c>
      <c r="L2409">
        <v>8</v>
      </c>
      <c r="M2409" t="s">
        <v>3022</v>
      </c>
      <c r="N2409">
        <v>2</v>
      </c>
      <c r="O2409">
        <v>5.33</v>
      </c>
      <c r="P2409">
        <v>144436.73000000001</v>
      </c>
      <c r="Q2409">
        <v>77692.34</v>
      </c>
      <c r="R2409">
        <v>648</v>
      </c>
      <c r="S2409">
        <v>1071</v>
      </c>
      <c r="T2409" t="s">
        <v>34</v>
      </c>
      <c r="U2409" t="s">
        <v>27</v>
      </c>
    </row>
    <row r="2410" spans="1:21">
      <c r="A2410" t="s">
        <v>3778</v>
      </c>
      <c r="B2410" t="s">
        <v>3557</v>
      </c>
      <c r="C2410" t="s">
        <v>1228</v>
      </c>
      <c r="D2410">
        <v>149000</v>
      </c>
      <c r="E2410">
        <v>8000</v>
      </c>
      <c r="F2410">
        <v>149000</v>
      </c>
      <c r="G2410">
        <v>149000</v>
      </c>
      <c r="H2410">
        <v>3</v>
      </c>
      <c r="I2410" t="s">
        <v>432</v>
      </c>
      <c r="J2410">
        <v>30.3</v>
      </c>
      <c r="K2410">
        <v>16</v>
      </c>
      <c r="L2410">
        <v>15</v>
      </c>
      <c r="M2410" t="s">
        <v>3022</v>
      </c>
      <c r="N2410">
        <v>1</v>
      </c>
      <c r="O2410">
        <v>8.33</v>
      </c>
      <c r="P2410">
        <v>144436.73000000001</v>
      </c>
      <c r="Q2410">
        <v>77692.34</v>
      </c>
      <c r="R2410">
        <v>648</v>
      </c>
      <c r="S2410">
        <v>1071</v>
      </c>
      <c r="T2410" t="s">
        <v>26</v>
      </c>
      <c r="U2410" t="s">
        <v>90</v>
      </c>
    </row>
    <row r="2411" spans="1:21">
      <c r="A2411" t="s">
        <v>3779</v>
      </c>
      <c r="B2411" t="s">
        <v>3780</v>
      </c>
      <c r="C2411" t="s">
        <v>1768</v>
      </c>
      <c r="D2411">
        <v>75000</v>
      </c>
      <c r="E2411">
        <v>4000</v>
      </c>
      <c r="H2411">
        <v>1</v>
      </c>
      <c r="I2411" t="s">
        <v>432</v>
      </c>
      <c r="J2411">
        <v>7.61</v>
      </c>
      <c r="K2411">
        <v>10</v>
      </c>
      <c r="L2411">
        <v>2</v>
      </c>
      <c r="M2411" t="s">
        <v>3022</v>
      </c>
      <c r="N2411">
        <v>6</v>
      </c>
      <c r="O2411">
        <v>9.67</v>
      </c>
      <c r="P2411">
        <v>144436.73000000001</v>
      </c>
      <c r="Q2411">
        <v>77692.34</v>
      </c>
      <c r="R2411">
        <v>648</v>
      </c>
      <c r="S2411">
        <v>1071</v>
      </c>
      <c r="T2411" t="s">
        <v>231</v>
      </c>
      <c r="U2411" t="s">
        <v>31</v>
      </c>
    </row>
    <row r="2412" spans="1:21">
      <c r="A2412" t="s">
        <v>3781</v>
      </c>
      <c r="B2412" t="s">
        <v>989</v>
      </c>
      <c r="C2412" t="s">
        <v>1231</v>
      </c>
      <c r="D2412">
        <v>62000</v>
      </c>
      <c r="E2412">
        <v>3000</v>
      </c>
      <c r="H2412">
        <v>1</v>
      </c>
      <c r="I2412" t="s">
        <v>432</v>
      </c>
      <c r="J2412">
        <v>9.82</v>
      </c>
      <c r="K2412">
        <v>13</v>
      </c>
      <c r="L2412">
        <v>2</v>
      </c>
      <c r="M2412" t="s">
        <v>3022</v>
      </c>
      <c r="N2412">
        <v>3</v>
      </c>
      <c r="O2412">
        <v>8.33</v>
      </c>
      <c r="P2412">
        <v>144436.73000000001</v>
      </c>
      <c r="Q2412">
        <v>77692.34</v>
      </c>
      <c r="R2412">
        <v>648</v>
      </c>
      <c r="S2412">
        <v>1071</v>
      </c>
      <c r="T2412" t="s">
        <v>231</v>
      </c>
      <c r="U2412" t="s">
        <v>90</v>
      </c>
    </row>
    <row r="2413" spans="1:21">
      <c r="A2413" t="s">
        <v>3782</v>
      </c>
      <c r="B2413" t="s">
        <v>3783</v>
      </c>
      <c r="C2413" t="s">
        <v>1228</v>
      </c>
      <c r="D2413">
        <v>105000</v>
      </c>
      <c r="E2413">
        <v>2000</v>
      </c>
      <c r="F2413">
        <v>105000</v>
      </c>
      <c r="G2413">
        <v>105000</v>
      </c>
      <c r="H2413">
        <v>1</v>
      </c>
      <c r="I2413" t="s">
        <v>432</v>
      </c>
      <c r="J2413">
        <v>20.48</v>
      </c>
      <c r="K2413">
        <v>1</v>
      </c>
      <c r="L2413">
        <v>2</v>
      </c>
      <c r="M2413" t="s">
        <v>3022</v>
      </c>
      <c r="N2413">
        <v>4</v>
      </c>
      <c r="O2413">
        <v>9.67</v>
      </c>
      <c r="P2413">
        <v>144436.73000000001</v>
      </c>
      <c r="Q2413">
        <v>77692.34</v>
      </c>
      <c r="R2413">
        <v>648</v>
      </c>
      <c r="S2413">
        <v>1071</v>
      </c>
      <c r="T2413" t="s">
        <v>34</v>
      </c>
      <c r="U2413" t="s">
        <v>31</v>
      </c>
    </row>
    <row r="2414" spans="1:21">
      <c r="A2414" t="s">
        <v>3784</v>
      </c>
      <c r="B2414" t="s">
        <v>3785</v>
      </c>
      <c r="C2414" t="s">
        <v>3059</v>
      </c>
      <c r="D2414">
        <v>52000</v>
      </c>
      <c r="E2414">
        <v>3000</v>
      </c>
      <c r="H2414">
        <v>1</v>
      </c>
      <c r="I2414" t="s">
        <v>432</v>
      </c>
      <c r="J2414">
        <v>12.1</v>
      </c>
      <c r="K2414">
        <v>20</v>
      </c>
      <c r="L2414">
        <v>2</v>
      </c>
      <c r="M2414" t="s">
        <v>3022</v>
      </c>
      <c r="N2414">
        <v>4</v>
      </c>
      <c r="O2414">
        <v>11.67</v>
      </c>
      <c r="P2414">
        <v>144436.73000000001</v>
      </c>
      <c r="Q2414">
        <v>77692.34</v>
      </c>
      <c r="R2414">
        <v>648</v>
      </c>
      <c r="S2414">
        <v>1071</v>
      </c>
      <c r="T2414" t="s">
        <v>108</v>
      </c>
      <c r="U2414" t="s">
        <v>90</v>
      </c>
    </row>
    <row r="2415" spans="1:21">
      <c r="A2415" t="s">
        <v>3786</v>
      </c>
      <c r="B2415" t="s">
        <v>3787</v>
      </c>
      <c r="C2415" t="s">
        <v>1231</v>
      </c>
      <c r="D2415">
        <v>58000</v>
      </c>
      <c r="E2415">
        <v>2000</v>
      </c>
      <c r="F2415">
        <v>58000</v>
      </c>
      <c r="G2415">
        <v>58000</v>
      </c>
      <c r="H2415">
        <v>2</v>
      </c>
      <c r="I2415" t="s">
        <v>432</v>
      </c>
      <c r="J2415">
        <v>13.11</v>
      </c>
      <c r="K2415">
        <v>33</v>
      </c>
      <c r="L2415">
        <v>2</v>
      </c>
      <c r="M2415" t="s">
        <v>3022</v>
      </c>
      <c r="N2415">
        <v>10</v>
      </c>
      <c r="O2415">
        <v>13</v>
      </c>
      <c r="P2415">
        <v>144436.73000000001</v>
      </c>
      <c r="Q2415">
        <v>77692.34</v>
      </c>
      <c r="R2415">
        <v>648</v>
      </c>
      <c r="S2415">
        <v>1071</v>
      </c>
      <c r="T2415" t="s">
        <v>108</v>
      </c>
      <c r="U2415" t="s">
        <v>49</v>
      </c>
    </row>
    <row r="2416" spans="1:21">
      <c r="A2416" t="s">
        <v>3788</v>
      </c>
      <c r="B2416" t="s">
        <v>3789</v>
      </c>
      <c r="C2416" t="s">
        <v>1228</v>
      </c>
      <c r="D2416">
        <v>55000</v>
      </c>
      <c r="F2416">
        <v>55000</v>
      </c>
      <c r="G2416">
        <v>55000</v>
      </c>
      <c r="H2416">
        <v>1</v>
      </c>
      <c r="I2416" t="s">
        <v>432</v>
      </c>
      <c r="J2416">
        <v>18</v>
      </c>
      <c r="K2416">
        <v>35</v>
      </c>
      <c r="L2416">
        <v>2</v>
      </c>
      <c r="M2416" t="s">
        <v>3022</v>
      </c>
      <c r="N2416">
        <v>5</v>
      </c>
      <c r="O2416">
        <v>9.33</v>
      </c>
      <c r="P2416">
        <v>144436.73000000001</v>
      </c>
      <c r="Q2416">
        <v>77692.34</v>
      </c>
      <c r="R2416">
        <v>648</v>
      </c>
      <c r="S2416">
        <v>1071</v>
      </c>
      <c r="T2416" t="s">
        <v>108</v>
      </c>
      <c r="U2416" t="s">
        <v>49</v>
      </c>
    </row>
    <row r="2417" spans="1:21">
      <c r="A2417" t="s">
        <v>3790</v>
      </c>
      <c r="B2417" t="s">
        <v>3789</v>
      </c>
      <c r="C2417" t="s">
        <v>1228</v>
      </c>
      <c r="D2417">
        <v>53000</v>
      </c>
      <c r="E2417">
        <v>3000</v>
      </c>
      <c r="H2417">
        <v>1</v>
      </c>
      <c r="I2417" t="s">
        <v>432</v>
      </c>
      <c r="J2417">
        <v>9.7200000000000006</v>
      </c>
      <c r="K2417">
        <v>35</v>
      </c>
      <c r="L2417">
        <v>2</v>
      </c>
      <c r="M2417" t="s">
        <v>3022</v>
      </c>
      <c r="N2417">
        <v>7</v>
      </c>
      <c r="O2417">
        <v>12</v>
      </c>
      <c r="P2417">
        <v>144436.73000000001</v>
      </c>
      <c r="Q2417">
        <v>77692.34</v>
      </c>
      <c r="R2417">
        <v>648</v>
      </c>
      <c r="S2417">
        <v>1071</v>
      </c>
      <c r="T2417" t="s">
        <v>231</v>
      </c>
      <c r="U2417" t="s">
        <v>49</v>
      </c>
    </row>
    <row r="2418" spans="1:21">
      <c r="A2418" t="s">
        <v>3791</v>
      </c>
      <c r="B2418" t="s">
        <v>3368</v>
      </c>
      <c r="C2418" t="s">
        <v>1890</v>
      </c>
      <c r="D2418">
        <v>80000</v>
      </c>
      <c r="E2418">
        <v>1000</v>
      </c>
      <c r="F2418">
        <v>40000</v>
      </c>
      <c r="G2418">
        <v>80000</v>
      </c>
      <c r="H2418">
        <v>1</v>
      </c>
      <c r="I2418" t="s">
        <v>432</v>
      </c>
      <c r="J2418">
        <v>42</v>
      </c>
      <c r="K2418">
        <v>38</v>
      </c>
      <c r="L2418">
        <v>2</v>
      </c>
      <c r="M2418" t="s">
        <v>3022</v>
      </c>
      <c r="N2418">
        <v>10</v>
      </c>
      <c r="O2418">
        <v>11.67</v>
      </c>
      <c r="P2418">
        <v>144436.73000000001</v>
      </c>
      <c r="Q2418">
        <v>77692.34</v>
      </c>
      <c r="R2418">
        <v>648</v>
      </c>
      <c r="S2418">
        <v>1071</v>
      </c>
      <c r="T2418" t="s">
        <v>326</v>
      </c>
      <c r="U2418" t="s">
        <v>49</v>
      </c>
    </row>
    <row r="2419" spans="1:21">
      <c r="A2419" t="s">
        <v>3792</v>
      </c>
      <c r="B2419" t="s">
        <v>3368</v>
      </c>
      <c r="C2419" t="s">
        <v>1773</v>
      </c>
      <c r="D2419">
        <v>58000</v>
      </c>
      <c r="F2419">
        <v>58000</v>
      </c>
      <c r="H2419">
        <v>2</v>
      </c>
      <c r="I2419" t="s">
        <v>432</v>
      </c>
      <c r="J2419">
        <v>17</v>
      </c>
      <c r="K2419">
        <v>38</v>
      </c>
      <c r="L2419">
        <v>2</v>
      </c>
      <c r="M2419" t="s">
        <v>3022</v>
      </c>
      <c r="N2419">
        <v>6</v>
      </c>
      <c r="O2419">
        <v>11.33</v>
      </c>
      <c r="P2419">
        <v>144436.73000000001</v>
      </c>
      <c r="Q2419">
        <v>77692.34</v>
      </c>
      <c r="R2419">
        <v>648</v>
      </c>
      <c r="S2419">
        <v>1071</v>
      </c>
      <c r="T2419" t="s">
        <v>108</v>
      </c>
      <c r="U2419" t="s">
        <v>49</v>
      </c>
    </row>
    <row r="2420" spans="1:21">
      <c r="A2420" t="s">
        <v>3793</v>
      </c>
      <c r="B2420" t="s">
        <v>3794</v>
      </c>
      <c r="C2420" t="s">
        <v>1228</v>
      </c>
      <c r="D2420">
        <v>52000</v>
      </c>
      <c r="F2420">
        <v>52000</v>
      </c>
      <c r="G2420">
        <v>52000</v>
      </c>
      <c r="H2420">
        <v>1</v>
      </c>
      <c r="I2420" t="s">
        <v>432</v>
      </c>
      <c r="J2420">
        <v>17.5</v>
      </c>
      <c r="K2420">
        <v>42</v>
      </c>
      <c r="L2420">
        <v>2</v>
      </c>
      <c r="M2420" t="s">
        <v>3022</v>
      </c>
      <c r="N2420">
        <v>6</v>
      </c>
      <c r="O2420">
        <v>10.67</v>
      </c>
      <c r="P2420">
        <v>144436.73000000001</v>
      </c>
      <c r="Q2420">
        <v>77692.34</v>
      </c>
      <c r="R2420">
        <v>648</v>
      </c>
      <c r="S2420">
        <v>1071</v>
      </c>
      <c r="T2420" t="s">
        <v>108</v>
      </c>
      <c r="U2420" t="s">
        <v>42</v>
      </c>
    </row>
    <row r="2421" spans="1:21">
      <c r="A2421" t="s">
        <v>3795</v>
      </c>
      <c r="B2421" t="s">
        <v>3796</v>
      </c>
      <c r="C2421" t="s">
        <v>1890</v>
      </c>
      <c r="D2421">
        <v>75000</v>
      </c>
      <c r="E2421">
        <v>4000</v>
      </c>
      <c r="F2421">
        <v>75000</v>
      </c>
      <c r="G2421">
        <v>75000</v>
      </c>
      <c r="H2421">
        <v>1</v>
      </c>
      <c r="I2421" t="s">
        <v>432</v>
      </c>
      <c r="J2421">
        <v>18.420000000000002</v>
      </c>
      <c r="K2421">
        <v>60</v>
      </c>
      <c r="L2421">
        <v>2</v>
      </c>
      <c r="M2421" t="s">
        <v>3022</v>
      </c>
      <c r="N2421">
        <v>8</v>
      </c>
      <c r="O2421">
        <v>8.33</v>
      </c>
      <c r="P2421">
        <v>144436.73000000001</v>
      </c>
      <c r="Q2421">
        <v>77692.34</v>
      </c>
      <c r="R2421">
        <v>648</v>
      </c>
      <c r="S2421">
        <v>1071</v>
      </c>
      <c r="T2421" t="s">
        <v>108</v>
      </c>
      <c r="U2421" t="s">
        <v>57</v>
      </c>
    </row>
    <row r="2422" spans="1:21">
      <c r="A2422" t="s">
        <v>3797</v>
      </c>
      <c r="B2422" t="s">
        <v>3796</v>
      </c>
      <c r="C2422" t="s">
        <v>1890</v>
      </c>
      <c r="D2422">
        <v>75000</v>
      </c>
      <c r="E2422">
        <v>4000</v>
      </c>
      <c r="F2422">
        <v>75000</v>
      </c>
      <c r="G2422">
        <v>75000</v>
      </c>
      <c r="H2422">
        <v>1</v>
      </c>
      <c r="I2422" t="s">
        <v>432</v>
      </c>
      <c r="J2422">
        <v>20.34</v>
      </c>
      <c r="K2422">
        <v>60</v>
      </c>
      <c r="L2422">
        <v>2</v>
      </c>
      <c r="M2422" t="s">
        <v>3022</v>
      </c>
      <c r="N2422">
        <v>8</v>
      </c>
      <c r="O2422">
        <v>8.33</v>
      </c>
      <c r="P2422">
        <v>144436.73000000001</v>
      </c>
      <c r="Q2422">
        <v>77692.34</v>
      </c>
      <c r="R2422">
        <v>648</v>
      </c>
      <c r="S2422">
        <v>1071</v>
      </c>
      <c r="T2422" t="s">
        <v>34</v>
      </c>
      <c r="U2422" t="s">
        <v>57</v>
      </c>
    </row>
    <row r="2423" spans="1:21">
      <c r="A2423" t="s">
        <v>3798</v>
      </c>
      <c r="B2423" t="s">
        <v>3799</v>
      </c>
      <c r="C2423" t="s">
        <v>1228</v>
      </c>
      <c r="D2423">
        <v>100000</v>
      </c>
      <c r="E2423">
        <v>4000</v>
      </c>
      <c r="F2423">
        <v>100000</v>
      </c>
      <c r="H2423">
        <v>1</v>
      </c>
      <c r="I2423" t="s">
        <v>432</v>
      </c>
      <c r="J2423">
        <v>11.61</v>
      </c>
      <c r="K2423">
        <v>6</v>
      </c>
      <c r="L2423">
        <v>2</v>
      </c>
      <c r="M2423" t="s">
        <v>3022</v>
      </c>
      <c r="N2423">
        <v>4</v>
      </c>
      <c r="O2423">
        <v>8.33</v>
      </c>
      <c r="P2423">
        <v>144436.73000000001</v>
      </c>
      <c r="Q2423">
        <v>77692.34</v>
      </c>
      <c r="R2423">
        <v>648</v>
      </c>
      <c r="S2423">
        <v>1071</v>
      </c>
      <c r="T2423" t="s">
        <v>108</v>
      </c>
      <c r="U2423" t="s">
        <v>31</v>
      </c>
    </row>
    <row r="2424" spans="1:21">
      <c r="A2424" t="s">
        <v>3800</v>
      </c>
      <c r="B2424" t="s">
        <v>3561</v>
      </c>
      <c r="C2424" t="s">
        <v>3059</v>
      </c>
      <c r="D2424">
        <v>89000</v>
      </c>
      <c r="E2424">
        <v>6000</v>
      </c>
      <c r="G2424">
        <v>89000</v>
      </c>
      <c r="H2424">
        <v>2</v>
      </c>
      <c r="I2424" t="s">
        <v>432</v>
      </c>
      <c r="J2424">
        <v>15.2</v>
      </c>
      <c r="K2424">
        <v>7</v>
      </c>
      <c r="L2424">
        <v>2</v>
      </c>
      <c r="M2424" t="s">
        <v>3022</v>
      </c>
      <c r="N2424">
        <v>5</v>
      </c>
      <c r="O2424">
        <v>6</v>
      </c>
      <c r="P2424">
        <v>144436.73000000001</v>
      </c>
      <c r="Q2424">
        <v>77692.34</v>
      </c>
      <c r="R2424">
        <v>648</v>
      </c>
      <c r="S2424">
        <v>1071</v>
      </c>
      <c r="T2424" t="s">
        <v>108</v>
      </c>
      <c r="U2424" t="s">
        <v>31</v>
      </c>
    </row>
    <row r="2425" spans="1:21">
      <c r="A2425" t="s">
        <v>3801</v>
      </c>
      <c r="B2425" t="s">
        <v>3802</v>
      </c>
      <c r="C2425" t="s">
        <v>1294</v>
      </c>
      <c r="D2425">
        <v>64000</v>
      </c>
      <c r="E2425">
        <v>4000</v>
      </c>
      <c r="H2425">
        <v>1</v>
      </c>
      <c r="I2425" t="s">
        <v>432</v>
      </c>
      <c r="J2425">
        <v>10.8</v>
      </c>
      <c r="K2425">
        <v>8</v>
      </c>
      <c r="L2425">
        <v>2</v>
      </c>
      <c r="M2425" t="s">
        <v>3022</v>
      </c>
      <c r="N2425">
        <v>8</v>
      </c>
      <c r="O2425">
        <v>11</v>
      </c>
      <c r="P2425">
        <v>144436.73000000001</v>
      </c>
      <c r="Q2425">
        <v>77692.34</v>
      </c>
      <c r="R2425">
        <v>648</v>
      </c>
      <c r="S2425">
        <v>1071</v>
      </c>
      <c r="T2425" t="s">
        <v>108</v>
      </c>
      <c r="U2425" t="s">
        <v>31</v>
      </c>
    </row>
    <row r="2426" spans="1:21">
      <c r="A2426" t="s">
        <v>3803</v>
      </c>
      <c r="B2426" t="s">
        <v>3802</v>
      </c>
      <c r="C2426" t="s">
        <v>1294</v>
      </c>
      <c r="D2426">
        <v>65000</v>
      </c>
      <c r="E2426">
        <v>4000</v>
      </c>
      <c r="G2426">
        <v>65000</v>
      </c>
      <c r="H2426">
        <v>1</v>
      </c>
      <c r="I2426" t="s">
        <v>432</v>
      </c>
      <c r="J2426">
        <v>10.8</v>
      </c>
      <c r="K2426">
        <v>8</v>
      </c>
      <c r="L2426">
        <v>2</v>
      </c>
      <c r="M2426" t="s">
        <v>3022</v>
      </c>
      <c r="N2426">
        <v>8</v>
      </c>
      <c r="O2426">
        <v>11</v>
      </c>
      <c r="P2426">
        <v>144436.73000000001</v>
      </c>
      <c r="Q2426">
        <v>77692.34</v>
      </c>
      <c r="R2426">
        <v>648</v>
      </c>
      <c r="S2426">
        <v>1071</v>
      </c>
      <c r="T2426" t="s">
        <v>108</v>
      </c>
      <c r="U2426" t="s">
        <v>31</v>
      </c>
    </row>
    <row r="2427" spans="1:21">
      <c r="A2427" t="s">
        <v>3804</v>
      </c>
      <c r="B2427" t="s">
        <v>3802</v>
      </c>
      <c r="C2427" t="s">
        <v>1294</v>
      </c>
      <c r="D2427">
        <v>68000</v>
      </c>
      <c r="E2427">
        <v>4000</v>
      </c>
      <c r="G2427">
        <v>68000</v>
      </c>
      <c r="H2427">
        <v>1</v>
      </c>
      <c r="I2427" t="s">
        <v>432</v>
      </c>
      <c r="J2427">
        <v>12.87</v>
      </c>
      <c r="K2427">
        <v>8</v>
      </c>
      <c r="L2427">
        <v>2</v>
      </c>
      <c r="M2427" t="s">
        <v>3022</v>
      </c>
      <c r="N2427">
        <v>8</v>
      </c>
      <c r="O2427">
        <v>11</v>
      </c>
      <c r="P2427">
        <v>144436.73000000001</v>
      </c>
      <c r="Q2427">
        <v>77692.34</v>
      </c>
      <c r="R2427">
        <v>648</v>
      </c>
      <c r="S2427">
        <v>1071</v>
      </c>
      <c r="T2427" t="s">
        <v>108</v>
      </c>
      <c r="U2427" t="s">
        <v>31</v>
      </c>
    </row>
    <row r="2428" spans="1:21">
      <c r="A2428" t="s">
        <v>3805</v>
      </c>
      <c r="B2428" t="s">
        <v>3806</v>
      </c>
      <c r="C2428" t="s">
        <v>1768</v>
      </c>
      <c r="D2428">
        <v>70000</v>
      </c>
      <c r="E2428">
        <v>4000</v>
      </c>
      <c r="H2428">
        <v>1</v>
      </c>
      <c r="I2428" t="s">
        <v>432</v>
      </c>
      <c r="J2428">
        <v>10.07</v>
      </c>
      <c r="K2428">
        <v>9</v>
      </c>
      <c r="L2428">
        <v>2</v>
      </c>
      <c r="M2428" t="s">
        <v>3022</v>
      </c>
      <c r="N2428">
        <v>10</v>
      </c>
      <c r="O2428">
        <v>11.33</v>
      </c>
      <c r="P2428">
        <v>144436.73000000001</v>
      </c>
      <c r="Q2428">
        <v>77692.34</v>
      </c>
      <c r="R2428">
        <v>648</v>
      </c>
      <c r="S2428">
        <v>1071</v>
      </c>
      <c r="T2428" t="s">
        <v>108</v>
      </c>
      <c r="U2428" t="s">
        <v>31</v>
      </c>
    </row>
    <row r="2429" spans="1:21">
      <c r="A2429" t="s">
        <v>3807</v>
      </c>
      <c r="B2429" t="s">
        <v>3563</v>
      </c>
      <c r="C2429" t="s">
        <v>1228</v>
      </c>
      <c r="D2429">
        <v>112000</v>
      </c>
      <c r="E2429">
        <v>4000</v>
      </c>
      <c r="F2429">
        <v>112000</v>
      </c>
      <c r="G2429">
        <v>168000</v>
      </c>
      <c r="H2429">
        <v>3</v>
      </c>
      <c r="I2429" t="s">
        <v>432</v>
      </c>
      <c r="J2429">
        <v>28.76</v>
      </c>
      <c r="K2429">
        <v>11</v>
      </c>
      <c r="L2429">
        <v>3</v>
      </c>
      <c r="M2429" t="s">
        <v>3022</v>
      </c>
      <c r="N2429">
        <v>3</v>
      </c>
      <c r="O2429">
        <v>5.33</v>
      </c>
      <c r="P2429">
        <v>144436.73000000001</v>
      </c>
      <c r="Q2429">
        <v>77692.34</v>
      </c>
      <c r="R2429">
        <v>648</v>
      </c>
      <c r="S2429">
        <v>1071</v>
      </c>
      <c r="T2429" t="s">
        <v>34</v>
      </c>
      <c r="U2429" t="s">
        <v>90</v>
      </c>
    </row>
    <row r="2430" spans="1:21">
      <c r="A2430" t="s">
        <v>3808</v>
      </c>
      <c r="B2430" t="s">
        <v>3809</v>
      </c>
      <c r="C2430" t="s">
        <v>3059</v>
      </c>
      <c r="D2430">
        <v>72000</v>
      </c>
      <c r="E2430">
        <v>3000</v>
      </c>
      <c r="F2430">
        <v>72000</v>
      </c>
      <c r="G2430">
        <v>72000</v>
      </c>
      <c r="H2430">
        <v>3</v>
      </c>
      <c r="I2430" t="s">
        <v>432</v>
      </c>
      <c r="J2430">
        <v>18</v>
      </c>
      <c r="K2430">
        <v>36</v>
      </c>
      <c r="L2430">
        <v>3</v>
      </c>
      <c r="M2430" t="s">
        <v>3022</v>
      </c>
      <c r="N2430">
        <v>3</v>
      </c>
      <c r="O2430">
        <v>5.33</v>
      </c>
      <c r="P2430">
        <v>144436.73000000001</v>
      </c>
      <c r="Q2430">
        <v>77692.34</v>
      </c>
      <c r="R2430">
        <v>648</v>
      </c>
      <c r="S2430">
        <v>1071</v>
      </c>
      <c r="T2430" t="s">
        <v>108</v>
      </c>
      <c r="U2430" t="s">
        <v>49</v>
      </c>
    </row>
    <row r="2431" spans="1:21">
      <c r="A2431" t="s">
        <v>3810</v>
      </c>
      <c r="B2431" t="s">
        <v>3811</v>
      </c>
      <c r="C2431" t="s">
        <v>1890</v>
      </c>
      <c r="D2431">
        <v>57000</v>
      </c>
      <c r="E2431">
        <v>2000</v>
      </c>
      <c r="F2431">
        <v>57000</v>
      </c>
      <c r="G2431">
        <v>57000</v>
      </c>
      <c r="H2431">
        <v>1</v>
      </c>
      <c r="I2431" t="s">
        <v>432</v>
      </c>
      <c r="J2431">
        <v>14.8</v>
      </c>
      <c r="K2431">
        <v>37</v>
      </c>
      <c r="L2431">
        <v>3</v>
      </c>
      <c r="M2431" t="s">
        <v>3022</v>
      </c>
      <c r="N2431">
        <v>10</v>
      </c>
      <c r="O2431">
        <v>11</v>
      </c>
      <c r="P2431">
        <v>144436.73000000001</v>
      </c>
      <c r="Q2431">
        <v>77692.34</v>
      </c>
      <c r="R2431">
        <v>648</v>
      </c>
      <c r="S2431">
        <v>1071</v>
      </c>
      <c r="T2431" t="s">
        <v>108</v>
      </c>
      <c r="U2431" t="s">
        <v>49</v>
      </c>
    </row>
    <row r="2432" spans="1:21">
      <c r="A2432" t="s">
        <v>3812</v>
      </c>
      <c r="B2432" t="s">
        <v>3813</v>
      </c>
      <c r="C2432" t="s">
        <v>1228</v>
      </c>
      <c r="D2432">
        <v>67000</v>
      </c>
      <c r="E2432">
        <v>3000</v>
      </c>
      <c r="F2432">
        <v>67000</v>
      </c>
      <c r="G2432">
        <v>67000</v>
      </c>
      <c r="H2432">
        <v>1</v>
      </c>
      <c r="I2432" t="s">
        <v>432</v>
      </c>
      <c r="J2432">
        <v>15.27</v>
      </c>
      <c r="K2432">
        <v>8</v>
      </c>
      <c r="L2432">
        <v>3</v>
      </c>
      <c r="M2432" t="s">
        <v>3022</v>
      </c>
      <c r="N2432">
        <v>6</v>
      </c>
      <c r="O2432">
        <v>10.33</v>
      </c>
      <c r="P2432">
        <v>144436.73000000001</v>
      </c>
      <c r="Q2432">
        <v>77692.34</v>
      </c>
      <c r="R2432">
        <v>648</v>
      </c>
      <c r="S2432">
        <v>1071</v>
      </c>
      <c r="T2432" t="s">
        <v>108</v>
      </c>
      <c r="U2432" t="s">
        <v>31</v>
      </c>
    </row>
    <row r="2433" spans="1:21">
      <c r="A2433" t="s">
        <v>3814</v>
      </c>
      <c r="B2433" t="s">
        <v>3569</v>
      </c>
      <c r="C2433" t="s">
        <v>1228</v>
      </c>
      <c r="D2433">
        <v>104000</v>
      </c>
      <c r="E2433">
        <v>15000</v>
      </c>
      <c r="F2433">
        <v>104000</v>
      </c>
      <c r="G2433">
        <v>104000</v>
      </c>
      <c r="H2433">
        <v>2</v>
      </c>
      <c r="I2433" t="s">
        <v>432</v>
      </c>
      <c r="J2433">
        <v>20.6</v>
      </c>
      <c r="K2433">
        <v>2</v>
      </c>
      <c r="L2433">
        <v>4</v>
      </c>
      <c r="M2433" t="s">
        <v>3022</v>
      </c>
      <c r="N2433">
        <v>5</v>
      </c>
      <c r="O2433">
        <v>10</v>
      </c>
      <c r="P2433">
        <v>144436.73000000001</v>
      </c>
      <c r="Q2433">
        <v>77692.34</v>
      </c>
      <c r="R2433">
        <v>648</v>
      </c>
      <c r="S2433">
        <v>1071</v>
      </c>
      <c r="T2433" t="s">
        <v>34</v>
      </c>
      <c r="U2433" t="s">
        <v>31</v>
      </c>
    </row>
    <row r="2434" spans="1:21">
      <c r="A2434" t="s">
        <v>3815</v>
      </c>
      <c r="B2434" t="s">
        <v>3395</v>
      </c>
      <c r="C2434" t="s">
        <v>1773</v>
      </c>
      <c r="D2434">
        <v>74000</v>
      </c>
      <c r="E2434">
        <v>3000</v>
      </c>
      <c r="G2434">
        <v>74000</v>
      </c>
      <c r="H2434">
        <v>1</v>
      </c>
      <c r="I2434" t="s">
        <v>432</v>
      </c>
      <c r="J2434">
        <v>20.14</v>
      </c>
      <c r="K2434">
        <v>38</v>
      </c>
      <c r="L2434">
        <v>4</v>
      </c>
      <c r="M2434" t="s">
        <v>3022</v>
      </c>
      <c r="N2434">
        <v>6</v>
      </c>
      <c r="O2434">
        <v>9</v>
      </c>
      <c r="P2434">
        <v>144436.73000000001</v>
      </c>
      <c r="Q2434">
        <v>77692.34</v>
      </c>
      <c r="R2434">
        <v>648</v>
      </c>
      <c r="S2434">
        <v>1071</v>
      </c>
      <c r="T2434" t="s">
        <v>34</v>
      </c>
      <c r="U2434" t="s">
        <v>49</v>
      </c>
    </row>
    <row r="2435" spans="1:21">
      <c r="A2435" t="s">
        <v>3816</v>
      </c>
      <c r="B2435" t="s">
        <v>3817</v>
      </c>
      <c r="C2435" t="s">
        <v>1768</v>
      </c>
      <c r="D2435">
        <v>82000</v>
      </c>
      <c r="E2435">
        <v>2000</v>
      </c>
      <c r="F2435">
        <v>82000</v>
      </c>
      <c r="G2435">
        <v>82000</v>
      </c>
      <c r="H2435">
        <v>2</v>
      </c>
      <c r="I2435" t="s">
        <v>432</v>
      </c>
      <c r="J2435">
        <v>21</v>
      </c>
      <c r="K2435">
        <v>47</v>
      </c>
      <c r="L2435">
        <v>4</v>
      </c>
      <c r="M2435" t="s">
        <v>3022</v>
      </c>
      <c r="N2435">
        <v>7</v>
      </c>
      <c r="O2435">
        <v>13</v>
      </c>
      <c r="P2435">
        <v>144436.73000000001</v>
      </c>
      <c r="Q2435">
        <v>77692.34</v>
      </c>
      <c r="R2435">
        <v>648</v>
      </c>
      <c r="S2435">
        <v>1071</v>
      </c>
      <c r="T2435" t="s">
        <v>34</v>
      </c>
      <c r="U2435" t="s">
        <v>42</v>
      </c>
    </row>
    <row r="2436" spans="1:21">
      <c r="A2436" t="s">
        <v>3818</v>
      </c>
      <c r="B2436" t="s">
        <v>3404</v>
      </c>
      <c r="C2436" t="s">
        <v>1768</v>
      </c>
      <c r="D2436">
        <v>60000</v>
      </c>
      <c r="E2436">
        <v>7200</v>
      </c>
      <c r="F2436">
        <v>60000</v>
      </c>
      <c r="H2436">
        <v>1</v>
      </c>
      <c r="I2436" t="s">
        <v>432</v>
      </c>
      <c r="J2436">
        <v>16.41</v>
      </c>
      <c r="K2436">
        <v>30</v>
      </c>
      <c r="L2436">
        <v>5</v>
      </c>
      <c r="M2436" t="s">
        <v>3022</v>
      </c>
      <c r="N2436">
        <v>5</v>
      </c>
      <c r="O2436">
        <v>9.33</v>
      </c>
      <c r="P2436">
        <v>144436.73000000001</v>
      </c>
      <c r="Q2436">
        <v>77692.34</v>
      </c>
      <c r="R2436">
        <v>648</v>
      </c>
      <c r="S2436">
        <v>1071</v>
      </c>
      <c r="T2436" t="s">
        <v>108</v>
      </c>
      <c r="U2436" t="s">
        <v>27</v>
      </c>
    </row>
    <row r="2437" spans="1:21">
      <c r="A2437" t="s">
        <v>3819</v>
      </c>
      <c r="B2437" t="s">
        <v>3820</v>
      </c>
      <c r="C2437" t="s">
        <v>1768</v>
      </c>
      <c r="D2437">
        <v>85000</v>
      </c>
      <c r="F2437">
        <v>85000</v>
      </c>
      <c r="H2437">
        <v>4</v>
      </c>
      <c r="I2437" t="s">
        <v>432</v>
      </c>
      <c r="J2437">
        <v>25.55</v>
      </c>
      <c r="K2437">
        <v>48</v>
      </c>
      <c r="L2437">
        <v>5</v>
      </c>
      <c r="M2437" t="s">
        <v>3022</v>
      </c>
      <c r="N2437">
        <v>8</v>
      </c>
      <c r="O2437">
        <v>10</v>
      </c>
      <c r="P2437">
        <v>144436.73000000001</v>
      </c>
      <c r="Q2437">
        <v>77692.34</v>
      </c>
      <c r="R2437">
        <v>648</v>
      </c>
      <c r="S2437">
        <v>1071</v>
      </c>
      <c r="T2437" t="s">
        <v>34</v>
      </c>
      <c r="U2437" t="s">
        <v>42</v>
      </c>
    </row>
    <row r="2438" spans="1:21">
      <c r="A2438" t="s">
        <v>3821</v>
      </c>
      <c r="B2438" t="s">
        <v>3417</v>
      </c>
      <c r="C2438" t="s">
        <v>1768</v>
      </c>
      <c r="D2438">
        <v>156000</v>
      </c>
      <c r="E2438">
        <v>10000</v>
      </c>
      <c r="F2438">
        <v>156000</v>
      </c>
      <c r="H2438">
        <v>6</v>
      </c>
      <c r="I2438" t="s">
        <v>432</v>
      </c>
      <c r="J2438">
        <v>33.6</v>
      </c>
      <c r="K2438">
        <v>15</v>
      </c>
      <c r="L2438">
        <v>7</v>
      </c>
      <c r="M2438" t="s">
        <v>3022</v>
      </c>
      <c r="N2438">
        <v>8</v>
      </c>
      <c r="O2438">
        <v>10.33</v>
      </c>
      <c r="P2438">
        <v>144436.73000000001</v>
      </c>
      <c r="Q2438">
        <v>77692.34</v>
      </c>
      <c r="R2438">
        <v>648</v>
      </c>
      <c r="S2438">
        <v>1071</v>
      </c>
      <c r="T2438" t="s">
        <v>26</v>
      </c>
      <c r="U2438" t="s">
        <v>90</v>
      </c>
    </row>
    <row r="2439" spans="1:21">
      <c r="A2439" t="s">
        <v>3822</v>
      </c>
      <c r="B2439" t="s">
        <v>3823</v>
      </c>
      <c r="C2439" t="s">
        <v>1768</v>
      </c>
      <c r="D2439">
        <v>78000</v>
      </c>
      <c r="E2439">
        <v>7000</v>
      </c>
      <c r="F2439">
        <v>78000</v>
      </c>
      <c r="G2439">
        <v>78000</v>
      </c>
      <c r="H2439">
        <v>4</v>
      </c>
      <c r="I2439" t="s">
        <v>432</v>
      </c>
      <c r="J2439">
        <v>17.36</v>
      </c>
      <c r="K2439">
        <v>28</v>
      </c>
      <c r="L2439">
        <v>7</v>
      </c>
      <c r="M2439" t="s">
        <v>3022</v>
      </c>
      <c r="N2439">
        <v>6</v>
      </c>
      <c r="O2439">
        <v>13.33</v>
      </c>
      <c r="P2439">
        <v>144436.73000000001</v>
      </c>
      <c r="Q2439">
        <v>77692.34</v>
      </c>
      <c r="R2439">
        <v>648</v>
      </c>
      <c r="S2439">
        <v>1071</v>
      </c>
      <c r="T2439" t="s">
        <v>108</v>
      </c>
      <c r="U2439" t="s">
        <v>27</v>
      </c>
    </row>
    <row r="2440" spans="1:21">
      <c r="A2440" t="s">
        <v>3824</v>
      </c>
      <c r="B2440" t="s">
        <v>3426</v>
      </c>
      <c r="C2440" t="s">
        <v>1228</v>
      </c>
      <c r="D2440">
        <v>65000</v>
      </c>
      <c r="E2440">
        <v>4000</v>
      </c>
      <c r="F2440">
        <v>65000</v>
      </c>
      <c r="G2440">
        <v>65000</v>
      </c>
      <c r="H2440">
        <v>4</v>
      </c>
      <c r="I2440" t="s">
        <v>432</v>
      </c>
      <c r="J2440">
        <v>23</v>
      </c>
      <c r="K2440">
        <v>53</v>
      </c>
      <c r="L2440">
        <v>8</v>
      </c>
      <c r="M2440" t="s">
        <v>3022</v>
      </c>
      <c r="N2440">
        <v>3</v>
      </c>
      <c r="O2440">
        <v>8</v>
      </c>
      <c r="P2440">
        <v>144436.73000000001</v>
      </c>
      <c r="Q2440">
        <v>77692.34</v>
      </c>
      <c r="R2440">
        <v>648</v>
      </c>
      <c r="S2440">
        <v>1071</v>
      </c>
      <c r="T2440" t="s">
        <v>34</v>
      </c>
      <c r="U2440" t="s">
        <v>57</v>
      </c>
    </row>
    <row r="2441" spans="1:21">
      <c r="A2441" t="s">
        <v>3825</v>
      </c>
      <c r="B2441" t="s">
        <v>3826</v>
      </c>
      <c r="C2441" t="s">
        <v>1228</v>
      </c>
      <c r="D2441">
        <v>62500</v>
      </c>
      <c r="E2441">
        <v>2500</v>
      </c>
      <c r="F2441">
        <v>62500</v>
      </c>
      <c r="G2441">
        <v>62500</v>
      </c>
      <c r="H2441">
        <v>4</v>
      </c>
      <c r="I2441" t="s">
        <v>432</v>
      </c>
      <c r="J2441">
        <v>18</v>
      </c>
      <c r="K2441">
        <v>40</v>
      </c>
      <c r="L2441">
        <v>5</v>
      </c>
      <c r="M2441" t="s">
        <v>3022</v>
      </c>
      <c r="N2441">
        <v>6</v>
      </c>
      <c r="O2441">
        <v>11.33</v>
      </c>
      <c r="P2441">
        <v>144436.73000000001</v>
      </c>
      <c r="Q2441">
        <v>77692.34</v>
      </c>
      <c r="R2441">
        <v>648</v>
      </c>
      <c r="S2441">
        <v>1071</v>
      </c>
      <c r="T2441" t="s">
        <v>108</v>
      </c>
      <c r="U2441" t="s">
        <v>49</v>
      </c>
    </row>
    <row r="2442" spans="1:21">
      <c r="A2442" t="s">
        <v>3827</v>
      </c>
      <c r="B2442" t="s">
        <v>3828</v>
      </c>
      <c r="C2442" t="s">
        <v>1768</v>
      </c>
      <c r="D2442">
        <v>70000</v>
      </c>
      <c r="E2442">
        <v>5000</v>
      </c>
      <c r="F2442">
        <v>70000</v>
      </c>
      <c r="G2442">
        <v>70000</v>
      </c>
      <c r="H2442">
        <v>2</v>
      </c>
      <c r="I2442" t="s">
        <v>432</v>
      </c>
      <c r="J2442">
        <v>12.03</v>
      </c>
      <c r="K2442">
        <v>43</v>
      </c>
      <c r="L2442">
        <v>5</v>
      </c>
      <c r="M2442" t="s">
        <v>3022</v>
      </c>
      <c r="N2442">
        <v>6</v>
      </c>
      <c r="O2442">
        <v>8</v>
      </c>
      <c r="P2442">
        <v>144436.73000000001</v>
      </c>
      <c r="Q2442">
        <v>77692.34</v>
      </c>
      <c r="R2442">
        <v>648</v>
      </c>
      <c r="S2442">
        <v>1071</v>
      </c>
      <c r="T2442" t="s">
        <v>108</v>
      </c>
      <c r="U2442" t="s">
        <v>42</v>
      </c>
    </row>
    <row r="2443" spans="1:21">
      <c r="A2443" t="s">
        <v>3829</v>
      </c>
      <c r="B2443" t="s">
        <v>3444</v>
      </c>
      <c r="C2443" t="s">
        <v>3195</v>
      </c>
      <c r="D2443">
        <v>119000</v>
      </c>
      <c r="E2443">
        <v>5000</v>
      </c>
      <c r="F2443">
        <v>119000</v>
      </c>
      <c r="G2443">
        <v>119000</v>
      </c>
      <c r="H2443">
        <v>2</v>
      </c>
      <c r="I2443" t="s">
        <v>432</v>
      </c>
      <c r="J2443">
        <v>27.32</v>
      </c>
      <c r="K2443">
        <v>20</v>
      </c>
      <c r="L2443">
        <v>3</v>
      </c>
      <c r="M2443" t="s">
        <v>3022</v>
      </c>
      <c r="N2443">
        <v>3</v>
      </c>
      <c r="O2443">
        <v>6</v>
      </c>
      <c r="P2443">
        <v>144436.73000000001</v>
      </c>
      <c r="Q2443">
        <v>77692.34</v>
      </c>
      <c r="R2443">
        <v>648</v>
      </c>
      <c r="S2443">
        <v>1071</v>
      </c>
      <c r="T2443" t="s">
        <v>34</v>
      </c>
      <c r="U2443" t="s">
        <v>90</v>
      </c>
    </row>
    <row r="2444" spans="1:21">
      <c r="A2444" t="s">
        <v>3830</v>
      </c>
      <c r="B2444" t="s">
        <v>3131</v>
      </c>
      <c r="C2444" t="s">
        <v>1231</v>
      </c>
      <c r="D2444">
        <v>147000</v>
      </c>
      <c r="E2444">
        <v>20000</v>
      </c>
      <c r="H2444">
        <v>6</v>
      </c>
      <c r="I2444" t="s">
        <v>432</v>
      </c>
      <c r="J2444">
        <v>28.99</v>
      </c>
      <c r="K2444">
        <v>25</v>
      </c>
      <c r="L2444">
        <v>8</v>
      </c>
      <c r="M2444" t="s">
        <v>3022</v>
      </c>
      <c r="N2444">
        <v>2</v>
      </c>
      <c r="O2444">
        <v>5</v>
      </c>
      <c r="P2444">
        <v>144436.73000000001</v>
      </c>
      <c r="Q2444">
        <v>77692.34</v>
      </c>
      <c r="R2444">
        <v>648</v>
      </c>
      <c r="S2444">
        <v>1071</v>
      </c>
      <c r="T2444" t="s">
        <v>34</v>
      </c>
      <c r="U2444" t="s">
        <v>27</v>
      </c>
    </row>
    <row r="2445" spans="1:21">
      <c r="A2445" t="s">
        <v>3831</v>
      </c>
      <c r="B2445" t="s">
        <v>3832</v>
      </c>
      <c r="C2445" t="s">
        <v>1768</v>
      </c>
      <c r="D2445">
        <v>92000</v>
      </c>
      <c r="F2445">
        <v>92000</v>
      </c>
      <c r="G2445">
        <v>92000</v>
      </c>
      <c r="H2445">
        <v>3</v>
      </c>
      <c r="I2445" t="s">
        <v>432</v>
      </c>
      <c r="J2445">
        <v>22.26</v>
      </c>
      <c r="K2445">
        <v>10</v>
      </c>
      <c r="L2445">
        <v>4</v>
      </c>
      <c r="M2445" t="s">
        <v>3022</v>
      </c>
      <c r="N2445">
        <v>9</v>
      </c>
      <c r="O2445">
        <v>10.33</v>
      </c>
      <c r="P2445">
        <v>144436.73000000001</v>
      </c>
      <c r="Q2445">
        <v>77692.34</v>
      </c>
      <c r="R2445">
        <v>648</v>
      </c>
      <c r="S2445">
        <v>1071</v>
      </c>
      <c r="T2445" t="s">
        <v>34</v>
      </c>
      <c r="U2445" t="s">
        <v>31</v>
      </c>
    </row>
    <row r="2446" spans="1:21">
      <c r="A2446" t="s">
        <v>3833</v>
      </c>
      <c r="B2446" t="s">
        <v>3834</v>
      </c>
      <c r="C2446" t="s">
        <v>3195</v>
      </c>
      <c r="D2446">
        <v>195000</v>
      </c>
      <c r="F2446">
        <v>195000</v>
      </c>
      <c r="G2446">
        <v>195000</v>
      </c>
      <c r="H2446">
        <v>8</v>
      </c>
      <c r="I2446" t="s">
        <v>555</v>
      </c>
      <c r="J2446">
        <v>56.33</v>
      </c>
      <c r="K2446">
        <v>56</v>
      </c>
      <c r="L2446">
        <v>9</v>
      </c>
      <c r="M2446" t="s">
        <v>3022</v>
      </c>
      <c r="N2446">
        <v>3</v>
      </c>
      <c r="O2446">
        <v>3.67</v>
      </c>
      <c r="P2446">
        <v>144436.73000000001</v>
      </c>
      <c r="Q2446">
        <v>207063.41</v>
      </c>
      <c r="R2446">
        <v>648</v>
      </c>
      <c r="S2446">
        <v>41</v>
      </c>
      <c r="T2446" t="s">
        <v>332</v>
      </c>
      <c r="U2446" t="s">
        <v>57</v>
      </c>
    </row>
    <row r="2447" spans="1:21">
      <c r="A2447" t="s">
        <v>3835</v>
      </c>
      <c r="B2447" t="s">
        <v>3834</v>
      </c>
      <c r="C2447" t="s">
        <v>3195</v>
      </c>
      <c r="D2447">
        <v>190000</v>
      </c>
      <c r="F2447">
        <v>190000</v>
      </c>
      <c r="G2447">
        <v>190000</v>
      </c>
      <c r="H2447">
        <v>8</v>
      </c>
      <c r="I2447" t="s">
        <v>555</v>
      </c>
      <c r="J2447">
        <v>56.33</v>
      </c>
      <c r="K2447">
        <v>56</v>
      </c>
      <c r="L2447">
        <v>9</v>
      </c>
      <c r="M2447" t="s">
        <v>3022</v>
      </c>
      <c r="N2447">
        <v>3</v>
      </c>
      <c r="O2447">
        <v>3.67</v>
      </c>
      <c r="P2447">
        <v>144436.73000000001</v>
      </c>
      <c r="Q2447">
        <v>207063.41</v>
      </c>
      <c r="R2447">
        <v>648</v>
      </c>
      <c r="S2447">
        <v>41</v>
      </c>
      <c r="T2447" t="s">
        <v>332</v>
      </c>
      <c r="U2447" t="s">
        <v>57</v>
      </c>
    </row>
    <row r="2448" spans="1:21">
      <c r="A2448" t="s">
        <v>3836</v>
      </c>
      <c r="B2448" t="s">
        <v>3075</v>
      </c>
      <c r="C2448" t="s">
        <v>1294</v>
      </c>
      <c r="D2448">
        <v>316000</v>
      </c>
      <c r="E2448">
        <v>15000</v>
      </c>
      <c r="F2448">
        <v>316000</v>
      </c>
      <c r="H2448">
        <v>3</v>
      </c>
      <c r="I2448" t="s">
        <v>555</v>
      </c>
      <c r="J2448">
        <v>53.11</v>
      </c>
      <c r="K2448">
        <v>0</v>
      </c>
      <c r="L2448">
        <v>10</v>
      </c>
      <c r="M2448" t="s">
        <v>3022</v>
      </c>
      <c r="N2448">
        <v>11</v>
      </c>
      <c r="O2448">
        <v>11</v>
      </c>
      <c r="P2448">
        <v>144436.73000000001</v>
      </c>
      <c r="Q2448">
        <v>207063.41</v>
      </c>
      <c r="R2448">
        <v>648</v>
      </c>
      <c r="S2448">
        <v>41</v>
      </c>
      <c r="T2448" t="s">
        <v>332</v>
      </c>
      <c r="U2448" t="s">
        <v>81</v>
      </c>
    </row>
    <row r="2449" spans="1:21">
      <c r="A2449" t="s">
        <v>3837</v>
      </c>
      <c r="B2449" t="s">
        <v>3838</v>
      </c>
      <c r="C2449" t="s">
        <v>1294</v>
      </c>
      <c r="D2449">
        <v>163000</v>
      </c>
      <c r="E2449">
        <v>5000</v>
      </c>
      <c r="F2449">
        <v>163000</v>
      </c>
      <c r="G2449">
        <v>163000</v>
      </c>
      <c r="H2449">
        <v>4</v>
      </c>
      <c r="I2449" t="s">
        <v>559</v>
      </c>
      <c r="J2449">
        <v>48.67</v>
      </c>
      <c r="K2449">
        <v>25</v>
      </c>
      <c r="L2449">
        <v>12</v>
      </c>
      <c r="M2449" t="s">
        <v>3022</v>
      </c>
      <c r="N2449">
        <v>11</v>
      </c>
      <c r="O2449">
        <v>12</v>
      </c>
      <c r="P2449">
        <v>144436.73000000001</v>
      </c>
      <c r="Q2449">
        <v>141491.45000000001</v>
      </c>
      <c r="R2449">
        <v>648</v>
      </c>
      <c r="S2449">
        <v>117</v>
      </c>
      <c r="T2449" t="s">
        <v>326</v>
      </c>
      <c r="U2449" t="s">
        <v>27</v>
      </c>
    </row>
    <row r="2450" spans="1:21">
      <c r="A2450" t="s">
        <v>3839</v>
      </c>
      <c r="B2450" t="s">
        <v>3269</v>
      </c>
      <c r="C2450" t="s">
        <v>1768</v>
      </c>
      <c r="D2450">
        <v>173000</v>
      </c>
      <c r="E2450">
        <v>10000</v>
      </c>
      <c r="F2450">
        <v>173000</v>
      </c>
      <c r="G2450">
        <v>173000</v>
      </c>
      <c r="H2450">
        <v>1</v>
      </c>
      <c r="I2450" t="s">
        <v>559</v>
      </c>
      <c r="J2450">
        <v>41.04</v>
      </c>
      <c r="K2450">
        <v>31</v>
      </c>
      <c r="L2450">
        <v>5</v>
      </c>
      <c r="M2450" t="s">
        <v>3022</v>
      </c>
      <c r="N2450">
        <v>9</v>
      </c>
      <c r="O2450">
        <v>11.67</v>
      </c>
      <c r="P2450">
        <v>144436.73000000001</v>
      </c>
      <c r="Q2450">
        <v>141491.45000000001</v>
      </c>
      <c r="R2450">
        <v>648</v>
      </c>
      <c r="S2450">
        <v>117</v>
      </c>
      <c r="T2450" t="s">
        <v>326</v>
      </c>
      <c r="U2450" t="s">
        <v>49</v>
      </c>
    </row>
    <row r="2451" spans="1:21">
      <c r="A2451" t="s">
        <v>3840</v>
      </c>
      <c r="B2451" t="s">
        <v>3269</v>
      </c>
      <c r="C2451" t="s">
        <v>1768</v>
      </c>
      <c r="D2451">
        <v>177000</v>
      </c>
      <c r="E2451">
        <v>10000</v>
      </c>
      <c r="F2451">
        <v>177000</v>
      </c>
      <c r="G2451">
        <v>177000</v>
      </c>
      <c r="H2451">
        <v>1</v>
      </c>
      <c r="I2451" t="s">
        <v>559</v>
      </c>
      <c r="J2451">
        <v>45.94</v>
      </c>
      <c r="K2451">
        <v>31</v>
      </c>
      <c r="L2451">
        <v>5</v>
      </c>
      <c r="M2451" t="s">
        <v>3022</v>
      </c>
      <c r="N2451">
        <v>9</v>
      </c>
      <c r="O2451">
        <v>11.67</v>
      </c>
      <c r="P2451">
        <v>144436.73000000001</v>
      </c>
      <c r="Q2451">
        <v>141491.45000000001</v>
      </c>
      <c r="R2451">
        <v>648</v>
      </c>
      <c r="S2451">
        <v>117</v>
      </c>
      <c r="T2451" t="s">
        <v>326</v>
      </c>
      <c r="U2451" t="s">
        <v>49</v>
      </c>
    </row>
    <row r="2452" spans="1:21">
      <c r="A2452" t="s">
        <v>3841</v>
      </c>
      <c r="B2452" t="s">
        <v>3842</v>
      </c>
      <c r="C2452" t="s">
        <v>1231</v>
      </c>
      <c r="D2452">
        <v>125000</v>
      </c>
      <c r="E2452">
        <v>3000</v>
      </c>
      <c r="F2452">
        <v>125000</v>
      </c>
      <c r="G2452">
        <v>125000</v>
      </c>
      <c r="H2452">
        <v>1</v>
      </c>
      <c r="I2452" t="s">
        <v>559</v>
      </c>
      <c r="J2452">
        <v>45.94</v>
      </c>
      <c r="K2452">
        <v>34</v>
      </c>
      <c r="L2452">
        <v>2</v>
      </c>
      <c r="M2452" t="s">
        <v>3022</v>
      </c>
      <c r="N2452">
        <v>8</v>
      </c>
      <c r="O2452">
        <v>11</v>
      </c>
      <c r="P2452">
        <v>144436.73000000001</v>
      </c>
      <c r="Q2452">
        <v>141491.45000000001</v>
      </c>
      <c r="R2452">
        <v>648</v>
      </c>
      <c r="S2452">
        <v>117</v>
      </c>
      <c r="T2452" t="s">
        <v>326</v>
      </c>
      <c r="U2452" t="s">
        <v>49</v>
      </c>
    </row>
    <row r="2453" spans="1:21">
      <c r="A2453" t="s">
        <v>3843</v>
      </c>
      <c r="B2453" t="s">
        <v>3844</v>
      </c>
      <c r="C2453" t="s">
        <v>3059</v>
      </c>
      <c r="D2453">
        <v>128000</v>
      </c>
      <c r="E2453">
        <v>2000</v>
      </c>
      <c r="F2453">
        <v>128000</v>
      </c>
      <c r="G2453">
        <v>128000</v>
      </c>
      <c r="H2453">
        <v>1</v>
      </c>
      <c r="I2453" t="s">
        <v>559</v>
      </c>
      <c r="J2453">
        <v>36.700000000000003</v>
      </c>
      <c r="K2453">
        <v>34</v>
      </c>
      <c r="L2453">
        <v>2</v>
      </c>
      <c r="M2453" t="s">
        <v>3022</v>
      </c>
      <c r="N2453">
        <v>5</v>
      </c>
      <c r="O2453">
        <v>5.33</v>
      </c>
      <c r="P2453">
        <v>144436.73000000001</v>
      </c>
      <c r="Q2453">
        <v>141491.45000000001</v>
      </c>
      <c r="R2453">
        <v>648</v>
      </c>
      <c r="S2453">
        <v>117</v>
      </c>
      <c r="T2453" t="s">
        <v>26</v>
      </c>
      <c r="U2453" t="s">
        <v>49</v>
      </c>
    </row>
    <row r="2454" spans="1:21">
      <c r="A2454" t="s">
        <v>3845</v>
      </c>
      <c r="B2454" t="s">
        <v>3846</v>
      </c>
      <c r="C2454" t="s">
        <v>1773</v>
      </c>
      <c r="D2454">
        <v>170000</v>
      </c>
      <c r="E2454">
        <v>5000</v>
      </c>
      <c r="F2454">
        <v>170000</v>
      </c>
      <c r="G2454">
        <v>170000</v>
      </c>
      <c r="H2454">
        <v>3</v>
      </c>
      <c r="I2454" t="s">
        <v>559</v>
      </c>
      <c r="J2454">
        <v>35.049999999999997</v>
      </c>
      <c r="K2454">
        <v>38</v>
      </c>
      <c r="L2454">
        <v>4</v>
      </c>
      <c r="M2454" t="s">
        <v>3022</v>
      </c>
      <c r="N2454">
        <v>7</v>
      </c>
      <c r="O2454">
        <v>11</v>
      </c>
      <c r="P2454">
        <v>144436.73000000001</v>
      </c>
      <c r="Q2454">
        <v>141491.45000000001</v>
      </c>
      <c r="R2454">
        <v>648</v>
      </c>
      <c r="S2454">
        <v>117</v>
      </c>
      <c r="T2454" t="s">
        <v>26</v>
      </c>
      <c r="U2454" t="s">
        <v>49</v>
      </c>
    </row>
    <row r="2455" spans="1:21">
      <c r="A2455" t="s">
        <v>3847</v>
      </c>
      <c r="B2455" t="s">
        <v>3848</v>
      </c>
      <c r="C2455" t="s">
        <v>1228</v>
      </c>
      <c r="D2455">
        <v>160000</v>
      </c>
      <c r="E2455">
        <v>5000</v>
      </c>
      <c r="F2455">
        <v>160000</v>
      </c>
      <c r="G2455">
        <v>160000</v>
      </c>
      <c r="H2455">
        <v>4</v>
      </c>
      <c r="I2455" t="s">
        <v>559</v>
      </c>
      <c r="J2455">
        <v>44.02</v>
      </c>
      <c r="K2455">
        <v>25</v>
      </c>
      <c r="L2455">
        <v>4</v>
      </c>
      <c r="M2455" t="s">
        <v>3022</v>
      </c>
      <c r="N2455">
        <v>4</v>
      </c>
      <c r="O2455">
        <v>9.33</v>
      </c>
      <c r="P2455">
        <v>144436.73000000001</v>
      </c>
      <c r="Q2455">
        <v>141491.45000000001</v>
      </c>
      <c r="R2455">
        <v>648</v>
      </c>
      <c r="S2455">
        <v>117</v>
      </c>
      <c r="T2455" t="s">
        <v>326</v>
      </c>
      <c r="U2455" t="s">
        <v>27</v>
      </c>
    </row>
    <row r="2456" spans="1:21">
      <c r="A2456" t="s">
        <v>3849</v>
      </c>
      <c r="B2456" t="s">
        <v>3850</v>
      </c>
      <c r="C2456" t="s">
        <v>1231</v>
      </c>
      <c r="D2456">
        <v>125000</v>
      </c>
      <c r="E2456">
        <v>3000</v>
      </c>
      <c r="F2456">
        <v>125000</v>
      </c>
      <c r="G2456">
        <v>125000</v>
      </c>
      <c r="H2456">
        <v>1</v>
      </c>
      <c r="I2456" t="s">
        <v>559</v>
      </c>
      <c r="J2456">
        <v>45.94</v>
      </c>
      <c r="K2456">
        <v>34</v>
      </c>
      <c r="L2456">
        <v>1</v>
      </c>
      <c r="M2456" t="s">
        <v>3022</v>
      </c>
      <c r="N2456">
        <v>8</v>
      </c>
      <c r="O2456">
        <v>11</v>
      </c>
      <c r="P2456">
        <v>144436.73000000001</v>
      </c>
      <c r="Q2456">
        <v>141491.45000000001</v>
      </c>
      <c r="R2456">
        <v>648</v>
      </c>
      <c r="S2456">
        <v>117</v>
      </c>
      <c r="T2456" t="s">
        <v>326</v>
      </c>
      <c r="U2456" t="s">
        <v>49</v>
      </c>
    </row>
    <row r="2457" spans="1:21">
      <c r="A2457" t="s">
        <v>3851</v>
      </c>
      <c r="B2457" t="s">
        <v>3452</v>
      </c>
      <c r="C2457" t="s">
        <v>1768</v>
      </c>
      <c r="D2457">
        <v>167000</v>
      </c>
      <c r="E2457">
        <v>10000</v>
      </c>
      <c r="F2457">
        <v>167000</v>
      </c>
      <c r="G2457">
        <v>167000</v>
      </c>
      <c r="H2457">
        <v>1</v>
      </c>
      <c r="I2457" t="s">
        <v>559</v>
      </c>
      <c r="J2457">
        <v>45.94</v>
      </c>
      <c r="K2457">
        <v>31</v>
      </c>
      <c r="L2457">
        <v>5</v>
      </c>
      <c r="M2457" t="s">
        <v>3022</v>
      </c>
      <c r="N2457">
        <v>9</v>
      </c>
      <c r="O2457">
        <v>11.67</v>
      </c>
      <c r="P2457">
        <v>144436.73000000001</v>
      </c>
      <c r="Q2457">
        <v>141491.45000000001</v>
      </c>
      <c r="R2457">
        <v>648</v>
      </c>
      <c r="S2457">
        <v>117</v>
      </c>
      <c r="T2457" t="s">
        <v>326</v>
      </c>
      <c r="U2457" t="s">
        <v>49</v>
      </c>
    </row>
    <row r="2458" spans="1:21">
      <c r="A2458" t="s">
        <v>3852</v>
      </c>
      <c r="B2458" t="s">
        <v>3853</v>
      </c>
      <c r="C2458" t="s">
        <v>1228</v>
      </c>
      <c r="D2458">
        <v>139000</v>
      </c>
      <c r="E2458">
        <v>6000</v>
      </c>
      <c r="F2458">
        <v>139000</v>
      </c>
      <c r="G2458">
        <v>139000</v>
      </c>
      <c r="H2458">
        <v>3</v>
      </c>
      <c r="I2458" t="s">
        <v>559</v>
      </c>
      <c r="J2458">
        <v>42</v>
      </c>
      <c r="K2458">
        <v>53</v>
      </c>
      <c r="L2458">
        <v>6</v>
      </c>
      <c r="M2458" t="s">
        <v>3022</v>
      </c>
      <c r="N2458">
        <v>9</v>
      </c>
      <c r="O2458">
        <v>11.33</v>
      </c>
      <c r="P2458">
        <v>144436.73000000001</v>
      </c>
      <c r="Q2458">
        <v>141491.45000000001</v>
      </c>
      <c r="R2458">
        <v>648</v>
      </c>
      <c r="S2458">
        <v>117</v>
      </c>
      <c r="T2458" t="s">
        <v>326</v>
      </c>
      <c r="U2458" t="s">
        <v>57</v>
      </c>
    </row>
    <row r="2459" spans="1:21">
      <c r="A2459" t="s">
        <v>3854</v>
      </c>
      <c r="B2459" t="s">
        <v>3024</v>
      </c>
      <c r="C2459" t="s">
        <v>3025</v>
      </c>
      <c r="D2459">
        <v>138000</v>
      </c>
      <c r="E2459">
        <v>15000</v>
      </c>
      <c r="F2459">
        <v>138000</v>
      </c>
      <c r="G2459">
        <v>138000</v>
      </c>
      <c r="H2459">
        <v>1</v>
      </c>
      <c r="I2459" t="s">
        <v>573</v>
      </c>
      <c r="J2459">
        <v>25.98</v>
      </c>
      <c r="K2459">
        <v>3</v>
      </c>
      <c r="L2459">
        <v>5</v>
      </c>
      <c r="M2459" t="s">
        <v>3022</v>
      </c>
      <c r="N2459">
        <v>7</v>
      </c>
      <c r="O2459">
        <v>9</v>
      </c>
      <c r="P2459">
        <v>144436.73000000001</v>
      </c>
      <c r="Q2459">
        <v>117441.44</v>
      </c>
      <c r="R2459">
        <v>648</v>
      </c>
      <c r="S2459">
        <v>111</v>
      </c>
      <c r="T2459" t="s">
        <v>34</v>
      </c>
      <c r="U2459" t="s">
        <v>31</v>
      </c>
    </row>
    <row r="2460" spans="1:21">
      <c r="A2460" t="s">
        <v>3855</v>
      </c>
      <c r="B2460" t="s">
        <v>3024</v>
      </c>
      <c r="C2460" t="s">
        <v>3025</v>
      </c>
      <c r="D2460">
        <v>140000</v>
      </c>
      <c r="E2460">
        <v>15000</v>
      </c>
      <c r="F2460">
        <v>140000</v>
      </c>
      <c r="G2460">
        <v>140000</v>
      </c>
      <c r="H2460">
        <v>1</v>
      </c>
      <c r="I2460" t="s">
        <v>573</v>
      </c>
      <c r="J2460">
        <v>25.98</v>
      </c>
      <c r="K2460">
        <v>3</v>
      </c>
      <c r="L2460">
        <v>5</v>
      </c>
      <c r="M2460" t="s">
        <v>3022</v>
      </c>
      <c r="N2460">
        <v>7</v>
      </c>
      <c r="O2460">
        <v>9</v>
      </c>
      <c r="P2460">
        <v>144436.73000000001</v>
      </c>
      <c r="Q2460">
        <v>117441.44</v>
      </c>
      <c r="R2460">
        <v>648</v>
      </c>
      <c r="S2460">
        <v>111</v>
      </c>
      <c r="T2460" t="s">
        <v>34</v>
      </c>
      <c r="U2460" t="s">
        <v>31</v>
      </c>
    </row>
    <row r="2461" spans="1:21">
      <c r="A2461" t="s">
        <v>3856</v>
      </c>
      <c r="B2461" t="s">
        <v>3024</v>
      </c>
      <c r="C2461" t="s">
        <v>3025</v>
      </c>
      <c r="D2461">
        <v>140000</v>
      </c>
      <c r="E2461">
        <v>15000</v>
      </c>
      <c r="F2461">
        <v>140000</v>
      </c>
      <c r="G2461">
        <v>140000</v>
      </c>
      <c r="H2461">
        <v>3</v>
      </c>
      <c r="I2461" t="s">
        <v>573</v>
      </c>
      <c r="J2461">
        <v>25.5</v>
      </c>
      <c r="K2461">
        <v>3</v>
      </c>
      <c r="L2461">
        <v>5</v>
      </c>
      <c r="M2461" t="s">
        <v>3022</v>
      </c>
      <c r="N2461">
        <v>7</v>
      </c>
      <c r="O2461">
        <v>9</v>
      </c>
      <c r="P2461">
        <v>144436.73000000001</v>
      </c>
      <c r="Q2461">
        <v>117441.44</v>
      </c>
      <c r="R2461">
        <v>648</v>
      </c>
      <c r="S2461">
        <v>111</v>
      </c>
      <c r="T2461" t="s">
        <v>34</v>
      </c>
      <c r="U2461" t="s">
        <v>31</v>
      </c>
    </row>
    <row r="2462" spans="1:21">
      <c r="A2462" t="s">
        <v>3857</v>
      </c>
      <c r="B2462" t="s">
        <v>3024</v>
      </c>
      <c r="C2462" t="s">
        <v>3025</v>
      </c>
      <c r="D2462">
        <v>150000</v>
      </c>
      <c r="E2462">
        <v>15000</v>
      </c>
      <c r="F2462">
        <v>150000</v>
      </c>
      <c r="G2462">
        <v>150000</v>
      </c>
      <c r="H2462">
        <v>4</v>
      </c>
      <c r="I2462" t="s">
        <v>573</v>
      </c>
      <c r="J2462">
        <v>25.9</v>
      </c>
      <c r="K2462">
        <v>3</v>
      </c>
      <c r="L2462">
        <v>5</v>
      </c>
      <c r="M2462" t="s">
        <v>3022</v>
      </c>
      <c r="N2462">
        <v>7</v>
      </c>
      <c r="O2462">
        <v>9</v>
      </c>
      <c r="P2462">
        <v>144436.73000000001</v>
      </c>
      <c r="Q2462">
        <v>117441.44</v>
      </c>
      <c r="R2462">
        <v>648</v>
      </c>
      <c r="S2462">
        <v>111</v>
      </c>
      <c r="T2462" t="s">
        <v>34</v>
      </c>
      <c r="U2462" t="s">
        <v>31</v>
      </c>
    </row>
    <row r="2463" spans="1:21">
      <c r="A2463" t="s">
        <v>3858</v>
      </c>
      <c r="B2463" t="s">
        <v>3036</v>
      </c>
      <c r="C2463" t="s">
        <v>1768</v>
      </c>
      <c r="D2463">
        <v>105000</v>
      </c>
      <c r="E2463">
        <v>20000</v>
      </c>
      <c r="G2463">
        <v>157500</v>
      </c>
      <c r="H2463">
        <v>4</v>
      </c>
      <c r="I2463" t="s">
        <v>573</v>
      </c>
      <c r="J2463">
        <v>32.86</v>
      </c>
      <c r="K2463">
        <v>22</v>
      </c>
      <c r="L2463">
        <v>9</v>
      </c>
      <c r="M2463" t="s">
        <v>3022</v>
      </c>
      <c r="N2463">
        <v>7</v>
      </c>
      <c r="O2463">
        <v>10</v>
      </c>
      <c r="P2463">
        <v>144436.73000000001</v>
      </c>
      <c r="Q2463">
        <v>117441.44</v>
      </c>
      <c r="R2463">
        <v>648</v>
      </c>
      <c r="S2463">
        <v>111</v>
      </c>
      <c r="T2463" t="s">
        <v>26</v>
      </c>
      <c r="U2463" t="s">
        <v>27</v>
      </c>
    </row>
    <row r="2464" spans="1:21">
      <c r="A2464" t="s">
        <v>3859</v>
      </c>
      <c r="B2464" t="s">
        <v>3040</v>
      </c>
      <c r="C2464" t="s">
        <v>1768</v>
      </c>
      <c r="D2464">
        <v>168000</v>
      </c>
      <c r="E2464">
        <v>10000</v>
      </c>
      <c r="F2464">
        <v>168000</v>
      </c>
      <c r="H2464">
        <v>4</v>
      </c>
      <c r="I2464" t="s">
        <v>573</v>
      </c>
      <c r="J2464">
        <v>30.24</v>
      </c>
      <c r="K2464">
        <v>2</v>
      </c>
      <c r="L2464">
        <v>13</v>
      </c>
      <c r="M2464" t="s">
        <v>3022</v>
      </c>
      <c r="N2464">
        <v>9</v>
      </c>
      <c r="O2464">
        <v>12.33</v>
      </c>
      <c r="P2464">
        <v>144436.73000000001</v>
      </c>
      <c r="Q2464">
        <v>117441.44</v>
      </c>
      <c r="R2464">
        <v>648</v>
      </c>
      <c r="S2464">
        <v>111</v>
      </c>
      <c r="T2464" t="s">
        <v>26</v>
      </c>
      <c r="U2464" t="s">
        <v>31</v>
      </c>
    </row>
    <row r="2465" spans="1:21">
      <c r="A2465" t="s">
        <v>3860</v>
      </c>
      <c r="B2465" t="s">
        <v>3040</v>
      </c>
      <c r="C2465" t="s">
        <v>1768</v>
      </c>
      <c r="D2465">
        <v>159000</v>
      </c>
      <c r="E2465">
        <v>10000</v>
      </c>
      <c r="F2465">
        <v>159000</v>
      </c>
      <c r="H2465">
        <v>5</v>
      </c>
      <c r="I2465" t="s">
        <v>573</v>
      </c>
      <c r="J2465">
        <v>25.36</v>
      </c>
      <c r="K2465">
        <v>2</v>
      </c>
      <c r="L2465">
        <v>13</v>
      </c>
      <c r="M2465" t="s">
        <v>3022</v>
      </c>
      <c r="N2465">
        <v>9</v>
      </c>
      <c r="O2465">
        <v>12.33</v>
      </c>
      <c r="P2465">
        <v>144436.73000000001</v>
      </c>
      <c r="Q2465">
        <v>117441.44</v>
      </c>
      <c r="R2465">
        <v>648</v>
      </c>
      <c r="S2465">
        <v>111</v>
      </c>
      <c r="T2465" t="s">
        <v>34</v>
      </c>
      <c r="U2465" t="s">
        <v>31</v>
      </c>
    </row>
    <row r="2466" spans="1:21">
      <c r="A2466" t="s">
        <v>3861</v>
      </c>
      <c r="B2466" t="s">
        <v>3040</v>
      </c>
      <c r="C2466" t="s">
        <v>1768</v>
      </c>
      <c r="D2466">
        <v>172000</v>
      </c>
      <c r="E2466">
        <v>10000</v>
      </c>
      <c r="F2466">
        <v>172000</v>
      </c>
      <c r="H2466">
        <v>8</v>
      </c>
      <c r="I2466" t="s">
        <v>573</v>
      </c>
      <c r="J2466">
        <v>30.24</v>
      </c>
      <c r="K2466">
        <v>2</v>
      </c>
      <c r="L2466">
        <v>13</v>
      </c>
      <c r="M2466" t="s">
        <v>3022</v>
      </c>
      <c r="N2466">
        <v>9</v>
      </c>
      <c r="O2466">
        <v>12.33</v>
      </c>
      <c r="P2466">
        <v>144436.73000000001</v>
      </c>
      <c r="Q2466">
        <v>117441.44</v>
      </c>
      <c r="R2466">
        <v>648</v>
      </c>
      <c r="S2466">
        <v>111</v>
      </c>
      <c r="T2466" t="s">
        <v>26</v>
      </c>
      <c r="U2466" t="s">
        <v>31</v>
      </c>
    </row>
    <row r="2467" spans="1:21">
      <c r="A2467" t="s">
        <v>3862</v>
      </c>
      <c r="B2467" t="s">
        <v>3040</v>
      </c>
      <c r="C2467" t="s">
        <v>1768</v>
      </c>
      <c r="D2467">
        <v>167000</v>
      </c>
      <c r="E2467">
        <v>10000</v>
      </c>
      <c r="F2467">
        <v>167000</v>
      </c>
      <c r="H2467">
        <v>9</v>
      </c>
      <c r="I2467" t="s">
        <v>573</v>
      </c>
      <c r="J2467">
        <v>25.36</v>
      </c>
      <c r="K2467">
        <v>2</v>
      </c>
      <c r="L2467">
        <v>13</v>
      </c>
      <c r="M2467" t="s">
        <v>3022</v>
      </c>
      <c r="N2467">
        <v>9</v>
      </c>
      <c r="O2467">
        <v>12.33</v>
      </c>
      <c r="P2467">
        <v>144436.73000000001</v>
      </c>
      <c r="Q2467">
        <v>117441.44</v>
      </c>
      <c r="R2467">
        <v>648</v>
      </c>
      <c r="S2467">
        <v>111</v>
      </c>
      <c r="T2467" t="s">
        <v>34</v>
      </c>
      <c r="U2467" t="s">
        <v>31</v>
      </c>
    </row>
    <row r="2468" spans="1:21">
      <c r="A2468" t="s">
        <v>3863</v>
      </c>
      <c r="B2468" t="s">
        <v>3047</v>
      </c>
      <c r="C2468" t="s">
        <v>3025</v>
      </c>
      <c r="D2468">
        <v>140000</v>
      </c>
      <c r="E2468">
        <v>15000</v>
      </c>
      <c r="F2468">
        <v>140000</v>
      </c>
      <c r="G2468">
        <v>140000</v>
      </c>
      <c r="H2468">
        <v>3</v>
      </c>
      <c r="I2468" t="s">
        <v>573</v>
      </c>
      <c r="J2468">
        <v>25.5</v>
      </c>
      <c r="K2468">
        <v>3</v>
      </c>
      <c r="L2468">
        <v>5</v>
      </c>
      <c r="M2468" t="s">
        <v>3022</v>
      </c>
      <c r="N2468">
        <v>7</v>
      </c>
      <c r="O2468">
        <v>9.33</v>
      </c>
      <c r="P2468">
        <v>144436.73000000001</v>
      </c>
      <c r="Q2468">
        <v>117441.44</v>
      </c>
      <c r="R2468">
        <v>648</v>
      </c>
      <c r="S2468">
        <v>111</v>
      </c>
      <c r="T2468" t="s">
        <v>34</v>
      </c>
      <c r="U2468" t="s">
        <v>31</v>
      </c>
    </row>
    <row r="2469" spans="1:21">
      <c r="A2469" t="s">
        <v>3864</v>
      </c>
      <c r="B2469" t="s">
        <v>3269</v>
      </c>
      <c r="C2469" t="s">
        <v>1768</v>
      </c>
      <c r="D2469">
        <v>163000</v>
      </c>
      <c r="E2469">
        <v>10000</v>
      </c>
      <c r="F2469">
        <v>163000</v>
      </c>
      <c r="G2469">
        <v>163000</v>
      </c>
      <c r="H2469">
        <v>5</v>
      </c>
      <c r="I2469" t="s">
        <v>573</v>
      </c>
      <c r="J2469">
        <v>41.21</v>
      </c>
      <c r="K2469">
        <v>31</v>
      </c>
      <c r="L2469">
        <v>5</v>
      </c>
      <c r="M2469" t="s">
        <v>3022</v>
      </c>
      <c r="N2469">
        <v>9</v>
      </c>
      <c r="O2469">
        <v>11.67</v>
      </c>
      <c r="P2469">
        <v>144436.73000000001</v>
      </c>
      <c r="Q2469">
        <v>117441.44</v>
      </c>
      <c r="R2469">
        <v>648</v>
      </c>
      <c r="S2469">
        <v>111</v>
      </c>
      <c r="T2469" t="s">
        <v>326</v>
      </c>
      <c r="U2469" t="s">
        <v>49</v>
      </c>
    </row>
    <row r="2470" spans="1:21">
      <c r="A2470" t="s">
        <v>3865</v>
      </c>
      <c r="B2470" t="s">
        <v>3269</v>
      </c>
      <c r="C2470" t="s">
        <v>1768</v>
      </c>
      <c r="D2470">
        <v>173000</v>
      </c>
      <c r="E2470">
        <v>10000</v>
      </c>
      <c r="F2470">
        <v>173000</v>
      </c>
      <c r="G2470">
        <v>173000</v>
      </c>
      <c r="H2470">
        <v>5</v>
      </c>
      <c r="I2470" t="s">
        <v>573</v>
      </c>
      <c r="J2470">
        <v>41.21</v>
      </c>
      <c r="K2470">
        <v>31</v>
      </c>
      <c r="L2470">
        <v>5</v>
      </c>
      <c r="M2470" t="s">
        <v>3022</v>
      </c>
      <c r="N2470">
        <v>9</v>
      </c>
      <c r="O2470">
        <v>11.67</v>
      </c>
      <c r="P2470">
        <v>144436.73000000001</v>
      </c>
      <c r="Q2470">
        <v>117441.44</v>
      </c>
      <c r="R2470">
        <v>648</v>
      </c>
      <c r="S2470">
        <v>111</v>
      </c>
      <c r="T2470" t="s">
        <v>326</v>
      </c>
      <c r="U2470" t="s">
        <v>49</v>
      </c>
    </row>
    <row r="2471" spans="1:21">
      <c r="A2471" t="s">
        <v>3866</v>
      </c>
      <c r="B2471" t="s">
        <v>3867</v>
      </c>
      <c r="C2471" t="s">
        <v>1890</v>
      </c>
      <c r="D2471">
        <v>75000</v>
      </c>
      <c r="E2471">
        <v>3000</v>
      </c>
      <c r="F2471">
        <v>75000</v>
      </c>
      <c r="H2471">
        <v>1</v>
      </c>
      <c r="I2471" t="s">
        <v>573</v>
      </c>
      <c r="J2471">
        <v>28.08</v>
      </c>
      <c r="K2471">
        <v>55</v>
      </c>
      <c r="L2471">
        <v>4</v>
      </c>
      <c r="M2471" t="s">
        <v>3022</v>
      </c>
      <c r="N2471">
        <v>12</v>
      </c>
      <c r="O2471">
        <v>13</v>
      </c>
      <c r="P2471">
        <v>144436.73000000001</v>
      </c>
      <c r="Q2471">
        <v>117441.44</v>
      </c>
      <c r="R2471">
        <v>648</v>
      </c>
      <c r="S2471">
        <v>111</v>
      </c>
      <c r="T2471" t="s">
        <v>34</v>
      </c>
      <c r="U2471" t="s">
        <v>57</v>
      </c>
    </row>
    <row r="2472" spans="1:21">
      <c r="A2472" t="s">
        <v>3868</v>
      </c>
      <c r="B2472" t="s">
        <v>3867</v>
      </c>
      <c r="C2472" t="s">
        <v>1890</v>
      </c>
      <c r="D2472">
        <v>79000</v>
      </c>
      <c r="E2472">
        <v>3000</v>
      </c>
      <c r="F2472">
        <v>79000</v>
      </c>
      <c r="H2472">
        <v>2</v>
      </c>
      <c r="I2472" t="s">
        <v>573</v>
      </c>
      <c r="J2472">
        <v>28.08</v>
      </c>
      <c r="K2472">
        <v>55</v>
      </c>
      <c r="L2472">
        <v>4</v>
      </c>
      <c r="M2472" t="s">
        <v>3022</v>
      </c>
      <c r="N2472">
        <v>12</v>
      </c>
      <c r="O2472">
        <v>13</v>
      </c>
      <c r="P2472">
        <v>144436.73000000001</v>
      </c>
      <c r="Q2472">
        <v>117441.44</v>
      </c>
      <c r="R2472">
        <v>648</v>
      </c>
      <c r="S2472">
        <v>111</v>
      </c>
      <c r="T2472" t="s">
        <v>34</v>
      </c>
      <c r="U2472" t="s">
        <v>57</v>
      </c>
    </row>
    <row r="2473" spans="1:21">
      <c r="A2473" t="s">
        <v>3869</v>
      </c>
      <c r="B2473" t="s">
        <v>3103</v>
      </c>
      <c r="C2473" t="s">
        <v>1768</v>
      </c>
      <c r="D2473">
        <v>168000</v>
      </c>
      <c r="E2473">
        <v>10000</v>
      </c>
      <c r="F2473">
        <v>168000</v>
      </c>
      <c r="H2473">
        <v>4</v>
      </c>
      <c r="I2473" t="s">
        <v>573</v>
      </c>
      <c r="J2473">
        <v>30.24</v>
      </c>
      <c r="K2473">
        <v>2</v>
      </c>
      <c r="L2473">
        <v>13</v>
      </c>
      <c r="M2473" t="s">
        <v>3022</v>
      </c>
      <c r="N2473">
        <v>9</v>
      </c>
      <c r="O2473">
        <v>11.33</v>
      </c>
      <c r="P2473">
        <v>144436.73000000001</v>
      </c>
      <c r="Q2473">
        <v>117441.44</v>
      </c>
      <c r="R2473">
        <v>648</v>
      </c>
      <c r="S2473">
        <v>111</v>
      </c>
      <c r="T2473" t="s">
        <v>26</v>
      </c>
      <c r="U2473" t="s">
        <v>31</v>
      </c>
    </row>
    <row r="2474" spans="1:21">
      <c r="A2474" t="s">
        <v>3870</v>
      </c>
      <c r="B2474" t="s">
        <v>3103</v>
      </c>
      <c r="C2474" t="s">
        <v>1768</v>
      </c>
      <c r="D2474">
        <v>172000</v>
      </c>
      <c r="E2474">
        <v>10000</v>
      </c>
      <c r="F2474">
        <v>172000</v>
      </c>
      <c r="H2474">
        <v>8</v>
      </c>
      <c r="I2474" t="s">
        <v>573</v>
      </c>
      <c r="J2474">
        <v>30.24</v>
      </c>
      <c r="K2474">
        <v>2</v>
      </c>
      <c r="L2474">
        <v>13</v>
      </c>
      <c r="M2474" t="s">
        <v>3022</v>
      </c>
      <c r="N2474">
        <v>9</v>
      </c>
      <c r="O2474">
        <v>11.33</v>
      </c>
      <c r="P2474">
        <v>144436.73000000001</v>
      </c>
      <c r="Q2474">
        <v>117441.44</v>
      </c>
      <c r="R2474">
        <v>648</v>
      </c>
      <c r="S2474">
        <v>111</v>
      </c>
      <c r="T2474" t="s">
        <v>26</v>
      </c>
      <c r="U2474" t="s">
        <v>31</v>
      </c>
    </row>
    <row r="2475" spans="1:21">
      <c r="A2475" t="s">
        <v>3871</v>
      </c>
      <c r="B2475" t="s">
        <v>3872</v>
      </c>
      <c r="C2475" t="s">
        <v>1228</v>
      </c>
      <c r="D2475">
        <v>87000</v>
      </c>
      <c r="E2475">
        <v>3000</v>
      </c>
      <c r="G2475">
        <v>87000</v>
      </c>
      <c r="H2475">
        <v>2</v>
      </c>
      <c r="I2475" t="s">
        <v>573</v>
      </c>
      <c r="J2475">
        <v>36</v>
      </c>
      <c r="K2475">
        <v>50</v>
      </c>
      <c r="L2475">
        <v>5</v>
      </c>
      <c r="M2475" t="s">
        <v>3022</v>
      </c>
      <c r="N2475">
        <v>5</v>
      </c>
      <c r="O2475">
        <v>8</v>
      </c>
      <c r="P2475">
        <v>144436.73000000001</v>
      </c>
      <c r="Q2475">
        <v>117441.44</v>
      </c>
      <c r="R2475">
        <v>648</v>
      </c>
      <c r="S2475">
        <v>111</v>
      </c>
      <c r="T2475" t="s">
        <v>26</v>
      </c>
      <c r="U2475" t="s">
        <v>42</v>
      </c>
    </row>
    <row r="2476" spans="1:21">
      <c r="A2476" t="s">
        <v>3873</v>
      </c>
      <c r="B2476" t="s">
        <v>3452</v>
      </c>
      <c r="C2476" t="s">
        <v>1768</v>
      </c>
      <c r="D2476">
        <v>173000</v>
      </c>
      <c r="E2476">
        <v>10000</v>
      </c>
      <c r="F2476">
        <v>173000</v>
      </c>
      <c r="G2476">
        <v>173000</v>
      </c>
      <c r="H2476">
        <v>1</v>
      </c>
      <c r="I2476" t="s">
        <v>573</v>
      </c>
      <c r="J2476">
        <v>41.04</v>
      </c>
      <c r="K2476">
        <v>31</v>
      </c>
      <c r="L2476">
        <v>5</v>
      </c>
      <c r="M2476" t="s">
        <v>3022</v>
      </c>
      <c r="N2476">
        <v>9</v>
      </c>
      <c r="O2476">
        <v>11.67</v>
      </c>
      <c r="P2476">
        <v>144436.73000000001</v>
      </c>
      <c r="Q2476">
        <v>117441.44</v>
      </c>
      <c r="R2476">
        <v>648</v>
      </c>
      <c r="S2476">
        <v>111</v>
      </c>
      <c r="T2476" t="s">
        <v>326</v>
      </c>
      <c r="U2476" t="s">
        <v>49</v>
      </c>
    </row>
    <row r="2477" spans="1:21">
      <c r="A2477" t="s">
        <v>3874</v>
      </c>
      <c r="B2477" t="s">
        <v>3452</v>
      </c>
      <c r="C2477" t="s">
        <v>1768</v>
      </c>
      <c r="D2477">
        <v>155000</v>
      </c>
      <c r="E2477">
        <v>10000</v>
      </c>
      <c r="F2477">
        <v>155000</v>
      </c>
      <c r="G2477">
        <v>155000</v>
      </c>
      <c r="H2477">
        <v>2</v>
      </c>
      <c r="I2477" t="s">
        <v>573</v>
      </c>
      <c r="J2477">
        <v>41.21</v>
      </c>
      <c r="K2477">
        <v>31</v>
      </c>
      <c r="L2477">
        <v>5</v>
      </c>
      <c r="M2477" t="s">
        <v>3022</v>
      </c>
      <c r="N2477">
        <v>9</v>
      </c>
      <c r="O2477">
        <v>11.67</v>
      </c>
      <c r="P2477">
        <v>144436.73000000001</v>
      </c>
      <c r="Q2477">
        <v>117441.44</v>
      </c>
      <c r="R2477">
        <v>648</v>
      </c>
      <c r="S2477">
        <v>111</v>
      </c>
      <c r="T2477" t="s">
        <v>326</v>
      </c>
      <c r="U2477" t="s">
        <v>49</v>
      </c>
    </row>
    <row r="2478" spans="1:21">
      <c r="A2478" t="s">
        <v>3875</v>
      </c>
      <c r="B2478" t="s">
        <v>3452</v>
      </c>
      <c r="C2478" t="s">
        <v>1768</v>
      </c>
      <c r="D2478">
        <v>163000</v>
      </c>
      <c r="E2478">
        <v>10000</v>
      </c>
      <c r="F2478">
        <v>163000</v>
      </c>
      <c r="G2478">
        <v>163000</v>
      </c>
      <c r="H2478">
        <v>5</v>
      </c>
      <c r="I2478" t="s">
        <v>573</v>
      </c>
      <c r="J2478">
        <v>41.21</v>
      </c>
      <c r="K2478">
        <v>31</v>
      </c>
      <c r="L2478">
        <v>5</v>
      </c>
      <c r="M2478" t="s">
        <v>3022</v>
      </c>
      <c r="N2478">
        <v>9</v>
      </c>
      <c r="O2478">
        <v>11.67</v>
      </c>
      <c r="P2478">
        <v>144436.73000000001</v>
      </c>
      <c r="Q2478">
        <v>117441.44</v>
      </c>
      <c r="R2478">
        <v>648</v>
      </c>
      <c r="S2478">
        <v>111</v>
      </c>
      <c r="T2478" t="s">
        <v>326</v>
      </c>
      <c r="U2478" t="s">
        <v>49</v>
      </c>
    </row>
    <row r="2479" spans="1:21">
      <c r="A2479" t="s">
        <v>3876</v>
      </c>
      <c r="B2479" t="s">
        <v>3452</v>
      </c>
      <c r="C2479" t="s">
        <v>1768</v>
      </c>
      <c r="D2479">
        <v>173000</v>
      </c>
      <c r="E2479">
        <v>10000</v>
      </c>
      <c r="F2479">
        <v>173000</v>
      </c>
      <c r="G2479">
        <v>173000</v>
      </c>
      <c r="H2479">
        <v>5</v>
      </c>
      <c r="I2479" t="s">
        <v>573</v>
      </c>
      <c r="J2479">
        <v>41.21</v>
      </c>
      <c r="K2479">
        <v>31</v>
      </c>
      <c r="L2479">
        <v>5</v>
      </c>
      <c r="M2479" t="s">
        <v>3022</v>
      </c>
      <c r="N2479">
        <v>9</v>
      </c>
      <c r="O2479">
        <v>11.67</v>
      </c>
      <c r="P2479">
        <v>144436.73000000001</v>
      </c>
      <c r="Q2479">
        <v>117441.44</v>
      </c>
      <c r="R2479">
        <v>648</v>
      </c>
      <c r="S2479">
        <v>111</v>
      </c>
      <c r="T2479" t="s">
        <v>326</v>
      </c>
      <c r="U2479" t="s">
        <v>49</v>
      </c>
    </row>
    <row r="2480" spans="1:21">
      <c r="A2480" t="s">
        <v>3877</v>
      </c>
      <c r="B2480" t="s">
        <v>3454</v>
      </c>
      <c r="C2480" t="s">
        <v>1768</v>
      </c>
      <c r="D2480">
        <v>105000</v>
      </c>
      <c r="E2480">
        <v>20000</v>
      </c>
      <c r="G2480">
        <v>157500</v>
      </c>
      <c r="H2480">
        <v>4</v>
      </c>
      <c r="I2480" t="s">
        <v>573</v>
      </c>
      <c r="J2480">
        <v>32.86</v>
      </c>
      <c r="K2480">
        <v>23</v>
      </c>
      <c r="L2480">
        <v>9</v>
      </c>
      <c r="M2480" t="s">
        <v>3022</v>
      </c>
      <c r="N2480">
        <v>7</v>
      </c>
      <c r="O2480">
        <v>10.33</v>
      </c>
      <c r="P2480">
        <v>144436.73000000001</v>
      </c>
      <c r="Q2480">
        <v>117441.44</v>
      </c>
      <c r="R2480">
        <v>648</v>
      </c>
      <c r="S2480">
        <v>111</v>
      </c>
      <c r="T2480" t="s">
        <v>26</v>
      </c>
      <c r="U2480" t="s">
        <v>27</v>
      </c>
    </row>
    <row r="2481" spans="1:21">
      <c r="A2481" t="s">
        <v>3878</v>
      </c>
      <c r="B2481" t="s">
        <v>3879</v>
      </c>
      <c r="C2481" t="s">
        <v>1228</v>
      </c>
      <c r="D2481">
        <v>245000</v>
      </c>
      <c r="E2481">
        <v>20000</v>
      </c>
      <c r="F2481">
        <v>245000</v>
      </c>
      <c r="H2481">
        <v>3</v>
      </c>
      <c r="I2481" t="s">
        <v>585</v>
      </c>
      <c r="J2481">
        <v>43.65</v>
      </c>
      <c r="K2481">
        <v>0</v>
      </c>
      <c r="L2481">
        <v>12</v>
      </c>
      <c r="M2481" t="s">
        <v>3022</v>
      </c>
      <c r="N2481">
        <v>3</v>
      </c>
      <c r="O2481">
        <v>9.67</v>
      </c>
      <c r="P2481">
        <v>144436.73000000001</v>
      </c>
      <c r="Q2481">
        <v>232352.65</v>
      </c>
      <c r="R2481">
        <v>648</v>
      </c>
      <c r="S2481">
        <v>359</v>
      </c>
      <c r="T2481" t="s">
        <v>326</v>
      </c>
      <c r="U2481" t="s">
        <v>81</v>
      </c>
    </row>
    <row r="2482" spans="1:21">
      <c r="A2482" t="s">
        <v>3880</v>
      </c>
      <c r="B2482" t="s">
        <v>3879</v>
      </c>
      <c r="C2482" t="s">
        <v>1228</v>
      </c>
      <c r="D2482">
        <v>240000</v>
      </c>
      <c r="E2482">
        <v>20000</v>
      </c>
      <c r="F2482">
        <v>240000</v>
      </c>
      <c r="H2482">
        <v>3</v>
      </c>
      <c r="I2482" t="s">
        <v>585</v>
      </c>
      <c r="J2482">
        <v>43.66</v>
      </c>
      <c r="K2482">
        <v>0</v>
      </c>
      <c r="L2482">
        <v>12</v>
      </c>
      <c r="M2482" t="s">
        <v>3022</v>
      </c>
      <c r="N2482">
        <v>3</v>
      </c>
      <c r="O2482">
        <v>9.67</v>
      </c>
      <c r="P2482">
        <v>144436.73000000001</v>
      </c>
      <c r="Q2482">
        <v>232352.65</v>
      </c>
      <c r="R2482">
        <v>648</v>
      </c>
      <c r="S2482">
        <v>359</v>
      </c>
      <c r="T2482" t="s">
        <v>326</v>
      </c>
      <c r="U2482" t="s">
        <v>81</v>
      </c>
    </row>
    <row r="2483" spans="1:21">
      <c r="A2483" t="s">
        <v>3881</v>
      </c>
      <c r="B2483" t="s">
        <v>3879</v>
      </c>
      <c r="C2483" t="s">
        <v>1228</v>
      </c>
      <c r="D2483">
        <v>265000</v>
      </c>
      <c r="E2483">
        <v>20000</v>
      </c>
      <c r="F2483">
        <v>265000</v>
      </c>
      <c r="H2483">
        <v>9</v>
      </c>
      <c r="I2483" t="s">
        <v>585</v>
      </c>
      <c r="J2483">
        <v>43.65</v>
      </c>
      <c r="K2483">
        <v>0</v>
      </c>
      <c r="L2483">
        <v>12</v>
      </c>
      <c r="M2483" t="s">
        <v>3022</v>
      </c>
      <c r="N2483">
        <v>3</v>
      </c>
      <c r="O2483">
        <v>9.67</v>
      </c>
      <c r="P2483">
        <v>144436.73000000001</v>
      </c>
      <c r="Q2483">
        <v>232352.65</v>
      </c>
      <c r="R2483">
        <v>648</v>
      </c>
      <c r="S2483">
        <v>359</v>
      </c>
      <c r="T2483" t="s">
        <v>326</v>
      </c>
      <c r="U2483" t="s">
        <v>81</v>
      </c>
    </row>
    <row r="2484" spans="1:21">
      <c r="A2484" t="s">
        <v>3882</v>
      </c>
      <c r="B2484" t="s">
        <v>3883</v>
      </c>
      <c r="C2484" t="s">
        <v>1228</v>
      </c>
      <c r="D2484">
        <v>272000</v>
      </c>
      <c r="E2484">
        <v>12000</v>
      </c>
      <c r="F2484">
        <v>272000</v>
      </c>
      <c r="G2484">
        <v>272000</v>
      </c>
      <c r="H2484">
        <v>5</v>
      </c>
      <c r="I2484" t="s">
        <v>585</v>
      </c>
      <c r="J2484">
        <v>53.38</v>
      </c>
      <c r="K2484">
        <v>7</v>
      </c>
      <c r="L2484">
        <v>5</v>
      </c>
      <c r="M2484" t="s">
        <v>3022</v>
      </c>
      <c r="N2484">
        <v>2</v>
      </c>
      <c r="O2484">
        <v>7</v>
      </c>
      <c r="P2484">
        <v>144436.73000000001</v>
      </c>
      <c r="Q2484">
        <v>232352.65</v>
      </c>
      <c r="R2484">
        <v>648</v>
      </c>
      <c r="S2484">
        <v>359</v>
      </c>
      <c r="T2484" t="s">
        <v>332</v>
      </c>
      <c r="U2484" t="s">
        <v>31</v>
      </c>
    </row>
    <row r="2485" spans="1:21">
      <c r="A2485" t="s">
        <v>3884</v>
      </c>
      <c r="B2485" t="s">
        <v>3885</v>
      </c>
      <c r="C2485" t="s">
        <v>1231</v>
      </c>
      <c r="D2485">
        <v>282000</v>
      </c>
      <c r="E2485">
        <v>12000</v>
      </c>
      <c r="F2485">
        <v>282000</v>
      </c>
      <c r="H2485">
        <v>2</v>
      </c>
      <c r="I2485" t="s">
        <v>585</v>
      </c>
      <c r="J2485">
        <v>63.2</v>
      </c>
      <c r="K2485">
        <v>1</v>
      </c>
      <c r="L2485">
        <v>3</v>
      </c>
      <c r="M2485" t="s">
        <v>3022</v>
      </c>
      <c r="N2485">
        <v>7</v>
      </c>
      <c r="O2485">
        <v>10.33</v>
      </c>
      <c r="P2485">
        <v>144436.73000000001</v>
      </c>
      <c r="Q2485">
        <v>232352.65</v>
      </c>
      <c r="R2485">
        <v>648</v>
      </c>
      <c r="S2485">
        <v>359</v>
      </c>
      <c r="T2485" t="s">
        <v>593</v>
      </c>
      <c r="U2485" t="s">
        <v>31</v>
      </c>
    </row>
    <row r="2486" spans="1:21">
      <c r="A2486" t="s">
        <v>3886</v>
      </c>
      <c r="B2486" t="s">
        <v>3885</v>
      </c>
      <c r="C2486" t="s">
        <v>1231</v>
      </c>
      <c r="D2486">
        <v>318000</v>
      </c>
      <c r="E2486">
        <v>12000</v>
      </c>
      <c r="F2486">
        <v>318000</v>
      </c>
      <c r="G2486">
        <v>318000</v>
      </c>
      <c r="H2486">
        <v>3</v>
      </c>
      <c r="I2486" t="s">
        <v>585</v>
      </c>
      <c r="J2486">
        <v>66.260000000000005</v>
      </c>
      <c r="K2486">
        <v>1</v>
      </c>
      <c r="L2486">
        <v>3</v>
      </c>
      <c r="M2486" t="s">
        <v>3022</v>
      </c>
      <c r="N2486">
        <v>7</v>
      </c>
      <c r="O2486">
        <v>10.33</v>
      </c>
      <c r="P2486">
        <v>144436.73000000001</v>
      </c>
      <c r="Q2486">
        <v>232352.65</v>
      </c>
      <c r="R2486">
        <v>648</v>
      </c>
      <c r="S2486">
        <v>359</v>
      </c>
      <c r="T2486" t="s">
        <v>593</v>
      </c>
      <c r="U2486" t="s">
        <v>31</v>
      </c>
    </row>
    <row r="2487" spans="1:21">
      <c r="A2487" t="s">
        <v>3887</v>
      </c>
      <c r="B2487" t="s">
        <v>3888</v>
      </c>
      <c r="C2487" t="s">
        <v>1228</v>
      </c>
      <c r="D2487">
        <v>255000</v>
      </c>
      <c r="E2487">
        <v>18000</v>
      </c>
      <c r="H2487">
        <v>2</v>
      </c>
      <c r="I2487" t="s">
        <v>585</v>
      </c>
      <c r="J2487">
        <v>58.48</v>
      </c>
      <c r="K2487">
        <v>2</v>
      </c>
      <c r="L2487">
        <v>4</v>
      </c>
      <c r="M2487" t="s">
        <v>3022</v>
      </c>
      <c r="N2487">
        <v>5</v>
      </c>
      <c r="O2487">
        <v>7.33</v>
      </c>
      <c r="P2487">
        <v>144436.73000000001</v>
      </c>
      <c r="Q2487">
        <v>232352.65</v>
      </c>
      <c r="R2487">
        <v>648</v>
      </c>
      <c r="S2487">
        <v>359</v>
      </c>
      <c r="T2487" t="s">
        <v>332</v>
      </c>
      <c r="U2487" t="s">
        <v>31</v>
      </c>
    </row>
    <row r="2488" spans="1:21">
      <c r="A2488" t="s">
        <v>3889</v>
      </c>
      <c r="B2488" t="s">
        <v>3472</v>
      </c>
      <c r="C2488" t="s">
        <v>1890</v>
      </c>
      <c r="D2488">
        <v>190500</v>
      </c>
      <c r="E2488">
        <v>4400</v>
      </c>
      <c r="G2488">
        <v>381000</v>
      </c>
      <c r="H2488">
        <v>1</v>
      </c>
      <c r="I2488" t="s">
        <v>585</v>
      </c>
      <c r="J2488">
        <v>50.47</v>
      </c>
      <c r="K2488">
        <v>0</v>
      </c>
      <c r="L2488">
        <v>2</v>
      </c>
      <c r="M2488" t="s">
        <v>3022</v>
      </c>
      <c r="N2488">
        <v>13</v>
      </c>
      <c r="O2488">
        <v>13.67</v>
      </c>
      <c r="P2488">
        <v>144436.73000000001</v>
      </c>
      <c r="Q2488">
        <v>232352.65</v>
      </c>
      <c r="R2488">
        <v>648</v>
      </c>
      <c r="S2488">
        <v>359</v>
      </c>
      <c r="T2488" t="s">
        <v>332</v>
      </c>
      <c r="U2488" t="s">
        <v>81</v>
      </c>
    </row>
    <row r="2489" spans="1:21">
      <c r="A2489" t="s">
        <v>3890</v>
      </c>
      <c r="B2489" t="s">
        <v>3472</v>
      </c>
      <c r="C2489" t="s">
        <v>1890</v>
      </c>
      <c r="D2489">
        <v>192500</v>
      </c>
      <c r="E2489">
        <v>4400</v>
      </c>
      <c r="G2489">
        <v>385000</v>
      </c>
      <c r="H2489">
        <v>1</v>
      </c>
      <c r="I2489" t="s">
        <v>585</v>
      </c>
      <c r="J2489">
        <v>50.47</v>
      </c>
      <c r="K2489">
        <v>0</v>
      </c>
      <c r="L2489">
        <v>2</v>
      </c>
      <c r="M2489" t="s">
        <v>3022</v>
      </c>
      <c r="N2489">
        <v>13</v>
      </c>
      <c r="O2489">
        <v>13.67</v>
      </c>
      <c r="P2489">
        <v>144436.73000000001</v>
      </c>
      <c r="Q2489">
        <v>232352.65</v>
      </c>
      <c r="R2489">
        <v>648</v>
      </c>
      <c r="S2489">
        <v>359</v>
      </c>
      <c r="T2489" t="s">
        <v>332</v>
      </c>
      <c r="U2489" t="s">
        <v>81</v>
      </c>
    </row>
    <row r="2490" spans="1:21">
      <c r="A2490" t="s">
        <v>3891</v>
      </c>
      <c r="B2490" t="s">
        <v>3472</v>
      </c>
      <c r="C2490" t="s">
        <v>1890</v>
      </c>
      <c r="D2490">
        <v>202500</v>
      </c>
      <c r="E2490">
        <v>4400</v>
      </c>
      <c r="G2490">
        <v>405000</v>
      </c>
      <c r="H2490">
        <v>2</v>
      </c>
      <c r="I2490" t="s">
        <v>585</v>
      </c>
      <c r="J2490">
        <v>56.26</v>
      </c>
      <c r="K2490">
        <v>0</v>
      </c>
      <c r="L2490">
        <v>2</v>
      </c>
      <c r="M2490" t="s">
        <v>3022</v>
      </c>
      <c r="N2490">
        <v>13</v>
      </c>
      <c r="O2490">
        <v>13.67</v>
      </c>
      <c r="P2490">
        <v>144436.73000000001</v>
      </c>
      <c r="Q2490">
        <v>232352.65</v>
      </c>
      <c r="R2490">
        <v>648</v>
      </c>
      <c r="S2490">
        <v>359</v>
      </c>
      <c r="T2490" t="s">
        <v>332</v>
      </c>
      <c r="U2490" t="s">
        <v>81</v>
      </c>
    </row>
    <row r="2491" spans="1:21">
      <c r="A2491" t="s">
        <v>3892</v>
      </c>
      <c r="B2491" t="s">
        <v>3893</v>
      </c>
      <c r="C2491" t="s">
        <v>1228</v>
      </c>
      <c r="D2491">
        <v>173000</v>
      </c>
      <c r="E2491">
        <v>5000</v>
      </c>
      <c r="F2491">
        <v>173000</v>
      </c>
      <c r="G2491">
        <v>173000</v>
      </c>
      <c r="H2491">
        <v>2</v>
      </c>
      <c r="I2491" t="s">
        <v>585</v>
      </c>
      <c r="J2491">
        <v>50.31</v>
      </c>
      <c r="K2491">
        <v>37</v>
      </c>
      <c r="L2491">
        <v>2</v>
      </c>
      <c r="M2491" t="s">
        <v>3022</v>
      </c>
      <c r="N2491">
        <v>6</v>
      </c>
      <c r="O2491">
        <v>9.67</v>
      </c>
      <c r="P2491">
        <v>144436.73000000001</v>
      </c>
      <c r="Q2491">
        <v>232352.65</v>
      </c>
      <c r="R2491">
        <v>648</v>
      </c>
      <c r="S2491">
        <v>359</v>
      </c>
      <c r="T2491" t="s">
        <v>332</v>
      </c>
      <c r="U2491" t="s">
        <v>49</v>
      </c>
    </row>
    <row r="2492" spans="1:21">
      <c r="A2492" t="s">
        <v>3894</v>
      </c>
      <c r="B2492" t="s">
        <v>3895</v>
      </c>
      <c r="C2492" t="s">
        <v>3195</v>
      </c>
      <c r="D2492">
        <v>330000</v>
      </c>
      <c r="E2492">
        <v>30000</v>
      </c>
      <c r="F2492">
        <v>660000</v>
      </c>
      <c r="G2492">
        <v>330000</v>
      </c>
      <c r="H2492">
        <v>16</v>
      </c>
      <c r="I2492" t="s">
        <v>585</v>
      </c>
      <c r="J2492">
        <v>60.17</v>
      </c>
      <c r="K2492">
        <v>12</v>
      </c>
      <c r="L2492">
        <v>28</v>
      </c>
      <c r="M2492" t="s">
        <v>3022</v>
      </c>
      <c r="N2492">
        <v>1</v>
      </c>
      <c r="O2492">
        <v>2.33</v>
      </c>
      <c r="P2492">
        <v>144436.73000000001</v>
      </c>
      <c r="Q2492">
        <v>232352.65</v>
      </c>
      <c r="R2492">
        <v>648</v>
      </c>
      <c r="S2492">
        <v>359</v>
      </c>
      <c r="T2492" t="s">
        <v>593</v>
      </c>
      <c r="U2492" t="s">
        <v>90</v>
      </c>
    </row>
    <row r="2493" spans="1:21">
      <c r="A2493" t="s">
        <v>3896</v>
      </c>
      <c r="B2493" t="s">
        <v>3895</v>
      </c>
      <c r="C2493" t="s">
        <v>3195</v>
      </c>
      <c r="D2493">
        <v>315000</v>
      </c>
      <c r="F2493">
        <v>315000</v>
      </c>
      <c r="G2493">
        <v>315000</v>
      </c>
      <c r="H2493">
        <v>6</v>
      </c>
      <c r="I2493" t="s">
        <v>585</v>
      </c>
      <c r="J2493">
        <v>65.56</v>
      </c>
      <c r="K2493">
        <v>12</v>
      </c>
      <c r="L2493">
        <v>28</v>
      </c>
      <c r="M2493" t="s">
        <v>3022</v>
      </c>
      <c r="N2493">
        <v>1</v>
      </c>
      <c r="O2493">
        <v>2.33</v>
      </c>
      <c r="P2493">
        <v>144436.73000000001</v>
      </c>
      <c r="Q2493">
        <v>232352.65</v>
      </c>
      <c r="R2493">
        <v>648</v>
      </c>
      <c r="S2493">
        <v>359</v>
      </c>
      <c r="T2493" t="s">
        <v>593</v>
      </c>
      <c r="U2493" t="s">
        <v>90</v>
      </c>
    </row>
    <row r="2494" spans="1:21">
      <c r="A2494" t="s">
        <v>3897</v>
      </c>
      <c r="B2494" t="s">
        <v>3476</v>
      </c>
      <c r="C2494" t="s">
        <v>1228</v>
      </c>
      <c r="D2494">
        <v>260000</v>
      </c>
      <c r="E2494">
        <v>20000</v>
      </c>
      <c r="F2494">
        <v>260000</v>
      </c>
      <c r="H2494">
        <v>10</v>
      </c>
      <c r="I2494" t="s">
        <v>585</v>
      </c>
      <c r="J2494">
        <v>43.66</v>
      </c>
      <c r="K2494">
        <v>0</v>
      </c>
      <c r="L2494">
        <v>12</v>
      </c>
      <c r="M2494" t="s">
        <v>3022</v>
      </c>
      <c r="N2494">
        <v>4</v>
      </c>
      <c r="O2494">
        <v>9.33</v>
      </c>
      <c r="P2494">
        <v>144436.73000000001</v>
      </c>
      <c r="Q2494">
        <v>232352.65</v>
      </c>
      <c r="R2494">
        <v>648</v>
      </c>
      <c r="S2494">
        <v>359</v>
      </c>
      <c r="T2494" t="s">
        <v>326</v>
      </c>
      <c r="U2494" t="s">
        <v>81</v>
      </c>
    </row>
    <row r="2495" spans="1:21">
      <c r="A2495" t="s">
        <v>3898</v>
      </c>
      <c r="B2495" t="s">
        <v>3476</v>
      </c>
      <c r="C2495" t="s">
        <v>1228</v>
      </c>
      <c r="D2495">
        <v>270000</v>
      </c>
      <c r="E2495">
        <v>20000</v>
      </c>
      <c r="F2495">
        <v>270000</v>
      </c>
      <c r="H2495">
        <v>11</v>
      </c>
      <c r="I2495" t="s">
        <v>585</v>
      </c>
      <c r="J2495">
        <v>43.65</v>
      </c>
      <c r="K2495">
        <v>0</v>
      </c>
      <c r="L2495">
        <v>12</v>
      </c>
      <c r="M2495" t="s">
        <v>3022</v>
      </c>
      <c r="N2495">
        <v>4</v>
      </c>
      <c r="O2495">
        <v>9.33</v>
      </c>
      <c r="P2495">
        <v>144436.73000000001</v>
      </c>
      <c r="Q2495">
        <v>232352.65</v>
      </c>
      <c r="R2495">
        <v>648</v>
      </c>
      <c r="S2495">
        <v>359</v>
      </c>
      <c r="T2495" t="s">
        <v>326</v>
      </c>
      <c r="U2495" t="s">
        <v>81</v>
      </c>
    </row>
    <row r="2496" spans="1:21">
      <c r="A2496" t="s">
        <v>3899</v>
      </c>
      <c r="B2496" t="s">
        <v>3476</v>
      </c>
      <c r="C2496" t="s">
        <v>1228</v>
      </c>
      <c r="D2496">
        <v>265000</v>
      </c>
      <c r="E2496">
        <v>20000</v>
      </c>
      <c r="F2496">
        <v>265000</v>
      </c>
      <c r="H2496">
        <v>11</v>
      </c>
      <c r="I2496" t="s">
        <v>585</v>
      </c>
      <c r="J2496">
        <v>43.66</v>
      </c>
      <c r="K2496">
        <v>0</v>
      </c>
      <c r="L2496">
        <v>12</v>
      </c>
      <c r="M2496" t="s">
        <v>3022</v>
      </c>
      <c r="N2496">
        <v>4</v>
      </c>
      <c r="O2496">
        <v>9.33</v>
      </c>
      <c r="P2496">
        <v>144436.73000000001</v>
      </c>
      <c r="Q2496">
        <v>232352.65</v>
      </c>
      <c r="R2496">
        <v>648</v>
      </c>
      <c r="S2496">
        <v>359</v>
      </c>
      <c r="T2496" t="s">
        <v>326</v>
      </c>
      <c r="U2496" t="s">
        <v>81</v>
      </c>
    </row>
    <row r="2497" spans="1:21">
      <c r="A2497" t="s">
        <v>3900</v>
      </c>
      <c r="B2497" t="s">
        <v>3476</v>
      </c>
      <c r="C2497" t="s">
        <v>1228</v>
      </c>
      <c r="D2497">
        <v>245000</v>
      </c>
      <c r="E2497">
        <v>20000</v>
      </c>
      <c r="F2497">
        <v>245000</v>
      </c>
      <c r="H2497">
        <v>3</v>
      </c>
      <c r="I2497" t="s">
        <v>585</v>
      </c>
      <c r="J2497">
        <v>43.65</v>
      </c>
      <c r="K2497">
        <v>0</v>
      </c>
      <c r="L2497">
        <v>12</v>
      </c>
      <c r="M2497" t="s">
        <v>3022</v>
      </c>
      <c r="N2497">
        <v>4</v>
      </c>
      <c r="O2497">
        <v>9.33</v>
      </c>
      <c r="P2497">
        <v>144436.73000000001</v>
      </c>
      <c r="Q2497">
        <v>232352.65</v>
      </c>
      <c r="R2497">
        <v>648</v>
      </c>
      <c r="S2497">
        <v>359</v>
      </c>
      <c r="T2497" t="s">
        <v>326</v>
      </c>
      <c r="U2497" t="s">
        <v>81</v>
      </c>
    </row>
    <row r="2498" spans="1:21">
      <c r="A2498" t="s">
        <v>3901</v>
      </c>
      <c r="B2498" t="s">
        <v>3476</v>
      </c>
      <c r="C2498" t="s">
        <v>1228</v>
      </c>
      <c r="D2498">
        <v>255000</v>
      </c>
      <c r="E2498">
        <v>20000</v>
      </c>
      <c r="F2498">
        <v>255000</v>
      </c>
      <c r="H2498">
        <v>4</v>
      </c>
      <c r="I2498" t="s">
        <v>585</v>
      </c>
      <c r="J2498">
        <v>43.65</v>
      </c>
      <c r="K2498">
        <v>0</v>
      </c>
      <c r="L2498">
        <v>12</v>
      </c>
      <c r="M2498" t="s">
        <v>3022</v>
      </c>
      <c r="N2498">
        <v>4</v>
      </c>
      <c r="O2498">
        <v>9.33</v>
      </c>
      <c r="P2498">
        <v>144436.73000000001</v>
      </c>
      <c r="Q2498">
        <v>232352.65</v>
      </c>
      <c r="R2498">
        <v>648</v>
      </c>
      <c r="S2498">
        <v>359</v>
      </c>
      <c r="T2498" t="s">
        <v>326</v>
      </c>
      <c r="U2498" t="s">
        <v>81</v>
      </c>
    </row>
    <row r="2499" spans="1:21">
      <c r="A2499" t="s">
        <v>3902</v>
      </c>
      <c r="B2499" t="s">
        <v>3476</v>
      </c>
      <c r="C2499" t="s">
        <v>1228</v>
      </c>
      <c r="D2499">
        <v>245000</v>
      </c>
      <c r="E2499">
        <v>20000</v>
      </c>
      <c r="F2499">
        <v>245000</v>
      </c>
      <c r="H2499">
        <v>4</v>
      </c>
      <c r="I2499" t="s">
        <v>585</v>
      </c>
      <c r="J2499">
        <v>43.66</v>
      </c>
      <c r="K2499">
        <v>0</v>
      </c>
      <c r="L2499">
        <v>12</v>
      </c>
      <c r="M2499" t="s">
        <v>3022</v>
      </c>
      <c r="N2499">
        <v>4</v>
      </c>
      <c r="O2499">
        <v>9.33</v>
      </c>
      <c r="P2499">
        <v>144436.73000000001</v>
      </c>
      <c r="Q2499">
        <v>232352.65</v>
      </c>
      <c r="R2499">
        <v>648</v>
      </c>
      <c r="S2499">
        <v>359</v>
      </c>
      <c r="T2499" t="s">
        <v>326</v>
      </c>
      <c r="U2499" t="s">
        <v>81</v>
      </c>
    </row>
    <row r="2500" spans="1:21">
      <c r="A2500" t="s">
        <v>3903</v>
      </c>
      <c r="B2500" t="s">
        <v>3476</v>
      </c>
      <c r="C2500" t="s">
        <v>1228</v>
      </c>
      <c r="D2500">
        <v>250000</v>
      </c>
      <c r="E2500">
        <v>20000</v>
      </c>
      <c r="F2500">
        <v>250000</v>
      </c>
      <c r="H2500">
        <v>4</v>
      </c>
      <c r="I2500" t="s">
        <v>585</v>
      </c>
      <c r="J2500">
        <v>43.66</v>
      </c>
      <c r="K2500">
        <v>0</v>
      </c>
      <c r="L2500">
        <v>12</v>
      </c>
      <c r="M2500" t="s">
        <v>3022</v>
      </c>
      <c r="N2500">
        <v>4</v>
      </c>
      <c r="O2500">
        <v>9.33</v>
      </c>
      <c r="P2500">
        <v>144436.73000000001</v>
      </c>
      <c r="Q2500">
        <v>232352.65</v>
      </c>
      <c r="R2500">
        <v>648</v>
      </c>
      <c r="S2500">
        <v>359</v>
      </c>
      <c r="T2500" t="s">
        <v>326</v>
      </c>
      <c r="U2500" t="s">
        <v>81</v>
      </c>
    </row>
    <row r="2501" spans="1:21">
      <c r="A2501" t="s">
        <v>3904</v>
      </c>
      <c r="B2501" t="s">
        <v>3476</v>
      </c>
      <c r="C2501" t="s">
        <v>1228</v>
      </c>
      <c r="D2501">
        <v>260000</v>
      </c>
      <c r="E2501">
        <v>20000</v>
      </c>
      <c r="F2501">
        <v>260000</v>
      </c>
      <c r="H2501">
        <v>7</v>
      </c>
      <c r="I2501" t="s">
        <v>585</v>
      </c>
      <c r="J2501">
        <v>43.65</v>
      </c>
      <c r="K2501">
        <v>0</v>
      </c>
      <c r="L2501">
        <v>12</v>
      </c>
      <c r="M2501" t="s">
        <v>3022</v>
      </c>
      <c r="N2501">
        <v>4</v>
      </c>
      <c r="O2501">
        <v>9.33</v>
      </c>
      <c r="P2501">
        <v>144436.73000000001</v>
      </c>
      <c r="Q2501">
        <v>232352.65</v>
      </c>
      <c r="R2501">
        <v>648</v>
      </c>
      <c r="S2501">
        <v>359</v>
      </c>
      <c r="T2501" t="s">
        <v>326</v>
      </c>
      <c r="U2501" t="s">
        <v>81</v>
      </c>
    </row>
    <row r="2502" spans="1:21">
      <c r="A2502" t="s">
        <v>3905</v>
      </c>
      <c r="B2502" t="s">
        <v>3476</v>
      </c>
      <c r="C2502" t="s">
        <v>1228</v>
      </c>
      <c r="D2502">
        <v>250000</v>
      </c>
      <c r="E2502">
        <v>20000</v>
      </c>
      <c r="F2502">
        <v>250000</v>
      </c>
      <c r="H2502">
        <v>7</v>
      </c>
      <c r="I2502" t="s">
        <v>585</v>
      </c>
      <c r="J2502">
        <v>43.66</v>
      </c>
      <c r="K2502">
        <v>0</v>
      </c>
      <c r="L2502">
        <v>12</v>
      </c>
      <c r="M2502" t="s">
        <v>3022</v>
      </c>
      <c r="N2502">
        <v>4</v>
      </c>
      <c r="O2502">
        <v>9.33</v>
      </c>
      <c r="P2502">
        <v>144436.73000000001</v>
      </c>
      <c r="Q2502">
        <v>232352.65</v>
      </c>
      <c r="R2502">
        <v>648</v>
      </c>
      <c r="S2502">
        <v>359</v>
      </c>
      <c r="T2502" t="s">
        <v>326</v>
      </c>
      <c r="U2502" t="s">
        <v>81</v>
      </c>
    </row>
    <row r="2503" spans="1:21">
      <c r="A2503" t="s">
        <v>3906</v>
      </c>
      <c r="B2503" t="s">
        <v>3476</v>
      </c>
      <c r="C2503" t="s">
        <v>1228</v>
      </c>
      <c r="D2503">
        <v>230000</v>
      </c>
      <c r="E2503">
        <v>20000</v>
      </c>
      <c r="F2503">
        <v>230000</v>
      </c>
      <c r="H2503">
        <v>8</v>
      </c>
      <c r="I2503" t="s">
        <v>585</v>
      </c>
      <c r="J2503">
        <v>43.66</v>
      </c>
      <c r="K2503">
        <v>0</v>
      </c>
      <c r="L2503">
        <v>12</v>
      </c>
      <c r="M2503" t="s">
        <v>3022</v>
      </c>
      <c r="N2503">
        <v>4</v>
      </c>
      <c r="O2503">
        <v>9.33</v>
      </c>
      <c r="P2503">
        <v>144436.73000000001</v>
      </c>
      <c r="Q2503">
        <v>232352.65</v>
      </c>
      <c r="R2503">
        <v>648</v>
      </c>
      <c r="S2503">
        <v>359</v>
      </c>
      <c r="T2503" t="s">
        <v>326</v>
      </c>
      <c r="U2503" t="s">
        <v>81</v>
      </c>
    </row>
    <row r="2504" spans="1:21">
      <c r="A2504" t="s">
        <v>3907</v>
      </c>
      <c r="B2504" t="s">
        <v>3476</v>
      </c>
      <c r="C2504" t="s">
        <v>1228</v>
      </c>
      <c r="D2504">
        <v>265000</v>
      </c>
      <c r="E2504">
        <v>20000</v>
      </c>
      <c r="F2504">
        <v>265000</v>
      </c>
      <c r="H2504">
        <v>9</v>
      </c>
      <c r="I2504" t="s">
        <v>585</v>
      </c>
      <c r="J2504">
        <v>43.65</v>
      </c>
      <c r="K2504">
        <v>0</v>
      </c>
      <c r="L2504">
        <v>12</v>
      </c>
      <c r="M2504" t="s">
        <v>3022</v>
      </c>
      <c r="N2504">
        <v>4</v>
      </c>
      <c r="O2504">
        <v>9.33</v>
      </c>
      <c r="P2504">
        <v>144436.73000000001</v>
      </c>
      <c r="Q2504">
        <v>232352.65</v>
      </c>
      <c r="R2504">
        <v>648</v>
      </c>
      <c r="S2504">
        <v>359</v>
      </c>
      <c r="T2504" t="s">
        <v>326</v>
      </c>
      <c r="U2504" t="s">
        <v>81</v>
      </c>
    </row>
    <row r="2505" spans="1:21">
      <c r="A2505" t="s">
        <v>3908</v>
      </c>
      <c r="B2505" t="s">
        <v>3489</v>
      </c>
      <c r="C2505" t="s">
        <v>1228</v>
      </c>
      <c r="D2505">
        <v>243000</v>
      </c>
      <c r="E2505">
        <v>17000</v>
      </c>
      <c r="F2505">
        <v>243000</v>
      </c>
      <c r="G2505">
        <v>243000</v>
      </c>
      <c r="H2505">
        <v>7</v>
      </c>
      <c r="I2505" t="s">
        <v>585</v>
      </c>
      <c r="J2505">
        <v>53.96</v>
      </c>
      <c r="K2505">
        <v>11</v>
      </c>
      <c r="L2505">
        <v>14</v>
      </c>
      <c r="M2505" t="s">
        <v>3022</v>
      </c>
      <c r="N2505">
        <v>1</v>
      </c>
      <c r="O2505">
        <v>8.67</v>
      </c>
      <c r="P2505">
        <v>144436.73000000001</v>
      </c>
      <c r="Q2505">
        <v>232352.65</v>
      </c>
      <c r="R2505">
        <v>648</v>
      </c>
      <c r="S2505">
        <v>359</v>
      </c>
      <c r="T2505" t="s">
        <v>332</v>
      </c>
      <c r="U2505" t="s">
        <v>90</v>
      </c>
    </row>
    <row r="2506" spans="1:21">
      <c r="A2506" t="s">
        <v>3909</v>
      </c>
      <c r="B2506" t="s">
        <v>3838</v>
      </c>
      <c r="C2506" t="s">
        <v>1294</v>
      </c>
      <c r="D2506">
        <v>175000</v>
      </c>
      <c r="E2506">
        <v>5000</v>
      </c>
      <c r="F2506">
        <v>175000</v>
      </c>
      <c r="G2506">
        <v>175000</v>
      </c>
      <c r="H2506">
        <v>10</v>
      </c>
      <c r="I2506" t="s">
        <v>585</v>
      </c>
      <c r="J2506">
        <v>51.02</v>
      </c>
      <c r="K2506">
        <v>25</v>
      </c>
      <c r="L2506">
        <v>12</v>
      </c>
      <c r="M2506" t="s">
        <v>3022</v>
      </c>
      <c r="N2506">
        <v>11</v>
      </c>
      <c r="O2506">
        <v>12</v>
      </c>
      <c r="P2506">
        <v>144436.73000000001</v>
      </c>
      <c r="Q2506">
        <v>232352.65</v>
      </c>
      <c r="R2506">
        <v>648</v>
      </c>
      <c r="S2506">
        <v>359</v>
      </c>
      <c r="T2506" t="s">
        <v>332</v>
      </c>
      <c r="U2506" t="s">
        <v>27</v>
      </c>
    </row>
    <row r="2507" spans="1:21">
      <c r="A2507" t="s">
        <v>3910</v>
      </c>
      <c r="B2507" t="s">
        <v>3838</v>
      </c>
      <c r="C2507" t="s">
        <v>1294</v>
      </c>
      <c r="D2507">
        <v>168000</v>
      </c>
      <c r="E2507">
        <v>5000</v>
      </c>
      <c r="F2507">
        <v>168000</v>
      </c>
      <c r="G2507">
        <v>168000</v>
      </c>
      <c r="H2507">
        <v>4</v>
      </c>
      <c r="I2507" t="s">
        <v>585</v>
      </c>
      <c r="J2507">
        <v>48.67</v>
      </c>
      <c r="K2507">
        <v>25</v>
      </c>
      <c r="L2507">
        <v>12</v>
      </c>
      <c r="M2507" t="s">
        <v>3022</v>
      </c>
      <c r="N2507">
        <v>11</v>
      </c>
      <c r="O2507">
        <v>12</v>
      </c>
      <c r="P2507">
        <v>144436.73000000001</v>
      </c>
      <c r="Q2507">
        <v>232352.65</v>
      </c>
      <c r="R2507">
        <v>648</v>
      </c>
      <c r="S2507">
        <v>359</v>
      </c>
      <c r="T2507" t="s">
        <v>326</v>
      </c>
      <c r="U2507" t="s">
        <v>27</v>
      </c>
    </row>
    <row r="2508" spans="1:21">
      <c r="A2508" t="s">
        <v>3911</v>
      </c>
      <c r="B2508" t="s">
        <v>3912</v>
      </c>
      <c r="C2508" t="s">
        <v>3195</v>
      </c>
      <c r="D2508">
        <v>200000</v>
      </c>
      <c r="F2508">
        <v>200000</v>
      </c>
      <c r="G2508">
        <v>200000</v>
      </c>
      <c r="H2508">
        <v>2</v>
      </c>
      <c r="I2508" t="s">
        <v>585</v>
      </c>
      <c r="J2508">
        <v>65.290000000000006</v>
      </c>
      <c r="K2508">
        <v>25</v>
      </c>
      <c r="L2508">
        <v>4</v>
      </c>
      <c r="M2508" t="s">
        <v>3022</v>
      </c>
      <c r="N2508">
        <v>4</v>
      </c>
      <c r="O2508">
        <v>4.33</v>
      </c>
      <c r="P2508">
        <v>144436.73000000001</v>
      </c>
      <c r="Q2508">
        <v>232352.65</v>
      </c>
      <c r="R2508">
        <v>648</v>
      </c>
      <c r="S2508">
        <v>359</v>
      </c>
      <c r="T2508" t="s">
        <v>593</v>
      </c>
      <c r="U2508" t="s">
        <v>27</v>
      </c>
    </row>
    <row r="2509" spans="1:21">
      <c r="A2509" t="s">
        <v>3911</v>
      </c>
      <c r="B2509" t="s">
        <v>3912</v>
      </c>
      <c r="C2509" t="s">
        <v>3195</v>
      </c>
      <c r="D2509">
        <v>200000</v>
      </c>
      <c r="F2509">
        <v>200000</v>
      </c>
      <c r="G2509">
        <v>200000</v>
      </c>
      <c r="H2509">
        <v>3</v>
      </c>
      <c r="I2509" t="s">
        <v>585</v>
      </c>
      <c r="J2509">
        <v>65.290000000000006</v>
      </c>
      <c r="K2509">
        <v>25</v>
      </c>
      <c r="L2509">
        <v>4</v>
      </c>
      <c r="M2509" t="s">
        <v>3022</v>
      </c>
      <c r="N2509">
        <v>4</v>
      </c>
      <c r="O2509">
        <v>4.33</v>
      </c>
      <c r="P2509">
        <v>144436.73000000001</v>
      </c>
      <c r="Q2509">
        <v>232352.65</v>
      </c>
      <c r="R2509">
        <v>648</v>
      </c>
      <c r="S2509">
        <v>359</v>
      </c>
      <c r="T2509" t="s">
        <v>593</v>
      </c>
      <c r="U2509" t="s">
        <v>27</v>
      </c>
    </row>
    <row r="2510" spans="1:21">
      <c r="A2510" t="s">
        <v>3911</v>
      </c>
      <c r="B2510" t="s">
        <v>3912</v>
      </c>
      <c r="C2510" t="s">
        <v>3195</v>
      </c>
      <c r="D2510">
        <v>200000</v>
      </c>
      <c r="F2510">
        <v>200000</v>
      </c>
      <c r="G2510">
        <v>200000</v>
      </c>
      <c r="H2510">
        <v>4</v>
      </c>
      <c r="I2510" t="s">
        <v>585</v>
      </c>
      <c r="J2510">
        <v>65.290000000000006</v>
      </c>
      <c r="K2510">
        <v>25</v>
      </c>
      <c r="L2510">
        <v>4</v>
      </c>
      <c r="M2510" t="s">
        <v>3022</v>
      </c>
      <c r="N2510">
        <v>4</v>
      </c>
      <c r="O2510">
        <v>4.33</v>
      </c>
      <c r="P2510">
        <v>144436.73000000001</v>
      </c>
      <c r="Q2510">
        <v>232352.65</v>
      </c>
      <c r="R2510">
        <v>648</v>
      </c>
      <c r="S2510">
        <v>359</v>
      </c>
      <c r="T2510" t="s">
        <v>593</v>
      </c>
      <c r="U2510" t="s">
        <v>27</v>
      </c>
    </row>
    <row r="2511" spans="1:21">
      <c r="A2511" t="s">
        <v>3913</v>
      </c>
      <c r="B2511" t="s">
        <v>3242</v>
      </c>
      <c r="C2511" t="s">
        <v>1231</v>
      </c>
      <c r="D2511">
        <v>385000</v>
      </c>
      <c r="E2511">
        <v>15000</v>
      </c>
      <c r="F2511">
        <v>1155000</v>
      </c>
      <c r="H2511">
        <v>8</v>
      </c>
      <c r="I2511" t="s">
        <v>585</v>
      </c>
      <c r="J2511">
        <v>70.180000000000007</v>
      </c>
      <c r="K2511">
        <v>22</v>
      </c>
      <c r="L2511">
        <v>8</v>
      </c>
      <c r="M2511" t="s">
        <v>3022</v>
      </c>
      <c r="N2511">
        <v>4</v>
      </c>
      <c r="O2511">
        <v>9</v>
      </c>
      <c r="P2511">
        <v>144436.73000000001</v>
      </c>
      <c r="Q2511">
        <v>232352.65</v>
      </c>
      <c r="R2511">
        <v>648</v>
      </c>
      <c r="S2511">
        <v>359</v>
      </c>
      <c r="T2511" t="s">
        <v>596</v>
      </c>
      <c r="U2511" t="s">
        <v>27</v>
      </c>
    </row>
    <row r="2512" spans="1:21">
      <c r="A2512" t="s">
        <v>3914</v>
      </c>
      <c r="B2512" t="s">
        <v>3499</v>
      </c>
      <c r="C2512" t="s">
        <v>1228</v>
      </c>
      <c r="D2512">
        <v>300000</v>
      </c>
      <c r="E2512">
        <v>10000</v>
      </c>
      <c r="F2512">
        <v>300000</v>
      </c>
      <c r="G2512">
        <v>300000</v>
      </c>
      <c r="H2512">
        <v>13</v>
      </c>
      <c r="I2512" t="s">
        <v>585</v>
      </c>
      <c r="J2512">
        <v>56.18</v>
      </c>
      <c r="K2512">
        <v>16</v>
      </c>
      <c r="L2512">
        <v>16</v>
      </c>
      <c r="M2512" t="s">
        <v>3022</v>
      </c>
      <c r="N2512">
        <v>1</v>
      </c>
      <c r="O2512">
        <v>7</v>
      </c>
      <c r="P2512">
        <v>144436.73000000001</v>
      </c>
      <c r="Q2512">
        <v>232352.65</v>
      </c>
      <c r="R2512">
        <v>648</v>
      </c>
      <c r="S2512">
        <v>359</v>
      </c>
      <c r="T2512" t="s">
        <v>332</v>
      </c>
      <c r="U2512" t="s">
        <v>90</v>
      </c>
    </row>
    <row r="2513" spans="1:21">
      <c r="A2513" t="s">
        <v>3915</v>
      </c>
      <c r="B2513" t="s">
        <v>3510</v>
      </c>
      <c r="C2513" t="s">
        <v>3025</v>
      </c>
      <c r="D2513">
        <v>330000</v>
      </c>
      <c r="E2513">
        <v>15000</v>
      </c>
      <c r="F2513">
        <v>330000</v>
      </c>
      <c r="G2513">
        <v>495000</v>
      </c>
      <c r="H2513">
        <v>29</v>
      </c>
      <c r="I2513" t="s">
        <v>585</v>
      </c>
      <c r="J2513">
        <v>64.25</v>
      </c>
      <c r="K2513">
        <v>19</v>
      </c>
      <c r="L2513">
        <v>33</v>
      </c>
      <c r="M2513" t="s">
        <v>3022</v>
      </c>
      <c r="N2513">
        <v>1</v>
      </c>
      <c r="O2513">
        <v>9</v>
      </c>
      <c r="P2513">
        <v>144436.73000000001</v>
      </c>
      <c r="Q2513">
        <v>232352.65</v>
      </c>
      <c r="R2513">
        <v>648</v>
      </c>
      <c r="S2513">
        <v>359</v>
      </c>
      <c r="T2513" t="s">
        <v>593</v>
      </c>
      <c r="U2513" t="s">
        <v>90</v>
      </c>
    </row>
    <row r="2514" spans="1:21">
      <c r="A2514" t="s">
        <v>3916</v>
      </c>
      <c r="B2514" t="s">
        <v>3510</v>
      </c>
      <c r="C2514" t="s">
        <v>3025</v>
      </c>
      <c r="D2514">
        <v>310000</v>
      </c>
      <c r="E2514">
        <v>15000</v>
      </c>
      <c r="F2514">
        <v>310000</v>
      </c>
      <c r="G2514">
        <v>465000</v>
      </c>
      <c r="H2514">
        <v>30</v>
      </c>
      <c r="I2514" t="s">
        <v>585</v>
      </c>
      <c r="J2514">
        <v>64.7</v>
      </c>
      <c r="K2514">
        <v>19</v>
      </c>
      <c r="L2514">
        <v>33</v>
      </c>
      <c r="M2514" t="s">
        <v>3022</v>
      </c>
      <c r="N2514">
        <v>1</v>
      </c>
      <c r="O2514">
        <v>9</v>
      </c>
      <c r="P2514">
        <v>144436.73000000001</v>
      </c>
      <c r="Q2514">
        <v>232352.65</v>
      </c>
      <c r="R2514">
        <v>648</v>
      </c>
      <c r="S2514">
        <v>359</v>
      </c>
      <c r="T2514" t="s">
        <v>593</v>
      </c>
      <c r="U2514" t="s">
        <v>90</v>
      </c>
    </row>
    <row r="2515" spans="1:21">
      <c r="A2515" t="s">
        <v>3917</v>
      </c>
      <c r="B2515" t="s">
        <v>3510</v>
      </c>
      <c r="C2515" t="s">
        <v>3025</v>
      </c>
      <c r="D2515">
        <v>324000</v>
      </c>
      <c r="E2515">
        <v>15000</v>
      </c>
      <c r="F2515">
        <v>324000</v>
      </c>
      <c r="G2515">
        <v>486000</v>
      </c>
      <c r="H2515">
        <v>30</v>
      </c>
      <c r="I2515" t="s">
        <v>585</v>
      </c>
      <c r="J2515">
        <v>64.7</v>
      </c>
      <c r="K2515">
        <v>19</v>
      </c>
      <c r="L2515">
        <v>33</v>
      </c>
      <c r="M2515" t="s">
        <v>3022</v>
      </c>
      <c r="N2515">
        <v>1</v>
      </c>
      <c r="O2515">
        <v>9</v>
      </c>
      <c r="P2515">
        <v>144436.73000000001</v>
      </c>
      <c r="Q2515">
        <v>232352.65</v>
      </c>
      <c r="R2515">
        <v>648</v>
      </c>
      <c r="S2515">
        <v>359</v>
      </c>
      <c r="T2515" t="s">
        <v>593</v>
      </c>
      <c r="U2515" t="s">
        <v>90</v>
      </c>
    </row>
    <row r="2516" spans="1:21">
      <c r="A2516" t="s">
        <v>3918</v>
      </c>
      <c r="B2516" t="s">
        <v>3527</v>
      </c>
      <c r="C2516" t="s">
        <v>1228</v>
      </c>
      <c r="D2516">
        <v>238000</v>
      </c>
      <c r="E2516">
        <v>12000</v>
      </c>
      <c r="F2516">
        <v>238000</v>
      </c>
      <c r="G2516">
        <v>238000</v>
      </c>
      <c r="H2516">
        <v>1</v>
      </c>
      <c r="I2516" t="s">
        <v>585</v>
      </c>
      <c r="J2516">
        <v>45.53</v>
      </c>
      <c r="K2516">
        <v>7</v>
      </c>
      <c r="L2516">
        <v>5</v>
      </c>
      <c r="M2516" t="s">
        <v>3022</v>
      </c>
      <c r="N2516">
        <v>2</v>
      </c>
      <c r="O2516">
        <v>7</v>
      </c>
      <c r="P2516">
        <v>144436.73000000001</v>
      </c>
      <c r="Q2516">
        <v>232352.65</v>
      </c>
      <c r="R2516">
        <v>648</v>
      </c>
      <c r="S2516">
        <v>359</v>
      </c>
      <c r="T2516" t="s">
        <v>326</v>
      </c>
      <c r="U2516" t="s">
        <v>31</v>
      </c>
    </row>
    <row r="2517" spans="1:21">
      <c r="A2517" t="s">
        <v>3919</v>
      </c>
      <c r="B2517" t="s">
        <v>3527</v>
      </c>
      <c r="C2517" t="s">
        <v>1228</v>
      </c>
      <c r="D2517">
        <v>262000</v>
      </c>
      <c r="E2517">
        <v>12000</v>
      </c>
      <c r="F2517">
        <v>262000</v>
      </c>
      <c r="G2517">
        <v>262000</v>
      </c>
      <c r="H2517">
        <v>2</v>
      </c>
      <c r="I2517" t="s">
        <v>585</v>
      </c>
      <c r="J2517">
        <v>53.38</v>
      </c>
      <c r="K2517">
        <v>7</v>
      </c>
      <c r="L2517">
        <v>5</v>
      </c>
      <c r="M2517" t="s">
        <v>3022</v>
      </c>
      <c r="N2517">
        <v>2</v>
      </c>
      <c r="O2517">
        <v>7</v>
      </c>
      <c r="P2517">
        <v>144436.73000000001</v>
      </c>
      <c r="Q2517">
        <v>232352.65</v>
      </c>
      <c r="R2517">
        <v>648</v>
      </c>
      <c r="S2517">
        <v>359</v>
      </c>
      <c r="T2517" t="s">
        <v>332</v>
      </c>
      <c r="U2517" t="s">
        <v>31</v>
      </c>
    </row>
    <row r="2518" spans="1:21">
      <c r="A2518" t="s">
        <v>3920</v>
      </c>
      <c r="B2518" t="s">
        <v>3527</v>
      </c>
      <c r="C2518" t="s">
        <v>1228</v>
      </c>
      <c r="D2518">
        <v>272000</v>
      </c>
      <c r="E2518">
        <v>12000</v>
      </c>
      <c r="F2518">
        <v>272000</v>
      </c>
      <c r="G2518">
        <v>272000</v>
      </c>
      <c r="H2518">
        <v>5</v>
      </c>
      <c r="I2518" t="s">
        <v>585</v>
      </c>
      <c r="J2518">
        <v>53.38</v>
      </c>
      <c r="K2518">
        <v>7</v>
      </c>
      <c r="L2518">
        <v>5</v>
      </c>
      <c r="M2518" t="s">
        <v>3022</v>
      </c>
      <c r="N2518">
        <v>2</v>
      </c>
      <c r="O2518">
        <v>7</v>
      </c>
      <c r="P2518">
        <v>144436.73000000001</v>
      </c>
      <c r="Q2518">
        <v>232352.65</v>
      </c>
      <c r="R2518">
        <v>648</v>
      </c>
      <c r="S2518">
        <v>359</v>
      </c>
      <c r="T2518" t="s">
        <v>332</v>
      </c>
      <c r="U2518" t="s">
        <v>31</v>
      </c>
    </row>
    <row r="2519" spans="1:21">
      <c r="A2519" t="s">
        <v>3921</v>
      </c>
      <c r="B2519" t="s">
        <v>3075</v>
      </c>
      <c r="C2519" t="s">
        <v>1294</v>
      </c>
      <c r="D2519">
        <v>301000</v>
      </c>
      <c r="E2519">
        <v>15000</v>
      </c>
      <c r="F2519">
        <v>301000</v>
      </c>
      <c r="H2519">
        <v>3</v>
      </c>
      <c r="I2519" t="s">
        <v>585</v>
      </c>
      <c r="J2519">
        <v>53.11</v>
      </c>
      <c r="K2519">
        <v>0</v>
      </c>
      <c r="L2519">
        <v>10</v>
      </c>
      <c r="M2519" t="s">
        <v>3022</v>
      </c>
      <c r="N2519">
        <v>11</v>
      </c>
      <c r="O2519">
        <v>11</v>
      </c>
      <c r="P2519">
        <v>144436.73000000001</v>
      </c>
      <c r="Q2519">
        <v>232352.65</v>
      </c>
      <c r="R2519">
        <v>648</v>
      </c>
      <c r="S2519">
        <v>359</v>
      </c>
      <c r="T2519" t="s">
        <v>332</v>
      </c>
      <c r="U2519" t="s">
        <v>81</v>
      </c>
    </row>
    <row r="2520" spans="1:21">
      <c r="A2520" t="s">
        <v>3922</v>
      </c>
      <c r="B2520" t="s">
        <v>3075</v>
      </c>
      <c r="C2520" t="s">
        <v>1294</v>
      </c>
      <c r="D2520">
        <v>254000</v>
      </c>
      <c r="E2520">
        <v>15000</v>
      </c>
      <c r="F2520">
        <v>254000</v>
      </c>
      <c r="H2520">
        <v>5</v>
      </c>
      <c r="I2520" t="s">
        <v>585</v>
      </c>
      <c r="J2520">
        <v>45.56</v>
      </c>
      <c r="K2520">
        <v>0</v>
      </c>
      <c r="L2520">
        <v>10</v>
      </c>
      <c r="M2520" t="s">
        <v>3022</v>
      </c>
      <c r="N2520">
        <v>11</v>
      </c>
      <c r="O2520">
        <v>11</v>
      </c>
      <c r="P2520">
        <v>144436.73000000001</v>
      </c>
      <c r="Q2520">
        <v>232352.65</v>
      </c>
      <c r="R2520">
        <v>648</v>
      </c>
      <c r="S2520">
        <v>359</v>
      </c>
      <c r="T2520" t="s">
        <v>326</v>
      </c>
      <c r="U2520" t="s">
        <v>81</v>
      </c>
    </row>
    <row r="2521" spans="1:21">
      <c r="A2521" t="s">
        <v>3923</v>
      </c>
      <c r="B2521" t="s">
        <v>3075</v>
      </c>
      <c r="C2521" t="s">
        <v>1294</v>
      </c>
      <c r="D2521">
        <v>303000</v>
      </c>
      <c r="E2521">
        <v>15000</v>
      </c>
      <c r="F2521">
        <v>303000</v>
      </c>
      <c r="H2521">
        <v>5</v>
      </c>
      <c r="I2521" t="s">
        <v>585</v>
      </c>
      <c r="J2521">
        <v>53.11</v>
      </c>
      <c r="K2521">
        <v>0</v>
      </c>
      <c r="L2521">
        <v>10</v>
      </c>
      <c r="M2521" t="s">
        <v>3022</v>
      </c>
      <c r="N2521">
        <v>11</v>
      </c>
      <c r="O2521">
        <v>11</v>
      </c>
      <c r="P2521">
        <v>144436.73000000001</v>
      </c>
      <c r="Q2521">
        <v>232352.65</v>
      </c>
      <c r="R2521">
        <v>648</v>
      </c>
      <c r="S2521">
        <v>359</v>
      </c>
      <c r="T2521" t="s">
        <v>332</v>
      </c>
      <c r="U2521" t="s">
        <v>81</v>
      </c>
    </row>
    <row r="2522" spans="1:21">
      <c r="A2522" t="s">
        <v>3924</v>
      </c>
      <c r="B2522" t="s">
        <v>3075</v>
      </c>
      <c r="C2522" t="s">
        <v>1294</v>
      </c>
      <c r="D2522">
        <v>305000</v>
      </c>
      <c r="E2522">
        <v>15000</v>
      </c>
      <c r="F2522">
        <v>305000</v>
      </c>
      <c r="H2522">
        <v>7</v>
      </c>
      <c r="I2522" t="s">
        <v>585</v>
      </c>
      <c r="J2522">
        <v>53.11</v>
      </c>
      <c r="K2522">
        <v>0</v>
      </c>
      <c r="L2522">
        <v>10</v>
      </c>
      <c r="M2522" t="s">
        <v>3022</v>
      </c>
      <c r="N2522">
        <v>11</v>
      </c>
      <c r="O2522">
        <v>11</v>
      </c>
      <c r="P2522">
        <v>144436.73000000001</v>
      </c>
      <c r="Q2522">
        <v>232352.65</v>
      </c>
      <c r="R2522">
        <v>648</v>
      </c>
      <c r="S2522">
        <v>359</v>
      </c>
      <c r="T2522" t="s">
        <v>332</v>
      </c>
      <c r="U2522" t="s">
        <v>81</v>
      </c>
    </row>
    <row r="2523" spans="1:21">
      <c r="A2523" t="s">
        <v>3925</v>
      </c>
      <c r="B2523" t="s">
        <v>3540</v>
      </c>
      <c r="C2523" t="s">
        <v>1890</v>
      </c>
      <c r="D2523">
        <v>182000</v>
      </c>
      <c r="F2523">
        <v>182000</v>
      </c>
      <c r="G2523">
        <v>182000</v>
      </c>
      <c r="H2523">
        <v>1</v>
      </c>
      <c r="I2523" t="s">
        <v>585</v>
      </c>
      <c r="J2523">
        <v>56.79</v>
      </c>
      <c r="K2523">
        <v>0</v>
      </c>
      <c r="L2523">
        <v>2</v>
      </c>
      <c r="M2523" t="s">
        <v>3022</v>
      </c>
      <c r="N2523">
        <v>11</v>
      </c>
      <c r="O2523">
        <v>12.33</v>
      </c>
      <c r="P2523">
        <v>144436.73000000001</v>
      </c>
      <c r="Q2523">
        <v>232352.65</v>
      </c>
      <c r="R2523">
        <v>648</v>
      </c>
      <c r="S2523">
        <v>359</v>
      </c>
      <c r="T2523" t="s">
        <v>332</v>
      </c>
      <c r="U2523" t="s">
        <v>81</v>
      </c>
    </row>
    <row r="2524" spans="1:21">
      <c r="A2524" t="s">
        <v>3925</v>
      </c>
      <c r="B2524" t="s">
        <v>3540</v>
      </c>
      <c r="C2524" t="s">
        <v>1890</v>
      </c>
      <c r="D2524">
        <v>182000</v>
      </c>
      <c r="F2524">
        <v>182000</v>
      </c>
      <c r="G2524">
        <v>182000</v>
      </c>
      <c r="H2524">
        <v>2</v>
      </c>
      <c r="I2524" t="s">
        <v>585</v>
      </c>
      <c r="J2524">
        <v>56.79</v>
      </c>
      <c r="K2524">
        <v>0</v>
      </c>
      <c r="L2524">
        <v>2</v>
      </c>
      <c r="M2524" t="s">
        <v>3022</v>
      </c>
      <c r="N2524">
        <v>11</v>
      </c>
      <c r="O2524">
        <v>12.33</v>
      </c>
      <c r="P2524">
        <v>144436.73000000001</v>
      </c>
      <c r="Q2524">
        <v>232352.65</v>
      </c>
      <c r="R2524">
        <v>648</v>
      </c>
      <c r="S2524">
        <v>359</v>
      </c>
      <c r="T2524" t="s">
        <v>332</v>
      </c>
      <c r="U2524" t="s">
        <v>81</v>
      </c>
    </row>
    <row r="2525" spans="1:21">
      <c r="A2525" t="s">
        <v>3926</v>
      </c>
      <c r="B2525" t="s">
        <v>3540</v>
      </c>
      <c r="C2525" t="s">
        <v>1890</v>
      </c>
      <c r="D2525">
        <v>184000</v>
      </c>
      <c r="F2525">
        <v>184000</v>
      </c>
      <c r="G2525">
        <v>184000</v>
      </c>
      <c r="H2525">
        <v>1</v>
      </c>
      <c r="I2525" t="s">
        <v>585</v>
      </c>
      <c r="J2525">
        <v>58.66</v>
      </c>
      <c r="K2525">
        <v>0</v>
      </c>
      <c r="L2525">
        <v>2</v>
      </c>
      <c r="M2525" t="s">
        <v>3022</v>
      </c>
      <c r="N2525">
        <v>11</v>
      </c>
      <c r="O2525">
        <v>12.33</v>
      </c>
      <c r="P2525">
        <v>144436.73000000001</v>
      </c>
      <c r="Q2525">
        <v>232352.65</v>
      </c>
      <c r="R2525">
        <v>648</v>
      </c>
      <c r="S2525">
        <v>359</v>
      </c>
      <c r="T2525" t="s">
        <v>332</v>
      </c>
      <c r="U2525" t="s">
        <v>81</v>
      </c>
    </row>
    <row r="2526" spans="1:21">
      <c r="A2526" t="s">
        <v>3926</v>
      </c>
      <c r="B2526" t="s">
        <v>3540</v>
      </c>
      <c r="C2526" t="s">
        <v>1890</v>
      </c>
      <c r="D2526">
        <v>184000</v>
      </c>
      <c r="F2526">
        <v>184000</v>
      </c>
      <c r="G2526">
        <v>184000</v>
      </c>
      <c r="H2526">
        <v>2</v>
      </c>
      <c r="I2526" t="s">
        <v>585</v>
      </c>
      <c r="J2526">
        <v>58.66</v>
      </c>
      <c r="K2526">
        <v>0</v>
      </c>
      <c r="L2526">
        <v>2</v>
      </c>
      <c r="M2526" t="s">
        <v>3022</v>
      </c>
      <c r="N2526">
        <v>11</v>
      </c>
      <c r="O2526">
        <v>12.33</v>
      </c>
      <c r="P2526">
        <v>144436.73000000001</v>
      </c>
      <c r="Q2526">
        <v>232352.65</v>
      </c>
      <c r="R2526">
        <v>648</v>
      </c>
      <c r="S2526">
        <v>359</v>
      </c>
      <c r="T2526" t="s">
        <v>332</v>
      </c>
      <c r="U2526" t="s">
        <v>81</v>
      </c>
    </row>
    <row r="2527" spans="1:21">
      <c r="A2527" t="s">
        <v>3927</v>
      </c>
      <c r="B2527" t="s">
        <v>3551</v>
      </c>
      <c r="C2527" t="s">
        <v>1890</v>
      </c>
      <c r="D2527">
        <v>190500</v>
      </c>
      <c r="E2527">
        <v>4400</v>
      </c>
      <c r="G2527">
        <v>381000</v>
      </c>
      <c r="H2527">
        <v>1</v>
      </c>
      <c r="I2527" t="s">
        <v>585</v>
      </c>
      <c r="J2527">
        <v>50.47</v>
      </c>
      <c r="K2527">
        <v>0</v>
      </c>
      <c r="L2527">
        <v>2</v>
      </c>
      <c r="M2527" t="s">
        <v>3022</v>
      </c>
      <c r="N2527">
        <v>13</v>
      </c>
      <c r="O2527">
        <v>13.67</v>
      </c>
      <c r="P2527">
        <v>144436.73000000001</v>
      </c>
      <c r="Q2527">
        <v>232352.65</v>
      </c>
      <c r="R2527">
        <v>648</v>
      </c>
      <c r="S2527">
        <v>359</v>
      </c>
      <c r="T2527" t="s">
        <v>332</v>
      </c>
      <c r="U2527" t="s">
        <v>81</v>
      </c>
    </row>
    <row r="2528" spans="1:21">
      <c r="A2528" t="s">
        <v>3928</v>
      </c>
      <c r="B2528" t="s">
        <v>3557</v>
      </c>
      <c r="C2528" t="s">
        <v>1228</v>
      </c>
      <c r="D2528">
        <v>300000</v>
      </c>
      <c r="E2528">
        <v>10000</v>
      </c>
      <c r="F2528">
        <v>300000</v>
      </c>
      <c r="G2528">
        <v>300000</v>
      </c>
      <c r="H2528">
        <v>13</v>
      </c>
      <c r="I2528" t="s">
        <v>585</v>
      </c>
      <c r="J2528">
        <v>56.18</v>
      </c>
      <c r="K2528">
        <v>16</v>
      </c>
      <c r="L2528">
        <v>15</v>
      </c>
      <c r="M2528" t="s">
        <v>3022</v>
      </c>
      <c r="N2528">
        <v>1</v>
      </c>
      <c r="O2528">
        <v>8.33</v>
      </c>
      <c r="P2528">
        <v>144436.73000000001</v>
      </c>
      <c r="Q2528">
        <v>232352.65</v>
      </c>
      <c r="R2528">
        <v>648</v>
      </c>
      <c r="S2528">
        <v>359</v>
      </c>
      <c r="T2528" t="s">
        <v>332</v>
      </c>
      <c r="U2528" t="s">
        <v>90</v>
      </c>
    </row>
    <row r="2529" spans="1:21">
      <c r="A2529" t="s">
        <v>3929</v>
      </c>
      <c r="B2529" t="s">
        <v>3930</v>
      </c>
      <c r="C2529" t="s">
        <v>1228</v>
      </c>
      <c r="D2529">
        <v>173000</v>
      </c>
      <c r="E2529">
        <v>5000</v>
      </c>
      <c r="F2529">
        <v>173000</v>
      </c>
      <c r="G2529">
        <v>173000</v>
      </c>
      <c r="H2529">
        <v>2</v>
      </c>
      <c r="I2529" t="s">
        <v>585</v>
      </c>
      <c r="J2529">
        <v>50.31</v>
      </c>
      <c r="K2529">
        <v>37</v>
      </c>
      <c r="L2529">
        <v>2</v>
      </c>
      <c r="M2529" t="s">
        <v>3022</v>
      </c>
      <c r="N2529">
        <v>6</v>
      </c>
      <c r="O2529">
        <v>11</v>
      </c>
      <c r="P2529">
        <v>144436.73000000001</v>
      </c>
      <c r="Q2529">
        <v>232352.65</v>
      </c>
      <c r="R2529">
        <v>648</v>
      </c>
      <c r="S2529">
        <v>359</v>
      </c>
      <c r="T2529" t="s">
        <v>332</v>
      </c>
      <c r="U2529" t="s">
        <v>49</v>
      </c>
    </row>
    <row r="2530" spans="1:21">
      <c r="A2530" t="s">
        <v>3931</v>
      </c>
      <c r="B2530" t="s">
        <v>3932</v>
      </c>
      <c r="C2530" t="s">
        <v>1231</v>
      </c>
      <c r="D2530">
        <v>318000</v>
      </c>
      <c r="E2530">
        <v>12000</v>
      </c>
      <c r="F2530">
        <v>318000</v>
      </c>
      <c r="G2530">
        <v>318000</v>
      </c>
      <c r="H2530">
        <v>3</v>
      </c>
      <c r="I2530" t="s">
        <v>585</v>
      </c>
      <c r="J2530">
        <v>66.260000000000005</v>
      </c>
      <c r="K2530">
        <v>1</v>
      </c>
      <c r="L2530">
        <v>3</v>
      </c>
      <c r="M2530" t="s">
        <v>3022</v>
      </c>
      <c r="N2530">
        <v>8</v>
      </c>
      <c r="O2530">
        <v>11</v>
      </c>
      <c r="P2530">
        <v>144436.73000000001</v>
      </c>
      <c r="Q2530">
        <v>232352.65</v>
      </c>
      <c r="R2530">
        <v>648</v>
      </c>
      <c r="S2530">
        <v>359</v>
      </c>
      <c r="T2530" t="s">
        <v>593</v>
      </c>
      <c r="U2530" t="s">
        <v>31</v>
      </c>
    </row>
    <row r="2531" spans="1:21">
      <c r="A2531" t="s">
        <v>3933</v>
      </c>
      <c r="B2531" t="s">
        <v>3934</v>
      </c>
      <c r="C2531" t="s">
        <v>1228</v>
      </c>
      <c r="D2531">
        <v>255000</v>
      </c>
      <c r="E2531">
        <v>18000</v>
      </c>
      <c r="H2531">
        <v>2</v>
      </c>
      <c r="I2531" t="s">
        <v>585</v>
      </c>
      <c r="J2531">
        <v>58.48</v>
      </c>
      <c r="K2531">
        <v>2</v>
      </c>
      <c r="L2531">
        <v>3</v>
      </c>
      <c r="M2531" t="s">
        <v>3022</v>
      </c>
      <c r="N2531">
        <v>4</v>
      </c>
      <c r="O2531">
        <v>9.33</v>
      </c>
      <c r="P2531">
        <v>144436.73000000001</v>
      </c>
      <c r="Q2531">
        <v>232352.65</v>
      </c>
      <c r="R2531">
        <v>648</v>
      </c>
      <c r="S2531">
        <v>359</v>
      </c>
      <c r="T2531" t="s">
        <v>332</v>
      </c>
      <c r="U2531" t="s">
        <v>31</v>
      </c>
    </row>
    <row r="2532" spans="1:21">
      <c r="A2532" t="s">
        <v>3935</v>
      </c>
      <c r="B2532" t="s">
        <v>3574</v>
      </c>
      <c r="C2532" t="s">
        <v>1228</v>
      </c>
      <c r="D2532">
        <v>238000</v>
      </c>
      <c r="E2532">
        <v>12000</v>
      </c>
      <c r="F2532">
        <v>238000</v>
      </c>
      <c r="G2532">
        <v>238000</v>
      </c>
      <c r="H2532">
        <v>1</v>
      </c>
      <c r="I2532" t="s">
        <v>585</v>
      </c>
      <c r="J2532">
        <v>45.53</v>
      </c>
      <c r="K2532">
        <v>7</v>
      </c>
      <c r="L2532">
        <v>5</v>
      </c>
      <c r="M2532" t="s">
        <v>3022</v>
      </c>
      <c r="N2532">
        <v>3</v>
      </c>
      <c r="O2532">
        <v>7.67</v>
      </c>
      <c r="P2532">
        <v>144436.73000000001</v>
      </c>
      <c r="Q2532">
        <v>232352.65</v>
      </c>
      <c r="R2532">
        <v>648</v>
      </c>
      <c r="S2532">
        <v>359</v>
      </c>
      <c r="T2532" t="s">
        <v>326</v>
      </c>
      <c r="U2532" t="s">
        <v>31</v>
      </c>
    </row>
    <row r="2533" spans="1:21">
      <c r="A2533" t="s">
        <v>3936</v>
      </c>
      <c r="B2533" t="s">
        <v>3574</v>
      </c>
      <c r="C2533" t="s">
        <v>1228</v>
      </c>
      <c r="D2533">
        <v>272000</v>
      </c>
      <c r="E2533">
        <v>12000</v>
      </c>
      <c r="F2533">
        <v>272000</v>
      </c>
      <c r="G2533">
        <v>272000</v>
      </c>
      <c r="H2533">
        <v>5</v>
      </c>
      <c r="I2533" t="s">
        <v>585</v>
      </c>
      <c r="J2533">
        <v>53.38</v>
      </c>
      <c r="K2533">
        <v>7</v>
      </c>
      <c r="L2533">
        <v>5</v>
      </c>
      <c r="M2533" t="s">
        <v>3022</v>
      </c>
      <c r="N2533">
        <v>3</v>
      </c>
      <c r="O2533">
        <v>7.67</v>
      </c>
      <c r="P2533">
        <v>144436.73000000001</v>
      </c>
      <c r="Q2533">
        <v>232352.65</v>
      </c>
      <c r="R2533">
        <v>648</v>
      </c>
      <c r="S2533">
        <v>359</v>
      </c>
      <c r="T2533" t="s">
        <v>332</v>
      </c>
      <c r="U2533" t="s">
        <v>31</v>
      </c>
    </row>
    <row r="2534" spans="1:21">
      <c r="A2534" t="s">
        <v>3937</v>
      </c>
      <c r="B2534" t="s">
        <v>3581</v>
      </c>
      <c r="C2534" t="s">
        <v>1231</v>
      </c>
      <c r="D2534">
        <v>220000</v>
      </c>
      <c r="E2534">
        <v>10000</v>
      </c>
      <c r="F2534">
        <v>220000</v>
      </c>
      <c r="G2534">
        <v>220000</v>
      </c>
      <c r="H2534">
        <v>3</v>
      </c>
      <c r="I2534" t="s">
        <v>585</v>
      </c>
      <c r="J2534">
        <v>41.7</v>
      </c>
      <c r="K2534">
        <v>8</v>
      </c>
      <c r="L2534">
        <v>9</v>
      </c>
      <c r="M2534" t="s">
        <v>3022</v>
      </c>
      <c r="N2534">
        <v>7</v>
      </c>
      <c r="O2534">
        <v>9.67</v>
      </c>
      <c r="P2534">
        <v>144436.73000000001</v>
      </c>
      <c r="Q2534">
        <v>232352.65</v>
      </c>
      <c r="R2534">
        <v>648</v>
      </c>
      <c r="S2534">
        <v>359</v>
      </c>
      <c r="T2534" t="s">
        <v>326</v>
      </c>
      <c r="U2534" t="s">
        <v>31</v>
      </c>
    </row>
    <row r="2535" spans="1:21">
      <c r="A2535" t="s">
        <v>3938</v>
      </c>
      <c r="B2535" t="s">
        <v>3581</v>
      </c>
      <c r="C2535" t="s">
        <v>1231</v>
      </c>
      <c r="D2535">
        <v>225000</v>
      </c>
      <c r="E2535">
        <v>10000</v>
      </c>
      <c r="F2535">
        <v>225000</v>
      </c>
      <c r="G2535">
        <v>225000</v>
      </c>
      <c r="H2535">
        <v>7</v>
      </c>
      <c r="I2535" t="s">
        <v>585</v>
      </c>
      <c r="J2535">
        <v>41.7</v>
      </c>
      <c r="K2535">
        <v>8</v>
      </c>
      <c r="L2535">
        <v>9</v>
      </c>
      <c r="M2535" t="s">
        <v>3022</v>
      </c>
      <c r="N2535">
        <v>7</v>
      </c>
      <c r="O2535">
        <v>9.67</v>
      </c>
      <c r="P2535">
        <v>144436.73000000001</v>
      </c>
      <c r="Q2535">
        <v>232352.65</v>
      </c>
      <c r="R2535">
        <v>648</v>
      </c>
      <c r="S2535">
        <v>359</v>
      </c>
      <c r="T2535" t="s">
        <v>326</v>
      </c>
      <c r="U2535" t="s">
        <v>31</v>
      </c>
    </row>
    <row r="2536" spans="1:21">
      <c r="A2536" t="s">
        <v>3939</v>
      </c>
      <c r="B2536" t="s">
        <v>3585</v>
      </c>
      <c r="C2536" t="s">
        <v>3025</v>
      </c>
      <c r="D2536">
        <v>330000</v>
      </c>
      <c r="E2536">
        <v>15000</v>
      </c>
      <c r="F2536">
        <v>330000</v>
      </c>
      <c r="G2536">
        <v>495000</v>
      </c>
      <c r="H2536">
        <v>29</v>
      </c>
      <c r="I2536" t="s">
        <v>585</v>
      </c>
      <c r="J2536">
        <v>64.25</v>
      </c>
      <c r="K2536">
        <v>19</v>
      </c>
      <c r="L2536">
        <v>33</v>
      </c>
      <c r="M2536" t="s">
        <v>3022</v>
      </c>
      <c r="N2536">
        <v>1</v>
      </c>
      <c r="O2536">
        <v>9</v>
      </c>
      <c r="P2536">
        <v>144436.73000000001</v>
      </c>
      <c r="Q2536">
        <v>232352.65</v>
      </c>
      <c r="R2536">
        <v>648</v>
      </c>
      <c r="S2536">
        <v>359</v>
      </c>
      <c r="T2536" t="s">
        <v>593</v>
      </c>
      <c r="U2536" t="s">
        <v>90</v>
      </c>
    </row>
    <row r="2537" spans="1:21">
      <c r="A2537" t="s">
        <v>3940</v>
      </c>
      <c r="B2537" t="s">
        <v>3585</v>
      </c>
      <c r="C2537" t="s">
        <v>3025</v>
      </c>
      <c r="D2537">
        <v>310000</v>
      </c>
      <c r="E2537">
        <v>15000</v>
      </c>
      <c r="F2537">
        <v>310000</v>
      </c>
      <c r="G2537">
        <v>465000</v>
      </c>
      <c r="H2537">
        <v>30</v>
      </c>
      <c r="I2537" t="s">
        <v>585</v>
      </c>
      <c r="J2537">
        <v>64.7</v>
      </c>
      <c r="K2537">
        <v>19</v>
      </c>
      <c r="L2537">
        <v>33</v>
      </c>
      <c r="M2537" t="s">
        <v>3022</v>
      </c>
      <c r="N2537">
        <v>1</v>
      </c>
      <c r="O2537">
        <v>4.67</v>
      </c>
      <c r="P2537">
        <v>144436.73000000001</v>
      </c>
      <c r="Q2537">
        <v>232352.65</v>
      </c>
      <c r="R2537">
        <v>648</v>
      </c>
      <c r="S2537">
        <v>359</v>
      </c>
      <c r="T2537" t="s">
        <v>593</v>
      </c>
      <c r="U2537" t="s">
        <v>90</v>
      </c>
    </row>
    <row r="2538" spans="1:21">
      <c r="A2538" t="s">
        <v>3941</v>
      </c>
      <c r="B2538" t="s">
        <v>3585</v>
      </c>
      <c r="C2538" t="s">
        <v>3025</v>
      </c>
      <c r="D2538">
        <v>324000</v>
      </c>
      <c r="E2538">
        <v>15000</v>
      </c>
      <c r="F2538">
        <v>324000</v>
      </c>
      <c r="G2538">
        <v>486000</v>
      </c>
      <c r="H2538">
        <v>30</v>
      </c>
      <c r="I2538" t="s">
        <v>585</v>
      </c>
      <c r="J2538">
        <v>64.7</v>
      </c>
      <c r="K2538">
        <v>19</v>
      </c>
      <c r="L2538">
        <v>33</v>
      </c>
      <c r="M2538" t="s">
        <v>3022</v>
      </c>
      <c r="N2538">
        <v>1</v>
      </c>
      <c r="O2538">
        <v>9</v>
      </c>
      <c r="P2538">
        <v>144436.73000000001</v>
      </c>
      <c r="Q2538">
        <v>232352.65</v>
      </c>
      <c r="R2538">
        <v>648</v>
      </c>
      <c r="S2538">
        <v>359</v>
      </c>
      <c r="T2538" t="s">
        <v>593</v>
      </c>
      <c r="U2538" t="s">
        <v>90</v>
      </c>
    </row>
    <row r="2539" spans="1:21">
      <c r="A2539" t="s">
        <v>3942</v>
      </c>
      <c r="B2539" t="s">
        <v>3592</v>
      </c>
      <c r="C2539" t="s">
        <v>1228</v>
      </c>
      <c r="D2539">
        <v>260000</v>
      </c>
      <c r="E2539">
        <v>20000</v>
      </c>
      <c r="F2539">
        <v>260000</v>
      </c>
      <c r="H2539">
        <v>10</v>
      </c>
      <c r="I2539" t="s">
        <v>585</v>
      </c>
      <c r="J2539">
        <v>43.66</v>
      </c>
      <c r="K2539">
        <v>1</v>
      </c>
      <c r="L2539">
        <v>12</v>
      </c>
      <c r="M2539" t="s">
        <v>3022</v>
      </c>
      <c r="N2539">
        <v>3</v>
      </c>
      <c r="O2539">
        <v>9.33</v>
      </c>
      <c r="P2539">
        <v>144436.73000000001</v>
      </c>
      <c r="Q2539">
        <v>232352.65</v>
      </c>
      <c r="R2539">
        <v>648</v>
      </c>
      <c r="S2539">
        <v>359</v>
      </c>
      <c r="T2539" t="s">
        <v>326</v>
      </c>
      <c r="U2539" t="s">
        <v>31</v>
      </c>
    </row>
    <row r="2540" spans="1:21">
      <c r="A2540" t="s">
        <v>3943</v>
      </c>
      <c r="B2540" t="s">
        <v>3592</v>
      </c>
      <c r="C2540" t="s">
        <v>1228</v>
      </c>
      <c r="D2540">
        <v>270000</v>
      </c>
      <c r="E2540">
        <v>20000</v>
      </c>
      <c r="F2540">
        <v>270000</v>
      </c>
      <c r="H2540">
        <v>11</v>
      </c>
      <c r="I2540" t="s">
        <v>585</v>
      </c>
      <c r="J2540">
        <v>43.65</v>
      </c>
      <c r="K2540">
        <v>1</v>
      </c>
      <c r="L2540">
        <v>12</v>
      </c>
      <c r="M2540" t="s">
        <v>3022</v>
      </c>
      <c r="N2540">
        <v>3</v>
      </c>
      <c r="O2540">
        <v>9.33</v>
      </c>
      <c r="P2540">
        <v>144436.73000000001</v>
      </c>
      <c r="Q2540">
        <v>232352.65</v>
      </c>
      <c r="R2540">
        <v>648</v>
      </c>
      <c r="S2540">
        <v>359</v>
      </c>
      <c r="T2540" t="s">
        <v>326</v>
      </c>
      <c r="U2540" t="s">
        <v>31</v>
      </c>
    </row>
    <row r="2541" spans="1:21">
      <c r="A2541" t="s">
        <v>3944</v>
      </c>
      <c r="B2541" t="s">
        <v>3592</v>
      </c>
      <c r="C2541" t="s">
        <v>1228</v>
      </c>
      <c r="D2541">
        <v>265000</v>
      </c>
      <c r="E2541">
        <v>20000</v>
      </c>
      <c r="F2541">
        <v>265000</v>
      </c>
      <c r="H2541">
        <v>11</v>
      </c>
      <c r="I2541" t="s">
        <v>585</v>
      </c>
      <c r="J2541">
        <v>43.66</v>
      </c>
      <c r="K2541">
        <v>1</v>
      </c>
      <c r="L2541">
        <v>12</v>
      </c>
      <c r="M2541" t="s">
        <v>3022</v>
      </c>
      <c r="N2541">
        <v>3</v>
      </c>
      <c r="O2541">
        <v>9.33</v>
      </c>
      <c r="P2541">
        <v>144436.73000000001</v>
      </c>
      <c r="Q2541">
        <v>232352.65</v>
      </c>
      <c r="R2541">
        <v>648</v>
      </c>
      <c r="S2541">
        <v>359</v>
      </c>
      <c r="T2541" t="s">
        <v>326</v>
      </c>
      <c r="U2541" t="s">
        <v>31</v>
      </c>
    </row>
    <row r="2542" spans="1:21">
      <c r="A2542" t="s">
        <v>3945</v>
      </c>
      <c r="B2542" t="s">
        <v>3592</v>
      </c>
      <c r="C2542" t="s">
        <v>1228</v>
      </c>
      <c r="D2542">
        <v>245000</v>
      </c>
      <c r="E2542">
        <v>20000</v>
      </c>
      <c r="F2542">
        <v>245000</v>
      </c>
      <c r="H2542">
        <v>3</v>
      </c>
      <c r="I2542" t="s">
        <v>585</v>
      </c>
      <c r="J2542">
        <v>43.65</v>
      </c>
      <c r="K2542">
        <v>1</v>
      </c>
      <c r="L2542">
        <v>12</v>
      </c>
      <c r="M2542" t="s">
        <v>3022</v>
      </c>
      <c r="N2542">
        <v>3</v>
      </c>
      <c r="O2542">
        <v>9.33</v>
      </c>
      <c r="P2542">
        <v>144436.73000000001</v>
      </c>
      <c r="Q2542">
        <v>232352.65</v>
      </c>
      <c r="R2542">
        <v>648</v>
      </c>
      <c r="S2542">
        <v>359</v>
      </c>
      <c r="T2542" t="s">
        <v>326</v>
      </c>
      <c r="U2542" t="s">
        <v>31</v>
      </c>
    </row>
    <row r="2543" spans="1:21">
      <c r="A2543" t="s">
        <v>3946</v>
      </c>
      <c r="B2543" t="s">
        <v>3592</v>
      </c>
      <c r="C2543" t="s">
        <v>1228</v>
      </c>
      <c r="D2543">
        <v>255000</v>
      </c>
      <c r="E2543">
        <v>20000</v>
      </c>
      <c r="F2543">
        <v>255000</v>
      </c>
      <c r="H2543">
        <v>4</v>
      </c>
      <c r="I2543" t="s">
        <v>585</v>
      </c>
      <c r="J2543">
        <v>43.65</v>
      </c>
      <c r="K2543">
        <v>1</v>
      </c>
      <c r="L2543">
        <v>12</v>
      </c>
      <c r="M2543" t="s">
        <v>3022</v>
      </c>
      <c r="N2543">
        <v>3</v>
      </c>
      <c r="O2543">
        <v>9.33</v>
      </c>
      <c r="P2543">
        <v>144436.73000000001</v>
      </c>
      <c r="Q2543">
        <v>232352.65</v>
      </c>
      <c r="R2543">
        <v>648</v>
      </c>
      <c r="S2543">
        <v>359</v>
      </c>
      <c r="T2543" t="s">
        <v>326</v>
      </c>
      <c r="U2543" t="s">
        <v>31</v>
      </c>
    </row>
    <row r="2544" spans="1:21">
      <c r="A2544" t="s">
        <v>3947</v>
      </c>
      <c r="B2544" t="s">
        <v>3592</v>
      </c>
      <c r="C2544" t="s">
        <v>1228</v>
      </c>
      <c r="D2544">
        <v>245000</v>
      </c>
      <c r="E2544">
        <v>20000</v>
      </c>
      <c r="F2544">
        <v>245000</v>
      </c>
      <c r="H2544">
        <v>4</v>
      </c>
      <c r="I2544" t="s">
        <v>585</v>
      </c>
      <c r="J2544">
        <v>43.66</v>
      </c>
      <c r="K2544">
        <v>1</v>
      </c>
      <c r="L2544">
        <v>12</v>
      </c>
      <c r="M2544" t="s">
        <v>3022</v>
      </c>
      <c r="N2544">
        <v>3</v>
      </c>
      <c r="O2544">
        <v>9.33</v>
      </c>
      <c r="P2544">
        <v>144436.73000000001</v>
      </c>
      <c r="Q2544">
        <v>232352.65</v>
      </c>
      <c r="R2544">
        <v>648</v>
      </c>
      <c r="S2544">
        <v>359</v>
      </c>
      <c r="T2544" t="s">
        <v>326</v>
      </c>
      <c r="U2544" t="s">
        <v>31</v>
      </c>
    </row>
    <row r="2545" spans="1:21">
      <c r="A2545" t="s">
        <v>3948</v>
      </c>
      <c r="B2545" t="s">
        <v>3592</v>
      </c>
      <c r="C2545" t="s">
        <v>1228</v>
      </c>
      <c r="D2545">
        <v>250000</v>
      </c>
      <c r="E2545">
        <v>20000</v>
      </c>
      <c r="F2545">
        <v>250000</v>
      </c>
      <c r="H2545">
        <v>4</v>
      </c>
      <c r="I2545" t="s">
        <v>585</v>
      </c>
      <c r="J2545">
        <v>43.66</v>
      </c>
      <c r="K2545">
        <v>1</v>
      </c>
      <c r="L2545">
        <v>12</v>
      </c>
      <c r="M2545" t="s">
        <v>3022</v>
      </c>
      <c r="N2545">
        <v>3</v>
      </c>
      <c r="O2545">
        <v>9.33</v>
      </c>
      <c r="P2545">
        <v>144436.73000000001</v>
      </c>
      <c r="Q2545">
        <v>232352.65</v>
      </c>
      <c r="R2545">
        <v>648</v>
      </c>
      <c r="S2545">
        <v>359</v>
      </c>
      <c r="T2545" t="s">
        <v>326</v>
      </c>
      <c r="U2545" t="s">
        <v>31</v>
      </c>
    </row>
    <row r="2546" spans="1:21">
      <c r="A2546" t="s">
        <v>3949</v>
      </c>
      <c r="B2546" t="s">
        <v>3592</v>
      </c>
      <c r="C2546" t="s">
        <v>1228</v>
      </c>
      <c r="D2546">
        <v>255000</v>
      </c>
      <c r="E2546">
        <v>20000</v>
      </c>
      <c r="F2546">
        <v>255000</v>
      </c>
      <c r="H2546">
        <v>7</v>
      </c>
      <c r="I2546" t="s">
        <v>585</v>
      </c>
      <c r="J2546">
        <v>43.65</v>
      </c>
      <c r="K2546">
        <v>1</v>
      </c>
      <c r="L2546">
        <v>12</v>
      </c>
      <c r="M2546" t="s">
        <v>3022</v>
      </c>
      <c r="N2546">
        <v>3</v>
      </c>
      <c r="O2546">
        <v>9.33</v>
      </c>
      <c r="P2546">
        <v>144436.73000000001</v>
      </c>
      <c r="Q2546">
        <v>232352.65</v>
      </c>
      <c r="R2546">
        <v>648</v>
      </c>
      <c r="S2546">
        <v>359</v>
      </c>
      <c r="T2546" t="s">
        <v>326</v>
      </c>
      <c r="U2546" t="s">
        <v>31</v>
      </c>
    </row>
    <row r="2547" spans="1:21">
      <c r="A2547" t="s">
        <v>3950</v>
      </c>
      <c r="B2547" t="s">
        <v>3592</v>
      </c>
      <c r="C2547" t="s">
        <v>1228</v>
      </c>
      <c r="D2547">
        <v>250000</v>
      </c>
      <c r="E2547">
        <v>20000</v>
      </c>
      <c r="F2547">
        <v>250000</v>
      </c>
      <c r="H2547">
        <v>7</v>
      </c>
      <c r="I2547" t="s">
        <v>585</v>
      </c>
      <c r="J2547">
        <v>43.66</v>
      </c>
      <c r="K2547">
        <v>1</v>
      </c>
      <c r="L2547">
        <v>12</v>
      </c>
      <c r="M2547" t="s">
        <v>3022</v>
      </c>
      <c r="N2547">
        <v>3</v>
      </c>
      <c r="O2547">
        <v>9.33</v>
      </c>
      <c r="P2547">
        <v>144436.73000000001</v>
      </c>
      <c r="Q2547">
        <v>232352.65</v>
      </c>
      <c r="R2547">
        <v>648</v>
      </c>
      <c r="S2547">
        <v>359</v>
      </c>
      <c r="T2547" t="s">
        <v>326</v>
      </c>
      <c r="U2547" t="s">
        <v>31</v>
      </c>
    </row>
    <row r="2548" spans="1:21">
      <c r="A2548" t="s">
        <v>3951</v>
      </c>
      <c r="B2548" t="s">
        <v>3602</v>
      </c>
      <c r="C2548" t="s">
        <v>1228</v>
      </c>
      <c r="D2548">
        <v>243000</v>
      </c>
      <c r="E2548">
        <v>17000</v>
      </c>
      <c r="F2548">
        <v>243000</v>
      </c>
      <c r="G2548">
        <v>243000</v>
      </c>
      <c r="H2548">
        <v>7</v>
      </c>
      <c r="I2548" t="s">
        <v>585</v>
      </c>
      <c r="J2548">
        <v>53.96</v>
      </c>
      <c r="K2548">
        <v>11</v>
      </c>
      <c r="L2548">
        <v>14</v>
      </c>
      <c r="M2548" t="s">
        <v>3022</v>
      </c>
      <c r="N2548">
        <v>1</v>
      </c>
      <c r="O2548">
        <v>4.67</v>
      </c>
      <c r="P2548">
        <v>144436.73000000001</v>
      </c>
      <c r="Q2548">
        <v>232352.65</v>
      </c>
      <c r="R2548">
        <v>648</v>
      </c>
      <c r="S2548">
        <v>359</v>
      </c>
      <c r="T2548" t="s">
        <v>332</v>
      </c>
      <c r="U2548" t="s">
        <v>90</v>
      </c>
    </row>
    <row r="2549" spans="1:21">
      <c r="A2549" t="s">
        <v>3952</v>
      </c>
      <c r="B2549" t="s">
        <v>3621</v>
      </c>
      <c r="C2549" t="s">
        <v>1294</v>
      </c>
      <c r="D2549">
        <v>215000</v>
      </c>
      <c r="E2549">
        <v>5000</v>
      </c>
      <c r="F2549">
        <v>215000</v>
      </c>
      <c r="G2549">
        <v>215000</v>
      </c>
      <c r="H2549">
        <v>2</v>
      </c>
      <c r="I2549" t="s">
        <v>585</v>
      </c>
      <c r="J2549">
        <v>48.97</v>
      </c>
      <c r="K2549">
        <v>0</v>
      </c>
      <c r="L2549">
        <v>2</v>
      </c>
      <c r="M2549" t="s">
        <v>3022</v>
      </c>
      <c r="N2549">
        <v>9</v>
      </c>
      <c r="O2549">
        <v>11</v>
      </c>
      <c r="P2549">
        <v>144436.73000000001</v>
      </c>
      <c r="Q2549">
        <v>232352.65</v>
      </c>
      <c r="R2549">
        <v>648</v>
      </c>
      <c r="S2549">
        <v>359</v>
      </c>
      <c r="T2549" t="s">
        <v>326</v>
      </c>
      <c r="U2549" t="s">
        <v>81</v>
      </c>
    </row>
    <row r="2550" spans="1:21">
      <c r="A2550" t="s">
        <v>3953</v>
      </c>
      <c r="B2550" t="s">
        <v>3954</v>
      </c>
      <c r="C2550" t="s">
        <v>1773</v>
      </c>
      <c r="D2550">
        <v>360000</v>
      </c>
      <c r="F2550">
        <v>360000</v>
      </c>
      <c r="H2550">
        <v>1</v>
      </c>
      <c r="I2550" t="s">
        <v>642</v>
      </c>
      <c r="J2550">
        <v>86.24</v>
      </c>
      <c r="K2550">
        <v>4</v>
      </c>
      <c r="L2550">
        <v>3</v>
      </c>
      <c r="M2550" t="s">
        <v>3022</v>
      </c>
      <c r="N2550">
        <v>7</v>
      </c>
      <c r="O2550">
        <v>13</v>
      </c>
      <c r="P2550">
        <v>144436.73000000001</v>
      </c>
      <c r="Q2550">
        <v>282153.84999999998</v>
      </c>
      <c r="R2550">
        <v>648</v>
      </c>
      <c r="S2550">
        <v>26</v>
      </c>
      <c r="T2550" t="s">
        <v>413</v>
      </c>
      <c r="U2550" t="s">
        <v>31</v>
      </c>
    </row>
    <row r="2551" spans="1:21">
      <c r="A2551" t="s">
        <v>3953</v>
      </c>
      <c r="B2551" t="s">
        <v>3954</v>
      </c>
      <c r="C2551" t="s">
        <v>1773</v>
      </c>
      <c r="D2551">
        <v>360000</v>
      </c>
      <c r="F2551">
        <v>360000</v>
      </c>
      <c r="H2551">
        <v>2</v>
      </c>
      <c r="I2551" t="s">
        <v>642</v>
      </c>
      <c r="J2551">
        <v>86.24</v>
      </c>
      <c r="K2551">
        <v>4</v>
      </c>
      <c r="L2551">
        <v>3</v>
      </c>
      <c r="M2551" t="s">
        <v>3022</v>
      </c>
      <c r="N2551">
        <v>7</v>
      </c>
      <c r="O2551">
        <v>13</v>
      </c>
      <c r="P2551">
        <v>144436.73000000001</v>
      </c>
      <c r="Q2551">
        <v>282153.84999999998</v>
      </c>
      <c r="R2551">
        <v>648</v>
      </c>
      <c r="S2551">
        <v>26</v>
      </c>
      <c r="T2551" t="s">
        <v>413</v>
      </c>
      <c r="U2551" t="s">
        <v>31</v>
      </c>
    </row>
    <row r="2552" spans="1:21">
      <c r="A2552" t="s">
        <v>3953</v>
      </c>
      <c r="B2552" t="s">
        <v>3954</v>
      </c>
      <c r="C2552" t="s">
        <v>1773</v>
      </c>
      <c r="D2552">
        <v>360000</v>
      </c>
      <c r="F2552">
        <v>360000</v>
      </c>
      <c r="H2552">
        <v>3</v>
      </c>
      <c r="I2552" t="s">
        <v>642</v>
      </c>
      <c r="J2552">
        <v>86.24</v>
      </c>
      <c r="K2552">
        <v>4</v>
      </c>
      <c r="L2552">
        <v>3</v>
      </c>
      <c r="M2552" t="s">
        <v>3022</v>
      </c>
      <c r="N2552">
        <v>7</v>
      </c>
      <c r="O2552">
        <v>13</v>
      </c>
      <c r="P2552">
        <v>144436.73000000001</v>
      </c>
      <c r="Q2552">
        <v>282153.84999999998</v>
      </c>
      <c r="R2552">
        <v>648</v>
      </c>
      <c r="S2552">
        <v>26</v>
      </c>
      <c r="T2552" t="s">
        <v>413</v>
      </c>
      <c r="U2552" t="s">
        <v>31</v>
      </c>
    </row>
    <row r="2553" spans="1:21">
      <c r="A2553" t="s">
        <v>3955</v>
      </c>
      <c r="B2553" t="s">
        <v>3956</v>
      </c>
      <c r="C2553" t="s">
        <v>1228</v>
      </c>
      <c r="D2553">
        <v>235000</v>
      </c>
      <c r="E2553">
        <v>15000</v>
      </c>
      <c r="F2553">
        <v>235000</v>
      </c>
      <c r="G2553">
        <v>235000</v>
      </c>
      <c r="H2553">
        <v>3</v>
      </c>
      <c r="I2553" t="s">
        <v>642</v>
      </c>
      <c r="J2553">
        <v>79.38</v>
      </c>
      <c r="K2553">
        <v>36</v>
      </c>
      <c r="L2553">
        <v>5</v>
      </c>
      <c r="M2553" t="s">
        <v>3022</v>
      </c>
      <c r="N2553">
        <v>4</v>
      </c>
      <c r="O2553">
        <v>9.33</v>
      </c>
      <c r="P2553">
        <v>144436.73000000001</v>
      </c>
      <c r="Q2553">
        <v>282153.84999999998</v>
      </c>
      <c r="R2553">
        <v>648</v>
      </c>
      <c r="S2553">
        <v>26</v>
      </c>
      <c r="T2553" t="s">
        <v>596</v>
      </c>
      <c r="U2553" t="s">
        <v>49</v>
      </c>
    </row>
    <row r="2554" spans="1:21">
      <c r="A2554" t="s">
        <v>3957</v>
      </c>
      <c r="B2554" t="s">
        <v>3958</v>
      </c>
      <c r="C2554" t="s">
        <v>1228</v>
      </c>
      <c r="D2554">
        <v>240000</v>
      </c>
      <c r="E2554">
        <v>20000</v>
      </c>
      <c r="F2554">
        <v>240000</v>
      </c>
      <c r="G2554">
        <v>240000</v>
      </c>
      <c r="H2554">
        <v>3</v>
      </c>
      <c r="I2554" t="s">
        <v>647</v>
      </c>
      <c r="J2554">
        <v>51.11</v>
      </c>
      <c r="K2554">
        <v>29</v>
      </c>
      <c r="L2554">
        <v>8</v>
      </c>
      <c r="M2554" t="s">
        <v>3022</v>
      </c>
      <c r="N2554">
        <v>5</v>
      </c>
      <c r="O2554">
        <v>8.33</v>
      </c>
      <c r="P2554">
        <v>144436.73000000001</v>
      </c>
      <c r="Q2554">
        <v>184333.33</v>
      </c>
      <c r="R2554">
        <v>648</v>
      </c>
      <c r="S2554">
        <v>18</v>
      </c>
      <c r="T2554" t="s">
        <v>332</v>
      </c>
      <c r="U2554" t="s">
        <v>27</v>
      </c>
    </row>
    <row r="2555" spans="1:21">
      <c r="A2555" t="s">
        <v>3959</v>
      </c>
      <c r="B2555" t="s">
        <v>3960</v>
      </c>
      <c r="C2555" t="s">
        <v>1768</v>
      </c>
      <c r="D2555">
        <v>130000</v>
      </c>
      <c r="F2555">
        <v>130000</v>
      </c>
      <c r="G2555">
        <v>130000</v>
      </c>
      <c r="H2555">
        <v>2</v>
      </c>
      <c r="I2555" t="s">
        <v>647</v>
      </c>
      <c r="J2555">
        <v>48</v>
      </c>
      <c r="K2555">
        <v>48</v>
      </c>
      <c r="L2555">
        <v>4</v>
      </c>
      <c r="M2555" t="s">
        <v>3022</v>
      </c>
      <c r="N2555">
        <v>7</v>
      </c>
      <c r="O2555">
        <v>10.33</v>
      </c>
      <c r="P2555">
        <v>144436.73000000001</v>
      </c>
      <c r="Q2555">
        <v>184333.33</v>
      </c>
      <c r="R2555">
        <v>648</v>
      </c>
      <c r="S2555">
        <v>18</v>
      </c>
      <c r="T2555" t="s">
        <v>326</v>
      </c>
      <c r="U2555" t="s">
        <v>42</v>
      </c>
    </row>
    <row r="2556" spans="1:21">
      <c r="A2556" t="s">
        <v>3961</v>
      </c>
      <c r="B2556" t="s">
        <v>3326</v>
      </c>
      <c r="C2556" t="s">
        <v>1294</v>
      </c>
      <c r="D2556">
        <v>215000</v>
      </c>
      <c r="E2556">
        <v>5000</v>
      </c>
      <c r="F2556">
        <v>215000</v>
      </c>
      <c r="H2556">
        <v>2</v>
      </c>
      <c r="I2556" t="s">
        <v>647</v>
      </c>
      <c r="J2556">
        <v>52.5</v>
      </c>
      <c r="K2556">
        <v>10</v>
      </c>
      <c r="L2556">
        <v>3</v>
      </c>
      <c r="M2556" t="s">
        <v>3022</v>
      </c>
      <c r="N2556">
        <v>6</v>
      </c>
      <c r="O2556">
        <v>9.67</v>
      </c>
      <c r="P2556">
        <v>144436.73000000001</v>
      </c>
      <c r="Q2556">
        <v>184333.33</v>
      </c>
      <c r="R2556">
        <v>648</v>
      </c>
      <c r="S2556">
        <v>18</v>
      </c>
      <c r="T2556" t="s">
        <v>332</v>
      </c>
      <c r="U2556" t="s">
        <v>31</v>
      </c>
    </row>
    <row r="2557" spans="1:21">
      <c r="A2557" t="s">
        <v>3962</v>
      </c>
      <c r="B2557" t="s">
        <v>3376</v>
      </c>
      <c r="C2557" t="s">
        <v>1294</v>
      </c>
      <c r="D2557">
        <v>215000</v>
      </c>
      <c r="E2557">
        <v>5000</v>
      </c>
      <c r="F2557">
        <v>215000</v>
      </c>
      <c r="G2557">
        <v>215000</v>
      </c>
      <c r="H2557">
        <v>2</v>
      </c>
      <c r="I2557" t="s">
        <v>647</v>
      </c>
      <c r="J2557">
        <v>52.5</v>
      </c>
      <c r="K2557">
        <v>10</v>
      </c>
      <c r="L2557">
        <v>3</v>
      </c>
      <c r="M2557" t="s">
        <v>3022</v>
      </c>
      <c r="N2557">
        <v>6</v>
      </c>
      <c r="O2557">
        <v>9.67</v>
      </c>
      <c r="P2557">
        <v>144436.73000000001</v>
      </c>
      <c r="Q2557">
        <v>184333.33</v>
      </c>
      <c r="R2557">
        <v>648</v>
      </c>
      <c r="S2557">
        <v>18</v>
      </c>
      <c r="T2557" t="s">
        <v>332</v>
      </c>
      <c r="U2557" t="s">
        <v>31</v>
      </c>
    </row>
    <row r="2558" spans="1:21">
      <c r="A2558" t="s">
        <v>3962</v>
      </c>
      <c r="B2558" t="s">
        <v>3376</v>
      </c>
      <c r="C2558" t="s">
        <v>1294</v>
      </c>
      <c r="D2558">
        <v>215000</v>
      </c>
      <c r="E2558">
        <v>5000</v>
      </c>
      <c r="F2558">
        <v>215000</v>
      </c>
      <c r="G2558">
        <v>215000</v>
      </c>
      <c r="H2558">
        <v>3</v>
      </c>
      <c r="I2558" t="s">
        <v>647</v>
      </c>
      <c r="J2558">
        <v>52.5</v>
      </c>
      <c r="K2558">
        <v>10</v>
      </c>
      <c r="L2558">
        <v>3</v>
      </c>
      <c r="M2558" t="s">
        <v>3022</v>
      </c>
      <c r="N2558">
        <v>6</v>
      </c>
      <c r="O2558">
        <v>9.67</v>
      </c>
      <c r="P2558">
        <v>144436.73000000001</v>
      </c>
      <c r="Q2558">
        <v>184333.33</v>
      </c>
      <c r="R2558">
        <v>648</v>
      </c>
      <c r="S2558">
        <v>18</v>
      </c>
      <c r="T2558" t="s">
        <v>332</v>
      </c>
      <c r="U2558" t="s">
        <v>31</v>
      </c>
    </row>
    <row r="2559" spans="1:21">
      <c r="A2559" t="s">
        <v>3963</v>
      </c>
      <c r="B2559" t="s">
        <v>3964</v>
      </c>
      <c r="C2559" t="s">
        <v>1294</v>
      </c>
      <c r="D2559">
        <v>200000</v>
      </c>
      <c r="F2559">
        <v>200000</v>
      </c>
      <c r="G2559">
        <v>200000</v>
      </c>
      <c r="H2559">
        <v>-1</v>
      </c>
      <c r="I2559" t="s">
        <v>647</v>
      </c>
      <c r="J2559">
        <v>67.739999999999995</v>
      </c>
      <c r="K2559">
        <v>31</v>
      </c>
      <c r="L2559">
        <v>3</v>
      </c>
      <c r="M2559" t="s">
        <v>3022</v>
      </c>
      <c r="N2559">
        <v>9</v>
      </c>
      <c r="O2559">
        <v>12.33</v>
      </c>
      <c r="P2559">
        <v>144436.73000000001</v>
      </c>
      <c r="Q2559">
        <v>184333.33</v>
      </c>
      <c r="R2559">
        <v>648</v>
      </c>
      <c r="S2559">
        <v>18</v>
      </c>
      <c r="T2559" t="s">
        <v>593</v>
      </c>
      <c r="U2559" t="s">
        <v>49</v>
      </c>
    </row>
    <row r="2560" spans="1:21">
      <c r="A2560" t="s">
        <v>3963</v>
      </c>
      <c r="B2560" t="s">
        <v>3964</v>
      </c>
      <c r="C2560" t="s">
        <v>1294</v>
      </c>
      <c r="D2560">
        <v>200000</v>
      </c>
      <c r="F2560">
        <v>200000</v>
      </c>
      <c r="G2560">
        <v>200000</v>
      </c>
      <c r="H2560">
        <v>0</v>
      </c>
      <c r="I2560" t="s">
        <v>647</v>
      </c>
      <c r="J2560">
        <v>67.739999999999995</v>
      </c>
      <c r="K2560">
        <v>31</v>
      </c>
      <c r="L2560">
        <v>3</v>
      </c>
      <c r="M2560" t="s">
        <v>3022</v>
      </c>
      <c r="N2560">
        <v>9</v>
      </c>
      <c r="O2560">
        <v>12.33</v>
      </c>
      <c r="P2560">
        <v>144436.73000000001</v>
      </c>
      <c r="Q2560">
        <v>184333.33</v>
      </c>
      <c r="R2560">
        <v>648</v>
      </c>
      <c r="S2560">
        <v>18</v>
      </c>
      <c r="T2560" t="s">
        <v>593</v>
      </c>
      <c r="U2560" t="s">
        <v>49</v>
      </c>
    </row>
    <row r="2561" spans="1:21">
      <c r="A2561" t="s">
        <v>3963</v>
      </c>
      <c r="B2561" t="s">
        <v>3964</v>
      </c>
      <c r="C2561" t="s">
        <v>1294</v>
      </c>
      <c r="D2561">
        <v>200000</v>
      </c>
      <c r="F2561">
        <v>200000</v>
      </c>
      <c r="G2561">
        <v>200000</v>
      </c>
      <c r="H2561">
        <v>1</v>
      </c>
      <c r="I2561" t="s">
        <v>647</v>
      </c>
      <c r="J2561">
        <v>67.739999999999995</v>
      </c>
      <c r="K2561">
        <v>31</v>
      </c>
      <c r="L2561">
        <v>3</v>
      </c>
      <c r="M2561" t="s">
        <v>3022</v>
      </c>
      <c r="N2561">
        <v>9</v>
      </c>
      <c r="O2561">
        <v>12.33</v>
      </c>
      <c r="P2561">
        <v>144436.73000000001</v>
      </c>
      <c r="Q2561">
        <v>184333.33</v>
      </c>
      <c r="R2561">
        <v>648</v>
      </c>
      <c r="S2561">
        <v>18</v>
      </c>
      <c r="T2561" t="s">
        <v>593</v>
      </c>
      <c r="U2561" t="s">
        <v>49</v>
      </c>
    </row>
    <row r="2562" spans="1:21">
      <c r="A2562" t="s">
        <v>3963</v>
      </c>
      <c r="B2562" t="s">
        <v>3964</v>
      </c>
      <c r="C2562" t="s">
        <v>1294</v>
      </c>
      <c r="D2562">
        <v>200000</v>
      </c>
      <c r="F2562">
        <v>200000</v>
      </c>
      <c r="G2562">
        <v>200000</v>
      </c>
      <c r="H2562">
        <v>2</v>
      </c>
      <c r="I2562" t="s">
        <v>647</v>
      </c>
      <c r="J2562">
        <v>67.739999999999995</v>
      </c>
      <c r="K2562">
        <v>31</v>
      </c>
      <c r="L2562">
        <v>3</v>
      </c>
      <c r="M2562" t="s">
        <v>3022</v>
      </c>
      <c r="N2562">
        <v>9</v>
      </c>
      <c r="O2562">
        <v>12.33</v>
      </c>
      <c r="P2562">
        <v>144436.73000000001</v>
      </c>
      <c r="Q2562">
        <v>184333.33</v>
      </c>
      <c r="R2562">
        <v>648</v>
      </c>
      <c r="S2562">
        <v>18</v>
      </c>
      <c r="T2562" t="s">
        <v>593</v>
      </c>
      <c r="U2562" t="s">
        <v>49</v>
      </c>
    </row>
    <row r="2563" spans="1:21">
      <c r="A2563" t="s">
        <v>3965</v>
      </c>
      <c r="B2563" t="s">
        <v>3966</v>
      </c>
      <c r="C2563" t="s">
        <v>1890</v>
      </c>
      <c r="D2563">
        <v>120000</v>
      </c>
      <c r="F2563">
        <v>120000</v>
      </c>
      <c r="G2563">
        <v>120000</v>
      </c>
      <c r="H2563">
        <v>1</v>
      </c>
      <c r="I2563" t="s">
        <v>652</v>
      </c>
      <c r="J2563">
        <v>42.14</v>
      </c>
      <c r="K2563">
        <v>76</v>
      </c>
      <c r="L2563">
        <v>1</v>
      </c>
      <c r="M2563" t="s">
        <v>3022</v>
      </c>
      <c r="N2563">
        <v>9</v>
      </c>
      <c r="O2563">
        <v>9</v>
      </c>
      <c r="P2563">
        <v>144436.73000000001</v>
      </c>
      <c r="Q2563">
        <v>163600</v>
      </c>
      <c r="R2563">
        <v>648</v>
      </c>
      <c r="S2563">
        <v>5</v>
      </c>
      <c r="T2563" t="s">
        <v>326</v>
      </c>
      <c r="U2563" t="s">
        <v>38</v>
      </c>
    </row>
    <row r="2564" spans="1:21">
      <c r="A2564" t="s">
        <v>3967</v>
      </c>
      <c r="B2564" t="s">
        <v>3472</v>
      </c>
      <c r="C2564" t="s">
        <v>1890</v>
      </c>
      <c r="D2564">
        <v>221500</v>
      </c>
      <c r="E2564">
        <v>4400</v>
      </c>
      <c r="G2564">
        <v>443000</v>
      </c>
      <c r="H2564">
        <v>2</v>
      </c>
      <c r="I2564" t="s">
        <v>654</v>
      </c>
      <c r="J2564">
        <v>62.1</v>
      </c>
      <c r="K2564">
        <v>0</v>
      </c>
      <c r="L2564">
        <v>2</v>
      </c>
      <c r="M2564" t="s">
        <v>3022</v>
      </c>
      <c r="N2564">
        <v>13</v>
      </c>
      <c r="O2564">
        <v>13.67</v>
      </c>
      <c r="P2564">
        <v>144436.73000000001</v>
      </c>
      <c r="Q2564">
        <v>288705.81</v>
      </c>
      <c r="R2564">
        <v>648</v>
      </c>
      <c r="S2564">
        <v>155</v>
      </c>
      <c r="T2564" t="s">
        <v>593</v>
      </c>
      <c r="U2564" t="s">
        <v>81</v>
      </c>
    </row>
    <row r="2565" spans="1:21">
      <c r="A2565" t="s">
        <v>3968</v>
      </c>
      <c r="B2565" t="s">
        <v>3472</v>
      </c>
      <c r="C2565" t="s">
        <v>1890</v>
      </c>
      <c r="D2565">
        <v>223500</v>
      </c>
      <c r="E2565">
        <v>4400</v>
      </c>
      <c r="G2565">
        <v>447000</v>
      </c>
      <c r="H2565">
        <v>2</v>
      </c>
      <c r="I2565" t="s">
        <v>654</v>
      </c>
      <c r="J2565">
        <v>62.1</v>
      </c>
      <c r="K2565">
        <v>0</v>
      </c>
      <c r="L2565">
        <v>2</v>
      </c>
      <c r="M2565" t="s">
        <v>3022</v>
      </c>
      <c r="N2565">
        <v>13</v>
      </c>
      <c r="O2565">
        <v>13.67</v>
      </c>
      <c r="P2565">
        <v>144436.73000000001</v>
      </c>
      <c r="Q2565">
        <v>288705.81</v>
      </c>
      <c r="R2565">
        <v>648</v>
      </c>
      <c r="S2565">
        <v>155</v>
      </c>
      <c r="T2565" t="s">
        <v>593</v>
      </c>
      <c r="U2565" t="s">
        <v>81</v>
      </c>
    </row>
    <row r="2566" spans="1:21">
      <c r="A2566" t="s">
        <v>3969</v>
      </c>
      <c r="B2566" t="s">
        <v>3476</v>
      </c>
      <c r="C2566" t="s">
        <v>1228</v>
      </c>
      <c r="D2566">
        <v>425000</v>
      </c>
      <c r="E2566">
        <v>25000</v>
      </c>
      <c r="F2566">
        <v>425000</v>
      </c>
      <c r="H2566">
        <v>12</v>
      </c>
      <c r="I2566" t="s">
        <v>654</v>
      </c>
      <c r="J2566">
        <v>60.14</v>
      </c>
      <c r="K2566">
        <v>0</v>
      </c>
      <c r="L2566">
        <v>12</v>
      </c>
      <c r="M2566" t="s">
        <v>3022</v>
      </c>
      <c r="N2566">
        <v>4</v>
      </c>
      <c r="O2566">
        <v>9.33</v>
      </c>
      <c r="P2566">
        <v>144436.73000000001</v>
      </c>
      <c r="Q2566">
        <v>288705.81</v>
      </c>
      <c r="R2566">
        <v>648</v>
      </c>
      <c r="S2566">
        <v>155</v>
      </c>
      <c r="T2566" t="s">
        <v>593</v>
      </c>
      <c r="U2566" t="s">
        <v>81</v>
      </c>
    </row>
    <row r="2567" spans="1:21">
      <c r="A2567" t="s">
        <v>3970</v>
      </c>
      <c r="B2567" t="s">
        <v>3971</v>
      </c>
      <c r="C2567" t="s">
        <v>3025</v>
      </c>
      <c r="D2567">
        <v>410000</v>
      </c>
      <c r="E2567">
        <v>10000</v>
      </c>
      <c r="F2567">
        <v>410000</v>
      </c>
      <c r="G2567">
        <v>820000</v>
      </c>
      <c r="H2567">
        <v>24</v>
      </c>
      <c r="I2567" t="s">
        <v>654</v>
      </c>
      <c r="J2567">
        <v>74.41</v>
      </c>
      <c r="K2567">
        <v>2</v>
      </c>
      <c r="L2567">
        <v>26</v>
      </c>
      <c r="M2567" t="s">
        <v>3022</v>
      </c>
      <c r="N2567">
        <v>1</v>
      </c>
      <c r="O2567">
        <v>10</v>
      </c>
      <c r="P2567">
        <v>144436.73000000001</v>
      </c>
      <c r="Q2567">
        <v>288705.81</v>
      </c>
      <c r="R2567">
        <v>648</v>
      </c>
      <c r="S2567">
        <v>155</v>
      </c>
      <c r="T2567" t="s">
        <v>596</v>
      </c>
      <c r="U2567" t="s">
        <v>31</v>
      </c>
    </row>
    <row r="2568" spans="1:21">
      <c r="A2568" t="s">
        <v>3972</v>
      </c>
      <c r="B2568" t="s">
        <v>3973</v>
      </c>
      <c r="C2568" t="s">
        <v>3025</v>
      </c>
      <c r="D2568">
        <v>299000</v>
      </c>
      <c r="E2568">
        <v>11000</v>
      </c>
      <c r="F2568">
        <v>598000</v>
      </c>
      <c r="G2568">
        <v>299000</v>
      </c>
      <c r="H2568">
        <v>2</v>
      </c>
      <c r="I2568" t="s">
        <v>654</v>
      </c>
      <c r="J2568">
        <v>66.17</v>
      </c>
      <c r="K2568">
        <v>14</v>
      </c>
      <c r="L2568">
        <v>6</v>
      </c>
      <c r="M2568" t="s">
        <v>3022</v>
      </c>
      <c r="N2568">
        <v>3</v>
      </c>
      <c r="O2568">
        <v>5.33</v>
      </c>
      <c r="P2568">
        <v>144436.73000000001</v>
      </c>
      <c r="Q2568">
        <v>288705.81</v>
      </c>
      <c r="R2568">
        <v>648</v>
      </c>
      <c r="S2568">
        <v>155</v>
      </c>
      <c r="T2568" t="s">
        <v>593</v>
      </c>
      <c r="U2568" t="s">
        <v>90</v>
      </c>
    </row>
    <row r="2569" spans="1:21">
      <c r="A2569" t="s">
        <v>3974</v>
      </c>
      <c r="B2569" t="s">
        <v>3975</v>
      </c>
      <c r="C2569" t="s">
        <v>1294</v>
      </c>
      <c r="D2569">
        <v>240000</v>
      </c>
      <c r="E2569">
        <v>10000</v>
      </c>
      <c r="F2569">
        <v>240000</v>
      </c>
      <c r="G2569">
        <v>240000</v>
      </c>
      <c r="H2569">
        <v>1</v>
      </c>
      <c r="I2569" t="s">
        <v>654</v>
      </c>
      <c r="J2569">
        <v>64.819999999999993</v>
      </c>
      <c r="K2569">
        <v>31</v>
      </c>
      <c r="L2569">
        <v>3</v>
      </c>
      <c r="M2569" t="s">
        <v>3022</v>
      </c>
      <c r="N2569">
        <v>7</v>
      </c>
      <c r="O2569">
        <v>8.67</v>
      </c>
      <c r="P2569">
        <v>144436.73000000001</v>
      </c>
      <c r="Q2569">
        <v>288705.81</v>
      </c>
      <c r="R2569">
        <v>648</v>
      </c>
      <c r="S2569">
        <v>155</v>
      </c>
      <c r="T2569" t="s">
        <v>593</v>
      </c>
      <c r="U2569" t="s">
        <v>49</v>
      </c>
    </row>
    <row r="2570" spans="1:21">
      <c r="A2570" t="s">
        <v>3976</v>
      </c>
      <c r="B2570" t="s">
        <v>3977</v>
      </c>
      <c r="C2570" t="s">
        <v>1890</v>
      </c>
      <c r="D2570">
        <v>400000</v>
      </c>
      <c r="F2570">
        <v>800000</v>
      </c>
      <c r="G2570">
        <v>800000</v>
      </c>
      <c r="H2570">
        <v>3</v>
      </c>
      <c r="I2570" t="s">
        <v>654</v>
      </c>
      <c r="J2570">
        <v>74.239999999999995</v>
      </c>
      <c r="K2570">
        <v>38</v>
      </c>
      <c r="L2570">
        <v>5</v>
      </c>
      <c r="M2570" t="s">
        <v>3022</v>
      </c>
      <c r="N2570">
        <v>10</v>
      </c>
      <c r="O2570">
        <v>11.67</v>
      </c>
      <c r="P2570">
        <v>144436.73000000001</v>
      </c>
      <c r="Q2570">
        <v>288705.81</v>
      </c>
      <c r="R2570">
        <v>648</v>
      </c>
      <c r="S2570">
        <v>155</v>
      </c>
      <c r="T2570" t="s">
        <v>596</v>
      </c>
      <c r="U2570" t="s">
        <v>49</v>
      </c>
    </row>
    <row r="2571" spans="1:21">
      <c r="A2571" t="s">
        <v>3978</v>
      </c>
      <c r="B2571" t="s">
        <v>3979</v>
      </c>
      <c r="C2571" t="s">
        <v>1294</v>
      </c>
      <c r="D2571">
        <v>220000</v>
      </c>
      <c r="F2571">
        <v>220000</v>
      </c>
      <c r="G2571">
        <v>220000</v>
      </c>
      <c r="H2571">
        <v>2</v>
      </c>
      <c r="I2571" t="s">
        <v>654</v>
      </c>
      <c r="J2571">
        <v>78.62</v>
      </c>
      <c r="K2571">
        <v>34</v>
      </c>
      <c r="L2571">
        <v>2</v>
      </c>
      <c r="M2571" t="s">
        <v>3022</v>
      </c>
      <c r="N2571">
        <v>8</v>
      </c>
      <c r="O2571">
        <v>9.33</v>
      </c>
      <c r="P2571">
        <v>144436.73000000001</v>
      </c>
      <c r="Q2571">
        <v>288705.81</v>
      </c>
      <c r="R2571">
        <v>648</v>
      </c>
      <c r="S2571">
        <v>155</v>
      </c>
      <c r="T2571" t="s">
        <v>596</v>
      </c>
      <c r="U2571" t="s">
        <v>49</v>
      </c>
    </row>
    <row r="2572" spans="1:21">
      <c r="A2572" t="s">
        <v>3980</v>
      </c>
      <c r="B2572" t="s">
        <v>3981</v>
      </c>
      <c r="C2572" t="s">
        <v>1231</v>
      </c>
      <c r="D2572">
        <v>209000</v>
      </c>
      <c r="E2572">
        <v>10000</v>
      </c>
      <c r="G2572">
        <v>209000</v>
      </c>
      <c r="H2572">
        <v>1</v>
      </c>
      <c r="I2572" t="s">
        <v>654</v>
      </c>
      <c r="J2572">
        <v>80.41</v>
      </c>
      <c r="K2572">
        <v>45</v>
      </c>
      <c r="L2572">
        <v>3</v>
      </c>
      <c r="M2572" t="s">
        <v>3022</v>
      </c>
      <c r="N2572">
        <v>5</v>
      </c>
      <c r="O2572">
        <v>10</v>
      </c>
      <c r="P2572">
        <v>144436.73000000001</v>
      </c>
      <c r="Q2572">
        <v>288705.81</v>
      </c>
      <c r="R2572">
        <v>648</v>
      </c>
      <c r="S2572">
        <v>155</v>
      </c>
      <c r="T2572" t="s">
        <v>413</v>
      </c>
      <c r="U2572" t="s">
        <v>42</v>
      </c>
    </row>
    <row r="2573" spans="1:21">
      <c r="A2573" t="s">
        <v>3982</v>
      </c>
      <c r="B2573" t="s">
        <v>3983</v>
      </c>
      <c r="C2573" t="s">
        <v>1228</v>
      </c>
      <c r="D2573">
        <v>380000</v>
      </c>
      <c r="F2573">
        <v>380000</v>
      </c>
      <c r="G2573">
        <v>380000</v>
      </c>
      <c r="H2573">
        <v>2</v>
      </c>
      <c r="I2573" t="s">
        <v>654</v>
      </c>
      <c r="J2573">
        <v>117.2</v>
      </c>
      <c r="K2573">
        <v>36</v>
      </c>
      <c r="L2573">
        <v>3</v>
      </c>
      <c r="M2573" t="s">
        <v>3022</v>
      </c>
      <c r="N2573">
        <v>5</v>
      </c>
      <c r="O2573">
        <v>9.67</v>
      </c>
      <c r="P2573">
        <v>144436.73000000001</v>
      </c>
      <c r="Q2573">
        <v>288705.81</v>
      </c>
      <c r="R2573">
        <v>648</v>
      </c>
      <c r="S2573">
        <v>155</v>
      </c>
      <c r="T2573" t="s">
        <v>658</v>
      </c>
      <c r="U2573" t="s">
        <v>49</v>
      </c>
    </row>
    <row r="2574" spans="1:21">
      <c r="A2574" t="s">
        <v>3984</v>
      </c>
      <c r="B2574" t="s">
        <v>3551</v>
      </c>
      <c r="C2574" t="s">
        <v>1890</v>
      </c>
      <c r="D2574">
        <v>221500</v>
      </c>
      <c r="E2574">
        <v>4400</v>
      </c>
      <c r="G2574">
        <v>443000</v>
      </c>
      <c r="H2574">
        <v>2</v>
      </c>
      <c r="I2574" t="s">
        <v>654</v>
      </c>
      <c r="J2574">
        <v>62.1</v>
      </c>
      <c r="K2574">
        <v>0</v>
      </c>
      <c r="L2574">
        <v>2</v>
      </c>
      <c r="M2574" t="s">
        <v>3022</v>
      </c>
      <c r="N2574">
        <v>13</v>
      </c>
      <c r="O2574">
        <v>13.67</v>
      </c>
      <c r="P2574">
        <v>144436.73000000001</v>
      </c>
      <c r="Q2574">
        <v>288705.81</v>
      </c>
      <c r="R2574">
        <v>648</v>
      </c>
      <c r="S2574">
        <v>155</v>
      </c>
      <c r="T2574" t="s">
        <v>593</v>
      </c>
      <c r="U2574" t="s">
        <v>81</v>
      </c>
    </row>
    <row r="2575" spans="1:21">
      <c r="A2575" t="s">
        <v>3985</v>
      </c>
      <c r="B2575" t="s">
        <v>3551</v>
      </c>
      <c r="C2575" t="s">
        <v>1890</v>
      </c>
      <c r="D2575">
        <v>223500</v>
      </c>
      <c r="E2575">
        <v>4400</v>
      </c>
      <c r="G2575">
        <v>447000</v>
      </c>
      <c r="H2575">
        <v>2</v>
      </c>
      <c r="I2575" t="s">
        <v>654</v>
      </c>
      <c r="J2575">
        <v>62.1</v>
      </c>
      <c r="K2575">
        <v>0</v>
      </c>
      <c r="L2575">
        <v>2</v>
      </c>
      <c r="M2575" t="s">
        <v>3022</v>
      </c>
      <c r="N2575">
        <v>13</v>
      </c>
      <c r="O2575">
        <v>13.67</v>
      </c>
      <c r="P2575">
        <v>144436.73000000001</v>
      </c>
      <c r="Q2575">
        <v>288705.81</v>
      </c>
      <c r="R2575">
        <v>648</v>
      </c>
      <c r="S2575">
        <v>155</v>
      </c>
      <c r="T2575" t="s">
        <v>593</v>
      </c>
      <c r="U2575" t="s">
        <v>81</v>
      </c>
    </row>
    <row r="2576" spans="1:21">
      <c r="A2576" t="s">
        <v>3986</v>
      </c>
      <c r="B2576" t="s">
        <v>3987</v>
      </c>
      <c r="C2576" t="s">
        <v>3025</v>
      </c>
      <c r="D2576">
        <v>410000</v>
      </c>
      <c r="E2576">
        <v>10000</v>
      </c>
      <c r="F2576">
        <v>410000</v>
      </c>
      <c r="G2576">
        <v>820000</v>
      </c>
      <c r="H2576">
        <v>24</v>
      </c>
      <c r="I2576" t="s">
        <v>654</v>
      </c>
      <c r="J2576">
        <v>74.41</v>
      </c>
      <c r="K2576">
        <v>2</v>
      </c>
      <c r="L2576">
        <v>25</v>
      </c>
      <c r="M2576" t="s">
        <v>3022</v>
      </c>
      <c r="N2576">
        <v>1</v>
      </c>
      <c r="O2576">
        <v>4</v>
      </c>
      <c r="P2576">
        <v>144436.73000000001</v>
      </c>
      <c r="Q2576">
        <v>288705.81</v>
      </c>
      <c r="R2576">
        <v>648</v>
      </c>
      <c r="S2576">
        <v>155</v>
      </c>
      <c r="T2576" t="s">
        <v>596</v>
      </c>
      <c r="U2576" t="s">
        <v>31</v>
      </c>
    </row>
    <row r="2577" spans="1:21">
      <c r="A2577" t="s">
        <v>3988</v>
      </c>
      <c r="B2577" t="s">
        <v>3989</v>
      </c>
      <c r="C2577" t="s">
        <v>1231</v>
      </c>
      <c r="D2577">
        <v>209000</v>
      </c>
      <c r="E2577">
        <v>10000</v>
      </c>
      <c r="G2577">
        <v>209000</v>
      </c>
      <c r="H2577">
        <v>1</v>
      </c>
      <c r="I2577" t="s">
        <v>654</v>
      </c>
      <c r="J2577">
        <v>80.41</v>
      </c>
      <c r="K2577">
        <v>45</v>
      </c>
      <c r="L2577">
        <v>3</v>
      </c>
      <c r="M2577" t="s">
        <v>3022</v>
      </c>
      <c r="N2577">
        <v>5</v>
      </c>
      <c r="O2577">
        <v>9.67</v>
      </c>
      <c r="P2577">
        <v>144436.73000000001</v>
      </c>
      <c r="Q2577">
        <v>288705.81</v>
      </c>
      <c r="R2577">
        <v>648</v>
      </c>
      <c r="S2577">
        <v>155</v>
      </c>
      <c r="T2577" t="s">
        <v>413</v>
      </c>
      <c r="U2577" t="s">
        <v>42</v>
      </c>
    </row>
    <row r="2578" spans="1:21">
      <c r="A2578" t="s">
        <v>3990</v>
      </c>
      <c r="B2578" t="s">
        <v>3991</v>
      </c>
      <c r="C2578" t="s">
        <v>3025</v>
      </c>
      <c r="D2578">
        <v>410000</v>
      </c>
      <c r="F2578">
        <v>410000</v>
      </c>
      <c r="G2578">
        <v>820000</v>
      </c>
      <c r="H2578">
        <v>24</v>
      </c>
      <c r="I2578" t="s">
        <v>654</v>
      </c>
      <c r="J2578">
        <v>74.41</v>
      </c>
      <c r="K2578">
        <v>2</v>
      </c>
      <c r="L2578">
        <v>26</v>
      </c>
      <c r="M2578" t="s">
        <v>3022</v>
      </c>
      <c r="N2578">
        <v>1</v>
      </c>
      <c r="O2578">
        <v>8.33</v>
      </c>
      <c r="P2578">
        <v>144436.73000000001</v>
      </c>
      <c r="Q2578">
        <v>288705.81</v>
      </c>
      <c r="R2578">
        <v>648</v>
      </c>
      <c r="S2578">
        <v>155</v>
      </c>
      <c r="T2578" t="s">
        <v>596</v>
      </c>
      <c r="U2578" t="s">
        <v>31</v>
      </c>
    </row>
    <row r="2579" spans="1:21">
      <c r="A2579" t="s">
        <v>3992</v>
      </c>
      <c r="B2579" t="s">
        <v>3592</v>
      </c>
      <c r="C2579" t="s">
        <v>1228</v>
      </c>
      <c r="D2579">
        <v>425000</v>
      </c>
      <c r="E2579">
        <v>25000</v>
      </c>
      <c r="F2579">
        <v>425000</v>
      </c>
      <c r="H2579">
        <v>12</v>
      </c>
      <c r="I2579" t="s">
        <v>654</v>
      </c>
      <c r="J2579">
        <v>60.14</v>
      </c>
      <c r="K2579">
        <v>1</v>
      </c>
      <c r="L2579">
        <v>12</v>
      </c>
      <c r="M2579" t="s">
        <v>3022</v>
      </c>
      <c r="N2579">
        <v>3</v>
      </c>
      <c r="O2579">
        <v>9.33</v>
      </c>
      <c r="P2579">
        <v>144436.73000000001</v>
      </c>
      <c r="Q2579">
        <v>288705.81</v>
      </c>
      <c r="R2579">
        <v>648</v>
      </c>
      <c r="S2579">
        <v>155</v>
      </c>
      <c r="T2579" t="s">
        <v>593</v>
      </c>
      <c r="U2579" t="s">
        <v>31</v>
      </c>
    </row>
    <row r="2580" spans="1:21">
      <c r="A2580" t="s">
        <v>3993</v>
      </c>
      <c r="B2580" t="s">
        <v>3592</v>
      </c>
      <c r="C2580" t="s">
        <v>1228</v>
      </c>
      <c r="D2580">
        <v>425000</v>
      </c>
      <c r="E2580">
        <v>25000</v>
      </c>
      <c r="F2580">
        <v>425000</v>
      </c>
      <c r="H2580">
        <v>12</v>
      </c>
      <c r="I2580" t="s">
        <v>654</v>
      </c>
      <c r="J2580">
        <v>62.55</v>
      </c>
      <c r="K2580">
        <v>1</v>
      </c>
      <c r="L2580">
        <v>12</v>
      </c>
      <c r="M2580" t="s">
        <v>3022</v>
      </c>
      <c r="N2580">
        <v>3</v>
      </c>
      <c r="O2580">
        <v>9.33</v>
      </c>
      <c r="P2580">
        <v>144436.73000000001</v>
      </c>
      <c r="Q2580">
        <v>288705.81</v>
      </c>
      <c r="R2580">
        <v>648</v>
      </c>
      <c r="S2580">
        <v>155</v>
      </c>
      <c r="T2580" t="s">
        <v>593</v>
      </c>
      <c r="U2580" t="s">
        <v>31</v>
      </c>
    </row>
    <row r="2581" spans="1:21">
      <c r="A2581" t="s">
        <v>3994</v>
      </c>
      <c r="B2581" t="s">
        <v>3995</v>
      </c>
      <c r="C2581" t="s">
        <v>1294</v>
      </c>
      <c r="D2581">
        <v>240000</v>
      </c>
      <c r="E2581">
        <v>10000</v>
      </c>
      <c r="F2581">
        <v>240000</v>
      </c>
      <c r="G2581">
        <v>240000</v>
      </c>
      <c r="H2581">
        <v>1</v>
      </c>
      <c r="I2581" t="s">
        <v>654</v>
      </c>
      <c r="J2581">
        <v>64.819999999999993</v>
      </c>
      <c r="K2581">
        <v>31</v>
      </c>
      <c r="L2581">
        <v>3</v>
      </c>
      <c r="M2581" t="s">
        <v>3022</v>
      </c>
      <c r="N2581">
        <v>6</v>
      </c>
      <c r="O2581">
        <v>10.33</v>
      </c>
      <c r="P2581">
        <v>144436.73000000001</v>
      </c>
      <c r="Q2581">
        <v>288705.81</v>
      </c>
      <c r="R2581">
        <v>648</v>
      </c>
      <c r="S2581">
        <v>155</v>
      </c>
      <c r="T2581" t="s">
        <v>593</v>
      </c>
      <c r="U2581" t="s">
        <v>49</v>
      </c>
    </row>
    <row r="2582" spans="1:21">
      <c r="A2582" t="s">
        <v>3996</v>
      </c>
      <c r="B2582" t="s">
        <v>3997</v>
      </c>
      <c r="C2582" t="s">
        <v>1228</v>
      </c>
      <c r="D2582">
        <v>380000</v>
      </c>
      <c r="F2582">
        <v>380000</v>
      </c>
      <c r="G2582">
        <v>380000</v>
      </c>
      <c r="H2582">
        <v>2</v>
      </c>
      <c r="I2582" t="s">
        <v>654</v>
      </c>
      <c r="J2582">
        <v>117.2</v>
      </c>
      <c r="K2582">
        <v>36</v>
      </c>
      <c r="L2582">
        <v>3</v>
      </c>
      <c r="M2582" t="s">
        <v>3022</v>
      </c>
      <c r="N2582">
        <v>5</v>
      </c>
      <c r="O2582">
        <v>10.33</v>
      </c>
      <c r="P2582">
        <v>144436.73000000001</v>
      </c>
      <c r="Q2582">
        <v>288705.81</v>
      </c>
      <c r="R2582">
        <v>648</v>
      </c>
      <c r="S2582">
        <v>155</v>
      </c>
      <c r="T2582" t="s">
        <v>658</v>
      </c>
      <c r="U2582" t="s">
        <v>49</v>
      </c>
    </row>
    <row r="2583" spans="1:21">
      <c r="A2583" t="s">
        <v>3998</v>
      </c>
      <c r="B2583" t="s">
        <v>3999</v>
      </c>
      <c r="C2583" t="s">
        <v>3025</v>
      </c>
      <c r="D2583">
        <v>300000</v>
      </c>
      <c r="E2583">
        <v>10000</v>
      </c>
      <c r="F2583">
        <v>300000</v>
      </c>
      <c r="G2583">
        <v>300000</v>
      </c>
      <c r="H2583">
        <v>1</v>
      </c>
      <c r="I2583" t="s">
        <v>654</v>
      </c>
      <c r="J2583">
        <v>68.239999999999995</v>
      </c>
      <c r="K2583">
        <v>14</v>
      </c>
      <c r="L2583">
        <v>6</v>
      </c>
      <c r="M2583" t="s">
        <v>3022</v>
      </c>
      <c r="N2583">
        <v>3</v>
      </c>
      <c r="O2583">
        <v>9</v>
      </c>
      <c r="P2583">
        <v>144436.73000000001</v>
      </c>
      <c r="Q2583">
        <v>288705.81</v>
      </c>
      <c r="R2583">
        <v>648</v>
      </c>
      <c r="S2583">
        <v>155</v>
      </c>
      <c r="T2583" t="s">
        <v>593</v>
      </c>
      <c r="U2583" t="s">
        <v>90</v>
      </c>
    </row>
    <row r="2584" spans="1:21">
      <c r="A2584" t="s">
        <v>4000</v>
      </c>
      <c r="B2584" t="s">
        <v>4001</v>
      </c>
      <c r="C2584" t="s">
        <v>1231</v>
      </c>
      <c r="D2584">
        <v>280000</v>
      </c>
      <c r="F2584">
        <v>280000</v>
      </c>
      <c r="G2584">
        <v>280000</v>
      </c>
      <c r="H2584">
        <v>2</v>
      </c>
      <c r="I2584" t="s">
        <v>1737</v>
      </c>
      <c r="J2584">
        <v>80</v>
      </c>
      <c r="K2584">
        <v>34</v>
      </c>
      <c r="L2584">
        <v>3</v>
      </c>
      <c r="M2584" t="s">
        <v>3022</v>
      </c>
      <c r="N2584">
        <v>6</v>
      </c>
      <c r="O2584">
        <v>7</v>
      </c>
      <c r="P2584">
        <v>144436.73000000001</v>
      </c>
      <c r="Q2584">
        <v>384285.71</v>
      </c>
      <c r="R2584">
        <v>648</v>
      </c>
      <c r="S2584">
        <v>7</v>
      </c>
      <c r="T2584" t="s">
        <v>413</v>
      </c>
      <c r="U2584" t="s">
        <v>49</v>
      </c>
    </row>
    <row r="2585" spans="1:21">
      <c r="A2585" t="s">
        <v>4002</v>
      </c>
      <c r="B2585" t="s">
        <v>4003</v>
      </c>
      <c r="C2585" t="s">
        <v>1768</v>
      </c>
      <c r="D2585">
        <v>138000</v>
      </c>
      <c r="F2585">
        <v>138000</v>
      </c>
      <c r="H2585">
        <v>1</v>
      </c>
      <c r="I2585" t="s">
        <v>4004</v>
      </c>
      <c r="J2585">
        <v>60</v>
      </c>
      <c r="K2585">
        <v>46</v>
      </c>
      <c r="L2585">
        <v>2</v>
      </c>
      <c r="M2585" t="s">
        <v>3022</v>
      </c>
      <c r="N2585">
        <v>11</v>
      </c>
      <c r="O2585">
        <v>11.33</v>
      </c>
      <c r="P2585">
        <v>144436.73000000001</v>
      </c>
      <c r="Q2585">
        <v>138000</v>
      </c>
      <c r="R2585">
        <v>648</v>
      </c>
      <c r="S2585">
        <v>1</v>
      </c>
      <c r="T2585" t="s">
        <v>593</v>
      </c>
      <c r="U2585" t="s">
        <v>42</v>
      </c>
    </row>
    <row r="2586" spans="1:21">
      <c r="A2586" t="s">
        <v>4005</v>
      </c>
      <c r="B2586" t="s">
        <v>4006</v>
      </c>
      <c r="C2586" t="s">
        <v>3059</v>
      </c>
      <c r="D2586">
        <v>320000</v>
      </c>
      <c r="E2586">
        <v>3000</v>
      </c>
      <c r="F2586">
        <v>320000</v>
      </c>
      <c r="G2586">
        <v>320000</v>
      </c>
      <c r="H2586">
        <v>1</v>
      </c>
      <c r="I2586" t="s">
        <v>681</v>
      </c>
      <c r="J2586">
        <v>94.55</v>
      </c>
      <c r="K2586">
        <v>38</v>
      </c>
      <c r="L2586">
        <v>4</v>
      </c>
      <c r="M2586" t="s">
        <v>3022</v>
      </c>
      <c r="N2586">
        <v>3</v>
      </c>
      <c r="O2586">
        <v>4.67</v>
      </c>
      <c r="P2586">
        <v>144436.73000000001</v>
      </c>
      <c r="Q2586">
        <v>388200</v>
      </c>
      <c r="R2586">
        <v>648</v>
      </c>
      <c r="S2586">
        <v>20</v>
      </c>
      <c r="T2586" t="s">
        <v>1835</v>
      </c>
      <c r="U2586" t="s">
        <v>49</v>
      </c>
    </row>
    <row r="2587" spans="1:21">
      <c r="A2587" t="s">
        <v>4007</v>
      </c>
      <c r="B2587" t="s">
        <v>4008</v>
      </c>
      <c r="C2587" t="s">
        <v>4009</v>
      </c>
      <c r="D2587">
        <v>102000</v>
      </c>
      <c r="E2587">
        <v>3000</v>
      </c>
      <c r="F2587">
        <v>102000</v>
      </c>
      <c r="G2587">
        <v>102000</v>
      </c>
      <c r="H2587">
        <v>1</v>
      </c>
      <c r="I2587" t="s">
        <v>24</v>
      </c>
      <c r="J2587">
        <v>34.36</v>
      </c>
      <c r="K2587">
        <v>4</v>
      </c>
      <c r="L2587">
        <v>2</v>
      </c>
      <c r="M2587" t="s">
        <v>4010</v>
      </c>
      <c r="N2587">
        <v>4</v>
      </c>
      <c r="O2587">
        <v>11</v>
      </c>
      <c r="P2587">
        <v>104537.14</v>
      </c>
      <c r="Q2587">
        <v>123325.96</v>
      </c>
      <c r="R2587">
        <v>315</v>
      </c>
      <c r="S2587">
        <v>339</v>
      </c>
      <c r="T2587" t="s">
        <v>26</v>
      </c>
      <c r="U2587" t="s">
        <v>31</v>
      </c>
    </row>
    <row r="2588" spans="1:21">
      <c r="A2588" t="s">
        <v>4011</v>
      </c>
      <c r="B2588" t="s">
        <v>4012</v>
      </c>
      <c r="C2588" t="s">
        <v>4013</v>
      </c>
      <c r="D2588">
        <v>62000</v>
      </c>
      <c r="E2588">
        <v>2000</v>
      </c>
      <c r="F2588">
        <v>62000</v>
      </c>
      <c r="G2588">
        <v>62000</v>
      </c>
      <c r="H2588">
        <v>2</v>
      </c>
      <c r="I2588" t="s">
        <v>24</v>
      </c>
      <c r="J2588">
        <v>24.58</v>
      </c>
      <c r="K2588">
        <v>39</v>
      </c>
      <c r="L2588">
        <v>2</v>
      </c>
      <c r="M2588" t="s">
        <v>4010</v>
      </c>
      <c r="N2588">
        <v>4</v>
      </c>
      <c r="O2588">
        <v>5.5</v>
      </c>
      <c r="P2588">
        <v>104537.14</v>
      </c>
      <c r="Q2588">
        <v>123325.96</v>
      </c>
      <c r="R2588">
        <v>315</v>
      </c>
      <c r="S2588">
        <v>339</v>
      </c>
      <c r="T2588" t="s">
        <v>34</v>
      </c>
      <c r="U2588" t="s">
        <v>49</v>
      </c>
    </row>
    <row r="2589" spans="1:21">
      <c r="A2589" t="s">
        <v>4014</v>
      </c>
      <c r="B2589" t="s">
        <v>4015</v>
      </c>
      <c r="C2589" t="s">
        <v>4016</v>
      </c>
      <c r="D2589">
        <v>107000</v>
      </c>
      <c r="E2589">
        <v>6000</v>
      </c>
      <c r="F2589">
        <v>107000</v>
      </c>
      <c r="G2589">
        <v>107000</v>
      </c>
      <c r="H2589">
        <v>3</v>
      </c>
      <c r="I2589" t="s">
        <v>24</v>
      </c>
      <c r="J2589">
        <v>33.07</v>
      </c>
      <c r="K2589">
        <v>24</v>
      </c>
      <c r="L2589">
        <v>7</v>
      </c>
      <c r="M2589" t="s">
        <v>4010</v>
      </c>
      <c r="N2589">
        <v>3</v>
      </c>
      <c r="O2589">
        <v>9.67</v>
      </c>
      <c r="P2589">
        <v>104537.14</v>
      </c>
      <c r="Q2589">
        <v>123325.96</v>
      </c>
      <c r="R2589">
        <v>315</v>
      </c>
      <c r="S2589">
        <v>339</v>
      </c>
      <c r="T2589" t="s">
        <v>26</v>
      </c>
      <c r="U2589" t="s">
        <v>27</v>
      </c>
    </row>
    <row r="2590" spans="1:21">
      <c r="A2590" t="s">
        <v>4017</v>
      </c>
      <c r="B2590" t="s">
        <v>4018</v>
      </c>
      <c r="C2590" t="s">
        <v>4019</v>
      </c>
      <c r="D2590">
        <v>82000</v>
      </c>
      <c r="E2590">
        <v>3000</v>
      </c>
      <c r="F2590">
        <v>82000</v>
      </c>
      <c r="G2590">
        <v>82000</v>
      </c>
      <c r="H2590">
        <v>3</v>
      </c>
      <c r="I2590" t="s">
        <v>24</v>
      </c>
      <c r="J2590">
        <v>33.07</v>
      </c>
      <c r="K2590">
        <v>32</v>
      </c>
      <c r="L2590">
        <v>3</v>
      </c>
      <c r="M2590" t="s">
        <v>4010</v>
      </c>
      <c r="N2590">
        <v>3</v>
      </c>
      <c r="O2590">
        <v>7</v>
      </c>
      <c r="P2590">
        <v>104537.14</v>
      </c>
      <c r="Q2590">
        <v>123325.96</v>
      </c>
      <c r="R2590">
        <v>315</v>
      </c>
      <c r="S2590">
        <v>339</v>
      </c>
      <c r="T2590" t="s">
        <v>26</v>
      </c>
      <c r="U2590" t="s">
        <v>49</v>
      </c>
    </row>
    <row r="2591" spans="1:21">
      <c r="A2591" t="s">
        <v>4020</v>
      </c>
      <c r="B2591" t="s">
        <v>4021</v>
      </c>
      <c r="C2591" t="s">
        <v>4016</v>
      </c>
      <c r="D2591">
        <v>141000</v>
      </c>
      <c r="E2591">
        <v>15000</v>
      </c>
      <c r="F2591">
        <v>141000</v>
      </c>
      <c r="G2591">
        <v>141000</v>
      </c>
      <c r="H2591">
        <v>4</v>
      </c>
      <c r="I2591" t="s">
        <v>24</v>
      </c>
      <c r="J2591">
        <v>30.77</v>
      </c>
      <c r="K2591">
        <v>3</v>
      </c>
      <c r="L2591">
        <v>10</v>
      </c>
      <c r="M2591" t="s">
        <v>4010</v>
      </c>
      <c r="N2591">
        <v>1</v>
      </c>
      <c r="O2591">
        <v>8.67</v>
      </c>
      <c r="P2591">
        <v>104537.14</v>
      </c>
      <c r="Q2591">
        <v>123325.96</v>
      </c>
      <c r="R2591">
        <v>315</v>
      </c>
      <c r="S2591">
        <v>339</v>
      </c>
      <c r="T2591" t="s">
        <v>26</v>
      </c>
      <c r="U2591" t="s">
        <v>31</v>
      </c>
    </row>
    <row r="2592" spans="1:21">
      <c r="A2592" t="s">
        <v>4022</v>
      </c>
      <c r="B2592" t="s">
        <v>4021</v>
      </c>
      <c r="C2592" t="s">
        <v>4016</v>
      </c>
      <c r="D2592">
        <v>141000</v>
      </c>
      <c r="E2592">
        <v>15000</v>
      </c>
      <c r="F2592">
        <v>141000</v>
      </c>
      <c r="H2592">
        <v>8</v>
      </c>
      <c r="I2592" t="s">
        <v>24</v>
      </c>
      <c r="J2592">
        <v>30.77</v>
      </c>
      <c r="K2592">
        <v>3</v>
      </c>
      <c r="L2592">
        <v>10</v>
      </c>
      <c r="M2592" t="s">
        <v>4010</v>
      </c>
      <c r="N2592">
        <v>1</v>
      </c>
      <c r="O2592">
        <v>8.67</v>
      </c>
      <c r="P2592">
        <v>104537.14</v>
      </c>
      <c r="Q2592">
        <v>123325.96</v>
      </c>
      <c r="R2592">
        <v>315</v>
      </c>
      <c r="S2592">
        <v>339</v>
      </c>
      <c r="T2592" t="s">
        <v>26</v>
      </c>
      <c r="U2592" t="s">
        <v>31</v>
      </c>
    </row>
    <row r="2593" spans="1:21">
      <c r="A2593" t="s">
        <v>4023</v>
      </c>
      <c r="B2593" t="s">
        <v>4024</v>
      </c>
      <c r="C2593" t="s">
        <v>4016</v>
      </c>
      <c r="D2593">
        <v>122000</v>
      </c>
      <c r="E2593">
        <v>4600</v>
      </c>
      <c r="G2593">
        <v>183000</v>
      </c>
      <c r="H2593">
        <v>4</v>
      </c>
      <c r="I2593" t="s">
        <v>24</v>
      </c>
      <c r="J2593">
        <v>30.54</v>
      </c>
      <c r="K2593">
        <v>2</v>
      </c>
      <c r="L2593">
        <v>4</v>
      </c>
      <c r="M2593" t="s">
        <v>4010</v>
      </c>
      <c r="N2593">
        <v>3</v>
      </c>
      <c r="O2593">
        <v>11</v>
      </c>
      <c r="P2593">
        <v>104537.14</v>
      </c>
      <c r="Q2593">
        <v>123325.96</v>
      </c>
      <c r="R2593">
        <v>315</v>
      </c>
      <c r="S2593">
        <v>339</v>
      </c>
      <c r="T2593" t="s">
        <v>26</v>
      </c>
      <c r="U2593" t="s">
        <v>31</v>
      </c>
    </row>
    <row r="2594" spans="1:21">
      <c r="A2594" t="s">
        <v>4025</v>
      </c>
      <c r="B2594" t="s">
        <v>4026</v>
      </c>
      <c r="C2594" t="s">
        <v>4027</v>
      </c>
      <c r="D2594">
        <v>141000</v>
      </c>
      <c r="E2594">
        <v>12000</v>
      </c>
      <c r="H2594">
        <v>-1</v>
      </c>
      <c r="I2594" t="s">
        <v>24</v>
      </c>
      <c r="J2594">
        <v>32.9</v>
      </c>
      <c r="K2594">
        <v>0</v>
      </c>
      <c r="L2594">
        <v>4</v>
      </c>
      <c r="M2594" t="s">
        <v>4010</v>
      </c>
      <c r="N2594">
        <v>7</v>
      </c>
      <c r="O2594">
        <v>9.33</v>
      </c>
      <c r="P2594">
        <v>104537.14</v>
      </c>
      <c r="Q2594">
        <v>123325.96</v>
      </c>
      <c r="R2594">
        <v>315</v>
      </c>
      <c r="S2594">
        <v>339</v>
      </c>
      <c r="T2594" t="s">
        <v>26</v>
      </c>
      <c r="U2594" t="s">
        <v>81</v>
      </c>
    </row>
    <row r="2595" spans="1:21">
      <c r="A2595" t="s">
        <v>4028</v>
      </c>
      <c r="B2595" t="s">
        <v>4029</v>
      </c>
      <c r="C2595" t="s">
        <v>4019</v>
      </c>
      <c r="D2595">
        <v>117000</v>
      </c>
      <c r="E2595">
        <v>6000</v>
      </c>
      <c r="F2595">
        <v>117000</v>
      </c>
      <c r="G2595">
        <v>117000</v>
      </c>
      <c r="H2595">
        <v>3</v>
      </c>
      <c r="I2595" t="s">
        <v>24</v>
      </c>
      <c r="J2595">
        <v>42.78</v>
      </c>
      <c r="K2595">
        <v>8</v>
      </c>
      <c r="L2595">
        <v>3</v>
      </c>
      <c r="M2595" t="s">
        <v>4010</v>
      </c>
      <c r="N2595">
        <v>6</v>
      </c>
      <c r="O2595">
        <v>11.67</v>
      </c>
      <c r="P2595">
        <v>104537.14</v>
      </c>
      <c r="Q2595">
        <v>123325.96</v>
      </c>
      <c r="R2595">
        <v>315</v>
      </c>
      <c r="S2595">
        <v>339</v>
      </c>
      <c r="T2595" t="s">
        <v>326</v>
      </c>
      <c r="U2595" t="s">
        <v>31</v>
      </c>
    </row>
    <row r="2596" spans="1:21">
      <c r="A2596" t="s">
        <v>4030</v>
      </c>
      <c r="B2596" t="s">
        <v>4031</v>
      </c>
      <c r="C2596" t="s">
        <v>4032</v>
      </c>
      <c r="D2596">
        <v>100000</v>
      </c>
      <c r="E2596">
        <v>5000</v>
      </c>
      <c r="F2596">
        <v>100000</v>
      </c>
      <c r="G2596">
        <v>100000</v>
      </c>
      <c r="H2596">
        <v>1</v>
      </c>
      <c r="I2596" t="s">
        <v>24</v>
      </c>
      <c r="J2596">
        <v>30</v>
      </c>
      <c r="K2596">
        <v>56</v>
      </c>
      <c r="L2596">
        <v>4</v>
      </c>
      <c r="M2596" t="s">
        <v>4010</v>
      </c>
      <c r="N2596">
        <v>8</v>
      </c>
      <c r="O2596">
        <v>10.33</v>
      </c>
      <c r="P2596">
        <v>104537.14</v>
      </c>
      <c r="Q2596">
        <v>123325.96</v>
      </c>
      <c r="R2596">
        <v>315</v>
      </c>
      <c r="S2596">
        <v>339</v>
      </c>
      <c r="T2596" t="s">
        <v>26</v>
      </c>
      <c r="U2596" t="s">
        <v>57</v>
      </c>
    </row>
    <row r="2597" spans="1:21">
      <c r="A2597" t="s">
        <v>4033</v>
      </c>
      <c r="B2597" t="s">
        <v>4034</v>
      </c>
      <c r="C2597" t="s">
        <v>4016</v>
      </c>
      <c r="D2597">
        <v>141000</v>
      </c>
      <c r="E2597">
        <v>15000</v>
      </c>
      <c r="F2597">
        <v>141000</v>
      </c>
      <c r="G2597">
        <v>141000</v>
      </c>
      <c r="H2597">
        <v>4</v>
      </c>
      <c r="I2597" t="s">
        <v>24</v>
      </c>
      <c r="J2597">
        <v>30.77</v>
      </c>
      <c r="K2597">
        <v>3</v>
      </c>
      <c r="L2597">
        <v>10</v>
      </c>
      <c r="M2597" t="s">
        <v>4010</v>
      </c>
      <c r="N2597">
        <v>1</v>
      </c>
      <c r="O2597">
        <v>9.67</v>
      </c>
      <c r="P2597">
        <v>104537.14</v>
      </c>
      <c r="Q2597">
        <v>123325.96</v>
      </c>
      <c r="R2597">
        <v>315</v>
      </c>
      <c r="S2597">
        <v>339</v>
      </c>
      <c r="T2597" t="s">
        <v>26</v>
      </c>
      <c r="U2597" t="s">
        <v>31</v>
      </c>
    </row>
    <row r="2598" spans="1:21">
      <c r="A2598" t="s">
        <v>4035</v>
      </c>
      <c r="B2598" t="s">
        <v>4036</v>
      </c>
      <c r="C2598" t="s">
        <v>4016</v>
      </c>
      <c r="D2598">
        <v>122000</v>
      </c>
      <c r="E2598">
        <v>4600</v>
      </c>
      <c r="G2598">
        <v>183000</v>
      </c>
      <c r="H2598">
        <v>4</v>
      </c>
      <c r="I2598" t="s">
        <v>24</v>
      </c>
      <c r="J2598">
        <v>30.54</v>
      </c>
      <c r="K2598">
        <v>2</v>
      </c>
      <c r="L2598">
        <v>4</v>
      </c>
      <c r="M2598" t="s">
        <v>4010</v>
      </c>
      <c r="N2598">
        <v>3</v>
      </c>
      <c r="O2598">
        <v>10.33</v>
      </c>
      <c r="P2598">
        <v>104537.14</v>
      </c>
      <c r="Q2598">
        <v>123325.96</v>
      </c>
      <c r="R2598">
        <v>315</v>
      </c>
      <c r="S2598">
        <v>339</v>
      </c>
      <c r="T2598" t="s">
        <v>26</v>
      </c>
      <c r="U2598" t="s">
        <v>31</v>
      </c>
    </row>
    <row r="2599" spans="1:21">
      <c r="A2599" t="s">
        <v>4037</v>
      </c>
      <c r="B2599" t="s">
        <v>4038</v>
      </c>
      <c r="C2599" t="s">
        <v>2962</v>
      </c>
      <c r="D2599">
        <v>70000</v>
      </c>
      <c r="E2599">
        <v>5000</v>
      </c>
      <c r="F2599">
        <v>35000</v>
      </c>
      <c r="G2599">
        <v>140000</v>
      </c>
      <c r="H2599">
        <v>3</v>
      </c>
      <c r="I2599" t="s">
        <v>24</v>
      </c>
      <c r="J2599">
        <v>23</v>
      </c>
      <c r="K2599">
        <v>44</v>
      </c>
      <c r="L2599">
        <v>4</v>
      </c>
      <c r="M2599" t="s">
        <v>4010</v>
      </c>
      <c r="N2599">
        <v>4</v>
      </c>
      <c r="O2599">
        <v>9.67</v>
      </c>
      <c r="P2599">
        <v>104537.14</v>
      </c>
      <c r="Q2599">
        <v>123325.96</v>
      </c>
      <c r="R2599">
        <v>315</v>
      </c>
      <c r="S2599">
        <v>339</v>
      </c>
      <c r="T2599" t="s">
        <v>34</v>
      </c>
      <c r="U2599" t="s">
        <v>42</v>
      </c>
    </row>
    <row r="2600" spans="1:21">
      <c r="A2600" t="s">
        <v>4039</v>
      </c>
      <c r="B2600" t="s">
        <v>4040</v>
      </c>
      <c r="C2600" t="s">
        <v>4016</v>
      </c>
      <c r="D2600">
        <v>107000</v>
      </c>
      <c r="E2600">
        <v>6000</v>
      </c>
      <c r="F2600">
        <v>107000</v>
      </c>
      <c r="G2600">
        <v>107000</v>
      </c>
      <c r="H2600">
        <v>3</v>
      </c>
      <c r="I2600" t="s">
        <v>24</v>
      </c>
      <c r="J2600">
        <v>33.07</v>
      </c>
      <c r="K2600">
        <v>24</v>
      </c>
      <c r="L2600">
        <v>7</v>
      </c>
      <c r="M2600" t="s">
        <v>4010</v>
      </c>
      <c r="N2600">
        <v>3</v>
      </c>
      <c r="O2600">
        <v>9.67</v>
      </c>
      <c r="P2600">
        <v>104537.14</v>
      </c>
      <c r="Q2600">
        <v>123325.96</v>
      </c>
      <c r="R2600">
        <v>315</v>
      </c>
      <c r="S2600">
        <v>339</v>
      </c>
      <c r="T2600" t="s">
        <v>26</v>
      </c>
      <c r="U2600" t="s">
        <v>27</v>
      </c>
    </row>
    <row r="2601" spans="1:21">
      <c r="A2601" t="s">
        <v>4041</v>
      </c>
      <c r="B2601" t="s">
        <v>4042</v>
      </c>
      <c r="C2601" t="s">
        <v>4016</v>
      </c>
      <c r="D2601">
        <v>77000</v>
      </c>
      <c r="E2601">
        <v>4000</v>
      </c>
      <c r="F2601">
        <v>77000</v>
      </c>
      <c r="H2601">
        <v>2</v>
      </c>
      <c r="I2601" t="s">
        <v>24</v>
      </c>
      <c r="J2601">
        <v>26.75</v>
      </c>
      <c r="K2601">
        <v>35</v>
      </c>
      <c r="L2601">
        <v>3</v>
      </c>
      <c r="M2601" t="s">
        <v>4010</v>
      </c>
      <c r="N2601">
        <v>4</v>
      </c>
      <c r="O2601">
        <v>8</v>
      </c>
      <c r="P2601">
        <v>104537.14</v>
      </c>
      <c r="Q2601">
        <v>123325.96</v>
      </c>
      <c r="R2601">
        <v>315</v>
      </c>
      <c r="S2601">
        <v>339</v>
      </c>
      <c r="T2601" t="s">
        <v>34</v>
      </c>
      <c r="U2601" t="s">
        <v>49</v>
      </c>
    </row>
    <row r="2602" spans="1:21">
      <c r="A2602" t="s">
        <v>4043</v>
      </c>
      <c r="B2602" t="s">
        <v>4044</v>
      </c>
      <c r="C2602" t="s">
        <v>4016</v>
      </c>
      <c r="D2602">
        <v>98000</v>
      </c>
      <c r="E2602">
        <v>12000</v>
      </c>
      <c r="G2602">
        <v>98000</v>
      </c>
      <c r="H2602">
        <v>1</v>
      </c>
      <c r="I2602" t="s">
        <v>24</v>
      </c>
      <c r="J2602">
        <v>25.73</v>
      </c>
      <c r="K2602">
        <v>3</v>
      </c>
      <c r="L2602">
        <v>6</v>
      </c>
      <c r="M2602" t="s">
        <v>4010</v>
      </c>
      <c r="N2602">
        <v>3</v>
      </c>
      <c r="O2602">
        <v>5.5</v>
      </c>
      <c r="P2602">
        <v>104537.14</v>
      </c>
      <c r="Q2602">
        <v>123325.96</v>
      </c>
      <c r="R2602">
        <v>315</v>
      </c>
      <c r="S2602">
        <v>339</v>
      </c>
      <c r="T2602" t="s">
        <v>34</v>
      </c>
      <c r="U2602" t="s">
        <v>31</v>
      </c>
    </row>
    <row r="2603" spans="1:21">
      <c r="A2603" t="s">
        <v>4045</v>
      </c>
      <c r="B2603" t="s">
        <v>4046</v>
      </c>
      <c r="C2603" t="s">
        <v>4016</v>
      </c>
      <c r="D2603">
        <v>55000</v>
      </c>
      <c r="H2603">
        <v>1</v>
      </c>
      <c r="I2603" t="s">
        <v>89</v>
      </c>
      <c r="J2603">
        <v>17</v>
      </c>
      <c r="K2603">
        <v>39</v>
      </c>
      <c r="L2603">
        <v>3</v>
      </c>
      <c r="M2603" t="s">
        <v>4010</v>
      </c>
      <c r="N2603">
        <v>3</v>
      </c>
      <c r="O2603">
        <v>9</v>
      </c>
      <c r="P2603">
        <v>104537.14</v>
      </c>
      <c r="Q2603">
        <v>95329.65</v>
      </c>
      <c r="R2603">
        <v>315</v>
      </c>
      <c r="S2603">
        <v>1622</v>
      </c>
      <c r="T2603" t="s">
        <v>108</v>
      </c>
      <c r="U2603" t="s">
        <v>49</v>
      </c>
    </row>
    <row r="2604" spans="1:21">
      <c r="A2604" t="s">
        <v>4047</v>
      </c>
      <c r="B2604" t="s">
        <v>4048</v>
      </c>
      <c r="C2604" t="s">
        <v>4016</v>
      </c>
      <c r="D2604">
        <v>75000</v>
      </c>
      <c r="E2604">
        <v>5000</v>
      </c>
      <c r="F2604">
        <v>75000</v>
      </c>
      <c r="G2604">
        <v>75000</v>
      </c>
      <c r="H2604">
        <v>2</v>
      </c>
      <c r="I2604" t="s">
        <v>89</v>
      </c>
      <c r="J2604">
        <v>26</v>
      </c>
      <c r="K2604">
        <v>53</v>
      </c>
      <c r="L2604">
        <v>2</v>
      </c>
      <c r="M2604" t="s">
        <v>4010</v>
      </c>
      <c r="N2604">
        <v>3</v>
      </c>
      <c r="O2604">
        <v>10</v>
      </c>
      <c r="P2604">
        <v>104537.14</v>
      </c>
      <c r="Q2604">
        <v>95329.65</v>
      </c>
      <c r="R2604">
        <v>315</v>
      </c>
      <c r="S2604">
        <v>1622</v>
      </c>
      <c r="T2604" t="s">
        <v>34</v>
      </c>
      <c r="U2604" t="s">
        <v>57</v>
      </c>
    </row>
    <row r="2605" spans="1:21">
      <c r="A2605" t="s">
        <v>4049</v>
      </c>
      <c r="B2605" t="s">
        <v>4050</v>
      </c>
      <c r="C2605" t="s">
        <v>4009</v>
      </c>
      <c r="D2605">
        <v>91000</v>
      </c>
      <c r="E2605">
        <v>5500</v>
      </c>
      <c r="G2605">
        <v>91000</v>
      </c>
      <c r="H2605">
        <v>1</v>
      </c>
      <c r="I2605" t="s">
        <v>89</v>
      </c>
      <c r="J2605">
        <v>19.87</v>
      </c>
      <c r="K2605">
        <v>17</v>
      </c>
      <c r="L2605">
        <v>2</v>
      </c>
      <c r="M2605" t="s">
        <v>4010</v>
      </c>
      <c r="N2605">
        <v>6</v>
      </c>
      <c r="O2605">
        <v>12</v>
      </c>
      <c r="P2605">
        <v>104537.14</v>
      </c>
      <c r="Q2605">
        <v>95329.65</v>
      </c>
      <c r="R2605">
        <v>315</v>
      </c>
      <c r="S2605">
        <v>1622</v>
      </c>
      <c r="T2605" t="s">
        <v>108</v>
      </c>
      <c r="U2605" t="s">
        <v>90</v>
      </c>
    </row>
    <row r="2606" spans="1:21">
      <c r="A2606" t="s">
        <v>4051</v>
      </c>
      <c r="B2606" t="s">
        <v>4050</v>
      </c>
      <c r="C2606" t="s">
        <v>4009</v>
      </c>
      <c r="D2606">
        <v>96000</v>
      </c>
      <c r="E2606">
        <v>5500</v>
      </c>
      <c r="G2606">
        <v>96000</v>
      </c>
      <c r="H2606">
        <v>2</v>
      </c>
      <c r="I2606" t="s">
        <v>89</v>
      </c>
      <c r="J2606">
        <v>19.87</v>
      </c>
      <c r="K2606">
        <v>17</v>
      </c>
      <c r="L2606">
        <v>2</v>
      </c>
      <c r="M2606" t="s">
        <v>4010</v>
      </c>
      <c r="N2606">
        <v>6</v>
      </c>
      <c r="O2606">
        <v>12</v>
      </c>
      <c r="P2606">
        <v>104537.14</v>
      </c>
      <c r="Q2606">
        <v>95329.65</v>
      </c>
      <c r="R2606">
        <v>315</v>
      </c>
      <c r="S2606">
        <v>1622</v>
      </c>
      <c r="T2606" t="s">
        <v>108</v>
      </c>
      <c r="U2606" t="s">
        <v>90</v>
      </c>
    </row>
    <row r="2607" spans="1:21">
      <c r="A2607" t="s">
        <v>4052</v>
      </c>
      <c r="B2607" t="s">
        <v>4053</v>
      </c>
      <c r="C2607" t="s">
        <v>4019</v>
      </c>
      <c r="D2607">
        <v>74000</v>
      </c>
      <c r="E2607">
        <v>8000</v>
      </c>
      <c r="F2607">
        <v>74000</v>
      </c>
      <c r="G2607">
        <v>74000</v>
      </c>
      <c r="H2607">
        <v>3</v>
      </c>
      <c r="I2607" t="s">
        <v>89</v>
      </c>
      <c r="J2607">
        <v>20.399999999999999</v>
      </c>
      <c r="K2607">
        <v>24</v>
      </c>
      <c r="L2607">
        <v>9</v>
      </c>
      <c r="M2607" t="s">
        <v>4010</v>
      </c>
      <c r="N2607">
        <v>3</v>
      </c>
      <c r="O2607">
        <v>9.33</v>
      </c>
      <c r="P2607">
        <v>104537.14</v>
      </c>
      <c r="Q2607">
        <v>95329.65</v>
      </c>
      <c r="R2607">
        <v>315</v>
      </c>
      <c r="S2607">
        <v>1622</v>
      </c>
      <c r="T2607" t="s">
        <v>34</v>
      </c>
      <c r="U2607" t="s">
        <v>27</v>
      </c>
    </row>
    <row r="2608" spans="1:21">
      <c r="A2608" t="s">
        <v>4054</v>
      </c>
      <c r="B2608" t="s">
        <v>4055</v>
      </c>
      <c r="C2608" t="s">
        <v>4027</v>
      </c>
      <c r="D2608">
        <v>84000</v>
      </c>
      <c r="E2608">
        <v>3000</v>
      </c>
      <c r="H2608">
        <v>2</v>
      </c>
      <c r="I2608" t="s">
        <v>89</v>
      </c>
      <c r="J2608">
        <v>23.02</v>
      </c>
      <c r="K2608">
        <v>3</v>
      </c>
      <c r="L2608">
        <v>2</v>
      </c>
      <c r="M2608" t="s">
        <v>4010</v>
      </c>
      <c r="N2608">
        <v>13</v>
      </c>
      <c r="O2608">
        <v>13.33</v>
      </c>
      <c r="P2608">
        <v>104537.14</v>
      </c>
      <c r="Q2608">
        <v>95329.65</v>
      </c>
      <c r="R2608">
        <v>315</v>
      </c>
      <c r="S2608">
        <v>1622</v>
      </c>
      <c r="T2608" t="s">
        <v>34</v>
      </c>
      <c r="U2608" t="s">
        <v>31</v>
      </c>
    </row>
    <row r="2609" spans="1:21">
      <c r="A2609" t="s">
        <v>4056</v>
      </c>
      <c r="B2609" t="s">
        <v>4057</v>
      </c>
      <c r="C2609" t="s">
        <v>4027</v>
      </c>
      <c r="D2609">
        <v>141000</v>
      </c>
      <c r="E2609">
        <v>12000</v>
      </c>
      <c r="H2609">
        <v>-1</v>
      </c>
      <c r="I2609" t="s">
        <v>89</v>
      </c>
      <c r="J2609">
        <v>32.9</v>
      </c>
      <c r="K2609">
        <v>0</v>
      </c>
      <c r="L2609">
        <v>4</v>
      </c>
      <c r="M2609" t="s">
        <v>4010</v>
      </c>
      <c r="N2609">
        <v>7</v>
      </c>
      <c r="O2609">
        <v>9.33</v>
      </c>
      <c r="P2609">
        <v>104537.14</v>
      </c>
      <c r="Q2609">
        <v>95329.65</v>
      </c>
      <c r="R2609">
        <v>315</v>
      </c>
      <c r="S2609">
        <v>1622</v>
      </c>
      <c r="T2609" t="s">
        <v>26</v>
      </c>
      <c r="U2609" t="s">
        <v>81</v>
      </c>
    </row>
    <row r="2610" spans="1:21">
      <c r="A2610" t="s">
        <v>4058</v>
      </c>
      <c r="B2610" t="s">
        <v>4059</v>
      </c>
      <c r="C2610" t="s">
        <v>4013</v>
      </c>
      <c r="D2610">
        <v>80000</v>
      </c>
      <c r="E2610">
        <v>3000</v>
      </c>
      <c r="F2610">
        <v>80000</v>
      </c>
      <c r="G2610">
        <v>80000</v>
      </c>
      <c r="H2610">
        <v>1</v>
      </c>
      <c r="I2610" t="s">
        <v>89</v>
      </c>
      <c r="J2610">
        <v>22.5</v>
      </c>
      <c r="K2610">
        <v>22</v>
      </c>
      <c r="L2610">
        <v>3</v>
      </c>
      <c r="M2610" t="s">
        <v>4010</v>
      </c>
      <c r="N2610">
        <v>4</v>
      </c>
      <c r="O2610">
        <v>7.33</v>
      </c>
      <c r="P2610">
        <v>104537.14</v>
      </c>
      <c r="Q2610">
        <v>95329.65</v>
      </c>
      <c r="R2610">
        <v>315</v>
      </c>
      <c r="S2610">
        <v>1622</v>
      </c>
      <c r="T2610" t="s">
        <v>34</v>
      </c>
      <c r="U2610" t="s">
        <v>27</v>
      </c>
    </row>
    <row r="2611" spans="1:21">
      <c r="A2611" t="s">
        <v>4060</v>
      </c>
      <c r="B2611" t="s">
        <v>4059</v>
      </c>
      <c r="C2611" t="s">
        <v>4013</v>
      </c>
      <c r="D2611">
        <v>84000</v>
      </c>
      <c r="E2611">
        <v>3000</v>
      </c>
      <c r="F2611">
        <v>84000</v>
      </c>
      <c r="G2611">
        <v>84000</v>
      </c>
      <c r="H2611">
        <v>2</v>
      </c>
      <c r="I2611" t="s">
        <v>89</v>
      </c>
      <c r="J2611">
        <v>22.5</v>
      </c>
      <c r="K2611">
        <v>22</v>
      </c>
      <c r="L2611">
        <v>3</v>
      </c>
      <c r="M2611" t="s">
        <v>4010</v>
      </c>
      <c r="N2611">
        <v>4</v>
      </c>
      <c r="O2611">
        <v>7.33</v>
      </c>
      <c r="P2611">
        <v>104537.14</v>
      </c>
      <c r="Q2611">
        <v>95329.65</v>
      </c>
      <c r="R2611">
        <v>315</v>
      </c>
      <c r="S2611">
        <v>1622</v>
      </c>
      <c r="T2611" t="s">
        <v>34</v>
      </c>
      <c r="U2611" t="s">
        <v>27</v>
      </c>
    </row>
    <row r="2612" spans="1:21">
      <c r="A2612" t="s">
        <v>4061</v>
      </c>
      <c r="B2612" t="s">
        <v>4062</v>
      </c>
      <c r="C2612" t="s">
        <v>4016</v>
      </c>
      <c r="D2612">
        <v>75000</v>
      </c>
      <c r="E2612">
        <v>5000</v>
      </c>
      <c r="F2612">
        <v>75000</v>
      </c>
      <c r="H2612">
        <v>4</v>
      </c>
      <c r="I2612" t="s">
        <v>89</v>
      </c>
      <c r="J2612">
        <v>17.82</v>
      </c>
      <c r="K2612">
        <v>35</v>
      </c>
      <c r="L2612">
        <v>6</v>
      </c>
      <c r="M2612" t="s">
        <v>4010</v>
      </c>
      <c r="N2612">
        <v>4</v>
      </c>
      <c r="O2612">
        <v>9.33</v>
      </c>
      <c r="P2612">
        <v>104537.14</v>
      </c>
      <c r="Q2612">
        <v>95329.65</v>
      </c>
      <c r="R2612">
        <v>315</v>
      </c>
      <c r="S2612">
        <v>1622</v>
      </c>
      <c r="T2612" t="s">
        <v>108</v>
      </c>
      <c r="U2612" t="s">
        <v>49</v>
      </c>
    </row>
    <row r="2613" spans="1:21">
      <c r="A2613" t="s">
        <v>4063</v>
      </c>
      <c r="B2613" t="s">
        <v>4064</v>
      </c>
      <c r="C2613" t="s">
        <v>2156</v>
      </c>
      <c r="D2613">
        <v>73000</v>
      </c>
      <c r="E2613">
        <v>4000</v>
      </c>
      <c r="F2613">
        <v>73000</v>
      </c>
      <c r="H2613">
        <v>2</v>
      </c>
      <c r="I2613" t="s">
        <v>89</v>
      </c>
      <c r="J2613">
        <v>21</v>
      </c>
      <c r="K2613">
        <v>35</v>
      </c>
      <c r="L2613">
        <v>2</v>
      </c>
      <c r="M2613" t="s">
        <v>4010</v>
      </c>
      <c r="N2613">
        <v>11</v>
      </c>
      <c r="O2613">
        <v>11.33</v>
      </c>
      <c r="P2613">
        <v>104537.14</v>
      </c>
      <c r="Q2613">
        <v>95329.65</v>
      </c>
      <c r="R2613">
        <v>315</v>
      </c>
      <c r="S2613">
        <v>1622</v>
      </c>
      <c r="T2613" t="s">
        <v>34</v>
      </c>
      <c r="U2613" t="s">
        <v>49</v>
      </c>
    </row>
    <row r="2614" spans="1:21">
      <c r="A2614" t="s">
        <v>4065</v>
      </c>
      <c r="B2614" t="s">
        <v>4064</v>
      </c>
      <c r="C2614" t="s">
        <v>2156</v>
      </c>
      <c r="D2614">
        <v>74000</v>
      </c>
      <c r="E2614">
        <v>4000</v>
      </c>
      <c r="F2614">
        <v>74000</v>
      </c>
      <c r="H2614">
        <v>2</v>
      </c>
      <c r="I2614" t="s">
        <v>89</v>
      </c>
      <c r="J2614">
        <v>21</v>
      </c>
      <c r="K2614">
        <v>35</v>
      </c>
      <c r="L2614">
        <v>2</v>
      </c>
      <c r="M2614" t="s">
        <v>4010</v>
      </c>
      <c r="N2614">
        <v>11</v>
      </c>
      <c r="O2614">
        <v>11.33</v>
      </c>
      <c r="P2614">
        <v>104537.14</v>
      </c>
      <c r="Q2614">
        <v>95329.65</v>
      </c>
      <c r="R2614">
        <v>315</v>
      </c>
      <c r="S2614">
        <v>1622</v>
      </c>
      <c r="T2614" t="s">
        <v>34</v>
      </c>
      <c r="U2614" t="s">
        <v>49</v>
      </c>
    </row>
    <row r="2615" spans="1:21">
      <c r="A2615" t="s">
        <v>4066</v>
      </c>
      <c r="B2615" t="s">
        <v>4067</v>
      </c>
      <c r="C2615" t="s">
        <v>4019</v>
      </c>
      <c r="D2615">
        <v>65000</v>
      </c>
      <c r="E2615">
        <v>3000</v>
      </c>
      <c r="G2615">
        <v>65000</v>
      </c>
      <c r="H2615">
        <v>4</v>
      </c>
      <c r="I2615" t="s">
        <v>89</v>
      </c>
      <c r="J2615">
        <v>18.34</v>
      </c>
      <c r="K2615">
        <v>23</v>
      </c>
      <c r="L2615">
        <v>4</v>
      </c>
      <c r="M2615" t="s">
        <v>4010</v>
      </c>
      <c r="N2615">
        <v>2</v>
      </c>
      <c r="O2615">
        <v>9.33</v>
      </c>
      <c r="P2615">
        <v>104537.14</v>
      </c>
      <c r="Q2615">
        <v>95329.65</v>
      </c>
      <c r="R2615">
        <v>315</v>
      </c>
      <c r="S2615">
        <v>1622</v>
      </c>
      <c r="T2615" t="s">
        <v>108</v>
      </c>
      <c r="U2615" t="s">
        <v>27</v>
      </c>
    </row>
    <row r="2616" spans="1:21">
      <c r="A2616" t="s">
        <v>4068</v>
      </c>
      <c r="B2616" t="s">
        <v>4067</v>
      </c>
      <c r="C2616" t="s">
        <v>4019</v>
      </c>
      <c r="D2616">
        <v>69000</v>
      </c>
      <c r="E2616">
        <v>3000</v>
      </c>
      <c r="F2616">
        <v>69000</v>
      </c>
      <c r="G2616">
        <v>69000</v>
      </c>
      <c r="H2616">
        <v>4</v>
      </c>
      <c r="I2616" t="s">
        <v>89</v>
      </c>
      <c r="J2616">
        <v>18.34</v>
      </c>
      <c r="K2616">
        <v>23</v>
      </c>
      <c r="L2616">
        <v>4</v>
      </c>
      <c r="M2616" t="s">
        <v>4010</v>
      </c>
      <c r="N2616">
        <v>2</v>
      </c>
      <c r="O2616">
        <v>9.33</v>
      </c>
      <c r="P2616">
        <v>104537.14</v>
      </c>
      <c r="Q2616">
        <v>95329.65</v>
      </c>
      <c r="R2616">
        <v>315</v>
      </c>
      <c r="S2616">
        <v>1622</v>
      </c>
      <c r="T2616" t="s">
        <v>108</v>
      </c>
      <c r="U2616" t="s">
        <v>27</v>
      </c>
    </row>
    <row r="2617" spans="1:21">
      <c r="A2617" t="s">
        <v>4069</v>
      </c>
      <c r="B2617" t="s">
        <v>4070</v>
      </c>
      <c r="C2617" t="s">
        <v>4016</v>
      </c>
      <c r="D2617">
        <v>53000</v>
      </c>
      <c r="E2617">
        <v>5000</v>
      </c>
      <c r="H2617">
        <v>1</v>
      </c>
      <c r="I2617" t="s">
        <v>89</v>
      </c>
      <c r="J2617">
        <v>16.91</v>
      </c>
      <c r="K2617">
        <v>39</v>
      </c>
      <c r="L2617">
        <v>2</v>
      </c>
      <c r="M2617" t="s">
        <v>4010</v>
      </c>
      <c r="N2617">
        <v>4</v>
      </c>
      <c r="O2617">
        <v>8.67</v>
      </c>
      <c r="P2617">
        <v>104537.14</v>
      </c>
      <c r="Q2617">
        <v>95329.65</v>
      </c>
      <c r="R2617">
        <v>315</v>
      </c>
      <c r="S2617">
        <v>1622</v>
      </c>
      <c r="T2617" t="s">
        <v>108</v>
      </c>
      <c r="U2617" t="s">
        <v>49</v>
      </c>
    </row>
    <row r="2618" spans="1:21">
      <c r="A2618" t="s">
        <v>4071</v>
      </c>
      <c r="B2618" t="s">
        <v>4072</v>
      </c>
      <c r="C2618" t="s">
        <v>2962</v>
      </c>
      <c r="D2618">
        <v>70000</v>
      </c>
      <c r="H2618">
        <v>1</v>
      </c>
      <c r="I2618" t="s">
        <v>89</v>
      </c>
      <c r="J2618">
        <v>21.32</v>
      </c>
      <c r="K2618">
        <v>24</v>
      </c>
      <c r="L2618">
        <v>2</v>
      </c>
      <c r="M2618" t="s">
        <v>4010</v>
      </c>
      <c r="N2618">
        <v>3</v>
      </c>
      <c r="O2618">
        <v>9.33</v>
      </c>
      <c r="P2618">
        <v>104537.14</v>
      </c>
      <c r="Q2618">
        <v>95329.65</v>
      </c>
      <c r="R2618">
        <v>315</v>
      </c>
      <c r="S2618">
        <v>1622</v>
      </c>
      <c r="T2618" t="s">
        <v>34</v>
      </c>
      <c r="U2618" t="s">
        <v>27</v>
      </c>
    </row>
    <row r="2619" spans="1:21">
      <c r="A2619" t="s">
        <v>4073</v>
      </c>
      <c r="B2619" t="s">
        <v>4074</v>
      </c>
      <c r="C2619" t="s">
        <v>4032</v>
      </c>
      <c r="D2619">
        <v>68000</v>
      </c>
      <c r="E2619">
        <v>3000</v>
      </c>
      <c r="F2619">
        <v>68000</v>
      </c>
      <c r="H2619">
        <v>2</v>
      </c>
      <c r="I2619" t="s">
        <v>89</v>
      </c>
      <c r="J2619">
        <v>20</v>
      </c>
      <c r="K2619">
        <v>31</v>
      </c>
      <c r="L2619">
        <v>2</v>
      </c>
      <c r="M2619" t="s">
        <v>4010</v>
      </c>
      <c r="N2619">
        <v>7</v>
      </c>
      <c r="O2619">
        <v>10.67</v>
      </c>
      <c r="P2619">
        <v>104537.14</v>
      </c>
      <c r="Q2619">
        <v>95329.65</v>
      </c>
      <c r="R2619">
        <v>315</v>
      </c>
      <c r="S2619">
        <v>1622</v>
      </c>
      <c r="T2619" t="s">
        <v>34</v>
      </c>
      <c r="U2619" t="s">
        <v>49</v>
      </c>
    </row>
    <row r="2620" spans="1:21">
      <c r="A2620" t="s">
        <v>4075</v>
      </c>
      <c r="B2620" t="s">
        <v>4076</v>
      </c>
      <c r="C2620" t="s">
        <v>4016</v>
      </c>
      <c r="D2620">
        <v>90000</v>
      </c>
      <c r="E2620">
        <v>8820</v>
      </c>
      <c r="G2620">
        <v>90000</v>
      </c>
      <c r="H2620">
        <v>1</v>
      </c>
      <c r="I2620" t="s">
        <v>89</v>
      </c>
      <c r="J2620">
        <v>30</v>
      </c>
      <c r="K2620">
        <v>21</v>
      </c>
      <c r="L2620">
        <v>3</v>
      </c>
      <c r="M2620" t="s">
        <v>4010</v>
      </c>
      <c r="N2620">
        <v>5</v>
      </c>
      <c r="O2620">
        <v>9.33</v>
      </c>
      <c r="P2620">
        <v>104537.14</v>
      </c>
      <c r="Q2620">
        <v>95329.65</v>
      </c>
      <c r="R2620">
        <v>315</v>
      </c>
      <c r="S2620">
        <v>1622</v>
      </c>
      <c r="T2620" t="s">
        <v>26</v>
      </c>
      <c r="U2620" t="s">
        <v>27</v>
      </c>
    </row>
    <row r="2621" spans="1:21">
      <c r="A2621" t="s">
        <v>4077</v>
      </c>
      <c r="B2621" t="s">
        <v>4078</v>
      </c>
      <c r="C2621" t="s">
        <v>4013</v>
      </c>
      <c r="D2621">
        <v>64000</v>
      </c>
      <c r="F2621">
        <v>64000</v>
      </c>
      <c r="G2621">
        <v>64000</v>
      </c>
      <c r="H2621">
        <v>2</v>
      </c>
      <c r="I2621" t="s">
        <v>89</v>
      </c>
      <c r="J2621">
        <v>20.27</v>
      </c>
      <c r="K2621">
        <v>30</v>
      </c>
      <c r="L2621">
        <v>2</v>
      </c>
      <c r="M2621" t="s">
        <v>4010</v>
      </c>
      <c r="N2621">
        <v>6</v>
      </c>
      <c r="O2621">
        <v>12</v>
      </c>
      <c r="P2621">
        <v>104537.14</v>
      </c>
      <c r="Q2621">
        <v>95329.65</v>
      </c>
      <c r="R2621">
        <v>315</v>
      </c>
      <c r="S2621">
        <v>1622</v>
      </c>
      <c r="T2621" t="s">
        <v>34</v>
      </c>
      <c r="U2621" t="s">
        <v>27</v>
      </c>
    </row>
    <row r="2622" spans="1:21">
      <c r="A2622" t="s">
        <v>4079</v>
      </c>
      <c r="B2622" t="s">
        <v>4080</v>
      </c>
      <c r="C2622" t="s">
        <v>4013</v>
      </c>
      <c r="D2622">
        <v>72000</v>
      </c>
      <c r="E2622">
        <v>5000</v>
      </c>
      <c r="F2622">
        <v>72000</v>
      </c>
      <c r="H2622">
        <v>1</v>
      </c>
      <c r="I2622" t="s">
        <v>89</v>
      </c>
      <c r="J2622">
        <v>25</v>
      </c>
      <c r="K2622">
        <v>57</v>
      </c>
      <c r="L2622">
        <v>4</v>
      </c>
      <c r="M2622" t="s">
        <v>4010</v>
      </c>
      <c r="N2622">
        <v>5</v>
      </c>
      <c r="O2622">
        <v>8.67</v>
      </c>
      <c r="P2622">
        <v>104537.14</v>
      </c>
      <c r="Q2622">
        <v>95329.65</v>
      </c>
      <c r="R2622">
        <v>315</v>
      </c>
      <c r="S2622">
        <v>1622</v>
      </c>
      <c r="T2622" t="s">
        <v>34</v>
      </c>
      <c r="U2622" t="s">
        <v>57</v>
      </c>
    </row>
    <row r="2623" spans="1:21">
      <c r="A2623" t="s">
        <v>4081</v>
      </c>
      <c r="B2623" t="s">
        <v>4082</v>
      </c>
      <c r="C2623" t="s">
        <v>2962</v>
      </c>
      <c r="D2623">
        <v>57000</v>
      </c>
      <c r="E2623">
        <v>3000</v>
      </c>
      <c r="F2623">
        <v>57000</v>
      </c>
      <c r="H2623">
        <v>1</v>
      </c>
      <c r="I2623" t="s">
        <v>89</v>
      </c>
      <c r="J2623">
        <v>17.95</v>
      </c>
      <c r="K2623">
        <v>36</v>
      </c>
      <c r="L2623">
        <v>2</v>
      </c>
      <c r="M2623" t="s">
        <v>4010</v>
      </c>
      <c r="N2623">
        <v>2</v>
      </c>
      <c r="O2623">
        <v>9.33</v>
      </c>
      <c r="P2623">
        <v>104537.14</v>
      </c>
      <c r="Q2623">
        <v>95329.65</v>
      </c>
      <c r="R2623">
        <v>315</v>
      </c>
      <c r="S2623">
        <v>1622</v>
      </c>
      <c r="T2623" t="s">
        <v>108</v>
      </c>
      <c r="U2623" t="s">
        <v>49</v>
      </c>
    </row>
    <row r="2624" spans="1:21">
      <c r="A2624" t="s">
        <v>4083</v>
      </c>
      <c r="B2624" t="s">
        <v>4084</v>
      </c>
      <c r="C2624" t="s">
        <v>4032</v>
      </c>
      <c r="D2624">
        <v>84000</v>
      </c>
      <c r="E2624">
        <v>3000</v>
      </c>
      <c r="F2624">
        <v>42000</v>
      </c>
      <c r="G2624">
        <v>126000</v>
      </c>
      <c r="H2624">
        <v>1</v>
      </c>
      <c r="I2624" t="s">
        <v>89</v>
      </c>
      <c r="J2624">
        <v>22.9</v>
      </c>
      <c r="K2624">
        <v>17</v>
      </c>
      <c r="L2624">
        <v>2</v>
      </c>
      <c r="M2624" t="s">
        <v>4010</v>
      </c>
      <c r="N2624">
        <v>6</v>
      </c>
      <c r="O2624">
        <v>9.33</v>
      </c>
      <c r="P2624">
        <v>104537.14</v>
      </c>
      <c r="Q2624">
        <v>95329.65</v>
      </c>
      <c r="R2624">
        <v>315</v>
      </c>
      <c r="S2624">
        <v>1622</v>
      </c>
      <c r="T2624" t="s">
        <v>34</v>
      </c>
      <c r="U2624" t="s">
        <v>90</v>
      </c>
    </row>
    <row r="2625" spans="1:21">
      <c r="A2625" t="s">
        <v>4085</v>
      </c>
      <c r="B2625" t="s">
        <v>4084</v>
      </c>
      <c r="C2625" t="s">
        <v>4032</v>
      </c>
      <c r="D2625">
        <v>86000</v>
      </c>
      <c r="E2625">
        <v>3000</v>
      </c>
      <c r="F2625">
        <v>43000</v>
      </c>
      <c r="G2625">
        <v>129000</v>
      </c>
      <c r="H2625">
        <v>1</v>
      </c>
      <c r="I2625" t="s">
        <v>89</v>
      </c>
      <c r="J2625">
        <v>24.1</v>
      </c>
      <c r="K2625">
        <v>17</v>
      </c>
      <c r="L2625">
        <v>2</v>
      </c>
      <c r="M2625" t="s">
        <v>4010</v>
      </c>
      <c r="N2625">
        <v>6</v>
      </c>
      <c r="O2625">
        <v>9.33</v>
      </c>
      <c r="P2625">
        <v>104537.14</v>
      </c>
      <c r="Q2625">
        <v>95329.65</v>
      </c>
      <c r="R2625">
        <v>315</v>
      </c>
      <c r="S2625">
        <v>1622</v>
      </c>
      <c r="T2625" t="s">
        <v>34</v>
      </c>
      <c r="U2625" t="s">
        <v>90</v>
      </c>
    </row>
    <row r="2626" spans="1:21">
      <c r="A2626" t="s">
        <v>4086</v>
      </c>
      <c r="B2626" t="s">
        <v>4087</v>
      </c>
      <c r="C2626" t="s">
        <v>4016</v>
      </c>
      <c r="D2626">
        <v>70000</v>
      </c>
      <c r="E2626">
        <v>2000</v>
      </c>
      <c r="F2626">
        <v>70000</v>
      </c>
      <c r="G2626">
        <v>70000</v>
      </c>
      <c r="H2626">
        <v>1</v>
      </c>
      <c r="I2626" t="s">
        <v>89</v>
      </c>
      <c r="J2626">
        <v>24.5</v>
      </c>
      <c r="K2626">
        <v>28</v>
      </c>
      <c r="L2626">
        <v>2</v>
      </c>
      <c r="M2626" t="s">
        <v>4010</v>
      </c>
      <c r="N2626">
        <v>2</v>
      </c>
      <c r="O2626">
        <v>10.33</v>
      </c>
      <c r="P2626">
        <v>104537.14</v>
      </c>
      <c r="Q2626">
        <v>95329.65</v>
      </c>
      <c r="R2626">
        <v>315</v>
      </c>
      <c r="S2626">
        <v>1622</v>
      </c>
      <c r="T2626" t="s">
        <v>34</v>
      </c>
      <c r="U2626" t="s">
        <v>27</v>
      </c>
    </row>
    <row r="2627" spans="1:21">
      <c r="A2627" t="s">
        <v>4088</v>
      </c>
      <c r="B2627" t="s">
        <v>4089</v>
      </c>
      <c r="C2627" t="s">
        <v>2962</v>
      </c>
      <c r="D2627">
        <v>79800</v>
      </c>
      <c r="E2627">
        <v>6700</v>
      </c>
      <c r="F2627">
        <v>79800</v>
      </c>
      <c r="G2627">
        <v>79800</v>
      </c>
      <c r="H2627">
        <v>2</v>
      </c>
      <c r="I2627" t="s">
        <v>89</v>
      </c>
      <c r="J2627">
        <v>21.22</v>
      </c>
      <c r="K2627">
        <v>15</v>
      </c>
      <c r="L2627">
        <v>8</v>
      </c>
      <c r="M2627" t="s">
        <v>4010</v>
      </c>
      <c r="N2627">
        <v>6</v>
      </c>
      <c r="O2627">
        <v>9</v>
      </c>
      <c r="P2627">
        <v>104537.14</v>
      </c>
      <c r="Q2627">
        <v>95329.65</v>
      </c>
      <c r="R2627">
        <v>315</v>
      </c>
      <c r="S2627">
        <v>1622</v>
      </c>
      <c r="T2627" t="s">
        <v>34</v>
      </c>
      <c r="U2627" t="s">
        <v>90</v>
      </c>
    </row>
    <row r="2628" spans="1:21">
      <c r="A2628" t="s">
        <v>4090</v>
      </c>
      <c r="B2628" t="s">
        <v>4089</v>
      </c>
      <c r="C2628" t="s">
        <v>2962</v>
      </c>
      <c r="D2628">
        <v>81300</v>
      </c>
      <c r="E2628">
        <v>6700</v>
      </c>
      <c r="F2628">
        <v>81300</v>
      </c>
      <c r="G2628">
        <v>81300</v>
      </c>
      <c r="H2628">
        <v>5</v>
      </c>
      <c r="I2628" t="s">
        <v>89</v>
      </c>
      <c r="J2628">
        <v>21.22</v>
      </c>
      <c r="K2628">
        <v>15</v>
      </c>
      <c r="L2628">
        <v>8</v>
      </c>
      <c r="M2628" t="s">
        <v>4010</v>
      </c>
      <c r="N2628">
        <v>6</v>
      </c>
      <c r="O2628">
        <v>9</v>
      </c>
      <c r="P2628">
        <v>104537.14</v>
      </c>
      <c r="Q2628">
        <v>95329.65</v>
      </c>
      <c r="R2628">
        <v>315</v>
      </c>
      <c r="S2628">
        <v>1622</v>
      </c>
      <c r="T2628" t="s">
        <v>34</v>
      </c>
      <c r="U2628" t="s">
        <v>90</v>
      </c>
    </row>
    <row r="2629" spans="1:21">
      <c r="A2629" t="s">
        <v>4091</v>
      </c>
      <c r="B2629" t="s">
        <v>4089</v>
      </c>
      <c r="C2629" t="s">
        <v>2962</v>
      </c>
      <c r="D2629">
        <v>82300</v>
      </c>
      <c r="E2629">
        <v>6700</v>
      </c>
      <c r="F2629">
        <v>82300</v>
      </c>
      <c r="G2629">
        <v>82300</v>
      </c>
      <c r="H2629">
        <v>7</v>
      </c>
      <c r="I2629" t="s">
        <v>89</v>
      </c>
      <c r="J2629">
        <v>21.88</v>
      </c>
      <c r="K2629">
        <v>15</v>
      </c>
      <c r="L2629">
        <v>8</v>
      </c>
      <c r="M2629" t="s">
        <v>4010</v>
      </c>
      <c r="N2629">
        <v>6</v>
      </c>
      <c r="O2629">
        <v>9</v>
      </c>
      <c r="P2629">
        <v>104537.14</v>
      </c>
      <c r="Q2629">
        <v>95329.65</v>
      </c>
      <c r="R2629">
        <v>315</v>
      </c>
      <c r="S2629">
        <v>1622</v>
      </c>
      <c r="T2629" t="s">
        <v>34</v>
      </c>
      <c r="U2629" t="s">
        <v>90</v>
      </c>
    </row>
    <row r="2630" spans="1:21">
      <c r="A2630" t="s">
        <v>4092</v>
      </c>
      <c r="B2630" t="s">
        <v>4093</v>
      </c>
      <c r="C2630" t="s">
        <v>4027</v>
      </c>
      <c r="D2630">
        <v>94000</v>
      </c>
      <c r="E2630">
        <v>15000</v>
      </c>
      <c r="G2630">
        <v>94000</v>
      </c>
      <c r="H2630">
        <v>7</v>
      </c>
      <c r="I2630" t="s">
        <v>89</v>
      </c>
      <c r="J2630">
        <v>25.51</v>
      </c>
      <c r="K2630">
        <v>6</v>
      </c>
      <c r="L2630">
        <v>10</v>
      </c>
      <c r="M2630" t="s">
        <v>4010</v>
      </c>
      <c r="N2630">
        <v>8</v>
      </c>
      <c r="O2630">
        <v>10</v>
      </c>
      <c r="P2630">
        <v>104537.14</v>
      </c>
      <c r="Q2630">
        <v>95329.65</v>
      </c>
      <c r="R2630">
        <v>315</v>
      </c>
      <c r="S2630">
        <v>1622</v>
      </c>
      <c r="T2630" t="s">
        <v>34</v>
      </c>
      <c r="U2630" t="s">
        <v>31</v>
      </c>
    </row>
    <row r="2631" spans="1:21">
      <c r="A2631" t="s">
        <v>4094</v>
      </c>
      <c r="B2631" t="s">
        <v>4095</v>
      </c>
      <c r="C2631" t="s">
        <v>4016</v>
      </c>
      <c r="D2631">
        <v>93000</v>
      </c>
      <c r="E2631">
        <v>5000</v>
      </c>
      <c r="F2631">
        <v>93000</v>
      </c>
      <c r="G2631">
        <v>93000</v>
      </c>
      <c r="H2631">
        <v>2</v>
      </c>
      <c r="I2631" t="s">
        <v>89</v>
      </c>
      <c r="J2631">
        <v>26.78</v>
      </c>
      <c r="K2631">
        <v>8</v>
      </c>
      <c r="L2631">
        <v>3</v>
      </c>
      <c r="M2631" t="s">
        <v>4010</v>
      </c>
      <c r="N2631">
        <v>3</v>
      </c>
      <c r="O2631">
        <v>10</v>
      </c>
      <c r="P2631">
        <v>104537.14</v>
      </c>
      <c r="Q2631">
        <v>95329.65</v>
      </c>
      <c r="R2631">
        <v>315</v>
      </c>
      <c r="S2631">
        <v>1622</v>
      </c>
      <c r="T2631" t="s">
        <v>34</v>
      </c>
      <c r="U2631" t="s">
        <v>31</v>
      </c>
    </row>
    <row r="2632" spans="1:21">
      <c r="A2632" t="s">
        <v>4096</v>
      </c>
      <c r="B2632" t="s">
        <v>4097</v>
      </c>
      <c r="C2632" t="s">
        <v>4019</v>
      </c>
      <c r="D2632">
        <v>81000</v>
      </c>
      <c r="E2632">
        <v>4000</v>
      </c>
      <c r="F2632">
        <v>81000</v>
      </c>
      <c r="G2632">
        <v>81000</v>
      </c>
      <c r="H2632">
        <v>2</v>
      </c>
      <c r="I2632" t="s">
        <v>89</v>
      </c>
      <c r="J2632">
        <v>30.83</v>
      </c>
      <c r="K2632">
        <v>21</v>
      </c>
      <c r="L2632">
        <v>2</v>
      </c>
      <c r="M2632" t="s">
        <v>4010</v>
      </c>
      <c r="N2632">
        <v>3</v>
      </c>
      <c r="O2632">
        <v>11</v>
      </c>
      <c r="P2632">
        <v>104537.14</v>
      </c>
      <c r="Q2632">
        <v>95329.65</v>
      </c>
      <c r="R2632">
        <v>315</v>
      </c>
      <c r="S2632">
        <v>1622</v>
      </c>
      <c r="T2632" t="s">
        <v>26</v>
      </c>
      <c r="U2632" t="s">
        <v>27</v>
      </c>
    </row>
    <row r="2633" spans="1:21">
      <c r="A2633" t="s">
        <v>4098</v>
      </c>
      <c r="B2633" t="s">
        <v>4099</v>
      </c>
      <c r="C2633" t="s">
        <v>4019</v>
      </c>
      <c r="D2633">
        <v>65000</v>
      </c>
      <c r="E2633">
        <v>4000</v>
      </c>
      <c r="F2633">
        <v>65000</v>
      </c>
      <c r="H2633">
        <v>1</v>
      </c>
      <c r="I2633" t="s">
        <v>89</v>
      </c>
      <c r="J2633">
        <v>20.25</v>
      </c>
      <c r="K2633">
        <v>27</v>
      </c>
      <c r="L2633">
        <v>2</v>
      </c>
      <c r="M2633" t="s">
        <v>4010</v>
      </c>
      <c r="N2633">
        <v>5</v>
      </c>
      <c r="O2633">
        <v>11</v>
      </c>
      <c r="P2633">
        <v>104537.14</v>
      </c>
      <c r="Q2633">
        <v>95329.65</v>
      </c>
      <c r="R2633">
        <v>315</v>
      </c>
      <c r="S2633">
        <v>1622</v>
      </c>
      <c r="T2633" t="s">
        <v>34</v>
      </c>
      <c r="U2633" t="s">
        <v>27</v>
      </c>
    </row>
    <row r="2634" spans="1:21">
      <c r="A2634" t="s">
        <v>4100</v>
      </c>
      <c r="B2634" t="s">
        <v>4101</v>
      </c>
      <c r="C2634" t="s">
        <v>4016</v>
      </c>
      <c r="D2634">
        <v>91500</v>
      </c>
      <c r="E2634">
        <v>15000</v>
      </c>
      <c r="F2634">
        <v>91500</v>
      </c>
      <c r="G2634">
        <v>91500</v>
      </c>
      <c r="H2634">
        <v>3</v>
      </c>
      <c r="I2634" t="s">
        <v>89</v>
      </c>
      <c r="J2634">
        <v>21.8</v>
      </c>
      <c r="K2634">
        <v>12</v>
      </c>
      <c r="L2634">
        <v>6</v>
      </c>
      <c r="M2634" t="s">
        <v>4010</v>
      </c>
      <c r="N2634">
        <v>4</v>
      </c>
      <c r="O2634">
        <v>11.33</v>
      </c>
      <c r="P2634">
        <v>104537.14</v>
      </c>
      <c r="Q2634">
        <v>95329.65</v>
      </c>
      <c r="R2634">
        <v>315</v>
      </c>
      <c r="S2634">
        <v>1622</v>
      </c>
      <c r="T2634" t="s">
        <v>34</v>
      </c>
      <c r="U2634" t="s">
        <v>90</v>
      </c>
    </row>
    <row r="2635" spans="1:21">
      <c r="A2635" t="s">
        <v>4102</v>
      </c>
      <c r="B2635" t="s">
        <v>4103</v>
      </c>
      <c r="C2635" t="s">
        <v>4016</v>
      </c>
      <c r="D2635">
        <v>78000</v>
      </c>
      <c r="E2635">
        <v>7000</v>
      </c>
      <c r="G2635">
        <v>78000</v>
      </c>
      <c r="H2635">
        <v>1</v>
      </c>
      <c r="I2635" t="s">
        <v>89</v>
      </c>
      <c r="J2635">
        <v>22</v>
      </c>
      <c r="K2635">
        <v>17</v>
      </c>
      <c r="L2635">
        <v>2</v>
      </c>
      <c r="M2635" t="s">
        <v>4010</v>
      </c>
      <c r="N2635">
        <v>3</v>
      </c>
      <c r="O2635">
        <v>8.67</v>
      </c>
      <c r="P2635">
        <v>104537.14</v>
      </c>
      <c r="Q2635">
        <v>95329.65</v>
      </c>
      <c r="R2635">
        <v>315</v>
      </c>
      <c r="S2635">
        <v>1622</v>
      </c>
      <c r="T2635" t="s">
        <v>34</v>
      </c>
      <c r="U2635" t="s">
        <v>90</v>
      </c>
    </row>
    <row r="2636" spans="1:21">
      <c r="A2636" t="s">
        <v>4104</v>
      </c>
      <c r="B2636" t="s">
        <v>4105</v>
      </c>
      <c r="C2636" t="s">
        <v>4019</v>
      </c>
      <c r="D2636">
        <v>53000</v>
      </c>
      <c r="E2636">
        <v>2000</v>
      </c>
      <c r="F2636">
        <v>53000</v>
      </c>
      <c r="G2636">
        <v>53000</v>
      </c>
      <c r="H2636">
        <v>1</v>
      </c>
      <c r="I2636" t="s">
        <v>89</v>
      </c>
      <c r="J2636">
        <v>17.579999999999998</v>
      </c>
      <c r="K2636">
        <v>39</v>
      </c>
      <c r="L2636">
        <v>2</v>
      </c>
      <c r="M2636" t="s">
        <v>4010</v>
      </c>
      <c r="N2636">
        <v>2</v>
      </c>
      <c r="O2636">
        <v>9</v>
      </c>
      <c r="P2636">
        <v>104537.14</v>
      </c>
      <c r="Q2636">
        <v>95329.65</v>
      </c>
      <c r="R2636">
        <v>315</v>
      </c>
      <c r="S2636">
        <v>1622</v>
      </c>
      <c r="T2636" t="s">
        <v>108</v>
      </c>
      <c r="U2636" t="s">
        <v>49</v>
      </c>
    </row>
    <row r="2637" spans="1:21">
      <c r="A2637" t="s">
        <v>4106</v>
      </c>
      <c r="B2637" t="s">
        <v>4107</v>
      </c>
      <c r="C2637" t="s">
        <v>2962</v>
      </c>
      <c r="D2637">
        <v>55000</v>
      </c>
      <c r="E2637">
        <v>2000</v>
      </c>
      <c r="F2637">
        <v>55000</v>
      </c>
      <c r="H2637">
        <v>1</v>
      </c>
      <c r="I2637" t="s">
        <v>89</v>
      </c>
      <c r="J2637">
        <v>19</v>
      </c>
      <c r="K2637">
        <v>42</v>
      </c>
      <c r="L2637">
        <v>3</v>
      </c>
      <c r="M2637" t="s">
        <v>4010</v>
      </c>
      <c r="N2637">
        <v>8</v>
      </c>
      <c r="O2637">
        <v>10.67</v>
      </c>
      <c r="P2637">
        <v>104537.14</v>
      </c>
      <c r="Q2637">
        <v>95329.65</v>
      </c>
      <c r="R2637">
        <v>315</v>
      </c>
      <c r="S2637">
        <v>1622</v>
      </c>
      <c r="T2637" t="s">
        <v>108</v>
      </c>
      <c r="U2637" t="s">
        <v>42</v>
      </c>
    </row>
    <row r="2638" spans="1:21">
      <c r="A2638" t="s">
        <v>4108</v>
      </c>
      <c r="B2638" t="s">
        <v>4109</v>
      </c>
      <c r="C2638" t="s">
        <v>2962</v>
      </c>
      <c r="D2638">
        <v>68000</v>
      </c>
      <c r="E2638">
        <v>2000</v>
      </c>
      <c r="F2638">
        <v>68000</v>
      </c>
      <c r="G2638">
        <v>68000</v>
      </c>
      <c r="H2638">
        <v>2</v>
      </c>
      <c r="I2638" t="s">
        <v>89</v>
      </c>
      <c r="J2638">
        <v>18.75</v>
      </c>
      <c r="K2638">
        <v>28</v>
      </c>
      <c r="L2638">
        <v>2</v>
      </c>
      <c r="M2638" t="s">
        <v>4010</v>
      </c>
      <c r="N2638">
        <v>4</v>
      </c>
      <c r="O2638">
        <v>9</v>
      </c>
      <c r="P2638">
        <v>104537.14</v>
      </c>
      <c r="Q2638">
        <v>95329.65</v>
      </c>
      <c r="R2638">
        <v>315</v>
      </c>
      <c r="S2638">
        <v>1622</v>
      </c>
      <c r="T2638" t="s">
        <v>108</v>
      </c>
      <c r="U2638" t="s">
        <v>27</v>
      </c>
    </row>
    <row r="2639" spans="1:21">
      <c r="A2639" t="s">
        <v>4110</v>
      </c>
      <c r="B2639" t="s">
        <v>4111</v>
      </c>
      <c r="C2639" t="s">
        <v>4019</v>
      </c>
      <c r="D2639">
        <v>70000</v>
      </c>
      <c r="E2639">
        <v>2000</v>
      </c>
      <c r="F2639">
        <v>70000</v>
      </c>
      <c r="G2639">
        <v>70000</v>
      </c>
      <c r="H2639">
        <v>1</v>
      </c>
      <c r="I2639" t="s">
        <v>89</v>
      </c>
      <c r="J2639">
        <v>19.25</v>
      </c>
      <c r="K2639">
        <v>24</v>
      </c>
      <c r="L2639">
        <v>3</v>
      </c>
      <c r="M2639" t="s">
        <v>4010</v>
      </c>
      <c r="N2639">
        <v>2</v>
      </c>
      <c r="O2639">
        <v>9</v>
      </c>
      <c r="P2639">
        <v>104537.14</v>
      </c>
      <c r="Q2639">
        <v>95329.65</v>
      </c>
      <c r="R2639">
        <v>315</v>
      </c>
      <c r="S2639">
        <v>1622</v>
      </c>
      <c r="T2639" t="s">
        <v>108</v>
      </c>
      <c r="U2639" t="s">
        <v>27</v>
      </c>
    </row>
    <row r="2640" spans="1:21">
      <c r="A2640" t="s">
        <v>4112</v>
      </c>
      <c r="B2640" t="s">
        <v>4113</v>
      </c>
      <c r="C2640" t="s">
        <v>4009</v>
      </c>
      <c r="D2640">
        <v>79000</v>
      </c>
      <c r="E2640">
        <v>8000</v>
      </c>
      <c r="F2640">
        <v>79000</v>
      </c>
      <c r="H2640">
        <v>3</v>
      </c>
      <c r="I2640" t="s">
        <v>89</v>
      </c>
      <c r="J2640">
        <v>24.19</v>
      </c>
      <c r="K2640">
        <v>37</v>
      </c>
      <c r="L2640">
        <v>4</v>
      </c>
      <c r="M2640" t="s">
        <v>4010</v>
      </c>
      <c r="N2640">
        <v>4</v>
      </c>
      <c r="O2640">
        <v>11.33</v>
      </c>
      <c r="P2640">
        <v>104537.14</v>
      </c>
      <c r="Q2640">
        <v>95329.65</v>
      </c>
      <c r="R2640">
        <v>315</v>
      </c>
      <c r="S2640">
        <v>1622</v>
      </c>
      <c r="T2640" t="s">
        <v>34</v>
      </c>
      <c r="U2640" t="s">
        <v>49</v>
      </c>
    </row>
    <row r="2641" spans="1:21">
      <c r="A2641" t="s">
        <v>4114</v>
      </c>
      <c r="B2641" t="s">
        <v>4115</v>
      </c>
      <c r="C2641" t="s">
        <v>4032</v>
      </c>
      <c r="D2641">
        <v>82000</v>
      </c>
      <c r="E2641">
        <v>5000</v>
      </c>
      <c r="F2641">
        <v>82000</v>
      </c>
      <c r="H2641">
        <v>2</v>
      </c>
      <c r="I2641" t="s">
        <v>89</v>
      </c>
      <c r="J2641">
        <v>24.16</v>
      </c>
      <c r="K2641">
        <v>8</v>
      </c>
      <c r="L2641">
        <v>2</v>
      </c>
      <c r="M2641" t="s">
        <v>4010</v>
      </c>
      <c r="N2641">
        <v>10</v>
      </c>
      <c r="O2641">
        <v>12.33</v>
      </c>
      <c r="P2641">
        <v>104537.14</v>
      </c>
      <c r="Q2641">
        <v>95329.65</v>
      </c>
      <c r="R2641">
        <v>315</v>
      </c>
      <c r="S2641">
        <v>1622</v>
      </c>
      <c r="T2641" t="s">
        <v>34</v>
      </c>
      <c r="U2641" t="s">
        <v>31</v>
      </c>
    </row>
    <row r="2642" spans="1:21">
      <c r="A2642" t="s">
        <v>4116</v>
      </c>
      <c r="B2642" t="s">
        <v>4117</v>
      </c>
      <c r="C2642" t="s">
        <v>2962</v>
      </c>
      <c r="D2642">
        <v>80000</v>
      </c>
      <c r="E2642">
        <v>6500</v>
      </c>
      <c r="F2642">
        <v>80000</v>
      </c>
      <c r="G2642">
        <v>80000</v>
      </c>
      <c r="H2642">
        <v>1</v>
      </c>
      <c r="I2642" t="s">
        <v>89</v>
      </c>
      <c r="J2642">
        <v>28</v>
      </c>
      <c r="K2642">
        <v>23</v>
      </c>
      <c r="L2642">
        <v>2</v>
      </c>
      <c r="M2642" t="s">
        <v>4010</v>
      </c>
      <c r="N2642">
        <v>6</v>
      </c>
      <c r="O2642">
        <v>11.33</v>
      </c>
      <c r="P2642">
        <v>104537.14</v>
      </c>
      <c r="Q2642">
        <v>95329.65</v>
      </c>
      <c r="R2642">
        <v>315</v>
      </c>
      <c r="S2642">
        <v>1622</v>
      </c>
      <c r="T2642" t="s">
        <v>34</v>
      </c>
      <c r="U2642" t="s">
        <v>27</v>
      </c>
    </row>
    <row r="2643" spans="1:21">
      <c r="A2643" t="s">
        <v>4118</v>
      </c>
      <c r="B2643" t="s">
        <v>4119</v>
      </c>
      <c r="C2643" t="s">
        <v>4009</v>
      </c>
      <c r="D2643">
        <v>88000</v>
      </c>
      <c r="E2643">
        <v>3000</v>
      </c>
      <c r="F2643">
        <v>88000</v>
      </c>
      <c r="G2643">
        <v>88000</v>
      </c>
      <c r="H2643">
        <v>2</v>
      </c>
      <c r="I2643" t="s">
        <v>89</v>
      </c>
      <c r="J2643">
        <v>28.99</v>
      </c>
      <c r="K2643">
        <v>15</v>
      </c>
      <c r="L2643">
        <v>3</v>
      </c>
      <c r="M2643" t="s">
        <v>4010</v>
      </c>
      <c r="N2643">
        <v>3</v>
      </c>
      <c r="O2643">
        <v>9.67</v>
      </c>
      <c r="P2643">
        <v>104537.14</v>
      </c>
      <c r="Q2643">
        <v>95329.65</v>
      </c>
      <c r="R2643">
        <v>315</v>
      </c>
      <c r="S2643">
        <v>1622</v>
      </c>
      <c r="T2643" t="s">
        <v>34</v>
      </c>
      <c r="U2643" t="s">
        <v>90</v>
      </c>
    </row>
    <row r="2644" spans="1:21">
      <c r="A2644" t="s">
        <v>4120</v>
      </c>
      <c r="B2644" t="s">
        <v>4121</v>
      </c>
      <c r="C2644" t="s">
        <v>4019</v>
      </c>
      <c r="D2644">
        <v>63000</v>
      </c>
      <c r="E2644">
        <v>2000</v>
      </c>
      <c r="F2644">
        <v>63000</v>
      </c>
      <c r="G2644">
        <v>63000</v>
      </c>
      <c r="H2644">
        <v>2</v>
      </c>
      <c r="I2644" t="s">
        <v>89</v>
      </c>
      <c r="J2644">
        <v>16.27</v>
      </c>
      <c r="K2644">
        <v>35</v>
      </c>
      <c r="L2644">
        <v>6</v>
      </c>
      <c r="M2644" t="s">
        <v>4010</v>
      </c>
      <c r="N2644">
        <v>2</v>
      </c>
      <c r="O2644">
        <v>9.67</v>
      </c>
      <c r="P2644">
        <v>104537.14</v>
      </c>
      <c r="Q2644">
        <v>95329.65</v>
      </c>
      <c r="R2644">
        <v>315</v>
      </c>
      <c r="S2644">
        <v>1622</v>
      </c>
      <c r="T2644" t="s">
        <v>108</v>
      </c>
      <c r="U2644" t="s">
        <v>49</v>
      </c>
    </row>
    <row r="2645" spans="1:21">
      <c r="A2645" t="s">
        <v>4122</v>
      </c>
      <c r="B2645" t="s">
        <v>4123</v>
      </c>
      <c r="C2645" t="s">
        <v>2962</v>
      </c>
      <c r="D2645">
        <v>96000</v>
      </c>
      <c r="E2645">
        <v>3300</v>
      </c>
      <c r="F2645">
        <v>96000</v>
      </c>
      <c r="G2645">
        <v>96000</v>
      </c>
      <c r="H2645">
        <v>1</v>
      </c>
      <c r="I2645" t="s">
        <v>89</v>
      </c>
      <c r="J2645">
        <v>25.83</v>
      </c>
      <c r="K2645">
        <v>4</v>
      </c>
      <c r="L2645">
        <v>3</v>
      </c>
      <c r="M2645" t="s">
        <v>4010</v>
      </c>
      <c r="N2645">
        <v>4</v>
      </c>
      <c r="O2645">
        <v>11.33</v>
      </c>
      <c r="P2645">
        <v>104537.14</v>
      </c>
      <c r="Q2645">
        <v>95329.65</v>
      </c>
      <c r="R2645">
        <v>315</v>
      </c>
      <c r="S2645">
        <v>1622</v>
      </c>
      <c r="T2645" t="s">
        <v>34</v>
      </c>
      <c r="U2645" t="s">
        <v>31</v>
      </c>
    </row>
    <row r="2646" spans="1:21">
      <c r="A2646" t="s">
        <v>4124</v>
      </c>
      <c r="B2646" t="s">
        <v>4024</v>
      </c>
      <c r="C2646" t="s">
        <v>4016</v>
      </c>
      <c r="D2646">
        <v>101500</v>
      </c>
      <c r="E2646">
        <v>4600</v>
      </c>
      <c r="G2646">
        <v>203000</v>
      </c>
      <c r="H2646">
        <v>3</v>
      </c>
      <c r="I2646" t="s">
        <v>89</v>
      </c>
      <c r="J2646">
        <v>24.48</v>
      </c>
      <c r="K2646">
        <v>2</v>
      </c>
      <c r="L2646">
        <v>4</v>
      </c>
      <c r="M2646" t="s">
        <v>4010</v>
      </c>
      <c r="N2646">
        <v>3</v>
      </c>
      <c r="O2646">
        <v>11</v>
      </c>
      <c r="P2646">
        <v>104537.14</v>
      </c>
      <c r="Q2646">
        <v>95329.65</v>
      </c>
      <c r="R2646">
        <v>315</v>
      </c>
      <c r="S2646">
        <v>1622</v>
      </c>
      <c r="T2646" t="s">
        <v>34</v>
      </c>
      <c r="U2646" t="s">
        <v>31</v>
      </c>
    </row>
    <row r="2647" spans="1:21">
      <c r="A2647" t="s">
        <v>4125</v>
      </c>
      <c r="B2647" t="s">
        <v>4126</v>
      </c>
      <c r="C2647" t="s">
        <v>4019</v>
      </c>
      <c r="D2647">
        <v>78000</v>
      </c>
      <c r="E2647">
        <v>2000</v>
      </c>
      <c r="F2647">
        <v>78000</v>
      </c>
      <c r="G2647">
        <v>78000</v>
      </c>
      <c r="H2647">
        <v>3</v>
      </c>
      <c r="I2647" t="s">
        <v>89</v>
      </c>
      <c r="J2647">
        <v>21.87</v>
      </c>
      <c r="K2647">
        <v>17</v>
      </c>
      <c r="L2647">
        <v>3</v>
      </c>
      <c r="M2647" t="s">
        <v>4010</v>
      </c>
      <c r="N2647">
        <v>3</v>
      </c>
      <c r="O2647">
        <v>10.67</v>
      </c>
      <c r="P2647">
        <v>104537.14</v>
      </c>
      <c r="Q2647">
        <v>95329.65</v>
      </c>
      <c r="R2647">
        <v>315</v>
      </c>
      <c r="S2647">
        <v>1622</v>
      </c>
      <c r="T2647" t="s">
        <v>34</v>
      </c>
      <c r="U2647" t="s">
        <v>90</v>
      </c>
    </row>
    <row r="2648" spans="1:21">
      <c r="A2648" t="s">
        <v>4127</v>
      </c>
      <c r="B2648" t="s">
        <v>4026</v>
      </c>
      <c r="C2648" t="s">
        <v>4027</v>
      </c>
      <c r="D2648">
        <v>112000</v>
      </c>
      <c r="E2648">
        <v>12000</v>
      </c>
      <c r="H2648">
        <v>1</v>
      </c>
      <c r="I2648" t="s">
        <v>89</v>
      </c>
      <c r="J2648">
        <v>23.97</v>
      </c>
      <c r="K2648">
        <v>0</v>
      </c>
      <c r="L2648">
        <v>4</v>
      </c>
      <c r="M2648" t="s">
        <v>4010</v>
      </c>
      <c r="N2648">
        <v>7</v>
      </c>
      <c r="O2648">
        <v>9.33</v>
      </c>
      <c r="P2648">
        <v>104537.14</v>
      </c>
      <c r="Q2648">
        <v>95329.65</v>
      </c>
      <c r="R2648">
        <v>315</v>
      </c>
      <c r="S2648">
        <v>1622</v>
      </c>
      <c r="T2648" t="s">
        <v>34</v>
      </c>
      <c r="U2648" t="s">
        <v>81</v>
      </c>
    </row>
    <row r="2649" spans="1:21">
      <c r="A2649" t="s">
        <v>4128</v>
      </c>
      <c r="B2649" t="s">
        <v>4026</v>
      </c>
      <c r="C2649" t="s">
        <v>4027</v>
      </c>
      <c r="D2649">
        <v>116000</v>
      </c>
      <c r="E2649">
        <v>12000</v>
      </c>
      <c r="H2649">
        <v>1</v>
      </c>
      <c r="I2649" t="s">
        <v>89</v>
      </c>
      <c r="J2649">
        <v>25.54</v>
      </c>
      <c r="K2649">
        <v>0</v>
      </c>
      <c r="L2649">
        <v>4</v>
      </c>
      <c r="M2649" t="s">
        <v>4010</v>
      </c>
      <c r="N2649">
        <v>7</v>
      </c>
      <c r="O2649">
        <v>9.33</v>
      </c>
      <c r="P2649">
        <v>104537.14</v>
      </c>
      <c r="Q2649">
        <v>95329.65</v>
      </c>
      <c r="R2649">
        <v>315</v>
      </c>
      <c r="S2649">
        <v>1622</v>
      </c>
      <c r="T2649" t="s">
        <v>34</v>
      </c>
      <c r="U2649" t="s">
        <v>81</v>
      </c>
    </row>
    <row r="2650" spans="1:21">
      <c r="A2650" t="s">
        <v>4129</v>
      </c>
      <c r="B2650" t="s">
        <v>4026</v>
      </c>
      <c r="C2650" t="s">
        <v>4027</v>
      </c>
      <c r="D2650">
        <v>116000</v>
      </c>
      <c r="E2650">
        <v>12000</v>
      </c>
      <c r="H2650">
        <v>1</v>
      </c>
      <c r="I2650" t="s">
        <v>89</v>
      </c>
      <c r="J2650">
        <v>25</v>
      </c>
      <c r="K2650">
        <v>0</v>
      </c>
      <c r="L2650">
        <v>4</v>
      </c>
      <c r="M2650" t="s">
        <v>4010</v>
      </c>
      <c r="N2650">
        <v>7</v>
      </c>
      <c r="O2650">
        <v>9.33</v>
      </c>
      <c r="P2650">
        <v>104537.14</v>
      </c>
      <c r="Q2650">
        <v>95329.65</v>
      </c>
      <c r="R2650">
        <v>315</v>
      </c>
      <c r="S2650">
        <v>1622</v>
      </c>
      <c r="T2650" t="s">
        <v>34</v>
      </c>
      <c r="U2650" t="s">
        <v>81</v>
      </c>
    </row>
    <row r="2651" spans="1:21">
      <c r="A2651" t="s">
        <v>4130</v>
      </c>
      <c r="B2651" t="s">
        <v>4026</v>
      </c>
      <c r="C2651" t="s">
        <v>4027</v>
      </c>
      <c r="D2651">
        <v>144000</v>
      </c>
      <c r="E2651">
        <v>12000</v>
      </c>
      <c r="H2651">
        <v>1</v>
      </c>
      <c r="I2651" t="s">
        <v>89</v>
      </c>
      <c r="J2651">
        <v>32.9</v>
      </c>
      <c r="K2651">
        <v>0</v>
      </c>
      <c r="L2651">
        <v>4</v>
      </c>
      <c r="M2651" t="s">
        <v>4010</v>
      </c>
      <c r="N2651">
        <v>7</v>
      </c>
      <c r="O2651">
        <v>9.33</v>
      </c>
      <c r="P2651">
        <v>104537.14</v>
      </c>
      <c r="Q2651">
        <v>95329.65</v>
      </c>
      <c r="R2651">
        <v>315</v>
      </c>
      <c r="S2651">
        <v>1622</v>
      </c>
      <c r="T2651" t="s">
        <v>26</v>
      </c>
      <c r="U2651" t="s">
        <v>81</v>
      </c>
    </row>
    <row r="2652" spans="1:21">
      <c r="A2652" t="s">
        <v>4131</v>
      </c>
      <c r="B2652" t="s">
        <v>4026</v>
      </c>
      <c r="C2652" t="s">
        <v>4027</v>
      </c>
      <c r="D2652">
        <v>118000</v>
      </c>
      <c r="E2652">
        <v>12000</v>
      </c>
      <c r="H2652">
        <v>2</v>
      </c>
      <c r="I2652" t="s">
        <v>89</v>
      </c>
      <c r="J2652">
        <v>25.54</v>
      </c>
      <c r="K2652">
        <v>0</v>
      </c>
      <c r="L2652">
        <v>4</v>
      </c>
      <c r="M2652" t="s">
        <v>4010</v>
      </c>
      <c r="N2652">
        <v>7</v>
      </c>
      <c r="O2652">
        <v>9.33</v>
      </c>
      <c r="P2652">
        <v>104537.14</v>
      </c>
      <c r="Q2652">
        <v>95329.65</v>
      </c>
      <c r="R2652">
        <v>315</v>
      </c>
      <c r="S2652">
        <v>1622</v>
      </c>
      <c r="T2652" t="s">
        <v>34</v>
      </c>
      <c r="U2652" t="s">
        <v>81</v>
      </c>
    </row>
    <row r="2653" spans="1:21">
      <c r="A2653" t="s">
        <v>4132</v>
      </c>
      <c r="B2653" t="s">
        <v>4026</v>
      </c>
      <c r="C2653" t="s">
        <v>4027</v>
      </c>
      <c r="D2653">
        <v>118000</v>
      </c>
      <c r="E2653">
        <v>12000</v>
      </c>
      <c r="H2653">
        <v>2</v>
      </c>
      <c r="I2653" t="s">
        <v>89</v>
      </c>
      <c r="J2653">
        <v>25</v>
      </c>
      <c r="K2653">
        <v>0</v>
      </c>
      <c r="L2653">
        <v>4</v>
      </c>
      <c r="M2653" t="s">
        <v>4010</v>
      </c>
      <c r="N2653">
        <v>7</v>
      </c>
      <c r="O2653">
        <v>9.33</v>
      </c>
      <c r="P2653">
        <v>104537.14</v>
      </c>
      <c r="Q2653">
        <v>95329.65</v>
      </c>
      <c r="R2653">
        <v>315</v>
      </c>
      <c r="S2653">
        <v>1622</v>
      </c>
      <c r="T2653" t="s">
        <v>34</v>
      </c>
      <c r="U2653" t="s">
        <v>81</v>
      </c>
    </row>
    <row r="2654" spans="1:21">
      <c r="A2654" t="s">
        <v>4133</v>
      </c>
      <c r="B2654" t="s">
        <v>4026</v>
      </c>
      <c r="C2654" t="s">
        <v>4027</v>
      </c>
      <c r="D2654">
        <v>116000</v>
      </c>
      <c r="E2654">
        <v>12000</v>
      </c>
      <c r="H2654">
        <v>3</v>
      </c>
      <c r="I2654" t="s">
        <v>89</v>
      </c>
      <c r="J2654">
        <v>23.97</v>
      </c>
      <c r="K2654">
        <v>0</v>
      </c>
      <c r="L2654">
        <v>4</v>
      </c>
      <c r="M2654" t="s">
        <v>4010</v>
      </c>
      <c r="N2654">
        <v>7</v>
      </c>
      <c r="O2654">
        <v>9.33</v>
      </c>
      <c r="P2654">
        <v>104537.14</v>
      </c>
      <c r="Q2654">
        <v>95329.65</v>
      </c>
      <c r="R2654">
        <v>315</v>
      </c>
      <c r="S2654">
        <v>1622</v>
      </c>
      <c r="T2654" t="s">
        <v>34</v>
      </c>
      <c r="U2654" t="s">
        <v>81</v>
      </c>
    </row>
    <row r="2655" spans="1:21">
      <c r="A2655" t="s">
        <v>4134</v>
      </c>
      <c r="B2655" t="s">
        <v>4026</v>
      </c>
      <c r="C2655" t="s">
        <v>4027</v>
      </c>
      <c r="D2655">
        <v>120000</v>
      </c>
      <c r="E2655">
        <v>12000</v>
      </c>
      <c r="H2655">
        <v>3</v>
      </c>
      <c r="I2655" t="s">
        <v>89</v>
      </c>
      <c r="J2655">
        <v>25.54</v>
      </c>
      <c r="K2655">
        <v>0</v>
      </c>
      <c r="L2655">
        <v>4</v>
      </c>
      <c r="M2655" t="s">
        <v>4010</v>
      </c>
      <c r="N2655">
        <v>7</v>
      </c>
      <c r="O2655">
        <v>9.33</v>
      </c>
      <c r="P2655">
        <v>104537.14</v>
      </c>
      <c r="Q2655">
        <v>95329.65</v>
      </c>
      <c r="R2655">
        <v>315</v>
      </c>
      <c r="S2655">
        <v>1622</v>
      </c>
      <c r="T2655" t="s">
        <v>34</v>
      </c>
      <c r="U2655" t="s">
        <v>81</v>
      </c>
    </row>
    <row r="2656" spans="1:21">
      <c r="A2656" t="s">
        <v>4135</v>
      </c>
      <c r="B2656" t="s">
        <v>4026</v>
      </c>
      <c r="C2656" t="s">
        <v>4027</v>
      </c>
      <c r="D2656">
        <v>120000</v>
      </c>
      <c r="E2656">
        <v>12000</v>
      </c>
      <c r="H2656">
        <v>3</v>
      </c>
      <c r="I2656" t="s">
        <v>89</v>
      </c>
      <c r="J2656">
        <v>25</v>
      </c>
      <c r="K2656">
        <v>0</v>
      </c>
      <c r="L2656">
        <v>4</v>
      </c>
      <c r="M2656" t="s">
        <v>4010</v>
      </c>
      <c r="N2656">
        <v>7</v>
      </c>
      <c r="O2656">
        <v>9.33</v>
      </c>
      <c r="P2656">
        <v>104537.14</v>
      </c>
      <c r="Q2656">
        <v>95329.65</v>
      </c>
      <c r="R2656">
        <v>315</v>
      </c>
      <c r="S2656">
        <v>1622</v>
      </c>
      <c r="T2656" t="s">
        <v>34</v>
      </c>
      <c r="U2656" t="s">
        <v>81</v>
      </c>
    </row>
    <row r="2657" spans="1:21">
      <c r="A2657" t="s">
        <v>4136</v>
      </c>
      <c r="B2657" t="s">
        <v>4137</v>
      </c>
      <c r="C2657" t="s">
        <v>4019</v>
      </c>
      <c r="D2657">
        <v>121000</v>
      </c>
      <c r="E2657">
        <v>5000</v>
      </c>
      <c r="G2657">
        <v>121000</v>
      </c>
      <c r="H2657">
        <v>1</v>
      </c>
      <c r="I2657" t="s">
        <v>89</v>
      </c>
      <c r="J2657">
        <v>44.54</v>
      </c>
      <c r="K2657">
        <v>3</v>
      </c>
      <c r="L2657">
        <v>4</v>
      </c>
      <c r="M2657" t="s">
        <v>4010</v>
      </c>
      <c r="N2657">
        <v>5</v>
      </c>
      <c r="O2657">
        <v>11.33</v>
      </c>
      <c r="P2657">
        <v>104537.14</v>
      </c>
      <c r="Q2657">
        <v>95329.65</v>
      </c>
      <c r="R2657">
        <v>315</v>
      </c>
      <c r="S2657">
        <v>1622</v>
      </c>
      <c r="T2657" t="s">
        <v>326</v>
      </c>
      <c r="U2657" t="s">
        <v>31</v>
      </c>
    </row>
    <row r="2658" spans="1:21">
      <c r="A2658" t="s">
        <v>4138</v>
      </c>
      <c r="B2658" t="s">
        <v>4137</v>
      </c>
      <c r="C2658" t="s">
        <v>4019</v>
      </c>
      <c r="D2658">
        <v>85000</v>
      </c>
      <c r="E2658">
        <v>5000</v>
      </c>
      <c r="G2658">
        <v>85000</v>
      </c>
      <c r="H2658">
        <v>4</v>
      </c>
      <c r="I2658" t="s">
        <v>89</v>
      </c>
      <c r="J2658">
        <v>20</v>
      </c>
      <c r="K2658">
        <v>3</v>
      </c>
      <c r="L2658">
        <v>4</v>
      </c>
      <c r="M2658" t="s">
        <v>4010</v>
      </c>
      <c r="N2658">
        <v>5</v>
      </c>
      <c r="O2658">
        <v>11.33</v>
      </c>
      <c r="P2658">
        <v>104537.14</v>
      </c>
      <c r="Q2658">
        <v>95329.65</v>
      </c>
      <c r="R2658">
        <v>315</v>
      </c>
      <c r="S2658">
        <v>1622</v>
      </c>
      <c r="T2658" t="s">
        <v>34</v>
      </c>
      <c r="U2658" t="s">
        <v>31</v>
      </c>
    </row>
    <row r="2659" spans="1:21">
      <c r="A2659" t="s">
        <v>4139</v>
      </c>
      <c r="B2659" t="s">
        <v>4137</v>
      </c>
      <c r="C2659" t="s">
        <v>4019</v>
      </c>
      <c r="D2659">
        <v>86000</v>
      </c>
      <c r="E2659">
        <v>5000</v>
      </c>
      <c r="G2659">
        <v>86000</v>
      </c>
      <c r="H2659">
        <v>4</v>
      </c>
      <c r="I2659" t="s">
        <v>89</v>
      </c>
      <c r="J2659">
        <v>21.17</v>
      </c>
      <c r="K2659">
        <v>3</v>
      </c>
      <c r="L2659">
        <v>4</v>
      </c>
      <c r="M2659" t="s">
        <v>4010</v>
      </c>
      <c r="N2659">
        <v>5</v>
      </c>
      <c r="O2659">
        <v>11.33</v>
      </c>
      <c r="P2659">
        <v>104537.14</v>
      </c>
      <c r="Q2659">
        <v>95329.65</v>
      </c>
      <c r="R2659">
        <v>315</v>
      </c>
      <c r="S2659">
        <v>1622</v>
      </c>
      <c r="T2659" t="s">
        <v>34</v>
      </c>
      <c r="U2659" t="s">
        <v>31</v>
      </c>
    </row>
    <row r="2660" spans="1:21">
      <c r="A2660" t="s">
        <v>4140</v>
      </c>
      <c r="B2660" t="s">
        <v>4141</v>
      </c>
      <c r="C2660" t="s">
        <v>4019</v>
      </c>
      <c r="D2660">
        <v>65000</v>
      </c>
      <c r="E2660">
        <v>3000</v>
      </c>
      <c r="F2660">
        <v>65000</v>
      </c>
      <c r="H2660">
        <v>2</v>
      </c>
      <c r="I2660" t="s">
        <v>89</v>
      </c>
      <c r="J2660">
        <v>18</v>
      </c>
      <c r="K2660">
        <v>25</v>
      </c>
      <c r="L2660">
        <v>2</v>
      </c>
      <c r="M2660" t="s">
        <v>4010</v>
      </c>
      <c r="N2660">
        <v>5</v>
      </c>
      <c r="O2660">
        <v>12</v>
      </c>
      <c r="P2660">
        <v>104537.14</v>
      </c>
      <c r="Q2660">
        <v>95329.65</v>
      </c>
      <c r="R2660">
        <v>315</v>
      </c>
      <c r="S2660">
        <v>1622</v>
      </c>
      <c r="T2660" t="s">
        <v>108</v>
      </c>
      <c r="U2660" t="s">
        <v>27</v>
      </c>
    </row>
    <row r="2661" spans="1:21">
      <c r="A2661" t="s">
        <v>4142</v>
      </c>
      <c r="B2661" t="s">
        <v>4143</v>
      </c>
      <c r="C2661" t="s">
        <v>4032</v>
      </c>
      <c r="D2661">
        <v>88000</v>
      </c>
      <c r="E2661">
        <v>5500</v>
      </c>
      <c r="G2661">
        <v>88000</v>
      </c>
      <c r="H2661">
        <v>1</v>
      </c>
      <c r="I2661" t="s">
        <v>89</v>
      </c>
      <c r="J2661">
        <v>19.02</v>
      </c>
      <c r="K2661">
        <v>12</v>
      </c>
      <c r="L2661">
        <v>2</v>
      </c>
      <c r="M2661" t="s">
        <v>4010</v>
      </c>
      <c r="N2661">
        <v>9</v>
      </c>
      <c r="O2661">
        <v>17</v>
      </c>
      <c r="P2661">
        <v>104537.14</v>
      </c>
      <c r="Q2661">
        <v>95329.65</v>
      </c>
      <c r="R2661">
        <v>315</v>
      </c>
      <c r="S2661">
        <v>1622</v>
      </c>
      <c r="T2661" t="s">
        <v>108</v>
      </c>
      <c r="U2661" t="s">
        <v>90</v>
      </c>
    </row>
    <row r="2662" spans="1:21">
      <c r="A2662" t="s">
        <v>4144</v>
      </c>
      <c r="B2662" t="s">
        <v>4143</v>
      </c>
      <c r="C2662" t="s">
        <v>4032</v>
      </c>
      <c r="D2662">
        <v>103000</v>
      </c>
      <c r="E2662">
        <v>5500</v>
      </c>
      <c r="G2662">
        <v>103000</v>
      </c>
      <c r="H2662">
        <v>2</v>
      </c>
      <c r="I2662" t="s">
        <v>89</v>
      </c>
      <c r="J2662">
        <v>22.26</v>
      </c>
      <c r="K2662">
        <v>12</v>
      </c>
      <c r="L2662">
        <v>2</v>
      </c>
      <c r="M2662" t="s">
        <v>4010</v>
      </c>
      <c r="N2662">
        <v>9</v>
      </c>
      <c r="O2662">
        <v>17</v>
      </c>
      <c r="P2662">
        <v>104537.14</v>
      </c>
      <c r="Q2662">
        <v>95329.65</v>
      </c>
      <c r="R2662">
        <v>315</v>
      </c>
      <c r="S2662">
        <v>1622</v>
      </c>
      <c r="T2662" t="s">
        <v>34</v>
      </c>
      <c r="U2662" t="s">
        <v>90</v>
      </c>
    </row>
    <row r="2663" spans="1:21">
      <c r="A2663" t="s">
        <v>4145</v>
      </c>
      <c r="B2663" t="s">
        <v>4146</v>
      </c>
      <c r="C2663" t="s">
        <v>4016</v>
      </c>
      <c r="D2663">
        <v>117000</v>
      </c>
      <c r="E2663">
        <v>5500</v>
      </c>
      <c r="G2663">
        <v>117000</v>
      </c>
      <c r="H2663">
        <v>3</v>
      </c>
      <c r="I2663" t="s">
        <v>89</v>
      </c>
      <c r="J2663">
        <v>31.19</v>
      </c>
      <c r="K2663">
        <v>13</v>
      </c>
      <c r="L2663">
        <v>3</v>
      </c>
      <c r="M2663" t="s">
        <v>4010</v>
      </c>
      <c r="N2663">
        <v>6</v>
      </c>
      <c r="O2663">
        <v>10</v>
      </c>
      <c r="P2663">
        <v>104537.14</v>
      </c>
      <c r="Q2663">
        <v>95329.65</v>
      </c>
      <c r="R2663">
        <v>315</v>
      </c>
      <c r="S2663">
        <v>1622</v>
      </c>
      <c r="T2663" t="s">
        <v>26</v>
      </c>
      <c r="U2663" t="s">
        <v>90</v>
      </c>
    </row>
    <row r="2664" spans="1:21">
      <c r="A2664" t="s">
        <v>4147</v>
      </c>
      <c r="B2664" t="s">
        <v>4148</v>
      </c>
      <c r="C2664" t="s">
        <v>4016</v>
      </c>
      <c r="D2664">
        <v>82000</v>
      </c>
      <c r="E2664">
        <v>3000</v>
      </c>
      <c r="G2664">
        <v>82000</v>
      </c>
      <c r="H2664">
        <v>2</v>
      </c>
      <c r="I2664" t="s">
        <v>89</v>
      </c>
      <c r="J2664">
        <v>17.41</v>
      </c>
      <c r="K2664">
        <v>6</v>
      </c>
      <c r="L2664">
        <v>3</v>
      </c>
      <c r="M2664" t="s">
        <v>4010</v>
      </c>
      <c r="N2664">
        <v>3</v>
      </c>
      <c r="O2664">
        <v>8.67</v>
      </c>
      <c r="P2664">
        <v>104537.14</v>
      </c>
      <c r="Q2664">
        <v>95329.65</v>
      </c>
      <c r="R2664">
        <v>315</v>
      </c>
      <c r="S2664">
        <v>1622</v>
      </c>
      <c r="T2664" t="s">
        <v>108</v>
      </c>
      <c r="U2664" t="s">
        <v>31</v>
      </c>
    </row>
    <row r="2665" spans="1:21">
      <c r="A2665" t="s">
        <v>4149</v>
      </c>
      <c r="B2665" t="s">
        <v>4150</v>
      </c>
      <c r="C2665" t="s">
        <v>4032</v>
      </c>
      <c r="D2665">
        <v>45000</v>
      </c>
      <c r="E2665">
        <v>2000</v>
      </c>
      <c r="F2665">
        <v>45000</v>
      </c>
      <c r="G2665">
        <v>45000</v>
      </c>
      <c r="H2665">
        <v>1</v>
      </c>
      <c r="I2665" t="s">
        <v>89</v>
      </c>
      <c r="J2665">
        <v>11.1</v>
      </c>
      <c r="K2665">
        <v>36</v>
      </c>
      <c r="L2665">
        <v>2</v>
      </c>
      <c r="M2665" t="s">
        <v>4010</v>
      </c>
      <c r="N2665">
        <v>9</v>
      </c>
      <c r="O2665">
        <v>13.67</v>
      </c>
      <c r="P2665">
        <v>104537.14</v>
      </c>
      <c r="Q2665">
        <v>95329.65</v>
      </c>
      <c r="R2665">
        <v>315</v>
      </c>
      <c r="S2665">
        <v>1622</v>
      </c>
      <c r="T2665" t="s">
        <v>108</v>
      </c>
      <c r="U2665" t="s">
        <v>49</v>
      </c>
    </row>
    <row r="2666" spans="1:21">
      <c r="A2666" t="s">
        <v>4151</v>
      </c>
      <c r="B2666" t="s">
        <v>4150</v>
      </c>
      <c r="C2666" t="s">
        <v>4032</v>
      </c>
      <c r="D2666">
        <v>50000</v>
      </c>
      <c r="E2666">
        <v>2000</v>
      </c>
      <c r="F2666">
        <v>50000</v>
      </c>
      <c r="G2666">
        <v>50000</v>
      </c>
      <c r="H2666">
        <v>2</v>
      </c>
      <c r="I2666" t="s">
        <v>89</v>
      </c>
      <c r="J2666">
        <v>10.33</v>
      </c>
      <c r="K2666">
        <v>36</v>
      </c>
      <c r="L2666">
        <v>2</v>
      </c>
      <c r="M2666" t="s">
        <v>4010</v>
      </c>
      <c r="N2666">
        <v>9</v>
      </c>
      <c r="O2666">
        <v>13.67</v>
      </c>
      <c r="P2666">
        <v>104537.14</v>
      </c>
      <c r="Q2666">
        <v>95329.65</v>
      </c>
      <c r="R2666">
        <v>315</v>
      </c>
      <c r="S2666">
        <v>1622</v>
      </c>
      <c r="T2666" t="s">
        <v>108</v>
      </c>
      <c r="U2666" t="s">
        <v>49</v>
      </c>
    </row>
    <row r="2667" spans="1:21">
      <c r="A2667" t="s">
        <v>4152</v>
      </c>
      <c r="B2667" t="s">
        <v>4153</v>
      </c>
      <c r="C2667" t="s">
        <v>4013</v>
      </c>
      <c r="D2667">
        <v>55000</v>
      </c>
      <c r="E2667">
        <v>3000</v>
      </c>
      <c r="H2667">
        <v>2</v>
      </c>
      <c r="I2667" t="s">
        <v>89</v>
      </c>
      <c r="J2667">
        <v>16.2</v>
      </c>
      <c r="K2667">
        <v>33</v>
      </c>
      <c r="L2667">
        <v>2</v>
      </c>
      <c r="M2667" t="s">
        <v>4010</v>
      </c>
      <c r="N2667">
        <v>5</v>
      </c>
      <c r="O2667">
        <v>10.33</v>
      </c>
      <c r="P2667">
        <v>104537.14</v>
      </c>
      <c r="Q2667">
        <v>95329.65</v>
      </c>
      <c r="R2667">
        <v>315</v>
      </c>
      <c r="S2667">
        <v>1622</v>
      </c>
      <c r="T2667" t="s">
        <v>108</v>
      </c>
      <c r="U2667" t="s">
        <v>49</v>
      </c>
    </row>
    <row r="2668" spans="1:21">
      <c r="A2668" t="s">
        <v>4154</v>
      </c>
      <c r="B2668" t="s">
        <v>4155</v>
      </c>
      <c r="C2668" t="s">
        <v>4019</v>
      </c>
      <c r="D2668">
        <v>92000</v>
      </c>
      <c r="F2668">
        <v>92000</v>
      </c>
      <c r="G2668">
        <v>138000</v>
      </c>
      <c r="H2668">
        <v>1</v>
      </c>
      <c r="I2668" t="s">
        <v>89</v>
      </c>
      <c r="J2668">
        <v>28.36</v>
      </c>
      <c r="K2668">
        <v>6</v>
      </c>
      <c r="L2668">
        <v>3</v>
      </c>
      <c r="M2668" t="s">
        <v>4010</v>
      </c>
      <c r="N2668">
        <v>3</v>
      </c>
      <c r="O2668">
        <v>8.67</v>
      </c>
      <c r="P2668">
        <v>104537.14</v>
      </c>
      <c r="Q2668">
        <v>95329.65</v>
      </c>
      <c r="R2668">
        <v>315</v>
      </c>
      <c r="S2668">
        <v>1622</v>
      </c>
      <c r="T2668" t="s">
        <v>34</v>
      </c>
      <c r="U2668" t="s">
        <v>31</v>
      </c>
    </row>
    <row r="2669" spans="1:21">
      <c r="A2669" t="s">
        <v>4156</v>
      </c>
      <c r="B2669" t="s">
        <v>4157</v>
      </c>
      <c r="C2669" t="s">
        <v>4032</v>
      </c>
      <c r="D2669">
        <v>68000</v>
      </c>
      <c r="E2669">
        <v>3000</v>
      </c>
      <c r="F2669">
        <v>68000</v>
      </c>
      <c r="H2669">
        <v>2</v>
      </c>
      <c r="I2669" t="s">
        <v>89</v>
      </c>
      <c r="J2669">
        <v>20</v>
      </c>
      <c r="K2669">
        <v>31</v>
      </c>
      <c r="L2669">
        <v>2</v>
      </c>
      <c r="M2669" t="s">
        <v>4010</v>
      </c>
      <c r="N2669">
        <v>9</v>
      </c>
      <c r="O2669">
        <v>11</v>
      </c>
      <c r="P2669">
        <v>104537.14</v>
      </c>
      <c r="Q2669">
        <v>95329.65</v>
      </c>
      <c r="R2669">
        <v>315</v>
      </c>
      <c r="S2669">
        <v>1622</v>
      </c>
      <c r="T2669" t="s">
        <v>34</v>
      </c>
      <c r="U2669" t="s">
        <v>49</v>
      </c>
    </row>
    <row r="2670" spans="1:21">
      <c r="A2670" t="s">
        <v>4158</v>
      </c>
      <c r="B2670" t="s">
        <v>4159</v>
      </c>
      <c r="C2670" t="s">
        <v>4013</v>
      </c>
      <c r="D2670">
        <v>36000</v>
      </c>
      <c r="E2670">
        <v>2000</v>
      </c>
      <c r="F2670">
        <v>36000</v>
      </c>
      <c r="H2670">
        <v>2</v>
      </c>
      <c r="I2670" t="s">
        <v>89</v>
      </c>
      <c r="J2670">
        <v>17.32</v>
      </c>
      <c r="K2670">
        <v>58</v>
      </c>
      <c r="L2670">
        <v>2</v>
      </c>
      <c r="M2670" t="s">
        <v>4010</v>
      </c>
      <c r="N2670">
        <v>4</v>
      </c>
      <c r="O2670">
        <v>9</v>
      </c>
      <c r="P2670">
        <v>104537.14</v>
      </c>
      <c r="Q2670">
        <v>95329.65</v>
      </c>
      <c r="R2670">
        <v>315</v>
      </c>
      <c r="S2670">
        <v>1622</v>
      </c>
      <c r="T2670" t="s">
        <v>108</v>
      </c>
      <c r="U2670" t="s">
        <v>57</v>
      </c>
    </row>
    <row r="2671" spans="1:21">
      <c r="A2671" t="s">
        <v>4160</v>
      </c>
      <c r="B2671" t="s">
        <v>4161</v>
      </c>
      <c r="C2671" t="s">
        <v>4027</v>
      </c>
      <c r="D2671">
        <v>92000</v>
      </c>
      <c r="E2671">
        <v>7000</v>
      </c>
      <c r="F2671">
        <v>92000</v>
      </c>
      <c r="G2671">
        <v>92000</v>
      </c>
      <c r="H2671">
        <v>7</v>
      </c>
      <c r="I2671" t="s">
        <v>89</v>
      </c>
      <c r="J2671">
        <v>26.69</v>
      </c>
      <c r="K2671">
        <v>55</v>
      </c>
      <c r="L2671">
        <v>7</v>
      </c>
      <c r="M2671" t="s">
        <v>4010</v>
      </c>
      <c r="N2671">
        <v>8</v>
      </c>
      <c r="O2671">
        <v>10</v>
      </c>
      <c r="P2671">
        <v>104537.14</v>
      </c>
      <c r="Q2671">
        <v>95329.65</v>
      </c>
      <c r="R2671">
        <v>315</v>
      </c>
      <c r="S2671">
        <v>1622</v>
      </c>
      <c r="T2671" t="s">
        <v>34</v>
      </c>
      <c r="U2671" t="s">
        <v>57</v>
      </c>
    </row>
    <row r="2672" spans="1:21">
      <c r="A2672" t="s">
        <v>4162</v>
      </c>
      <c r="B2672" t="s">
        <v>4163</v>
      </c>
      <c r="C2672" t="s">
        <v>4164</v>
      </c>
      <c r="D2672">
        <v>82000</v>
      </c>
      <c r="E2672">
        <v>3000</v>
      </c>
      <c r="H2672">
        <v>2</v>
      </c>
      <c r="I2672" t="s">
        <v>89</v>
      </c>
      <c r="J2672">
        <v>22.87</v>
      </c>
      <c r="K2672">
        <v>10</v>
      </c>
      <c r="L2672">
        <v>2</v>
      </c>
      <c r="M2672" t="s">
        <v>4010</v>
      </c>
      <c r="N2672">
        <v>7</v>
      </c>
      <c r="O2672">
        <v>10.33</v>
      </c>
      <c r="P2672">
        <v>104537.14</v>
      </c>
      <c r="Q2672">
        <v>95329.65</v>
      </c>
      <c r="R2672">
        <v>315</v>
      </c>
      <c r="S2672">
        <v>1622</v>
      </c>
      <c r="T2672" t="s">
        <v>34</v>
      </c>
      <c r="U2672" t="s">
        <v>31</v>
      </c>
    </row>
    <row r="2673" spans="1:21">
      <c r="A2673" t="s">
        <v>4165</v>
      </c>
      <c r="B2673" t="s">
        <v>4163</v>
      </c>
      <c r="C2673" t="s">
        <v>4027</v>
      </c>
      <c r="D2673">
        <v>100000</v>
      </c>
      <c r="E2673">
        <v>6000</v>
      </c>
      <c r="G2673">
        <v>100000</v>
      </c>
      <c r="H2673">
        <v>2</v>
      </c>
      <c r="I2673" t="s">
        <v>89</v>
      </c>
      <c r="J2673">
        <v>26.93</v>
      </c>
      <c r="K2673">
        <v>10</v>
      </c>
      <c r="L2673">
        <v>2</v>
      </c>
      <c r="M2673" t="s">
        <v>4010</v>
      </c>
      <c r="N2673">
        <v>10</v>
      </c>
      <c r="O2673">
        <v>11.67</v>
      </c>
      <c r="P2673">
        <v>104537.14</v>
      </c>
      <c r="Q2673">
        <v>95329.65</v>
      </c>
      <c r="R2673">
        <v>315</v>
      </c>
      <c r="S2673">
        <v>1622</v>
      </c>
      <c r="T2673" t="s">
        <v>34</v>
      </c>
      <c r="U2673" t="s">
        <v>31</v>
      </c>
    </row>
    <row r="2674" spans="1:21">
      <c r="A2674" t="s">
        <v>4166</v>
      </c>
      <c r="B2674" t="s">
        <v>4167</v>
      </c>
      <c r="C2674" t="s">
        <v>4032</v>
      </c>
      <c r="D2674">
        <v>88000</v>
      </c>
      <c r="E2674">
        <v>5500</v>
      </c>
      <c r="G2674">
        <v>88000</v>
      </c>
      <c r="H2674">
        <v>1</v>
      </c>
      <c r="I2674" t="s">
        <v>89</v>
      </c>
      <c r="J2674">
        <v>19.02</v>
      </c>
      <c r="K2674">
        <v>12</v>
      </c>
      <c r="L2674">
        <v>2</v>
      </c>
      <c r="M2674" t="s">
        <v>4010</v>
      </c>
      <c r="N2674">
        <v>9</v>
      </c>
      <c r="O2674">
        <v>10.33</v>
      </c>
      <c r="P2674">
        <v>104537.14</v>
      </c>
      <c r="Q2674">
        <v>95329.65</v>
      </c>
      <c r="R2674">
        <v>315</v>
      </c>
      <c r="S2674">
        <v>1622</v>
      </c>
      <c r="T2674" t="s">
        <v>108</v>
      </c>
      <c r="U2674" t="s">
        <v>90</v>
      </c>
    </row>
    <row r="2675" spans="1:21">
      <c r="A2675" t="s">
        <v>4168</v>
      </c>
      <c r="B2675" t="s">
        <v>4167</v>
      </c>
      <c r="C2675" t="s">
        <v>4032</v>
      </c>
      <c r="D2675">
        <v>103000</v>
      </c>
      <c r="E2675">
        <v>5500</v>
      </c>
      <c r="G2675">
        <v>103000</v>
      </c>
      <c r="H2675">
        <v>2</v>
      </c>
      <c r="I2675" t="s">
        <v>89</v>
      </c>
      <c r="J2675">
        <v>22.26</v>
      </c>
      <c r="K2675">
        <v>12</v>
      </c>
      <c r="L2675">
        <v>2</v>
      </c>
      <c r="M2675" t="s">
        <v>4010</v>
      </c>
      <c r="N2675">
        <v>9</v>
      </c>
      <c r="O2675">
        <v>10.33</v>
      </c>
      <c r="P2675">
        <v>104537.14</v>
      </c>
      <c r="Q2675">
        <v>95329.65</v>
      </c>
      <c r="R2675">
        <v>315</v>
      </c>
      <c r="S2675">
        <v>1622</v>
      </c>
      <c r="T2675" t="s">
        <v>34</v>
      </c>
      <c r="U2675" t="s">
        <v>90</v>
      </c>
    </row>
    <row r="2676" spans="1:21">
      <c r="A2676" t="s">
        <v>4169</v>
      </c>
      <c r="B2676" t="s">
        <v>4170</v>
      </c>
      <c r="C2676" t="s">
        <v>4032</v>
      </c>
      <c r="D2676">
        <v>84000</v>
      </c>
      <c r="E2676">
        <v>3000</v>
      </c>
      <c r="F2676">
        <v>42000</v>
      </c>
      <c r="G2676">
        <v>126000</v>
      </c>
      <c r="H2676">
        <v>1</v>
      </c>
      <c r="I2676" t="s">
        <v>89</v>
      </c>
      <c r="J2676">
        <v>22.9</v>
      </c>
      <c r="K2676">
        <v>16</v>
      </c>
      <c r="L2676">
        <v>2</v>
      </c>
      <c r="M2676" t="s">
        <v>4010</v>
      </c>
      <c r="N2676">
        <v>6</v>
      </c>
      <c r="O2676">
        <v>9.33</v>
      </c>
      <c r="P2676">
        <v>104537.14</v>
      </c>
      <c r="Q2676">
        <v>95329.65</v>
      </c>
      <c r="R2676">
        <v>315</v>
      </c>
      <c r="S2676">
        <v>1622</v>
      </c>
      <c r="T2676" t="s">
        <v>34</v>
      </c>
      <c r="U2676" t="s">
        <v>90</v>
      </c>
    </row>
    <row r="2677" spans="1:21">
      <c r="A2677" t="s">
        <v>4171</v>
      </c>
      <c r="B2677" t="s">
        <v>4170</v>
      </c>
      <c r="C2677" t="s">
        <v>4032</v>
      </c>
      <c r="D2677">
        <v>86000</v>
      </c>
      <c r="E2677">
        <v>3000</v>
      </c>
      <c r="F2677">
        <v>43000</v>
      </c>
      <c r="G2677">
        <v>129000</v>
      </c>
      <c r="H2677">
        <v>1</v>
      </c>
      <c r="I2677" t="s">
        <v>89</v>
      </c>
      <c r="J2677">
        <v>24.1</v>
      </c>
      <c r="K2677">
        <v>16</v>
      </c>
      <c r="L2677">
        <v>2</v>
      </c>
      <c r="M2677" t="s">
        <v>4010</v>
      </c>
      <c r="N2677">
        <v>6</v>
      </c>
      <c r="O2677">
        <v>9.33</v>
      </c>
      <c r="P2677">
        <v>104537.14</v>
      </c>
      <c r="Q2677">
        <v>95329.65</v>
      </c>
      <c r="R2677">
        <v>315</v>
      </c>
      <c r="S2677">
        <v>1622</v>
      </c>
      <c r="T2677" t="s">
        <v>34</v>
      </c>
      <c r="U2677" t="s">
        <v>90</v>
      </c>
    </row>
    <row r="2678" spans="1:21">
      <c r="A2678" t="s">
        <v>4172</v>
      </c>
      <c r="B2678" t="s">
        <v>4173</v>
      </c>
      <c r="C2678" t="s">
        <v>4019</v>
      </c>
      <c r="D2678">
        <v>81000</v>
      </c>
      <c r="E2678">
        <v>4000</v>
      </c>
      <c r="F2678">
        <v>81000</v>
      </c>
      <c r="G2678">
        <v>81000</v>
      </c>
      <c r="H2678">
        <v>2</v>
      </c>
      <c r="I2678" t="s">
        <v>89</v>
      </c>
      <c r="J2678">
        <v>30.83</v>
      </c>
      <c r="K2678">
        <v>21</v>
      </c>
      <c r="L2678">
        <v>2</v>
      </c>
      <c r="M2678" t="s">
        <v>4010</v>
      </c>
      <c r="N2678">
        <v>3</v>
      </c>
      <c r="O2678">
        <v>11</v>
      </c>
      <c r="P2678">
        <v>104537.14</v>
      </c>
      <c r="Q2678">
        <v>95329.65</v>
      </c>
      <c r="R2678">
        <v>315</v>
      </c>
      <c r="S2678">
        <v>1622</v>
      </c>
      <c r="T2678" t="s">
        <v>26</v>
      </c>
      <c r="U2678" t="s">
        <v>27</v>
      </c>
    </row>
    <row r="2679" spans="1:21">
      <c r="A2679" t="s">
        <v>4174</v>
      </c>
      <c r="B2679" t="s">
        <v>4175</v>
      </c>
      <c r="C2679" t="s">
        <v>4013</v>
      </c>
      <c r="D2679">
        <v>55000</v>
      </c>
      <c r="E2679">
        <v>3000</v>
      </c>
      <c r="H2679">
        <v>2</v>
      </c>
      <c r="I2679" t="s">
        <v>89</v>
      </c>
      <c r="J2679">
        <v>16.2</v>
      </c>
      <c r="K2679">
        <v>33</v>
      </c>
      <c r="L2679">
        <v>2</v>
      </c>
      <c r="M2679" t="s">
        <v>4010</v>
      </c>
      <c r="N2679">
        <v>5</v>
      </c>
      <c r="O2679">
        <v>10.33</v>
      </c>
      <c r="P2679">
        <v>104537.14</v>
      </c>
      <c r="Q2679">
        <v>95329.65</v>
      </c>
      <c r="R2679">
        <v>315</v>
      </c>
      <c r="S2679">
        <v>1622</v>
      </c>
      <c r="T2679" t="s">
        <v>108</v>
      </c>
      <c r="U2679" t="s">
        <v>49</v>
      </c>
    </row>
    <row r="2680" spans="1:21">
      <c r="A2680" t="s">
        <v>4176</v>
      </c>
      <c r="B2680" t="s">
        <v>4177</v>
      </c>
      <c r="C2680" t="s">
        <v>2156</v>
      </c>
      <c r="D2680">
        <v>73000</v>
      </c>
      <c r="E2680">
        <v>4000</v>
      </c>
      <c r="F2680">
        <v>73000</v>
      </c>
      <c r="H2680">
        <v>2</v>
      </c>
      <c r="I2680" t="s">
        <v>89</v>
      </c>
      <c r="J2680">
        <v>21</v>
      </c>
      <c r="K2680">
        <v>35</v>
      </c>
      <c r="L2680">
        <v>2</v>
      </c>
      <c r="M2680" t="s">
        <v>4010</v>
      </c>
      <c r="N2680">
        <v>11</v>
      </c>
      <c r="O2680">
        <v>11.33</v>
      </c>
      <c r="P2680">
        <v>104537.14</v>
      </c>
      <c r="Q2680">
        <v>95329.65</v>
      </c>
      <c r="R2680">
        <v>315</v>
      </c>
      <c r="S2680">
        <v>1622</v>
      </c>
      <c r="T2680" t="s">
        <v>34</v>
      </c>
      <c r="U2680" t="s">
        <v>49</v>
      </c>
    </row>
    <row r="2681" spans="1:21">
      <c r="A2681" t="s">
        <v>4178</v>
      </c>
      <c r="B2681" t="s">
        <v>4177</v>
      </c>
      <c r="C2681" t="s">
        <v>2156</v>
      </c>
      <c r="D2681">
        <v>74000</v>
      </c>
      <c r="E2681">
        <v>4000</v>
      </c>
      <c r="F2681">
        <v>74000</v>
      </c>
      <c r="H2681">
        <v>2</v>
      </c>
      <c r="I2681" t="s">
        <v>89</v>
      </c>
      <c r="J2681">
        <v>21</v>
      </c>
      <c r="K2681">
        <v>35</v>
      </c>
      <c r="L2681">
        <v>2</v>
      </c>
      <c r="M2681" t="s">
        <v>4010</v>
      </c>
      <c r="N2681">
        <v>11</v>
      </c>
      <c r="O2681">
        <v>11.33</v>
      </c>
      <c r="P2681">
        <v>104537.14</v>
      </c>
      <c r="Q2681">
        <v>95329.65</v>
      </c>
      <c r="R2681">
        <v>315</v>
      </c>
      <c r="S2681">
        <v>1622</v>
      </c>
      <c r="T2681" t="s">
        <v>34</v>
      </c>
      <c r="U2681" t="s">
        <v>49</v>
      </c>
    </row>
    <row r="2682" spans="1:21">
      <c r="A2682" t="s">
        <v>4179</v>
      </c>
      <c r="B2682" t="s">
        <v>4180</v>
      </c>
      <c r="C2682" t="s">
        <v>4019</v>
      </c>
      <c r="D2682">
        <v>53000</v>
      </c>
      <c r="E2682">
        <v>2000</v>
      </c>
      <c r="F2682">
        <v>53000</v>
      </c>
      <c r="G2682">
        <v>53000</v>
      </c>
      <c r="H2682">
        <v>1</v>
      </c>
      <c r="I2682" t="s">
        <v>89</v>
      </c>
      <c r="J2682">
        <v>17.579999999999998</v>
      </c>
      <c r="K2682">
        <v>39</v>
      </c>
      <c r="L2682">
        <v>2</v>
      </c>
      <c r="M2682" t="s">
        <v>4010</v>
      </c>
      <c r="N2682">
        <v>4</v>
      </c>
      <c r="O2682">
        <v>11</v>
      </c>
      <c r="P2682">
        <v>104537.14</v>
      </c>
      <c r="Q2682">
        <v>95329.65</v>
      </c>
      <c r="R2682">
        <v>315</v>
      </c>
      <c r="S2682">
        <v>1622</v>
      </c>
      <c r="T2682" t="s">
        <v>108</v>
      </c>
      <c r="U2682" t="s">
        <v>49</v>
      </c>
    </row>
    <row r="2683" spans="1:21">
      <c r="A2683" t="s">
        <v>4181</v>
      </c>
      <c r="B2683" t="s">
        <v>4182</v>
      </c>
      <c r="C2683" t="s">
        <v>4027</v>
      </c>
      <c r="D2683">
        <v>84000</v>
      </c>
      <c r="E2683">
        <v>3000</v>
      </c>
      <c r="H2683">
        <v>2</v>
      </c>
      <c r="I2683" t="s">
        <v>89</v>
      </c>
      <c r="J2683">
        <v>23.02</v>
      </c>
      <c r="K2683">
        <v>3</v>
      </c>
      <c r="L2683">
        <v>2</v>
      </c>
      <c r="M2683" t="s">
        <v>4010</v>
      </c>
      <c r="N2683">
        <v>13</v>
      </c>
      <c r="O2683">
        <v>13.33</v>
      </c>
      <c r="P2683">
        <v>104537.14</v>
      </c>
      <c r="Q2683">
        <v>95329.65</v>
      </c>
      <c r="R2683">
        <v>315</v>
      </c>
      <c r="S2683">
        <v>1622</v>
      </c>
      <c r="T2683" t="s">
        <v>34</v>
      </c>
      <c r="U2683" t="s">
        <v>31</v>
      </c>
    </row>
    <row r="2684" spans="1:21">
      <c r="A2684" t="s">
        <v>4183</v>
      </c>
      <c r="B2684" t="s">
        <v>4184</v>
      </c>
      <c r="C2684" t="s">
        <v>4009</v>
      </c>
      <c r="D2684">
        <v>88000</v>
      </c>
      <c r="E2684">
        <v>3000</v>
      </c>
      <c r="F2684">
        <v>88000</v>
      </c>
      <c r="G2684">
        <v>88000</v>
      </c>
      <c r="H2684">
        <v>2</v>
      </c>
      <c r="I2684" t="s">
        <v>89</v>
      </c>
      <c r="J2684">
        <v>28.99</v>
      </c>
      <c r="K2684">
        <v>15</v>
      </c>
      <c r="L2684">
        <v>3</v>
      </c>
      <c r="M2684" t="s">
        <v>4010</v>
      </c>
      <c r="N2684">
        <v>3</v>
      </c>
      <c r="O2684">
        <v>9.67</v>
      </c>
      <c r="P2684">
        <v>104537.14</v>
      </c>
      <c r="Q2684">
        <v>95329.65</v>
      </c>
      <c r="R2684">
        <v>315</v>
      </c>
      <c r="S2684">
        <v>1622</v>
      </c>
      <c r="T2684" t="s">
        <v>34</v>
      </c>
      <c r="U2684" t="s">
        <v>90</v>
      </c>
    </row>
    <row r="2685" spans="1:21">
      <c r="A2685" t="s">
        <v>4185</v>
      </c>
      <c r="B2685" t="s">
        <v>4186</v>
      </c>
      <c r="C2685" t="s">
        <v>2962</v>
      </c>
      <c r="D2685">
        <v>96000</v>
      </c>
      <c r="E2685">
        <v>3300</v>
      </c>
      <c r="F2685">
        <v>96000</v>
      </c>
      <c r="G2685">
        <v>96000</v>
      </c>
      <c r="H2685">
        <v>1</v>
      </c>
      <c r="I2685" t="s">
        <v>89</v>
      </c>
      <c r="J2685">
        <v>25.83</v>
      </c>
      <c r="K2685">
        <v>4</v>
      </c>
      <c r="L2685">
        <v>3</v>
      </c>
      <c r="M2685" t="s">
        <v>4010</v>
      </c>
      <c r="N2685">
        <v>4</v>
      </c>
      <c r="O2685">
        <v>11.33</v>
      </c>
      <c r="P2685">
        <v>104537.14</v>
      </c>
      <c r="Q2685">
        <v>95329.65</v>
      </c>
      <c r="R2685">
        <v>315</v>
      </c>
      <c r="S2685">
        <v>1622</v>
      </c>
      <c r="T2685" t="s">
        <v>34</v>
      </c>
      <c r="U2685" t="s">
        <v>31</v>
      </c>
    </row>
    <row r="2686" spans="1:21">
      <c r="A2686" t="s">
        <v>4187</v>
      </c>
      <c r="B2686" t="s">
        <v>4188</v>
      </c>
      <c r="C2686" t="s">
        <v>4016</v>
      </c>
      <c r="D2686">
        <v>82000</v>
      </c>
      <c r="E2686">
        <v>3000</v>
      </c>
      <c r="G2686">
        <v>82000</v>
      </c>
      <c r="H2686">
        <v>2</v>
      </c>
      <c r="I2686" t="s">
        <v>89</v>
      </c>
      <c r="J2686">
        <v>17.41</v>
      </c>
      <c r="K2686">
        <v>6</v>
      </c>
      <c r="L2686">
        <v>3</v>
      </c>
      <c r="M2686" t="s">
        <v>4010</v>
      </c>
      <c r="N2686">
        <v>3</v>
      </c>
      <c r="O2686">
        <v>5.5</v>
      </c>
      <c r="P2686">
        <v>104537.14</v>
      </c>
      <c r="Q2686">
        <v>95329.65</v>
      </c>
      <c r="R2686">
        <v>315</v>
      </c>
      <c r="S2686">
        <v>1622</v>
      </c>
      <c r="T2686" t="s">
        <v>108</v>
      </c>
      <c r="U2686" t="s">
        <v>31</v>
      </c>
    </row>
    <row r="2687" spans="1:21">
      <c r="A2687" t="s">
        <v>4189</v>
      </c>
      <c r="B2687" t="s">
        <v>4190</v>
      </c>
      <c r="C2687" t="s">
        <v>4027</v>
      </c>
      <c r="D2687">
        <v>92000</v>
      </c>
      <c r="E2687">
        <v>7000</v>
      </c>
      <c r="F2687">
        <v>92000</v>
      </c>
      <c r="H2687">
        <v>1</v>
      </c>
      <c r="I2687" t="s">
        <v>89</v>
      </c>
      <c r="J2687">
        <v>25.04</v>
      </c>
      <c r="K2687">
        <v>7</v>
      </c>
      <c r="L2687">
        <v>3</v>
      </c>
      <c r="M2687" t="s">
        <v>4010</v>
      </c>
      <c r="N2687">
        <v>9</v>
      </c>
      <c r="O2687">
        <v>9</v>
      </c>
      <c r="P2687">
        <v>104537.14</v>
      </c>
      <c r="Q2687">
        <v>95329.65</v>
      </c>
      <c r="R2687">
        <v>315</v>
      </c>
      <c r="S2687">
        <v>1622</v>
      </c>
      <c r="T2687" t="s">
        <v>34</v>
      </c>
      <c r="U2687" t="s">
        <v>31</v>
      </c>
    </row>
    <row r="2688" spans="1:21">
      <c r="A2688" t="s">
        <v>4191</v>
      </c>
      <c r="B2688" t="s">
        <v>4192</v>
      </c>
      <c r="C2688" t="s">
        <v>4016</v>
      </c>
      <c r="D2688">
        <v>93000</v>
      </c>
      <c r="E2688">
        <v>5000</v>
      </c>
      <c r="F2688">
        <v>93000</v>
      </c>
      <c r="G2688">
        <v>93000</v>
      </c>
      <c r="H2688">
        <v>2</v>
      </c>
      <c r="I2688" t="s">
        <v>89</v>
      </c>
      <c r="J2688">
        <v>26.78</v>
      </c>
      <c r="K2688">
        <v>8</v>
      </c>
      <c r="L2688">
        <v>3</v>
      </c>
      <c r="M2688" t="s">
        <v>4010</v>
      </c>
      <c r="N2688">
        <v>3</v>
      </c>
      <c r="O2688">
        <v>11</v>
      </c>
      <c r="P2688">
        <v>104537.14</v>
      </c>
      <c r="Q2688">
        <v>95329.65</v>
      </c>
      <c r="R2688">
        <v>315</v>
      </c>
      <c r="S2688">
        <v>1622</v>
      </c>
      <c r="T2688" t="s">
        <v>34</v>
      </c>
      <c r="U2688" t="s">
        <v>31</v>
      </c>
    </row>
    <row r="2689" spans="1:21">
      <c r="A2689" t="s">
        <v>4193</v>
      </c>
      <c r="B2689" t="s">
        <v>4194</v>
      </c>
      <c r="C2689" t="s">
        <v>4027</v>
      </c>
      <c r="D2689">
        <v>105000</v>
      </c>
      <c r="E2689">
        <v>12000</v>
      </c>
      <c r="H2689">
        <v>1</v>
      </c>
      <c r="I2689" t="s">
        <v>89</v>
      </c>
      <c r="J2689">
        <v>23.97</v>
      </c>
      <c r="K2689">
        <v>0</v>
      </c>
      <c r="L2689">
        <v>4</v>
      </c>
      <c r="M2689" t="s">
        <v>4010</v>
      </c>
      <c r="N2689">
        <v>7</v>
      </c>
      <c r="O2689">
        <v>9.33</v>
      </c>
      <c r="P2689">
        <v>104537.14</v>
      </c>
      <c r="Q2689">
        <v>95329.65</v>
      </c>
      <c r="R2689">
        <v>315</v>
      </c>
      <c r="S2689">
        <v>1622</v>
      </c>
      <c r="T2689" t="s">
        <v>34</v>
      </c>
      <c r="U2689" t="s">
        <v>81</v>
      </c>
    </row>
    <row r="2690" spans="1:21">
      <c r="A2690" t="s">
        <v>4195</v>
      </c>
      <c r="B2690" t="s">
        <v>4194</v>
      </c>
      <c r="C2690" t="s">
        <v>4027</v>
      </c>
      <c r="D2690">
        <v>112000</v>
      </c>
      <c r="E2690">
        <v>12000</v>
      </c>
      <c r="H2690">
        <v>1</v>
      </c>
      <c r="I2690" t="s">
        <v>89</v>
      </c>
      <c r="J2690">
        <v>23.97</v>
      </c>
      <c r="K2690">
        <v>0</v>
      </c>
      <c r="L2690">
        <v>4</v>
      </c>
      <c r="M2690" t="s">
        <v>4010</v>
      </c>
      <c r="N2690">
        <v>7</v>
      </c>
      <c r="O2690">
        <v>9.33</v>
      </c>
      <c r="P2690">
        <v>104537.14</v>
      </c>
      <c r="Q2690">
        <v>95329.65</v>
      </c>
      <c r="R2690">
        <v>315</v>
      </c>
      <c r="S2690">
        <v>1622</v>
      </c>
      <c r="T2690" t="s">
        <v>34</v>
      </c>
      <c r="U2690" t="s">
        <v>81</v>
      </c>
    </row>
    <row r="2691" spans="1:21">
      <c r="A2691" t="s">
        <v>4196</v>
      </c>
      <c r="B2691" t="s">
        <v>4194</v>
      </c>
      <c r="C2691" t="s">
        <v>4027</v>
      </c>
      <c r="D2691">
        <v>116000</v>
      </c>
      <c r="E2691">
        <v>12000</v>
      </c>
      <c r="H2691">
        <v>1</v>
      </c>
      <c r="I2691" t="s">
        <v>89</v>
      </c>
      <c r="J2691">
        <v>25.54</v>
      </c>
      <c r="K2691">
        <v>0</v>
      </c>
      <c r="L2691">
        <v>4</v>
      </c>
      <c r="M2691" t="s">
        <v>4010</v>
      </c>
      <c r="N2691">
        <v>7</v>
      </c>
      <c r="O2691">
        <v>9.33</v>
      </c>
      <c r="P2691">
        <v>104537.14</v>
      </c>
      <c r="Q2691">
        <v>95329.65</v>
      </c>
      <c r="R2691">
        <v>315</v>
      </c>
      <c r="S2691">
        <v>1622</v>
      </c>
      <c r="T2691" t="s">
        <v>34</v>
      </c>
      <c r="U2691" t="s">
        <v>81</v>
      </c>
    </row>
    <row r="2692" spans="1:21">
      <c r="A2692" t="s">
        <v>4197</v>
      </c>
      <c r="B2692" t="s">
        <v>4194</v>
      </c>
      <c r="C2692" t="s">
        <v>4027</v>
      </c>
      <c r="D2692">
        <v>144000</v>
      </c>
      <c r="E2692">
        <v>12000</v>
      </c>
      <c r="H2692">
        <v>1</v>
      </c>
      <c r="I2692" t="s">
        <v>89</v>
      </c>
      <c r="J2692">
        <v>32.9</v>
      </c>
      <c r="K2692">
        <v>0</v>
      </c>
      <c r="L2692">
        <v>4</v>
      </c>
      <c r="M2692" t="s">
        <v>4010</v>
      </c>
      <c r="N2692">
        <v>7</v>
      </c>
      <c r="O2692">
        <v>9.33</v>
      </c>
      <c r="P2692">
        <v>104537.14</v>
      </c>
      <c r="Q2692">
        <v>95329.65</v>
      </c>
      <c r="R2692">
        <v>315</v>
      </c>
      <c r="S2692">
        <v>1622</v>
      </c>
      <c r="T2692" t="s">
        <v>26</v>
      </c>
      <c r="U2692" t="s">
        <v>81</v>
      </c>
    </row>
    <row r="2693" spans="1:21">
      <c r="A2693" t="s">
        <v>4198</v>
      </c>
      <c r="B2693" t="s">
        <v>4194</v>
      </c>
      <c r="C2693" t="s">
        <v>4027</v>
      </c>
      <c r="D2693">
        <v>118000</v>
      </c>
      <c r="E2693">
        <v>12000</v>
      </c>
      <c r="H2693">
        <v>2</v>
      </c>
      <c r="I2693" t="s">
        <v>89</v>
      </c>
      <c r="J2693">
        <v>25.54</v>
      </c>
      <c r="K2693">
        <v>0</v>
      </c>
      <c r="L2693">
        <v>4</v>
      </c>
      <c r="M2693" t="s">
        <v>4010</v>
      </c>
      <c r="N2693">
        <v>7</v>
      </c>
      <c r="O2693">
        <v>9.33</v>
      </c>
      <c r="P2693">
        <v>104537.14</v>
      </c>
      <c r="Q2693">
        <v>95329.65</v>
      </c>
      <c r="R2693">
        <v>315</v>
      </c>
      <c r="S2693">
        <v>1622</v>
      </c>
      <c r="T2693" t="s">
        <v>34</v>
      </c>
      <c r="U2693" t="s">
        <v>81</v>
      </c>
    </row>
    <row r="2694" spans="1:21">
      <c r="A2694" t="s">
        <v>4199</v>
      </c>
      <c r="B2694" t="s">
        <v>4194</v>
      </c>
      <c r="C2694" t="s">
        <v>4027</v>
      </c>
      <c r="D2694">
        <v>116000</v>
      </c>
      <c r="E2694">
        <v>12000</v>
      </c>
      <c r="H2694">
        <v>2</v>
      </c>
      <c r="I2694" t="s">
        <v>89</v>
      </c>
      <c r="J2694">
        <v>25</v>
      </c>
      <c r="K2694">
        <v>0</v>
      </c>
      <c r="L2694">
        <v>4</v>
      </c>
      <c r="M2694" t="s">
        <v>4010</v>
      </c>
      <c r="N2694">
        <v>7</v>
      </c>
      <c r="O2694">
        <v>9.33</v>
      </c>
      <c r="P2694">
        <v>104537.14</v>
      </c>
      <c r="Q2694">
        <v>95329.65</v>
      </c>
      <c r="R2694">
        <v>315</v>
      </c>
      <c r="S2694">
        <v>1622</v>
      </c>
      <c r="T2694" t="s">
        <v>34</v>
      </c>
      <c r="U2694" t="s">
        <v>81</v>
      </c>
    </row>
    <row r="2695" spans="1:21">
      <c r="A2695" t="s">
        <v>4200</v>
      </c>
      <c r="B2695" t="s">
        <v>4194</v>
      </c>
      <c r="C2695" t="s">
        <v>4027</v>
      </c>
      <c r="D2695">
        <v>118000</v>
      </c>
      <c r="E2695">
        <v>12000</v>
      </c>
      <c r="H2695">
        <v>2</v>
      </c>
      <c r="I2695" t="s">
        <v>89</v>
      </c>
      <c r="J2695">
        <v>25</v>
      </c>
      <c r="K2695">
        <v>0</v>
      </c>
      <c r="L2695">
        <v>4</v>
      </c>
      <c r="M2695" t="s">
        <v>4010</v>
      </c>
      <c r="N2695">
        <v>7</v>
      </c>
      <c r="O2695">
        <v>9.33</v>
      </c>
      <c r="P2695">
        <v>104537.14</v>
      </c>
      <c r="Q2695">
        <v>95329.65</v>
      </c>
      <c r="R2695">
        <v>315</v>
      </c>
      <c r="S2695">
        <v>1622</v>
      </c>
      <c r="T2695" t="s">
        <v>34</v>
      </c>
      <c r="U2695" t="s">
        <v>81</v>
      </c>
    </row>
    <row r="2696" spans="1:21">
      <c r="A2696" t="s">
        <v>4201</v>
      </c>
      <c r="B2696" t="s">
        <v>4194</v>
      </c>
      <c r="C2696" t="s">
        <v>4027</v>
      </c>
      <c r="D2696">
        <v>116000</v>
      </c>
      <c r="E2696">
        <v>12000</v>
      </c>
      <c r="H2696">
        <v>3</v>
      </c>
      <c r="I2696" t="s">
        <v>89</v>
      </c>
      <c r="J2696">
        <v>23.97</v>
      </c>
      <c r="K2696">
        <v>0</v>
      </c>
      <c r="L2696">
        <v>4</v>
      </c>
      <c r="M2696" t="s">
        <v>4010</v>
      </c>
      <c r="N2696">
        <v>7</v>
      </c>
      <c r="O2696">
        <v>9.33</v>
      </c>
      <c r="P2696">
        <v>104537.14</v>
      </c>
      <c r="Q2696">
        <v>95329.65</v>
      </c>
      <c r="R2696">
        <v>315</v>
      </c>
      <c r="S2696">
        <v>1622</v>
      </c>
      <c r="T2696" t="s">
        <v>34</v>
      </c>
      <c r="U2696" t="s">
        <v>81</v>
      </c>
    </row>
    <row r="2697" spans="1:21">
      <c r="A2697" t="s">
        <v>4202</v>
      </c>
      <c r="B2697" t="s">
        <v>4194</v>
      </c>
      <c r="C2697" t="s">
        <v>4027</v>
      </c>
      <c r="D2697">
        <v>120000</v>
      </c>
      <c r="E2697">
        <v>12000</v>
      </c>
      <c r="H2697">
        <v>3</v>
      </c>
      <c r="I2697" t="s">
        <v>89</v>
      </c>
      <c r="J2697">
        <v>25.54</v>
      </c>
      <c r="K2697">
        <v>0</v>
      </c>
      <c r="L2697">
        <v>4</v>
      </c>
      <c r="M2697" t="s">
        <v>4010</v>
      </c>
      <c r="N2697">
        <v>7</v>
      </c>
      <c r="O2697">
        <v>9.33</v>
      </c>
      <c r="P2697">
        <v>104537.14</v>
      </c>
      <c r="Q2697">
        <v>95329.65</v>
      </c>
      <c r="R2697">
        <v>315</v>
      </c>
      <c r="S2697">
        <v>1622</v>
      </c>
      <c r="T2697" t="s">
        <v>34</v>
      </c>
      <c r="U2697" t="s">
        <v>81</v>
      </c>
    </row>
    <row r="2698" spans="1:21">
      <c r="A2698" t="s">
        <v>4203</v>
      </c>
      <c r="B2698" t="s">
        <v>4194</v>
      </c>
      <c r="C2698" t="s">
        <v>4027</v>
      </c>
      <c r="D2698">
        <v>120000</v>
      </c>
      <c r="E2698">
        <v>12000</v>
      </c>
      <c r="H2698">
        <v>3</v>
      </c>
      <c r="I2698" t="s">
        <v>89</v>
      </c>
      <c r="J2698">
        <v>25</v>
      </c>
      <c r="K2698">
        <v>0</v>
      </c>
      <c r="L2698">
        <v>4</v>
      </c>
      <c r="M2698" t="s">
        <v>4010</v>
      </c>
      <c r="N2698">
        <v>7</v>
      </c>
      <c r="O2698">
        <v>9.33</v>
      </c>
      <c r="P2698">
        <v>104537.14</v>
      </c>
      <c r="Q2698">
        <v>95329.65</v>
      </c>
      <c r="R2698">
        <v>315</v>
      </c>
      <c r="S2698">
        <v>1622</v>
      </c>
      <c r="T2698" t="s">
        <v>34</v>
      </c>
      <c r="U2698" t="s">
        <v>81</v>
      </c>
    </row>
    <row r="2699" spans="1:21">
      <c r="A2699" t="s">
        <v>4204</v>
      </c>
      <c r="B2699" t="s">
        <v>4205</v>
      </c>
      <c r="C2699" t="s">
        <v>4019</v>
      </c>
      <c r="D2699">
        <v>65000</v>
      </c>
      <c r="E2699">
        <v>3000</v>
      </c>
      <c r="G2699">
        <v>65000</v>
      </c>
      <c r="H2699">
        <v>4</v>
      </c>
      <c r="I2699" t="s">
        <v>89</v>
      </c>
      <c r="J2699">
        <v>18.34</v>
      </c>
      <c r="K2699">
        <v>23</v>
      </c>
      <c r="L2699">
        <v>4</v>
      </c>
      <c r="M2699" t="s">
        <v>4010</v>
      </c>
      <c r="N2699">
        <v>2</v>
      </c>
      <c r="O2699">
        <v>9.33</v>
      </c>
      <c r="P2699">
        <v>104537.14</v>
      </c>
      <c r="Q2699">
        <v>95329.65</v>
      </c>
      <c r="R2699">
        <v>315</v>
      </c>
      <c r="S2699">
        <v>1622</v>
      </c>
      <c r="T2699" t="s">
        <v>108</v>
      </c>
      <c r="U2699" t="s">
        <v>27</v>
      </c>
    </row>
    <row r="2700" spans="1:21">
      <c r="A2700" t="s">
        <v>4206</v>
      </c>
      <c r="B2700" t="s">
        <v>4205</v>
      </c>
      <c r="C2700" t="s">
        <v>4019</v>
      </c>
      <c r="D2700">
        <v>69000</v>
      </c>
      <c r="E2700">
        <v>3000</v>
      </c>
      <c r="F2700">
        <v>69000</v>
      </c>
      <c r="G2700">
        <v>69000</v>
      </c>
      <c r="H2700">
        <v>4</v>
      </c>
      <c r="I2700" t="s">
        <v>89</v>
      </c>
      <c r="J2700">
        <v>18.34</v>
      </c>
      <c r="K2700">
        <v>23</v>
      </c>
      <c r="L2700">
        <v>4</v>
      </c>
      <c r="M2700" t="s">
        <v>4010</v>
      </c>
      <c r="N2700">
        <v>2</v>
      </c>
      <c r="O2700">
        <v>9.33</v>
      </c>
      <c r="P2700">
        <v>104537.14</v>
      </c>
      <c r="Q2700">
        <v>95329.65</v>
      </c>
      <c r="R2700">
        <v>315</v>
      </c>
      <c r="S2700">
        <v>1622</v>
      </c>
      <c r="T2700" t="s">
        <v>108</v>
      </c>
      <c r="U2700" t="s">
        <v>27</v>
      </c>
    </row>
    <row r="2701" spans="1:21">
      <c r="A2701" t="s">
        <v>4207</v>
      </c>
      <c r="B2701" t="s">
        <v>4036</v>
      </c>
      <c r="C2701" t="s">
        <v>2962</v>
      </c>
      <c r="D2701">
        <v>88000</v>
      </c>
      <c r="E2701">
        <v>10000</v>
      </c>
      <c r="H2701">
        <v>1</v>
      </c>
      <c r="I2701" t="s">
        <v>89</v>
      </c>
      <c r="J2701">
        <v>20.059999999999999</v>
      </c>
      <c r="K2701">
        <v>2</v>
      </c>
      <c r="L2701">
        <v>4</v>
      </c>
      <c r="M2701" t="s">
        <v>4010</v>
      </c>
      <c r="N2701">
        <v>7</v>
      </c>
      <c r="O2701">
        <v>11.33</v>
      </c>
      <c r="P2701">
        <v>104537.14</v>
      </c>
      <c r="Q2701">
        <v>95329.65</v>
      </c>
      <c r="R2701">
        <v>315</v>
      </c>
      <c r="S2701">
        <v>1622</v>
      </c>
      <c r="T2701" t="s">
        <v>34</v>
      </c>
      <c r="U2701" t="s">
        <v>31</v>
      </c>
    </row>
    <row r="2702" spans="1:21">
      <c r="A2702" t="s">
        <v>4208</v>
      </c>
      <c r="B2702" t="s">
        <v>4209</v>
      </c>
      <c r="C2702" t="s">
        <v>4019</v>
      </c>
      <c r="D2702">
        <v>121000</v>
      </c>
      <c r="E2702">
        <v>5000</v>
      </c>
      <c r="G2702">
        <v>121000</v>
      </c>
      <c r="H2702">
        <v>1</v>
      </c>
      <c r="I2702" t="s">
        <v>89</v>
      </c>
      <c r="J2702">
        <v>44.54</v>
      </c>
      <c r="K2702">
        <v>3</v>
      </c>
      <c r="L2702">
        <v>4</v>
      </c>
      <c r="M2702" t="s">
        <v>4010</v>
      </c>
      <c r="N2702">
        <v>5</v>
      </c>
      <c r="O2702">
        <v>12.33</v>
      </c>
      <c r="P2702">
        <v>104537.14</v>
      </c>
      <c r="Q2702">
        <v>95329.65</v>
      </c>
      <c r="R2702">
        <v>315</v>
      </c>
      <c r="S2702">
        <v>1622</v>
      </c>
      <c r="T2702" t="s">
        <v>326</v>
      </c>
      <c r="U2702" t="s">
        <v>31</v>
      </c>
    </row>
    <row r="2703" spans="1:21">
      <c r="A2703" t="s">
        <v>4210</v>
      </c>
      <c r="B2703" t="s">
        <v>4209</v>
      </c>
      <c r="C2703" t="s">
        <v>4019</v>
      </c>
      <c r="D2703">
        <v>86000</v>
      </c>
      <c r="E2703">
        <v>5000</v>
      </c>
      <c r="G2703">
        <v>86000</v>
      </c>
      <c r="H2703">
        <v>4</v>
      </c>
      <c r="I2703" t="s">
        <v>89</v>
      </c>
      <c r="J2703">
        <v>21.17</v>
      </c>
      <c r="K2703">
        <v>3</v>
      </c>
      <c r="L2703">
        <v>4</v>
      </c>
      <c r="M2703" t="s">
        <v>4010</v>
      </c>
      <c r="N2703">
        <v>5</v>
      </c>
      <c r="O2703">
        <v>12.33</v>
      </c>
      <c r="P2703">
        <v>104537.14</v>
      </c>
      <c r="Q2703">
        <v>95329.65</v>
      </c>
      <c r="R2703">
        <v>315</v>
      </c>
      <c r="S2703">
        <v>1622</v>
      </c>
      <c r="T2703" t="s">
        <v>34</v>
      </c>
      <c r="U2703" t="s">
        <v>31</v>
      </c>
    </row>
    <row r="2704" spans="1:21">
      <c r="A2704" t="s">
        <v>4211</v>
      </c>
      <c r="B2704" t="s">
        <v>4212</v>
      </c>
      <c r="C2704" t="s">
        <v>4016</v>
      </c>
      <c r="D2704">
        <v>65000</v>
      </c>
      <c r="F2704">
        <v>65000</v>
      </c>
      <c r="G2704">
        <v>97500</v>
      </c>
      <c r="H2704">
        <v>3</v>
      </c>
      <c r="I2704" t="s">
        <v>89</v>
      </c>
      <c r="J2704">
        <v>16.5</v>
      </c>
      <c r="K2704">
        <v>27</v>
      </c>
      <c r="L2704">
        <v>5</v>
      </c>
      <c r="M2704" t="s">
        <v>4010</v>
      </c>
      <c r="N2704">
        <v>2</v>
      </c>
      <c r="O2704">
        <v>8</v>
      </c>
      <c r="P2704">
        <v>104537.14</v>
      </c>
      <c r="Q2704">
        <v>95329.65</v>
      </c>
      <c r="R2704">
        <v>315</v>
      </c>
      <c r="S2704">
        <v>1622</v>
      </c>
      <c r="T2704" t="s">
        <v>108</v>
      </c>
      <c r="U2704" t="s">
        <v>27</v>
      </c>
    </row>
    <row r="2705" spans="1:21">
      <c r="A2705" t="s">
        <v>4213</v>
      </c>
      <c r="B2705" t="s">
        <v>4212</v>
      </c>
      <c r="C2705" t="s">
        <v>4016</v>
      </c>
      <c r="D2705">
        <v>67000</v>
      </c>
      <c r="F2705">
        <v>67000</v>
      </c>
      <c r="G2705">
        <v>100500</v>
      </c>
      <c r="H2705">
        <v>3</v>
      </c>
      <c r="I2705" t="s">
        <v>89</v>
      </c>
      <c r="J2705">
        <v>19.5</v>
      </c>
      <c r="K2705">
        <v>27</v>
      </c>
      <c r="L2705">
        <v>5</v>
      </c>
      <c r="M2705" t="s">
        <v>4010</v>
      </c>
      <c r="N2705">
        <v>2</v>
      </c>
      <c r="O2705">
        <v>8</v>
      </c>
      <c r="P2705">
        <v>104537.14</v>
      </c>
      <c r="Q2705">
        <v>95329.65</v>
      </c>
      <c r="R2705">
        <v>315</v>
      </c>
      <c r="S2705">
        <v>1622</v>
      </c>
      <c r="T2705" t="s">
        <v>108</v>
      </c>
      <c r="U2705" t="s">
        <v>27</v>
      </c>
    </row>
    <row r="2706" spans="1:21">
      <c r="A2706" t="s">
        <v>4214</v>
      </c>
      <c r="B2706" t="s">
        <v>4215</v>
      </c>
      <c r="C2706" t="s">
        <v>4016</v>
      </c>
      <c r="D2706">
        <v>89500</v>
      </c>
      <c r="E2706">
        <v>16000</v>
      </c>
      <c r="F2706">
        <v>89500</v>
      </c>
      <c r="G2706">
        <v>89500</v>
      </c>
      <c r="H2706">
        <v>4</v>
      </c>
      <c r="I2706" t="s">
        <v>89</v>
      </c>
      <c r="J2706">
        <v>21.8</v>
      </c>
      <c r="K2706">
        <v>12</v>
      </c>
      <c r="L2706">
        <v>6</v>
      </c>
      <c r="M2706" t="s">
        <v>4010</v>
      </c>
      <c r="N2706">
        <v>5</v>
      </c>
      <c r="O2706">
        <v>9.33</v>
      </c>
      <c r="P2706">
        <v>104537.14</v>
      </c>
      <c r="Q2706">
        <v>95329.65</v>
      </c>
      <c r="R2706">
        <v>315</v>
      </c>
      <c r="S2706">
        <v>1622</v>
      </c>
      <c r="T2706" t="s">
        <v>34</v>
      </c>
      <c r="U2706" t="s">
        <v>90</v>
      </c>
    </row>
    <row r="2707" spans="1:21">
      <c r="A2707" t="s">
        <v>4216</v>
      </c>
      <c r="B2707" t="s">
        <v>4215</v>
      </c>
      <c r="C2707" t="s">
        <v>4016</v>
      </c>
      <c r="D2707">
        <v>92000</v>
      </c>
      <c r="E2707">
        <v>15000</v>
      </c>
      <c r="F2707">
        <v>92000</v>
      </c>
      <c r="G2707">
        <v>92000</v>
      </c>
      <c r="H2707">
        <v>4</v>
      </c>
      <c r="I2707" t="s">
        <v>89</v>
      </c>
      <c r="J2707">
        <v>21.8</v>
      </c>
      <c r="K2707">
        <v>12</v>
      </c>
      <c r="L2707">
        <v>6</v>
      </c>
      <c r="M2707" t="s">
        <v>4010</v>
      </c>
      <c r="N2707">
        <v>5</v>
      </c>
      <c r="O2707">
        <v>9.33</v>
      </c>
      <c r="P2707">
        <v>104537.14</v>
      </c>
      <c r="Q2707">
        <v>95329.65</v>
      </c>
      <c r="R2707">
        <v>315</v>
      </c>
      <c r="S2707">
        <v>1622</v>
      </c>
      <c r="T2707" t="s">
        <v>34</v>
      </c>
      <c r="U2707" t="s">
        <v>90</v>
      </c>
    </row>
    <row r="2708" spans="1:21">
      <c r="A2708" t="s">
        <v>4217</v>
      </c>
      <c r="B2708" t="s">
        <v>4218</v>
      </c>
      <c r="C2708" t="s">
        <v>4016</v>
      </c>
      <c r="D2708">
        <v>69000</v>
      </c>
      <c r="E2708">
        <v>4000</v>
      </c>
      <c r="F2708">
        <v>69000</v>
      </c>
      <c r="G2708">
        <v>69000</v>
      </c>
      <c r="H2708">
        <v>3</v>
      </c>
      <c r="I2708" t="s">
        <v>89</v>
      </c>
      <c r="J2708">
        <v>19.36</v>
      </c>
      <c r="K2708">
        <v>35</v>
      </c>
      <c r="L2708">
        <v>6</v>
      </c>
      <c r="M2708" t="s">
        <v>4010</v>
      </c>
      <c r="N2708">
        <v>4</v>
      </c>
      <c r="O2708">
        <v>9.67</v>
      </c>
      <c r="P2708">
        <v>104537.14</v>
      </c>
      <c r="Q2708">
        <v>95329.65</v>
      </c>
      <c r="R2708">
        <v>315</v>
      </c>
      <c r="S2708">
        <v>1622</v>
      </c>
      <c r="T2708" t="s">
        <v>108</v>
      </c>
      <c r="U2708" t="s">
        <v>49</v>
      </c>
    </row>
    <row r="2709" spans="1:21">
      <c r="A2709" t="s">
        <v>4219</v>
      </c>
      <c r="B2709" t="s">
        <v>4220</v>
      </c>
      <c r="C2709" t="s">
        <v>4016</v>
      </c>
      <c r="D2709">
        <v>128000</v>
      </c>
      <c r="E2709">
        <v>10000</v>
      </c>
      <c r="F2709">
        <v>128000</v>
      </c>
      <c r="G2709">
        <v>128000</v>
      </c>
      <c r="H2709">
        <v>4</v>
      </c>
      <c r="I2709" t="s">
        <v>89</v>
      </c>
      <c r="J2709">
        <v>32.94</v>
      </c>
      <c r="K2709">
        <v>6</v>
      </c>
      <c r="L2709">
        <v>6</v>
      </c>
      <c r="M2709" t="s">
        <v>4010</v>
      </c>
      <c r="N2709">
        <v>2</v>
      </c>
      <c r="O2709">
        <v>8.67</v>
      </c>
      <c r="P2709">
        <v>104537.14</v>
      </c>
      <c r="Q2709">
        <v>95329.65</v>
      </c>
      <c r="R2709">
        <v>315</v>
      </c>
      <c r="S2709">
        <v>1622</v>
      </c>
      <c r="T2709" t="s">
        <v>26</v>
      </c>
      <c r="U2709" t="s">
        <v>31</v>
      </c>
    </row>
    <row r="2710" spans="1:21">
      <c r="A2710" t="s">
        <v>4221</v>
      </c>
      <c r="B2710" t="s">
        <v>4222</v>
      </c>
      <c r="C2710" t="s">
        <v>2962</v>
      </c>
      <c r="D2710">
        <v>81300</v>
      </c>
      <c r="E2710">
        <v>6700</v>
      </c>
      <c r="F2710">
        <v>81300</v>
      </c>
      <c r="G2710">
        <v>81300</v>
      </c>
      <c r="H2710">
        <v>5</v>
      </c>
      <c r="I2710" t="s">
        <v>89</v>
      </c>
      <c r="J2710">
        <v>21.22</v>
      </c>
      <c r="K2710">
        <v>15</v>
      </c>
      <c r="L2710">
        <v>8</v>
      </c>
      <c r="M2710" t="s">
        <v>4010</v>
      </c>
      <c r="N2710">
        <v>6</v>
      </c>
      <c r="O2710">
        <v>11.33</v>
      </c>
      <c r="P2710">
        <v>104537.14</v>
      </c>
      <c r="Q2710">
        <v>95329.65</v>
      </c>
      <c r="R2710">
        <v>315</v>
      </c>
      <c r="S2710">
        <v>1622</v>
      </c>
      <c r="T2710" t="s">
        <v>34</v>
      </c>
      <c r="U2710" t="s">
        <v>90</v>
      </c>
    </row>
    <row r="2711" spans="1:21">
      <c r="A2711" t="s">
        <v>4223</v>
      </c>
      <c r="B2711" t="s">
        <v>4224</v>
      </c>
      <c r="C2711" t="s">
        <v>4019</v>
      </c>
      <c r="D2711">
        <v>74000</v>
      </c>
      <c r="E2711">
        <v>8000</v>
      </c>
      <c r="F2711">
        <v>74000</v>
      </c>
      <c r="G2711">
        <v>74000</v>
      </c>
      <c r="H2711">
        <v>3</v>
      </c>
      <c r="I2711" t="s">
        <v>89</v>
      </c>
      <c r="J2711">
        <v>20.399999999999999</v>
      </c>
      <c r="K2711">
        <v>24</v>
      </c>
      <c r="L2711">
        <v>9</v>
      </c>
      <c r="M2711" t="s">
        <v>4010</v>
      </c>
      <c r="N2711">
        <v>3</v>
      </c>
      <c r="O2711">
        <v>7</v>
      </c>
      <c r="P2711">
        <v>104537.14</v>
      </c>
      <c r="Q2711">
        <v>95329.65</v>
      </c>
      <c r="R2711">
        <v>315</v>
      </c>
      <c r="S2711">
        <v>1622</v>
      </c>
      <c r="T2711" t="s">
        <v>34</v>
      </c>
      <c r="U2711" t="s">
        <v>27</v>
      </c>
    </row>
    <row r="2712" spans="1:21">
      <c r="A2712" t="s">
        <v>4225</v>
      </c>
      <c r="B2712" t="s">
        <v>4226</v>
      </c>
      <c r="C2712" t="s">
        <v>2979</v>
      </c>
      <c r="D2712">
        <v>91000</v>
      </c>
      <c r="E2712">
        <v>5000</v>
      </c>
      <c r="G2712">
        <v>91000</v>
      </c>
      <c r="H2712">
        <v>1</v>
      </c>
      <c r="I2712" t="s">
        <v>89</v>
      </c>
      <c r="J2712">
        <v>20.010000000000002</v>
      </c>
      <c r="K2712">
        <v>0</v>
      </c>
      <c r="L2712">
        <v>5</v>
      </c>
      <c r="M2712" t="s">
        <v>4010</v>
      </c>
      <c r="N2712">
        <v>8</v>
      </c>
      <c r="O2712">
        <v>10</v>
      </c>
      <c r="P2712">
        <v>104537.14</v>
      </c>
      <c r="Q2712">
        <v>95329.65</v>
      </c>
      <c r="R2712">
        <v>315</v>
      </c>
      <c r="S2712">
        <v>1622</v>
      </c>
      <c r="T2712" t="s">
        <v>34</v>
      </c>
      <c r="U2712" t="s">
        <v>81</v>
      </c>
    </row>
    <row r="2713" spans="1:21">
      <c r="A2713" t="s">
        <v>4227</v>
      </c>
      <c r="B2713" t="s">
        <v>4226</v>
      </c>
      <c r="C2713" t="s">
        <v>2979</v>
      </c>
      <c r="D2713">
        <v>91000</v>
      </c>
      <c r="E2713">
        <v>5000</v>
      </c>
      <c r="G2713">
        <v>91000</v>
      </c>
      <c r="H2713">
        <v>1</v>
      </c>
      <c r="I2713" t="s">
        <v>89</v>
      </c>
      <c r="J2713">
        <v>20.3</v>
      </c>
      <c r="K2713">
        <v>0</v>
      </c>
      <c r="L2713">
        <v>5</v>
      </c>
      <c r="M2713" t="s">
        <v>4010</v>
      </c>
      <c r="N2713">
        <v>8</v>
      </c>
      <c r="O2713">
        <v>10</v>
      </c>
      <c r="P2713">
        <v>104537.14</v>
      </c>
      <c r="Q2713">
        <v>95329.65</v>
      </c>
      <c r="R2713">
        <v>315</v>
      </c>
      <c r="S2713">
        <v>1622</v>
      </c>
      <c r="T2713" t="s">
        <v>34</v>
      </c>
      <c r="U2713" t="s">
        <v>81</v>
      </c>
    </row>
    <row r="2714" spans="1:21">
      <c r="A2714" t="s">
        <v>4228</v>
      </c>
      <c r="B2714" t="s">
        <v>4226</v>
      </c>
      <c r="C2714" t="s">
        <v>2979</v>
      </c>
      <c r="D2714">
        <v>93000</v>
      </c>
      <c r="E2714">
        <v>5000</v>
      </c>
      <c r="G2714">
        <v>93000</v>
      </c>
      <c r="H2714">
        <v>2</v>
      </c>
      <c r="I2714" t="s">
        <v>89</v>
      </c>
      <c r="J2714">
        <v>20.010000000000002</v>
      </c>
      <c r="K2714">
        <v>0</v>
      </c>
      <c r="L2714">
        <v>5</v>
      </c>
      <c r="M2714" t="s">
        <v>4010</v>
      </c>
      <c r="N2714">
        <v>8</v>
      </c>
      <c r="O2714">
        <v>10</v>
      </c>
      <c r="P2714">
        <v>104537.14</v>
      </c>
      <c r="Q2714">
        <v>95329.65</v>
      </c>
      <c r="R2714">
        <v>315</v>
      </c>
      <c r="S2714">
        <v>1622</v>
      </c>
      <c r="T2714" t="s">
        <v>34</v>
      </c>
      <c r="U2714" t="s">
        <v>81</v>
      </c>
    </row>
    <row r="2715" spans="1:21">
      <c r="A2715" t="s">
        <v>4229</v>
      </c>
      <c r="B2715" t="s">
        <v>4226</v>
      </c>
      <c r="C2715" t="s">
        <v>2979</v>
      </c>
      <c r="D2715">
        <v>93000</v>
      </c>
      <c r="E2715">
        <v>5000</v>
      </c>
      <c r="G2715">
        <v>93000</v>
      </c>
      <c r="H2715">
        <v>2</v>
      </c>
      <c r="I2715" t="s">
        <v>89</v>
      </c>
      <c r="J2715">
        <v>20.3</v>
      </c>
      <c r="K2715">
        <v>0</v>
      </c>
      <c r="L2715">
        <v>5</v>
      </c>
      <c r="M2715" t="s">
        <v>4010</v>
      </c>
      <c r="N2715">
        <v>8</v>
      </c>
      <c r="O2715">
        <v>10</v>
      </c>
      <c r="P2715">
        <v>104537.14</v>
      </c>
      <c r="Q2715">
        <v>95329.65</v>
      </c>
      <c r="R2715">
        <v>315</v>
      </c>
      <c r="S2715">
        <v>1622</v>
      </c>
      <c r="T2715" t="s">
        <v>34</v>
      </c>
      <c r="U2715" t="s">
        <v>81</v>
      </c>
    </row>
    <row r="2716" spans="1:21">
      <c r="A2716" t="s">
        <v>4230</v>
      </c>
      <c r="B2716" t="s">
        <v>4231</v>
      </c>
      <c r="C2716" t="s">
        <v>4032</v>
      </c>
      <c r="D2716">
        <v>72000</v>
      </c>
      <c r="F2716">
        <v>72000</v>
      </c>
      <c r="G2716">
        <v>72000</v>
      </c>
      <c r="H2716">
        <v>3</v>
      </c>
      <c r="I2716" t="s">
        <v>89</v>
      </c>
      <c r="J2716">
        <v>23.6</v>
      </c>
      <c r="K2716">
        <v>45</v>
      </c>
      <c r="L2716">
        <v>5</v>
      </c>
      <c r="M2716" t="s">
        <v>4010</v>
      </c>
      <c r="N2716">
        <v>8</v>
      </c>
      <c r="O2716">
        <v>10.5</v>
      </c>
      <c r="P2716">
        <v>104537.14</v>
      </c>
      <c r="Q2716">
        <v>95329.65</v>
      </c>
      <c r="R2716">
        <v>315</v>
      </c>
      <c r="S2716">
        <v>1622</v>
      </c>
      <c r="T2716" t="s">
        <v>34</v>
      </c>
      <c r="U2716" t="s">
        <v>42</v>
      </c>
    </row>
    <row r="2717" spans="1:21">
      <c r="A2717" t="s">
        <v>4232</v>
      </c>
      <c r="B2717" t="s">
        <v>4233</v>
      </c>
      <c r="C2717" t="s">
        <v>4164</v>
      </c>
      <c r="D2717">
        <v>116000</v>
      </c>
      <c r="E2717">
        <v>9000</v>
      </c>
      <c r="H2717">
        <v>1</v>
      </c>
      <c r="I2717" t="s">
        <v>89</v>
      </c>
      <c r="J2717">
        <v>25.3</v>
      </c>
      <c r="K2717">
        <v>4</v>
      </c>
      <c r="L2717">
        <v>3</v>
      </c>
      <c r="M2717" t="s">
        <v>4010</v>
      </c>
      <c r="N2717">
        <v>8</v>
      </c>
      <c r="O2717">
        <v>11.67</v>
      </c>
      <c r="P2717">
        <v>104537.14</v>
      </c>
      <c r="Q2717">
        <v>95329.65</v>
      </c>
      <c r="R2717">
        <v>315</v>
      </c>
      <c r="S2717">
        <v>1622</v>
      </c>
      <c r="T2717" t="s">
        <v>34</v>
      </c>
      <c r="U2717" t="s">
        <v>31</v>
      </c>
    </row>
    <row r="2718" spans="1:21">
      <c r="A2718" t="s">
        <v>4234</v>
      </c>
      <c r="B2718" t="s">
        <v>4235</v>
      </c>
      <c r="C2718" t="s">
        <v>4027</v>
      </c>
      <c r="D2718">
        <v>94000</v>
      </c>
      <c r="E2718">
        <v>15000</v>
      </c>
      <c r="G2718">
        <v>94000</v>
      </c>
      <c r="H2718">
        <v>7</v>
      </c>
      <c r="I2718" t="s">
        <v>89</v>
      </c>
      <c r="J2718">
        <v>25.51</v>
      </c>
      <c r="K2718">
        <v>6</v>
      </c>
      <c r="L2718">
        <v>10</v>
      </c>
      <c r="M2718" t="s">
        <v>4010</v>
      </c>
      <c r="N2718">
        <v>8</v>
      </c>
      <c r="O2718">
        <v>9</v>
      </c>
      <c r="P2718">
        <v>104537.14</v>
      </c>
      <c r="Q2718">
        <v>95329.65</v>
      </c>
      <c r="R2718">
        <v>315</v>
      </c>
      <c r="S2718">
        <v>1622</v>
      </c>
      <c r="T2718" t="s">
        <v>34</v>
      </c>
      <c r="U2718" t="s">
        <v>31</v>
      </c>
    </row>
    <row r="2719" spans="1:21">
      <c r="A2719" t="s">
        <v>4236</v>
      </c>
      <c r="B2719" t="s">
        <v>4237</v>
      </c>
      <c r="C2719" t="s">
        <v>4016</v>
      </c>
      <c r="D2719">
        <v>128000</v>
      </c>
      <c r="E2719">
        <v>10000</v>
      </c>
      <c r="F2719">
        <v>128000</v>
      </c>
      <c r="G2719">
        <v>128000</v>
      </c>
      <c r="H2719">
        <v>4</v>
      </c>
      <c r="I2719" t="s">
        <v>89</v>
      </c>
      <c r="J2719">
        <v>32.94</v>
      </c>
      <c r="K2719">
        <v>6</v>
      </c>
      <c r="L2719">
        <v>6</v>
      </c>
      <c r="M2719" t="s">
        <v>4010</v>
      </c>
      <c r="N2719">
        <v>2</v>
      </c>
      <c r="O2719">
        <v>8.67</v>
      </c>
      <c r="P2719">
        <v>104537.14</v>
      </c>
      <c r="Q2719">
        <v>95329.65</v>
      </c>
      <c r="R2719">
        <v>315</v>
      </c>
      <c r="S2719">
        <v>1622</v>
      </c>
      <c r="T2719" t="s">
        <v>26</v>
      </c>
      <c r="U2719" t="s">
        <v>31</v>
      </c>
    </row>
    <row r="2720" spans="1:21">
      <c r="A2720" t="s">
        <v>4238</v>
      </c>
      <c r="B2720" t="s">
        <v>4239</v>
      </c>
      <c r="C2720" t="s">
        <v>4016</v>
      </c>
      <c r="D2720">
        <v>79000</v>
      </c>
      <c r="F2720">
        <v>79000</v>
      </c>
      <c r="H2720">
        <v>3</v>
      </c>
      <c r="I2720" t="s">
        <v>89</v>
      </c>
      <c r="J2720">
        <v>28.84</v>
      </c>
      <c r="K2720">
        <v>32</v>
      </c>
      <c r="L2720">
        <v>3</v>
      </c>
      <c r="M2720" t="s">
        <v>4010</v>
      </c>
      <c r="N2720">
        <v>5</v>
      </c>
      <c r="O2720">
        <v>6.5</v>
      </c>
      <c r="P2720">
        <v>104537.14</v>
      </c>
      <c r="Q2720">
        <v>95329.65</v>
      </c>
      <c r="R2720">
        <v>315</v>
      </c>
      <c r="S2720">
        <v>1622</v>
      </c>
      <c r="T2720" t="s">
        <v>34</v>
      </c>
      <c r="U2720" t="s">
        <v>49</v>
      </c>
    </row>
    <row r="2721" spans="1:21">
      <c r="A2721" t="s">
        <v>4240</v>
      </c>
      <c r="B2721" t="s">
        <v>4241</v>
      </c>
      <c r="C2721" t="s">
        <v>2962</v>
      </c>
      <c r="D2721">
        <v>90000</v>
      </c>
      <c r="E2721">
        <v>3000</v>
      </c>
      <c r="F2721">
        <v>90000</v>
      </c>
      <c r="G2721">
        <v>90000</v>
      </c>
      <c r="H2721">
        <v>1</v>
      </c>
      <c r="I2721" t="s">
        <v>89</v>
      </c>
      <c r="J2721">
        <v>25.41</v>
      </c>
      <c r="K2721">
        <v>6</v>
      </c>
      <c r="L2721">
        <v>2</v>
      </c>
      <c r="M2721" t="s">
        <v>4010</v>
      </c>
      <c r="N2721">
        <v>2</v>
      </c>
      <c r="O2721">
        <v>7</v>
      </c>
      <c r="P2721">
        <v>104537.14</v>
      </c>
      <c r="Q2721">
        <v>95329.65</v>
      </c>
      <c r="R2721">
        <v>315</v>
      </c>
      <c r="S2721">
        <v>1622</v>
      </c>
      <c r="T2721" t="s">
        <v>34</v>
      </c>
      <c r="U2721" t="s">
        <v>31</v>
      </c>
    </row>
    <row r="2722" spans="1:21">
      <c r="A2722" t="s">
        <v>4242</v>
      </c>
      <c r="B2722" t="s">
        <v>4243</v>
      </c>
      <c r="C2722" t="s">
        <v>4019</v>
      </c>
      <c r="D2722">
        <v>174000</v>
      </c>
      <c r="E2722">
        <v>10000</v>
      </c>
      <c r="G2722">
        <v>174000</v>
      </c>
      <c r="H2722">
        <v>3</v>
      </c>
      <c r="I2722" t="s">
        <v>325</v>
      </c>
      <c r="J2722">
        <v>48.3</v>
      </c>
      <c r="K2722">
        <v>0</v>
      </c>
      <c r="L2722">
        <v>3</v>
      </c>
      <c r="M2722" t="s">
        <v>4010</v>
      </c>
      <c r="N2722">
        <v>2</v>
      </c>
      <c r="O2722">
        <v>10.67</v>
      </c>
      <c r="P2722">
        <v>104537.14</v>
      </c>
      <c r="Q2722">
        <v>168453.81</v>
      </c>
      <c r="R2722">
        <v>315</v>
      </c>
      <c r="S2722">
        <v>788</v>
      </c>
      <c r="T2722" t="s">
        <v>326</v>
      </c>
      <c r="U2722" t="s">
        <v>81</v>
      </c>
    </row>
    <row r="2723" spans="1:21">
      <c r="A2723" t="s">
        <v>4244</v>
      </c>
      <c r="B2723" t="s">
        <v>4245</v>
      </c>
      <c r="C2723" t="s">
        <v>4019</v>
      </c>
      <c r="D2723">
        <v>118000</v>
      </c>
      <c r="E2723">
        <v>3000</v>
      </c>
      <c r="F2723">
        <v>118000</v>
      </c>
      <c r="G2723">
        <v>118000</v>
      </c>
      <c r="H2723">
        <v>2</v>
      </c>
      <c r="I2723" t="s">
        <v>325</v>
      </c>
      <c r="J2723">
        <v>33.74</v>
      </c>
      <c r="K2723">
        <v>2</v>
      </c>
      <c r="L2723">
        <v>3</v>
      </c>
      <c r="M2723" t="s">
        <v>4010</v>
      </c>
      <c r="N2723">
        <v>5</v>
      </c>
      <c r="O2723">
        <v>11.67</v>
      </c>
      <c r="P2723">
        <v>104537.14</v>
      </c>
      <c r="Q2723">
        <v>168453.81</v>
      </c>
      <c r="R2723">
        <v>315</v>
      </c>
      <c r="S2723">
        <v>788</v>
      </c>
      <c r="T2723" t="s">
        <v>26</v>
      </c>
      <c r="U2723" t="s">
        <v>31</v>
      </c>
    </row>
    <row r="2724" spans="1:21">
      <c r="A2724" t="s">
        <v>4246</v>
      </c>
      <c r="B2724" t="s">
        <v>4247</v>
      </c>
      <c r="C2724" t="s">
        <v>2962</v>
      </c>
      <c r="D2724">
        <v>134000</v>
      </c>
      <c r="E2724">
        <v>5000</v>
      </c>
      <c r="F2724">
        <v>134000</v>
      </c>
      <c r="G2724">
        <v>134000</v>
      </c>
      <c r="H2724">
        <v>2</v>
      </c>
      <c r="I2724" t="s">
        <v>325</v>
      </c>
      <c r="J2724">
        <v>31.5</v>
      </c>
      <c r="K2724">
        <v>2</v>
      </c>
      <c r="L2724">
        <v>4</v>
      </c>
      <c r="M2724" t="s">
        <v>4010</v>
      </c>
      <c r="N2724">
        <v>2</v>
      </c>
      <c r="O2724">
        <v>11.67</v>
      </c>
      <c r="P2724">
        <v>104537.14</v>
      </c>
      <c r="Q2724">
        <v>168453.81</v>
      </c>
      <c r="R2724">
        <v>315</v>
      </c>
      <c r="S2724">
        <v>788</v>
      </c>
      <c r="T2724" t="s">
        <v>26</v>
      </c>
      <c r="U2724" t="s">
        <v>31</v>
      </c>
    </row>
    <row r="2725" spans="1:21">
      <c r="A2725" t="s">
        <v>4248</v>
      </c>
      <c r="B2725" t="s">
        <v>4249</v>
      </c>
      <c r="C2725" t="s">
        <v>4013</v>
      </c>
      <c r="D2725">
        <v>176000</v>
      </c>
      <c r="E2725">
        <v>8000</v>
      </c>
      <c r="F2725">
        <v>176000</v>
      </c>
      <c r="G2725">
        <v>176000</v>
      </c>
      <c r="H2725">
        <v>3</v>
      </c>
      <c r="I2725" t="s">
        <v>325</v>
      </c>
      <c r="J2725">
        <v>47.86</v>
      </c>
      <c r="K2725">
        <v>26</v>
      </c>
      <c r="L2725">
        <v>5</v>
      </c>
      <c r="M2725" t="s">
        <v>4010</v>
      </c>
      <c r="N2725">
        <v>5</v>
      </c>
      <c r="O2725">
        <v>10.67</v>
      </c>
      <c r="P2725">
        <v>104537.14</v>
      </c>
      <c r="Q2725">
        <v>168453.81</v>
      </c>
      <c r="R2725">
        <v>315</v>
      </c>
      <c r="S2725">
        <v>788</v>
      </c>
      <c r="T2725" t="s">
        <v>326</v>
      </c>
      <c r="U2725" t="s">
        <v>27</v>
      </c>
    </row>
    <row r="2726" spans="1:21">
      <c r="A2726" t="s">
        <v>4250</v>
      </c>
      <c r="B2726" t="s">
        <v>4251</v>
      </c>
      <c r="C2726" t="s">
        <v>4032</v>
      </c>
      <c r="D2726">
        <v>164000</v>
      </c>
      <c r="E2726">
        <v>18000</v>
      </c>
      <c r="H2726">
        <v>4</v>
      </c>
      <c r="I2726" t="s">
        <v>325</v>
      </c>
      <c r="J2726">
        <v>40.229999999999997</v>
      </c>
      <c r="K2726">
        <v>5</v>
      </c>
      <c r="L2726">
        <v>4</v>
      </c>
      <c r="M2726" t="s">
        <v>4010</v>
      </c>
      <c r="N2726">
        <v>7</v>
      </c>
      <c r="O2726">
        <v>10.33</v>
      </c>
      <c r="P2726">
        <v>104537.14</v>
      </c>
      <c r="Q2726">
        <v>168453.81</v>
      </c>
      <c r="R2726">
        <v>315</v>
      </c>
      <c r="S2726">
        <v>788</v>
      </c>
      <c r="T2726" t="s">
        <v>326</v>
      </c>
      <c r="U2726" t="s">
        <v>31</v>
      </c>
    </row>
    <row r="2727" spans="1:21">
      <c r="A2727" t="s">
        <v>4252</v>
      </c>
      <c r="B2727" t="s">
        <v>4253</v>
      </c>
      <c r="C2727" t="s">
        <v>4016</v>
      </c>
      <c r="D2727">
        <v>126000</v>
      </c>
      <c r="E2727">
        <v>8000</v>
      </c>
      <c r="F2727">
        <v>126000</v>
      </c>
      <c r="H2727">
        <v>5</v>
      </c>
      <c r="I2727" t="s">
        <v>325</v>
      </c>
      <c r="J2727">
        <v>25.74</v>
      </c>
      <c r="K2727">
        <v>2</v>
      </c>
      <c r="L2727">
        <v>5</v>
      </c>
      <c r="M2727" t="s">
        <v>4010</v>
      </c>
      <c r="N2727">
        <v>4</v>
      </c>
      <c r="O2727">
        <v>8</v>
      </c>
      <c r="P2727">
        <v>104537.14</v>
      </c>
      <c r="Q2727">
        <v>168453.81</v>
      </c>
      <c r="R2727">
        <v>315</v>
      </c>
      <c r="S2727">
        <v>788</v>
      </c>
      <c r="T2727" t="s">
        <v>34</v>
      </c>
      <c r="U2727" t="s">
        <v>31</v>
      </c>
    </row>
    <row r="2728" spans="1:21">
      <c r="A2728" t="s">
        <v>4254</v>
      </c>
      <c r="B2728" t="s">
        <v>4253</v>
      </c>
      <c r="C2728" t="s">
        <v>4016</v>
      </c>
      <c r="D2728">
        <v>129000</v>
      </c>
      <c r="E2728">
        <v>8000</v>
      </c>
      <c r="F2728">
        <v>129000</v>
      </c>
      <c r="G2728">
        <v>129000</v>
      </c>
      <c r="H2728">
        <v>5</v>
      </c>
      <c r="I2728" t="s">
        <v>325</v>
      </c>
      <c r="J2728">
        <v>25.74</v>
      </c>
      <c r="K2728">
        <v>2</v>
      </c>
      <c r="L2728">
        <v>5</v>
      </c>
      <c r="M2728" t="s">
        <v>4010</v>
      </c>
      <c r="N2728">
        <v>4</v>
      </c>
      <c r="O2728">
        <v>8</v>
      </c>
      <c r="P2728">
        <v>104537.14</v>
      </c>
      <c r="Q2728">
        <v>168453.81</v>
      </c>
      <c r="R2728">
        <v>315</v>
      </c>
      <c r="S2728">
        <v>788</v>
      </c>
      <c r="T2728" t="s">
        <v>34</v>
      </c>
      <c r="U2728" t="s">
        <v>31</v>
      </c>
    </row>
    <row r="2729" spans="1:21">
      <c r="A2729" t="s">
        <v>4255</v>
      </c>
      <c r="B2729" t="s">
        <v>4256</v>
      </c>
      <c r="C2729" t="s">
        <v>4016</v>
      </c>
      <c r="D2729">
        <v>182000</v>
      </c>
      <c r="E2729">
        <v>10000</v>
      </c>
      <c r="F2729">
        <v>182000</v>
      </c>
      <c r="H2729">
        <v>4</v>
      </c>
      <c r="I2729" t="s">
        <v>325</v>
      </c>
      <c r="J2729">
        <v>38.89</v>
      </c>
      <c r="K2729">
        <v>7</v>
      </c>
      <c r="L2729">
        <v>11</v>
      </c>
      <c r="M2729" t="s">
        <v>4010</v>
      </c>
      <c r="N2729">
        <v>1</v>
      </c>
      <c r="O2729">
        <v>8.67</v>
      </c>
      <c r="P2729">
        <v>104537.14</v>
      </c>
      <c r="Q2729">
        <v>168453.81</v>
      </c>
      <c r="R2729">
        <v>315</v>
      </c>
      <c r="S2729">
        <v>788</v>
      </c>
      <c r="T2729" t="s">
        <v>26</v>
      </c>
      <c r="U2729" t="s">
        <v>31</v>
      </c>
    </row>
    <row r="2730" spans="1:21">
      <c r="A2730" t="s">
        <v>4257</v>
      </c>
      <c r="B2730" t="s">
        <v>4256</v>
      </c>
      <c r="C2730" t="s">
        <v>4016</v>
      </c>
      <c r="D2730">
        <v>182000</v>
      </c>
      <c r="E2730">
        <v>10000</v>
      </c>
      <c r="F2730">
        <v>182000</v>
      </c>
      <c r="H2730">
        <v>7</v>
      </c>
      <c r="I2730" t="s">
        <v>325</v>
      </c>
      <c r="J2730">
        <v>38.89</v>
      </c>
      <c r="K2730">
        <v>7</v>
      </c>
      <c r="L2730">
        <v>11</v>
      </c>
      <c r="M2730" t="s">
        <v>4010</v>
      </c>
      <c r="N2730">
        <v>1</v>
      </c>
      <c r="O2730">
        <v>8.67</v>
      </c>
      <c r="P2730">
        <v>104537.14</v>
      </c>
      <c r="Q2730">
        <v>168453.81</v>
      </c>
      <c r="R2730">
        <v>315</v>
      </c>
      <c r="S2730">
        <v>788</v>
      </c>
      <c r="T2730" t="s">
        <v>26</v>
      </c>
      <c r="U2730" t="s">
        <v>31</v>
      </c>
    </row>
    <row r="2731" spans="1:21">
      <c r="A2731" t="s">
        <v>4258</v>
      </c>
      <c r="B2731" t="s">
        <v>4256</v>
      </c>
      <c r="C2731" t="s">
        <v>4016</v>
      </c>
      <c r="D2731">
        <v>185000</v>
      </c>
      <c r="E2731">
        <v>10000</v>
      </c>
      <c r="F2731">
        <v>185000</v>
      </c>
      <c r="H2731">
        <v>7</v>
      </c>
      <c r="I2731" t="s">
        <v>325</v>
      </c>
      <c r="J2731">
        <v>38.89</v>
      </c>
      <c r="K2731">
        <v>7</v>
      </c>
      <c r="L2731">
        <v>11</v>
      </c>
      <c r="M2731" t="s">
        <v>4010</v>
      </c>
      <c r="N2731">
        <v>1</v>
      </c>
      <c r="O2731">
        <v>8.67</v>
      </c>
      <c r="P2731">
        <v>104537.14</v>
      </c>
      <c r="Q2731">
        <v>168453.81</v>
      </c>
      <c r="R2731">
        <v>315</v>
      </c>
      <c r="S2731">
        <v>788</v>
      </c>
      <c r="T2731" t="s">
        <v>26</v>
      </c>
      <c r="U2731" t="s">
        <v>31</v>
      </c>
    </row>
    <row r="2732" spans="1:21">
      <c r="A2732" t="s">
        <v>4259</v>
      </c>
      <c r="B2732" t="s">
        <v>4260</v>
      </c>
      <c r="C2732" t="s">
        <v>4009</v>
      </c>
      <c r="D2732">
        <v>118000</v>
      </c>
      <c r="E2732">
        <v>5000</v>
      </c>
      <c r="F2732">
        <v>118000</v>
      </c>
      <c r="G2732">
        <v>118000</v>
      </c>
      <c r="H2732">
        <v>1</v>
      </c>
      <c r="I2732" t="s">
        <v>325</v>
      </c>
      <c r="J2732">
        <v>34.869999999999997</v>
      </c>
      <c r="K2732">
        <v>0</v>
      </c>
      <c r="L2732">
        <v>2</v>
      </c>
      <c r="M2732" t="s">
        <v>4010</v>
      </c>
      <c r="N2732">
        <v>5</v>
      </c>
      <c r="O2732">
        <v>11.33</v>
      </c>
      <c r="P2732">
        <v>104537.14</v>
      </c>
      <c r="Q2732">
        <v>168453.81</v>
      </c>
      <c r="R2732">
        <v>315</v>
      </c>
      <c r="S2732">
        <v>788</v>
      </c>
      <c r="T2732" t="s">
        <v>26</v>
      </c>
      <c r="U2732" t="s">
        <v>81</v>
      </c>
    </row>
    <row r="2733" spans="1:21">
      <c r="A2733" t="s">
        <v>4261</v>
      </c>
      <c r="B2733" t="s">
        <v>4262</v>
      </c>
      <c r="C2733" t="s">
        <v>4016</v>
      </c>
      <c r="D2733">
        <v>129000</v>
      </c>
      <c r="E2733">
        <v>10000</v>
      </c>
      <c r="F2733">
        <v>129000</v>
      </c>
      <c r="H2733">
        <v>9</v>
      </c>
      <c r="I2733" t="s">
        <v>325</v>
      </c>
      <c r="J2733">
        <v>30.79</v>
      </c>
      <c r="K2733">
        <v>8</v>
      </c>
      <c r="L2733">
        <v>9</v>
      </c>
      <c r="M2733" t="s">
        <v>4010</v>
      </c>
      <c r="N2733">
        <v>3</v>
      </c>
      <c r="O2733">
        <v>8.33</v>
      </c>
      <c r="P2733">
        <v>104537.14</v>
      </c>
      <c r="Q2733">
        <v>168453.81</v>
      </c>
      <c r="R2733">
        <v>315</v>
      </c>
      <c r="S2733">
        <v>788</v>
      </c>
      <c r="T2733" t="s">
        <v>26</v>
      </c>
      <c r="U2733" t="s">
        <v>31</v>
      </c>
    </row>
    <row r="2734" spans="1:21">
      <c r="A2734" t="s">
        <v>4263</v>
      </c>
      <c r="B2734" t="s">
        <v>4262</v>
      </c>
      <c r="C2734" t="s">
        <v>4016</v>
      </c>
      <c r="D2734">
        <v>132000</v>
      </c>
      <c r="E2734">
        <v>10000</v>
      </c>
      <c r="F2734">
        <v>132000</v>
      </c>
      <c r="H2734">
        <v>9</v>
      </c>
      <c r="I2734" t="s">
        <v>325</v>
      </c>
      <c r="J2734">
        <v>30.79</v>
      </c>
      <c r="K2734">
        <v>8</v>
      </c>
      <c r="L2734">
        <v>9</v>
      </c>
      <c r="M2734" t="s">
        <v>4010</v>
      </c>
      <c r="N2734">
        <v>3</v>
      </c>
      <c r="O2734">
        <v>8.33</v>
      </c>
      <c r="P2734">
        <v>104537.14</v>
      </c>
      <c r="Q2734">
        <v>168453.81</v>
      </c>
      <c r="R2734">
        <v>315</v>
      </c>
      <c r="S2734">
        <v>788</v>
      </c>
      <c r="T2734" t="s">
        <v>26</v>
      </c>
      <c r="U2734" t="s">
        <v>31</v>
      </c>
    </row>
    <row r="2735" spans="1:21">
      <c r="A2735" t="s">
        <v>4264</v>
      </c>
      <c r="B2735" t="s">
        <v>4262</v>
      </c>
      <c r="C2735" t="s">
        <v>4016</v>
      </c>
      <c r="D2735">
        <v>157000</v>
      </c>
      <c r="E2735">
        <v>10000</v>
      </c>
      <c r="F2735">
        <v>157000</v>
      </c>
      <c r="H2735">
        <v>9</v>
      </c>
      <c r="I2735" t="s">
        <v>325</v>
      </c>
      <c r="J2735">
        <v>40.44</v>
      </c>
      <c r="K2735">
        <v>8</v>
      </c>
      <c r="L2735">
        <v>9</v>
      </c>
      <c r="M2735" t="s">
        <v>4010</v>
      </c>
      <c r="N2735">
        <v>3</v>
      </c>
      <c r="O2735">
        <v>8.33</v>
      </c>
      <c r="P2735">
        <v>104537.14</v>
      </c>
      <c r="Q2735">
        <v>168453.81</v>
      </c>
      <c r="R2735">
        <v>315</v>
      </c>
      <c r="S2735">
        <v>788</v>
      </c>
      <c r="T2735" t="s">
        <v>326</v>
      </c>
      <c r="U2735" t="s">
        <v>31</v>
      </c>
    </row>
    <row r="2736" spans="1:21">
      <c r="A2736" t="s">
        <v>4265</v>
      </c>
      <c r="B2736" t="s">
        <v>4021</v>
      </c>
      <c r="C2736" t="s">
        <v>4016</v>
      </c>
      <c r="D2736">
        <v>178000</v>
      </c>
      <c r="E2736">
        <v>20000</v>
      </c>
      <c r="F2736">
        <v>178000</v>
      </c>
      <c r="G2736">
        <v>178000</v>
      </c>
      <c r="H2736">
        <v>3</v>
      </c>
      <c r="I2736" t="s">
        <v>325</v>
      </c>
      <c r="J2736">
        <v>38.31</v>
      </c>
      <c r="K2736">
        <v>3</v>
      </c>
      <c r="L2736">
        <v>10</v>
      </c>
      <c r="M2736" t="s">
        <v>4010</v>
      </c>
      <c r="N2736">
        <v>1</v>
      </c>
      <c r="O2736">
        <v>8.67</v>
      </c>
      <c r="P2736">
        <v>104537.14</v>
      </c>
      <c r="Q2736">
        <v>168453.81</v>
      </c>
      <c r="R2736">
        <v>315</v>
      </c>
      <c r="S2736">
        <v>788</v>
      </c>
      <c r="T2736" t="s">
        <v>26</v>
      </c>
      <c r="U2736" t="s">
        <v>31</v>
      </c>
    </row>
    <row r="2737" spans="1:21">
      <c r="A2737" t="s">
        <v>4266</v>
      </c>
      <c r="B2737" t="s">
        <v>4093</v>
      </c>
      <c r="C2737" t="s">
        <v>4027</v>
      </c>
      <c r="D2737">
        <v>160000</v>
      </c>
      <c r="E2737">
        <v>20000</v>
      </c>
      <c r="G2737">
        <v>160000</v>
      </c>
      <c r="H2737">
        <v>8</v>
      </c>
      <c r="I2737" t="s">
        <v>325</v>
      </c>
      <c r="J2737">
        <v>41.08</v>
      </c>
      <c r="K2737">
        <v>6</v>
      </c>
      <c r="L2737">
        <v>10</v>
      </c>
      <c r="M2737" t="s">
        <v>4010</v>
      </c>
      <c r="N2737">
        <v>8</v>
      </c>
      <c r="O2737">
        <v>10</v>
      </c>
      <c r="P2737">
        <v>104537.14</v>
      </c>
      <c r="Q2737">
        <v>168453.81</v>
      </c>
      <c r="R2737">
        <v>315</v>
      </c>
      <c r="S2737">
        <v>788</v>
      </c>
      <c r="T2737" t="s">
        <v>326</v>
      </c>
      <c r="U2737" t="s">
        <v>31</v>
      </c>
    </row>
    <row r="2738" spans="1:21">
      <c r="A2738" t="s">
        <v>4267</v>
      </c>
      <c r="B2738" t="s">
        <v>4113</v>
      </c>
      <c r="C2738" t="s">
        <v>4009</v>
      </c>
      <c r="D2738">
        <v>140000</v>
      </c>
      <c r="F2738">
        <v>140000</v>
      </c>
      <c r="G2738">
        <v>140000</v>
      </c>
      <c r="H2738">
        <v>2</v>
      </c>
      <c r="I2738" t="s">
        <v>325</v>
      </c>
      <c r="J2738">
        <v>36.4</v>
      </c>
      <c r="K2738">
        <v>37</v>
      </c>
      <c r="L2738">
        <v>4</v>
      </c>
      <c r="M2738" t="s">
        <v>4010</v>
      </c>
      <c r="N2738">
        <v>4</v>
      </c>
      <c r="O2738">
        <v>11.33</v>
      </c>
      <c r="P2738">
        <v>104537.14</v>
      </c>
      <c r="Q2738">
        <v>168453.81</v>
      </c>
      <c r="R2738">
        <v>315</v>
      </c>
      <c r="S2738">
        <v>788</v>
      </c>
      <c r="T2738" t="s">
        <v>26</v>
      </c>
      <c r="U2738" t="s">
        <v>49</v>
      </c>
    </row>
    <row r="2739" spans="1:21">
      <c r="A2739" t="s">
        <v>4268</v>
      </c>
      <c r="B2739" t="s">
        <v>4269</v>
      </c>
      <c r="C2739" t="s">
        <v>4009</v>
      </c>
      <c r="D2739">
        <v>118000</v>
      </c>
      <c r="E2739">
        <v>5000</v>
      </c>
      <c r="G2739">
        <v>118000</v>
      </c>
      <c r="H2739">
        <v>1</v>
      </c>
      <c r="I2739" t="s">
        <v>325</v>
      </c>
      <c r="J2739">
        <v>30.02</v>
      </c>
      <c r="K2739">
        <v>0</v>
      </c>
      <c r="L2739">
        <v>3</v>
      </c>
      <c r="M2739" t="s">
        <v>4010</v>
      </c>
      <c r="N2739">
        <v>4</v>
      </c>
      <c r="O2739">
        <v>11</v>
      </c>
      <c r="P2739">
        <v>104537.14</v>
      </c>
      <c r="Q2739">
        <v>168453.81</v>
      </c>
      <c r="R2739">
        <v>315</v>
      </c>
      <c r="S2739">
        <v>788</v>
      </c>
      <c r="T2739" t="s">
        <v>26</v>
      </c>
      <c r="U2739" t="s">
        <v>81</v>
      </c>
    </row>
    <row r="2740" spans="1:21">
      <c r="A2740" t="s">
        <v>4270</v>
      </c>
      <c r="B2740" t="s">
        <v>4269</v>
      </c>
      <c r="C2740" t="s">
        <v>4009</v>
      </c>
      <c r="D2740">
        <v>132000</v>
      </c>
      <c r="E2740">
        <v>5000</v>
      </c>
      <c r="G2740">
        <v>132000</v>
      </c>
      <c r="H2740">
        <v>2</v>
      </c>
      <c r="I2740" t="s">
        <v>325</v>
      </c>
      <c r="J2740">
        <v>30.95</v>
      </c>
      <c r="K2740">
        <v>0</v>
      </c>
      <c r="L2740">
        <v>3</v>
      </c>
      <c r="M2740" t="s">
        <v>4010</v>
      </c>
      <c r="N2740">
        <v>4</v>
      </c>
      <c r="O2740">
        <v>11</v>
      </c>
      <c r="P2740">
        <v>104537.14</v>
      </c>
      <c r="Q2740">
        <v>168453.81</v>
      </c>
      <c r="R2740">
        <v>315</v>
      </c>
      <c r="S2740">
        <v>788</v>
      </c>
      <c r="T2740" t="s">
        <v>26</v>
      </c>
      <c r="U2740" t="s">
        <v>81</v>
      </c>
    </row>
    <row r="2741" spans="1:21">
      <c r="A2741" t="s">
        <v>4271</v>
      </c>
      <c r="B2741" t="s">
        <v>4269</v>
      </c>
      <c r="C2741" t="s">
        <v>4009</v>
      </c>
      <c r="D2741">
        <v>134000</v>
      </c>
      <c r="E2741">
        <v>5000</v>
      </c>
      <c r="G2741">
        <v>134000</v>
      </c>
      <c r="H2741">
        <v>3</v>
      </c>
      <c r="I2741" t="s">
        <v>325</v>
      </c>
      <c r="J2741">
        <v>30.95</v>
      </c>
      <c r="K2741">
        <v>0</v>
      </c>
      <c r="L2741">
        <v>3</v>
      </c>
      <c r="M2741" t="s">
        <v>4010</v>
      </c>
      <c r="N2741">
        <v>4</v>
      </c>
      <c r="O2741">
        <v>11</v>
      </c>
      <c r="P2741">
        <v>104537.14</v>
      </c>
      <c r="Q2741">
        <v>168453.81</v>
      </c>
      <c r="R2741">
        <v>315</v>
      </c>
      <c r="S2741">
        <v>788</v>
      </c>
      <c r="T2741" t="s">
        <v>26</v>
      </c>
      <c r="U2741" t="s">
        <v>81</v>
      </c>
    </row>
    <row r="2742" spans="1:21">
      <c r="A2742" t="s">
        <v>4272</v>
      </c>
      <c r="B2742" t="s">
        <v>4269</v>
      </c>
      <c r="C2742" t="s">
        <v>4009</v>
      </c>
      <c r="D2742">
        <v>136000</v>
      </c>
      <c r="E2742">
        <v>5000</v>
      </c>
      <c r="G2742">
        <v>136000</v>
      </c>
      <c r="H2742">
        <v>3</v>
      </c>
      <c r="I2742" t="s">
        <v>325</v>
      </c>
      <c r="J2742">
        <v>33.729999999999997</v>
      </c>
      <c r="K2742">
        <v>0</v>
      </c>
      <c r="L2742">
        <v>3</v>
      </c>
      <c r="M2742" t="s">
        <v>4010</v>
      </c>
      <c r="N2742">
        <v>4</v>
      </c>
      <c r="O2742">
        <v>11</v>
      </c>
      <c r="P2742">
        <v>104537.14</v>
      </c>
      <c r="Q2742">
        <v>168453.81</v>
      </c>
      <c r="R2742">
        <v>315</v>
      </c>
      <c r="S2742">
        <v>788</v>
      </c>
      <c r="T2742" t="s">
        <v>26</v>
      </c>
      <c r="U2742" t="s">
        <v>81</v>
      </c>
    </row>
    <row r="2743" spans="1:21">
      <c r="A2743" t="s">
        <v>4273</v>
      </c>
      <c r="B2743" t="s">
        <v>4274</v>
      </c>
      <c r="C2743" t="s">
        <v>4016</v>
      </c>
      <c r="D2743">
        <v>134000</v>
      </c>
      <c r="E2743">
        <v>5800</v>
      </c>
      <c r="G2743">
        <v>268000</v>
      </c>
      <c r="H2743">
        <v>2</v>
      </c>
      <c r="I2743" t="s">
        <v>325</v>
      </c>
      <c r="J2743">
        <v>40.79</v>
      </c>
      <c r="K2743">
        <v>14</v>
      </c>
      <c r="L2743">
        <v>7</v>
      </c>
      <c r="M2743" t="s">
        <v>4010</v>
      </c>
      <c r="N2743">
        <v>2</v>
      </c>
      <c r="O2743">
        <v>8.67</v>
      </c>
      <c r="P2743">
        <v>104537.14</v>
      </c>
      <c r="Q2743">
        <v>168453.81</v>
      </c>
      <c r="R2743">
        <v>315</v>
      </c>
      <c r="S2743">
        <v>788</v>
      </c>
      <c r="T2743" t="s">
        <v>326</v>
      </c>
      <c r="U2743" t="s">
        <v>90</v>
      </c>
    </row>
    <row r="2744" spans="1:21">
      <c r="A2744" t="s">
        <v>4275</v>
      </c>
      <c r="B2744" t="s">
        <v>4276</v>
      </c>
      <c r="C2744" t="s">
        <v>4016</v>
      </c>
      <c r="D2744">
        <v>126000</v>
      </c>
      <c r="E2744">
        <v>9000</v>
      </c>
      <c r="F2744">
        <v>126000</v>
      </c>
      <c r="G2744">
        <v>126000</v>
      </c>
      <c r="H2744">
        <v>1</v>
      </c>
      <c r="I2744" t="s">
        <v>325</v>
      </c>
      <c r="J2744">
        <v>33.479999999999997</v>
      </c>
      <c r="K2744">
        <v>54</v>
      </c>
      <c r="L2744">
        <v>2</v>
      </c>
      <c r="M2744" t="s">
        <v>4010</v>
      </c>
      <c r="N2744">
        <v>5</v>
      </c>
      <c r="O2744">
        <v>6</v>
      </c>
      <c r="P2744">
        <v>104537.14</v>
      </c>
      <c r="Q2744">
        <v>168453.81</v>
      </c>
      <c r="R2744">
        <v>315</v>
      </c>
      <c r="S2744">
        <v>788</v>
      </c>
      <c r="T2744" t="s">
        <v>26</v>
      </c>
      <c r="U2744" t="s">
        <v>57</v>
      </c>
    </row>
    <row r="2745" spans="1:21">
      <c r="A2745" t="s">
        <v>4277</v>
      </c>
      <c r="B2745" t="s">
        <v>4276</v>
      </c>
      <c r="C2745" t="s">
        <v>4016</v>
      </c>
      <c r="D2745">
        <v>127000</v>
      </c>
      <c r="E2745">
        <v>9000</v>
      </c>
      <c r="F2745">
        <v>127000</v>
      </c>
      <c r="G2745">
        <v>127000</v>
      </c>
      <c r="H2745">
        <v>1</v>
      </c>
      <c r="I2745" t="s">
        <v>325</v>
      </c>
      <c r="J2745">
        <v>33.950000000000003</v>
      </c>
      <c r="K2745">
        <v>54</v>
      </c>
      <c r="L2745">
        <v>2</v>
      </c>
      <c r="M2745" t="s">
        <v>4010</v>
      </c>
      <c r="N2745">
        <v>5</v>
      </c>
      <c r="O2745">
        <v>6</v>
      </c>
      <c r="P2745">
        <v>104537.14</v>
      </c>
      <c r="Q2745">
        <v>168453.81</v>
      </c>
      <c r="R2745">
        <v>315</v>
      </c>
      <c r="S2745">
        <v>788</v>
      </c>
      <c r="T2745" t="s">
        <v>26</v>
      </c>
      <c r="U2745" t="s">
        <v>57</v>
      </c>
    </row>
    <row r="2746" spans="1:21">
      <c r="A2746" t="s">
        <v>4278</v>
      </c>
      <c r="B2746" t="s">
        <v>4276</v>
      </c>
      <c r="C2746" t="s">
        <v>4016</v>
      </c>
      <c r="D2746">
        <v>130000</v>
      </c>
      <c r="E2746">
        <v>11000</v>
      </c>
      <c r="F2746">
        <v>130000</v>
      </c>
      <c r="G2746">
        <v>130000</v>
      </c>
      <c r="H2746">
        <v>1</v>
      </c>
      <c r="I2746" t="s">
        <v>325</v>
      </c>
      <c r="J2746">
        <v>33.950000000000003</v>
      </c>
      <c r="K2746">
        <v>54</v>
      </c>
      <c r="L2746">
        <v>2</v>
      </c>
      <c r="M2746" t="s">
        <v>4010</v>
      </c>
      <c r="N2746">
        <v>5</v>
      </c>
      <c r="O2746">
        <v>6</v>
      </c>
      <c r="P2746">
        <v>104537.14</v>
      </c>
      <c r="Q2746">
        <v>168453.81</v>
      </c>
      <c r="R2746">
        <v>315</v>
      </c>
      <c r="S2746">
        <v>788</v>
      </c>
      <c r="T2746" t="s">
        <v>26</v>
      </c>
      <c r="U2746" t="s">
        <v>57</v>
      </c>
    </row>
    <row r="2747" spans="1:21">
      <c r="A2747" t="s">
        <v>4279</v>
      </c>
      <c r="B2747" t="s">
        <v>4276</v>
      </c>
      <c r="C2747" t="s">
        <v>4016</v>
      </c>
      <c r="D2747">
        <v>128000</v>
      </c>
      <c r="E2747">
        <v>9000</v>
      </c>
      <c r="F2747">
        <v>128000</v>
      </c>
      <c r="G2747">
        <v>128000</v>
      </c>
      <c r="H2747">
        <v>2</v>
      </c>
      <c r="I2747" t="s">
        <v>325</v>
      </c>
      <c r="J2747">
        <v>33.119999999999997</v>
      </c>
      <c r="K2747">
        <v>54</v>
      </c>
      <c r="L2747">
        <v>2</v>
      </c>
      <c r="M2747" t="s">
        <v>4010</v>
      </c>
      <c r="N2747">
        <v>5</v>
      </c>
      <c r="O2747">
        <v>6</v>
      </c>
      <c r="P2747">
        <v>104537.14</v>
      </c>
      <c r="Q2747">
        <v>168453.81</v>
      </c>
      <c r="R2747">
        <v>315</v>
      </c>
      <c r="S2747">
        <v>788</v>
      </c>
      <c r="T2747" t="s">
        <v>26</v>
      </c>
      <c r="U2747" t="s">
        <v>57</v>
      </c>
    </row>
    <row r="2748" spans="1:21">
      <c r="A2748" t="s">
        <v>4280</v>
      </c>
      <c r="B2748" t="s">
        <v>4276</v>
      </c>
      <c r="C2748" t="s">
        <v>4016</v>
      </c>
      <c r="D2748">
        <v>129000</v>
      </c>
      <c r="E2748">
        <v>9000</v>
      </c>
      <c r="F2748">
        <v>129000</v>
      </c>
      <c r="G2748">
        <v>129000</v>
      </c>
      <c r="H2748">
        <v>2</v>
      </c>
      <c r="I2748" t="s">
        <v>325</v>
      </c>
      <c r="J2748">
        <v>33.950000000000003</v>
      </c>
      <c r="K2748">
        <v>54</v>
      </c>
      <c r="L2748">
        <v>2</v>
      </c>
      <c r="M2748" t="s">
        <v>4010</v>
      </c>
      <c r="N2748">
        <v>5</v>
      </c>
      <c r="O2748">
        <v>6</v>
      </c>
      <c r="P2748">
        <v>104537.14</v>
      </c>
      <c r="Q2748">
        <v>168453.81</v>
      </c>
      <c r="R2748">
        <v>315</v>
      </c>
      <c r="S2748">
        <v>788</v>
      </c>
      <c r="T2748" t="s">
        <v>26</v>
      </c>
      <c r="U2748" t="s">
        <v>57</v>
      </c>
    </row>
    <row r="2749" spans="1:21">
      <c r="A2749" t="s">
        <v>4281</v>
      </c>
      <c r="B2749" t="s">
        <v>4276</v>
      </c>
      <c r="C2749" t="s">
        <v>4016</v>
      </c>
      <c r="D2749">
        <v>132000</v>
      </c>
      <c r="E2749">
        <v>11000</v>
      </c>
      <c r="F2749">
        <v>132000</v>
      </c>
      <c r="G2749">
        <v>132000</v>
      </c>
      <c r="H2749">
        <v>2</v>
      </c>
      <c r="I2749" t="s">
        <v>325</v>
      </c>
      <c r="J2749">
        <v>33.950000000000003</v>
      </c>
      <c r="K2749">
        <v>54</v>
      </c>
      <c r="L2749">
        <v>2</v>
      </c>
      <c r="M2749" t="s">
        <v>4010</v>
      </c>
      <c r="N2749">
        <v>5</v>
      </c>
      <c r="O2749">
        <v>6</v>
      </c>
      <c r="P2749">
        <v>104537.14</v>
      </c>
      <c r="Q2749">
        <v>168453.81</v>
      </c>
      <c r="R2749">
        <v>315</v>
      </c>
      <c r="S2749">
        <v>788</v>
      </c>
      <c r="T2749" t="s">
        <v>26</v>
      </c>
      <c r="U2749" t="s">
        <v>57</v>
      </c>
    </row>
    <row r="2750" spans="1:21">
      <c r="A2750" t="s">
        <v>4282</v>
      </c>
      <c r="B2750" t="s">
        <v>4283</v>
      </c>
      <c r="C2750" t="s">
        <v>4009</v>
      </c>
      <c r="D2750">
        <v>147000</v>
      </c>
      <c r="E2750">
        <v>5000</v>
      </c>
      <c r="H2750">
        <v>1</v>
      </c>
      <c r="I2750" t="s">
        <v>325</v>
      </c>
      <c r="J2750">
        <v>43.28</v>
      </c>
      <c r="K2750">
        <v>36</v>
      </c>
      <c r="L2750">
        <v>3</v>
      </c>
      <c r="M2750" t="s">
        <v>4010</v>
      </c>
      <c r="N2750">
        <v>5</v>
      </c>
      <c r="O2750">
        <v>11.67</v>
      </c>
      <c r="P2750">
        <v>104537.14</v>
      </c>
      <c r="Q2750">
        <v>168453.81</v>
      </c>
      <c r="R2750">
        <v>315</v>
      </c>
      <c r="S2750">
        <v>788</v>
      </c>
      <c r="T2750" t="s">
        <v>326</v>
      </c>
      <c r="U2750" t="s">
        <v>49</v>
      </c>
    </row>
    <row r="2751" spans="1:21">
      <c r="A2751" t="s">
        <v>4284</v>
      </c>
      <c r="B2751" t="s">
        <v>4285</v>
      </c>
      <c r="C2751" t="s">
        <v>4009</v>
      </c>
      <c r="D2751">
        <v>142000</v>
      </c>
      <c r="E2751">
        <v>3000</v>
      </c>
      <c r="F2751">
        <v>142000</v>
      </c>
      <c r="G2751">
        <v>142000</v>
      </c>
      <c r="H2751">
        <v>1</v>
      </c>
      <c r="I2751" t="s">
        <v>325</v>
      </c>
      <c r="J2751">
        <v>38.97</v>
      </c>
      <c r="K2751">
        <v>3</v>
      </c>
      <c r="L2751">
        <v>2</v>
      </c>
      <c r="M2751" t="s">
        <v>4010</v>
      </c>
      <c r="N2751">
        <v>5</v>
      </c>
      <c r="O2751">
        <v>9.33</v>
      </c>
      <c r="P2751">
        <v>104537.14</v>
      </c>
      <c r="Q2751">
        <v>168453.81</v>
      </c>
      <c r="R2751">
        <v>315</v>
      </c>
      <c r="S2751">
        <v>788</v>
      </c>
      <c r="T2751" t="s">
        <v>26</v>
      </c>
      <c r="U2751" t="s">
        <v>31</v>
      </c>
    </row>
    <row r="2752" spans="1:21">
      <c r="A2752" t="s">
        <v>4286</v>
      </c>
      <c r="B2752" t="s">
        <v>4285</v>
      </c>
      <c r="C2752" t="s">
        <v>4009</v>
      </c>
      <c r="D2752">
        <v>143000</v>
      </c>
      <c r="E2752">
        <v>3000</v>
      </c>
      <c r="F2752">
        <v>143000</v>
      </c>
      <c r="G2752">
        <v>143000</v>
      </c>
      <c r="H2752">
        <v>2</v>
      </c>
      <c r="I2752" t="s">
        <v>325</v>
      </c>
      <c r="J2752">
        <v>38.97</v>
      </c>
      <c r="K2752">
        <v>3</v>
      </c>
      <c r="L2752">
        <v>2</v>
      </c>
      <c r="M2752" t="s">
        <v>4010</v>
      </c>
      <c r="N2752">
        <v>5</v>
      </c>
      <c r="O2752">
        <v>9.33</v>
      </c>
      <c r="P2752">
        <v>104537.14</v>
      </c>
      <c r="Q2752">
        <v>168453.81</v>
      </c>
      <c r="R2752">
        <v>315</v>
      </c>
      <c r="S2752">
        <v>788</v>
      </c>
      <c r="T2752" t="s">
        <v>26</v>
      </c>
      <c r="U2752" t="s">
        <v>31</v>
      </c>
    </row>
    <row r="2753" spans="1:21">
      <c r="A2753" t="s">
        <v>4287</v>
      </c>
      <c r="B2753" t="s">
        <v>4288</v>
      </c>
      <c r="C2753" t="s">
        <v>4032</v>
      </c>
      <c r="D2753">
        <v>95000</v>
      </c>
      <c r="E2753">
        <v>2000</v>
      </c>
      <c r="F2753">
        <v>95000</v>
      </c>
      <c r="G2753">
        <v>95000</v>
      </c>
      <c r="H2753">
        <v>1</v>
      </c>
      <c r="I2753" t="s">
        <v>325</v>
      </c>
      <c r="J2753">
        <v>38.92</v>
      </c>
      <c r="K2753">
        <v>39</v>
      </c>
      <c r="L2753">
        <v>2</v>
      </c>
      <c r="M2753" t="s">
        <v>4010</v>
      </c>
      <c r="N2753">
        <v>8</v>
      </c>
      <c r="O2753">
        <v>10</v>
      </c>
      <c r="P2753">
        <v>104537.14</v>
      </c>
      <c r="Q2753">
        <v>168453.81</v>
      </c>
      <c r="R2753">
        <v>315</v>
      </c>
      <c r="S2753">
        <v>788</v>
      </c>
      <c r="T2753" t="s">
        <v>26</v>
      </c>
      <c r="U2753" t="s">
        <v>49</v>
      </c>
    </row>
    <row r="2754" spans="1:21">
      <c r="A2754" t="s">
        <v>4289</v>
      </c>
      <c r="B2754" t="s">
        <v>4034</v>
      </c>
      <c r="C2754" t="s">
        <v>4016</v>
      </c>
      <c r="D2754">
        <v>178000</v>
      </c>
      <c r="E2754">
        <v>20000</v>
      </c>
      <c r="F2754">
        <v>178000</v>
      </c>
      <c r="G2754">
        <v>178000</v>
      </c>
      <c r="H2754">
        <v>3</v>
      </c>
      <c r="I2754" t="s">
        <v>325</v>
      </c>
      <c r="J2754">
        <v>38.31</v>
      </c>
      <c r="K2754">
        <v>3</v>
      </c>
      <c r="L2754">
        <v>10</v>
      </c>
      <c r="M2754" t="s">
        <v>4010</v>
      </c>
      <c r="N2754">
        <v>1</v>
      </c>
      <c r="O2754">
        <v>9.67</v>
      </c>
      <c r="P2754">
        <v>104537.14</v>
      </c>
      <c r="Q2754">
        <v>168453.81</v>
      </c>
      <c r="R2754">
        <v>315</v>
      </c>
      <c r="S2754">
        <v>788</v>
      </c>
      <c r="T2754" t="s">
        <v>26</v>
      </c>
      <c r="U2754" t="s">
        <v>31</v>
      </c>
    </row>
    <row r="2755" spans="1:21">
      <c r="A2755" t="s">
        <v>4290</v>
      </c>
      <c r="B2755" t="s">
        <v>4291</v>
      </c>
      <c r="C2755" t="s">
        <v>4016</v>
      </c>
      <c r="D2755">
        <v>182000</v>
      </c>
      <c r="E2755">
        <v>10000</v>
      </c>
      <c r="F2755">
        <v>182000</v>
      </c>
      <c r="H2755">
        <v>4</v>
      </c>
      <c r="I2755" t="s">
        <v>325</v>
      </c>
      <c r="J2755">
        <v>38.89</v>
      </c>
      <c r="K2755">
        <v>7</v>
      </c>
      <c r="L2755">
        <v>11</v>
      </c>
      <c r="M2755" t="s">
        <v>4010</v>
      </c>
      <c r="N2755">
        <v>1</v>
      </c>
      <c r="O2755">
        <v>10</v>
      </c>
      <c r="P2755">
        <v>104537.14</v>
      </c>
      <c r="Q2755">
        <v>168453.81</v>
      </c>
      <c r="R2755">
        <v>315</v>
      </c>
      <c r="S2755">
        <v>788</v>
      </c>
      <c r="T2755" t="s">
        <v>26</v>
      </c>
      <c r="U2755" t="s">
        <v>31</v>
      </c>
    </row>
    <row r="2756" spans="1:21">
      <c r="A2756" t="s">
        <v>4292</v>
      </c>
      <c r="B2756" t="s">
        <v>4291</v>
      </c>
      <c r="C2756" t="s">
        <v>4016</v>
      </c>
      <c r="D2756">
        <v>185000</v>
      </c>
      <c r="E2756">
        <v>10000</v>
      </c>
      <c r="F2756">
        <v>185000</v>
      </c>
      <c r="H2756">
        <v>7</v>
      </c>
      <c r="I2756" t="s">
        <v>325</v>
      </c>
      <c r="J2756">
        <v>38.89</v>
      </c>
      <c r="K2756">
        <v>7</v>
      </c>
      <c r="L2756">
        <v>11</v>
      </c>
      <c r="M2756" t="s">
        <v>4010</v>
      </c>
      <c r="N2756">
        <v>1</v>
      </c>
      <c r="O2756">
        <v>10</v>
      </c>
      <c r="P2756">
        <v>104537.14</v>
      </c>
      <c r="Q2756">
        <v>168453.81</v>
      </c>
      <c r="R2756">
        <v>315</v>
      </c>
      <c r="S2756">
        <v>788</v>
      </c>
      <c r="T2756" t="s">
        <v>26</v>
      </c>
      <c r="U2756" t="s">
        <v>31</v>
      </c>
    </row>
    <row r="2757" spans="1:21">
      <c r="A2757" t="s">
        <v>4293</v>
      </c>
      <c r="B2757" t="s">
        <v>4294</v>
      </c>
      <c r="C2757" t="s">
        <v>2962</v>
      </c>
      <c r="D2757">
        <v>145000</v>
      </c>
      <c r="E2757">
        <v>3000</v>
      </c>
      <c r="F2757">
        <v>145000</v>
      </c>
      <c r="G2757">
        <v>145000</v>
      </c>
      <c r="H2757">
        <v>1</v>
      </c>
      <c r="I2757" t="s">
        <v>325</v>
      </c>
      <c r="J2757">
        <v>43.47</v>
      </c>
      <c r="K2757">
        <v>0</v>
      </c>
      <c r="L2757">
        <v>2</v>
      </c>
      <c r="M2757" t="s">
        <v>4010</v>
      </c>
      <c r="N2757">
        <v>2</v>
      </c>
      <c r="O2757">
        <v>9.67</v>
      </c>
      <c r="P2757">
        <v>104537.14</v>
      </c>
      <c r="Q2757">
        <v>168453.81</v>
      </c>
      <c r="R2757">
        <v>315</v>
      </c>
      <c r="S2757">
        <v>788</v>
      </c>
      <c r="T2757" t="s">
        <v>326</v>
      </c>
      <c r="U2757" t="s">
        <v>81</v>
      </c>
    </row>
    <row r="2758" spans="1:21">
      <c r="A2758" t="s">
        <v>4295</v>
      </c>
      <c r="B2758" t="s">
        <v>4294</v>
      </c>
      <c r="C2758" t="s">
        <v>2962</v>
      </c>
      <c r="D2758">
        <v>162000</v>
      </c>
      <c r="E2758">
        <v>3000</v>
      </c>
      <c r="F2758">
        <v>162000</v>
      </c>
      <c r="G2758">
        <v>162000</v>
      </c>
      <c r="H2758">
        <v>2</v>
      </c>
      <c r="I2758" t="s">
        <v>325</v>
      </c>
      <c r="J2758">
        <v>52.17</v>
      </c>
      <c r="K2758">
        <v>0</v>
      </c>
      <c r="L2758">
        <v>2</v>
      </c>
      <c r="M2758" t="s">
        <v>4010</v>
      </c>
      <c r="N2758">
        <v>2</v>
      </c>
      <c r="O2758">
        <v>9.67</v>
      </c>
      <c r="P2758">
        <v>104537.14</v>
      </c>
      <c r="Q2758">
        <v>168453.81</v>
      </c>
      <c r="R2758">
        <v>315</v>
      </c>
      <c r="S2758">
        <v>788</v>
      </c>
      <c r="T2758" t="s">
        <v>332</v>
      </c>
      <c r="U2758" t="s">
        <v>81</v>
      </c>
    </row>
    <row r="2759" spans="1:21">
      <c r="A2759" t="s">
        <v>4296</v>
      </c>
      <c r="B2759" t="s">
        <v>4182</v>
      </c>
      <c r="C2759" t="s">
        <v>4009</v>
      </c>
      <c r="D2759">
        <v>142000</v>
      </c>
      <c r="E2759">
        <v>3000</v>
      </c>
      <c r="F2759">
        <v>142000</v>
      </c>
      <c r="G2759">
        <v>142000</v>
      </c>
      <c r="H2759">
        <v>1</v>
      </c>
      <c r="I2759" t="s">
        <v>325</v>
      </c>
      <c r="J2759">
        <v>38.97</v>
      </c>
      <c r="K2759">
        <v>3</v>
      </c>
      <c r="L2759">
        <v>2</v>
      </c>
      <c r="M2759" t="s">
        <v>4010</v>
      </c>
      <c r="N2759">
        <v>5</v>
      </c>
      <c r="O2759">
        <v>12</v>
      </c>
      <c r="P2759">
        <v>104537.14</v>
      </c>
      <c r="Q2759">
        <v>168453.81</v>
      </c>
      <c r="R2759">
        <v>315</v>
      </c>
      <c r="S2759">
        <v>788</v>
      </c>
      <c r="T2759" t="s">
        <v>26</v>
      </c>
      <c r="U2759" t="s">
        <v>31</v>
      </c>
    </row>
    <row r="2760" spans="1:21">
      <c r="A2760" t="s">
        <v>4297</v>
      </c>
      <c r="B2760" t="s">
        <v>4036</v>
      </c>
      <c r="C2760" t="s">
        <v>2962</v>
      </c>
      <c r="D2760">
        <v>134000</v>
      </c>
      <c r="E2760">
        <v>5000</v>
      </c>
      <c r="F2760">
        <v>134000</v>
      </c>
      <c r="G2760">
        <v>134000</v>
      </c>
      <c r="H2760">
        <v>2</v>
      </c>
      <c r="I2760" t="s">
        <v>325</v>
      </c>
      <c r="J2760">
        <v>31.5</v>
      </c>
      <c r="K2760">
        <v>2</v>
      </c>
      <c r="L2760">
        <v>4</v>
      </c>
      <c r="M2760" t="s">
        <v>4010</v>
      </c>
      <c r="N2760">
        <v>2</v>
      </c>
      <c r="O2760">
        <v>10.33</v>
      </c>
      <c r="P2760">
        <v>104537.14</v>
      </c>
      <c r="Q2760">
        <v>168453.81</v>
      </c>
      <c r="R2760">
        <v>315</v>
      </c>
      <c r="S2760">
        <v>788</v>
      </c>
      <c r="T2760" t="s">
        <v>26</v>
      </c>
      <c r="U2760" t="s">
        <v>31</v>
      </c>
    </row>
    <row r="2761" spans="1:21">
      <c r="A2761" t="s">
        <v>4298</v>
      </c>
      <c r="B2761" t="s">
        <v>4299</v>
      </c>
      <c r="C2761" t="s">
        <v>4016</v>
      </c>
      <c r="D2761">
        <v>126000</v>
      </c>
      <c r="E2761">
        <v>8000</v>
      </c>
      <c r="F2761">
        <v>126000</v>
      </c>
      <c r="H2761">
        <v>5</v>
      </c>
      <c r="I2761" t="s">
        <v>325</v>
      </c>
      <c r="J2761">
        <v>25.74</v>
      </c>
      <c r="K2761">
        <v>0</v>
      </c>
      <c r="L2761">
        <v>5</v>
      </c>
      <c r="M2761" t="s">
        <v>4010</v>
      </c>
      <c r="N2761">
        <v>4</v>
      </c>
      <c r="O2761">
        <v>8.33</v>
      </c>
      <c r="P2761">
        <v>104537.14</v>
      </c>
      <c r="Q2761">
        <v>168453.81</v>
      </c>
      <c r="R2761">
        <v>315</v>
      </c>
      <c r="S2761">
        <v>788</v>
      </c>
      <c r="T2761" t="s">
        <v>34</v>
      </c>
      <c r="U2761" t="s">
        <v>81</v>
      </c>
    </row>
    <row r="2762" spans="1:21">
      <c r="A2762" t="s">
        <v>4300</v>
      </c>
      <c r="B2762" t="s">
        <v>4301</v>
      </c>
      <c r="C2762" t="s">
        <v>4016</v>
      </c>
      <c r="D2762">
        <v>134000</v>
      </c>
      <c r="E2762">
        <v>5800</v>
      </c>
      <c r="G2762">
        <v>268000</v>
      </c>
      <c r="H2762">
        <v>2</v>
      </c>
      <c r="I2762" t="s">
        <v>325</v>
      </c>
      <c r="J2762">
        <v>40.79</v>
      </c>
      <c r="K2762">
        <v>14</v>
      </c>
      <c r="L2762">
        <v>7</v>
      </c>
      <c r="M2762" t="s">
        <v>4010</v>
      </c>
      <c r="N2762">
        <v>2</v>
      </c>
      <c r="O2762">
        <v>8.67</v>
      </c>
      <c r="P2762">
        <v>104537.14</v>
      </c>
      <c r="Q2762">
        <v>168453.81</v>
      </c>
      <c r="R2762">
        <v>315</v>
      </c>
      <c r="S2762">
        <v>788</v>
      </c>
      <c r="T2762" t="s">
        <v>326</v>
      </c>
      <c r="U2762" t="s">
        <v>90</v>
      </c>
    </row>
    <row r="2763" spans="1:21">
      <c r="A2763" t="s">
        <v>4302</v>
      </c>
      <c r="B2763" t="s">
        <v>4303</v>
      </c>
      <c r="C2763" t="s">
        <v>4016</v>
      </c>
      <c r="D2763">
        <v>132000</v>
      </c>
      <c r="E2763">
        <v>10000</v>
      </c>
      <c r="F2763">
        <v>132000</v>
      </c>
      <c r="H2763">
        <v>9</v>
      </c>
      <c r="I2763" t="s">
        <v>325</v>
      </c>
      <c r="J2763">
        <v>30.79</v>
      </c>
      <c r="K2763">
        <v>8</v>
      </c>
      <c r="L2763">
        <v>9</v>
      </c>
      <c r="M2763" t="s">
        <v>4010</v>
      </c>
      <c r="N2763">
        <v>3</v>
      </c>
      <c r="O2763">
        <v>10.33</v>
      </c>
      <c r="P2763">
        <v>104537.14</v>
      </c>
      <c r="Q2763">
        <v>168453.81</v>
      </c>
      <c r="R2763">
        <v>315</v>
      </c>
      <c r="S2763">
        <v>788</v>
      </c>
      <c r="T2763" t="s">
        <v>26</v>
      </c>
      <c r="U2763" t="s">
        <v>31</v>
      </c>
    </row>
    <row r="2764" spans="1:21">
      <c r="A2764" t="s">
        <v>4304</v>
      </c>
      <c r="B2764" t="s">
        <v>4226</v>
      </c>
      <c r="C2764" t="s">
        <v>2979</v>
      </c>
      <c r="D2764">
        <v>150000</v>
      </c>
      <c r="E2764">
        <v>5000</v>
      </c>
      <c r="F2764">
        <v>150000</v>
      </c>
      <c r="G2764">
        <v>150000</v>
      </c>
      <c r="H2764">
        <v>3</v>
      </c>
      <c r="I2764" t="s">
        <v>325</v>
      </c>
      <c r="J2764">
        <v>40.43</v>
      </c>
      <c r="K2764">
        <v>0</v>
      </c>
      <c r="L2764">
        <v>5</v>
      </c>
      <c r="M2764" t="s">
        <v>4010</v>
      </c>
      <c r="N2764">
        <v>8</v>
      </c>
      <c r="O2764">
        <v>10</v>
      </c>
      <c r="P2764">
        <v>104537.14</v>
      </c>
      <c r="Q2764">
        <v>168453.81</v>
      </c>
      <c r="R2764">
        <v>315</v>
      </c>
      <c r="S2764">
        <v>788</v>
      </c>
      <c r="T2764" t="s">
        <v>326</v>
      </c>
      <c r="U2764" t="s">
        <v>81</v>
      </c>
    </row>
    <row r="2765" spans="1:21">
      <c r="A2765" t="s">
        <v>4305</v>
      </c>
      <c r="B2765" t="s">
        <v>4306</v>
      </c>
      <c r="C2765" t="s">
        <v>2962</v>
      </c>
      <c r="D2765">
        <v>165000</v>
      </c>
      <c r="E2765">
        <v>10000</v>
      </c>
      <c r="F2765">
        <v>165000</v>
      </c>
      <c r="G2765">
        <v>165000</v>
      </c>
      <c r="H2765">
        <v>3</v>
      </c>
      <c r="I2765" t="s">
        <v>325</v>
      </c>
      <c r="J2765">
        <v>51.2</v>
      </c>
      <c r="K2765">
        <v>3</v>
      </c>
      <c r="L2765">
        <v>5</v>
      </c>
      <c r="M2765" t="s">
        <v>4010</v>
      </c>
      <c r="N2765">
        <v>6</v>
      </c>
      <c r="O2765">
        <v>12</v>
      </c>
      <c r="P2765">
        <v>104537.14</v>
      </c>
      <c r="Q2765">
        <v>168453.81</v>
      </c>
      <c r="R2765">
        <v>315</v>
      </c>
      <c r="S2765">
        <v>788</v>
      </c>
      <c r="T2765" t="s">
        <v>332</v>
      </c>
      <c r="U2765" t="s">
        <v>31</v>
      </c>
    </row>
    <row r="2766" spans="1:21">
      <c r="A2766" t="s">
        <v>4307</v>
      </c>
      <c r="B2766" t="s">
        <v>4308</v>
      </c>
      <c r="C2766" t="s">
        <v>2962</v>
      </c>
      <c r="D2766">
        <v>145000</v>
      </c>
      <c r="E2766">
        <v>3000</v>
      </c>
      <c r="F2766">
        <v>145000</v>
      </c>
      <c r="G2766">
        <v>145000</v>
      </c>
      <c r="H2766">
        <v>1</v>
      </c>
      <c r="I2766" t="s">
        <v>325</v>
      </c>
      <c r="J2766">
        <v>43.47</v>
      </c>
      <c r="K2766">
        <v>0</v>
      </c>
      <c r="L2766">
        <v>2</v>
      </c>
      <c r="M2766" t="s">
        <v>4010</v>
      </c>
      <c r="N2766">
        <v>3</v>
      </c>
      <c r="O2766">
        <v>12</v>
      </c>
      <c r="P2766">
        <v>104537.14</v>
      </c>
      <c r="Q2766">
        <v>168453.81</v>
      </c>
      <c r="R2766">
        <v>315</v>
      </c>
      <c r="S2766">
        <v>788</v>
      </c>
      <c r="T2766" t="s">
        <v>326</v>
      </c>
      <c r="U2766" t="s">
        <v>81</v>
      </c>
    </row>
    <row r="2767" spans="1:21">
      <c r="A2767" t="s">
        <v>4309</v>
      </c>
      <c r="B2767" t="s">
        <v>4308</v>
      </c>
      <c r="C2767" t="s">
        <v>2962</v>
      </c>
      <c r="D2767">
        <v>162000</v>
      </c>
      <c r="E2767">
        <v>3000</v>
      </c>
      <c r="F2767">
        <v>162000</v>
      </c>
      <c r="G2767">
        <v>162000</v>
      </c>
      <c r="H2767">
        <v>2</v>
      </c>
      <c r="I2767" t="s">
        <v>325</v>
      </c>
      <c r="J2767">
        <v>52.17</v>
      </c>
      <c r="K2767">
        <v>0</v>
      </c>
      <c r="L2767">
        <v>2</v>
      </c>
      <c r="M2767" t="s">
        <v>4010</v>
      </c>
      <c r="N2767">
        <v>3</v>
      </c>
      <c r="O2767">
        <v>12</v>
      </c>
      <c r="P2767">
        <v>104537.14</v>
      </c>
      <c r="Q2767">
        <v>168453.81</v>
      </c>
      <c r="R2767">
        <v>315</v>
      </c>
      <c r="S2767">
        <v>788</v>
      </c>
      <c r="T2767" t="s">
        <v>332</v>
      </c>
      <c r="U2767" t="s">
        <v>81</v>
      </c>
    </row>
    <row r="2768" spans="1:21">
      <c r="A2768" t="s">
        <v>4310</v>
      </c>
      <c r="B2768" t="s">
        <v>4311</v>
      </c>
      <c r="C2768" t="s">
        <v>4009</v>
      </c>
      <c r="D2768">
        <v>87000</v>
      </c>
      <c r="E2768">
        <v>5000</v>
      </c>
      <c r="G2768">
        <v>87000</v>
      </c>
      <c r="H2768">
        <v>4</v>
      </c>
      <c r="I2768" t="s">
        <v>432</v>
      </c>
      <c r="J2768">
        <v>18.13</v>
      </c>
      <c r="K2768">
        <v>4</v>
      </c>
      <c r="L2768">
        <v>5</v>
      </c>
      <c r="M2768" t="s">
        <v>4010</v>
      </c>
      <c r="N2768">
        <v>2</v>
      </c>
      <c r="O2768">
        <v>9.33</v>
      </c>
      <c r="P2768">
        <v>104537.14</v>
      </c>
      <c r="Q2768">
        <v>77692.34</v>
      </c>
      <c r="R2768">
        <v>315</v>
      </c>
      <c r="S2768">
        <v>1071</v>
      </c>
      <c r="T2768" t="s">
        <v>108</v>
      </c>
      <c r="U2768" t="s">
        <v>31</v>
      </c>
    </row>
    <row r="2769" spans="1:21">
      <c r="A2769" t="s">
        <v>4312</v>
      </c>
      <c r="B2769" t="s">
        <v>4247</v>
      </c>
      <c r="C2769" t="s">
        <v>2962</v>
      </c>
      <c r="D2769">
        <v>105000</v>
      </c>
      <c r="E2769">
        <v>5000</v>
      </c>
      <c r="F2769">
        <v>105000</v>
      </c>
      <c r="G2769">
        <v>105000</v>
      </c>
      <c r="H2769">
        <v>2</v>
      </c>
      <c r="I2769" t="s">
        <v>432</v>
      </c>
      <c r="J2769">
        <v>25.2</v>
      </c>
      <c r="K2769">
        <v>2</v>
      </c>
      <c r="L2769">
        <v>4</v>
      </c>
      <c r="M2769" t="s">
        <v>4010</v>
      </c>
      <c r="N2769">
        <v>2</v>
      </c>
      <c r="O2769">
        <v>11.67</v>
      </c>
      <c r="P2769">
        <v>104537.14</v>
      </c>
      <c r="Q2769">
        <v>77692.34</v>
      </c>
      <c r="R2769">
        <v>315</v>
      </c>
      <c r="S2769">
        <v>1071</v>
      </c>
      <c r="T2769" t="s">
        <v>34</v>
      </c>
      <c r="U2769" t="s">
        <v>31</v>
      </c>
    </row>
    <row r="2770" spans="1:21">
      <c r="A2770" t="s">
        <v>4313</v>
      </c>
      <c r="B2770" t="s">
        <v>4314</v>
      </c>
      <c r="C2770" t="s">
        <v>2962</v>
      </c>
      <c r="D2770">
        <v>105000</v>
      </c>
      <c r="E2770">
        <v>5000</v>
      </c>
      <c r="F2770">
        <v>105000</v>
      </c>
      <c r="G2770">
        <v>105000</v>
      </c>
      <c r="H2770">
        <v>1</v>
      </c>
      <c r="I2770" t="s">
        <v>432</v>
      </c>
      <c r="J2770">
        <v>28.92</v>
      </c>
      <c r="K2770">
        <v>3</v>
      </c>
      <c r="L2770">
        <v>4</v>
      </c>
      <c r="M2770" t="s">
        <v>4010</v>
      </c>
      <c r="N2770">
        <v>7</v>
      </c>
      <c r="O2770">
        <v>11</v>
      </c>
      <c r="P2770">
        <v>104537.14</v>
      </c>
      <c r="Q2770">
        <v>77692.34</v>
      </c>
      <c r="R2770">
        <v>315</v>
      </c>
      <c r="S2770">
        <v>1071</v>
      </c>
      <c r="T2770" t="s">
        <v>34</v>
      </c>
      <c r="U2770" t="s">
        <v>31</v>
      </c>
    </row>
    <row r="2771" spans="1:21">
      <c r="A2771" t="s">
        <v>4315</v>
      </c>
      <c r="B2771" t="s">
        <v>4316</v>
      </c>
      <c r="C2771" t="s">
        <v>4019</v>
      </c>
      <c r="D2771">
        <v>55000</v>
      </c>
      <c r="E2771">
        <v>6000</v>
      </c>
      <c r="H2771">
        <v>3</v>
      </c>
      <c r="I2771" t="s">
        <v>432</v>
      </c>
      <c r="J2771">
        <v>17.39</v>
      </c>
      <c r="K2771">
        <v>25</v>
      </c>
      <c r="L2771">
        <v>3</v>
      </c>
      <c r="M2771" t="s">
        <v>4010</v>
      </c>
      <c r="N2771">
        <v>3</v>
      </c>
      <c r="O2771">
        <v>8</v>
      </c>
      <c r="P2771">
        <v>104537.14</v>
      </c>
      <c r="Q2771">
        <v>77692.34</v>
      </c>
      <c r="R2771">
        <v>315</v>
      </c>
      <c r="S2771">
        <v>1071</v>
      </c>
      <c r="T2771" t="s">
        <v>108</v>
      </c>
      <c r="U2771" t="s">
        <v>27</v>
      </c>
    </row>
    <row r="2772" spans="1:21">
      <c r="A2772" t="s">
        <v>4317</v>
      </c>
      <c r="B2772" t="s">
        <v>4318</v>
      </c>
      <c r="C2772" t="s">
        <v>2962</v>
      </c>
      <c r="D2772">
        <v>58000</v>
      </c>
      <c r="E2772">
        <v>3500</v>
      </c>
      <c r="H2772">
        <v>1</v>
      </c>
      <c r="I2772" t="s">
        <v>432</v>
      </c>
      <c r="J2772">
        <v>11.62</v>
      </c>
      <c r="K2772">
        <v>7</v>
      </c>
      <c r="L2772">
        <v>2</v>
      </c>
      <c r="M2772" t="s">
        <v>4010</v>
      </c>
      <c r="N2772">
        <v>3</v>
      </c>
      <c r="O2772">
        <v>9.67</v>
      </c>
      <c r="P2772">
        <v>104537.14</v>
      </c>
      <c r="Q2772">
        <v>77692.34</v>
      </c>
      <c r="R2772">
        <v>315</v>
      </c>
      <c r="S2772">
        <v>1071</v>
      </c>
      <c r="T2772" t="s">
        <v>108</v>
      </c>
      <c r="U2772" t="s">
        <v>31</v>
      </c>
    </row>
    <row r="2773" spans="1:21">
      <c r="A2773" t="s">
        <v>4319</v>
      </c>
      <c r="B2773" t="s">
        <v>4318</v>
      </c>
      <c r="C2773" t="s">
        <v>2962</v>
      </c>
      <c r="D2773">
        <v>57000</v>
      </c>
      <c r="E2773">
        <v>3000</v>
      </c>
      <c r="F2773">
        <v>57000</v>
      </c>
      <c r="G2773">
        <v>57000</v>
      </c>
      <c r="H2773">
        <v>2</v>
      </c>
      <c r="I2773" t="s">
        <v>432</v>
      </c>
      <c r="J2773">
        <v>10.99</v>
      </c>
      <c r="K2773">
        <v>7</v>
      </c>
      <c r="L2773">
        <v>2</v>
      </c>
      <c r="M2773" t="s">
        <v>4010</v>
      </c>
      <c r="N2773">
        <v>3</v>
      </c>
      <c r="O2773">
        <v>9.67</v>
      </c>
      <c r="P2773">
        <v>104537.14</v>
      </c>
      <c r="Q2773">
        <v>77692.34</v>
      </c>
      <c r="R2773">
        <v>315</v>
      </c>
      <c r="S2773">
        <v>1071</v>
      </c>
      <c r="T2773" t="s">
        <v>108</v>
      </c>
      <c r="U2773" t="s">
        <v>31</v>
      </c>
    </row>
    <row r="2774" spans="1:21">
      <c r="A2774" t="s">
        <v>4320</v>
      </c>
      <c r="B2774" t="s">
        <v>4321</v>
      </c>
      <c r="C2774" t="s">
        <v>4019</v>
      </c>
      <c r="D2774">
        <v>67000</v>
      </c>
      <c r="E2774">
        <v>3000</v>
      </c>
      <c r="H2774">
        <v>1</v>
      </c>
      <c r="I2774" t="s">
        <v>432</v>
      </c>
      <c r="J2774">
        <v>15.75</v>
      </c>
      <c r="K2774">
        <v>24</v>
      </c>
      <c r="L2774">
        <v>3</v>
      </c>
      <c r="M2774" t="s">
        <v>4010</v>
      </c>
      <c r="N2774">
        <v>3</v>
      </c>
      <c r="O2774">
        <v>9.67</v>
      </c>
      <c r="P2774">
        <v>104537.14</v>
      </c>
      <c r="Q2774">
        <v>77692.34</v>
      </c>
      <c r="R2774">
        <v>315</v>
      </c>
      <c r="S2774">
        <v>1071</v>
      </c>
      <c r="T2774" t="s">
        <v>108</v>
      </c>
      <c r="U2774" t="s">
        <v>27</v>
      </c>
    </row>
    <row r="2775" spans="1:21">
      <c r="A2775" t="s">
        <v>4322</v>
      </c>
      <c r="B2775" t="s">
        <v>4321</v>
      </c>
      <c r="C2775" t="s">
        <v>4019</v>
      </c>
      <c r="D2775">
        <v>70000</v>
      </c>
      <c r="E2775">
        <v>3000</v>
      </c>
      <c r="H2775">
        <v>3</v>
      </c>
      <c r="I2775" t="s">
        <v>432</v>
      </c>
      <c r="J2775">
        <v>15.75</v>
      </c>
      <c r="K2775">
        <v>24</v>
      </c>
      <c r="L2775">
        <v>3</v>
      </c>
      <c r="M2775" t="s">
        <v>4010</v>
      </c>
      <c r="N2775">
        <v>3</v>
      </c>
      <c r="O2775">
        <v>9.67</v>
      </c>
      <c r="P2775">
        <v>104537.14</v>
      </c>
      <c r="Q2775">
        <v>77692.34</v>
      </c>
      <c r="R2775">
        <v>315</v>
      </c>
      <c r="S2775">
        <v>1071</v>
      </c>
      <c r="T2775" t="s">
        <v>108</v>
      </c>
      <c r="U2775" t="s">
        <v>27</v>
      </c>
    </row>
    <row r="2776" spans="1:21">
      <c r="A2776" t="s">
        <v>4323</v>
      </c>
      <c r="B2776" t="s">
        <v>4324</v>
      </c>
      <c r="C2776" t="s">
        <v>4027</v>
      </c>
      <c r="D2776">
        <v>65000</v>
      </c>
      <c r="E2776">
        <v>4000</v>
      </c>
      <c r="H2776">
        <v>2</v>
      </c>
      <c r="I2776" t="s">
        <v>432</v>
      </c>
      <c r="J2776">
        <v>10.66</v>
      </c>
      <c r="K2776">
        <v>5</v>
      </c>
      <c r="L2776">
        <v>2</v>
      </c>
      <c r="M2776" t="s">
        <v>4010</v>
      </c>
      <c r="N2776">
        <v>9</v>
      </c>
      <c r="O2776">
        <v>11.33</v>
      </c>
      <c r="P2776">
        <v>104537.14</v>
      </c>
      <c r="Q2776">
        <v>77692.34</v>
      </c>
      <c r="R2776">
        <v>315</v>
      </c>
      <c r="S2776">
        <v>1071</v>
      </c>
      <c r="T2776" t="s">
        <v>108</v>
      </c>
      <c r="U2776" t="s">
        <v>31</v>
      </c>
    </row>
    <row r="2777" spans="1:21">
      <c r="A2777" t="s">
        <v>4325</v>
      </c>
      <c r="B2777" t="s">
        <v>4326</v>
      </c>
      <c r="C2777" t="s">
        <v>4016</v>
      </c>
      <c r="D2777">
        <v>70000</v>
      </c>
      <c r="E2777">
        <v>5000</v>
      </c>
      <c r="F2777">
        <v>70000</v>
      </c>
      <c r="G2777">
        <v>70000</v>
      </c>
      <c r="H2777">
        <v>4</v>
      </c>
      <c r="I2777" t="s">
        <v>432</v>
      </c>
      <c r="J2777">
        <v>22.94</v>
      </c>
      <c r="K2777">
        <v>36</v>
      </c>
      <c r="L2777">
        <v>6</v>
      </c>
      <c r="M2777" t="s">
        <v>4010</v>
      </c>
      <c r="N2777">
        <v>2</v>
      </c>
      <c r="O2777">
        <v>11.33</v>
      </c>
      <c r="P2777">
        <v>104537.14</v>
      </c>
      <c r="Q2777">
        <v>77692.34</v>
      </c>
      <c r="R2777">
        <v>315</v>
      </c>
      <c r="S2777">
        <v>1071</v>
      </c>
      <c r="T2777" t="s">
        <v>34</v>
      </c>
      <c r="U2777" t="s">
        <v>49</v>
      </c>
    </row>
    <row r="2778" spans="1:21">
      <c r="A2778" t="s">
        <v>4327</v>
      </c>
      <c r="B2778" t="s">
        <v>4328</v>
      </c>
      <c r="C2778" t="s">
        <v>4027</v>
      </c>
      <c r="D2778">
        <v>66000</v>
      </c>
      <c r="E2778">
        <v>5000</v>
      </c>
      <c r="F2778">
        <v>66000</v>
      </c>
      <c r="G2778">
        <v>66000</v>
      </c>
      <c r="H2778">
        <v>1</v>
      </c>
      <c r="I2778" t="s">
        <v>432</v>
      </c>
      <c r="J2778">
        <v>13.9</v>
      </c>
      <c r="K2778">
        <v>12</v>
      </c>
      <c r="L2778">
        <v>2</v>
      </c>
      <c r="M2778" t="s">
        <v>4010</v>
      </c>
      <c r="N2778">
        <v>6</v>
      </c>
      <c r="O2778">
        <v>9</v>
      </c>
      <c r="P2778">
        <v>104537.14</v>
      </c>
      <c r="Q2778">
        <v>77692.34</v>
      </c>
      <c r="R2778">
        <v>315</v>
      </c>
      <c r="S2778">
        <v>1071</v>
      </c>
      <c r="T2778" t="s">
        <v>108</v>
      </c>
      <c r="U2778" t="s">
        <v>90</v>
      </c>
    </row>
    <row r="2779" spans="1:21">
      <c r="A2779" t="s">
        <v>4329</v>
      </c>
      <c r="B2779" t="s">
        <v>4330</v>
      </c>
      <c r="C2779" t="s">
        <v>4019</v>
      </c>
      <c r="D2779">
        <v>55000</v>
      </c>
      <c r="E2779">
        <v>3000</v>
      </c>
      <c r="G2779">
        <v>55000</v>
      </c>
      <c r="H2779">
        <v>1</v>
      </c>
      <c r="I2779" t="s">
        <v>432</v>
      </c>
      <c r="J2779">
        <v>21</v>
      </c>
      <c r="K2779">
        <v>38</v>
      </c>
      <c r="L2779">
        <v>3</v>
      </c>
      <c r="M2779" t="s">
        <v>4010</v>
      </c>
      <c r="N2779">
        <v>3</v>
      </c>
      <c r="O2779">
        <v>10.33</v>
      </c>
      <c r="P2779">
        <v>104537.14</v>
      </c>
      <c r="Q2779">
        <v>77692.34</v>
      </c>
      <c r="R2779">
        <v>315</v>
      </c>
      <c r="S2779">
        <v>1071</v>
      </c>
      <c r="T2779" t="s">
        <v>34</v>
      </c>
      <c r="U2779" t="s">
        <v>49</v>
      </c>
    </row>
    <row r="2780" spans="1:21">
      <c r="A2780" t="s">
        <v>4331</v>
      </c>
      <c r="B2780" t="s">
        <v>4070</v>
      </c>
      <c r="C2780" t="s">
        <v>4016</v>
      </c>
      <c r="D2780">
        <v>58000</v>
      </c>
      <c r="E2780">
        <v>5000</v>
      </c>
      <c r="H2780">
        <v>1</v>
      </c>
      <c r="I2780" t="s">
        <v>432</v>
      </c>
      <c r="J2780">
        <v>17</v>
      </c>
      <c r="K2780">
        <v>39</v>
      </c>
      <c r="L2780">
        <v>2</v>
      </c>
      <c r="M2780" t="s">
        <v>4010</v>
      </c>
      <c r="N2780">
        <v>4</v>
      </c>
      <c r="O2780">
        <v>8.67</v>
      </c>
      <c r="P2780">
        <v>104537.14</v>
      </c>
      <c r="Q2780">
        <v>77692.34</v>
      </c>
      <c r="R2780">
        <v>315</v>
      </c>
      <c r="S2780">
        <v>1071</v>
      </c>
      <c r="T2780" t="s">
        <v>108</v>
      </c>
      <c r="U2780" t="s">
        <v>49</v>
      </c>
    </row>
    <row r="2781" spans="1:21">
      <c r="A2781" t="s">
        <v>4332</v>
      </c>
      <c r="B2781" t="s">
        <v>4333</v>
      </c>
      <c r="C2781" t="s">
        <v>4019</v>
      </c>
      <c r="D2781">
        <v>74000</v>
      </c>
      <c r="E2781">
        <v>3000</v>
      </c>
      <c r="F2781">
        <v>74000</v>
      </c>
      <c r="G2781">
        <v>74000</v>
      </c>
      <c r="H2781">
        <v>3</v>
      </c>
      <c r="I2781" t="s">
        <v>432</v>
      </c>
      <c r="J2781">
        <v>23.25</v>
      </c>
      <c r="K2781">
        <v>26</v>
      </c>
      <c r="L2781">
        <v>5</v>
      </c>
      <c r="M2781" t="s">
        <v>4010</v>
      </c>
      <c r="N2781">
        <v>1</v>
      </c>
      <c r="O2781">
        <v>6.5</v>
      </c>
      <c r="P2781">
        <v>104537.14</v>
      </c>
      <c r="Q2781">
        <v>77692.34</v>
      </c>
      <c r="R2781">
        <v>315</v>
      </c>
      <c r="S2781">
        <v>1071</v>
      </c>
      <c r="T2781" t="s">
        <v>34</v>
      </c>
      <c r="U2781" t="s">
        <v>27</v>
      </c>
    </row>
    <row r="2782" spans="1:21">
      <c r="A2782" t="s">
        <v>4334</v>
      </c>
      <c r="B2782" t="s">
        <v>4335</v>
      </c>
      <c r="C2782" t="s">
        <v>4027</v>
      </c>
      <c r="D2782">
        <v>70000</v>
      </c>
      <c r="E2782">
        <v>7000</v>
      </c>
      <c r="H2782">
        <v>2</v>
      </c>
      <c r="I2782" t="s">
        <v>432</v>
      </c>
      <c r="J2782">
        <v>19.61</v>
      </c>
      <c r="K2782">
        <v>39</v>
      </c>
      <c r="L2782">
        <v>6</v>
      </c>
      <c r="M2782" t="s">
        <v>4010</v>
      </c>
      <c r="N2782">
        <v>6</v>
      </c>
      <c r="O2782">
        <v>8.67</v>
      </c>
      <c r="P2782">
        <v>104537.14</v>
      </c>
      <c r="Q2782">
        <v>77692.34</v>
      </c>
      <c r="R2782">
        <v>315</v>
      </c>
      <c r="S2782">
        <v>1071</v>
      </c>
      <c r="T2782" t="s">
        <v>108</v>
      </c>
      <c r="U2782" t="s">
        <v>49</v>
      </c>
    </row>
    <row r="2783" spans="1:21">
      <c r="A2783" t="s">
        <v>4336</v>
      </c>
      <c r="B2783" t="s">
        <v>4335</v>
      </c>
      <c r="C2783" t="s">
        <v>4027</v>
      </c>
      <c r="D2783">
        <v>70000</v>
      </c>
      <c r="E2783">
        <v>7000</v>
      </c>
      <c r="H2783">
        <v>3</v>
      </c>
      <c r="I2783" t="s">
        <v>432</v>
      </c>
      <c r="J2783">
        <v>17.28</v>
      </c>
      <c r="K2783">
        <v>39</v>
      </c>
      <c r="L2783">
        <v>6</v>
      </c>
      <c r="M2783" t="s">
        <v>4010</v>
      </c>
      <c r="N2783">
        <v>6</v>
      </c>
      <c r="O2783">
        <v>8.67</v>
      </c>
      <c r="P2783">
        <v>104537.14</v>
      </c>
      <c r="Q2783">
        <v>77692.34</v>
      </c>
      <c r="R2783">
        <v>315</v>
      </c>
      <c r="S2783">
        <v>1071</v>
      </c>
      <c r="T2783" t="s">
        <v>108</v>
      </c>
      <c r="U2783" t="s">
        <v>49</v>
      </c>
    </row>
    <row r="2784" spans="1:21">
      <c r="A2784" t="s">
        <v>4337</v>
      </c>
      <c r="B2784" t="s">
        <v>4338</v>
      </c>
      <c r="C2784" t="s">
        <v>2962</v>
      </c>
      <c r="D2784">
        <v>59000</v>
      </c>
      <c r="E2784">
        <v>3000</v>
      </c>
      <c r="H2784">
        <v>3</v>
      </c>
      <c r="I2784" t="s">
        <v>432</v>
      </c>
      <c r="J2784">
        <v>14.99</v>
      </c>
      <c r="K2784">
        <v>40</v>
      </c>
      <c r="L2784">
        <v>4</v>
      </c>
      <c r="M2784" t="s">
        <v>4010</v>
      </c>
      <c r="N2784">
        <v>5</v>
      </c>
      <c r="O2784">
        <v>9.67</v>
      </c>
      <c r="P2784">
        <v>104537.14</v>
      </c>
      <c r="Q2784">
        <v>77692.34</v>
      </c>
      <c r="R2784">
        <v>315</v>
      </c>
      <c r="S2784">
        <v>1071</v>
      </c>
      <c r="T2784" t="s">
        <v>108</v>
      </c>
      <c r="U2784" t="s">
        <v>49</v>
      </c>
    </row>
    <row r="2785" spans="1:21">
      <c r="A2785" t="s">
        <v>4339</v>
      </c>
      <c r="B2785" t="s">
        <v>4340</v>
      </c>
      <c r="C2785" t="s">
        <v>4009</v>
      </c>
      <c r="D2785">
        <v>53000</v>
      </c>
      <c r="E2785">
        <v>3000</v>
      </c>
      <c r="F2785">
        <v>53000</v>
      </c>
      <c r="G2785">
        <v>53000</v>
      </c>
      <c r="H2785">
        <v>1</v>
      </c>
      <c r="I2785" t="s">
        <v>432</v>
      </c>
      <c r="J2785">
        <v>12.5</v>
      </c>
      <c r="K2785">
        <v>35</v>
      </c>
      <c r="L2785">
        <v>5</v>
      </c>
      <c r="M2785" t="s">
        <v>4010</v>
      </c>
      <c r="N2785">
        <v>5</v>
      </c>
      <c r="O2785">
        <v>11.33</v>
      </c>
      <c r="P2785">
        <v>104537.14</v>
      </c>
      <c r="Q2785">
        <v>77692.34</v>
      </c>
      <c r="R2785">
        <v>315</v>
      </c>
      <c r="S2785">
        <v>1071</v>
      </c>
      <c r="T2785" t="s">
        <v>108</v>
      </c>
      <c r="U2785" t="s">
        <v>49</v>
      </c>
    </row>
    <row r="2786" spans="1:21">
      <c r="A2786" t="s">
        <v>4341</v>
      </c>
      <c r="B2786" t="s">
        <v>4342</v>
      </c>
      <c r="C2786" t="s">
        <v>4019</v>
      </c>
      <c r="D2786">
        <v>75000</v>
      </c>
      <c r="E2786">
        <v>4000</v>
      </c>
      <c r="G2786">
        <v>75000</v>
      </c>
      <c r="H2786">
        <v>3</v>
      </c>
      <c r="I2786" t="s">
        <v>432</v>
      </c>
      <c r="J2786">
        <v>16.7</v>
      </c>
      <c r="K2786">
        <v>5</v>
      </c>
      <c r="L2786">
        <v>3</v>
      </c>
      <c r="M2786" t="s">
        <v>4010</v>
      </c>
      <c r="N2786">
        <v>6</v>
      </c>
      <c r="O2786">
        <v>11.33</v>
      </c>
      <c r="P2786">
        <v>104537.14</v>
      </c>
      <c r="Q2786">
        <v>77692.34</v>
      </c>
      <c r="R2786">
        <v>315</v>
      </c>
      <c r="S2786">
        <v>1071</v>
      </c>
      <c r="T2786" t="s">
        <v>108</v>
      </c>
      <c r="U2786" t="s">
        <v>31</v>
      </c>
    </row>
    <row r="2787" spans="1:21">
      <c r="A2787" t="s">
        <v>4343</v>
      </c>
      <c r="B2787" t="s">
        <v>4344</v>
      </c>
      <c r="C2787" t="s">
        <v>2962</v>
      </c>
      <c r="D2787">
        <v>58000</v>
      </c>
      <c r="F2787">
        <v>58000</v>
      </c>
      <c r="G2787">
        <v>58000</v>
      </c>
      <c r="H2787">
        <v>2</v>
      </c>
      <c r="I2787" t="s">
        <v>432</v>
      </c>
      <c r="J2787">
        <v>18.329999999999998</v>
      </c>
      <c r="K2787">
        <v>35</v>
      </c>
      <c r="L2787">
        <v>3</v>
      </c>
      <c r="M2787" t="s">
        <v>4010</v>
      </c>
      <c r="N2787">
        <v>3</v>
      </c>
      <c r="O2787">
        <v>12.33</v>
      </c>
      <c r="P2787">
        <v>104537.14</v>
      </c>
      <c r="Q2787">
        <v>77692.34</v>
      </c>
      <c r="R2787">
        <v>315</v>
      </c>
      <c r="S2787">
        <v>1071</v>
      </c>
      <c r="T2787" t="s">
        <v>108</v>
      </c>
      <c r="U2787" t="s">
        <v>49</v>
      </c>
    </row>
    <row r="2788" spans="1:21">
      <c r="A2788" t="s">
        <v>4345</v>
      </c>
      <c r="B2788" t="s">
        <v>4346</v>
      </c>
      <c r="C2788" t="s">
        <v>4009</v>
      </c>
      <c r="D2788">
        <v>55000</v>
      </c>
      <c r="H2788">
        <v>2</v>
      </c>
      <c r="I2788" t="s">
        <v>432</v>
      </c>
      <c r="J2788">
        <v>12.96</v>
      </c>
      <c r="K2788">
        <v>63</v>
      </c>
      <c r="L2788">
        <v>2</v>
      </c>
      <c r="M2788" t="s">
        <v>4010</v>
      </c>
      <c r="N2788">
        <v>3</v>
      </c>
      <c r="O2788">
        <v>10</v>
      </c>
      <c r="P2788">
        <v>104537.14</v>
      </c>
      <c r="Q2788">
        <v>77692.34</v>
      </c>
      <c r="R2788">
        <v>315</v>
      </c>
      <c r="S2788">
        <v>1071</v>
      </c>
      <c r="T2788" t="s">
        <v>108</v>
      </c>
      <c r="U2788" t="s">
        <v>38</v>
      </c>
    </row>
    <row r="2789" spans="1:21">
      <c r="A2789" t="s">
        <v>4347</v>
      </c>
      <c r="B2789" t="s">
        <v>4348</v>
      </c>
      <c r="C2789" t="s">
        <v>4016</v>
      </c>
      <c r="D2789">
        <v>72000</v>
      </c>
      <c r="E2789">
        <v>8000</v>
      </c>
      <c r="F2789">
        <v>72000</v>
      </c>
      <c r="H2789">
        <v>4</v>
      </c>
      <c r="I2789" t="s">
        <v>432</v>
      </c>
      <c r="J2789">
        <v>26.26</v>
      </c>
      <c r="K2789">
        <v>51</v>
      </c>
      <c r="L2789">
        <v>5</v>
      </c>
      <c r="M2789" t="s">
        <v>4010</v>
      </c>
      <c r="N2789">
        <v>2</v>
      </c>
      <c r="O2789">
        <v>9</v>
      </c>
      <c r="P2789">
        <v>104537.14</v>
      </c>
      <c r="Q2789">
        <v>77692.34</v>
      </c>
      <c r="R2789">
        <v>315</v>
      </c>
      <c r="S2789">
        <v>1071</v>
      </c>
      <c r="T2789" t="s">
        <v>34</v>
      </c>
      <c r="U2789" t="s">
        <v>57</v>
      </c>
    </row>
    <row r="2790" spans="1:21">
      <c r="A2790" t="s">
        <v>4349</v>
      </c>
      <c r="B2790" t="s">
        <v>4350</v>
      </c>
      <c r="C2790" t="s">
        <v>4016</v>
      </c>
      <c r="D2790">
        <v>55000</v>
      </c>
      <c r="F2790">
        <v>55000</v>
      </c>
      <c r="G2790">
        <v>55000</v>
      </c>
      <c r="H2790">
        <v>2</v>
      </c>
      <c r="I2790" t="s">
        <v>432</v>
      </c>
      <c r="J2790">
        <v>18.7</v>
      </c>
      <c r="K2790">
        <v>55</v>
      </c>
      <c r="L2790">
        <v>2</v>
      </c>
      <c r="M2790" t="s">
        <v>4010</v>
      </c>
      <c r="N2790">
        <v>3</v>
      </c>
      <c r="O2790">
        <v>11</v>
      </c>
      <c r="P2790">
        <v>104537.14</v>
      </c>
      <c r="Q2790">
        <v>77692.34</v>
      </c>
      <c r="R2790">
        <v>315</v>
      </c>
      <c r="S2790">
        <v>1071</v>
      </c>
      <c r="T2790" t="s">
        <v>108</v>
      </c>
      <c r="U2790" t="s">
        <v>57</v>
      </c>
    </row>
    <row r="2791" spans="1:21">
      <c r="A2791" t="s">
        <v>4351</v>
      </c>
      <c r="B2791" t="s">
        <v>4021</v>
      </c>
      <c r="C2791" t="s">
        <v>4016</v>
      </c>
      <c r="D2791">
        <v>115000</v>
      </c>
      <c r="E2791">
        <v>15000</v>
      </c>
      <c r="F2791">
        <v>115000</v>
      </c>
      <c r="G2791">
        <v>115000</v>
      </c>
      <c r="H2791">
        <v>4</v>
      </c>
      <c r="I2791" t="s">
        <v>432</v>
      </c>
      <c r="J2791">
        <v>25.47</v>
      </c>
      <c r="K2791">
        <v>3</v>
      </c>
      <c r="L2791">
        <v>10</v>
      </c>
      <c r="M2791" t="s">
        <v>4010</v>
      </c>
      <c r="N2791">
        <v>1</v>
      </c>
      <c r="O2791">
        <v>8.67</v>
      </c>
      <c r="P2791">
        <v>104537.14</v>
      </c>
      <c r="Q2791">
        <v>77692.34</v>
      </c>
      <c r="R2791">
        <v>315</v>
      </c>
      <c r="S2791">
        <v>1071</v>
      </c>
      <c r="T2791" t="s">
        <v>34</v>
      </c>
      <c r="U2791" t="s">
        <v>31</v>
      </c>
    </row>
    <row r="2792" spans="1:21">
      <c r="A2792" t="s">
        <v>4352</v>
      </c>
      <c r="B2792" t="s">
        <v>4021</v>
      </c>
      <c r="C2792" t="s">
        <v>4016</v>
      </c>
      <c r="D2792">
        <v>117000</v>
      </c>
      <c r="E2792">
        <v>15000</v>
      </c>
      <c r="F2792">
        <v>117000</v>
      </c>
      <c r="H2792">
        <v>5</v>
      </c>
      <c r="I2792" t="s">
        <v>432</v>
      </c>
      <c r="J2792">
        <v>25.47</v>
      </c>
      <c r="K2792">
        <v>3</v>
      </c>
      <c r="L2792">
        <v>10</v>
      </c>
      <c r="M2792" t="s">
        <v>4010</v>
      </c>
      <c r="N2792">
        <v>1</v>
      </c>
      <c r="O2792">
        <v>8.67</v>
      </c>
      <c r="P2792">
        <v>104537.14</v>
      </c>
      <c r="Q2792">
        <v>77692.34</v>
      </c>
      <c r="R2792">
        <v>315</v>
      </c>
      <c r="S2792">
        <v>1071</v>
      </c>
      <c r="T2792" t="s">
        <v>34</v>
      </c>
      <c r="U2792" t="s">
        <v>31</v>
      </c>
    </row>
    <row r="2793" spans="1:21">
      <c r="A2793" t="s">
        <v>4353</v>
      </c>
      <c r="B2793" t="s">
        <v>4021</v>
      </c>
      <c r="C2793" t="s">
        <v>4016</v>
      </c>
      <c r="D2793">
        <v>120000</v>
      </c>
      <c r="E2793">
        <v>15000</v>
      </c>
      <c r="F2793">
        <v>120000</v>
      </c>
      <c r="H2793">
        <v>6</v>
      </c>
      <c r="I2793" t="s">
        <v>432</v>
      </c>
      <c r="J2793">
        <v>25.47</v>
      </c>
      <c r="K2793">
        <v>3</v>
      </c>
      <c r="L2793">
        <v>10</v>
      </c>
      <c r="M2793" t="s">
        <v>4010</v>
      </c>
      <c r="N2793">
        <v>1</v>
      </c>
      <c r="O2793">
        <v>8.67</v>
      </c>
      <c r="P2793">
        <v>104537.14</v>
      </c>
      <c r="Q2793">
        <v>77692.34</v>
      </c>
      <c r="R2793">
        <v>315</v>
      </c>
      <c r="S2793">
        <v>1071</v>
      </c>
      <c r="T2793" t="s">
        <v>34</v>
      </c>
      <c r="U2793" t="s">
        <v>31</v>
      </c>
    </row>
    <row r="2794" spans="1:21">
      <c r="A2794" t="s">
        <v>4354</v>
      </c>
      <c r="B2794" t="s">
        <v>4355</v>
      </c>
      <c r="C2794" t="s">
        <v>4356</v>
      </c>
      <c r="D2794">
        <v>93000</v>
      </c>
      <c r="E2794">
        <v>4000</v>
      </c>
      <c r="F2794">
        <v>93000</v>
      </c>
      <c r="G2794">
        <v>93000</v>
      </c>
      <c r="H2794">
        <v>2</v>
      </c>
      <c r="I2794" t="s">
        <v>432</v>
      </c>
      <c r="J2794">
        <v>34.229999999999997</v>
      </c>
      <c r="K2794">
        <v>8</v>
      </c>
      <c r="L2794">
        <v>2</v>
      </c>
      <c r="M2794" t="s">
        <v>4010</v>
      </c>
      <c r="N2794">
        <v>7</v>
      </c>
      <c r="O2794">
        <v>8</v>
      </c>
      <c r="P2794">
        <v>104537.14</v>
      </c>
      <c r="Q2794">
        <v>77692.34</v>
      </c>
      <c r="R2794">
        <v>315</v>
      </c>
      <c r="S2794">
        <v>1071</v>
      </c>
      <c r="T2794" t="s">
        <v>26</v>
      </c>
      <c r="U2794" t="s">
        <v>31</v>
      </c>
    </row>
    <row r="2795" spans="1:21">
      <c r="A2795" t="s">
        <v>4357</v>
      </c>
      <c r="B2795" t="s">
        <v>4358</v>
      </c>
      <c r="C2795" t="s">
        <v>4016</v>
      </c>
      <c r="D2795">
        <v>58000</v>
      </c>
      <c r="E2795">
        <v>2000</v>
      </c>
      <c r="H2795">
        <v>1</v>
      </c>
      <c r="I2795" t="s">
        <v>432</v>
      </c>
      <c r="J2795">
        <v>17.59</v>
      </c>
      <c r="K2795">
        <v>27</v>
      </c>
      <c r="L2795">
        <v>2</v>
      </c>
      <c r="M2795" t="s">
        <v>4010</v>
      </c>
      <c r="N2795">
        <v>2</v>
      </c>
      <c r="O2795">
        <v>7.67</v>
      </c>
      <c r="P2795">
        <v>104537.14</v>
      </c>
      <c r="Q2795">
        <v>77692.34</v>
      </c>
      <c r="R2795">
        <v>315</v>
      </c>
      <c r="S2795">
        <v>1071</v>
      </c>
      <c r="T2795" t="s">
        <v>108</v>
      </c>
      <c r="U2795" t="s">
        <v>27</v>
      </c>
    </row>
    <row r="2796" spans="1:21">
      <c r="A2796" t="s">
        <v>4359</v>
      </c>
      <c r="B2796" t="s">
        <v>4360</v>
      </c>
      <c r="C2796" t="s">
        <v>4019</v>
      </c>
      <c r="D2796">
        <v>53000</v>
      </c>
      <c r="E2796">
        <v>2000</v>
      </c>
      <c r="F2796">
        <v>53000</v>
      </c>
      <c r="H2796">
        <v>2</v>
      </c>
      <c r="I2796" t="s">
        <v>432</v>
      </c>
      <c r="J2796">
        <v>14.86</v>
      </c>
      <c r="K2796">
        <v>42</v>
      </c>
      <c r="L2796">
        <v>3</v>
      </c>
      <c r="M2796" t="s">
        <v>4010</v>
      </c>
      <c r="N2796">
        <v>6</v>
      </c>
      <c r="O2796">
        <v>11</v>
      </c>
      <c r="P2796">
        <v>104537.14</v>
      </c>
      <c r="Q2796">
        <v>77692.34</v>
      </c>
      <c r="R2796">
        <v>315</v>
      </c>
      <c r="S2796">
        <v>1071</v>
      </c>
      <c r="T2796" t="s">
        <v>108</v>
      </c>
      <c r="U2796" t="s">
        <v>42</v>
      </c>
    </row>
    <row r="2797" spans="1:21">
      <c r="A2797" t="s">
        <v>4361</v>
      </c>
      <c r="B2797" t="s">
        <v>4362</v>
      </c>
      <c r="C2797" t="s">
        <v>4016</v>
      </c>
      <c r="D2797">
        <v>94000</v>
      </c>
      <c r="E2797">
        <v>3000</v>
      </c>
      <c r="F2797">
        <v>94000</v>
      </c>
      <c r="G2797">
        <v>94000</v>
      </c>
      <c r="H2797">
        <v>3</v>
      </c>
      <c r="I2797" t="s">
        <v>432</v>
      </c>
      <c r="J2797">
        <v>30.14</v>
      </c>
      <c r="K2797">
        <v>20</v>
      </c>
      <c r="L2797">
        <v>4</v>
      </c>
      <c r="M2797" t="s">
        <v>4010</v>
      </c>
      <c r="N2797">
        <v>3</v>
      </c>
      <c r="O2797">
        <v>8.67</v>
      </c>
      <c r="P2797">
        <v>104537.14</v>
      </c>
      <c r="Q2797">
        <v>77692.34</v>
      </c>
      <c r="R2797">
        <v>315</v>
      </c>
      <c r="S2797">
        <v>1071</v>
      </c>
      <c r="T2797" t="s">
        <v>26</v>
      </c>
      <c r="U2797" t="s">
        <v>90</v>
      </c>
    </row>
    <row r="2798" spans="1:21">
      <c r="A2798" t="s">
        <v>4363</v>
      </c>
      <c r="B2798" t="s">
        <v>4362</v>
      </c>
      <c r="C2798" t="s">
        <v>4016</v>
      </c>
      <c r="D2798">
        <v>90000</v>
      </c>
      <c r="E2798">
        <v>3000</v>
      </c>
      <c r="F2798">
        <v>90000</v>
      </c>
      <c r="G2798">
        <v>90000</v>
      </c>
      <c r="H2798">
        <v>3</v>
      </c>
      <c r="I2798" t="s">
        <v>432</v>
      </c>
      <c r="J2798">
        <v>30.14</v>
      </c>
      <c r="K2798">
        <v>20</v>
      </c>
      <c r="L2798">
        <v>4</v>
      </c>
      <c r="M2798" t="s">
        <v>4010</v>
      </c>
      <c r="N2798">
        <v>3</v>
      </c>
      <c r="O2798">
        <v>8.67</v>
      </c>
      <c r="P2798">
        <v>104537.14</v>
      </c>
      <c r="Q2798">
        <v>77692.34</v>
      </c>
      <c r="R2798">
        <v>315</v>
      </c>
      <c r="S2798">
        <v>1071</v>
      </c>
      <c r="T2798" t="s">
        <v>26</v>
      </c>
      <c r="U2798" t="s">
        <v>90</v>
      </c>
    </row>
    <row r="2799" spans="1:21">
      <c r="A2799" t="s">
        <v>4364</v>
      </c>
      <c r="B2799" t="s">
        <v>4365</v>
      </c>
      <c r="C2799" t="s">
        <v>2962</v>
      </c>
      <c r="D2799">
        <v>66000</v>
      </c>
      <c r="E2799">
        <v>4000</v>
      </c>
      <c r="H2799">
        <v>2</v>
      </c>
      <c r="I2799" t="s">
        <v>432</v>
      </c>
      <c r="J2799">
        <v>10.32</v>
      </c>
      <c r="K2799">
        <v>10</v>
      </c>
      <c r="L2799">
        <v>2</v>
      </c>
      <c r="M2799" t="s">
        <v>4010</v>
      </c>
      <c r="N2799">
        <v>4</v>
      </c>
      <c r="O2799">
        <v>9.67</v>
      </c>
      <c r="P2799">
        <v>104537.14</v>
      </c>
      <c r="Q2799">
        <v>77692.34</v>
      </c>
      <c r="R2799">
        <v>315</v>
      </c>
      <c r="S2799">
        <v>1071</v>
      </c>
      <c r="T2799" t="s">
        <v>108</v>
      </c>
      <c r="U2799" t="s">
        <v>31</v>
      </c>
    </row>
    <row r="2800" spans="1:21">
      <c r="A2800" t="s">
        <v>4366</v>
      </c>
      <c r="B2800" t="s">
        <v>4367</v>
      </c>
      <c r="C2800" t="s">
        <v>2962</v>
      </c>
      <c r="D2800">
        <v>60000</v>
      </c>
      <c r="E2800">
        <v>3000</v>
      </c>
      <c r="F2800">
        <v>60000</v>
      </c>
      <c r="H2800">
        <v>1</v>
      </c>
      <c r="I2800" t="s">
        <v>432</v>
      </c>
      <c r="J2800">
        <v>19</v>
      </c>
      <c r="K2800">
        <v>41</v>
      </c>
      <c r="L2800">
        <v>3</v>
      </c>
      <c r="M2800" t="s">
        <v>4010</v>
      </c>
      <c r="N2800">
        <v>6</v>
      </c>
      <c r="O2800">
        <v>10</v>
      </c>
      <c r="P2800">
        <v>104537.14</v>
      </c>
      <c r="Q2800">
        <v>77692.34</v>
      </c>
      <c r="R2800">
        <v>315</v>
      </c>
      <c r="S2800">
        <v>1071</v>
      </c>
      <c r="T2800" t="s">
        <v>108</v>
      </c>
      <c r="U2800" t="s">
        <v>42</v>
      </c>
    </row>
    <row r="2801" spans="1:21">
      <c r="A2801" t="s">
        <v>4368</v>
      </c>
      <c r="B2801" t="s">
        <v>4369</v>
      </c>
      <c r="C2801" t="s">
        <v>2962</v>
      </c>
      <c r="D2801">
        <v>62000</v>
      </c>
      <c r="E2801">
        <v>4000</v>
      </c>
      <c r="G2801">
        <v>62000</v>
      </c>
      <c r="H2801">
        <v>1</v>
      </c>
      <c r="I2801" t="s">
        <v>432</v>
      </c>
      <c r="J2801">
        <v>10.91</v>
      </c>
      <c r="K2801">
        <v>7</v>
      </c>
      <c r="L2801">
        <v>2</v>
      </c>
      <c r="M2801" t="s">
        <v>4010</v>
      </c>
      <c r="N2801">
        <v>3</v>
      </c>
      <c r="O2801">
        <v>10</v>
      </c>
      <c r="P2801">
        <v>104537.14</v>
      </c>
      <c r="Q2801">
        <v>77692.34</v>
      </c>
      <c r="R2801">
        <v>315</v>
      </c>
      <c r="S2801">
        <v>1071</v>
      </c>
      <c r="T2801" t="s">
        <v>108</v>
      </c>
      <c r="U2801" t="s">
        <v>31</v>
      </c>
    </row>
    <row r="2802" spans="1:21">
      <c r="A2802" t="s">
        <v>4370</v>
      </c>
      <c r="B2802" t="s">
        <v>4369</v>
      </c>
      <c r="C2802" t="s">
        <v>2962</v>
      </c>
      <c r="D2802">
        <v>65000</v>
      </c>
      <c r="E2802">
        <v>4000</v>
      </c>
      <c r="H2802">
        <v>2</v>
      </c>
      <c r="I2802" t="s">
        <v>432</v>
      </c>
      <c r="J2802">
        <v>10.91</v>
      </c>
      <c r="K2802">
        <v>7</v>
      </c>
      <c r="L2802">
        <v>2</v>
      </c>
      <c r="M2802" t="s">
        <v>4010</v>
      </c>
      <c r="N2802">
        <v>3</v>
      </c>
      <c r="O2802">
        <v>10</v>
      </c>
      <c r="P2802">
        <v>104537.14</v>
      </c>
      <c r="Q2802">
        <v>77692.34</v>
      </c>
      <c r="R2802">
        <v>315</v>
      </c>
      <c r="S2802">
        <v>1071</v>
      </c>
      <c r="T2802" t="s">
        <v>108</v>
      </c>
      <c r="U2802" t="s">
        <v>31</v>
      </c>
    </row>
    <row r="2803" spans="1:21">
      <c r="A2803" t="s">
        <v>4371</v>
      </c>
      <c r="B2803" t="s">
        <v>4369</v>
      </c>
      <c r="C2803" t="s">
        <v>2962</v>
      </c>
      <c r="D2803">
        <v>68000</v>
      </c>
      <c r="E2803">
        <v>4000</v>
      </c>
      <c r="H2803">
        <v>2</v>
      </c>
      <c r="I2803" t="s">
        <v>432</v>
      </c>
      <c r="J2803">
        <v>10.91</v>
      </c>
      <c r="K2803">
        <v>7</v>
      </c>
      <c r="L2803">
        <v>2</v>
      </c>
      <c r="M2803" t="s">
        <v>4010</v>
      </c>
      <c r="N2803">
        <v>3</v>
      </c>
      <c r="O2803">
        <v>10</v>
      </c>
      <c r="P2803">
        <v>104537.14</v>
      </c>
      <c r="Q2803">
        <v>77692.34</v>
      </c>
      <c r="R2803">
        <v>315</v>
      </c>
      <c r="S2803">
        <v>1071</v>
      </c>
      <c r="T2803" t="s">
        <v>108</v>
      </c>
      <c r="U2803" t="s">
        <v>31</v>
      </c>
    </row>
    <row r="2804" spans="1:21">
      <c r="A2804" t="s">
        <v>4372</v>
      </c>
      <c r="B2804" t="s">
        <v>4369</v>
      </c>
      <c r="C2804" t="s">
        <v>2962</v>
      </c>
      <c r="D2804">
        <v>71000</v>
      </c>
      <c r="E2804">
        <v>4000</v>
      </c>
      <c r="G2804">
        <v>71000</v>
      </c>
      <c r="H2804">
        <v>2</v>
      </c>
      <c r="I2804" t="s">
        <v>432</v>
      </c>
      <c r="J2804">
        <v>11.22</v>
      </c>
      <c r="K2804">
        <v>7</v>
      </c>
      <c r="L2804">
        <v>2</v>
      </c>
      <c r="M2804" t="s">
        <v>4010</v>
      </c>
      <c r="N2804">
        <v>3</v>
      </c>
      <c r="O2804">
        <v>10</v>
      </c>
      <c r="P2804">
        <v>104537.14</v>
      </c>
      <c r="Q2804">
        <v>77692.34</v>
      </c>
      <c r="R2804">
        <v>315</v>
      </c>
      <c r="S2804">
        <v>1071</v>
      </c>
      <c r="T2804" t="s">
        <v>108</v>
      </c>
      <c r="U2804" t="s">
        <v>31</v>
      </c>
    </row>
    <row r="2805" spans="1:21">
      <c r="A2805" t="s">
        <v>4373</v>
      </c>
      <c r="B2805" t="s">
        <v>4374</v>
      </c>
      <c r="C2805" t="s">
        <v>4027</v>
      </c>
      <c r="D2805">
        <v>63000</v>
      </c>
      <c r="E2805">
        <v>4000</v>
      </c>
      <c r="G2805">
        <v>63000</v>
      </c>
      <c r="H2805">
        <v>1</v>
      </c>
      <c r="I2805" t="s">
        <v>432</v>
      </c>
      <c r="J2805">
        <v>10.66</v>
      </c>
      <c r="K2805">
        <v>5</v>
      </c>
      <c r="L2805">
        <v>2</v>
      </c>
      <c r="M2805" t="s">
        <v>4010</v>
      </c>
      <c r="N2805">
        <v>9</v>
      </c>
      <c r="O2805">
        <v>13</v>
      </c>
      <c r="P2805">
        <v>104537.14</v>
      </c>
      <c r="Q2805">
        <v>77692.34</v>
      </c>
      <c r="R2805">
        <v>315</v>
      </c>
      <c r="S2805">
        <v>1071</v>
      </c>
      <c r="T2805" t="s">
        <v>108</v>
      </c>
      <c r="U2805" t="s">
        <v>31</v>
      </c>
    </row>
    <row r="2806" spans="1:21">
      <c r="A2806" t="s">
        <v>4375</v>
      </c>
      <c r="B2806" t="s">
        <v>4376</v>
      </c>
      <c r="C2806" t="s">
        <v>2962</v>
      </c>
      <c r="D2806">
        <v>98000</v>
      </c>
      <c r="E2806">
        <v>9000</v>
      </c>
      <c r="F2806">
        <v>98000</v>
      </c>
      <c r="G2806">
        <v>98000</v>
      </c>
      <c r="H2806">
        <v>2</v>
      </c>
      <c r="I2806" t="s">
        <v>432</v>
      </c>
      <c r="J2806">
        <v>24.94</v>
      </c>
      <c r="K2806">
        <v>2</v>
      </c>
      <c r="L2806">
        <v>3</v>
      </c>
      <c r="M2806" t="s">
        <v>4010</v>
      </c>
      <c r="N2806">
        <v>5</v>
      </c>
      <c r="O2806">
        <v>10.33</v>
      </c>
      <c r="P2806">
        <v>104537.14</v>
      </c>
      <c r="Q2806">
        <v>77692.34</v>
      </c>
      <c r="R2806">
        <v>315</v>
      </c>
      <c r="S2806">
        <v>1071</v>
      </c>
      <c r="T2806" t="s">
        <v>34</v>
      </c>
      <c r="U2806" t="s">
        <v>31</v>
      </c>
    </row>
    <row r="2807" spans="1:21">
      <c r="A2807" t="s">
        <v>4377</v>
      </c>
      <c r="B2807" t="s">
        <v>4378</v>
      </c>
      <c r="C2807" t="s">
        <v>4027</v>
      </c>
      <c r="D2807">
        <v>70000</v>
      </c>
      <c r="E2807">
        <v>6000</v>
      </c>
      <c r="H2807">
        <v>2</v>
      </c>
      <c r="I2807" t="s">
        <v>432</v>
      </c>
      <c r="J2807">
        <v>20.5</v>
      </c>
      <c r="K2807">
        <v>40</v>
      </c>
      <c r="L2807">
        <v>4</v>
      </c>
      <c r="M2807" t="s">
        <v>4010</v>
      </c>
      <c r="N2807">
        <v>5</v>
      </c>
      <c r="O2807">
        <v>9.33</v>
      </c>
      <c r="P2807">
        <v>104537.14</v>
      </c>
      <c r="Q2807">
        <v>77692.34</v>
      </c>
      <c r="R2807">
        <v>315</v>
      </c>
      <c r="S2807">
        <v>1071</v>
      </c>
      <c r="T2807" t="s">
        <v>34</v>
      </c>
      <c r="U2807" t="s">
        <v>49</v>
      </c>
    </row>
    <row r="2808" spans="1:21">
      <c r="A2808" t="s">
        <v>4379</v>
      </c>
      <c r="B2808" t="s">
        <v>4380</v>
      </c>
      <c r="C2808" t="s">
        <v>4009</v>
      </c>
      <c r="D2808">
        <v>61000</v>
      </c>
      <c r="E2808">
        <v>2000</v>
      </c>
      <c r="F2808">
        <v>61000</v>
      </c>
      <c r="G2808">
        <v>61000</v>
      </c>
      <c r="H2808">
        <v>1</v>
      </c>
      <c r="I2808" t="s">
        <v>432</v>
      </c>
      <c r="J2808">
        <v>15</v>
      </c>
      <c r="K2808">
        <v>33</v>
      </c>
      <c r="L2808">
        <v>2</v>
      </c>
      <c r="M2808" t="s">
        <v>4010</v>
      </c>
      <c r="N2808">
        <v>5</v>
      </c>
      <c r="O2808">
        <v>10</v>
      </c>
      <c r="P2808">
        <v>104537.14</v>
      </c>
      <c r="Q2808">
        <v>77692.34</v>
      </c>
      <c r="R2808">
        <v>315</v>
      </c>
      <c r="S2808">
        <v>1071</v>
      </c>
      <c r="T2808" t="s">
        <v>108</v>
      </c>
      <c r="U2808" t="s">
        <v>49</v>
      </c>
    </row>
    <row r="2809" spans="1:21">
      <c r="A2809" t="s">
        <v>4381</v>
      </c>
      <c r="B2809" t="s">
        <v>4380</v>
      </c>
      <c r="C2809" t="s">
        <v>4009</v>
      </c>
      <c r="D2809">
        <v>60000</v>
      </c>
      <c r="E2809">
        <v>2000</v>
      </c>
      <c r="H2809">
        <v>1</v>
      </c>
      <c r="I2809" t="s">
        <v>432</v>
      </c>
      <c r="J2809">
        <v>16</v>
      </c>
      <c r="K2809">
        <v>33</v>
      </c>
      <c r="L2809">
        <v>2</v>
      </c>
      <c r="M2809" t="s">
        <v>4010</v>
      </c>
      <c r="N2809">
        <v>5</v>
      </c>
      <c r="O2809">
        <v>10</v>
      </c>
      <c r="P2809">
        <v>104537.14</v>
      </c>
      <c r="Q2809">
        <v>77692.34</v>
      </c>
      <c r="R2809">
        <v>315</v>
      </c>
      <c r="S2809">
        <v>1071</v>
      </c>
      <c r="T2809" t="s">
        <v>108</v>
      </c>
      <c r="U2809" t="s">
        <v>49</v>
      </c>
    </row>
    <row r="2810" spans="1:21">
      <c r="A2810" t="s">
        <v>4382</v>
      </c>
      <c r="B2810" t="s">
        <v>4383</v>
      </c>
      <c r="C2810" t="s">
        <v>2962</v>
      </c>
      <c r="D2810">
        <v>57000</v>
      </c>
      <c r="E2810">
        <v>5000</v>
      </c>
      <c r="H2810">
        <v>1</v>
      </c>
      <c r="I2810" t="s">
        <v>432</v>
      </c>
      <c r="J2810">
        <v>17</v>
      </c>
      <c r="K2810">
        <v>22</v>
      </c>
      <c r="L2810">
        <v>4</v>
      </c>
      <c r="M2810" t="s">
        <v>4010</v>
      </c>
      <c r="N2810">
        <v>4</v>
      </c>
      <c r="O2810">
        <v>9.33</v>
      </c>
      <c r="P2810">
        <v>104537.14</v>
      </c>
      <c r="Q2810">
        <v>77692.34</v>
      </c>
      <c r="R2810">
        <v>315</v>
      </c>
      <c r="S2810">
        <v>1071</v>
      </c>
      <c r="T2810" t="s">
        <v>108</v>
      </c>
      <c r="U2810" t="s">
        <v>27</v>
      </c>
    </row>
    <row r="2811" spans="1:21">
      <c r="A2811" t="s">
        <v>4384</v>
      </c>
      <c r="B2811" t="s">
        <v>4385</v>
      </c>
      <c r="C2811" t="s">
        <v>2962</v>
      </c>
      <c r="D2811">
        <v>73000</v>
      </c>
      <c r="E2811">
        <v>4000</v>
      </c>
      <c r="G2811">
        <v>73000</v>
      </c>
      <c r="H2811">
        <v>1</v>
      </c>
      <c r="I2811" t="s">
        <v>432</v>
      </c>
      <c r="J2811">
        <v>10.32</v>
      </c>
      <c r="K2811">
        <v>10</v>
      </c>
      <c r="L2811">
        <v>2</v>
      </c>
      <c r="M2811" t="s">
        <v>4010</v>
      </c>
      <c r="N2811">
        <v>4</v>
      </c>
      <c r="O2811">
        <v>9.67</v>
      </c>
      <c r="P2811">
        <v>104537.14</v>
      </c>
      <c r="Q2811">
        <v>77692.34</v>
      </c>
      <c r="R2811">
        <v>315</v>
      </c>
      <c r="S2811">
        <v>1071</v>
      </c>
      <c r="T2811" t="s">
        <v>108</v>
      </c>
      <c r="U2811" t="s">
        <v>31</v>
      </c>
    </row>
    <row r="2812" spans="1:21">
      <c r="A2812" t="s">
        <v>4386</v>
      </c>
      <c r="B2812" t="s">
        <v>4385</v>
      </c>
      <c r="C2812" t="s">
        <v>2962</v>
      </c>
      <c r="D2812">
        <v>75000</v>
      </c>
      <c r="E2812">
        <v>4000</v>
      </c>
      <c r="G2812">
        <v>75000</v>
      </c>
      <c r="H2812">
        <v>2</v>
      </c>
      <c r="I2812" t="s">
        <v>432</v>
      </c>
      <c r="J2812">
        <v>10.32</v>
      </c>
      <c r="K2812">
        <v>10</v>
      </c>
      <c r="L2812">
        <v>2</v>
      </c>
      <c r="M2812" t="s">
        <v>4010</v>
      </c>
      <c r="N2812">
        <v>4</v>
      </c>
      <c r="O2812">
        <v>9.67</v>
      </c>
      <c r="P2812">
        <v>104537.14</v>
      </c>
      <c r="Q2812">
        <v>77692.34</v>
      </c>
      <c r="R2812">
        <v>315</v>
      </c>
      <c r="S2812">
        <v>1071</v>
      </c>
      <c r="T2812" t="s">
        <v>108</v>
      </c>
      <c r="U2812" t="s">
        <v>31</v>
      </c>
    </row>
    <row r="2813" spans="1:21">
      <c r="A2813" t="s">
        <v>4387</v>
      </c>
      <c r="B2813" t="s">
        <v>4385</v>
      </c>
      <c r="C2813" t="s">
        <v>2962</v>
      </c>
      <c r="D2813">
        <v>69000</v>
      </c>
      <c r="E2813">
        <v>4000</v>
      </c>
      <c r="G2813">
        <v>69000</v>
      </c>
      <c r="H2813">
        <v>2</v>
      </c>
      <c r="I2813" t="s">
        <v>432</v>
      </c>
      <c r="J2813">
        <v>11.39</v>
      </c>
      <c r="K2813">
        <v>10</v>
      </c>
      <c r="L2813">
        <v>2</v>
      </c>
      <c r="M2813" t="s">
        <v>4010</v>
      </c>
      <c r="N2813">
        <v>4</v>
      </c>
      <c r="O2813">
        <v>9.67</v>
      </c>
      <c r="P2813">
        <v>104537.14</v>
      </c>
      <c r="Q2813">
        <v>77692.34</v>
      </c>
      <c r="R2813">
        <v>315</v>
      </c>
      <c r="S2813">
        <v>1071</v>
      </c>
      <c r="T2813" t="s">
        <v>108</v>
      </c>
      <c r="U2813" t="s">
        <v>31</v>
      </c>
    </row>
    <row r="2814" spans="1:21">
      <c r="A2814" t="s">
        <v>4388</v>
      </c>
      <c r="B2814" t="s">
        <v>4389</v>
      </c>
      <c r="C2814" t="s">
        <v>4016</v>
      </c>
      <c r="D2814">
        <v>78000</v>
      </c>
      <c r="E2814">
        <v>10000</v>
      </c>
      <c r="G2814">
        <v>78000</v>
      </c>
      <c r="H2814">
        <v>3</v>
      </c>
      <c r="I2814" t="s">
        <v>432</v>
      </c>
      <c r="J2814">
        <v>20.02</v>
      </c>
      <c r="K2814">
        <v>4</v>
      </c>
      <c r="L2814">
        <v>5</v>
      </c>
      <c r="M2814" t="s">
        <v>4010</v>
      </c>
      <c r="N2814">
        <v>3</v>
      </c>
      <c r="O2814">
        <v>9</v>
      </c>
      <c r="P2814">
        <v>104537.14</v>
      </c>
      <c r="Q2814">
        <v>77692.34</v>
      </c>
      <c r="R2814">
        <v>315</v>
      </c>
      <c r="S2814">
        <v>1071</v>
      </c>
      <c r="T2814" t="s">
        <v>34</v>
      </c>
      <c r="U2814" t="s">
        <v>31</v>
      </c>
    </row>
    <row r="2815" spans="1:21">
      <c r="A2815" t="s">
        <v>4390</v>
      </c>
      <c r="B2815" t="s">
        <v>4391</v>
      </c>
      <c r="C2815" t="s">
        <v>4392</v>
      </c>
      <c r="D2815">
        <v>66000</v>
      </c>
      <c r="E2815">
        <v>6000</v>
      </c>
      <c r="F2815">
        <v>66000</v>
      </c>
      <c r="H2815">
        <v>5</v>
      </c>
      <c r="I2815" t="s">
        <v>432</v>
      </c>
      <c r="J2815">
        <v>27.07</v>
      </c>
      <c r="K2815">
        <v>36</v>
      </c>
      <c r="L2815">
        <v>8</v>
      </c>
      <c r="M2815" t="s">
        <v>4010</v>
      </c>
      <c r="N2815">
        <v>3</v>
      </c>
      <c r="O2815">
        <v>11</v>
      </c>
      <c r="P2815">
        <v>104537.14</v>
      </c>
      <c r="Q2815">
        <v>77692.34</v>
      </c>
      <c r="R2815">
        <v>315</v>
      </c>
      <c r="S2815">
        <v>1071</v>
      </c>
      <c r="T2815" t="s">
        <v>34</v>
      </c>
      <c r="U2815" t="s">
        <v>49</v>
      </c>
    </row>
    <row r="2816" spans="1:21">
      <c r="A2816" t="s">
        <v>4393</v>
      </c>
      <c r="B2816" t="s">
        <v>4394</v>
      </c>
      <c r="C2816" t="s">
        <v>4027</v>
      </c>
      <c r="D2816">
        <v>49000</v>
      </c>
      <c r="E2816">
        <v>3000</v>
      </c>
      <c r="H2816">
        <v>1</v>
      </c>
      <c r="I2816" t="s">
        <v>432</v>
      </c>
      <c r="J2816">
        <v>12.42</v>
      </c>
      <c r="K2816">
        <v>24</v>
      </c>
      <c r="L2816">
        <v>2</v>
      </c>
      <c r="M2816" t="s">
        <v>4010</v>
      </c>
      <c r="N2816">
        <v>9</v>
      </c>
      <c r="O2816">
        <v>11</v>
      </c>
      <c r="P2816">
        <v>104537.14</v>
      </c>
      <c r="Q2816">
        <v>77692.34</v>
      </c>
      <c r="R2816">
        <v>315</v>
      </c>
      <c r="S2816">
        <v>1071</v>
      </c>
      <c r="T2816" t="s">
        <v>108</v>
      </c>
      <c r="U2816" t="s">
        <v>27</v>
      </c>
    </row>
    <row r="2817" spans="1:21">
      <c r="A2817" t="s">
        <v>4395</v>
      </c>
      <c r="B2817" t="s">
        <v>4396</v>
      </c>
      <c r="C2817" t="s">
        <v>4019</v>
      </c>
      <c r="D2817">
        <v>70000</v>
      </c>
      <c r="E2817">
        <v>6000</v>
      </c>
      <c r="F2817">
        <v>70000</v>
      </c>
      <c r="G2817">
        <v>70000</v>
      </c>
      <c r="H2817">
        <v>4</v>
      </c>
      <c r="I2817" t="s">
        <v>432</v>
      </c>
      <c r="J2817">
        <v>23</v>
      </c>
      <c r="K2817">
        <v>39</v>
      </c>
      <c r="L2817">
        <v>4</v>
      </c>
      <c r="M2817" t="s">
        <v>4010</v>
      </c>
      <c r="N2817">
        <v>3</v>
      </c>
      <c r="O2817">
        <v>10</v>
      </c>
      <c r="P2817">
        <v>104537.14</v>
      </c>
      <c r="Q2817">
        <v>77692.34</v>
      </c>
      <c r="R2817">
        <v>315</v>
      </c>
      <c r="S2817">
        <v>1071</v>
      </c>
      <c r="T2817" t="s">
        <v>34</v>
      </c>
      <c r="U2817" t="s">
        <v>49</v>
      </c>
    </row>
    <row r="2818" spans="1:21">
      <c r="A2818" t="s">
        <v>4397</v>
      </c>
      <c r="B2818" t="s">
        <v>4398</v>
      </c>
      <c r="C2818" t="s">
        <v>4027</v>
      </c>
      <c r="D2818">
        <v>110000</v>
      </c>
      <c r="E2818">
        <v>10000</v>
      </c>
      <c r="G2818">
        <v>110000</v>
      </c>
      <c r="H2818">
        <v>3</v>
      </c>
      <c r="I2818" t="s">
        <v>432</v>
      </c>
      <c r="J2818">
        <v>29.21</v>
      </c>
      <c r="K2818">
        <v>8</v>
      </c>
      <c r="L2818">
        <v>5</v>
      </c>
      <c r="M2818" t="s">
        <v>4010</v>
      </c>
      <c r="N2818">
        <v>6</v>
      </c>
      <c r="O2818">
        <v>9</v>
      </c>
      <c r="P2818">
        <v>104537.14</v>
      </c>
      <c r="Q2818">
        <v>77692.34</v>
      </c>
      <c r="R2818">
        <v>315</v>
      </c>
      <c r="S2818">
        <v>1071</v>
      </c>
      <c r="T2818" t="s">
        <v>34</v>
      </c>
      <c r="U2818" t="s">
        <v>31</v>
      </c>
    </row>
    <row r="2819" spans="1:21">
      <c r="A2819" t="s">
        <v>4399</v>
      </c>
      <c r="B2819" t="s">
        <v>4398</v>
      </c>
      <c r="C2819" t="s">
        <v>4027</v>
      </c>
      <c r="D2819">
        <v>84000</v>
      </c>
      <c r="E2819">
        <v>10000</v>
      </c>
      <c r="G2819">
        <v>84000</v>
      </c>
      <c r="H2819">
        <v>5</v>
      </c>
      <c r="I2819" t="s">
        <v>432</v>
      </c>
      <c r="J2819">
        <v>21.15</v>
      </c>
      <c r="K2819">
        <v>8</v>
      </c>
      <c r="L2819">
        <v>5</v>
      </c>
      <c r="M2819" t="s">
        <v>4010</v>
      </c>
      <c r="N2819">
        <v>6</v>
      </c>
      <c r="O2819">
        <v>9</v>
      </c>
      <c r="P2819">
        <v>104537.14</v>
      </c>
      <c r="Q2819">
        <v>77692.34</v>
      </c>
      <c r="R2819">
        <v>315</v>
      </c>
      <c r="S2819">
        <v>1071</v>
      </c>
      <c r="T2819" t="s">
        <v>34</v>
      </c>
      <c r="U2819" t="s">
        <v>31</v>
      </c>
    </row>
    <row r="2820" spans="1:21">
      <c r="A2820" t="s">
        <v>4400</v>
      </c>
      <c r="B2820" t="s">
        <v>4401</v>
      </c>
      <c r="C2820" t="s">
        <v>4013</v>
      </c>
      <c r="D2820">
        <v>55000</v>
      </c>
      <c r="E2820">
        <v>5000</v>
      </c>
      <c r="H2820">
        <v>1</v>
      </c>
      <c r="I2820" t="s">
        <v>432</v>
      </c>
      <c r="J2820">
        <v>13</v>
      </c>
      <c r="K2820">
        <v>56</v>
      </c>
      <c r="L2820">
        <v>3</v>
      </c>
      <c r="M2820" t="s">
        <v>4010</v>
      </c>
      <c r="N2820">
        <v>4</v>
      </c>
      <c r="O2820">
        <v>7.33</v>
      </c>
      <c r="P2820">
        <v>104537.14</v>
      </c>
      <c r="Q2820">
        <v>77692.34</v>
      </c>
      <c r="R2820">
        <v>315</v>
      </c>
      <c r="S2820">
        <v>1071</v>
      </c>
      <c r="T2820" t="s">
        <v>108</v>
      </c>
      <c r="U2820" t="s">
        <v>57</v>
      </c>
    </row>
    <row r="2821" spans="1:21">
      <c r="A2821" t="s">
        <v>4402</v>
      </c>
      <c r="B2821" t="s">
        <v>4403</v>
      </c>
      <c r="C2821" t="s">
        <v>4032</v>
      </c>
      <c r="D2821">
        <v>69000</v>
      </c>
      <c r="F2821">
        <v>69000</v>
      </c>
      <c r="H2821">
        <v>1</v>
      </c>
      <c r="I2821" t="s">
        <v>432</v>
      </c>
      <c r="J2821">
        <v>16.55</v>
      </c>
      <c r="K2821">
        <v>48</v>
      </c>
      <c r="L2821">
        <v>5</v>
      </c>
      <c r="M2821" t="s">
        <v>4010</v>
      </c>
      <c r="N2821">
        <v>9</v>
      </c>
      <c r="O2821">
        <v>11</v>
      </c>
      <c r="P2821">
        <v>104537.14</v>
      </c>
      <c r="Q2821">
        <v>77692.34</v>
      </c>
      <c r="R2821">
        <v>315</v>
      </c>
      <c r="S2821">
        <v>1071</v>
      </c>
      <c r="T2821" t="s">
        <v>108</v>
      </c>
      <c r="U2821" t="s">
        <v>42</v>
      </c>
    </row>
    <row r="2822" spans="1:21">
      <c r="A2822" t="s">
        <v>4404</v>
      </c>
      <c r="B2822" t="s">
        <v>4405</v>
      </c>
      <c r="C2822" t="s">
        <v>4016</v>
      </c>
      <c r="D2822">
        <v>54000</v>
      </c>
      <c r="E2822">
        <v>2000</v>
      </c>
      <c r="F2822">
        <v>54000</v>
      </c>
      <c r="H2822">
        <v>1</v>
      </c>
      <c r="I2822" t="s">
        <v>432</v>
      </c>
      <c r="J2822">
        <v>13.31</v>
      </c>
      <c r="K2822">
        <v>34</v>
      </c>
      <c r="L2822">
        <v>2</v>
      </c>
      <c r="M2822" t="s">
        <v>4010</v>
      </c>
      <c r="N2822">
        <v>4</v>
      </c>
      <c r="O2822">
        <v>8.67</v>
      </c>
      <c r="P2822">
        <v>104537.14</v>
      </c>
      <c r="Q2822">
        <v>77692.34</v>
      </c>
      <c r="R2822">
        <v>315</v>
      </c>
      <c r="S2822">
        <v>1071</v>
      </c>
      <c r="T2822" t="s">
        <v>108</v>
      </c>
      <c r="U2822" t="s">
        <v>49</v>
      </c>
    </row>
    <row r="2823" spans="1:21">
      <c r="A2823" t="s">
        <v>4406</v>
      </c>
      <c r="B2823" t="s">
        <v>4405</v>
      </c>
      <c r="C2823" t="s">
        <v>4016</v>
      </c>
      <c r="D2823">
        <v>52000</v>
      </c>
      <c r="E2823">
        <v>2000</v>
      </c>
      <c r="F2823">
        <v>52000</v>
      </c>
      <c r="H2823">
        <v>2</v>
      </c>
      <c r="I2823" t="s">
        <v>432</v>
      </c>
      <c r="J2823">
        <v>12.04</v>
      </c>
      <c r="K2823">
        <v>34</v>
      </c>
      <c r="L2823">
        <v>2</v>
      </c>
      <c r="M2823" t="s">
        <v>4010</v>
      </c>
      <c r="N2823">
        <v>4</v>
      </c>
      <c r="O2823">
        <v>8.67</v>
      </c>
      <c r="P2823">
        <v>104537.14</v>
      </c>
      <c r="Q2823">
        <v>77692.34</v>
      </c>
      <c r="R2823">
        <v>315</v>
      </c>
      <c r="S2823">
        <v>1071</v>
      </c>
      <c r="T2823" t="s">
        <v>108</v>
      </c>
      <c r="U2823" t="s">
        <v>49</v>
      </c>
    </row>
    <row r="2824" spans="1:21">
      <c r="A2824" t="s">
        <v>4407</v>
      </c>
      <c r="B2824" t="s">
        <v>4408</v>
      </c>
      <c r="C2824" t="s">
        <v>4016</v>
      </c>
      <c r="D2824">
        <v>59000</v>
      </c>
      <c r="F2824">
        <v>59000</v>
      </c>
      <c r="G2824">
        <v>59000</v>
      </c>
      <c r="H2824">
        <v>3</v>
      </c>
      <c r="I2824" t="s">
        <v>432</v>
      </c>
      <c r="J2824">
        <v>14.12</v>
      </c>
      <c r="K2824">
        <v>42</v>
      </c>
      <c r="L2824">
        <v>5</v>
      </c>
      <c r="M2824" t="s">
        <v>4010</v>
      </c>
      <c r="N2824">
        <v>2</v>
      </c>
      <c r="O2824">
        <v>5</v>
      </c>
      <c r="P2824">
        <v>104537.14</v>
      </c>
      <c r="Q2824">
        <v>77692.34</v>
      </c>
      <c r="R2824">
        <v>315</v>
      </c>
      <c r="S2824">
        <v>1071</v>
      </c>
      <c r="T2824" t="s">
        <v>108</v>
      </c>
      <c r="U2824" t="s">
        <v>42</v>
      </c>
    </row>
    <row r="2825" spans="1:21">
      <c r="A2825" t="s">
        <v>4409</v>
      </c>
      <c r="B2825" t="s">
        <v>4408</v>
      </c>
      <c r="C2825" t="s">
        <v>4016</v>
      </c>
      <c r="D2825">
        <v>62000</v>
      </c>
      <c r="F2825">
        <v>62000</v>
      </c>
      <c r="G2825">
        <v>62000</v>
      </c>
      <c r="H2825">
        <v>3</v>
      </c>
      <c r="I2825" t="s">
        <v>432</v>
      </c>
      <c r="J2825">
        <v>14.12</v>
      </c>
      <c r="K2825">
        <v>42</v>
      </c>
      <c r="L2825">
        <v>5</v>
      </c>
      <c r="M2825" t="s">
        <v>4010</v>
      </c>
      <c r="N2825">
        <v>2</v>
      </c>
      <c r="O2825">
        <v>5</v>
      </c>
      <c r="P2825">
        <v>104537.14</v>
      </c>
      <c r="Q2825">
        <v>77692.34</v>
      </c>
      <c r="R2825">
        <v>315</v>
      </c>
      <c r="S2825">
        <v>1071</v>
      </c>
      <c r="T2825" t="s">
        <v>108</v>
      </c>
      <c r="U2825" t="s">
        <v>42</v>
      </c>
    </row>
    <row r="2826" spans="1:21">
      <c r="A2826" t="s">
        <v>4410</v>
      </c>
      <c r="B2826" t="s">
        <v>4411</v>
      </c>
      <c r="C2826" t="s">
        <v>4016</v>
      </c>
      <c r="D2826">
        <v>80000</v>
      </c>
      <c r="E2826">
        <v>5000</v>
      </c>
      <c r="F2826">
        <v>80000</v>
      </c>
      <c r="G2826">
        <v>80000</v>
      </c>
      <c r="H2826">
        <v>1</v>
      </c>
      <c r="I2826" t="s">
        <v>432</v>
      </c>
      <c r="J2826">
        <v>20.100000000000001</v>
      </c>
      <c r="K2826">
        <v>23</v>
      </c>
      <c r="L2826">
        <v>3</v>
      </c>
      <c r="M2826" t="s">
        <v>4010</v>
      </c>
      <c r="N2826">
        <v>4</v>
      </c>
      <c r="O2826">
        <v>10</v>
      </c>
      <c r="P2826">
        <v>104537.14</v>
      </c>
      <c r="Q2826">
        <v>77692.34</v>
      </c>
      <c r="R2826">
        <v>315</v>
      </c>
      <c r="S2826">
        <v>1071</v>
      </c>
      <c r="T2826" t="s">
        <v>34</v>
      </c>
      <c r="U2826" t="s">
        <v>27</v>
      </c>
    </row>
    <row r="2827" spans="1:21">
      <c r="A2827" t="s">
        <v>4412</v>
      </c>
      <c r="B2827" t="s">
        <v>495</v>
      </c>
      <c r="C2827" t="s">
        <v>4016</v>
      </c>
      <c r="D2827">
        <v>65000</v>
      </c>
      <c r="E2827">
        <v>5000</v>
      </c>
      <c r="F2827">
        <v>65000</v>
      </c>
      <c r="H2827">
        <v>1</v>
      </c>
      <c r="I2827" t="s">
        <v>432</v>
      </c>
      <c r="J2827">
        <v>24.3</v>
      </c>
      <c r="K2827">
        <v>52</v>
      </c>
      <c r="L2827">
        <v>5</v>
      </c>
      <c r="M2827" t="s">
        <v>4010</v>
      </c>
      <c r="N2827">
        <v>3</v>
      </c>
      <c r="O2827">
        <v>9.67</v>
      </c>
      <c r="P2827">
        <v>104537.14</v>
      </c>
      <c r="Q2827">
        <v>77692.34</v>
      </c>
      <c r="R2827">
        <v>315</v>
      </c>
      <c r="S2827">
        <v>1071</v>
      </c>
      <c r="T2827" t="s">
        <v>34</v>
      </c>
      <c r="U2827" t="s">
        <v>57</v>
      </c>
    </row>
    <row r="2828" spans="1:21">
      <c r="A2828" t="s">
        <v>4413</v>
      </c>
      <c r="B2828" t="s">
        <v>4034</v>
      </c>
      <c r="C2828" t="s">
        <v>4016</v>
      </c>
      <c r="D2828">
        <v>115000</v>
      </c>
      <c r="E2828">
        <v>15000</v>
      </c>
      <c r="F2828">
        <v>115000</v>
      </c>
      <c r="G2828">
        <v>115000</v>
      </c>
      <c r="H2828">
        <v>4</v>
      </c>
      <c r="I2828" t="s">
        <v>432</v>
      </c>
      <c r="J2828">
        <v>25.47</v>
      </c>
      <c r="K2828">
        <v>3</v>
      </c>
      <c r="L2828">
        <v>10</v>
      </c>
      <c r="M2828" t="s">
        <v>4010</v>
      </c>
      <c r="N2828">
        <v>1</v>
      </c>
      <c r="O2828">
        <v>9.67</v>
      </c>
      <c r="P2828">
        <v>104537.14</v>
      </c>
      <c r="Q2828">
        <v>77692.34</v>
      </c>
      <c r="R2828">
        <v>315</v>
      </c>
      <c r="S2828">
        <v>1071</v>
      </c>
      <c r="T2828" t="s">
        <v>34</v>
      </c>
      <c r="U2828" t="s">
        <v>31</v>
      </c>
    </row>
    <row r="2829" spans="1:21">
      <c r="A2829" t="s">
        <v>4414</v>
      </c>
      <c r="B2829" t="s">
        <v>4034</v>
      </c>
      <c r="C2829" t="s">
        <v>4016</v>
      </c>
      <c r="D2829">
        <v>117000</v>
      </c>
      <c r="E2829">
        <v>15000</v>
      </c>
      <c r="F2829">
        <v>117000</v>
      </c>
      <c r="H2829">
        <v>5</v>
      </c>
      <c r="I2829" t="s">
        <v>432</v>
      </c>
      <c r="J2829">
        <v>25.47</v>
      </c>
      <c r="K2829">
        <v>3</v>
      </c>
      <c r="L2829">
        <v>10</v>
      </c>
      <c r="M2829" t="s">
        <v>4010</v>
      </c>
      <c r="N2829">
        <v>1</v>
      </c>
      <c r="O2829">
        <v>9.67</v>
      </c>
      <c r="P2829">
        <v>104537.14</v>
      </c>
      <c r="Q2829">
        <v>77692.34</v>
      </c>
      <c r="R2829">
        <v>315</v>
      </c>
      <c r="S2829">
        <v>1071</v>
      </c>
      <c r="T2829" t="s">
        <v>34</v>
      </c>
      <c r="U2829" t="s">
        <v>31</v>
      </c>
    </row>
    <row r="2830" spans="1:21">
      <c r="A2830" t="s">
        <v>4415</v>
      </c>
      <c r="B2830" t="s">
        <v>4034</v>
      </c>
      <c r="C2830" t="s">
        <v>4016</v>
      </c>
      <c r="D2830">
        <v>120000</v>
      </c>
      <c r="E2830">
        <v>15000</v>
      </c>
      <c r="F2830">
        <v>120000</v>
      </c>
      <c r="H2830">
        <v>6</v>
      </c>
      <c r="I2830" t="s">
        <v>432</v>
      </c>
      <c r="J2830">
        <v>25.47</v>
      </c>
      <c r="K2830">
        <v>3</v>
      </c>
      <c r="L2830">
        <v>10</v>
      </c>
      <c r="M2830" t="s">
        <v>4010</v>
      </c>
      <c r="N2830">
        <v>1</v>
      </c>
      <c r="O2830">
        <v>9.67</v>
      </c>
      <c r="P2830">
        <v>104537.14</v>
      </c>
      <c r="Q2830">
        <v>77692.34</v>
      </c>
      <c r="R2830">
        <v>315</v>
      </c>
      <c r="S2830">
        <v>1071</v>
      </c>
      <c r="T2830" t="s">
        <v>34</v>
      </c>
      <c r="U2830" t="s">
        <v>31</v>
      </c>
    </row>
    <row r="2831" spans="1:21">
      <c r="A2831" t="s">
        <v>4416</v>
      </c>
      <c r="B2831" t="s">
        <v>4163</v>
      </c>
      <c r="C2831" t="s">
        <v>2962</v>
      </c>
      <c r="D2831">
        <v>66000</v>
      </c>
      <c r="E2831">
        <v>4000</v>
      </c>
      <c r="H2831">
        <v>2</v>
      </c>
      <c r="I2831" t="s">
        <v>432</v>
      </c>
      <c r="J2831">
        <v>10.32</v>
      </c>
      <c r="K2831">
        <v>10</v>
      </c>
      <c r="L2831">
        <v>2</v>
      </c>
      <c r="M2831" t="s">
        <v>4010</v>
      </c>
      <c r="N2831">
        <v>4</v>
      </c>
      <c r="O2831">
        <v>11</v>
      </c>
      <c r="P2831">
        <v>104537.14</v>
      </c>
      <c r="Q2831">
        <v>77692.34</v>
      </c>
      <c r="R2831">
        <v>315</v>
      </c>
      <c r="S2831">
        <v>1071</v>
      </c>
      <c r="T2831" t="s">
        <v>108</v>
      </c>
      <c r="U2831" t="s">
        <v>31</v>
      </c>
    </row>
    <row r="2832" spans="1:21">
      <c r="A2832" t="s">
        <v>4417</v>
      </c>
      <c r="B2832" t="s">
        <v>4418</v>
      </c>
      <c r="C2832" t="s">
        <v>4027</v>
      </c>
      <c r="D2832">
        <v>65000</v>
      </c>
      <c r="E2832">
        <v>5000</v>
      </c>
      <c r="F2832">
        <v>65000</v>
      </c>
      <c r="G2832">
        <v>65000</v>
      </c>
      <c r="H2832">
        <v>1</v>
      </c>
      <c r="I2832" t="s">
        <v>432</v>
      </c>
      <c r="J2832">
        <v>13.89</v>
      </c>
      <c r="K2832">
        <v>13</v>
      </c>
      <c r="L2832">
        <v>2</v>
      </c>
      <c r="M2832" t="s">
        <v>4010</v>
      </c>
      <c r="N2832">
        <v>6</v>
      </c>
      <c r="O2832">
        <v>9</v>
      </c>
      <c r="P2832">
        <v>104537.14</v>
      </c>
      <c r="Q2832">
        <v>77692.34</v>
      </c>
      <c r="R2832">
        <v>315</v>
      </c>
      <c r="S2832">
        <v>1071</v>
      </c>
      <c r="T2832" t="s">
        <v>108</v>
      </c>
      <c r="U2832" t="s">
        <v>90</v>
      </c>
    </row>
    <row r="2833" spans="1:21">
      <c r="A2833" t="s">
        <v>4419</v>
      </c>
      <c r="B2833" t="s">
        <v>4418</v>
      </c>
      <c r="C2833" t="s">
        <v>4027</v>
      </c>
      <c r="D2833">
        <v>66000</v>
      </c>
      <c r="E2833">
        <v>5000</v>
      </c>
      <c r="F2833">
        <v>66000</v>
      </c>
      <c r="G2833">
        <v>66000</v>
      </c>
      <c r="H2833">
        <v>1</v>
      </c>
      <c r="I2833" t="s">
        <v>432</v>
      </c>
      <c r="J2833">
        <v>13.9</v>
      </c>
      <c r="K2833">
        <v>13</v>
      </c>
      <c r="L2833">
        <v>2</v>
      </c>
      <c r="M2833" t="s">
        <v>4010</v>
      </c>
      <c r="N2833">
        <v>6</v>
      </c>
      <c r="O2833">
        <v>9</v>
      </c>
      <c r="P2833">
        <v>104537.14</v>
      </c>
      <c r="Q2833">
        <v>77692.34</v>
      </c>
      <c r="R2833">
        <v>315</v>
      </c>
      <c r="S2833">
        <v>1071</v>
      </c>
      <c r="T2833" t="s">
        <v>108</v>
      </c>
      <c r="U2833" t="s">
        <v>90</v>
      </c>
    </row>
    <row r="2834" spans="1:21">
      <c r="A2834" t="s">
        <v>4420</v>
      </c>
      <c r="B2834" t="s">
        <v>4421</v>
      </c>
      <c r="C2834" t="s">
        <v>4016</v>
      </c>
      <c r="D2834">
        <v>58000</v>
      </c>
      <c r="E2834">
        <v>2000</v>
      </c>
      <c r="H2834">
        <v>1</v>
      </c>
      <c r="I2834" t="s">
        <v>432</v>
      </c>
      <c r="J2834">
        <v>17.59</v>
      </c>
      <c r="K2834">
        <v>27</v>
      </c>
      <c r="L2834">
        <v>2</v>
      </c>
      <c r="M2834" t="s">
        <v>4010</v>
      </c>
      <c r="N2834">
        <v>2</v>
      </c>
      <c r="O2834">
        <v>7.67</v>
      </c>
      <c r="P2834">
        <v>104537.14</v>
      </c>
      <c r="Q2834">
        <v>77692.34</v>
      </c>
      <c r="R2834">
        <v>315</v>
      </c>
      <c r="S2834">
        <v>1071</v>
      </c>
      <c r="T2834" t="s">
        <v>108</v>
      </c>
      <c r="U2834" t="s">
        <v>27</v>
      </c>
    </row>
    <row r="2835" spans="1:21">
      <c r="A2835" t="s">
        <v>4422</v>
      </c>
      <c r="B2835" t="s">
        <v>4423</v>
      </c>
      <c r="C2835" t="s">
        <v>2962</v>
      </c>
      <c r="D2835">
        <v>57000</v>
      </c>
      <c r="E2835">
        <v>3000</v>
      </c>
      <c r="F2835">
        <v>57000</v>
      </c>
      <c r="H2835">
        <v>1</v>
      </c>
      <c r="I2835" t="s">
        <v>432</v>
      </c>
      <c r="J2835">
        <v>17.95</v>
      </c>
      <c r="K2835">
        <v>36</v>
      </c>
      <c r="L2835">
        <v>2</v>
      </c>
      <c r="M2835" t="s">
        <v>4010</v>
      </c>
      <c r="N2835">
        <v>3</v>
      </c>
      <c r="O2835">
        <v>9.67</v>
      </c>
      <c r="P2835">
        <v>104537.14</v>
      </c>
      <c r="Q2835">
        <v>77692.34</v>
      </c>
      <c r="R2835">
        <v>315</v>
      </c>
      <c r="S2835">
        <v>1071</v>
      </c>
      <c r="T2835" t="s">
        <v>108</v>
      </c>
      <c r="U2835" t="s">
        <v>49</v>
      </c>
    </row>
    <row r="2836" spans="1:21">
      <c r="A2836" t="s">
        <v>4424</v>
      </c>
      <c r="B2836" t="s">
        <v>4180</v>
      </c>
      <c r="C2836" t="s">
        <v>4009</v>
      </c>
      <c r="D2836">
        <v>50000</v>
      </c>
      <c r="E2836">
        <v>2000</v>
      </c>
      <c r="H2836">
        <v>1</v>
      </c>
      <c r="I2836" t="s">
        <v>432</v>
      </c>
      <c r="J2836">
        <v>10</v>
      </c>
      <c r="K2836">
        <v>39</v>
      </c>
      <c r="L2836">
        <v>2</v>
      </c>
      <c r="M2836" t="s">
        <v>4010</v>
      </c>
      <c r="N2836">
        <v>4</v>
      </c>
      <c r="O2836">
        <v>10</v>
      </c>
      <c r="P2836">
        <v>104537.14</v>
      </c>
      <c r="Q2836">
        <v>77692.34</v>
      </c>
      <c r="R2836">
        <v>315</v>
      </c>
      <c r="S2836">
        <v>1071</v>
      </c>
      <c r="T2836" t="s">
        <v>108</v>
      </c>
      <c r="U2836" t="s">
        <v>49</v>
      </c>
    </row>
    <row r="2837" spans="1:21">
      <c r="A2837" t="s">
        <v>4425</v>
      </c>
      <c r="B2837" t="s">
        <v>4426</v>
      </c>
      <c r="C2837" t="s">
        <v>4016</v>
      </c>
      <c r="D2837">
        <v>55000</v>
      </c>
      <c r="F2837">
        <v>55000</v>
      </c>
      <c r="G2837">
        <v>55000</v>
      </c>
      <c r="H2837">
        <v>2</v>
      </c>
      <c r="I2837" t="s">
        <v>432</v>
      </c>
      <c r="J2837">
        <v>18.7</v>
      </c>
      <c r="K2837">
        <v>55</v>
      </c>
      <c r="L2837">
        <v>2</v>
      </c>
      <c r="M2837" t="s">
        <v>4010</v>
      </c>
      <c r="N2837">
        <v>3</v>
      </c>
      <c r="O2837">
        <v>10</v>
      </c>
      <c r="P2837">
        <v>104537.14</v>
      </c>
      <c r="Q2837">
        <v>77692.34</v>
      </c>
      <c r="R2837">
        <v>315</v>
      </c>
      <c r="S2837">
        <v>1071</v>
      </c>
      <c r="T2837" t="s">
        <v>108</v>
      </c>
      <c r="U2837" t="s">
        <v>57</v>
      </c>
    </row>
    <row r="2838" spans="1:21">
      <c r="A2838" t="s">
        <v>4427</v>
      </c>
      <c r="B2838" t="s">
        <v>4428</v>
      </c>
      <c r="C2838" t="s">
        <v>2962</v>
      </c>
      <c r="D2838">
        <v>57000</v>
      </c>
      <c r="E2838">
        <v>3000</v>
      </c>
      <c r="H2838">
        <v>2</v>
      </c>
      <c r="I2838" t="s">
        <v>432</v>
      </c>
      <c r="J2838">
        <v>10.99</v>
      </c>
      <c r="K2838">
        <v>7</v>
      </c>
      <c r="L2838">
        <v>2</v>
      </c>
      <c r="M2838" t="s">
        <v>4010</v>
      </c>
      <c r="N2838">
        <v>3</v>
      </c>
      <c r="O2838">
        <v>9.67</v>
      </c>
      <c r="P2838">
        <v>104537.14</v>
      </c>
      <c r="Q2838">
        <v>77692.34</v>
      </c>
      <c r="R2838">
        <v>315</v>
      </c>
      <c r="S2838">
        <v>1071</v>
      </c>
      <c r="T2838" t="s">
        <v>108</v>
      </c>
      <c r="U2838" t="s">
        <v>31</v>
      </c>
    </row>
    <row r="2839" spans="1:21">
      <c r="A2839" t="s">
        <v>4429</v>
      </c>
      <c r="B2839" t="s">
        <v>4430</v>
      </c>
      <c r="C2839" t="s">
        <v>2962</v>
      </c>
      <c r="D2839">
        <v>65000</v>
      </c>
      <c r="E2839">
        <v>4000</v>
      </c>
      <c r="G2839">
        <v>65000</v>
      </c>
      <c r="H2839">
        <v>1</v>
      </c>
      <c r="I2839" t="s">
        <v>432</v>
      </c>
      <c r="J2839">
        <v>10.32</v>
      </c>
      <c r="K2839">
        <v>8</v>
      </c>
      <c r="L2839">
        <v>2</v>
      </c>
      <c r="M2839" t="s">
        <v>4010</v>
      </c>
      <c r="N2839">
        <v>4</v>
      </c>
      <c r="O2839">
        <v>10.67</v>
      </c>
      <c r="P2839">
        <v>104537.14</v>
      </c>
      <c r="Q2839">
        <v>77692.34</v>
      </c>
      <c r="R2839">
        <v>315</v>
      </c>
      <c r="S2839">
        <v>1071</v>
      </c>
      <c r="T2839" t="s">
        <v>108</v>
      </c>
      <c r="U2839" t="s">
        <v>31</v>
      </c>
    </row>
    <row r="2840" spans="1:21">
      <c r="A2840" t="s">
        <v>4431</v>
      </c>
      <c r="B2840" t="s">
        <v>4430</v>
      </c>
      <c r="C2840" t="s">
        <v>2962</v>
      </c>
      <c r="D2840">
        <v>60000</v>
      </c>
      <c r="E2840">
        <v>4000</v>
      </c>
      <c r="G2840">
        <v>60000</v>
      </c>
      <c r="H2840">
        <v>2</v>
      </c>
      <c r="I2840" t="s">
        <v>432</v>
      </c>
      <c r="J2840">
        <v>10.32</v>
      </c>
      <c r="K2840">
        <v>8</v>
      </c>
      <c r="L2840">
        <v>2</v>
      </c>
      <c r="M2840" t="s">
        <v>4010</v>
      </c>
      <c r="N2840">
        <v>4</v>
      </c>
      <c r="O2840">
        <v>10.67</v>
      </c>
      <c r="P2840">
        <v>104537.14</v>
      </c>
      <c r="Q2840">
        <v>77692.34</v>
      </c>
      <c r="R2840">
        <v>315</v>
      </c>
      <c r="S2840">
        <v>1071</v>
      </c>
      <c r="T2840" t="s">
        <v>108</v>
      </c>
      <c r="U2840" t="s">
        <v>31</v>
      </c>
    </row>
    <row r="2841" spans="1:21">
      <c r="A2841" t="s">
        <v>4432</v>
      </c>
      <c r="B2841" t="s">
        <v>4430</v>
      </c>
      <c r="C2841" t="s">
        <v>2962</v>
      </c>
      <c r="D2841">
        <v>68000</v>
      </c>
      <c r="E2841">
        <v>4000</v>
      </c>
      <c r="G2841">
        <v>68000</v>
      </c>
      <c r="H2841">
        <v>2</v>
      </c>
      <c r="I2841" t="s">
        <v>432</v>
      </c>
      <c r="J2841">
        <v>10.91</v>
      </c>
      <c r="K2841">
        <v>8</v>
      </c>
      <c r="L2841">
        <v>2</v>
      </c>
      <c r="M2841" t="s">
        <v>4010</v>
      </c>
      <c r="N2841">
        <v>3</v>
      </c>
      <c r="O2841">
        <v>10</v>
      </c>
      <c r="P2841">
        <v>104537.14</v>
      </c>
      <c r="Q2841">
        <v>77692.34</v>
      </c>
      <c r="R2841">
        <v>315</v>
      </c>
      <c r="S2841">
        <v>1071</v>
      </c>
      <c r="T2841" t="s">
        <v>108</v>
      </c>
      <c r="U2841" t="s">
        <v>31</v>
      </c>
    </row>
    <row r="2842" spans="1:21">
      <c r="A2842" t="s">
        <v>4433</v>
      </c>
      <c r="B2842" t="s">
        <v>4430</v>
      </c>
      <c r="C2842" t="s">
        <v>2962</v>
      </c>
      <c r="D2842">
        <v>71000</v>
      </c>
      <c r="E2842">
        <v>4000</v>
      </c>
      <c r="G2842">
        <v>71000</v>
      </c>
      <c r="H2842">
        <v>2</v>
      </c>
      <c r="I2842" t="s">
        <v>432</v>
      </c>
      <c r="J2842">
        <v>11.22</v>
      </c>
      <c r="K2842">
        <v>8</v>
      </c>
      <c r="L2842">
        <v>2</v>
      </c>
      <c r="M2842" t="s">
        <v>4010</v>
      </c>
      <c r="N2842">
        <v>3</v>
      </c>
      <c r="O2842">
        <v>10</v>
      </c>
      <c r="P2842">
        <v>104537.14</v>
      </c>
      <c r="Q2842">
        <v>77692.34</v>
      </c>
      <c r="R2842">
        <v>315</v>
      </c>
      <c r="S2842">
        <v>1071</v>
      </c>
      <c r="T2842" t="s">
        <v>108</v>
      </c>
      <c r="U2842" t="s">
        <v>31</v>
      </c>
    </row>
    <row r="2843" spans="1:21">
      <c r="A2843" t="s">
        <v>4434</v>
      </c>
      <c r="B2843" t="s">
        <v>4430</v>
      </c>
      <c r="C2843" t="s">
        <v>2962</v>
      </c>
      <c r="D2843">
        <v>67000</v>
      </c>
      <c r="E2843">
        <v>4000</v>
      </c>
      <c r="H2843">
        <v>2</v>
      </c>
      <c r="I2843" t="s">
        <v>432</v>
      </c>
      <c r="J2843">
        <v>11.39</v>
      </c>
      <c r="K2843">
        <v>8</v>
      </c>
      <c r="L2843">
        <v>2</v>
      </c>
      <c r="M2843" t="s">
        <v>4010</v>
      </c>
      <c r="N2843">
        <v>4</v>
      </c>
      <c r="O2843">
        <v>10.67</v>
      </c>
      <c r="P2843">
        <v>104537.14</v>
      </c>
      <c r="Q2843">
        <v>77692.34</v>
      </c>
      <c r="R2843">
        <v>315</v>
      </c>
      <c r="S2843">
        <v>1071</v>
      </c>
      <c r="T2843" t="s">
        <v>108</v>
      </c>
      <c r="U2843" t="s">
        <v>31</v>
      </c>
    </row>
    <row r="2844" spans="1:21">
      <c r="A2844" t="s">
        <v>4435</v>
      </c>
      <c r="B2844" t="s">
        <v>4436</v>
      </c>
      <c r="C2844" t="s">
        <v>4019</v>
      </c>
      <c r="D2844">
        <v>67000</v>
      </c>
      <c r="E2844">
        <v>3000</v>
      </c>
      <c r="H2844">
        <v>1</v>
      </c>
      <c r="I2844" t="s">
        <v>432</v>
      </c>
      <c r="J2844">
        <v>15.75</v>
      </c>
      <c r="K2844">
        <v>24</v>
      </c>
      <c r="L2844">
        <v>3</v>
      </c>
      <c r="M2844" t="s">
        <v>4010</v>
      </c>
      <c r="N2844">
        <v>3</v>
      </c>
      <c r="O2844">
        <v>8.67</v>
      </c>
      <c r="P2844">
        <v>104537.14</v>
      </c>
      <c r="Q2844">
        <v>77692.34</v>
      </c>
      <c r="R2844">
        <v>315</v>
      </c>
      <c r="S2844">
        <v>1071</v>
      </c>
      <c r="T2844" t="s">
        <v>108</v>
      </c>
      <c r="U2844" t="s">
        <v>27</v>
      </c>
    </row>
    <row r="2845" spans="1:21">
      <c r="A2845" t="s">
        <v>4437</v>
      </c>
      <c r="B2845" t="s">
        <v>4438</v>
      </c>
      <c r="C2845" t="s">
        <v>4019</v>
      </c>
      <c r="D2845">
        <v>55000</v>
      </c>
      <c r="E2845">
        <v>6000</v>
      </c>
      <c r="H2845">
        <v>3</v>
      </c>
      <c r="I2845" t="s">
        <v>432</v>
      </c>
      <c r="J2845">
        <v>17.39</v>
      </c>
      <c r="K2845">
        <v>25</v>
      </c>
      <c r="L2845">
        <v>3</v>
      </c>
      <c r="M2845" t="s">
        <v>4010</v>
      </c>
      <c r="N2845">
        <v>3</v>
      </c>
      <c r="O2845">
        <v>8</v>
      </c>
      <c r="P2845">
        <v>104537.14</v>
      </c>
      <c r="Q2845">
        <v>77692.34</v>
      </c>
      <c r="R2845">
        <v>315</v>
      </c>
      <c r="S2845">
        <v>1071</v>
      </c>
      <c r="T2845" t="s">
        <v>108</v>
      </c>
      <c r="U2845" t="s">
        <v>27</v>
      </c>
    </row>
    <row r="2846" spans="1:21">
      <c r="A2846" t="s">
        <v>4439</v>
      </c>
      <c r="B2846" t="s">
        <v>4440</v>
      </c>
      <c r="C2846" t="s">
        <v>2962</v>
      </c>
      <c r="D2846">
        <v>98000</v>
      </c>
      <c r="E2846">
        <v>9000</v>
      </c>
      <c r="F2846">
        <v>98000</v>
      </c>
      <c r="G2846">
        <v>98000</v>
      </c>
      <c r="H2846">
        <v>2</v>
      </c>
      <c r="I2846" t="s">
        <v>432</v>
      </c>
      <c r="J2846">
        <v>24.94</v>
      </c>
      <c r="K2846">
        <v>2</v>
      </c>
      <c r="L2846">
        <v>3</v>
      </c>
      <c r="M2846" t="s">
        <v>4010</v>
      </c>
      <c r="N2846">
        <v>5</v>
      </c>
      <c r="O2846">
        <v>10</v>
      </c>
      <c r="P2846">
        <v>104537.14</v>
      </c>
      <c r="Q2846">
        <v>77692.34</v>
      </c>
      <c r="R2846">
        <v>315</v>
      </c>
      <c r="S2846">
        <v>1071</v>
      </c>
      <c r="T2846" t="s">
        <v>34</v>
      </c>
      <c r="U2846" t="s">
        <v>31</v>
      </c>
    </row>
    <row r="2847" spans="1:21">
      <c r="A2847" t="s">
        <v>4441</v>
      </c>
      <c r="B2847" t="s">
        <v>4442</v>
      </c>
      <c r="C2847" t="s">
        <v>4019</v>
      </c>
      <c r="D2847">
        <v>53000</v>
      </c>
      <c r="E2847">
        <v>2000</v>
      </c>
      <c r="F2847">
        <v>53000</v>
      </c>
      <c r="H2847">
        <v>2</v>
      </c>
      <c r="I2847" t="s">
        <v>432</v>
      </c>
      <c r="J2847">
        <v>14.86</v>
      </c>
      <c r="K2847">
        <v>42</v>
      </c>
      <c r="L2847">
        <v>3</v>
      </c>
      <c r="M2847" t="s">
        <v>4010</v>
      </c>
      <c r="N2847">
        <v>6</v>
      </c>
      <c r="O2847">
        <v>11.33</v>
      </c>
      <c r="P2847">
        <v>104537.14</v>
      </c>
      <c r="Q2847">
        <v>77692.34</v>
      </c>
      <c r="R2847">
        <v>315</v>
      </c>
      <c r="S2847">
        <v>1071</v>
      </c>
      <c r="T2847" t="s">
        <v>108</v>
      </c>
      <c r="U2847" t="s">
        <v>42</v>
      </c>
    </row>
    <row r="2848" spans="1:21">
      <c r="A2848" t="s">
        <v>4443</v>
      </c>
      <c r="B2848" t="s">
        <v>4444</v>
      </c>
      <c r="C2848" t="s">
        <v>4019</v>
      </c>
      <c r="D2848">
        <v>75000</v>
      </c>
      <c r="E2848">
        <v>4000</v>
      </c>
      <c r="G2848">
        <v>75000</v>
      </c>
      <c r="H2848">
        <v>3</v>
      </c>
      <c r="I2848" t="s">
        <v>432</v>
      </c>
      <c r="J2848">
        <v>16.7</v>
      </c>
      <c r="K2848">
        <v>5</v>
      </c>
      <c r="L2848">
        <v>3</v>
      </c>
      <c r="M2848" t="s">
        <v>4010</v>
      </c>
      <c r="N2848">
        <v>6</v>
      </c>
      <c r="O2848">
        <v>11.33</v>
      </c>
      <c r="P2848">
        <v>104537.14</v>
      </c>
      <c r="Q2848">
        <v>77692.34</v>
      </c>
      <c r="R2848">
        <v>315</v>
      </c>
      <c r="S2848">
        <v>1071</v>
      </c>
      <c r="T2848" t="s">
        <v>108</v>
      </c>
      <c r="U2848" t="s">
        <v>31</v>
      </c>
    </row>
    <row r="2849" spans="1:21">
      <c r="A2849" t="s">
        <v>4445</v>
      </c>
      <c r="B2849" t="s">
        <v>4446</v>
      </c>
      <c r="C2849" t="s">
        <v>4016</v>
      </c>
      <c r="D2849">
        <v>94000</v>
      </c>
      <c r="E2849">
        <v>3000</v>
      </c>
      <c r="F2849">
        <v>94000</v>
      </c>
      <c r="G2849">
        <v>94000</v>
      </c>
      <c r="H2849">
        <v>3</v>
      </c>
      <c r="I2849" t="s">
        <v>432</v>
      </c>
      <c r="J2849">
        <v>30.14</v>
      </c>
      <c r="K2849">
        <v>20</v>
      </c>
      <c r="L2849">
        <v>4</v>
      </c>
      <c r="M2849" t="s">
        <v>4010</v>
      </c>
      <c r="N2849">
        <v>3</v>
      </c>
      <c r="O2849">
        <v>8.67</v>
      </c>
      <c r="P2849">
        <v>104537.14</v>
      </c>
      <c r="Q2849">
        <v>77692.34</v>
      </c>
      <c r="R2849">
        <v>315</v>
      </c>
      <c r="S2849">
        <v>1071</v>
      </c>
      <c r="T2849" t="s">
        <v>26</v>
      </c>
      <c r="U2849" t="s">
        <v>90</v>
      </c>
    </row>
    <row r="2850" spans="1:21">
      <c r="A2850" t="s">
        <v>4447</v>
      </c>
      <c r="B2850" t="s">
        <v>4036</v>
      </c>
      <c r="C2850" t="s">
        <v>2962</v>
      </c>
      <c r="D2850">
        <v>105000</v>
      </c>
      <c r="E2850">
        <v>5000</v>
      </c>
      <c r="F2850">
        <v>105000</v>
      </c>
      <c r="G2850">
        <v>105000</v>
      </c>
      <c r="H2850">
        <v>2</v>
      </c>
      <c r="I2850" t="s">
        <v>432</v>
      </c>
      <c r="J2850">
        <v>25.2</v>
      </c>
      <c r="K2850">
        <v>2</v>
      </c>
      <c r="L2850">
        <v>4</v>
      </c>
      <c r="M2850" t="s">
        <v>4010</v>
      </c>
      <c r="N2850">
        <v>2</v>
      </c>
      <c r="O2850">
        <v>10.33</v>
      </c>
      <c r="P2850">
        <v>104537.14</v>
      </c>
      <c r="Q2850">
        <v>77692.34</v>
      </c>
      <c r="R2850">
        <v>315</v>
      </c>
      <c r="S2850">
        <v>1071</v>
      </c>
      <c r="T2850" t="s">
        <v>34</v>
      </c>
      <c r="U2850" t="s">
        <v>31</v>
      </c>
    </row>
    <row r="2851" spans="1:21">
      <c r="A2851" t="s">
        <v>4448</v>
      </c>
      <c r="B2851" t="s">
        <v>4449</v>
      </c>
      <c r="C2851" t="s">
        <v>2962</v>
      </c>
      <c r="D2851">
        <v>59000</v>
      </c>
      <c r="E2851">
        <v>3000</v>
      </c>
      <c r="H2851">
        <v>3</v>
      </c>
      <c r="I2851" t="s">
        <v>432</v>
      </c>
      <c r="J2851">
        <v>14.99</v>
      </c>
      <c r="K2851">
        <v>40</v>
      </c>
      <c r="L2851">
        <v>4</v>
      </c>
      <c r="M2851" t="s">
        <v>4010</v>
      </c>
      <c r="N2851">
        <v>5</v>
      </c>
      <c r="O2851">
        <v>11.67</v>
      </c>
      <c r="P2851">
        <v>104537.14</v>
      </c>
      <c r="Q2851">
        <v>77692.34</v>
      </c>
      <c r="R2851">
        <v>315</v>
      </c>
      <c r="S2851">
        <v>1071</v>
      </c>
      <c r="T2851" t="s">
        <v>108</v>
      </c>
      <c r="U2851" t="s">
        <v>49</v>
      </c>
    </row>
    <row r="2852" spans="1:21">
      <c r="A2852" t="s">
        <v>4450</v>
      </c>
      <c r="B2852" t="s">
        <v>4451</v>
      </c>
      <c r="C2852" t="s">
        <v>4009</v>
      </c>
      <c r="D2852">
        <v>87000</v>
      </c>
      <c r="E2852">
        <v>5000</v>
      </c>
      <c r="G2852">
        <v>87000</v>
      </c>
      <c r="H2852">
        <v>4</v>
      </c>
      <c r="I2852" t="s">
        <v>432</v>
      </c>
      <c r="J2852">
        <v>18.13</v>
      </c>
      <c r="K2852">
        <v>4</v>
      </c>
      <c r="L2852">
        <v>5</v>
      </c>
      <c r="M2852" t="s">
        <v>4010</v>
      </c>
      <c r="N2852">
        <v>2</v>
      </c>
      <c r="O2852">
        <v>8.67</v>
      </c>
      <c r="P2852">
        <v>104537.14</v>
      </c>
      <c r="Q2852">
        <v>77692.34</v>
      </c>
      <c r="R2852">
        <v>315</v>
      </c>
      <c r="S2852">
        <v>1071</v>
      </c>
      <c r="T2852" t="s">
        <v>108</v>
      </c>
      <c r="U2852" t="s">
        <v>31</v>
      </c>
    </row>
    <row r="2853" spans="1:21">
      <c r="A2853" t="s">
        <v>4452</v>
      </c>
      <c r="B2853" t="s">
        <v>4453</v>
      </c>
      <c r="C2853" t="s">
        <v>4016</v>
      </c>
      <c r="D2853">
        <v>65000</v>
      </c>
      <c r="E2853">
        <v>5000</v>
      </c>
      <c r="F2853">
        <v>65000</v>
      </c>
      <c r="H2853">
        <v>1</v>
      </c>
      <c r="I2853" t="s">
        <v>432</v>
      </c>
      <c r="J2853">
        <v>24.3</v>
      </c>
      <c r="K2853">
        <v>52</v>
      </c>
      <c r="L2853">
        <v>5</v>
      </c>
      <c r="M2853" t="s">
        <v>4010</v>
      </c>
      <c r="N2853">
        <v>3</v>
      </c>
      <c r="O2853">
        <v>4</v>
      </c>
      <c r="P2853">
        <v>104537.14</v>
      </c>
      <c r="Q2853">
        <v>77692.34</v>
      </c>
      <c r="R2853">
        <v>315</v>
      </c>
      <c r="S2853">
        <v>1071</v>
      </c>
      <c r="T2853" t="s">
        <v>34</v>
      </c>
      <c r="U2853" t="s">
        <v>57</v>
      </c>
    </row>
    <row r="2854" spans="1:21">
      <c r="A2854" t="s">
        <v>4454</v>
      </c>
      <c r="B2854" t="s">
        <v>4455</v>
      </c>
      <c r="C2854" t="s">
        <v>4016</v>
      </c>
      <c r="D2854">
        <v>70000</v>
      </c>
      <c r="E2854">
        <v>5000</v>
      </c>
      <c r="F2854">
        <v>70000</v>
      </c>
      <c r="G2854">
        <v>70000</v>
      </c>
      <c r="H2854">
        <v>4</v>
      </c>
      <c r="I2854" t="s">
        <v>432</v>
      </c>
      <c r="J2854">
        <v>22.94</v>
      </c>
      <c r="K2854">
        <v>36</v>
      </c>
      <c r="L2854">
        <v>6</v>
      </c>
      <c r="M2854" t="s">
        <v>4010</v>
      </c>
      <c r="N2854">
        <v>2</v>
      </c>
      <c r="O2854">
        <v>11.33</v>
      </c>
      <c r="P2854">
        <v>104537.14</v>
      </c>
      <c r="Q2854">
        <v>77692.34</v>
      </c>
      <c r="R2854">
        <v>315</v>
      </c>
      <c r="S2854">
        <v>1071</v>
      </c>
      <c r="T2854" t="s">
        <v>34</v>
      </c>
      <c r="U2854" t="s">
        <v>49</v>
      </c>
    </row>
    <row r="2855" spans="1:21">
      <c r="A2855" t="s">
        <v>4456</v>
      </c>
      <c r="B2855" t="s">
        <v>4457</v>
      </c>
      <c r="C2855" t="s">
        <v>2962</v>
      </c>
      <c r="D2855">
        <v>47000</v>
      </c>
      <c r="E2855">
        <v>10000</v>
      </c>
      <c r="F2855">
        <v>47000</v>
      </c>
      <c r="G2855">
        <v>47000</v>
      </c>
      <c r="H2855">
        <v>4</v>
      </c>
      <c r="I2855" t="s">
        <v>432</v>
      </c>
      <c r="J2855">
        <v>14.24</v>
      </c>
      <c r="K2855">
        <v>37</v>
      </c>
      <c r="L2855">
        <v>6</v>
      </c>
      <c r="M2855" t="s">
        <v>4010</v>
      </c>
      <c r="N2855">
        <v>7</v>
      </c>
      <c r="O2855">
        <v>9.33</v>
      </c>
      <c r="P2855">
        <v>104537.14</v>
      </c>
      <c r="Q2855">
        <v>77692.34</v>
      </c>
      <c r="R2855">
        <v>315</v>
      </c>
      <c r="S2855">
        <v>1071</v>
      </c>
      <c r="T2855" t="s">
        <v>108</v>
      </c>
      <c r="U2855" t="s">
        <v>49</v>
      </c>
    </row>
    <row r="2856" spans="1:21">
      <c r="A2856" t="s">
        <v>4458</v>
      </c>
      <c r="B2856" t="s">
        <v>4459</v>
      </c>
      <c r="C2856" t="s">
        <v>4009</v>
      </c>
      <c r="D2856">
        <v>50000</v>
      </c>
      <c r="E2856">
        <v>2000</v>
      </c>
      <c r="H2856">
        <v>1</v>
      </c>
      <c r="I2856" t="s">
        <v>432</v>
      </c>
      <c r="J2856">
        <v>10</v>
      </c>
      <c r="K2856">
        <v>39</v>
      </c>
      <c r="L2856">
        <v>2</v>
      </c>
      <c r="M2856" t="s">
        <v>4010</v>
      </c>
      <c r="N2856">
        <v>4</v>
      </c>
      <c r="O2856">
        <v>10</v>
      </c>
      <c r="P2856">
        <v>104537.14</v>
      </c>
      <c r="Q2856">
        <v>77692.34</v>
      </c>
      <c r="R2856">
        <v>315</v>
      </c>
      <c r="S2856">
        <v>1071</v>
      </c>
      <c r="T2856" t="s">
        <v>108</v>
      </c>
      <c r="U2856" t="s">
        <v>49</v>
      </c>
    </row>
    <row r="2857" spans="1:21">
      <c r="A2857" t="s">
        <v>4460</v>
      </c>
      <c r="B2857" t="s">
        <v>4459</v>
      </c>
      <c r="C2857" t="s">
        <v>4009</v>
      </c>
      <c r="D2857">
        <v>50000</v>
      </c>
      <c r="E2857">
        <v>2000</v>
      </c>
      <c r="H2857">
        <v>1</v>
      </c>
      <c r="I2857" t="s">
        <v>432</v>
      </c>
      <c r="J2857">
        <v>12</v>
      </c>
      <c r="K2857">
        <v>39</v>
      </c>
      <c r="L2857">
        <v>2</v>
      </c>
      <c r="M2857" t="s">
        <v>4010</v>
      </c>
      <c r="N2857">
        <v>4</v>
      </c>
      <c r="O2857">
        <v>10</v>
      </c>
      <c r="P2857">
        <v>104537.14</v>
      </c>
      <c r="Q2857">
        <v>77692.34</v>
      </c>
      <c r="R2857">
        <v>315</v>
      </c>
      <c r="S2857">
        <v>1071</v>
      </c>
      <c r="T2857" t="s">
        <v>108</v>
      </c>
      <c r="U2857" t="s">
        <v>49</v>
      </c>
    </row>
    <row r="2858" spans="1:21">
      <c r="A2858" t="s">
        <v>4461</v>
      </c>
      <c r="B2858" t="s">
        <v>4243</v>
      </c>
      <c r="C2858" t="s">
        <v>4019</v>
      </c>
      <c r="D2858">
        <v>94000</v>
      </c>
      <c r="E2858">
        <v>5000</v>
      </c>
      <c r="G2858">
        <v>94000</v>
      </c>
      <c r="H2858">
        <v>1</v>
      </c>
      <c r="I2858" t="s">
        <v>1161</v>
      </c>
      <c r="J2858">
        <v>23.98</v>
      </c>
      <c r="K2858">
        <v>0</v>
      </c>
      <c r="L2858">
        <v>3</v>
      </c>
      <c r="M2858" t="s">
        <v>4010</v>
      </c>
      <c r="N2858">
        <v>2</v>
      </c>
      <c r="O2858">
        <v>10.67</v>
      </c>
      <c r="P2858">
        <v>104537.14</v>
      </c>
      <c r="Q2858">
        <v>92000</v>
      </c>
      <c r="R2858">
        <v>315</v>
      </c>
      <c r="S2858">
        <v>9</v>
      </c>
      <c r="T2858" t="s">
        <v>34</v>
      </c>
      <c r="U2858" t="s">
        <v>81</v>
      </c>
    </row>
    <row r="2859" spans="1:21">
      <c r="A2859" t="s">
        <v>4462</v>
      </c>
      <c r="B2859" t="s">
        <v>4243</v>
      </c>
      <c r="C2859" t="s">
        <v>4019</v>
      </c>
      <c r="D2859">
        <v>92000</v>
      </c>
      <c r="E2859">
        <v>5000</v>
      </c>
      <c r="G2859">
        <v>92000</v>
      </c>
      <c r="H2859">
        <v>1</v>
      </c>
      <c r="I2859" t="s">
        <v>1161</v>
      </c>
      <c r="J2859">
        <v>24.32</v>
      </c>
      <c r="K2859">
        <v>0</v>
      </c>
      <c r="L2859">
        <v>3</v>
      </c>
      <c r="M2859" t="s">
        <v>4010</v>
      </c>
      <c r="N2859">
        <v>2</v>
      </c>
      <c r="O2859">
        <v>10.67</v>
      </c>
      <c r="P2859">
        <v>104537.14</v>
      </c>
      <c r="Q2859">
        <v>92000</v>
      </c>
      <c r="R2859">
        <v>315</v>
      </c>
      <c r="S2859">
        <v>9</v>
      </c>
      <c r="T2859" t="s">
        <v>34</v>
      </c>
      <c r="U2859" t="s">
        <v>81</v>
      </c>
    </row>
    <row r="2860" spans="1:21">
      <c r="A2860" t="s">
        <v>4463</v>
      </c>
      <c r="B2860" t="s">
        <v>4243</v>
      </c>
      <c r="C2860" t="s">
        <v>4019</v>
      </c>
      <c r="D2860">
        <v>95000</v>
      </c>
      <c r="E2860">
        <v>5000</v>
      </c>
      <c r="G2860">
        <v>95000</v>
      </c>
      <c r="H2860">
        <v>1</v>
      </c>
      <c r="I2860" t="s">
        <v>1161</v>
      </c>
      <c r="J2860">
        <v>24.97</v>
      </c>
      <c r="K2860">
        <v>0</v>
      </c>
      <c r="L2860">
        <v>3</v>
      </c>
      <c r="M2860" t="s">
        <v>4010</v>
      </c>
      <c r="N2860">
        <v>2</v>
      </c>
      <c r="O2860">
        <v>10.67</v>
      </c>
      <c r="P2860">
        <v>104537.14</v>
      </c>
      <c r="Q2860">
        <v>92000</v>
      </c>
      <c r="R2860">
        <v>315</v>
      </c>
      <c r="S2860">
        <v>9</v>
      </c>
      <c r="T2860" t="s">
        <v>34</v>
      </c>
      <c r="U2860" t="s">
        <v>81</v>
      </c>
    </row>
    <row r="2861" spans="1:21">
      <c r="A2861" t="s">
        <v>4464</v>
      </c>
      <c r="B2861" t="s">
        <v>4243</v>
      </c>
      <c r="C2861" t="s">
        <v>4019</v>
      </c>
      <c r="D2861">
        <v>100000</v>
      </c>
      <c r="E2861">
        <v>5000</v>
      </c>
      <c r="G2861">
        <v>100000</v>
      </c>
      <c r="H2861">
        <v>2</v>
      </c>
      <c r="I2861" t="s">
        <v>1161</v>
      </c>
      <c r="J2861">
        <v>24.97</v>
      </c>
      <c r="K2861">
        <v>0</v>
      </c>
      <c r="L2861">
        <v>3</v>
      </c>
      <c r="M2861" t="s">
        <v>4010</v>
      </c>
      <c r="N2861">
        <v>2</v>
      </c>
      <c r="O2861">
        <v>10.67</v>
      </c>
      <c r="P2861">
        <v>104537.14</v>
      </c>
      <c r="Q2861">
        <v>92000</v>
      </c>
      <c r="R2861">
        <v>315</v>
      </c>
      <c r="S2861">
        <v>9</v>
      </c>
      <c r="T2861" t="s">
        <v>34</v>
      </c>
      <c r="U2861" t="s">
        <v>81</v>
      </c>
    </row>
    <row r="2862" spans="1:21">
      <c r="A2862" t="s">
        <v>4465</v>
      </c>
      <c r="B2862" t="s">
        <v>4243</v>
      </c>
      <c r="C2862" t="s">
        <v>4019</v>
      </c>
      <c r="D2862">
        <v>101000</v>
      </c>
      <c r="E2862">
        <v>5000</v>
      </c>
      <c r="G2862">
        <v>101000</v>
      </c>
      <c r="H2862">
        <v>3</v>
      </c>
      <c r="I2862" t="s">
        <v>1161</v>
      </c>
      <c r="J2862">
        <v>24.97</v>
      </c>
      <c r="K2862">
        <v>0</v>
      </c>
      <c r="L2862">
        <v>3</v>
      </c>
      <c r="M2862" t="s">
        <v>4010</v>
      </c>
      <c r="N2862">
        <v>2</v>
      </c>
      <c r="O2862">
        <v>10.67</v>
      </c>
      <c r="P2862">
        <v>104537.14</v>
      </c>
      <c r="Q2862">
        <v>92000</v>
      </c>
      <c r="R2862">
        <v>315</v>
      </c>
      <c r="S2862">
        <v>9</v>
      </c>
      <c r="T2862" t="s">
        <v>34</v>
      </c>
      <c r="U2862" t="s">
        <v>81</v>
      </c>
    </row>
    <row r="2863" spans="1:21">
      <c r="A2863" t="s">
        <v>4466</v>
      </c>
      <c r="B2863" t="s">
        <v>4015</v>
      </c>
      <c r="C2863" t="s">
        <v>4016</v>
      </c>
      <c r="D2863">
        <v>124000</v>
      </c>
      <c r="E2863">
        <v>6000</v>
      </c>
      <c r="F2863">
        <v>124000</v>
      </c>
      <c r="G2863">
        <v>124000</v>
      </c>
      <c r="H2863">
        <v>2</v>
      </c>
      <c r="I2863" t="s">
        <v>555</v>
      </c>
      <c r="J2863">
        <v>40.03</v>
      </c>
      <c r="K2863">
        <v>24</v>
      </c>
      <c r="L2863">
        <v>7</v>
      </c>
      <c r="M2863" t="s">
        <v>4010</v>
      </c>
      <c r="N2863">
        <v>3</v>
      </c>
      <c r="O2863">
        <v>9.67</v>
      </c>
      <c r="P2863">
        <v>104537.14</v>
      </c>
      <c r="Q2863">
        <v>207063.41</v>
      </c>
      <c r="R2863">
        <v>315</v>
      </c>
      <c r="S2863">
        <v>41</v>
      </c>
      <c r="T2863" t="s">
        <v>326</v>
      </c>
      <c r="U2863" t="s">
        <v>27</v>
      </c>
    </row>
    <row r="2864" spans="1:21">
      <c r="A2864" t="s">
        <v>4467</v>
      </c>
      <c r="B2864" t="s">
        <v>4015</v>
      </c>
      <c r="C2864" t="s">
        <v>4016</v>
      </c>
      <c r="D2864">
        <v>126000</v>
      </c>
      <c r="E2864">
        <v>6000</v>
      </c>
      <c r="F2864">
        <v>126000</v>
      </c>
      <c r="G2864">
        <v>126000</v>
      </c>
      <c r="H2864">
        <v>2</v>
      </c>
      <c r="I2864" t="s">
        <v>555</v>
      </c>
      <c r="J2864">
        <v>40.03</v>
      </c>
      <c r="K2864">
        <v>24</v>
      </c>
      <c r="L2864">
        <v>7</v>
      </c>
      <c r="M2864" t="s">
        <v>4010</v>
      </c>
      <c r="N2864">
        <v>3</v>
      </c>
      <c r="O2864">
        <v>9.67</v>
      </c>
      <c r="P2864">
        <v>104537.14</v>
      </c>
      <c r="Q2864">
        <v>207063.41</v>
      </c>
      <c r="R2864">
        <v>315</v>
      </c>
      <c r="S2864">
        <v>41</v>
      </c>
      <c r="T2864" t="s">
        <v>326</v>
      </c>
      <c r="U2864" t="s">
        <v>27</v>
      </c>
    </row>
    <row r="2865" spans="1:21">
      <c r="A2865" t="s">
        <v>4468</v>
      </c>
      <c r="B2865" t="s">
        <v>4015</v>
      </c>
      <c r="C2865" t="s">
        <v>4016</v>
      </c>
      <c r="D2865">
        <v>125000</v>
      </c>
      <c r="E2865">
        <v>6000</v>
      </c>
      <c r="F2865">
        <v>125000</v>
      </c>
      <c r="G2865">
        <v>125000</v>
      </c>
      <c r="H2865">
        <v>3</v>
      </c>
      <c r="I2865" t="s">
        <v>555</v>
      </c>
      <c r="J2865">
        <v>40.03</v>
      </c>
      <c r="K2865">
        <v>24</v>
      </c>
      <c r="L2865">
        <v>7</v>
      </c>
      <c r="M2865" t="s">
        <v>4010</v>
      </c>
      <c r="N2865">
        <v>3</v>
      </c>
      <c r="O2865">
        <v>9.67</v>
      </c>
      <c r="P2865">
        <v>104537.14</v>
      </c>
      <c r="Q2865">
        <v>207063.41</v>
      </c>
      <c r="R2865">
        <v>315</v>
      </c>
      <c r="S2865">
        <v>41</v>
      </c>
      <c r="T2865" t="s">
        <v>326</v>
      </c>
      <c r="U2865" t="s">
        <v>27</v>
      </c>
    </row>
    <row r="2866" spans="1:21">
      <c r="A2866" t="s">
        <v>4469</v>
      </c>
      <c r="B2866" t="s">
        <v>4040</v>
      </c>
      <c r="C2866" t="s">
        <v>4016</v>
      </c>
      <c r="D2866">
        <v>126000</v>
      </c>
      <c r="E2866">
        <v>6000</v>
      </c>
      <c r="F2866">
        <v>126000</v>
      </c>
      <c r="G2866">
        <v>126000</v>
      </c>
      <c r="H2866">
        <v>2</v>
      </c>
      <c r="I2866" t="s">
        <v>555</v>
      </c>
      <c r="J2866">
        <v>40.03</v>
      </c>
      <c r="K2866">
        <v>24</v>
      </c>
      <c r="L2866">
        <v>7</v>
      </c>
      <c r="M2866" t="s">
        <v>4010</v>
      </c>
      <c r="N2866">
        <v>3</v>
      </c>
      <c r="O2866">
        <v>9.67</v>
      </c>
      <c r="P2866">
        <v>104537.14</v>
      </c>
      <c r="Q2866">
        <v>207063.41</v>
      </c>
      <c r="R2866">
        <v>315</v>
      </c>
      <c r="S2866">
        <v>41</v>
      </c>
      <c r="T2866" t="s">
        <v>326</v>
      </c>
      <c r="U2866" t="s">
        <v>27</v>
      </c>
    </row>
    <row r="2867" spans="1:21">
      <c r="A2867" t="s">
        <v>4470</v>
      </c>
      <c r="B2867" t="s">
        <v>4040</v>
      </c>
      <c r="C2867" t="s">
        <v>4016</v>
      </c>
      <c r="D2867">
        <v>125000</v>
      </c>
      <c r="E2867">
        <v>6000</v>
      </c>
      <c r="F2867">
        <v>125000</v>
      </c>
      <c r="G2867">
        <v>125000</v>
      </c>
      <c r="H2867">
        <v>3</v>
      </c>
      <c r="I2867" t="s">
        <v>555</v>
      </c>
      <c r="J2867">
        <v>40.03</v>
      </c>
      <c r="K2867">
        <v>24</v>
      </c>
      <c r="L2867">
        <v>7</v>
      </c>
      <c r="M2867" t="s">
        <v>4010</v>
      </c>
      <c r="N2867">
        <v>3</v>
      </c>
      <c r="O2867">
        <v>9.67</v>
      </c>
      <c r="P2867">
        <v>104537.14</v>
      </c>
      <c r="Q2867">
        <v>207063.41</v>
      </c>
      <c r="R2867">
        <v>315</v>
      </c>
      <c r="S2867">
        <v>41</v>
      </c>
      <c r="T2867" t="s">
        <v>326</v>
      </c>
      <c r="U2867" t="s">
        <v>27</v>
      </c>
    </row>
    <row r="2868" spans="1:21">
      <c r="A2868" t="s">
        <v>4471</v>
      </c>
      <c r="B2868" t="s">
        <v>4472</v>
      </c>
      <c r="C2868" t="s">
        <v>2962</v>
      </c>
      <c r="D2868">
        <v>159000</v>
      </c>
      <c r="E2868">
        <v>9000</v>
      </c>
      <c r="F2868">
        <v>159000</v>
      </c>
      <c r="G2868">
        <v>159000</v>
      </c>
      <c r="H2868">
        <v>4</v>
      </c>
      <c r="I2868" t="s">
        <v>559</v>
      </c>
      <c r="J2868">
        <v>53.01</v>
      </c>
      <c r="K2868">
        <v>31</v>
      </c>
      <c r="L2868">
        <v>10</v>
      </c>
      <c r="M2868" t="s">
        <v>4010</v>
      </c>
      <c r="N2868">
        <v>5</v>
      </c>
      <c r="O2868">
        <v>9.67</v>
      </c>
      <c r="P2868">
        <v>104537.14</v>
      </c>
      <c r="Q2868">
        <v>141491.45000000001</v>
      </c>
      <c r="R2868">
        <v>315</v>
      </c>
      <c r="S2868">
        <v>117</v>
      </c>
      <c r="T2868" t="s">
        <v>332</v>
      </c>
      <c r="U2868" t="s">
        <v>49</v>
      </c>
    </row>
    <row r="2869" spans="1:21">
      <c r="A2869" t="s">
        <v>4473</v>
      </c>
      <c r="B2869" t="s">
        <v>4474</v>
      </c>
      <c r="C2869" t="s">
        <v>4019</v>
      </c>
      <c r="D2869">
        <v>114000</v>
      </c>
      <c r="E2869">
        <v>3000</v>
      </c>
      <c r="F2869">
        <v>114000</v>
      </c>
      <c r="G2869">
        <v>114000</v>
      </c>
      <c r="H2869">
        <v>3</v>
      </c>
      <c r="I2869" t="s">
        <v>559</v>
      </c>
      <c r="J2869">
        <v>41.12</v>
      </c>
      <c r="K2869">
        <v>36</v>
      </c>
      <c r="L2869">
        <v>3</v>
      </c>
      <c r="M2869" t="s">
        <v>4010</v>
      </c>
      <c r="N2869">
        <v>4</v>
      </c>
      <c r="O2869">
        <v>9</v>
      </c>
      <c r="P2869">
        <v>104537.14</v>
      </c>
      <c r="Q2869">
        <v>141491.45000000001</v>
      </c>
      <c r="R2869">
        <v>315</v>
      </c>
      <c r="S2869">
        <v>117</v>
      </c>
      <c r="T2869" t="s">
        <v>326</v>
      </c>
      <c r="U2869" t="s">
        <v>49</v>
      </c>
    </row>
    <row r="2870" spans="1:21">
      <c r="A2870" t="s">
        <v>4475</v>
      </c>
      <c r="B2870" t="s">
        <v>4126</v>
      </c>
      <c r="C2870" t="s">
        <v>4019</v>
      </c>
      <c r="D2870">
        <v>95000</v>
      </c>
      <c r="E2870">
        <v>3000</v>
      </c>
      <c r="F2870">
        <v>95000</v>
      </c>
      <c r="G2870">
        <v>95000</v>
      </c>
      <c r="H2870">
        <v>3</v>
      </c>
      <c r="I2870" t="s">
        <v>559</v>
      </c>
      <c r="J2870">
        <v>35</v>
      </c>
      <c r="K2870">
        <v>51</v>
      </c>
      <c r="L2870">
        <v>4</v>
      </c>
      <c r="M2870" t="s">
        <v>4010</v>
      </c>
      <c r="N2870">
        <v>3</v>
      </c>
      <c r="O2870">
        <v>9.33</v>
      </c>
      <c r="P2870">
        <v>104537.14</v>
      </c>
      <c r="Q2870">
        <v>141491.45000000001</v>
      </c>
      <c r="R2870">
        <v>315</v>
      </c>
      <c r="S2870">
        <v>117</v>
      </c>
      <c r="T2870" t="s">
        <v>26</v>
      </c>
      <c r="U2870" t="s">
        <v>57</v>
      </c>
    </row>
    <row r="2871" spans="1:21">
      <c r="A2871" t="s">
        <v>4476</v>
      </c>
      <c r="B2871" t="s">
        <v>4477</v>
      </c>
      <c r="C2871" t="s">
        <v>4019</v>
      </c>
      <c r="D2871">
        <v>95000</v>
      </c>
      <c r="E2871">
        <v>3000</v>
      </c>
      <c r="F2871">
        <v>95000</v>
      </c>
      <c r="G2871">
        <v>95000</v>
      </c>
      <c r="H2871">
        <v>3</v>
      </c>
      <c r="I2871" t="s">
        <v>559</v>
      </c>
      <c r="J2871">
        <v>35</v>
      </c>
      <c r="K2871">
        <v>52</v>
      </c>
      <c r="L2871">
        <v>4</v>
      </c>
      <c r="M2871" t="s">
        <v>4010</v>
      </c>
      <c r="N2871">
        <v>4</v>
      </c>
      <c r="O2871">
        <v>10.33</v>
      </c>
      <c r="P2871">
        <v>104537.14</v>
      </c>
      <c r="Q2871">
        <v>141491.45000000001</v>
      </c>
      <c r="R2871">
        <v>315</v>
      </c>
      <c r="S2871">
        <v>117</v>
      </c>
      <c r="T2871" t="s">
        <v>26</v>
      </c>
      <c r="U2871" t="s">
        <v>57</v>
      </c>
    </row>
    <row r="2872" spans="1:21">
      <c r="A2872" t="s">
        <v>4478</v>
      </c>
      <c r="B2872" t="s">
        <v>4026</v>
      </c>
      <c r="C2872" t="s">
        <v>4027</v>
      </c>
      <c r="D2872">
        <v>188000</v>
      </c>
      <c r="E2872">
        <v>12000</v>
      </c>
      <c r="H2872">
        <v>1</v>
      </c>
      <c r="I2872" t="s">
        <v>559</v>
      </c>
      <c r="J2872">
        <v>49.95</v>
      </c>
      <c r="K2872">
        <v>0</v>
      </c>
      <c r="L2872">
        <v>4</v>
      </c>
      <c r="M2872" t="s">
        <v>4010</v>
      </c>
      <c r="N2872">
        <v>7</v>
      </c>
      <c r="O2872">
        <v>9.33</v>
      </c>
      <c r="P2872">
        <v>104537.14</v>
      </c>
      <c r="Q2872">
        <v>141491.45000000001</v>
      </c>
      <c r="R2872">
        <v>315</v>
      </c>
      <c r="S2872">
        <v>117</v>
      </c>
      <c r="T2872" t="s">
        <v>326</v>
      </c>
      <c r="U2872" t="s">
        <v>81</v>
      </c>
    </row>
    <row r="2873" spans="1:21">
      <c r="A2873" t="s">
        <v>4479</v>
      </c>
      <c r="B2873" t="s">
        <v>4480</v>
      </c>
      <c r="C2873" t="s">
        <v>4027</v>
      </c>
      <c r="D2873">
        <v>100000</v>
      </c>
      <c r="E2873">
        <v>2000</v>
      </c>
      <c r="F2873">
        <v>100000</v>
      </c>
      <c r="G2873">
        <v>100000</v>
      </c>
      <c r="H2873">
        <v>2</v>
      </c>
      <c r="I2873" t="s">
        <v>559</v>
      </c>
      <c r="J2873">
        <v>40</v>
      </c>
      <c r="K2873">
        <v>34</v>
      </c>
      <c r="L2873">
        <v>2</v>
      </c>
      <c r="M2873" t="s">
        <v>4010</v>
      </c>
      <c r="N2873">
        <v>7</v>
      </c>
      <c r="O2873">
        <v>9.33</v>
      </c>
      <c r="P2873">
        <v>104537.14</v>
      </c>
      <c r="Q2873">
        <v>141491.45000000001</v>
      </c>
      <c r="R2873">
        <v>315</v>
      </c>
      <c r="S2873">
        <v>117</v>
      </c>
      <c r="T2873" t="s">
        <v>326</v>
      </c>
      <c r="U2873" t="s">
        <v>49</v>
      </c>
    </row>
    <row r="2874" spans="1:21">
      <c r="A2874" t="s">
        <v>4481</v>
      </c>
      <c r="B2874" t="s">
        <v>4482</v>
      </c>
      <c r="C2874" t="s">
        <v>4019</v>
      </c>
      <c r="D2874">
        <v>114000</v>
      </c>
      <c r="E2874">
        <v>3000</v>
      </c>
      <c r="F2874">
        <v>114000</v>
      </c>
      <c r="G2874">
        <v>114000</v>
      </c>
      <c r="H2874">
        <v>3</v>
      </c>
      <c r="I2874" t="s">
        <v>559</v>
      </c>
      <c r="J2874">
        <v>41.12</v>
      </c>
      <c r="K2874">
        <v>36</v>
      </c>
      <c r="L2874">
        <v>3</v>
      </c>
      <c r="M2874" t="s">
        <v>4010</v>
      </c>
      <c r="N2874">
        <v>4</v>
      </c>
      <c r="O2874">
        <v>9</v>
      </c>
      <c r="P2874">
        <v>104537.14</v>
      </c>
      <c r="Q2874">
        <v>141491.45000000001</v>
      </c>
      <c r="R2874">
        <v>315</v>
      </c>
      <c r="S2874">
        <v>117</v>
      </c>
      <c r="T2874" t="s">
        <v>326</v>
      </c>
      <c r="U2874" t="s">
        <v>49</v>
      </c>
    </row>
    <row r="2875" spans="1:21">
      <c r="A2875" t="s">
        <v>4483</v>
      </c>
      <c r="B2875" t="s">
        <v>4484</v>
      </c>
      <c r="C2875" t="s">
        <v>4164</v>
      </c>
      <c r="D2875">
        <v>66000</v>
      </c>
      <c r="F2875">
        <v>66000</v>
      </c>
      <c r="H2875">
        <v>2</v>
      </c>
      <c r="I2875" t="s">
        <v>573</v>
      </c>
      <c r="J2875">
        <v>25.61</v>
      </c>
      <c r="K2875">
        <v>51</v>
      </c>
      <c r="L2875">
        <v>2</v>
      </c>
      <c r="M2875" t="s">
        <v>4010</v>
      </c>
      <c r="N2875">
        <v>5</v>
      </c>
      <c r="O2875">
        <v>10.67</v>
      </c>
      <c r="P2875">
        <v>104537.14</v>
      </c>
      <c r="Q2875">
        <v>117441.44</v>
      </c>
      <c r="R2875">
        <v>315</v>
      </c>
      <c r="S2875">
        <v>111</v>
      </c>
      <c r="T2875" t="s">
        <v>34</v>
      </c>
      <c r="U2875" t="s">
        <v>57</v>
      </c>
    </row>
    <row r="2876" spans="1:21">
      <c r="A2876" t="s">
        <v>4485</v>
      </c>
      <c r="B2876" t="s">
        <v>4486</v>
      </c>
      <c r="C2876" t="s">
        <v>4164</v>
      </c>
      <c r="D2876">
        <v>66000</v>
      </c>
      <c r="F2876">
        <v>66000</v>
      </c>
      <c r="H2876">
        <v>2</v>
      </c>
      <c r="I2876" t="s">
        <v>573</v>
      </c>
      <c r="J2876">
        <v>25.61</v>
      </c>
      <c r="K2876">
        <v>51</v>
      </c>
      <c r="L2876">
        <v>2</v>
      </c>
      <c r="M2876" t="s">
        <v>4010</v>
      </c>
      <c r="N2876">
        <v>5</v>
      </c>
      <c r="O2876">
        <v>10.67</v>
      </c>
      <c r="P2876">
        <v>104537.14</v>
      </c>
      <c r="Q2876">
        <v>117441.44</v>
      </c>
      <c r="R2876">
        <v>315</v>
      </c>
      <c r="S2876">
        <v>111</v>
      </c>
      <c r="T2876" t="s">
        <v>34</v>
      </c>
      <c r="U2876" t="s">
        <v>57</v>
      </c>
    </row>
    <row r="2877" spans="1:21">
      <c r="A2877" t="s">
        <v>4487</v>
      </c>
      <c r="B2877" t="s">
        <v>4488</v>
      </c>
      <c r="C2877" t="s">
        <v>4356</v>
      </c>
      <c r="D2877">
        <v>180000</v>
      </c>
      <c r="F2877">
        <v>180000</v>
      </c>
      <c r="G2877">
        <v>180000</v>
      </c>
      <c r="H2877">
        <v>1</v>
      </c>
      <c r="I2877" t="s">
        <v>585</v>
      </c>
      <c r="J2877">
        <v>61.27</v>
      </c>
      <c r="K2877">
        <v>26</v>
      </c>
      <c r="L2877">
        <v>2</v>
      </c>
      <c r="M2877" t="s">
        <v>4010</v>
      </c>
      <c r="N2877">
        <v>7</v>
      </c>
      <c r="O2877">
        <v>9</v>
      </c>
      <c r="P2877">
        <v>104537.14</v>
      </c>
      <c r="Q2877">
        <v>232352.65</v>
      </c>
      <c r="R2877">
        <v>315</v>
      </c>
      <c r="S2877">
        <v>359</v>
      </c>
      <c r="T2877" t="s">
        <v>593</v>
      </c>
      <c r="U2877" t="s">
        <v>27</v>
      </c>
    </row>
    <row r="2878" spans="1:21">
      <c r="A2878" t="s">
        <v>4489</v>
      </c>
      <c r="B2878" t="s">
        <v>4490</v>
      </c>
      <c r="C2878" t="s">
        <v>4027</v>
      </c>
      <c r="D2878">
        <v>175000</v>
      </c>
      <c r="F2878">
        <v>175000</v>
      </c>
      <c r="G2878">
        <v>175000</v>
      </c>
      <c r="H2878">
        <v>1</v>
      </c>
      <c r="I2878" t="s">
        <v>585</v>
      </c>
      <c r="J2878">
        <v>65.62</v>
      </c>
      <c r="K2878">
        <v>18</v>
      </c>
      <c r="L2878">
        <v>2</v>
      </c>
      <c r="M2878" t="s">
        <v>4010</v>
      </c>
      <c r="N2878">
        <v>7</v>
      </c>
      <c r="O2878">
        <v>9</v>
      </c>
      <c r="P2878">
        <v>104537.14</v>
      </c>
      <c r="Q2878">
        <v>232352.65</v>
      </c>
      <c r="R2878">
        <v>315</v>
      </c>
      <c r="S2878">
        <v>359</v>
      </c>
      <c r="T2878" t="s">
        <v>593</v>
      </c>
      <c r="U2878" t="s">
        <v>90</v>
      </c>
    </row>
    <row r="2879" spans="1:21">
      <c r="A2879" t="s">
        <v>4489</v>
      </c>
      <c r="B2879" t="s">
        <v>4490</v>
      </c>
      <c r="C2879" t="s">
        <v>4027</v>
      </c>
      <c r="D2879">
        <v>175000</v>
      </c>
      <c r="F2879">
        <v>175000</v>
      </c>
      <c r="G2879">
        <v>175000</v>
      </c>
      <c r="H2879">
        <v>2</v>
      </c>
      <c r="I2879" t="s">
        <v>585</v>
      </c>
      <c r="J2879">
        <v>65.62</v>
      </c>
      <c r="K2879">
        <v>18</v>
      </c>
      <c r="L2879">
        <v>2</v>
      </c>
      <c r="M2879" t="s">
        <v>4010</v>
      </c>
      <c r="N2879">
        <v>7</v>
      </c>
      <c r="O2879">
        <v>9</v>
      </c>
      <c r="P2879">
        <v>104537.14</v>
      </c>
      <c r="Q2879">
        <v>232352.65</v>
      </c>
      <c r="R2879">
        <v>315</v>
      </c>
      <c r="S2879">
        <v>359</v>
      </c>
      <c r="T2879" t="s">
        <v>593</v>
      </c>
      <c r="U2879" t="s">
        <v>90</v>
      </c>
    </row>
    <row r="2880" spans="1:21">
      <c r="A2880" t="s">
        <v>4491</v>
      </c>
      <c r="B2880" t="s">
        <v>4276</v>
      </c>
      <c r="C2880" t="s">
        <v>4016</v>
      </c>
      <c r="D2880">
        <v>145000</v>
      </c>
      <c r="E2880">
        <v>12000</v>
      </c>
      <c r="F2880">
        <v>145000</v>
      </c>
      <c r="G2880">
        <v>145000</v>
      </c>
      <c r="H2880">
        <v>2</v>
      </c>
      <c r="I2880" t="s">
        <v>585</v>
      </c>
      <c r="J2880">
        <v>49.27</v>
      </c>
      <c r="K2880">
        <v>54</v>
      </c>
      <c r="L2880">
        <v>2</v>
      </c>
      <c r="M2880" t="s">
        <v>4010</v>
      </c>
      <c r="N2880">
        <v>5</v>
      </c>
      <c r="O2880">
        <v>6</v>
      </c>
      <c r="P2880">
        <v>104537.14</v>
      </c>
      <c r="Q2880">
        <v>232352.65</v>
      </c>
      <c r="R2880">
        <v>315</v>
      </c>
      <c r="S2880">
        <v>359</v>
      </c>
      <c r="T2880" t="s">
        <v>326</v>
      </c>
      <c r="U2880" t="s">
        <v>57</v>
      </c>
    </row>
    <row r="2881" spans="1:21">
      <c r="A2881" t="s">
        <v>4492</v>
      </c>
      <c r="B2881" t="s">
        <v>4285</v>
      </c>
      <c r="C2881" t="s">
        <v>4009</v>
      </c>
      <c r="D2881">
        <v>174000</v>
      </c>
      <c r="E2881">
        <v>5000</v>
      </c>
      <c r="F2881">
        <v>174000</v>
      </c>
      <c r="G2881">
        <v>174000</v>
      </c>
      <c r="H2881">
        <v>2</v>
      </c>
      <c r="I2881" t="s">
        <v>585</v>
      </c>
      <c r="J2881">
        <v>53.68</v>
      </c>
      <c r="K2881">
        <v>3</v>
      </c>
      <c r="L2881">
        <v>2</v>
      </c>
      <c r="M2881" t="s">
        <v>4010</v>
      </c>
      <c r="N2881">
        <v>5</v>
      </c>
      <c r="O2881">
        <v>9.33</v>
      </c>
      <c r="P2881">
        <v>104537.14</v>
      </c>
      <c r="Q2881">
        <v>232352.65</v>
      </c>
      <c r="R2881">
        <v>315</v>
      </c>
      <c r="S2881">
        <v>359</v>
      </c>
      <c r="T2881" t="s">
        <v>332</v>
      </c>
      <c r="U2881" t="s">
        <v>31</v>
      </c>
    </row>
    <row r="2882" spans="1:21">
      <c r="A2882" t="s">
        <v>4493</v>
      </c>
      <c r="B2882" t="s">
        <v>4285</v>
      </c>
      <c r="C2882" t="s">
        <v>4009</v>
      </c>
      <c r="D2882">
        <v>176000</v>
      </c>
      <c r="E2882">
        <v>5000</v>
      </c>
      <c r="F2882">
        <v>176000</v>
      </c>
      <c r="G2882">
        <v>176000</v>
      </c>
      <c r="H2882">
        <v>2</v>
      </c>
      <c r="I2882" t="s">
        <v>585</v>
      </c>
      <c r="J2882">
        <v>53.68</v>
      </c>
      <c r="K2882">
        <v>3</v>
      </c>
      <c r="L2882">
        <v>2</v>
      </c>
      <c r="M2882" t="s">
        <v>4010</v>
      </c>
      <c r="N2882">
        <v>5</v>
      </c>
      <c r="O2882">
        <v>9.33</v>
      </c>
      <c r="P2882">
        <v>104537.14</v>
      </c>
      <c r="Q2882">
        <v>232352.65</v>
      </c>
      <c r="R2882">
        <v>315</v>
      </c>
      <c r="S2882">
        <v>359</v>
      </c>
      <c r="T2882" t="s">
        <v>332</v>
      </c>
      <c r="U2882" t="s">
        <v>31</v>
      </c>
    </row>
    <row r="2883" spans="1:21">
      <c r="A2883" t="s">
        <v>4494</v>
      </c>
      <c r="B2883" t="s">
        <v>4495</v>
      </c>
      <c r="C2883" t="s">
        <v>4009</v>
      </c>
      <c r="D2883">
        <v>192000</v>
      </c>
      <c r="E2883">
        <v>8000</v>
      </c>
      <c r="F2883">
        <v>192000</v>
      </c>
      <c r="H2883">
        <v>4</v>
      </c>
      <c r="I2883" t="s">
        <v>585</v>
      </c>
      <c r="J2883">
        <v>60.21</v>
      </c>
      <c r="K2883">
        <v>37</v>
      </c>
      <c r="L2883">
        <v>11</v>
      </c>
      <c r="M2883" t="s">
        <v>4010</v>
      </c>
      <c r="N2883">
        <v>6</v>
      </c>
      <c r="O2883">
        <v>13</v>
      </c>
      <c r="P2883">
        <v>104537.14</v>
      </c>
      <c r="Q2883">
        <v>232352.65</v>
      </c>
      <c r="R2883">
        <v>315</v>
      </c>
      <c r="S2883">
        <v>359</v>
      </c>
      <c r="T2883" t="s">
        <v>593</v>
      </c>
      <c r="U2883" t="s">
        <v>49</v>
      </c>
    </row>
    <row r="2884" spans="1:21">
      <c r="A2884" t="s">
        <v>4496</v>
      </c>
      <c r="B2884" t="s">
        <v>4182</v>
      </c>
      <c r="C2884" t="s">
        <v>4009</v>
      </c>
      <c r="D2884">
        <v>176000</v>
      </c>
      <c r="E2884">
        <v>5000</v>
      </c>
      <c r="F2884">
        <v>176000</v>
      </c>
      <c r="G2884">
        <v>176000</v>
      </c>
      <c r="H2884">
        <v>2</v>
      </c>
      <c r="I2884" t="s">
        <v>585</v>
      </c>
      <c r="J2884">
        <v>53.68</v>
      </c>
      <c r="K2884">
        <v>3</v>
      </c>
      <c r="L2884">
        <v>2</v>
      </c>
      <c r="M2884" t="s">
        <v>4010</v>
      </c>
      <c r="N2884">
        <v>5</v>
      </c>
      <c r="O2884">
        <v>12</v>
      </c>
      <c r="P2884">
        <v>104537.14</v>
      </c>
      <c r="Q2884">
        <v>232352.65</v>
      </c>
      <c r="R2884">
        <v>315</v>
      </c>
      <c r="S2884">
        <v>359</v>
      </c>
      <c r="T2884" t="s">
        <v>332</v>
      </c>
      <c r="U2884" t="s">
        <v>31</v>
      </c>
    </row>
    <row r="2885" spans="1:21">
      <c r="A2885" t="s">
        <v>4497</v>
      </c>
      <c r="B2885" t="s">
        <v>4498</v>
      </c>
      <c r="C2885" t="s">
        <v>2962</v>
      </c>
      <c r="D2885">
        <v>218000</v>
      </c>
      <c r="E2885">
        <v>9000</v>
      </c>
      <c r="F2885">
        <v>218000</v>
      </c>
      <c r="G2885">
        <v>218000</v>
      </c>
      <c r="H2885">
        <v>6</v>
      </c>
      <c r="I2885" t="s">
        <v>642</v>
      </c>
      <c r="J2885">
        <v>70.88</v>
      </c>
      <c r="K2885">
        <v>31</v>
      </c>
      <c r="L2885">
        <v>11</v>
      </c>
      <c r="M2885" t="s">
        <v>4010</v>
      </c>
      <c r="N2885">
        <v>7</v>
      </c>
      <c r="O2885">
        <v>10.33</v>
      </c>
      <c r="P2885">
        <v>104537.14</v>
      </c>
      <c r="Q2885">
        <v>282153.84999999998</v>
      </c>
      <c r="R2885">
        <v>315</v>
      </c>
      <c r="S2885">
        <v>26</v>
      </c>
      <c r="T2885" t="s">
        <v>596</v>
      </c>
      <c r="U2885" t="s">
        <v>49</v>
      </c>
    </row>
    <row r="2886" spans="1:21">
      <c r="A2886" t="s">
        <v>4499</v>
      </c>
      <c r="B2886" t="s">
        <v>4498</v>
      </c>
      <c r="C2886" t="s">
        <v>2962</v>
      </c>
      <c r="D2886">
        <v>209000</v>
      </c>
      <c r="E2886">
        <v>9000</v>
      </c>
      <c r="F2886">
        <v>209000</v>
      </c>
      <c r="G2886">
        <v>209000</v>
      </c>
      <c r="H2886">
        <v>7</v>
      </c>
      <c r="I2886" t="s">
        <v>642</v>
      </c>
      <c r="J2886">
        <v>70.88</v>
      </c>
      <c r="K2886">
        <v>31</v>
      </c>
      <c r="L2886">
        <v>11</v>
      </c>
      <c r="M2886" t="s">
        <v>4010</v>
      </c>
      <c r="N2886">
        <v>7</v>
      </c>
      <c r="O2886">
        <v>10.33</v>
      </c>
      <c r="P2886">
        <v>104537.14</v>
      </c>
      <c r="Q2886">
        <v>282153.84999999998</v>
      </c>
      <c r="R2886">
        <v>315</v>
      </c>
      <c r="S2886">
        <v>26</v>
      </c>
      <c r="T2886" t="s">
        <v>596</v>
      </c>
      <c r="U2886" t="s">
        <v>49</v>
      </c>
    </row>
    <row r="2887" spans="1:21">
      <c r="A2887" t="s">
        <v>4500</v>
      </c>
      <c r="B2887" t="s">
        <v>4501</v>
      </c>
      <c r="C2887" t="s">
        <v>4009</v>
      </c>
      <c r="D2887">
        <v>160000</v>
      </c>
      <c r="E2887">
        <v>13000</v>
      </c>
      <c r="G2887">
        <v>160000</v>
      </c>
      <c r="H2887">
        <v>3</v>
      </c>
      <c r="I2887" t="s">
        <v>647</v>
      </c>
      <c r="J2887">
        <v>65.23</v>
      </c>
      <c r="K2887">
        <v>31</v>
      </c>
      <c r="L2887">
        <v>3</v>
      </c>
      <c r="M2887" t="s">
        <v>4010</v>
      </c>
      <c r="N2887">
        <v>3</v>
      </c>
      <c r="O2887">
        <v>10.33</v>
      </c>
      <c r="P2887">
        <v>104537.14</v>
      </c>
      <c r="Q2887">
        <v>184333.33</v>
      </c>
      <c r="R2887">
        <v>315</v>
      </c>
      <c r="S2887">
        <v>18</v>
      </c>
      <c r="T2887" t="s">
        <v>593</v>
      </c>
      <c r="U2887" t="s">
        <v>49</v>
      </c>
    </row>
    <row r="2888" spans="1:21">
      <c r="A2888" t="s">
        <v>4502</v>
      </c>
      <c r="B2888" t="s">
        <v>4503</v>
      </c>
      <c r="C2888" t="s">
        <v>4009</v>
      </c>
      <c r="D2888">
        <v>160000</v>
      </c>
      <c r="E2888">
        <v>13000</v>
      </c>
      <c r="G2888">
        <v>160000</v>
      </c>
      <c r="H2888">
        <v>3</v>
      </c>
      <c r="I2888" t="s">
        <v>647</v>
      </c>
      <c r="J2888">
        <v>65.23</v>
      </c>
      <c r="K2888">
        <v>31</v>
      </c>
      <c r="L2888">
        <v>3</v>
      </c>
      <c r="M2888" t="s">
        <v>4010</v>
      </c>
      <c r="N2888">
        <v>3</v>
      </c>
      <c r="O2888">
        <v>9.33</v>
      </c>
      <c r="P2888">
        <v>104537.14</v>
      </c>
      <c r="Q2888">
        <v>184333.33</v>
      </c>
      <c r="R2888">
        <v>315</v>
      </c>
      <c r="S2888">
        <v>18</v>
      </c>
      <c r="T2888" t="s">
        <v>593</v>
      </c>
      <c r="U2888" t="s">
        <v>49</v>
      </c>
    </row>
    <row r="2889" spans="1:21">
      <c r="A2889" t="s">
        <v>4504</v>
      </c>
      <c r="B2889" t="s">
        <v>4505</v>
      </c>
      <c r="C2889" t="s">
        <v>4019</v>
      </c>
      <c r="D2889">
        <v>300000</v>
      </c>
      <c r="F2889">
        <v>300000</v>
      </c>
      <c r="G2889">
        <v>300000</v>
      </c>
      <c r="H2889">
        <v>1</v>
      </c>
      <c r="I2889" t="s">
        <v>654</v>
      </c>
      <c r="J2889">
        <v>86.16</v>
      </c>
      <c r="K2889">
        <v>0</v>
      </c>
      <c r="L2889">
        <v>2</v>
      </c>
      <c r="M2889" t="s">
        <v>4010</v>
      </c>
      <c r="N2889">
        <v>3</v>
      </c>
      <c r="O2889">
        <v>10</v>
      </c>
      <c r="P2889">
        <v>104537.14</v>
      </c>
      <c r="Q2889">
        <v>288705.81</v>
      </c>
      <c r="R2889">
        <v>315</v>
      </c>
      <c r="S2889">
        <v>155</v>
      </c>
      <c r="T2889" t="s">
        <v>413</v>
      </c>
      <c r="U2889" t="s">
        <v>81</v>
      </c>
    </row>
    <row r="2890" spans="1:21">
      <c r="A2890" t="s">
        <v>4506</v>
      </c>
      <c r="B2890" t="s">
        <v>4507</v>
      </c>
      <c r="C2890" t="s">
        <v>4019</v>
      </c>
      <c r="D2890">
        <v>315000</v>
      </c>
      <c r="F2890">
        <v>315000</v>
      </c>
      <c r="G2890">
        <v>315000</v>
      </c>
      <c r="H2890">
        <v>1</v>
      </c>
      <c r="I2890" t="s">
        <v>654</v>
      </c>
      <c r="J2890">
        <v>93.52</v>
      </c>
      <c r="K2890">
        <v>0</v>
      </c>
      <c r="L2890">
        <v>2</v>
      </c>
      <c r="M2890" t="s">
        <v>4010</v>
      </c>
      <c r="N2890">
        <v>3</v>
      </c>
      <c r="O2890">
        <v>10</v>
      </c>
      <c r="P2890">
        <v>104537.14</v>
      </c>
      <c r="Q2890">
        <v>288705.81</v>
      </c>
      <c r="R2890">
        <v>315</v>
      </c>
      <c r="S2890">
        <v>155</v>
      </c>
      <c r="T2890" t="s">
        <v>1835</v>
      </c>
      <c r="U2890" t="s">
        <v>81</v>
      </c>
    </row>
    <row r="2891" spans="1:21">
      <c r="A2891" t="s">
        <v>4508</v>
      </c>
      <c r="B2891" t="s">
        <v>4509</v>
      </c>
      <c r="C2891" t="s">
        <v>4016</v>
      </c>
      <c r="D2891">
        <v>220000</v>
      </c>
      <c r="F2891">
        <v>440000</v>
      </c>
      <c r="G2891">
        <v>220000</v>
      </c>
      <c r="H2891">
        <v>3</v>
      </c>
      <c r="I2891" t="s">
        <v>654</v>
      </c>
      <c r="J2891">
        <v>79.02</v>
      </c>
      <c r="K2891">
        <v>34</v>
      </c>
      <c r="L2891">
        <v>3</v>
      </c>
      <c r="M2891" t="s">
        <v>4010</v>
      </c>
      <c r="N2891">
        <v>4</v>
      </c>
      <c r="O2891">
        <v>10.67</v>
      </c>
      <c r="P2891">
        <v>104537.14</v>
      </c>
      <c r="Q2891">
        <v>288705.81</v>
      </c>
      <c r="R2891">
        <v>315</v>
      </c>
      <c r="S2891">
        <v>155</v>
      </c>
      <c r="T2891" t="s">
        <v>596</v>
      </c>
      <c r="U2891" t="s">
        <v>49</v>
      </c>
    </row>
    <row r="2892" spans="1:21">
      <c r="A2892" t="s">
        <v>4510</v>
      </c>
      <c r="B2892" t="s">
        <v>4498</v>
      </c>
      <c r="C2892" t="s">
        <v>2962</v>
      </c>
      <c r="D2892">
        <v>218000</v>
      </c>
      <c r="E2892">
        <v>9000</v>
      </c>
      <c r="F2892">
        <v>218000</v>
      </c>
      <c r="G2892">
        <v>218000</v>
      </c>
      <c r="H2892">
        <v>5</v>
      </c>
      <c r="I2892" t="s">
        <v>654</v>
      </c>
      <c r="J2892">
        <v>70.88</v>
      </c>
      <c r="K2892">
        <v>31</v>
      </c>
      <c r="L2892">
        <v>11</v>
      </c>
      <c r="M2892" t="s">
        <v>4010</v>
      </c>
      <c r="N2892">
        <v>7</v>
      </c>
      <c r="O2892">
        <v>10.33</v>
      </c>
      <c r="P2892">
        <v>104537.14</v>
      </c>
      <c r="Q2892">
        <v>288705.81</v>
      </c>
      <c r="R2892">
        <v>315</v>
      </c>
      <c r="S2892">
        <v>155</v>
      </c>
      <c r="T2892" t="s">
        <v>596</v>
      </c>
      <c r="U2892" t="s">
        <v>49</v>
      </c>
    </row>
    <row r="2893" spans="1:21">
      <c r="A2893" t="s">
        <v>4511</v>
      </c>
      <c r="B2893" t="s">
        <v>4498</v>
      </c>
      <c r="C2893" t="s">
        <v>2962</v>
      </c>
      <c r="D2893">
        <v>221000</v>
      </c>
      <c r="E2893">
        <v>9000</v>
      </c>
      <c r="F2893">
        <v>221000</v>
      </c>
      <c r="G2893">
        <v>221000</v>
      </c>
      <c r="H2893">
        <v>9</v>
      </c>
      <c r="I2893" t="s">
        <v>654</v>
      </c>
      <c r="J2893">
        <v>70.88</v>
      </c>
      <c r="K2893">
        <v>31</v>
      </c>
      <c r="L2893">
        <v>11</v>
      </c>
      <c r="M2893" t="s">
        <v>4010</v>
      </c>
      <c r="N2893">
        <v>7</v>
      </c>
      <c r="O2893">
        <v>10.33</v>
      </c>
      <c r="P2893">
        <v>104537.14</v>
      </c>
      <c r="Q2893">
        <v>288705.81</v>
      </c>
      <c r="R2893">
        <v>315</v>
      </c>
      <c r="S2893">
        <v>155</v>
      </c>
      <c r="T2893" t="s">
        <v>596</v>
      </c>
      <c r="U2893" t="s">
        <v>49</v>
      </c>
    </row>
    <row r="2894" spans="1:21">
      <c r="A2894" t="s">
        <v>4512</v>
      </c>
      <c r="B2894" t="s">
        <v>4513</v>
      </c>
      <c r="C2894" t="s">
        <v>2962</v>
      </c>
      <c r="D2894">
        <v>218000</v>
      </c>
      <c r="E2894">
        <v>9000</v>
      </c>
      <c r="F2894">
        <v>218000</v>
      </c>
      <c r="G2894">
        <v>218000</v>
      </c>
      <c r="H2894">
        <v>5</v>
      </c>
      <c r="I2894" t="s">
        <v>654</v>
      </c>
      <c r="J2894">
        <v>70.88</v>
      </c>
      <c r="K2894">
        <v>31</v>
      </c>
      <c r="L2894">
        <v>11</v>
      </c>
      <c r="M2894" t="s">
        <v>4010</v>
      </c>
      <c r="N2894">
        <v>7</v>
      </c>
      <c r="O2894">
        <v>10.33</v>
      </c>
      <c r="P2894">
        <v>104537.14</v>
      </c>
      <c r="Q2894">
        <v>288705.81</v>
      </c>
      <c r="R2894">
        <v>315</v>
      </c>
      <c r="S2894">
        <v>155</v>
      </c>
      <c r="T2894" t="s">
        <v>596</v>
      </c>
      <c r="U2894" t="s">
        <v>49</v>
      </c>
    </row>
    <row r="2895" spans="1:21">
      <c r="A2895" t="s">
        <v>4514</v>
      </c>
      <c r="B2895" t="s">
        <v>4515</v>
      </c>
      <c r="C2895" t="s">
        <v>4032</v>
      </c>
      <c r="D2895">
        <v>243000</v>
      </c>
      <c r="E2895">
        <v>11000</v>
      </c>
      <c r="F2895">
        <v>243000</v>
      </c>
      <c r="G2895">
        <v>243000</v>
      </c>
      <c r="H2895">
        <v>1</v>
      </c>
      <c r="I2895" t="s">
        <v>654</v>
      </c>
      <c r="J2895">
        <v>64.64</v>
      </c>
      <c r="K2895">
        <v>1</v>
      </c>
      <c r="L2895">
        <v>3</v>
      </c>
      <c r="M2895" t="s">
        <v>4010</v>
      </c>
      <c r="N2895">
        <v>6</v>
      </c>
      <c r="O2895">
        <v>10.67</v>
      </c>
      <c r="P2895">
        <v>104537.14</v>
      </c>
      <c r="Q2895">
        <v>288705.81</v>
      </c>
      <c r="R2895">
        <v>315</v>
      </c>
      <c r="S2895">
        <v>155</v>
      </c>
      <c r="T2895" t="s">
        <v>593</v>
      </c>
      <c r="U2895" t="s">
        <v>31</v>
      </c>
    </row>
    <row r="2896" spans="1:21">
      <c r="A2896" t="s">
        <v>4516</v>
      </c>
      <c r="B2896" t="s">
        <v>4517</v>
      </c>
      <c r="C2896" t="s">
        <v>4019</v>
      </c>
      <c r="D2896">
        <v>300000</v>
      </c>
      <c r="F2896">
        <v>300000</v>
      </c>
      <c r="G2896">
        <v>300000</v>
      </c>
      <c r="H2896">
        <v>1</v>
      </c>
      <c r="I2896" t="s">
        <v>654</v>
      </c>
      <c r="J2896">
        <v>86.16</v>
      </c>
      <c r="K2896">
        <v>0</v>
      </c>
      <c r="L2896">
        <v>2</v>
      </c>
      <c r="M2896" t="s">
        <v>4010</v>
      </c>
      <c r="N2896">
        <v>3</v>
      </c>
      <c r="O2896">
        <v>10</v>
      </c>
      <c r="P2896">
        <v>104537.14</v>
      </c>
      <c r="Q2896">
        <v>288705.81</v>
      </c>
      <c r="R2896">
        <v>315</v>
      </c>
      <c r="S2896">
        <v>155</v>
      </c>
      <c r="T2896" t="s">
        <v>413</v>
      </c>
      <c r="U2896" t="s">
        <v>81</v>
      </c>
    </row>
    <row r="2897" spans="1:21">
      <c r="A2897" t="s">
        <v>4518</v>
      </c>
      <c r="B2897" t="s">
        <v>4517</v>
      </c>
      <c r="C2897" t="s">
        <v>4019</v>
      </c>
      <c r="D2897">
        <v>315000</v>
      </c>
      <c r="F2897">
        <v>315000</v>
      </c>
      <c r="G2897">
        <v>315000</v>
      </c>
      <c r="H2897">
        <v>1</v>
      </c>
      <c r="I2897" t="s">
        <v>654</v>
      </c>
      <c r="J2897">
        <v>93.52</v>
      </c>
      <c r="K2897">
        <v>0</v>
      </c>
      <c r="L2897">
        <v>2</v>
      </c>
      <c r="M2897" t="s">
        <v>4010</v>
      </c>
      <c r="N2897">
        <v>3</v>
      </c>
      <c r="O2897">
        <v>10</v>
      </c>
      <c r="P2897">
        <v>104537.14</v>
      </c>
      <c r="Q2897">
        <v>288705.81</v>
      </c>
      <c r="R2897">
        <v>315</v>
      </c>
      <c r="S2897">
        <v>155</v>
      </c>
      <c r="T2897" t="s">
        <v>1835</v>
      </c>
      <c r="U2897" t="s">
        <v>81</v>
      </c>
    </row>
    <row r="2898" spans="1:21">
      <c r="A2898" t="s">
        <v>4519</v>
      </c>
      <c r="B2898" t="s">
        <v>4520</v>
      </c>
      <c r="C2898" t="s">
        <v>4027</v>
      </c>
      <c r="D2898">
        <v>270000</v>
      </c>
      <c r="F2898">
        <v>270000</v>
      </c>
      <c r="G2898">
        <v>270000</v>
      </c>
      <c r="H2898">
        <v>1</v>
      </c>
      <c r="I2898" t="s">
        <v>654</v>
      </c>
      <c r="J2898">
        <v>95.23</v>
      </c>
      <c r="K2898">
        <v>7</v>
      </c>
      <c r="L2898">
        <v>2</v>
      </c>
      <c r="M2898" t="s">
        <v>4010</v>
      </c>
      <c r="N2898">
        <v>9</v>
      </c>
      <c r="O2898">
        <v>10.5</v>
      </c>
      <c r="P2898">
        <v>104537.14</v>
      </c>
      <c r="Q2898">
        <v>288705.81</v>
      </c>
      <c r="R2898">
        <v>315</v>
      </c>
      <c r="S2898">
        <v>155</v>
      </c>
      <c r="T2898" t="s">
        <v>1835</v>
      </c>
      <c r="U2898" t="s">
        <v>31</v>
      </c>
    </row>
    <row r="2899" spans="1:21">
      <c r="A2899" t="s">
        <v>4521</v>
      </c>
      <c r="B2899" t="s">
        <v>4522</v>
      </c>
      <c r="C2899" t="s">
        <v>4032</v>
      </c>
      <c r="D2899">
        <v>243000</v>
      </c>
      <c r="E2899">
        <v>11000</v>
      </c>
      <c r="F2899">
        <v>243000</v>
      </c>
      <c r="G2899">
        <v>243000</v>
      </c>
      <c r="H2899">
        <v>1</v>
      </c>
      <c r="I2899" t="s">
        <v>654</v>
      </c>
      <c r="J2899">
        <v>64.64</v>
      </c>
      <c r="K2899">
        <v>1</v>
      </c>
      <c r="L2899">
        <v>3</v>
      </c>
      <c r="M2899" t="s">
        <v>4010</v>
      </c>
      <c r="N2899">
        <v>6</v>
      </c>
      <c r="O2899">
        <v>10.67</v>
      </c>
      <c r="P2899">
        <v>104537.14</v>
      </c>
      <c r="Q2899">
        <v>288705.81</v>
      </c>
      <c r="R2899">
        <v>315</v>
      </c>
      <c r="S2899">
        <v>155</v>
      </c>
      <c r="T2899" t="s">
        <v>593</v>
      </c>
      <c r="U2899" t="s">
        <v>31</v>
      </c>
    </row>
    <row r="2900" spans="1:21">
      <c r="A2900" t="s">
        <v>4523</v>
      </c>
      <c r="B2900" t="s">
        <v>4524</v>
      </c>
      <c r="C2900" t="s">
        <v>4032</v>
      </c>
      <c r="D2900">
        <v>81000</v>
      </c>
      <c r="E2900">
        <v>18000</v>
      </c>
      <c r="H2900">
        <v>1</v>
      </c>
      <c r="I2900" t="s">
        <v>24</v>
      </c>
      <c r="J2900">
        <v>17.010000000000002</v>
      </c>
      <c r="K2900">
        <v>0</v>
      </c>
      <c r="L2900">
        <v>4</v>
      </c>
      <c r="M2900" t="s">
        <v>4525</v>
      </c>
      <c r="N2900">
        <v>8</v>
      </c>
      <c r="O2900">
        <v>12</v>
      </c>
      <c r="P2900">
        <v>118283.39</v>
      </c>
      <c r="Q2900">
        <v>123325.96</v>
      </c>
      <c r="R2900">
        <v>271</v>
      </c>
      <c r="S2900">
        <v>339</v>
      </c>
      <c r="T2900" t="s">
        <v>108</v>
      </c>
      <c r="U2900" t="s">
        <v>81</v>
      </c>
    </row>
    <row r="2901" spans="1:21">
      <c r="A2901" t="s">
        <v>4526</v>
      </c>
      <c r="B2901" t="s">
        <v>4524</v>
      </c>
      <c r="C2901" t="s">
        <v>4032</v>
      </c>
      <c r="D2901">
        <v>94000</v>
      </c>
      <c r="E2901">
        <v>18000</v>
      </c>
      <c r="H2901">
        <v>1</v>
      </c>
      <c r="I2901" t="s">
        <v>24</v>
      </c>
      <c r="J2901">
        <v>17.54</v>
      </c>
      <c r="K2901">
        <v>0</v>
      </c>
      <c r="L2901">
        <v>4</v>
      </c>
      <c r="M2901" t="s">
        <v>4525</v>
      </c>
      <c r="N2901">
        <v>8</v>
      </c>
      <c r="O2901">
        <v>12</v>
      </c>
      <c r="P2901">
        <v>118283.39</v>
      </c>
      <c r="Q2901">
        <v>123325.96</v>
      </c>
      <c r="R2901">
        <v>271</v>
      </c>
      <c r="S2901">
        <v>339</v>
      </c>
      <c r="T2901" t="s">
        <v>108</v>
      </c>
      <c r="U2901" t="s">
        <v>81</v>
      </c>
    </row>
    <row r="2902" spans="1:21">
      <c r="A2902" t="s">
        <v>4527</v>
      </c>
      <c r="B2902" t="s">
        <v>4524</v>
      </c>
      <c r="C2902" t="s">
        <v>4032</v>
      </c>
      <c r="D2902">
        <v>84000</v>
      </c>
      <c r="E2902">
        <v>18000</v>
      </c>
      <c r="H2902">
        <v>1</v>
      </c>
      <c r="I2902" t="s">
        <v>24</v>
      </c>
      <c r="J2902">
        <v>18.18</v>
      </c>
      <c r="K2902">
        <v>0</v>
      </c>
      <c r="L2902">
        <v>4</v>
      </c>
      <c r="M2902" t="s">
        <v>4525</v>
      </c>
      <c r="N2902">
        <v>8</v>
      </c>
      <c r="O2902">
        <v>12</v>
      </c>
      <c r="P2902">
        <v>118283.39</v>
      </c>
      <c r="Q2902">
        <v>123325.96</v>
      </c>
      <c r="R2902">
        <v>271</v>
      </c>
      <c r="S2902">
        <v>339</v>
      </c>
      <c r="T2902" t="s">
        <v>108</v>
      </c>
      <c r="U2902" t="s">
        <v>81</v>
      </c>
    </row>
    <row r="2903" spans="1:21">
      <c r="A2903" t="s">
        <v>4528</v>
      </c>
      <c r="B2903" t="s">
        <v>4524</v>
      </c>
      <c r="C2903" t="s">
        <v>4032</v>
      </c>
      <c r="D2903">
        <v>84000</v>
      </c>
      <c r="E2903">
        <v>18000</v>
      </c>
      <c r="H2903">
        <v>2</v>
      </c>
      <c r="I2903" t="s">
        <v>24</v>
      </c>
      <c r="J2903">
        <v>17.010000000000002</v>
      </c>
      <c r="K2903">
        <v>0</v>
      </c>
      <c r="L2903">
        <v>4</v>
      </c>
      <c r="M2903" t="s">
        <v>4525</v>
      </c>
      <c r="N2903">
        <v>8</v>
      </c>
      <c r="O2903">
        <v>12</v>
      </c>
      <c r="P2903">
        <v>118283.39</v>
      </c>
      <c r="Q2903">
        <v>123325.96</v>
      </c>
      <c r="R2903">
        <v>271</v>
      </c>
      <c r="S2903">
        <v>339</v>
      </c>
      <c r="T2903" t="s">
        <v>108</v>
      </c>
      <c r="U2903" t="s">
        <v>81</v>
      </c>
    </row>
    <row r="2904" spans="1:21">
      <c r="A2904" t="s">
        <v>4529</v>
      </c>
      <c r="B2904" t="s">
        <v>4524</v>
      </c>
      <c r="C2904" t="s">
        <v>4032</v>
      </c>
      <c r="D2904">
        <v>94000</v>
      </c>
      <c r="E2904">
        <v>18000</v>
      </c>
      <c r="H2904">
        <v>2</v>
      </c>
      <c r="I2904" t="s">
        <v>24</v>
      </c>
      <c r="J2904">
        <v>17.54</v>
      </c>
      <c r="K2904">
        <v>0</v>
      </c>
      <c r="L2904">
        <v>4</v>
      </c>
      <c r="M2904" t="s">
        <v>4525</v>
      </c>
      <c r="N2904">
        <v>8</v>
      </c>
      <c r="O2904">
        <v>12</v>
      </c>
      <c r="P2904">
        <v>118283.39</v>
      </c>
      <c r="Q2904">
        <v>123325.96</v>
      </c>
      <c r="R2904">
        <v>271</v>
      </c>
      <c r="S2904">
        <v>339</v>
      </c>
      <c r="T2904" t="s">
        <v>108</v>
      </c>
      <c r="U2904" t="s">
        <v>81</v>
      </c>
    </row>
    <row r="2905" spans="1:21">
      <c r="A2905" t="s">
        <v>4530</v>
      </c>
      <c r="B2905" t="s">
        <v>4524</v>
      </c>
      <c r="C2905" t="s">
        <v>4032</v>
      </c>
      <c r="D2905">
        <v>87000</v>
      </c>
      <c r="E2905">
        <v>18000</v>
      </c>
      <c r="H2905">
        <v>3</v>
      </c>
      <c r="I2905" t="s">
        <v>24</v>
      </c>
      <c r="J2905">
        <v>18.18</v>
      </c>
      <c r="K2905">
        <v>0</v>
      </c>
      <c r="L2905">
        <v>4</v>
      </c>
      <c r="M2905" t="s">
        <v>4525</v>
      </c>
      <c r="N2905">
        <v>8</v>
      </c>
      <c r="O2905">
        <v>12</v>
      </c>
      <c r="P2905">
        <v>118283.39</v>
      </c>
      <c r="Q2905">
        <v>123325.96</v>
      </c>
      <c r="R2905">
        <v>271</v>
      </c>
      <c r="S2905">
        <v>339</v>
      </c>
      <c r="T2905" t="s">
        <v>108</v>
      </c>
      <c r="U2905" t="s">
        <v>81</v>
      </c>
    </row>
    <row r="2906" spans="1:21">
      <c r="A2906" t="s">
        <v>4531</v>
      </c>
      <c r="B2906" t="s">
        <v>4524</v>
      </c>
      <c r="C2906" t="s">
        <v>4032</v>
      </c>
      <c r="D2906">
        <v>90000</v>
      </c>
      <c r="E2906">
        <v>18000</v>
      </c>
      <c r="H2906">
        <v>4</v>
      </c>
      <c r="I2906" t="s">
        <v>24</v>
      </c>
      <c r="J2906">
        <v>18.18</v>
      </c>
      <c r="K2906">
        <v>0</v>
      </c>
      <c r="L2906">
        <v>4</v>
      </c>
      <c r="M2906" t="s">
        <v>4525</v>
      </c>
      <c r="N2906">
        <v>8</v>
      </c>
      <c r="O2906">
        <v>12</v>
      </c>
      <c r="P2906">
        <v>118283.39</v>
      </c>
      <c r="Q2906">
        <v>123325.96</v>
      </c>
      <c r="R2906">
        <v>271</v>
      </c>
      <c r="S2906">
        <v>339</v>
      </c>
      <c r="T2906" t="s">
        <v>108</v>
      </c>
      <c r="U2906" t="s">
        <v>81</v>
      </c>
    </row>
    <row r="2907" spans="1:21">
      <c r="A2907" t="s">
        <v>4532</v>
      </c>
      <c r="B2907" t="s">
        <v>4533</v>
      </c>
      <c r="C2907" t="s">
        <v>4534</v>
      </c>
      <c r="D2907">
        <v>97000</v>
      </c>
      <c r="E2907">
        <v>3000</v>
      </c>
      <c r="F2907">
        <v>97000</v>
      </c>
      <c r="G2907">
        <v>97000</v>
      </c>
      <c r="H2907">
        <v>1</v>
      </c>
      <c r="I2907" t="s">
        <v>24</v>
      </c>
      <c r="J2907">
        <v>33.53</v>
      </c>
      <c r="K2907">
        <v>56</v>
      </c>
      <c r="L2907">
        <v>2</v>
      </c>
      <c r="M2907" t="s">
        <v>4525</v>
      </c>
      <c r="N2907">
        <v>7</v>
      </c>
      <c r="O2907">
        <v>10.67</v>
      </c>
      <c r="P2907">
        <v>118283.39</v>
      </c>
      <c r="Q2907">
        <v>123325.96</v>
      </c>
      <c r="R2907">
        <v>271</v>
      </c>
      <c r="S2907">
        <v>339</v>
      </c>
      <c r="T2907" t="s">
        <v>26</v>
      </c>
      <c r="U2907" t="s">
        <v>57</v>
      </c>
    </row>
    <row r="2908" spans="1:21">
      <c r="A2908" t="s">
        <v>4535</v>
      </c>
      <c r="B2908" t="s">
        <v>4536</v>
      </c>
      <c r="C2908" t="s">
        <v>4534</v>
      </c>
      <c r="D2908">
        <v>72000</v>
      </c>
      <c r="F2908">
        <v>72000</v>
      </c>
      <c r="H2908">
        <v>1</v>
      </c>
      <c r="I2908" t="s">
        <v>24</v>
      </c>
      <c r="J2908">
        <v>27.41</v>
      </c>
      <c r="K2908">
        <v>36</v>
      </c>
      <c r="L2908">
        <v>2</v>
      </c>
      <c r="M2908" t="s">
        <v>4525</v>
      </c>
      <c r="N2908">
        <v>9</v>
      </c>
      <c r="O2908">
        <v>12.67</v>
      </c>
      <c r="P2908">
        <v>118283.39</v>
      </c>
      <c r="Q2908">
        <v>123325.96</v>
      </c>
      <c r="R2908">
        <v>271</v>
      </c>
      <c r="S2908">
        <v>339</v>
      </c>
      <c r="T2908" t="s">
        <v>34</v>
      </c>
      <c r="U2908" t="s">
        <v>49</v>
      </c>
    </row>
    <row r="2909" spans="1:21">
      <c r="A2909" t="s">
        <v>4537</v>
      </c>
      <c r="B2909" t="s">
        <v>4538</v>
      </c>
      <c r="C2909" t="s">
        <v>4539</v>
      </c>
      <c r="D2909">
        <v>115000</v>
      </c>
      <c r="G2909">
        <v>172500</v>
      </c>
      <c r="H2909">
        <v>1</v>
      </c>
      <c r="I2909" t="s">
        <v>24</v>
      </c>
      <c r="J2909">
        <v>38.25</v>
      </c>
      <c r="K2909">
        <v>14</v>
      </c>
      <c r="L2909">
        <v>3</v>
      </c>
      <c r="M2909" t="s">
        <v>4525</v>
      </c>
      <c r="N2909">
        <v>6</v>
      </c>
      <c r="O2909">
        <v>10.67</v>
      </c>
      <c r="P2909">
        <v>118283.39</v>
      </c>
      <c r="Q2909">
        <v>123325.96</v>
      </c>
      <c r="R2909">
        <v>271</v>
      </c>
      <c r="S2909">
        <v>339</v>
      </c>
      <c r="T2909" t="s">
        <v>26</v>
      </c>
      <c r="U2909" t="s">
        <v>90</v>
      </c>
    </row>
    <row r="2910" spans="1:21">
      <c r="A2910" t="s">
        <v>4540</v>
      </c>
      <c r="B2910" t="s">
        <v>4541</v>
      </c>
      <c r="C2910" t="s">
        <v>4542</v>
      </c>
      <c r="D2910">
        <v>160000</v>
      </c>
      <c r="E2910">
        <v>15000</v>
      </c>
      <c r="F2910">
        <v>160000</v>
      </c>
      <c r="H2910">
        <v>12</v>
      </c>
      <c r="I2910" t="s">
        <v>24</v>
      </c>
      <c r="J2910">
        <v>31.92</v>
      </c>
      <c r="K2910">
        <v>2</v>
      </c>
      <c r="L2910">
        <v>19</v>
      </c>
      <c r="M2910" t="s">
        <v>4525</v>
      </c>
      <c r="N2910">
        <v>6</v>
      </c>
      <c r="O2910">
        <v>12</v>
      </c>
      <c r="P2910">
        <v>118283.39</v>
      </c>
      <c r="Q2910">
        <v>123325.96</v>
      </c>
      <c r="R2910">
        <v>271</v>
      </c>
      <c r="S2910">
        <v>339</v>
      </c>
      <c r="T2910" t="s">
        <v>26</v>
      </c>
      <c r="U2910" t="s">
        <v>31</v>
      </c>
    </row>
    <row r="2911" spans="1:21">
      <c r="A2911" t="s">
        <v>4543</v>
      </c>
      <c r="B2911" t="s">
        <v>4541</v>
      </c>
      <c r="C2911" t="s">
        <v>4542</v>
      </c>
      <c r="D2911">
        <v>161000</v>
      </c>
      <c r="E2911">
        <v>15000</v>
      </c>
      <c r="F2911">
        <v>161000</v>
      </c>
      <c r="H2911">
        <v>13</v>
      </c>
      <c r="I2911" t="s">
        <v>24</v>
      </c>
      <c r="J2911">
        <v>31.92</v>
      </c>
      <c r="K2911">
        <v>2</v>
      </c>
      <c r="L2911">
        <v>19</v>
      </c>
      <c r="M2911" t="s">
        <v>4525</v>
      </c>
      <c r="N2911">
        <v>6</v>
      </c>
      <c r="O2911">
        <v>12</v>
      </c>
      <c r="P2911">
        <v>118283.39</v>
      </c>
      <c r="Q2911">
        <v>123325.96</v>
      </c>
      <c r="R2911">
        <v>271</v>
      </c>
      <c r="S2911">
        <v>339</v>
      </c>
      <c r="T2911" t="s">
        <v>26</v>
      </c>
      <c r="U2911" t="s">
        <v>31</v>
      </c>
    </row>
    <row r="2912" spans="1:21">
      <c r="A2912" t="s">
        <v>4544</v>
      </c>
      <c r="B2912" t="s">
        <v>4541</v>
      </c>
      <c r="C2912" t="s">
        <v>4542</v>
      </c>
      <c r="D2912">
        <v>142000</v>
      </c>
      <c r="E2912">
        <v>15000</v>
      </c>
      <c r="F2912">
        <v>142000</v>
      </c>
      <c r="H2912">
        <v>3</v>
      </c>
      <c r="I2912" t="s">
        <v>24</v>
      </c>
      <c r="J2912">
        <v>28.02</v>
      </c>
      <c r="K2912">
        <v>2</v>
      </c>
      <c r="L2912">
        <v>19</v>
      </c>
      <c r="M2912" t="s">
        <v>4525</v>
      </c>
      <c r="N2912">
        <v>6</v>
      </c>
      <c r="O2912">
        <v>12</v>
      </c>
      <c r="P2912">
        <v>118283.39</v>
      </c>
      <c r="Q2912">
        <v>123325.96</v>
      </c>
      <c r="R2912">
        <v>271</v>
      </c>
      <c r="S2912">
        <v>339</v>
      </c>
      <c r="T2912" t="s">
        <v>34</v>
      </c>
      <c r="U2912" t="s">
        <v>31</v>
      </c>
    </row>
    <row r="2913" spans="1:21">
      <c r="A2913" t="s">
        <v>4545</v>
      </c>
      <c r="B2913" t="s">
        <v>4546</v>
      </c>
      <c r="C2913" t="s">
        <v>4547</v>
      </c>
      <c r="D2913">
        <v>82000</v>
      </c>
      <c r="E2913">
        <v>3000</v>
      </c>
      <c r="F2913">
        <v>82000</v>
      </c>
      <c r="G2913">
        <v>82000</v>
      </c>
      <c r="H2913">
        <v>2</v>
      </c>
      <c r="I2913" t="s">
        <v>24</v>
      </c>
      <c r="J2913">
        <v>25.34</v>
      </c>
      <c r="K2913">
        <v>31</v>
      </c>
      <c r="L2913">
        <v>3</v>
      </c>
      <c r="M2913" t="s">
        <v>4525</v>
      </c>
      <c r="N2913">
        <v>6</v>
      </c>
      <c r="O2913">
        <v>12.67</v>
      </c>
      <c r="P2913">
        <v>118283.39</v>
      </c>
      <c r="Q2913">
        <v>123325.96</v>
      </c>
      <c r="R2913">
        <v>271</v>
      </c>
      <c r="S2913">
        <v>339</v>
      </c>
      <c r="T2913" t="s">
        <v>34</v>
      </c>
      <c r="U2913" t="s">
        <v>49</v>
      </c>
    </row>
    <row r="2914" spans="1:21">
      <c r="A2914" t="s">
        <v>4548</v>
      </c>
      <c r="B2914" t="s">
        <v>4549</v>
      </c>
      <c r="C2914" t="s">
        <v>4542</v>
      </c>
      <c r="D2914">
        <v>140000</v>
      </c>
      <c r="E2914">
        <v>5000</v>
      </c>
      <c r="F2914">
        <v>140000</v>
      </c>
      <c r="G2914">
        <v>140000</v>
      </c>
      <c r="H2914">
        <v>5</v>
      </c>
      <c r="I2914" t="s">
        <v>24</v>
      </c>
      <c r="J2914">
        <v>32.450000000000003</v>
      </c>
      <c r="K2914">
        <v>12</v>
      </c>
      <c r="L2914">
        <v>11</v>
      </c>
      <c r="M2914" t="s">
        <v>4525</v>
      </c>
      <c r="N2914">
        <v>7</v>
      </c>
      <c r="O2914">
        <v>10.67</v>
      </c>
      <c r="P2914">
        <v>118283.39</v>
      </c>
      <c r="Q2914">
        <v>123325.96</v>
      </c>
      <c r="R2914">
        <v>271</v>
      </c>
      <c r="S2914">
        <v>339</v>
      </c>
      <c r="T2914" t="s">
        <v>26</v>
      </c>
      <c r="U2914" t="s">
        <v>90</v>
      </c>
    </row>
    <row r="2915" spans="1:21">
      <c r="A2915" t="s">
        <v>4550</v>
      </c>
      <c r="B2915" t="s">
        <v>4551</v>
      </c>
      <c r="C2915" t="s">
        <v>712</v>
      </c>
      <c r="D2915">
        <v>88000</v>
      </c>
      <c r="F2915">
        <v>88000</v>
      </c>
      <c r="G2915">
        <v>88000</v>
      </c>
      <c r="H2915">
        <v>2</v>
      </c>
      <c r="I2915" t="s">
        <v>24</v>
      </c>
      <c r="J2915">
        <v>30.26</v>
      </c>
      <c r="K2915">
        <v>70</v>
      </c>
      <c r="L2915">
        <v>3</v>
      </c>
      <c r="M2915" t="s">
        <v>4525</v>
      </c>
      <c r="N2915">
        <v>9</v>
      </c>
      <c r="O2915">
        <v>10.33</v>
      </c>
      <c r="P2915">
        <v>118283.39</v>
      </c>
      <c r="Q2915">
        <v>123325.96</v>
      </c>
      <c r="R2915">
        <v>271</v>
      </c>
      <c r="S2915">
        <v>339</v>
      </c>
      <c r="T2915" t="s">
        <v>26</v>
      </c>
      <c r="U2915" t="s">
        <v>38</v>
      </c>
    </row>
    <row r="2916" spans="1:21">
      <c r="A2916" t="s">
        <v>4552</v>
      </c>
      <c r="B2916" t="s">
        <v>4553</v>
      </c>
      <c r="C2916" t="s">
        <v>4547</v>
      </c>
      <c r="D2916">
        <v>82000</v>
      </c>
      <c r="E2916">
        <v>3000</v>
      </c>
      <c r="F2916">
        <v>82000</v>
      </c>
      <c r="G2916">
        <v>82000</v>
      </c>
      <c r="H2916">
        <v>2</v>
      </c>
      <c r="I2916" t="s">
        <v>24</v>
      </c>
      <c r="J2916">
        <v>25.34</v>
      </c>
      <c r="K2916">
        <v>31</v>
      </c>
      <c r="L2916">
        <v>4</v>
      </c>
      <c r="M2916" t="s">
        <v>4525</v>
      </c>
      <c r="N2916">
        <v>6</v>
      </c>
      <c r="O2916">
        <v>11</v>
      </c>
      <c r="P2916">
        <v>118283.39</v>
      </c>
      <c r="Q2916">
        <v>123325.96</v>
      </c>
      <c r="R2916">
        <v>271</v>
      </c>
      <c r="S2916">
        <v>339</v>
      </c>
      <c r="T2916" t="s">
        <v>34</v>
      </c>
      <c r="U2916" t="s">
        <v>49</v>
      </c>
    </row>
    <row r="2917" spans="1:21">
      <c r="A2917" t="s">
        <v>4554</v>
      </c>
      <c r="B2917" t="s">
        <v>4555</v>
      </c>
      <c r="C2917" t="s">
        <v>4547</v>
      </c>
      <c r="D2917">
        <v>90000</v>
      </c>
      <c r="E2917">
        <v>5000</v>
      </c>
      <c r="F2917">
        <v>90000</v>
      </c>
      <c r="G2917">
        <v>90000</v>
      </c>
      <c r="H2917">
        <v>3</v>
      </c>
      <c r="I2917" t="s">
        <v>89</v>
      </c>
      <c r="J2917">
        <v>25.54</v>
      </c>
      <c r="K2917">
        <v>13</v>
      </c>
      <c r="L2917">
        <v>4</v>
      </c>
      <c r="M2917" t="s">
        <v>4525</v>
      </c>
      <c r="N2917">
        <v>6</v>
      </c>
      <c r="O2917">
        <v>9.33</v>
      </c>
      <c r="P2917">
        <v>118283.39</v>
      </c>
      <c r="Q2917">
        <v>95329.65</v>
      </c>
      <c r="R2917">
        <v>271</v>
      </c>
      <c r="S2917">
        <v>1622</v>
      </c>
      <c r="T2917" t="s">
        <v>34</v>
      </c>
      <c r="U2917" t="s">
        <v>90</v>
      </c>
    </row>
    <row r="2918" spans="1:21">
      <c r="A2918" t="s">
        <v>4556</v>
      </c>
      <c r="B2918" t="s">
        <v>4557</v>
      </c>
      <c r="C2918" t="s">
        <v>4542</v>
      </c>
      <c r="D2918">
        <v>79000</v>
      </c>
      <c r="E2918">
        <v>6000</v>
      </c>
      <c r="F2918">
        <v>79000</v>
      </c>
      <c r="G2918">
        <v>79000</v>
      </c>
      <c r="H2918">
        <v>1</v>
      </c>
      <c r="I2918" t="s">
        <v>89</v>
      </c>
      <c r="J2918">
        <v>21.17</v>
      </c>
      <c r="K2918">
        <v>22</v>
      </c>
      <c r="L2918">
        <v>5</v>
      </c>
      <c r="M2918" t="s">
        <v>4525</v>
      </c>
      <c r="N2918">
        <v>5</v>
      </c>
      <c r="O2918">
        <v>11.67</v>
      </c>
      <c r="P2918">
        <v>118283.39</v>
      </c>
      <c r="Q2918">
        <v>95329.65</v>
      </c>
      <c r="R2918">
        <v>271</v>
      </c>
      <c r="S2918">
        <v>1622</v>
      </c>
      <c r="T2918" t="s">
        <v>34</v>
      </c>
      <c r="U2918" t="s">
        <v>27</v>
      </c>
    </row>
    <row r="2919" spans="1:21">
      <c r="A2919" t="s">
        <v>4558</v>
      </c>
      <c r="B2919" t="s">
        <v>4557</v>
      </c>
      <c r="C2919" t="s">
        <v>4542</v>
      </c>
      <c r="D2919">
        <v>82000</v>
      </c>
      <c r="E2919">
        <v>4000</v>
      </c>
      <c r="F2919">
        <v>82000</v>
      </c>
      <c r="G2919">
        <v>82000</v>
      </c>
      <c r="H2919">
        <v>1</v>
      </c>
      <c r="I2919" t="s">
        <v>89</v>
      </c>
      <c r="J2919">
        <v>21.17</v>
      </c>
      <c r="K2919">
        <v>22</v>
      </c>
      <c r="L2919">
        <v>5</v>
      </c>
      <c r="M2919" t="s">
        <v>4525</v>
      </c>
      <c r="N2919">
        <v>5</v>
      </c>
      <c r="O2919">
        <v>11.67</v>
      </c>
      <c r="P2919">
        <v>118283.39</v>
      </c>
      <c r="Q2919">
        <v>95329.65</v>
      </c>
      <c r="R2919">
        <v>271</v>
      </c>
      <c r="S2919">
        <v>1622</v>
      </c>
      <c r="T2919" t="s">
        <v>34</v>
      </c>
      <c r="U2919" t="s">
        <v>27</v>
      </c>
    </row>
    <row r="2920" spans="1:21">
      <c r="A2920" t="s">
        <v>4559</v>
      </c>
      <c r="B2920" t="s">
        <v>4557</v>
      </c>
      <c r="C2920" t="s">
        <v>4542</v>
      </c>
      <c r="D2920">
        <v>85000</v>
      </c>
      <c r="E2920">
        <v>4000</v>
      </c>
      <c r="F2920">
        <v>85000</v>
      </c>
      <c r="G2920">
        <v>85000</v>
      </c>
      <c r="H2920">
        <v>1</v>
      </c>
      <c r="I2920" t="s">
        <v>89</v>
      </c>
      <c r="J2920">
        <v>21.17</v>
      </c>
      <c r="K2920">
        <v>22</v>
      </c>
      <c r="L2920">
        <v>5</v>
      </c>
      <c r="M2920" t="s">
        <v>4525</v>
      </c>
      <c r="N2920">
        <v>5</v>
      </c>
      <c r="O2920">
        <v>11.67</v>
      </c>
      <c r="P2920">
        <v>118283.39</v>
      </c>
      <c r="Q2920">
        <v>95329.65</v>
      </c>
      <c r="R2920">
        <v>271</v>
      </c>
      <c r="S2920">
        <v>1622</v>
      </c>
      <c r="T2920" t="s">
        <v>34</v>
      </c>
      <c r="U2920" t="s">
        <v>27</v>
      </c>
    </row>
    <row r="2921" spans="1:21">
      <c r="A2921" t="s">
        <v>4560</v>
      </c>
      <c r="B2921" t="s">
        <v>4557</v>
      </c>
      <c r="C2921" t="s">
        <v>4542</v>
      </c>
      <c r="D2921">
        <v>80000</v>
      </c>
      <c r="E2921">
        <v>10000</v>
      </c>
      <c r="F2921">
        <v>80000</v>
      </c>
      <c r="G2921">
        <v>80000</v>
      </c>
      <c r="H2921">
        <v>3</v>
      </c>
      <c r="I2921" t="s">
        <v>89</v>
      </c>
      <c r="J2921">
        <v>21.17</v>
      </c>
      <c r="K2921">
        <v>22</v>
      </c>
      <c r="L2921">
        <v>5</v>
      </c>
      <c r="M2921" t="s">
        <v>4525</v>
      </c>
      <c r="N2921">
        <v>5</v>
      </c>
      <c r="O2921">
        <v>11.67</v>
      </c>
      <c r="P2921">
        <v>118283.39</v>
      </c>
      <c r="Q2921">
        <v>95329.65</v>
      </c>
      <c r="R2921">
        <v>271</v>
      </c>
      <c r="S2921">
        <v>1622</v>
      </c>
      <c r="T2921" t="s">
        <v>34</v>
      </c>
      <c r="U2921" t="s">
        <v>27</v>
      </c>
    </row>
    <row r="2922" spans="1:21">
      <c r="A2922" t="s">
        <v>4561</v>
      </c>
      <c r="B2922" t="s">
        <v>4562</v>
      </c>
      <c r="C2922" t="s">
        <v>4542</v>
      </c>
      <c r="D2922">
        <v>140000</v>
      </c>
      <c r="E2922">
        <v>8000</v>
      </c>
      <c r="F2922">
        <v>140000</v>
      </c>
      <c r="G2922">
        <v>140000</v>
      </c>
      <c r="H2922">
        <v>6</v>
      </c>
      <c r="I2922" t="s">
        <v>89</v>
      </c>
      <c r="J2922">
        <v>33.1</v>
      </c>
      <c r="K2922">
        <v>9</v>
      </c>
      <c r="L2922">
        <v>8</v>
      </c>
      <c r="M2922" t="s">
        <v>4525</v>
      </c>
      <c r="N2922">
        <v>7</v>
      </c>
      <c r="O2922">
        <v>10.67</v>
      </c>
      <c r="P2922">
        <v>118283.39</v>
      </c>
      <c r="Q2922">
        <v>95329.65</v>
      </c>
      <c r="R2922">
        <v>271</v>
      </c>
      <c r="S2922">
        <v>1622</v>
      </c>
      <c r="T2922" t="s">
        <v>26</v>
      </c>
      <c r="U2922" t="s">
        <v>31</v>
      </c>
    </row>
    <row r="2923" spans="1:21">
      <c r="A2923" t="s">
        <v>4563</v>
      </c>
      <c r="B2923" t="s">
        <v>4564</v>
      </c>
      <c r="C2923" t="s">
        <v>4539</v>
      </c>
      <c r="D2923">
        <v>48000</v>
      </c>
      <c r="E2923">
        <v>2000</v>
      </c>
      <c r="F2923">
        <v>48000</v>
      </c>
      <c r="G2923">
        <v>48000</v>
      </c>
      <c r="H2923">
        <v>2</v>
      </c>
      <c r="I2923" t="s">
        <v>89</v>
      </c>
      <c r="J2923">
        <v>15.72</v>
      </c>
      <c r="K2923">
        <v>45</v>
      </c>
      <c r="L2923">
        <v>2</v>
      </c>
      <c r="M2923" t="s">
        <v>4525</v>
      </c>
      <c r="N2923">
        <v>3</v>
      </c>
      <c r="O2923">
        <v>12</v>
      </c>
      <c r="P2923">
        <v>118283.39</v>
      </c>
      <c r="Q2923">
        <v>95329.65</v>
      </c>
      <c r="R2923">
        <v>271</v>
      </c>
      <c r="S2923">
        <v>1622</v>
      </c>
      <c r="T2923" t="s">
        <v>108</v>
      </c>
      <c r="U2923" t="s">
        <v>42</v>
      </c>
    </row>
    <row r="2924" spans="1:21">
      <c r="A2924" t="s">
        <v>4565</v>
      </c>
      <c r="B2924" t="s">
        <v>4566</v>
      </c>
      <c r="C2924" t="s">
        <v>4542</v>
      </c>
      <c r="D2924">
        <v>93000</v>
      </c>
      <c r="E2924">
        <v>8500</v>
      </c>
      <c r="F2924">
        <v>93000</v>
      </c>
      <c r="G2924">
        <v>93000</v>
      </c>
      <c r="H2924">
        <v>1</v>
      </c>
      <c r="I2924" t="s">
        <v>89</v>
      </c>
      <c r="J2924">
        <v>23.55</v>
      </c>
      <c r="K2924">
        <v>3</v>
      </c>
      <c r="L2924">
        <v>3</v>
      </c>
      <c r="M2924" t="s">
        <v>4525</v>
      </c>
      <c r="N2924">
        <v>6</v>
      </c>
      <c r="O2924">
        <v>9</v>
      </c>
      <c r="P2924">
        <v>118283.39</v>
      </c>
      <c r="Q2924">
        <v>95329.65</v>
      </c>
      <c r="R2924">
        <v>271</v>
      </c>
      <c r="S2924">
        <v>1622</v>
      </c>
      <c r="T2924" t="s">
        <v>34</v>
      </c>
      <c r="U2924" t="s">
        <v>31</v>
      </c>
    </row>
    <row r="2925" spans="1:21">
      <c r="A2925" t="s">
        <v>4567</v>
      </c>
      <c r="B2925" t="s">
        <v>4568</v>
      </c>
      <c r="C2925" t="s">
        <v>37</v>
      </c>
      <c r="D2925">
        <v>86000</v>
      </c>
      <c r="E2925">
        <v>4000</v>
      </c>
      <c r="G2925">
        <v>86000</v>
      </c>
      <c r="H2925">
        <v>1</v>
      </c>
      <c r="I2925" t="s">
        <v>89</v>
      </c>
      <c r="J2925">
        <v>25.74</v>
      </c>
      <c r="K2925">
        <v>16</v>
      </c>
      <c r="L2925">
        <v>3</v>
      </c>
      <c r="M2925" t="s">
        <v>4525</v>
      </c>
      <c r="N2925">
        <v>9</v>
      </c>
      <c r="O2925">
        <v>9.67</v>
      </c>
      <c r="P2925">
        <v>118283.39</v>
      </c>
      <c r="Q2925">
        <v>95329.65</v>
      </c>
      <c r="R2925">
        <v>271</v>
      </c>
      <c r="S2925">
        <v>1622</v>
      </c>
      <c r="T2925" t="s">
        <v>34</v>
      </c>
      <c r="U2925" t="s">
        <v>90</v>
      </c>
    </row>
    <row r="2926" spans="1:21">
      <c r="A2926" t="s">
        <v>4569</v>
      </c>
      <c r="B2926" t="s">
        <v>4570</v>
      </c>
      <c r="C2926" t="s">
        <v>4547</v>
      </c>
      <c r="D2926">
        <v>72000</v>
      </c>
      <c r="E2926">
        <v>3000</v>
      </c>
      <c r="G2926">
        <v>72000</v>
      </c>
      <c r="H2926">
        <v>2</v>
      </c>
      <c r="I2926" t="s">
        <v>89</v>
      </c>
      <c r="J2926">
        <v>19.38</v>
      </c>
      <c r="K2926">
        <v>28</v>
      </c>
      <c r="L2926">
        <v>3</v>
      </c>
      <c r="M2926" t="s">
        <v>4525</v>
      </c>
      <c r="N2926">
        <v>3</v>
      </c>
      <c r="O2926">
        <v>8.67</v>
      </c>
      <c r="P2926">
        <v>118283.39</v>
      </c>
      <c r="Q2926">
        <v>95329.65</v>
      </c>
      <c r="R2926">
        <v>271</v>
      </c>
      <c r="S2926">
        <v>1622</v>
      </c>
      <c r="T2926" t="s">
        <v>108</v>
      </c>
      <c r="U2926" t="s">
        <v>27</v>
      </c>
    </row>
    <row r="2927" spans="1:21">
      <c r="A2927" t="s">
        <v>4571</v>
      </c>
      <c r="B2927" t="s">
        <v>4572</v>
      </c>
      <c r="C2927" t="s">
        <v>4547</v>
      </c>
      <c r="D2927">
        <v>108000</v>
      </c>
      <c r="E2927">
        <v>5000</v>
      </c>
      <c r="F2927">
        <v>108000</v>
      </c>
      <c r="G2927">
        <v>108000</v>
      </c>
      <c r="H2927">
        <v>1</v>
      </c>
      <c r="I2927" t="s">
        <v>89</v>
      </c>
      <c r="J2927">
        <v>25.5</v>
      </c>
      <c r="K2927">
        <v>4</v>
      </c>
      <c r="L2927">
        <v>5</v>
      </c>
      <c r="M2927" t="s">
        <v>4525</v>
      </c>
      <c r="N2927">
        <v>7</v>
      </c>
      <c r="O2927">
        <v>12</v>
      </c>
      <c r="P2927">
        <v>118283.39</v>
      </c>
      <c r="Q2927">
        <v>95329.65</v>
      </c>
      <c r="R2927">
        <v>271</v>
      </c>
      <c r="S2927">
        <v>1622</v>
      </c>
      <c r="T2927" t="s">
        <v>34</v>
      </c>
      <c r="U2927" t="s">
        <v>31</v>
      </c>
    </row>
    <row r="2928" spans="1:21">
      <c r="A2928" t="s">
        <v>4573</v>
      </c>
      <c r="B2928" t="s">
        <v>4574</v>
      </c>
      <c r="C2928" t="s">
        <v>23</v>
      </c>
      <c r="D2928">
        <v>75000</v>
      </c>
      <c r="E2928">
        <v>3000</v>
      </c>
      <c r="F2928">
        <v>75000</v>
      </c>
      <c r="H2928">
        <v>2</v>
      </c>
      <c r="I2928" t="s">
        <v>89</v>
      </c>
      <c r="J2928">
        <v>24.61</v>
      </c>
      <c r="K2928">
        <v>34</v>
      </c>
      <c r="L2928">
        <v>3</v>
      </c>
      <c r="M2928" t="s">
        <v>4525</v>
      </c>
      <c r="N2928">
        <v>8</v>
      </c>
      <c r="O2928">
        <v>9</v>
      </c>
      <c r="P2928">
        <v>118283.39</v>
      </c>
      <c r="Q2928">
        <v>95329.65</v>
      </c>
      <c r="R2928">
        <v>271</v>
      </c>
      <c r="S2928">
        <v>1622</v>
      </c>
      <c r="T2928" t="s">
        <v>34</v>
      </c>
      <c r="U2928" t="s">
        <v>49</v>
      </c>
    </row>
    <row r="2929" spans="1:21">
      <c r="A2929" t="s">
        <v>4575</v>
      </c>
      <c r="B2929" t="s">
        <v>4576</v>
      </c>
      <c r="C2929" t="s">
        <v>4542</v>
      </c>
      <c r="D2929">
        <v>67000</v>
      </c>
      <c r="E2929">
        <v>6000</v>
      </c>
      <c r="H2929">
        <v>3</v>
      </c>
      <c r="I2929" t="s">
        <v>89</v>
      </c>
      <c r="J2929">
        <v>16.2</v>
      </c>
      <c r="K2929">
        <v>40</v>
      </c>
      <c r="L2929">
        <v>4</v>
      </c>
      <c r="M2929" t="s">
        <v>4525</v>
      </c>
      <c r="N2929">
        <v>8</v>
      </c>
      <c r="O2929">
        <v>11</v>
      </c>
      <c r="P2929">
        <v>118283.39</v>
      </c>
      <c r="Q2929">
        <v>95329.65</v>
      </c>
      <c r="R2929">
        <v>271</v>
      </c>
      <c r="S2929">
        <v>1622</v>
      </c>
      <c r="T2929" t="s">
        <v>108</v>
      </c>
      <c r="U2929" t="s">
        <v>49</v>
      </c>
    </row>
    <row r="2930" spans="1:21">
      <c r="A2930" t="s">
        <v>4577</v>
      </c>
      <c r="B2930" t="s">
        <v>4576</v>
      </c>
      <c r="C2930" t="s">
        <v>4542</v>
      </c>
      <c r="D2930">
        <v>64000</v>
      </c>
      <c r="E2930">
        <v>6000</v>
      </c>
      <c r="H2930">
        <v>4</v>
      </c>
      <c r="I2930" t="s">
        <v>89</v>
      </c>
      <c r="J2930">
        <v>16.100000000000001</v>
      </c>
      <c r="K2930">
        <v>40</v>
      </c>
      <c r="L2930">
        <v>4</v>
      </c>
      <c r="M2930" t="s">
        <v>4525</v>
      </c>
      <c r="N2930">
        <v>8</v>
      </c>
      <c r="O2930">
        <v>11</v>
      </c>
      <c r="P2930">
        <v>118283.39</v>
      </c>
      <c r="Q2930">
        <v>95329.65</v>
      </c>
      <c r="R2930">
        <v>271</v>
      </c>
      <c r="S2930">
        <v>1622</v>
      </c>
      <c r="T2930" t="s">
        <v>108</v>
      </c>
      <c r="U2930" t="s">
        <v>49</v>
      </c>
    </row>
    <row r="2931" spans="1:21">
      <c r="A2931" t="s">
        <v>4578</v>
      </c>
      <c r="B2931" t="s">
        <v>4579</v>
      </c>
      <c r="C2931" t="s">
        <v>4032</v>
      </c>
      <c r="D2931">
        <v>80000</v>
      </c>
      <c r="F2931">
        <v>80000</v>
      </c>
      <c r="G2931">
        <v>80000</v>
      </c>
      <c r="H2931">
        <v>3</v>
      </c>
      <c r="I2931" t="s">
        <v>89</v>
      </c>
      <c r="J2931">
        <v>33.94</v>
      </c>
      <c r="K2931">
        <v>21</v>
      </c>
      <c r="L2931">
        <v>3</v>
      </c>
      <c r="M2931" t="s">
        <v>4525</v>
      </c>
      <c r="N2931">
        <v>11</v>
      </c>
      <c r="O2931">
        <v>13</v>
      </c>
      <c r="P2931">
        <v>118283.39</v>
      </c>
      <c r="Q2931">
        <v>95329.65</v>
      </c>
      <c r="R2931">
        <v>271</v>
      </c>
      <c r="S2931">
        <v>1622</v>
      </c>
      <c r="T2931" t="s">
        <v>26</v>
      </c>
      <c r="U2931" t="s">
        <v>27</v>
      </c>
    </row>
    <row r="2932" spans="1:21">
      <c r="A2932" t="s">
        <v>4580</v>
      </c>
      <c r="B2932" t="s">
        <v>4581</v>
      </c>
      <c r="C2932" t="s">
        <v>4547</v>
      </c>
      <c r="D2932">
        <v>59000</v>
      </c>
      <c r="F2932">
        <v>59000</v>
      </c>
      <c r="G2932">
        <v>59000</v>
      </c>
      <c r="H2932">
        <v>1</v>
      </c>
      <c r="I2932" t="s">
        <v>89</v>
      </c>
      <c r="J2932">
        <v>20</v>
      </c>
      <c r="K2932">
        <v>38</v>
      </c>
      <c r="L2932">
        <v>3</v>
      </c>
      <c r="M2932" t="s">
        <v>4525</v>
      </c>
      <c r="N2932">
        <v>5</v>
      </c>
      <c r="O2932">
        <v>11.67</v>
      </c>
      <c r="P2932">
        <v>118283.39</v>
      </c>
      <c r="Q2932">
        <v>95329.65</v>
      </c>
      <c r="R2932">
        <v>271</v>
      </c>
      <c r="S2932">
        <v>1622</v>
      </c>
      <c r="T2932" t="s">
        <v>34</v>
      </c>
      <c r="U2932" t="s">
        <v>49</v>
      </c>
    </row>
    <row r="2933" spans="1:21">
      <c r="A2933" t="s">
        <v>4582</v>
      </c>
      <c r="B2933" t="s">
        <v>4581</v>
      </c>
      <c r="C2933" t="s">
        <v>4547</v>
      </c>
      <c r="D2933">
        <v>61000</v>
      </c>
      <c r="F2933">
        <v>61000</v>
      </c>
      <c r="G2933">
        <v>61000</v>
      </c>
      <c r="H2933">
        <v>1</v>
      </c>
      <c r="I2933" t="s">
        <v>89</v>
      </c>
      <c r="J2933">
        <v>20</v>
      </c>
      <c r="K2933">
        <v>38</v>
      </c>
      <c r="L2933">
        <v>3</v>
      </c>
      <c r="M2933" t="s">
        <v>4525</v>
      </c>
      <c r="N2933">
        <v>5</v>
      </c>
      <c r="O2933">
        <v>11.67</v>
      </c>
      <c r="P2933">
        <v>118283.39</v>
      </c>
      <c r="Q2933">
        <v>95329.65</v>
      </c>
      <c r="R2933">
        <v>271</v>
      </c>
      <c r="S2933">
        <v>1622</v>
      </c>
      <c r="T2933" t="s">
        <v>34</v>
      </c>
      <c r="U2933" t="s">
        <v>49</v>
      </c>
    </row>
    <row r="2934" spans="1:21">
      <c r="A2934" t="s">
        <v>4583</v>
      </c>
      <c r="B2934" t="s">
        <v>4584</v>
      </c>
      <c r="C2934" t="s">
        <v>4547</v>
      </c>
      <c r="D2934">
        <v>88000</v>
      </c>
      <c r="E2934">
        <v>6000</v>
      </c>
      <c r="F2934">
        <v>88000</v>
      </c>
      <c r="G2934">
        <v>88000</v>
      </c>
      <c r="H2934">
        <v>1</v>
      </c>
      <c r="I2934" t="s">
        <v>89</v>
      </c>
      <c r="J2934">
        <v>25.99</v>
      </c>
      <c r="K2934">
        <v>14</v>
      </c>
      <c r="L2934">
        <v>3</v>
      </c>
      <c r="M2934" t="s">
        <v>4525</v>
      </c>
      <c r="N2934">
        <v>8</v>
      </c>
      <c r="O2934">
        <v>12</v>
      </c>
      <c r="P2934">
        <v>118283.39</v>
      </c>
      <c r="Q2934">
        <v>95329.65</v>
      </c>
      <c r="R2934">
        <v>271</v>
      </c>
      <c r="S2934">
        <v>1622</v>
      </c>
      <c r="T2934" t="s">
        <v>34</v>
      </c>
      <c r="U2934" t="s">
        <v>90</v>
      </c>
    </row>
    <row r="2935" spans="1:21">
      <c r="A2935" t="s">
        <v>4585</v>
      </c>
      <c r="B2935" t="s">
        <v>4586</v>
      </c>
      <c r="C2935" t="s">
        <v>4539</v>
      </c>
      <c r="D2935">
        <v>38000</v>
      </c>
      <c r="E2935">
        <v>5000</v>
      </c>
      <c r="F2935">
        <v>38000</v>
      </c>
      <c r="G2935">
        <v>76000</v>
      </c>
      <c r="H2935">
        <v>2</v>
      </c>
      <c r="I2935" t="s">
        <v>89</v>
      </c>
      <c r="J2935">
        <v>12.3</v>
      </c>
      <c r="K2935">
        <v>45</v>
      </c>
      <c r="L2935">
        <v>2</v>
      </c>
      <c r="M2935" t="s">
        <v>4525</v>
      </c>
      <c r="N2935">
        <v>3</v>
      </c>
      <c r="O2935">
        <v>11.33</v>
      </c>
      <c r="P2935">
        <v>118283.39</v>
      </c>
      <c r="Q2935">
        <v>95329.65</v>
      </c>
      <c r="R2935">
        <v>271</v>
      </c>
      <c r="S2935">
        <v>1622</v>
      </c>
      <c r="T2935" t="s">
        <v>108</v>
      </c>
      <c r="U2935" t="s">
        <v>42</v>
      </c>
    </row>
    <row r="2936" spans="1:21">
      <c r="A2936" t="s">
        <v>4587</v>
      </c>
      <c r="B2936" t="s">
        <v>4586</v>
      </c>
      <c r="C2936" t="s">
        <v>4539</v>
      </c>
      <c r="D2936">
        <v>45000</v>
      </c>
      <c r="F2936">
        <v>45000</v>
      </c>
      <c r="G2936">
        <v>45000</v>
      </c>
      <c r="H2936">
        <v>2</v>
      </c>
      <c r="I2936" t="s">
        <v>89</v>
      </c>
      <c r="J2936">
        <v>12</v>
      </c>
      <c r="K2936">
        <v>45</v>
      </c>
      <c r="L2936">
        <v>2</v>
      </c>
      <c r="M2936" t="s">
        <v>4525</v>
      </c>
      <c r="N2936">
        <v>3</v>
      </c>
      <c r="O2936">
        <v>11.33</v>
      </c>
      <c r="P2936">
        <v>118283.39</v>
      </c>
      <c r="Q2936">
        <v>95329.65</v>
      </c>
      <c r="R2936">
        <v>271</v>
      </c>
      <c r="S2936">
        <v>1622</v>
      </c>
      <c r="T2936" t="s">
        <v>108</v>
      </c>
      <c r="U2936" t="s">
        <v>42</v>
      </c>
    </row>
    <row r="2937" spans="1:21">
      <c r="A2937" t="s">
        <v>4588</v>
      </c>
      <c r="B2937" t="s">
        <v>4589</v>
      </c>
      <c r="C2937" t="s">
        <v>4590</v>
      </c>
      <c r="D2937">
        <v>83000</v>
      </c>
      <c r="E2937">
        <v>3000</v>
      </c>
      <c r="F2937">
        <v>83000</v>
      </c>
      <c r="H2937">
        <v>2</v>
      </c>
      <c r="I2937" t="s">
        <v>89</v>
      </c>
      <c r="J2937">
        <v>26.25</v>
      </c>
      <c r="K2937">
        <v>25</v>
      </c>
      <c r="L2937">
        <v>3</v>
      </c>
      <c r="M2937" t="s">
        <v>4525</v>
      </c>
      <c r="N2937">
        <v>3</v>
      </c>
      <c r="O2937">
        <v>10</v>
      </c>
      <c r="P2937">
        <v>118283.39</v>
      </c>
      <c r="Q2937">
        <v>95329.65</v>
      </c>
      <c r="R2937">
        <v>271</v>
      </c>
      <c r="S2937">
        <v>1622</v>
      </c>
      <c r="T2937" t="s">
        <v>34</v>
      </c>
      <c r="U2937" t="s">
        <v>27</v>
      </c>
    </row>
    <row r="2938" spans="1:21">
      <c r="A2938" t="s">
        <v>4591</v>
      </c>
      <c r="B2938" t="s">
        <v>4592</v>
      </c>
      <c r="C2938" t="s">
        <v>4356</v>
      </c>
      <c r="D2938">
        <v>77000</v>
      </c>
      <c r="E2938">
        <v>3000</v>
      </c>
      <c r="F2938">
        <v>77000</v>
      </c>
      <c r="H2938">
        <v>2</v>
      </c>
      <c r="I2938" t="s">
        <v>89</v>
      </c>
      <c r="J2938">
        <v>23.1</v>
      </c>
      <c r="K2938">
        <v>37</v>
      </c>
      <c r="L2938">
        <v>2</v>
      </c>
      <c r="M2938" t="s">
        <v>4525</v>
      </c>
      <c r="N2938">
        <v>7</v>
      </c>
      <c r="O2938">
        <v>9.67</v>
      </c>
      <c r="P2938">
        <v>118283.39</v>
      </c>
      <c r="Q2938">
        <v>95329.65</v>
      </c>
      <c r="R2938">
        <v>271</v>
      </c>
      <c r="S2938">
        <v>1622</v>
      </c>
      <c r="T2938" t="s">
        <v>34</v>
      </c>
      <c r="U2938" t="s">
        <v>49</v>
      </c>
    </row>
    <row r="2939" spans="1:21">
      <c r="A2939" t="s">
        <v>4593</v>
      </c>
      <c r="B2939" t="s">
        <v>4541</v>
      </c>
      <c r="C2939" t="s">
        <v>4542</v>
      </c>
      <c r="D2939">
        <v>138000</v>
      </c>
      <c r="E2939">
        <v>15000</v>
      </c>
      <c r="F2939">
        <v>138000</v>
      </c>
      <c r="H2939">
        <v>14</v>
      </c>
      <c r="I2939" t="s">
        <v>89</v>
      </c>
      <c r="J2939">
        <v>25.97</v>
      </c>
      <c r="K2939">
        <v>2</v>
      </c>
      <c r="L2939">
        <v>19</v>
      </c>
      <c r="M2939" t="s">
        <v>4525</v>
      </c>
      <c r="N2939">
        <v>6</v>
      </c>
      <c r="O2939">
        <v>12</v>
      </c>
      <c r="P2939">
        <v>118283.39</v>
      </c>
      <c r="Q2939">
        <v>95329.65</v>
      </c>
      <c r="R2939">
        <v>271</v>
      </c>
      <c r="S2939">
        <v>1622</v>
      </c>
      <c r="T2939" t="s">
        <v>34</v>
      </c>
      <c r="U2939" t="s">
        <v>31</v>
      </c>
    </row>
    <row r="2940" spans="1:21">
      <c r="A2940" t="s">
        <v>4594</v>
      </c>
      <c r="B2940" t="s">
        <v>4541</v>
      </c>
      <c r="C2940" t="s">
        <v>4542</v>
      </c>
      <c r="D2940">
        <v>130000</v>
      </c>
      <c r="E2940">
        <v>15000</v>
      </c>
      <c r="F2940">
        <v>130000</v>
      </c>
      <c r="H2940">
        <v>2</v>
      </c>
      <c r="I2940" t="s">
        <v>89</v>
      </c>
      <c r="J2940">
        <v>25.97</v>
      </c>
      <c r="K2940">
        <v>2</v>
      </c>
      <c r="L2940">
        <v>19</v>
      </c>
      <c r="M2940" t="s">
        <v>4525</v>
      </c>
      <c r="N2940">
        <v>6</v>
      </c>
      <c r="O2940">
        <v>12</v>
      </c>
      <c r="P2940">
        <v>118283.39</v>
      </c>
      <c r="Q2940">
        <v>95329.65</v>
      </c>
      <c r="R2940">
        <v>271</v>
      </c>
      <c r="S2940">
        <v>1622</v>
      </c>
      <c r="T2940" t="s">
        <v>34</v>
      </c>
      <c r="U2940" t="s">
        <v>31</v>
      </c>
    </row>
    <row r="2941" spans="1:21">
      <c r="A2941" t="s">
        <v>4595</v>
      </c>
      <c r="B2941" t="s">
        <v>4596</v>
      </c>
      <c r="C2941" t="s">
        <v>4547</v>
      </c>
      <c r="D2941">
        <v>82000</v>
      </c>
      <c r="E2941">
        <v>9320</v>
      </c>
      <c r="G2941">
        <v>123000</v>
      </c>
      <c r="H2941">
        <v>2</v>
      </c>
      <c r="I2941" t="s">
        <v>89</v>
      </c>
      <c r="J2941">
        <v>23.12</v>
      </c>
      <c r="K2941">
        <v>19</v>
      </c>
      <c r="L2941">
        <v>2</v>
      </c>
      <c r="M2941" t="s">
        <v>4525</v>
      </c>
      <c r="N2941">
        <v>6</v>
      </c>
      <c r="O2941">
        <v>11.67</v>
      </c>
      <c r="P2941">
        <v>118283.39</v>
      </c>
      <c r="Q2941">
        <v>95329.65</v>
      </c>
      <c r="R2941">
        <v>271</v>
      </c>
      <c r="S2941">
        <v>1622</v>
      </c>
      <c r="T2941" t="s">
        <v>34</v>
      </c>
      <c r="U2941" t="s">
        <v>90</v>
      </c>
    </row>
    <row r="2942" spans="1:21">
      <c r="A2942" t="s">
        <v>4597</v>
      </c>
      <c r="B2942" t="s">
        <v>4598</v>
      </c>
      <c r="C2942" t="s">
        <v>54</v>
      </c>
      <c r="D2942">
        <v>86000</v>
      </c>
      <c r="E2942">
        <v>10000</v>
      </c>
      <c r="F2942">
        <v>43000</v>
      </c>
      <c r="G2942">
        <v>86000</v>
      </c>
      <c r="H2942">
        <v>8</v>
      </c>
      <c r="I2942" t="s">
        <v>89</v>
      </c>
      <c r="J2942">
        <v>21.14</v>
      </c>
      <c r="K2942">
        <v>25</v>
      </c>
      <c r="L2942">
        <v>10</v>
      </c>
      <c r="M2942" t="s">
        <v>4525</v>
      </c>
      <c r="N2942">
        <v>9</v>
      </c>
      <c r="O2942">
        <v>12</v>
      </c>
      <c r="P2942">
        <v>118283.39</v>
      </c>
      <c r="Q2942">
        <v>95329.65</v>
      </c>
      <c r="R2942">
        <v>271</v>
      </c>
      <c r="S2942">
        <v>1622</v>
      </c>
      <c r="T2942" t="s">
        <v>34</v>
      </c>
      <c r="U2942" t="s">
        <v>27</v>
      </c>
    </row>
    <row r="2943" spans="1:21">
      <c r="A2943" t="s">
        <v>4599</v>
      </c>
      <c r="B2943" t="s">
        <v>4598</v>
      </c>
      <c r="C2943" t="s">
        <v>54</v>
      </c>
      <c r="D2943">
        <v>90000</v>
      </c>
      <c r="E2943">
        <v>8000</v>
      </c>
      <c r="F2943">
        <v>45000</v>
      </c>
      <c r="G2943">
        <v>90000</v>
      </c>
      <c r="H2943">
        <v>9</v>
      </c>
      <c r="I2943" t="s">
        <v>89</v>
      </c>
      <c r="J2943">
        <v>21.14</v>
      </c>
      <c r="K2943">
        <v>25</v>
      </c>
      <c r="L2943">
        <v>10</v>
      </c>
      <c r="M2943" t="s">
        <v>4525</v>
      </c>
      <c r="N2943">
        <v>9</v>
      </c>
      <c r="O2943">
        <v>12</v>
      </c>
      <c r="P2943">
        <v>118283.39</v>
      </c>
      <c r="Q2943">
        <v>95329.65</v>
      </c>
      <c r="R2943">
        <v>271</v>
      </c>
      <c r="S2943">
        <v>1622</v>
      </c>
      <c r="T2943" t="s">
        <v>34</v>
      </c>
      <c r="U2943" t="s">
        <v>27</v>
      </c>
    </row>
    <row r="2944" spans="1:21">
      <c r="A2944" t="s">
        <v>4600</v>
      </c>
      <c r="B2944" t="s">
        <v>4601</v>
      </c>
      <c r="C2944" t="s">
        <v>4542</v>
      </c>
      <c r="D2944">
        <v>97000</v>
      </c>
      <c r="E2944">
        <v>4000</v>
      </c>
      <c r="G2944">
        <v>97000</v>
      </c>
      <c r="H2944">
        <v>2</v>
      </c>
      <c r="I2944" t="s">
        <v>89</v>
      </c>
      <c r="J2944">
        <v>23.25</v>
      </c>
      <c r="K2944">
        <v>9</v>
      </c>
      <c r="L2944">
        <v>3</v>
      </c>
      <c r="M2944" t="s">
        <v>4525</v>
      </c>
      <c r="N2944">
        <v>4</v>
      </c>
      <c r="O2944">
        <v>11</v>
      </c>
      <c r="P2944">
        <v>118283.39</v>
      </c>
      <c r="Q2944">
        <v>95329.65</v>
      </c>
      <c r="R2944">
        <v>271</v>
      </c>
      <c r="S2944">
        <v>1622</v>
      </c>
      <c r="T2944" t="s">
        <v>34</v>
      </c>
      <c r="U2944" t="s">
        <v>31</v>
      </c>
    </row>
    <row r="2945" spans="1:21">
      <c r="A2945" t="s">
        <v>4602</v>
      </c>
      <c r="B2945" t="s">
        <v>4603</v>
      </c>
      <c r="C2945" t="s">
        <v>4590</v>
      </c>
      <c r="D2945">
        <v>65000</v>
      </c>
      <c r="F2945">
        <v>65000</v>
      </c>
      <c r="H2945">
        <v>1</v>
      </c>
      <c r="I2945" t="s">
        <v>89</v>
      </c>
      <c r="J2945">
        <v>23.08</v>
      </c>
      <c r="K2945">
        <v>32</v>
      </c>
      <c r="L2945">
        <v>2</v>
      </c>
      <c r="M2945" t="s">
        <v>4525</v>
      </c>
      <c r="N2945">
        <v>6</v>
      </c>
      <c r="O2945">
        <v>12.33</v>
      </c>
      <c r="P2945">
        <v>118283.39</v>
      </c>
      <c r="Q2945">
        <v>95329.65</v>
      </c>
      <c r="R2945">
        <v>271</v>
      </c>
      <c r="S2945">
        <v>1622</v>
      </c>
      <c r="T2945" t="s">
        <v>34</v>
      </c>
      <c r="U2945" t="s">
        <v>49</v>
      </c>
    </row>
    <row r="2946" spans="1:21">
      <c r="A2946" t="s">
        <v>4604</v>
      </c>
      <c r="B2946" t="s">
        <v>4605</v>
      </c>
      <c r="C2946" t="s">
        <v>4547</v>
      </c>
      <c r="D2946">
        <v>49000</v>
      </c>
      <c r="E2946">
        <v>3000</v>
      </c>
      <c r="G2946">
        <v>49000</v>
      </c>
      <c r="H2946">
        <v>2</v>
      </c>
      <c r="I2946" t="s">
        <v>89</v>
      </c>
      <c r="J2946">
        <v>15.5</v>
      </c>
      <c r="K2946">
        <v>35</v>
      </c>
      <c r="L2946">
        <v>2</v>
      </c>
      <c r="M2946" t="s">
        <v>4525</v>
      </c>
      <c r="N2946">
        <v>8</v>
      </c>
      <c r="O2946">
        <v>10.67</v>
      </c>
      <c r="P2946">
        <v>118283.39</v>
      </c>
      <c r="Q2946">
        <v>95329.65</v>
      </c>
      <c r="R2946">
        <v>271</v>
      </c>
      <c r="S2946">
        <v>1622</v>
      </c>
      <c r="T2946" t="s">
        <v>108</v>
      </c>
      <c r="U2946" t="s">
        <v>49</v>
      </c>
    </row>
    <row r="2947" spans="1:21">
      <c r="A2947" t="s">
        <v>4606</v>
      </c>
      <c r="B2947" t="s">
        <v>4607</v>
      </c>
      <c r="C2947" t="s">
        <v>4356</v>
      </c>
      <c r="D2947">
        <v>92000</v>
      </c>
      <c r="E2947">
        <v>3000</v>
      </c>
      <c r="F2947">
        <v>92000</v>
      </c>
      <c r="G2947">
        <v>92000</v>
      </c>
      <c r="H2947">
        <v>2</v>
      </c>
      <c r="I2947" t="s">
        <v>89</v>
      </c>
      <c r="J2947">
        <v>25.5</v>
      </c>
      <c r="K2947">
        <v>12</v>
      </c>
      <c r="L2947">
        <v>3</v>
      </c>
      <c r="M2947" t="s">
        <v>4525</v>
      </c>
      <c r="N2947">
        <v>9</v>
      </c>
      <c r="O2947">
        <v>9.33</v>
      </c>
      <c r="P2947">
        <v>118283.39</v>
      </c>
      <c r="Q2947">
        <v>95329.65</v>
      </c>
      <c r="R2947">
        <v>271</v>
      </c>
      <c r="S2947">
        <v>1622</v>
      </c>
      <c r="T2947" t="s">
        <v>34</v>
      </c>
      <c r="U2947" t="s">
        <v>90</v>
      </c>
    </row>
    <row r="2948" spans="1:21">
      <c r="A2948" t="s">
        <v>4608</v>
      </c>
      <c r="B2948" t="s">
        <v>4609</v>
      </c>
      <c r="C2948" t="s">
        <v>4539</v>
      </c>
      <c r="D2948">
        <v>92000</v>
      </c>
      <c r="E2948">
        <v>6500</v>
      </c>
      <c r="F2948">
        <v>92000</v>
      </c>
      <c r="G2948">
        <v>184000</v>
      </c>
      <c r="H2948">
        <v>1</v>
      </c>
      <c r="I2948" t="s">
        <v>89</v>
      </c>
      <c r="J2948">
        <v>29.97</v>
      </c>
      <c r="K2948">
        <v>7</v>
      </c>
      <c r="L2948">
        <v>3</v>
      </c>
      <c r="M2948" t="s">
        <v>4525</v>
      </c>
      <c r="N2948">
        <v>4</v>
      </c>
      <c r="O2948">
        <v>11.33</v>
      </c>
      <c r="P2948">
        <v>118283.39</v>
      </c>
      <c r="Q2948">
        <v>95329.65</v>
      </c>
      <c r="R2948">
        <v>271</v>
      </c>
      <c r="S2948">
        <v>1622</v>
      </c>
      <c r="T2948" t="s">
        <v>34</v>
      </c>
      <c r="U2948" t="s">
        <v>31</v>
      </c>
    </row>
    <row r="2949" spans="1:21">
      <c r="A2949" t="s">
        <v>4610</v>
      </c>
      <c r="B2949" t="s">
        <v>4611</v>
      </c>
      <c r="C2949" t="s">
        <v>4542</v>
      </c>
      <c r="D2949">
        <v>80000</v>
      </c>
      <c r="E2949">
        <v>9000</v>
      </c>
      <c r="F2949">
        <v>80000</v>
      </c>
      <c r="G2949">
        <v>80000</v>
      </c>
      <c r="H2949">
        <v>3</v>
      </c>
      <c r="I2949" t="s">
        <v>89</v>
      </c>
      <c r="J2949">
        <v>20.58</v>
      </c>
      <c r="K2949">
        <v>27</v>
      </c>
      <c r="L2949">
        <v>11</v>
      </c>
      <c r="M2949" t="s">
        <v>4525</v>
      </c>
      <c r="N2949">
        <v>6</v>
      </c>
      <c r="O2949">
        <v>11.67</v>
      </c>
      <c r="P2949">
        <v>118283.39</v>
      </c>
      <c r="Q2949">
        <v>95329.65</v>
      </c>
      <c r="R2949">
        <v>271</v>
      </c>
      <c r="S2949">
        <v>1622</v>
      </c>
      <c r="T2949" t="s">
        <v>34</v>
      </c>
      <c r="U2949" t="s">
        <v>27</v>
      </c>
    </row>
    <row r="2950" spans="1:21">
      <c r="A2950" t="s">
        <v>4612</v>
      </c>
      <c r="B2950" t="s">
        <v>4613</v>
      </c>
      <c r="C2950" t="s">
        <v>4542</v>
      </c>
      <c r="D2950">
        <v>92000</v>
      </c>
      <c r="E2950">
        <v>10000</v>
      </c>
      <c r="F2950">
        <v>92000</v>
      </c>
      <c r="G2950">
        <v>92000</v>
      </c>
      <c r="H2950">
        <v>7</v>
      </c>
      <c r="I2950" t="s">
        <v>89</v>
      </c>
      <c r="J2950">
        <v>20.25</v>
      </c>
      <c r="K2950">
        <v>11</v>
      </c>
      <c r="L2950">
        <v>8</v>
      </c>
      <c r="M2950" t="s">
        <v>4525</v>
      </c>
      <c r="N2950">
        <v>9</v>
      </c>
      <c r="O2950">
        <v>11.67</v>
      </c>
      <c r="P2950">
        <v>118283.39</v>
      </c>
      <c r="Q2950">
        <v>95329.65</v>
      </c>
      <c r="R2950">
        <v>271</v>
      </c>
      <c r="S2950">
        <v>1622</v>
      </c>
      <c r="T2950" t="s">
        <v>34</v>
      </c>
      <c r="U2950" t="s">
        <v>90</v>
      </c>
    </row>
    <row r="2951" spans="1:21">
      <c r="A2951" t="s">
        <v>4614</v>
      </c>
      <c r="B2951" t="s">
        <v>4615</v>
      </c>
      <c r="C2951" t="s">
        <v>4356</v>
      </c>
      <c r="D2951">
        <v>80000</v>
      </c>
      <c r="E2951">
        <v>6000</v>
      </c>
      <c r="G2951">
        <v>80000</v>
      </c>
      <c r="H2951">
        <v>1</v>
      </c>
      <c r="I2951" t="s">
        <v>89</v>
      </c>
      <c r="J2951">
        <v>24.1</v>
      </c>
      <c r="K2951">
        <v>13</v>
      </c>
      <c r="L2951">
        <v>2</v>
      </c>
      <c r="M2951" t="s">
        <v>4525</v>
      </c>
      <c r="N2951">
        <v>9</v>
      </c>
      <c r="O2951">
        <v>10.67</v>
      </c>
      <c r="P2951">
        <v>118283.39</v>
      </c>
      <c r="Q2951">
        <v>95329.65</v>
      </c>
      <c r="R2951">
        <v>271</v>
      </c>
      <c r="S2951">
        <v>1622</v>
      </c>
      <c r="T2951" t="s">
        <v>34</v>
      </c>
      <c r="U2951" t="s">
        <v>90</v>
      </c>
    </row>
    <row r="2952" spans="1:21">
      <c r="A2952" t="s">
        <v>4616</v>
      </c>
      <c r="B2952" t="s">
        <v>4617</v>
      </c>
      <c r="C2952" t="s">
        <v>712</v>
      </c>
      <c r="D2952">
        <v>132000</v>
      </c>
      <c r="E2952">
        <v>11000</v>
      </c>
      <c r="G2952">
        <v>132000</v>
      </c>
      <c r="H2952">
        <v>2</v>
      </c>
      <c r="I2952" t="s">
        <v>89</v>
      </c>
      <c r="J2952">
        <v>25.5</v>
      </c>
      <c r="K2952">
        <v>2</v>
      </c>
      <c r="L2952">
        <v>8</v>
      </c>
      <c r="M2952" t="s">
        <v>4525</v>
      </c>
      <c r="N2952">
        <v>7</v>
      </c>
      <c r="O2952">
        <v>10.33</v>
      </c>
      <c r="P2952">
        <v>118283.39</v>
      </c>
      <c r="Q2952">
        <v>95329.65</v>
      </c>
      <c r="R2952">
        <v>271</v>
      </c>
      <c r="S2952">
        <v>1622</v>
      </c>
      <c r="T2952" t="s">
        <v>34</v>
      </c>
      <c r="U2952" t="s">
        <v>31</v>
      </c>
    </row>
    <row r="2953" spans="1:21">
      <c r="A2953" t="s">
        <v>4618</v>
      </c>
      <c r="B2953" t="s">
        <v>4617</v>
      </c>
      <c r="C2953" t="s">
        <v>712</v>
      </c>
      <c r="D2953">
        <v>134000</v>
      </c>
      <c r="E2953">
        <v>11000</v>
      </c>
      <c r="G2953">
        <v>134000</v>
      </c>
      <c r="H2953">
        <v>2</v>
      </c>
      <c r="I2953" t="s">
        <v>89</v>
      </c>
      <c r="J2953">
        <v>25.5</v>
      </c>
      <c r="K2953">
        <v>2</v>
      </c>
      <c r="L2953">
        <v>8</v>
      </c>
      <c r="M2953" t="s">
        <v>4525</v>
      </c>
      <c r="N2953">
        <v>7</v>
      </c>
      <c r="O2953">
        <v>10.33</v>
      </c>
      <c r="P2953">
        <v>118283.39</v>
      </c>
      <c r="Q2953">
        <v>95329.65</v>
      </c>
      <c r="R2953">
        <v>271</v>
      </c>
      <c r="S2953">
        <v>1622</v>
      </c>
      <c r="T2953" t="s">
        <v>34</v>
      </c>
      <c r="U2953" t="s">
        <v>31</v>
      </c>
    </row>
    <row r="2954" spans="1:21">
      <c r="A2954" t="s">
        <v>4619</v>
      </c>
      <c r="B2954" t="s">
        <v>4617</v>
      </c>
      <c r="C2954" t="s">
        <v>712</v>
      </c>
      <c r="D2954">
        <v>133000</v>
      </c>
      <c r="E2954">
        <v>11000</v>
      </c>
      <c r="G2954">
        <v>133000</v>
      </c>
      <c r="H2954">
        <v>3</v>
      </c>
      <c r="I2954" t="s">
        <v>89</v>
      </c>
      <c r="J2954">
        <v>25.5</v>
      </c>
      <c r="K2954">
        <v>2</v>
      </c>
      <c r="L2954">
        <v>8</v>
      </c>
      <c r="M2954" t="s">
        <v>4525</v>
      </c>
      <c r="N2954">
        <v>7</v>
      </c>
      <c r="O2954">
        <v>10.33</v>
      </c>
      <c r="P2954">
        <v>118283.39</v>
      </c>
      <c r="Q2954">
        <v>95329.65</v>
      </c>
      <c r="R2954">
        <v>271</v>
      </c>
      <c r="S2954">
        <v>1622</v>
      </c>
      <c r="T2954" t="s">
        <v>34</v>
      </c>
      <c r="U2954" t="s">
        <v>31</v>
      </c>
    </row>
    <row r="2955" spans="1:21">
      <c r="A2955" t="s">
        <v>4620</v>
      </c>
      <c r="B2955" t="s">
        <v>4617</v>
      </c>
      <c r="C2955" t="s">
        <v>712</v>
      </c>
      <c r="D2955">
        <v>135000</v>
      </c>
      <c r="E2955">
        <v>11000</v>
      </c>
      <c r="G2955">
        <v>135000</v>
      </c>
      <c r="H2955">
        <v>3</v>
      </c>
      <c r="I2955" t="s">
        <v>89</v>
      </c>
      <c r="J2955">
        <v>25.5</v>
      </c>
      <c r="K2955">
        <v>2</v>
      </c>
      <c r="L2955">
        <v>8</v>
      </c>
      <c r="M2955" t="s">
        <v>4525</v>
      </c>
      <c r="N2955">
        <v>7</v>
      </c>
      <c r="O2955">
        <v>10.33</v>
      </c>
      <c r="P2955">
        <v>118283.39</v>
      </c>
      <c r="Q2955">
        <v>95329.65</v>
      </c>
      <c r="R2955">
        <v>271</v>
      </c>
      <c r="S2955">
        <v>1622</v>
      </c>
      <c r="T2955" t="s">
        <v>34</v>
      </c>
      <c r="U2955" t="s">
        <v>31</v>
      </c>
    </row>
    <row r="2956" spans="1:21">
      <c r="A2956" t="s">
        <v>4621</v>
      </c>
      <c r="B2956" t="s">
        <v>4617</v>
      </c>
      <c r="C2956" t="s">
        <v>712</v>
      </c>
      <c r="D2956">
        <v>134000</v>
      </c>
      <c r="E2956">
        <v>11000</v>
      </c>
      <c r="G2956">
        <v>134000</v>
      </c>
      <c r="H2956">
        <v>5</v>
      </c>
      <c r="I2956" t="s">
        <v>89</v>
      </c>
      <c r="J2956">
        <v>25.5</v>
      </c>
      <c r="K2956">
        <v>2</v>
      </c>
      <c r="L2956">
        <v>8</v>
      </c>
      <c r="M2956" t="s">
        <v>4525</v>
      </c>
      <c r="N2956">
        <v>7</v>
      </c>
      <c r="O2956">
        <v>10.33</v>
      </c>
      <c r="P2956">
        <v>118283.39</v>
      </c>
      <c r="Q2956">
        <v>95329.65</v>
      </c>
      <c r="R2956">
        <v>271</v>
      </c>
      <c r="S2956">
        <v>1622</v>
      </c>
      <c r="T2956" t="s">
        <v>34</v>
      </c>
      <c r="U2956" t="s">
        <v>31</v>
      </c>
    </row>
    <row r="2957" spans="1:21">
      <c r="A2957" t="s">
        <v>4622</v>
      </c>
      <c r="B2957" t="s">
        <v>4617</v>
      </c>
      <c r="C2957" t="s">
        <v>712</v>
      </c>
      <c r="D2957">
        <v>135000</v>
      </c>
      <c r="E2957">
        <v>11000</v>
      </c>
      <c r="G2957">
        <v>135000</v>
      </c>
      <c r="H2957">
        <v>8</v>
      </c>
      <c r="I2957" t="s">
        <v>89</v>
      </c>
      <c r="J2957">
        <v>25.5</v>
      </c>
      <c r="K2957">
        <v>2</v>
      </c>
      <c r="L2957">
        <v>8</v>
      </c>
      <c r="M2957" t="s">
        <v>4525</v>
      </c>
      <c r="N2957">
        <v>7</v>
      </c>
      <c r="O2957">
        <v>10.33</v>
      </c>
      <c r="P2957">
        <v>118283.39</v>
      </c>
      <c r="Q2957">
        <v>95329.65</v>
      </c>
      <c r="R2957">
        <v>271</v>
      </c>
      <c r="S2957">
        <v>1622</v>
      </c>
      <c r="T2957" t="s">
        <v>34</v>
      </c>
      <c r="U2957" t="s">
        <v>31</v>
      </c>
    </row>
    <row r="2958" spans="1:21">
      <c r="A2958" t="s">
        <v>4623</v>
      </c>
      <c r="B2958" t="s">
        <v>4624</v>
      </c>
      <c r="C2958" t="s">
        <v>4542</v>
      </c>
      <c r="D2958">
        <v>86000</v>
      </c>
      <c r="E2958">
        <v>8000</v>
      </c>
      <c r="G2958">
        <v>86000</v>
      </c>
      <c r="H2958">
        <v>2</v>
      </c>
      <c r="I2958" t="s">
        <v>89</v>
      </c>
      <c r="J2958">
        <v>22.15</v>
      </c>
      <c r="K2958">
        <v>15</v>
      </c>
      <c r="L2958">
        <v>10</v>
      </c>
      <c r="M2958" t="s">
        <v>4525</v>
      </c>
      <c r="N2958">
        <v>4</v>
      </c>
      <c r="O2958">
        <v>10.67</v>
      </c>
      <c r="P2958">
        <v>118283.39</v>
      </c>
      <c r="Q2958">
        <v>95329.65</v>
      </c>
      <c r="R2958">
        <v>271</v>
      </c>
      <c r="S2958">
        <v>1622</v>
      </c>
      <c r="T2958" t="s">
        <v>34</v>
      </c>
      <c r="U2958" t="s">
        <v>90</v>
      </c>
    </row>
    <row r="2959" spans="1:21">
      <c r="A2959" t="s">
        <v>4625</v>
      </c>
      <c r="B2959" t="s">
        <v>4624</v>
      </c>
      <c r="C2959" t="s">
        <v>4542</v>
      </c>
      <c r="D2959">
        <v>87000</v>
      </c>
      <c r="E2959">
        <v>8000</v>
      </c>
      <c r="G2959">
        <v>87000</v>
      </c>
      <c r="H2959">
        <v>5</v>
      </c>
      <c r="I2959" t="s">
        <v>89</v>
      </c>
      <c r="J2959">
        <v>21.17</v>
      </c>
      <c r="K2959">
        <v>15</v>
      </c>
      <c r="L2959">
        <v>10</v>
      </c>
      <c r="M2959" t="s">
        <v>4525</v>
      </c>
      <c r="N2959">
        <v>4</v>
      </c>
      <c r="O2959">
        <v>10.67</v>
      </c>
      <c r="P2959">
        <v>118283.39</v>
      </c>
      <c r="Q2959">
        <v>95329.65</v>
      </c>
      <c r="R2959">
        <v>271</v>
      </c>
      <c r="S2959">
        <v>1622</v>
      </c>
      <c r="T2959" t="s">
        <v>34</v>
      </c>
      <c r="U2959" t="s">
        <v>90</v>
      </c>
    </row>
    <row r="2960" spans="1:21">
      <c r="A2960" t="s">
        <v>4626</v>
      </c>
      <c r="B2960" t="s">
        <v>4624</v>
      </c>
      <c r="C2960" t="s">
        <v>4542</v>
      </c>
      <c r="D2960">
        <v>124000</v>
      </c>
      <c r="E2960">
        <v>11000</v>
      </c>
      <c r="G2960">
        <v>124000</v>
      </c>
      <c r="H2960">
        <v>9</v>
      </c>
      <c r="I2960" t="s">
        <v>89</v>
      </c>
      <c r="J2960">
        <v>21.17</v>
      </c>
      <c r="K2960">
        <v>15</v>
      </c>
      <c r="L2960">
        <v>10</v>
      </c>
      <c r="M2960" t="s">
        <v>4525</v>
      </c>
      <c r="N2960">
        <v>4</v>
      </c>
      <c r="O2960">
        <v>10.67</v>
      </c>
      <c r="P2960">
        <v>118283.39</v>
      </c>
      <c r="Q2960">
        <v>95329.65</v>
      </c>
      <c r="R2960">
        <v>271</v>
      </c>
      <c r="S2960">
        <v>1622</v>
      </c>
      <c r="T2960" t="s">
        <v>34</v>
      </c>
      <c r="U2960" t="s">
        <v>90</v>
      </c>
    </row>
    <row r="2961" spans="1:21">
      <c r="A2961" t="s">
        <v>4627</v>
      </c>
      <c r="B2961" t="s">
        <v>4624</v>
      </c>
      <c r="C2961" t="s">
        <v>4542</v>
      </c>
      <c r="D2961">
        <v>86000</v>
      </c>
      <c r="E2961">
        <v>8000</v>
      </c>
      <c r="G2961">
        <v>86000</v>
      </c>
      <c r="H2961">
        <v>9</v>
      </c>
      <c r="I2961" t="s">
        <v>89</v>
      </c>
      <c r="J2961">
        <v>21.17</v>
      </c>
      <c r="K2961">
        <v>15</v>
      </c>
      <c r="L2961">
        <v>10</v>
      </c>
      <c r="M2961" t="s">
        <v>4525</v>
      </c>
      <c r="N2961">
        <v>4</v>
      </c>
      <c r="O2961">
        <v>10.67</v>
      </c>
      <c r="P2961">
        <v>118283.39</v>
      </c>
      <c r="Q2961">
        <v>95329.65</v>
      </c>
      <c r="R2961">
        <v>271</v>
      </c>
      <c r="S2961">
        <v>1622</v>
      </c>
      <c r="T2961" t="s">
        <v>34</v>
      </c>
      <c r="U2961" t="s">
        <v>90</v>
      </c>
    </row>
    <row r="2962" spans="1:21">
      <c r="A2962" t="s">
        <v>4628</v>
      </c>
      <c r="B2962" t="s">
        <v>2088</v>
      </c>
      <c r="C2962" t="s">
        <v>4539</v>
      </c>
      <c r="D2962">
        <v>75000</v>
      </c>
      <c r="E2962">
        <v>3000</v>
      </c>
      <c r="F2962">
        <v>75000</v>
      </c>
      <c r="H2962">
        <v>3</v>
      </c>
      <c r="I2962" t="s">
        <v>89</v>
      </c>
      <c r="J2962">
        <v>20.14</v>
      </c>
      <c r="K2962">
        <v>17</v>
      </c>
      <c r="L2962">
        <v>3</v>
      </c>
      <c r="M2962" t="s">
        <v>4525</v>
      </c>
      <c r="N2962">
        <v>5</v>
      </c>
      <c r="O2962">
        <v>11.33</v>
      </c>
      <c r="P2962">
        <v>118283.39</v>
      </c>
      <c r="Q2962">
        <v>95329.65</v>
      </c>
      <c r="R2962">
        <v>271</v>
      </c>
      <c r="S2962">
        <v>1622</v>
      </c>
      <c r="T2962" t="s">
        <v>34</v>
      </c>
      <c r="U2962" t="s">
        <v>90</v>
      </c>
    </row>
    <row r="2963" spans="1:21">
      <c r="A2963" t="s">
        <v>4629</v>
      </c>
      <c r="B2963" t="s">
        <v>4630</v>
      </c>
      <c r="C2963" t="s">
        <v>4547</v>
      </c>
      <c r="D2963">
        <v>60000</v>
      </c>
      <c r="E2963">
        <v>6000</v>
      </c>
      <c r="F2963">
        <v>60000</v>
      </c>
      <c r="G2963">
        <v>60000</v>
      </c>
      <c r="H2963">
        <v>4</v>
      </c>
      <c r="I2963" t="s">
        <v>89</v>
      </c>
      <c r="J2963">
        <v>16.2</v>
      </c>
      <c r="K2963">
        <v>39</v>
      </c>
      <c r="L2963">
        <v>6</v>
      </c>
      <c r="M2963" t="s">
        <v>4525</v>
      </c>
      <c r="N2963">
        <v>6</v>
      </c>
      <c r="O2963">
        <v>12</v>
      </c>
      <c r="P2963">
        <v>118283.39</v>
      </c>
      <c r="Q2963">
        <v>95329.65</v>
      </c>
      <c r="R2963">
        <v>271</v>
      </c>
      <c r="S2963">
        <v>1622</v>
      </c>
      <c r="T2963" t="s">
        <v>108</v>
      </c>
      <c r="U2963" t="s">
        <v>49</v>
      </c>
    </row>
    <row r="2964" spans="1:21">
      <c r="A2964" t="s">
        <v>4631</v>
      </c>
      <c r="B2964" t="s">
        <v>4632</v>
      </c>
      <c r="C2964" t="s">
        <v>54</v>
      </c>
      <c r="D2964">
        <v>74000</v>
      </c>
      <c r="E2964">
        <v>3000</v>
      </c>
      <c r="F2964">
        <v>74000</v>
      </c>
      <c r="H2964">
        <v>4</v>
      </c>
      <c r="I2964" t="s">
        <v>89</v>
      </c>
      <c r="J2964">
        <v>20.100000000000001</v>
      </c>
      <c r="K2964">
        <v>31</v>
      </c>
      <c r="L2964">
        <v>5</v>
      </c>
      <c r="M2964" t="s">
        <v>4525</v>
      </c>
      <c r="N2964">
        <v>10</v>
      </c>
      <c r="O2964">
        <v>11.33</v>
      </c>
      <c r="P2964">
        <v>118283.39</v>
      </c>
      <c r="Q2964">
        <v>95329.65</v>
      </c>
      <c r="R2964">
        <v>271</v>
      </c>
      <c r="S2964">
        <v>1622</v>
      </c>
      <c r="T2964" t="s">
        <v>34</v>
      </c>
      <c r="U2964" t="s">
        <v>49</v>
      </c>
    </row>
    <row r="2965" spans="1:21">
      <c r="A2965" t="s">
        <v>4633</v>
      </c>
      <c r="B2965" t="s">
        <v>4634</v>
      </c>
      <c r="C2965" t="s">
        <v>4542</v>
      </c>
      <c r="D2965">
        <v>140000</v>
      </c>
      <c r="E2965">
        <v>8000</v>
      </c>
      <c r="F2965">
        <v>140000</v>
      </c>
      <c r="G2965">
        <v>140000</v>
      </c>
      <c r="H2965">
        <v>6</v>
      </c>
      <c r="I2965" t="s">
        <v>89</v>
      </c>
      <c r="J2965">
        <v>33.1</v>
      </c>
      <c r="K2965">
        <v>9</v>
      </c>
      <c r="L2965">
        <v>8</v>
      </c>
      <c r="M2965" t="s">
        <v>4525</v>
      </c>
      <c r="N2965">
        <v>7</v>
      </c>
      <c r="O2965">
        <v>10.67</v>
      </c>
      <c r="P2965">
        <v>118283.39</v>
      </c>
      <c r="Q2965">
        <v>95329.65</v>
      </c>
      <c r="R2965">
        <v>271</v>
      </c>
      <c r="S2965">
        <v>1622</v>
      </c>
      <c r="T2965" t="s">
        <v>26</v>
      </c>
      <c r="U2965" t="s">
        <v>31</v>
      </c>
    </row>
    <row r="2966" spans="1:21">
      <c r="A2966" t="s">
        <v>4635</v>
      </c>
      <c r="B2966" t="s">
        <v>4636</v>
      </c>
      <c r="C2966" t="s">
        <v>54</v>
      </c>
      <c r="D2966">
        <v>116000</v>
      </c>
      <c r="E2966">
        <v>8000</v>
      </c>
      <c r="F2966">
        <v>116000</v>
      </c>
      <c r="G2966">
        <v>116000</v>
      </c>
      <c r="H2966">
        <v>8</v>
      </c>
      <c r="I2966" t="s">
        <v>89</v>
      </c>
      <c r="J2966">
        <v>25.74</v>
      </c>
      <c r="K2966">
        <v>7</v>
      </c>
      <c r="L2966">
        <v>8</v>
      </c>
      <c r="M2966" t="s">
        <v>4525</v>
      </c>
      <c r="N2966">
        <v>11</v>
      </c>
      <c r="O2966">
        <v>12.33</v>
      </c>
      <c r="P2966">
        <v>118283.39</v>
      </c>
      <c r="Q2966">
        <v>95329.65</v>
      </c>
      <c r="R2966">
        <v>271</v>
      </c>
      <c r="S2966">
        <v>1622</v>
      </c>
      <c r="T2966" t="s">
        <v>34</v>
      </c>
      <c r="U2966" t="s">
        <v>31</v>
      </c>
    </row>
    <row r="2967" spans="1:21">
      <c r="A2967" t="s">
        <v>4637</v>
      </c>
      <c r="B2967" t="s">
        <v>4636</v>
      </c>
      <c r="C2967" t="s">
        <v>54</v>
      </c>
      <c r="D2967">
        <v>118000</v>
      </c>
      <c r="E2967">
        <v>8000</v>
      </c>
      <c r="F2967">
        <v>118000</v>
      </c>
      <c r="G2967">
        <v>59000</v>
      </c>
      <c r="H2967">
        <v>8</v>
      </c>
      <c r="I2967" t="s">
        <v>89</v>
      </c>
      <c r="J2967">
        <v>25.74</v>
      </c>
      <c r="K2967">
        <v>7</v>
      </c>
      <c r="L2967">
        <v>8</v>
      </c>
      <c r="M2967" t="s">
        <v>4525</v>
      </c>
      <c r="N2967">
        <v>11</v>
      </c>
      <c r="O2967">
        <v>12.33</v>
      </c>
      <c r="P2967">
        <v>118283.39</v>
      </c>
      <c r="Q2967">
        <v>95329.65</v>
      </c>
      <c r="R2967">
        <v>271</v>
      </c>
      <c r="S2967">
        <v>1622</v>
      </c>
      <c r="T2967" t="s">
        <v>34</v>
      </c>
      <c r="U2967" t="s">
        <v>31</v>
      </c>
    </row>
    <row r="2968" spans="1:21">
      <c r="A2968" t="s">
        <v>4638</v>
      </c>
      <c r="B2968" t="s">
        <v>4639</v>
      </c>
      <c r="C2968" t="s">
        <v>4539</v>
      </c>
      <c r="D2968">
        <v>85000</v>
      </c>
      <c r="E2968">
        <v>10000</v>
      </c>
      <c r="F2968">
        <v>85000</v>
      </c>
      <c r="G2968">
        <v>85000</v>
      </c>
      <c r="H2968">
        <v>2</v>
      </c>
      <c r="I2968" t="s">
        <v>89</v>
      </c>
      <c r="J2968">
        <v>21.71</v>
      </c>
      <c r="K2968">
        <v>17</v>
      </c>
      <c r="L2968">
        <v>7</v>
      </c>
      <c r="M2968" t="s">
        <v>4525</v>
      </c>
      <c r="N2968">
        <v>4</v>
      </c>
      <c r="O2968">
        <v>12</v>
      </c>
      <c r="P2968">
        <v>118283.39</v>
      </c>
      <c r="Q2968">
        <v>95329.65</v>
      </c>
      <c r="R2968">
        <v>271</v>
      </c>
      <c r="S2968">
        <v>1622</v>
      </c>
      <c r="T2968" t="s">
        <v>34</v>
      </c>
      <c r="U2968" t="s">
        <v>90</v>
      </c>
    </row>
    <row r="2969" spans="1:21">
      <c r="A2969" t="s">
        <v>4640</v>
      </c>
      <c r="B2969" t="s">
        <v>4641</v>
      </c>
      <c r="C2969" t="s">
        <v>4590</v>
      </c>
      <c r="D2969">
        <v>88000</v>
      </c>
      <c r="E2969">
        <v>3000</v>
      </c>
      <c r="F2969">
        <v>88000</v>
      </c>
      <c r="G2969">
        <v>88000</v>
      </c>
      <c r="H2969">
        <v>1</v>
      </c>
      <c r="I2969" t="s">
        <v>89</v>
      </c>
      <c r="J2969">
        <v>24.45</v>
      </c>
      <c r="K2969">
        <v>0</v>
      </c>
      <c r="L2969">
        <v>3</v>
      </c>
      <c r="M2969" t="s">
        <v>4525</v>
      </c>
      <c r="N2969">
        <v>5</v>
      </c>
      <c r="O2969">
        <v>8.67</v>
      </c>
      <c r="P2969">
        <v>118283.39</v>
      </c>
      <c r="Q2969">
        <v>95329.65</v>
      </c>
      <c r="R2969">
        <v>271</v>
      </c>
      <c r="S2969">
        <v>1622</v>
      </c>
      <c r="T2969" t="s">
        <v>34</v>
      </c>
      <c r="U2969" t="s">
        <v>81</v>
      </c>
    </row>
    <row r="2970" spans="1:21">
      <c r="A2970" t="s">
        <v>4642</v>
      </c>
      <c r="B2970" t="s">
        <v>4641</v>
      </c>
      <c r="C2970" t="s">
        <v>4590</v>
      </c>
      <c r="D2970">
        <v>88000</v>
      </c>
      <c r="E2970">
        <v>3000</v>
      </c>
      <c r="F2970">
        <v>88000</v>
      </c>
      <c r="G2970">
        <v>88000</v>
      </c>
      <c r="H2970">
        <v>1</v>
      </c>
      <c r="I2970" t="s">
        <v>89</v>
      </c>
      <c r="J2970">
        <v>24.84</v>
      </c>
      <c r="K2970">
        <v>0</v>
      </c>
      <c r="L2970">
        <v>3</v>
      </c>
      <c r="M2970" t="s">
        <v>4525</v>
      </c>
      <c r="N2970">
        <v>5</v>
      </c>
      <c r="O2970">
        <v>8.67</v>
      </c>
      <c r="P2970">
        <v>118283.39</v>
      </c>
      <c r="Q2970">
        <v>95329.65</v>
      </c>
      <c r="R2970">
        <v>271</v>
      </c>
      <c r="S2970">
        <v>1622</v>
      </c>
      <c r="T2970" t="s">
        <v>34</v>
      </c>
      <c r="U2970" t="s">
        <v>81</v>
      </c>
    </row>
    <row r="2971" spans="1:21">
      <c r="A2971" t="s">
        <v>4643</v>
      </c>
      <c r="B2971" t="s">
        <v>4641</v>
      </c>
      <c r="C2971" t="s">
        <v>4590</v>
      </c>
      <c r="D2971">
        <v>92000</v>
      </c>
      <c r="E2971">
        <v>3000</v>
      </c>
      <c r="F2971">
        <v>92000</v>
      </c>
      <c r="G2971">
        <v>92000</v>
      </c>
      <c r="H2971">
        <v>1</v>
      </c>
      <c r="I2971" t="s">
        <v>89</v>
      </c>
      <c r="J2971">
        <v>24.84</v>
      </c>
      <c r="K2971">
        <v>0</v>
      </c>
      <c r="L2971">
        <v>3</v>
      </c>
      <c r="M2971" t="s">
        <v>4525</v>
      </c>
      <c r="N2971">
        <v>5</v>
      </c>
      <c r="O2971">
        <v>8.67</v>
      </c>
      <c r="P2971">
        <v>118283.39</v>
      </c>
      <c r="Q2971">
        <v>95329.65</v>
      </c>
      <c r="R2971">
        <v>271</v>
      </c>
      <c r="S2971">
        <v>1622</v>
      </c>
      <c r="T2971" t="s">
        <v>34</v>
      </c>
      <c r="U2971" t="s">
        <v>81</v>
      </c>
    </row>
    <row r="2972" spans="1:21">
      <c r="A2972" t="s">
        <v>4644</v>
      </c>
      <c r="B2972" t="s">
        <v>4645</v>
      </c>
      <c r="C2972" t="s">
        <v>712</v>
      </c>
      <c r="D2972">
        <v>95000</v>
      </c>
      <c r="E2972">
        <v>10000</v>
      </c>
      <c r="G2972">
        <v>95000</v>
      </c>
      <c r="H2972">
        <v>2</v>
      </c>
      <c r="I2972" t="s">
        <v>89</v>
      </c>
      <c r="J2972">
        <v>25.62</v>
      </c>
      <c r="K2972">
        <v>12</v>
      </c>
      <c r="L2972">
        <v>10</v>
      </c>
      <c r="M2972" t="s">
        <v>4525</v>
      </c>
      <c r="N2972">
        <v>8</v>
      </c>
      <c r="O2972">
        <v>9.33</v>
      </c>
      <c r="P2972">
        <v>118283.39</v>
      </c>
      <c r="Q2972">
        <v>95329.65</v>
      </c>
      <c r="R2972">
        <v>271</v>
      </c>
      <c r="S2972">
        <v>1622</v>
      </c>
      <c r="T2972" t="s">
        <v>34</v>
      </c>
      <c r="U2972" t="s">
        <v>90</v>
      </c>
    </row>
    <row r="2973" spans="1:21">
      <c r="A2973" t="s">
        <v>4646</v>
      </c>
      <c r="B2973" t="s">
        <v>4647</v>
      </c>
      <c r="C2973" t="s">
        <v>4539</v>
      </c>
      <c r="D2973">
        <v>95000</v>
      </c>
      <c r="E2973">
        <v>5000</v>
      </c>
      <c r="F2973">
        <v>95000</v>
      </c>
      <c r="G2973">
        <v>95000</v>
      </c>
      <c r="H2973">
        <v>5</v>
      </c>
      <c r="I2973" t="s">
        <v>89</v>
      </c>
      <c r="J2973">
        <v>27.42</v>
      </c>
      <c r="K2973">
        <v>16</v>
      </c>
      <c r="L2973">
        <v>5</v>
      </c>
      <c r="M2973" t="s">
        <v>4525</v>
      </c>
      <c r="N2973">
        <v>3</v>
      </c>
      <c r="O2973">
        <v>11.33</v>
      </c>
      <c r="P2973">
        <v>118283.39</v>
      </c>
      <c r="Q2973">
        <v>95329.65</v>
      </c>
      <c r="R2973">
        <v>271</v>
      </c>
      <c r="S2973">
        <v>1622</v>
      </c>
      <c r="T2973" t="s">
        <v>34</v>
      </c>
      <c r="U2973" t="s">
        <v>90</v>
      </c>
    </row>
    <row r="2974" spans="1:21">
      <c r="A2974" t="s">
        <v>4648</v>
      </c>
      <c r="B2974" t="s">
        <v>4649</v>
      </c>
      <c r="C2974" t="s">
        <v>4539</v>
      </c>
      <c r="D2974">
        <v>102000</v>
      </c>
      <c r="E2974">
        <v>8000</v>
      </c>
      <c r="F2974">
        <v>102000</v>
      </c>
      <c r="G2974">
        <v>102000</v>
      </c>
      <c r="H2974">
        <v>5</v>
      </c>
      <c r="I2974" t="s">
        <v>89</v>
      </c>
      <c r="J2974">
        <v>30.51</v>
      </c>
      <c r="K2974">
        <v>20</v>
      </c>
      <c r="L2974">
        <v>11</v>
      </c>
      <c r="M2974" t="s">
        <v>4525</v>
      </c>
      <c r="N2974">
        <v>6</v>
      </c>
      <c r="O2974">
        <v>12</v>
      </c>
      <c r="P2974">
        <v>118283.39</v>
      </c>
      <c r="Q2974">
        <v>95329.65</v>
      </c>
      <c r="R2974">
        <v>271</v>
      </c>
      <c r="S2974">
        <v>1622</v>
      </c>
      <c r="T2974" t="s">
        <v>26</v>
      </c>
      <c r="U2974" t="s">
        <v>90</v>
      </c>
    </row>
    <row r="2975" spans="1:21">
      <c r="A2975" t="s">
        <v>4650</v>
      </c>
      <c r="B2975" t="s">
        <v>4649</v>
      </c>
      <c r="C2975" t="s">
        <v>4539</v>
      </c>
      <c r="D2975">
        <v>107000</v>
      </c>
      <c r="E2975">
        <v>8000</v>
      </c>
      <c r="F2975">
        <v>107000</v>
      </c>
      <c r="G2975">
        <v>107000</v>
      </c>
      <c r="H2975">
        <v>5</v>
      </c>
      <c r="I2975" t="s">
        <v>89</v>
      </c>
      <c r="J2975">
        <v>30.51</v>
      </c>
      <c r="K2975">
        <v>20</v>
      </c>
      <c r="L2975">
        <v>11</v>
      </c>
      <c r="M2975" t="s">
        <v>4525</v>
      </c>
      <c r="N2975">
        <v>6</v>
      </c>
      <c r="O2975">
        <v>12</v>
      </c>
      <c r="P2975">
        <v>118283.39</v>
      </c>
      <c r="Q2975">
        <v>95329.65</v>
      </c>
      <c r="R2975">
        <v>271</v>
      </c>
      <c r="S2975">
        <v>1622</v>
      </c>
      <c r="T2975" t="s">
        <v>26</v>
      </c>
      <c r="U2975" t="s">
        <v>90</v>
      </c>
    </row>
    <row r="2976" spans="1:21">
      <c r="A2976" t="s">
        <v>4651</v>
      </c>
      <c r="B2976" t="s">
        <v>4652</v>
      </c>
      <c r="C2976" t="s">
        <v>4547</v>
      </c>
      <c r="D2976">
        <v>97000</v>
      </c>
      <c r="E2976">
        <v>5500</v>
      </c>
      <c r="G2976">
        <v>97000</v>
      </c>
      <c r="H2976">
        <v>1</v>
      </c>
      <c r="I2976" t="s">
        <v>89</v>
      </c>
      <c r="J2976">
        <v>19.87</v>
      </c>
      <c r="K2976">
        <v>19</v>
      </c>
      <c r="L2976">
        <v>2</v>
      </c>
      <c r="M2976" t="s">
        <v>4525</v>
      </c>
      <c r="N2976">
        <v>8</v>
      </c>
      <c r="O2976">
        <v>12</v>
      </c>
      <c r="P2976">
        <v>118283.39</v>
      </c>
      <c r="Q2976">
        <v>95329.65</v>
      </c>
      <c r="R2976">
        <v>271</v>
      </c>
      <c r="S2976">
        <v>1622</v>
      </c>
      <c r="T2976" t="s">
        <v>108</v>
      </c>
      <c r="U2976" t="s">
        <v>90</v>
      </c>
    </row>
    <row r="2977" spans="1:21">
      <c r="A2977" t="s">
        <v>4653</v>
      </c>
      <c r="B2977" t="s">
        <v>4654</v>
      </c>
      <c r="C2977" t="s">
        <v>4356</v>
      </c>
      <c r="D2977">
        <v>65000</v>
      </c>
      <c r="F2977">
        <v>65000</v>
      </c>
      <c r="G2977">
        <v>65000</v>
      </c>
      <c r="H2977">
        <v>2</v>
      </c>
      <c r="I2977" t="s">
        <v>89</v>
      </c>
      <c r="J2977">
        <v>19.829999999999998</v>
      </c>
      <c r="K2977">
        <v>31</v>
      </c>
      <c r="L2977">
        <v>2</v>
      </c>
      <c r="M2977" t="s">
        <v>4525</v>
      </c>
      <c r="N2977">
        <v>10</v>
      </c>
      <c r="O2977">
        <v>11</v>
      </c>
      <c r="P2977">
        <v>118283.39</v>
      </c>
      <c r="Q2977">
        <v>95329.65</v>
      </c>
      <c r="R2977">
        <v>271</v>
      </c>
      <c r="S2977">
        <v>1622</v>
      </c>
      <c r="T2977" t="s">
        <v>108</v>
      </c>
      <c r="U2977" t="s">
        <v>49</v>
      </c>
    </row>
    <row r="2978" spans="1:21">
      <c r="A2978" t="s">
        <v>4655</v>
      </c>
      <c r="B2978" t="s">
        <v>4654</v>
      </c>
      <c r="C2978" t="s">
        <v>4356</v>
      </c>
      <c r="D2978">
        <v>67000</v>
      </c>
      <c r="F2978">
        <v>67000</v>
      </c>
      <c r="G2978">
        <v>67000</v>
      </c>
      <c r="H2978">
        <v>2</v>
      </c>
      <c r="I2978" t="s">
        <v>89</v>
      </c>
      <c r="J2978">
        <v>19.829999999999998</v>
      </c>
      <c r="K2978">
        <v>31</v>
      </c>
      <c r="L2978">
        <v>2</v>
      </c>
      <c r="M2978" t="s">
        <v>4525</v>
      </c>
      <c r="N2978">
        <v>10</v>
      </c>
      <c r="O2978">
        <v>11</v>
      </c>
      <c r="P2978">
        <v>118283.39</v>
      </c>
      <c r="Q2978">
        <v>95329.65</v>
      </c>
      <c r="R2978">
        <v>271</v>
      </c>
      <c r="S2978">
        <v>1622</v>
      </c>
      <c r="T2978" t="s">
        <v>108</v>
      </c>
      <c r="U2978" t="s">
        <v>49</v>
      </c>
    </row>
    <row r="2979" spans="1:21">
      <c r="A2979" t="s">
        <v>4656</v>
      </c>
      <c r="B2979" t="s">
        <v>4657</v>
      </c>
      <c r="C2979" t="s">
        <v>4539</v>
      </c>
      <c r="D2979">
        <v>78000</v>
      </c>
      <c r="E2979">
        <v>7000</v>
      </c>
      <c r="F2979">
        <v>78000</v>
      </c>
      <c r="G2979">
        <v>78000</v>
      </c>
      <c r="H2979">
        <v>6</v>
      </c>
      <c r="I2979" t="s">
        <v>89</v>
      </c>
      <c r="J2979">
        <v>20.76</v>
      </c>
      <c r="K2979">
        <v>23</v>
      </c>
      <c r="L2979">
        <v>10</v>
      </c>
      <c r="M2979" t="s">
        <v>4525</v>
      </c>
      <c r="N2979">
        <v>3</v>
      </c>
      <c r="O2979">
        <v>10.33</v>
      </c>
      <c r="P2979">
        <v>118283.39</v>
      </c>
      <c r="Q2979">
        <v>95329.65</v>
      </c>
      <c r="R2979">
        <v>271</v>
      </c>
      <c r="S2979">
        <v>1622</v>
      </c>
      <c r="T2979" t="s">
        <v>34</v>
      </c>
      <c r="U2979" t="s">
        <v>27</v>
      </c>
    </row>
    <row r="2980" spans="1:21">
      <c r="A2980" t="s">
        <v>4658</v>
      </c>
      <c r="B2980" t="s">
        <v>4657</v>
      </c>
      <c r="C2980" t="s">
        <v>4539</v>
      </c>
      <c r="D2980">
        <v>81000</v>
      </c>
      <c r="E2980">
        <v>8000</v>
      </c>
      <c r="G2980">
        <v>81000</v>
      </c>
      <c r="H2980">
        <v>8</v>
      </c>
      <c r="I2980" t="s">
        <v>89</v>
      </c>
      <c r="J2980">
        <v>20.45</v>
      </c>
      <c r="K2980">
        <v>23</v>
      </c>
      <c r="L2980">
        <v>10</v>
      </c>
      <c r="M2980" t="s">
        <v>4525</v>
      </c>
      <c r="N2980">
        <v>3</v>
      </c>
      <c r="O2980">
        <v>10.33</v>
      </c>
      <c r="P2980">
        <v>118283.39</v>
      </c>
      <c r="Q2980">
        <v>95329.65</v>
      </c>
      <c r="R2980">
        <v>271</v>
      </c>
      <c r="S2980">
        <v>1622</v>
      </c>
      <c r="T2980" t="s">
        <v>34</v>
      </c>
      <c r="U2980" t="s">
        <v>27</v>
      </c>
    </row>
    <row r="2981" spans="1:21">
      <c r="A2981" t="s">
        <v>4659</v>
      </c>
      <c r="B2981" t="s">
        <v>4657</v>
      </c>
      <c r="C2981" t="s">
        <v>4539</v>
      </c>
      <c r="D2981">
        <v>80000</v>
      </c>
      <c r="E2981">
        <v>10000</v>
      </c>
      <c r="G2981">
        <v>80000</v>
      </c>
      <c r="H2981">
        <v>8</v>
      </c>
      <c r="I2981" t="s">
        <v>89</v>
      </c>
      <c r="J2981">
        <v>20.67</v>
      </c>
      <c r="K2981">
        <v>23</v>
      </c>
      <c r="L2981">
        <v>10</v>
      </c>
      <c r="M2981" t="s">
        <v>4525</v>
      </c>
      <c r="N2981">
        <v>3</v>
      </c>
      <c r="O2981">
        <v>10.33</v>
      </c>
      <c r="P2981">
        <v>118283.39</v>
      </c>
      <c r="Q2981">
        <v>95329.65</v>
      </c>
      <c r="R2981">
        <v>271</v>
      </c>
      <c r="S2981">
        <v>1622</v>
      </c>
      <c r="T2981" t="s">
        <v>34</v>
      </c>
      <c r="U2981" t="s">
        <v>27</v>
      </c>
    </row>
    <row r="2982" spans="1:21">
      <c r="A2982" t="s">
        <v>4660</v>
      </c>
      <c r="B2982" t="s">
        <v>4657</v>
      </c>
      <c r="C2982" t="s">
        <v>4539</v>
      </c>
      <c r="D2982">
        <v>87000</v>
      </c>
      <c r="E2982">
        <v>10000</v>
      </c>
      <c r="G2982">
        <v>87000</v>
      </c>
      <c r="H2982">
        <v>9</v>
      </c>
      <c r="I2982" t="s">
        <v>89</v>
      </c>
      <c r="J2982">
        <v>20.45</v>
      </c>
      <c r="K2982">
        <v>23</v>
      </c>
      <c r="L2982">
        <v>10</v>
      </c>
      <c r="M2982" t="s">
        <v>4525</v>
      </c>
      <c r="N2982">
        <v>3</v>
      </c>
      <c r="O2982">
        <v>10.33</v>
      </c>
      <c r="P2982">
        <v>118283.39</v>
      </c>
      <c r="Q2982">
        <v>95329.65</v>
      </c>
      <c r="R2982">
        <v>271</v>
      </c>
      <c r="S2982">
        <v>1622</v>
      </c>
      <c r="T2982" t="s">
        <v>34</v>
      </c>
      <c r="U2982" t="s">
        <v>27</v>
      </c>
    </row>
    <row r="2983" spans="1:21">
      <c r="A2983" t="s">
        <v>4661</v>
      </c>
      <c r="B2983" t="s">
        <v>4662</v>
      </c>
      <c r="C2983" t="s">
        <v>4539</v>
      </c>
      <c r="D2983">
        <v>79000</v>
      </c>
      <c r="E2983">
        <v>5000</v>
      </c>
      <c r="F2983">
        <v>79000</v>
      </c>
      <c r="G2983">
        <v>79000</v>
      </c>
      <c r="H2983">
        <v>3</v>
      </c>
      <c r="I2983" t="s">
        <v>89</v>
      </c>
      <c r="J2983">
        <v>23.1</v>
      </c>
      <c r="K2983">
        <v>26</v>
      </c>
      <c r="L2983">
        <v>5</v>
      </c>
      <c r="M2983" t="s">
        <v>4525</v>
      </c>
      <c r="N2983">
        <v>2</v>
      </c>
      <c r="O2983">
        <v>13.33</v>
      </c>
      <c r="P2983">
        <v>118283.39</v>
      </c>
      <c r="Q2983">
        <v>95329.65</v>
      </c>
      <c r="R2983">
        <v>271</v>
      </c>
      <c r="S2983">
        <v>1622</v>
      </c>
      <c r="T2983" t="s">
        <v>34</v>
      </c>
      <c r="U2983" t="s">
        <v>27</v>
      </c>
    </row>
    <row r="2984" spans="1:21">
      <c r="A2984" t="s">
        <v>4663</v>
      </c>
      <c r="B2984" t="s">
        <v>4662</v>
      </c>
      <c r="C2984" t="s">
        <v>4539</v>
      </c>
      <c r="D2984">
        <v>80000</v>
      </c>
      <c r="E2984">
        <v>5000</v>
      </c>
      <c r="F2984">
        <v>80000</v>
      </c>
      <c r="G2984">
        <v>80000</v>
      </c>
      <c r="H2984">
        <v>4</v>
      </c>
      <c r="I2984" t="s">
        <v>89</v>
      </c>
      <c r="J2984">
        <v>23.1</v>
      </c>
      <c r="K2984">
        <v>26</v>
      </c>
      <c r="L2984">
        <v>5</v>
      </c>
      <c r="M2984" t="s">
        <v>4525</v>
      </c>
      <c r="N2984">
        <v>2</v>
      </c>
      <c r="O2984">
        <v>13.33</v>
      </c>
      <c r="P2984">
        <v>118283.39</v>
      </c>
      <c r="Q2984">
        <v>95329.65</v>
      </c>
      <c r="R2984">
        <v>271</v>
      </c>
      <c r="S2984">
        <v>1622</v>
      </c>
      <c r="T2984" t="s">
        <v>34</v>
      </c>
      <c r="U2984" t="s">
        <v>27</v>
      </c>
    </row>
    <row r="2985" spans="1:21">
      <c r="A2985" t="s">
        <v>4664</v>
      </c>
      <c r="B2985" t="s">
        <v>4665</v>
      </c>
      <c r="C2985" t="s">
        <v>4539</v>
      </c>
      <c r="D2985">
        <v>68000</v>
      </c>
      <c r="E2985">
        <v>4000</v>
      </c>
      <c r="F2985">
        <v>68000</v>
      </c>
      <c r="G2985">
        <v>68000</v>
      </c>
      <c r="H2985">
        <v>4</v>
      </c>
      <c r="I2985" t="s">
        <v>89</v>
      </c>
      <c r="J2985">
        <v>20.5</v>
      </c>
      <c r="K2985">
        <v>28</v>
      </c>
      <c r="L2985">
        <v>4</v>
      </c>
      <c r="M2985" t="s">
        <v>4525</v>
      </c>
      <c r="N2985">
        <v>3</v>
      </c>
      <c r="O2985">
        <v>11</v>
      </c>
      <c r="P2985">
        <v>118283.39</v>
      </c>
      <c r="Q2985">
        <v>95329.65</v>
      </c>
      <c r="R2985">
        <v>271</v>
      </c>
      <c r="S2985">
        <v>1622</v>
      </c>
      <c r="T2985" t="s">
        <v>34</v>
      </c>
      <c r="U2985" t="s">
        <v>27</v>
      </c>
    </row>
    <row r="2986" spans="1:21">
      <c r="A2986" t="s">
        <v>4666</v>
      </c>
      <c r="B2986" t="s">
        <v>4667</v>
      </c>
      <c r="C2986" t="s">
        <v>4547</v>
      </c>
      <c r="D2986">
        <v>53700</v>
      </c>
      <c r="E2986">
        <v>4300</v>
      </c>
      <c r="F2986">
        <v>53700</v>
      </c>
      <c r="G2986">
        <v>107400</v>
      </c>
      <c r="H2986">
        <v>2</v>
      </c>
      <c r="I2986" t="s">
        <v>89</v>
      </c>
      <c r="J2986">
        <v>21.61</v>
      </c>
      <c r="K2986">
        <v>57</v>
      </c>
      <c r="L2986">
        <v>2</v>
      </c>
      <c r="M2986" t="s">
        <v>4525</v>
      </c>
      <c r="N2986">
        <v>7</v>
      </c>
      <c r="O2986">
        <v>10</v>
      </c>
      <c r="P2986">
        <v>118283.39</v>
      </c>
      <c r="Q2986">
        <v>95329.65</v>
      </c>
      <c r="R2986">
        <v>271</v>
      </c>
      <c r="S2986">
        <v>1622</v>
      </c>
      <c r="T2986" t="s">
        <v>34</v>
      </c>
      <c r="U2986" t="s">
        <v>57</v>
      </c>
    </row>
    <row r="2987" spans="1:21">
      <c r="A2987" t="s">
        <v>4668</v>
      </c>
      <c r="B2987" t="s">
        <v>4669</v>
      </c>
      <c r="C2987" t="s">
        <v>4590</v>
      </c>
      <c r="D2987">
        <v>61000</v>
      </c>
      <c r="E2987">
        <v>2000</v>
      </c>
      <c r="F2987">
        <v>61000</v>
      </c>
      <c r="H2987">
        <v>2</v>
      </c>
      <c r="I2987" t="s">
        <v>89</v>
      </c>
      <c r="J2987">
        <v>20</v>
      </c>
      <c r="K2987">
        <v>36</v>
      </c>
      <c r="L2987">
        <v>2</v>
      </c>
      <c r="M2987" t="s">
        <v>4525</v>
      </c>
      <c r="N2987">
        <v>8</v>
      </c>
      <c r="O2987">
        <v>11</v>
      </c>
      <c r="P2987">
        <v>118283.39</v>
      </c>
      <c r="Q2987">
        <v>95329.65</v>
      </c>
      <c r="R2987">
        <v>271</v>
      </c>
      <c r="S2987">
        <v>1622</v>
      </c>
      <c r="T2987" t="s">
        <v>34</v>
      </c>
      <c r="U2987" t="s">
        <v>49</v>
      </c>
    </row>
    <row r="2988" spans="1:21">
      <c r="A2988" t="s">
        <v>4670</v>
      </c>
      <c r="B2988" t="s">
        <v>4669</v>
      </c>
      <c r="C2988" t="s">
        <v>4590</v>
      </c>
      <c r="D2988">
        <v>60000</v>
      </c>
      <c r="E2988">
        <v>2000</v>
      </c>
      <c r="F2988">
        <v>60000</v>
      </c>
      <c r="H2988">
        <v>2</v>
      </c>
      <c r="I2988" t="s">
        <v>89</v>
      </c>
      <c r="J2988">
        <v>20</v>
      </c>
      <c r="K2988">
        <v>36</v>
      </c>
      <c r="L2988">
        <v>2</v>
      </c>
      <c r="M2988" t="s">
        <v>4525</v>
      </c>
      <c r="N2988">
        <v>8</v>
      </c>
      <c r="O2988">
        <v>11</v>
      </c>
      <c r="P2988">
        <v>118283.39</v>
      </c>
      <c r="Q2988">
        <v>95329.65</v>
      </c>
      <c r="R2988">
        <v>271</v>
      </c>
      <c r="S2988">
        <v>1622</v>
      </c>
      <c r="T2988" t="s">
        <v>34</v>
      </c>
      <c r="U2988" t="s">
        <v>49</v>
      </c>
    </row>
    <row r="2989" spans="1:21">
      <c r="A2989" t="s">
        <v>4671</v>
      </c>
      <c r="B2989" t="s">
        <v>4672</v>
      </c>
      <c r="C2989" t="s">
        <v>712</v>
      </c>
      <c r="D2989">
        <v>95000</v>
      </c>
      <c r="E2989">
        <v>10000</v>
      </c>
      <c r="G2989">
        <v>95000</v>
      </c>
      <c r="H2989">
        <v>2</v>
      </c>
      <c r="I2989" t="s">
        <v>89</v>
      </c>
      <c r="J2989">
        <v>25.62</v>
      </c>
      <c r="K2989">
        <v>12</v>
      </c>
      <c r="L2989">
        <v>10</v>
      </c>
      <c r="M2989" t="s">
        <v>4525</v>
      </c>
      <c r="N2989">
        <v>8</v>
      </c>
      <c r="O2989">
        <v>9.33</v>
      </c>
      <c r="P2989">
        <v>118283.39</v>
      </c>
      <c r="Q2989">
        <v>95329.65</v>
      </c>
      <c r="R2989">
        <v>271</v>
      </c>
      <c r="S2989">
        <v>1622</v>
      </c>
      <c r="T2989" t="s">
        <v>34</v>
      </c>
      <c r="U2989" t="s">
        <v>90</v>
      </c>
    </row>
    <row r="2990" spans="1:21">
      <c r="A2990" t="s">
        <v>4673</v>
      </c>
      <c r="B2990" t="s">
        <v>4674</v>
      </c>
      <c r="C2990" t="s">
        <v>4542</v>
      </c>
      <c r="D2990">
        <v>89000</v>
      </c>
      <c r="E2990">
        <v>8000</v>
      </c>
      <c r="G2990">
        <v>89000</v>
      </c>
      <c r="H2990">
        <v>10</v>
      </c>
      <c r="I2990" t="s">
        <v>89</v>
      </c>
      <c r="J2990">
        <v>21.17</v>
      </c>
      <c r="K2990">
        <v>15</v>
      </c>
      <c r="L2990">
        <v>10</v>
      </c>
      <c r="M2990" t="s">
        <v>4525</v>
      </c>
      <c r="N2990">
        <v>4</v>
      </c>
      <c r="O2990">
        <v>10.67</v>
      </c>
      <c r="P2990">
        <v>118283.39</v>
      </c>
      <c r="Q2990">
        <v>95329.65</v>
      </c>
      <c r="R2990">
        <v>271</v>
      </c>
      <c r="S2990">
        <v>1622</v>
      </c>
      <c r="T2990" t="s">
        <v>34</v>
      </c>
      <c r="U2990" t="s">
        <v>90</v>
      </c>
    </row>
    <row r="2991" spans="1:21">
      <c r="A2991" t="s">
        <v>4675</v>
      </c>
      <c r="B2991" t="s">
        <v>4674</v>
      </c>
      <c r="C2991" t="s">
        <v>4542</v>
      </c>
      <c r="D2991">
        <v>86000</v>
      </c>
      <c r="E2991">
        <v>8000</v>
      </c>
      <c r="G2991">
        <v>86000</v>
      </c>
      <c r="H2991">
        <v>2</v>
      </c>
      <c r="I2991" t="s">
        <v>89</v>
      </c>
      <c r="J2991">
        <v>22.15</v>
      </c>
      <c r="K2991">
        <v>15</v>
      </c>
      <c r="L2991">
        <v>10</v>
      </c>
      <c r="M2991" t="s">
        <v>4525</v>
      </c>
      <c r="N2991">
        <v>4</v>
      </c>
      <c r="O2991">
        <v>10.67</v>
      </c>
      <c r="P2991">
        <v>118283.39</v>
      </c>
      <c r="Q2991">
        <v>95329.65</v>
      </c>
      <c r="R2991">
        <v>271</v>
      </c>
      <c r="S2991">
        <v>1622</v>
      </c>
      <c r="T2991" t="s">
        <v>34</v>
      </c>
      <c r="U2991" t="s">
        <v>90</v>
      </c>
    </row>
    <row r="2992" spans="1:21">
      <c r="A2992" t="s">
        <v>4676</v>
      </c>
      <c r="B2992" t="s">
        <v>4674</v>
      </c>
      <c r="C2992" t="s">
        <v>4542</v>
      </c>
      <c r="D2992">
        <v>124000</v>
      </c>
      <c r="E2992">
        <v>11000</v>
      </c>
      <c r="G2992">
        <v>124000</v>
      </c>
      <c r="H2992">
        <v>9</v>
      </c>
      <c r="I2992" t="s">
        <v>89</v>
      </c>
      <c r="J2992">
        <v>21.17</v>
      </c>
      <c r="K2992">
        <v>15</v>
      </c>
      <c r="L2992">
        <v>10</v>
      </c>
      <c r="M2992" t="s">
        <v>4525</v>
      </c>
      <c r="N2992">
        <v>4</v>
      </c>
      <c r="O2992">
        <v>10.67</v>
      </c>
      <c r="P2992">
        <v>118283.39</v>
      </c>
      <c r="Q2992">
        <v>95329.65</v>
      </c>
      <c r="R2992">
        <v>271</v>
      </c>
      <c r="S2992">
        <v>1622</v>
      </c>
      <c r="T2992" t="s">
        <v>34</v>
      </c>
      <c r="U2992" t="s">
        <v>90</v>
      </c>
    </row>
    <row r="2993" spans="1:21">
      <c r="A2993" t="s">
        <v>4677</v>
      </c>
      <c r="B2993" t="s">
        <v>4678</v>
      </c>
      <c r="C2993" t="s">
        <v>4539</v>
      </c>
      <c r="D2993">
        <v>81000</v>
      </c>
      <c r="E2993">
        <v>8000</v>
      </c>
      <c r="G2993">
        <v>81000</v>
      </c>
      <c r="H2993">
        <v>4</v>
      </c>
      <c r="I2993" t="s">
        <v>89</v>
      </c>
      <c r="J2993">
        <v>20.45</v>
      </c>
      <c r="K2993">
        <v>23</v>
      </c>
      <c r="L2993">
        <v>10</v>
      </c>
      <c r="M2993" t="s">
        <v>4525</v>
      </c>
      <c r="N2993">
        <v>3</v>
      </c>
      <c r="O2993">
        <v>11</v>
      </c>
      <c r="P2993">
        <v>118283.39</v>
      </c>
      <c r="Q2993">
        <v>95329.65</v>
      </c>
      <c r="R2993">
        <v>271</v>
      </c>
      <c r="S2993">
        <v>1622</v>
      </c>
      <c r="T2993" t="s">
        <v>34</v>
      </c>
      <c r="U2993" t="s">
        <v>27</v>
      </c>
    </row>
    <row r="2994" spans="1:21">
      <c r="A2994" t="s">
        <v>4679</v>
      </c>
      <c r="B2994" t="s">
        <v>4678</v>
      </c>
      <c r="C2994" t="s">
        <v>4539</v>
      </c>
      <c r="D2994">
        <v>87000</v>
      </c>
      <c r="E2994">
        <v>10000</v>
      </c>
      <c r="G2994">
        <v>87000</v>
      </c>
      <c r="H2994">
        <v>9</v>
      </c>
      <c r="I2994" t="s">
        <v>89</v>
      </c>
      <c r="J2994">
        <v>20.45</v>
      </c>
      <c r="K2994">
        <v>23</v>
      </c>
      <c r="L2994">
        <v>10</v>
      </c>
      <c r="M2994" t="s">
        <v>4525</v>
      </c>
      <c r="N2994">
        <v>3</v>
      </c>
      <c r="O2994">
        <v>11</v>
      </c>
      <c r="P2994">
        <v>118283.39</v>
      </c>
      <c r="Q2994">
        <v>95329.65</v>
      </c>
      <c r="R2994">
        <v>271</v>
      </c>
      <c r="S2994">
        <v>1622</v>
      </c>
      <c r="T2994" t="s">
        <v>34</v>
      </c>
      <c r="U2994" t="s">
        <v>27</v>
      </c>
    </row>
    <row r="2995" spans="1:21">
      <c r="A2995" t="s">
        <v>4680</v>
      </c>
      <c r="B2995" t="s">
        <v>4681</v>
      </c>
      <c r="C2995" t="s">
        <v>54</v>
      </c>
      <c r="D2995">
        <v>86000</v>
      </c>
      <c r="E2995">
        <v>10000</v>
      </c>
      <c r="F2995">
        <v>43000</v>
      </c>
      <c r="G2995">
        <v>86000</v>
      </c>
      <c r="H2995">
        <v>8</v>
      </c>
      <c r="I2995" t="s">
        <v>89</v>
      </c>
      <c r="J2995">
        <v>21.14</v>
      </c>
      <c r="K2995">
        <v>26</v>
      </c>
      <c r="L2995">
        <v>10</v>
      </c>
      <c r="M2995" t="s">
        <v>4525</v>
      </c>
      <c r="N2995">
        <v>9</v>
      </c>
      <c r="O2995">
        <v>11.67</v>
      </c>
      <c r="P2995">
        <v>118283.39</v>
      </c>
      <c r="Q2995">
        <v>95329.65</v>
      </c>
      <c r="R2995">
        <v>271</v>
      </c>
      <c r="S2995">
        <v>1622</v>
      </c>
      <c r="T2995" t="s">
        <v>34</v>
      </c>
      <c r="U2995" t="s">
        <v>27</v>
      </c>
    </row>
    <row r="2996" spans="1:21">
      <c r="A2996" t="s">
        <v>4682</v>
      </c>
      <c r="B2996" t="s">
        <v>4681</v>
      </c>
      <c r="C2996" t="s">
        <v>54</v>
      </c>
      <c r="D2996">
        <v>90000</v>
      </c>
      <c r="E2996">
        <v>8000</v>
      </c>
      <c r="F2996">
        <v>45000</v>
      </c>
      <c r="G2996">
        <v>90000</v>
      </c>
      <c r="H2996">
        <v>9</v>
      </c>
      <c r="I2996" t="s">
        <v>89</v>
      </c>
      <c r="J2996">
        <v>21.14</v>
      </c>
      <c r="K2996">
        <v>26</v>
      </c>
      <c r="L2996">
        <v>10</v>
      </c>
      <c r="M2996" t="s">
        <v>4525</v>
      </c>
      <c r="N2996">
        <v>9</v>
      </c>
      <c r="O2996">
        <v>11.67</v>
      </c>
      <c r="P2996">
        <v>118283.39</v>
      </c>
      <c r="Q2996">
        <v>95329.65</v>
      </c>
      <c r="R2996">
        <v>271</v>
      </c>
      <c r="S2996">
        <v>1622</v>
      </c>
      <c r="T2996" t="s">
        <v>34</v>
      </c>
      <c r="U2996" t="s">
        <v>27</v>
      </c>
    </row>
    <row r="2997" spans="1:21">
      <c r="A2997" t="s">
        <v>4683</v>
      </c>
      <c r="B2997" t="s">
        <v>4684</v>
      </c>
      <c r="C2997" t="s">
        <v>4539</v>
      </c>
      <c r="D2997">
        <v>78000</v>
      </c>
      <c r="E2997">
        <v>8000</v>
      </c>
      <c r="F2997">
        <v>78000</v>
      </c>
      <c r="G2997">
        <v>78000</v>
      </c>
      <c r="H2997">
        <v>3</v>
      </c>
      <c r="I2997" t="s">
        <v>89</v>
      </c>
      <c r="J2997">
        <v>20.43</v>
      </c>
      <c r="K2997">
        <v>20</v>
      </c>
      <c r="L2997">
        <v>11</v>
      </c>
      <c r="M2997" t="s">
        <v>4525</v>
      </c>
      <c r="N2997">
        <v>6</v>
      </c>
      <c r="O2997">
        <v>11.33</v>
      </c>
      <c r="P2997">
        <v>118283.39</v>
      </c>
      <c r="Q2997">
        <v>95329.65</v>
      </c>
      <c r="R2997">
        <v>271</v>
      </c>
      <c r="S2997">
        <v>1622</v>
      </c>
      <c r="T2997" t="s">
        <v>34</v>
      </c>
      <c r="U2997" t="s">
        <v>90</v>
      </c>
    </row>
    <row r="2998" spans="1:21">
      <c r="A2998" t="s">
        <v>4685</v>
      </c>
      <c r="B2998" t="s">
        <v>4686</v>
      </c>
      <c r="C2998" t="s">
        <v>4687</v>
      </c>
      <c r="D2998">
        <v>101000</v>
      </c>
      <c r="E2998">
        <v>4000</v>
      </c>
      <c r="F2998">
        <v>101000</v>
      </c>
      <c r="G2998">
        <v>101000</v>
      </c>
      <c r="H2998">
        <v>12</v>
      </c>
      <c r="I2998" t="s">
        <v>89</v>
      </c>
      <c r="J2998">
        <v>21.28</v>
      </c>
      <c r="K2998">
        <v>14</v>
      </c>
      <c r="L2998">
        <v>12</v>
      </c>
      <c r="M2998" t="s">
        <v>4525</v>
      </c>
      <c r="N2998">
        <v>2</v>
      </c>
      <c r="O2998">
        <v>11.33</v>
      </c>
      <c r="P2998">
        <v>118283.39</v>
      </c>
      <c r="Q2998">
        <v>95329.65</v>
      </c>
      <c r="R2998">
        <v>271</v>
      </c>
      <c r="S2998">
        <v>1622</v>
      </c>
      <c r="T2998" t="s">
        <v>34</v>
      </c>
      <c r="U2998" t="s">
        <v>90</v>
      </c>
    </row>
    <row r="2999" spans="1:21">
      <c r="A2999" t="s">
        <v>4688</v>
      </c>
      <c r="B2999" t="s">
        <v>4689</v>
      </c>
      <c r="C2999" t="s">
        <v>4539</v>
      </c>
      <c r="D2999">
        <v>38000</v>
      </c>
      <c r="E2999">
        <v>5000</v>
      </c>
      <c r="F2999">
        <v>38000</v>
      </c>
      <c r="G2999">
        <v>76000</v>
      </c>
      <c r="H2999">
        <v>2</v>
      </c>
      <c r="I2999" t="s">
        <v>89</v>
      </c>
      <c r="J2999">
        <v>12.3</v>
      </c>
      <c r="K2999">
        <v>45</v>
      </c>
      <c r="L2999">
        <v>2</v>
      </c>
      <c r="M2999" t="s">
        <v>4525</v>
      </c>
      <c r="N2999">
        <v>3</v>
      </c>
      <c r="O2999">
        <v>10.67</v>
      </c>
      <c r="P2999">
        <v>118283.39</v>
      </c>
      <c r="Q2999">
        <v>95329.65</v>
      </c>
      <c r="R2999">
        <v>271</v>
      </c>
      <c r="S2999">
        <v>1622</v>
      </c>
      <c r="T2999" t="s">
        <v>108</v>
      </c>
      <c r="U2999" t="s">
        <v>42</v>
      </c>
    </row>
    <row r="3000" spans="1:21">
      <c r="A3000" t="s">
        <v>4690</v>
      </c>
      <c r="B3000" t="s">
        <v>4689</v>
      </c>
      <c r="C3000" t="s">
        <v>4539</v>
      </c>
      <c r="D3000">
        <v>38000</v>
      </c>
      <c r="E3000">
        <v>5000</v>
      </c>
      <c r="F3000">
        <v>38000</v>
      </c>
      <c r="G3000">
        <v>76000</v>
      </c>
      <c r="H3000">
        <v>2</v>
      </c>
      <c r="I3000" t="s">
        <v>89</v>
      </c>
      <c r="J3000">
        <v>12</v>
      </c>
      <c r="K3000">
        <v>45</v>
      </c>
      <c r="L3000">
        <v>2</v>
      </c>
      <c r="M3000" t="s">
        <v>4525</v>
      </c>
      <c r="N3000">
        <v>3</v>
      </c>
      <c r="O3000">
        <v>10.67</v>
      </c>
      <c r="P3000">
        <v>118283.39</v>
      </c>
      <c r="Q3000">
        <v>95329.65</v>
      </c>
      <c r="R3000">
        <v>271</v>
      </c>
      <c r="S3000">
        <v>1622</v>
      </c>
      <c r="T3000" t="s">
        <v>108</v>
      </c>
      <c r="U3000" t="s">
        <v>42</v>
      </c>
    </row>
    <row r="3001" spans="1:21">
      <c r="A3001" t="s">
        <v>4691</v>
      </c>
      <c r="B3001" t="s">
        <v>4692</v>
      </c>
      <c r="C3001" t="s">
        <v>4590</v>
      </c>
      <c r="D3001">
        <v>88000</v>
      </c>
      <c r="E3001">
        <v>3000</v>
      </c>
      <c r="F3001">
        <v>88000</v>
      </c>
      <c r="G3001">
        <v>88000</v>
      </c>
      <c r="H3001">
        <v>1</v>
      </c>
      <c r="I3001" t="s">
        <v>89</v>
      </c>
      <c r="J3001">
        <v>24.45</v>
      </c>
      <c r="K3001">
        <v>0</v>
      </c>
      <c r="L3001">
        <v>3</v>
      </c>
      <c r="M3001" t="s">
        <v>4525</v>
      </c>
      <c r="N3001">
        <v>5</v>
      </c>
      <c r="O3001">
        <v>8.67</v>
      </c>
      <c r="P3001">
        <v>118283.39</v>
      </c>
      <c r="Q3001">
        <v>95329.65</v>
      </c>
      <c r="R3001">
        <v>271</v>
      </c>
      <c r="S3001">
        <v>1622</v>
      </c>
      <c r="T3001" t="s">
        <v>34</v>
      </c>
      <c r="U3001" t="s">
        <v>81</v>
      </c>
    </row>
    <row r="3002" spans="1:21">
      <c r="A3002" t="s">
        <v>4693</v>
      </c>
      <c r="B3002" t="s">
        <v>4692</v>
      </c>
      <c r="C3002" t="s">
        <v>4590</v>
      </c>
      <c r="D3002">
        <v>94000</v>
      </c>
      <c r="E3002">
        <v>3000</v>
      </c>
      <c r="F3002">
        <v>94000</v>
      </c>
      <c r="G3002">
        <v>94000</v>
      </c>
      <c r="H3002">
        <v>2</v>
      </c>
      <c r="I3002" t="s">
        <v>89</v>
      </c>
      <c r="J3002">
        <v>24.14</v>
      </c>
      <c r="K3002">
        <v>0</v>
      </c>
      <c r="L3002">
        <v>3</v>
      </c>
      <c r="M3002" t="s">
        <v>4525</v>
      </c>
      <c r="N3002">
        <v>5</v>
      </c>
      <c r="O3002">
        <v>8.67</v>
      </c>
      <c r="P3002">
        <v>118283.39</v>
      </c>
      <c r="Q3002">
        <v>95329.65</v>
      </c>
      <c r="R3002">
        <v>271</v>
      </c>
      <c r="S3002">
        <v>1622</v>
      </c>
      <c r="T3002" t="s">
        <v>34</v>
      </c>
      <c r="U3002" t="s">
        <v>81</v>
      </c>
    </row>
    <row r="3003" spans="1:21">
      <c r="A3003" t="s">
        <v>4694</v>
      </c>
      <c r="B3003" t="s">
        <v>4692</v>
      </c>
      <c r="C3003" t="s">
        <v>4590</v>
      </c>
      <c r="D3003">
        <v>92000</v>
      </c>
      <c r="E3003">
        <v>3000</v>
      </c>
      <c r="F3003">
        <v>92000</v>
      </c>
      <c r="G3003">
        <v>92000</v>
      </c>
      <c r="H3003">
        <v>3</v>
      </c>
      <c r="I3003" t="s">
        <v>89</v>
      </c>
      <c r="J3003">
        <v>24.84</v>
      </c>
      <c r="K3003">
        <v>0</v>
      </c>
      <c r="L3003">
        <v>3</v>
      </c>
      <c r="M3003" t="s">
        <v>4525</v>
      </c>
      <c r="N3003">
        <v>5</v>
      </c>
      <c r="O3003">
        <v>8.67</v>
      </c>
      <c r="P3003">
        <v>118283.39</v>
      </c>
      <c r="Q3003">
        <v>95329.65</v>
      </c>
      <c r="R3003">
        <v>271</v>
      </c>
      <c r="S3003">
        <v>1622</v>
      </c>
      <c r="T3003" t="s">
        <v>34</v>
      </c>
      <c r="U3003" t="s">
        <v>81</v>
      </c>
    </row>
    <row r="3004" spans="1:21">
      <c r="A3004" t="s">
        <v>4695</v>
      </c>
      <c r="B3004" t="s">
        <v>4696</v>
      </c>
      <c r="C3004" t="s">
        <v>4547</v>
      </c>
      <c r="D3004">
        <v>88000</v>
      </c>
      <c r="E3004">
        <v>6000</v>
      </c>
      <c r="F3004">
        <v>88000</v>
      </c>
      <c r="G3004">
        <v>88000</v>
      </c>
      <c r="H3004">
        <v>1</v>
      </c>
      <c r="I3004" t="s">
        <v>89</v>
      </c>
      <c r="J3004">
        <v>25.99</v>
      </c>
      <c r="K3004">
        <v>14</v>
      </c>
      <c r="L3004">
        <v>3</v>
      </c>
      <c r="M3004" t="s">
        <v>4525</v>
      </c>
      <c r="N3004">
        <v>8</v>
      </c>
      <c r="O3004">
        <v>12</v>
      </c>
      <c r="P3004">
        <v>118283.39</v>
      </c>
      <c r="Q3004">
        <v>95329.65</v>
      </c>
      <c r="R3004">
        <v>271</v>
      </c>
      <c r="S3004">
        <v>1622</v>
      </c>
      <c r="T3004" t="s">
        <v>34</v>
      </c>
      <c r="U3004" t="s">
        <v>90</v>
      </c>
    </row>
    <row r="3005" spans="1:21">
      <c r="A3005" t="s">
        <v>4697</v>
      </c>
      <c r="B3005" t="s">
        <v>4698</v>
      </c>
      <c r="C3005" t="s">
        <v>37</v>
      </c>
      <c r="D3005">
        <v>86000</v>
      </c>
      <c r="E3005">
        <v>4000</v>
      </c>
      <c r="G3005">
        <v>86000</v>
      </c>
      <c r="H3005">
        <v>1</v>
      </c>
      <c r="I3005" t="s">
        <v>89</v>
      </c>
      <c r="J3005">
        <v>25.74</v>
      </c>
      <c r="K3005">
        <v>16</v>
      </c>
      <c r="L3005">
        <v>3</v>
      </c>
      <c r="M3005" t="s">
        <v>4525</v>
      </c>
      <c r="N3005">
        <v>9</v>
      </c>
      <c r="O3005">
        <v>9.67</v>
      </c>
      <c r="P3005">
        <v>118283.39</v>
      </c>
      <c r="Q3005">
        <v>95329.65</v>
      </c>
      <c r="R3005">
        <v>271</v>
      </c>
      <c r="S3005">
        <v>1622</v>
      </c>
      <c r="T3005" t="s">
        <v>34</v>
      </c>
      <c r="U3005" t="s">
        <v>90</v>
      </c>
    </row>
    <row r="3006" spans="1:21">
      <c r="A3006" t="s">
        <v>4699</v>
      </c>
      <c r="B3006" t="s">
        <v>4700</v>
      </c>
      <c r="C3006" t="s">
        <v>4590</v>
      </c>
      <c r="D3006">
        <v>83000</v>
      </c>
      <c r="E3006">
        <v>3000</v>
      </c>
      <c r="F3006">
        <v>83000</v>
      </c>
      <c r="H3006">
        <v>2</v>
      </c>
      <c r="I3006" t="s">
        <v>89</v>
      </c>
      <c r="J3006">
        <v>26.25</v>
      </c>
      <c r="K3006">
        <v>25</v>
      </c>
      <c r="L3006">
        <v>3</v>
      </c>
      <c r="M3006" t="s">
        <v>4525</v>
      </c>
      <c r="N3006">
        <v>3</v>
      </c>
      <c r="O3006">
        <v>10</v>
      </c>
      <c r="P3006">
        <v>118283.39</v>
      </c>
      <c r="Q3006">
        <v>95329.65</v>
      </c>
      <c r="R3006">
        <v>271</v>
      </c>
      <c r="S3006">
        <v>1622</v>
      </c>
      <c r="T3006" t="s">
        <v>34</v>
      </c>
      <c r="U3006" t="s">
        <v>27</v>
      </c>
    </row>
    <row r="3007" spans="1:21">
      <c r="A3007" t="s">
        <v>4701</v>
      </c>
      <c r="B3007" t="s">
        <v>4702</v>
      </c>
      <c r="C3007" t="s">
        <v>4547</v>
      </c>
      <c r="D3007">
        <v>72000</v>
      </c>
      <c r="E3007">
        <v>6000</v>
      </c>
      <c r="G3007">
        <v>72000</v>
      </c>
      <c r="H3007">
        <v>1</v>
      </c>
      <c r="I3007" t="s">
        <v>89</v>
      </c>
      <c r="J3007">
        <v>20</v>
      </c>
      <c r="K3007">
        <v>28</v>
      </c>
      <c r="L3007">
        <v>3</v>
      </c>
      <c r="M3007" t="s">
        <v>4525</v>
      </c>
      <c r="N3007">
        <v>3</v>
      </c>
      <c r="O3007">
        <v>10</v>
      </c>
      <c r="P3007">
        <v>118283.39</v>
      </c>
      <c r="Q3007">
        <v>95329.65</v>
      </c>
      <c r="R3007">
        <v>271</v>
      </c>
      <c r="S3007">
        <v>1622</v>
      </c>
      <c r="T3007" t="s">
        <v>34</v>
      </c>
      <c r="U3007" t="s">
        <v>27</v>
      </c>
    </row>
    <row r="3008" spans="1:21">
      <c r="A3008" t="s">
        <v>4703</v>
      </c>
      <c r="B3008" t="s">
        <v>4702</v>
      </c>
      <c r="C3008" t="s">
        <v>4547</v>
      </c>
      <c r="D3008">
        <v>72000</v>
      </c>
      <c r="E3008">
        <v>3000</v>
      </c>
      <c r="G3008">
        <v>72000</v>
      </c>
      <c r="H3008">
        <v>2</v>
      </c>
      <c r="I3008" t="s">
        <v>89</v>
      </c>
      <c r="J3008">
        <v>19.38</v>
      </c>
      <c r="K3008">
        <v>28</v>
      </c>
      <c r="L3008">
        <v>3</v>
      </c>
      <c r="M3008" t="s">
        <v>4525</v>
      </c>
      <c r="N3008">
        <v>3</v>
      </c>
      <c r="O3008">
        <v>10</v>
      </c>
      <c r="P3008">
        <v>118283.39</v>
      </c>
      <c r="Q3008">
        <v>95329.65</v>
      </c>
      <c r="R3008">
        <v>271</v>
      </c>
      <c r="S3008">
        <v>1622</v>
      </c>
      <c r="T3008" t="s">
        <v>108</v>
      </c>
      <c r="U3008" t="s">
        <v>27</v>
      </c>
    </row>
    <row r="3009" spans="1:21">
      <c r="A3009" t="s">
        <v>4704</v>
      </c>
      <c r="B3009" t="s">
        <v>4705</v>
      </c>
      <c r="C3009" t="s">
        <v>4590</v>
      </c>
      <c r="D3009">
        <v>87000</v>
      </c>
      <c r="E3009">
        <v>6000</v>
      </c>
      <c r="H3009">
        <v>2</v>
      </c>
      <c r="I3009" t="s">
        <v>89</v>
      </c>
      <c r="J3009">
        <v>19.170000000000002</v>
      </c>
      <c r="K3009">
        <v>3</v>
      </c>
      <c r="L3009">
        <v>3</v>
      </c>
      <c r="M3009" t="s">
        <v>4525</v>
      </c>
      <c r="N3009">
        <v>6</v>
      </c>
      <c r="O3009">
        <v>12.33</v>
      </c>
      <c r="P3009">
        <v>118283.39</v>
      </c>
      <c r="Q3009">
        <v>95329.65</v>
      </c>
      <c r="R3009">
        <v>271</v>
      </c>
      <c r="S3009">
        <v>1622</v>
      </c>
      <c r="T3009" t="s">
        <v>108</v>
      </c>
      <c r="U3009" t="s">
        <v>31</v>
      </c>
    </row>
    <row r="3010" spans="1:21">
      <c r="A3010" t="s">
        <v>4706</v>
      </c>
      <c r="B3010" t="s">
        <v>4707</v>
      </c>
      <c r="C3010" t="s">
        <v>4539</v>
      </c>
      <c r="D3010">
        <v>92000</v>
      </c>
      <c r="E3010">
        <v>6500</v>
      </c>
      <c r="F3010">
        <v>92000</v>
      </c>
      <c r="G3010">
        <v>184000</v>
      </c>
      <c r="H3010">
        <v>1</v>
      </c>
      <c r="I3010" t="s">
        <v>89</v>
      </c>
      <c r="J3010">
        <v>29.97</v>
      </c>
      <c r="K3010">
        <v>7</v>
      </c>
      <c r="L3010">
        <v>3</v>
      </c>
      <c r="M3010" t="s">
        <v>4525</v>
      </c>
      <c r="N3010">
        <v>4</v>
      </c>
      <c r="O3010">
        <v>11.33</v>
      </c>
      <c r="P3010">
        <v>118283.39</v>
      </c>
      <c r="Q3010">
        <v>95329.65</v>
      </c>
      <c r="R3010">
        <v>271</v>
      </c>
      <c r="S3010">
        <v>1622</v>
      </c>
      <c r="T3010" t="s">
        <v>34</v>
      </c>
      <c r="U3010" t="s">
        <v>31</v>
      </c>
    </row>
    <row r="3011" spans="1:21">
      <c r="A3011" t="s">
        <v>4708</v>
      </c>
      <c r="B3011" t="s">
        <v>4709</v>
      </c>
      <c r="C3011" t="s">
        <v>4539</v>
      </c>
      <c r="D3011">
        <v>75000</v>
      </c>
      <c r="E3011">
        <v>3000</v>
      </c>
      <c r="F3011">
        <v>75000</v>
      </c>
      <c r="H3011">
        <v>4</v>
      </c>
      <c r="I3011" t="s">
        <v>89</v>
      </c>
      <c r="J3011">
        <v>24.14</v>
      </c>
      <c r="K3011">
        <v>22</v>
      </c>
      <c r="L3011">
        <v>4</v>
      </c>
      <c r="M3011" t="s">
        <v>4525</v>
      </c>
      <c r="N3011">
        <v>8</v>
      </c>
      <c r="O3011">
        <v>11.33</v>
      </c>
      <c r="P3011">
        <v>118283.39</v>
      </c>
      <c r="Q3011">
        <v>95329.65</v>
      </c>
      <c r="R3011">
        <v>271</v>
      </c>
      <c r="S3011">
        <v>1622</v>
      </c>
      <c r="T3011" t="s">
        <v>34</v>
      </c>
      <c r="U3011" t="s">
        <v>27</v>
      </c>
    </row>
    <row r="3012" spans="1:21">
      <c r="A3012" t="s">
        <v>4710</v>
      </c>
      <c r="B3012" t="s">
        <v>4711</v>
      </c>
      <c r="C3012" t="s">
        <v>4539</v>
      </c>
      <c r="D3012">
        <v>95000</v>
      </c>
      <c r="E3012">
        <v>5000</v>
      </c>
      <c r="F3012">
        <v>95000</v>
      </c>
      <c r="G3012">
        <v>95000</v>
      </c>
      <c r="H3012">
        <v>5</v>
      </c>
      <c r="I3012" t="s">
        <v>89</v>
      </c>
      <c r="J3012">
        <v>27.42</v>
      </c>
      <c r="K3012">
        <v>16</v>
      </c>
      <c r="L3012">
        <v>5</v>
      </c>
      <c r="M3012" t="s">
        <v>4525</v>
      </c>
      <c r="N3012">
        <v>3</v>
      </c>
      <c r="O3012">
        <v>11.33</v>
      </c>
      <c r="P3012">
        <v>118283.39</v>
      </c>
      <c r="Q3012">
        <v>95329.65</v>
      </c>
      <c r="R3012">
        <v>271</v>
      </c>
      <c r="S3012">
        <v>1622</v>
      </c>
      <c r="T3012" t="s">
        <v>34</v>
      </c>
      <c r="U3012" t="s">
        <v>90</v>
      </c>
    </row>
    <row r="3013" spans="1:21">
      <c r="A3013" t="s">
        <v>4712</v>
      </c>
      <c r="B3013" t="s">
        <v>4713</v>
      </c>
      <c r="C3013" t="s">
        <v>4547</v>
      </c>
      <c r="D3013">
        <v>60000</v>
      </c>
      <c r="E3013">
        <v>6000</v>
      </c>
      <c r="F3013">
        <v>60000</v>
      </c>
      <c r="G3013">
        <v>60000</v>
      </c>
      <c r="H3013">
        <v>4</v>
      </c>
      <c r="I3013" t="s">
        <v>89</v>
      </c>
      <c r="J3013">
        <v>16.2</v>
      </c>
      <c r="K3013">
        <v>39</v>
      </c>
      <c r="L3013">
        <v>5</v>
      </c>
      <c r="M3013" t="s">
        <v>4525</v>
      </c>
      <c r="N3013">
        <v>6</v>
      </c>
      <c r="O3013">
        <v>10</v>
      </c>
      <c r="P3013">
        <v>118283.39</v>
      </c>
      <c r="Q3013">
        <v>95329.65</v>
      </c>
      <c r="R3013">
        <v>271</v>
      </c>
      <c r="S3013">
        <v>1622</v>
      </c>
      <c r="T3013" t="s">
        <v>108</v>
      </c>
      <c r="U3013" t="s">
        <v>49</v>
      </c>
    </row>
    <row r="3014" spans="1:21">
      <c r="A3014" t="s">
        <v>4714</v>
      </c>
      <c r="B3014" t="s">
        <v>4715</v>
      </c>
      <c r="C3014" t="s">
        <v>4356</v>
      </c>
      <c r="D3014">
        <v>98000</v>
      </c>
      <c r="E3014">
        <v>15000</v>
      </c>
      <c r="G3014">
        <v>98000</v>
      </c>
      <c r="H3014">
        <v>3</v>
      </c>
      <c r="I3014" t="s">
        <v>89</v>
      </c>
      <c r="J3014">
        <v>25.4</v>
      </c>
      <c r="K3014">
        <v>4</v>
      </c>
      <c r="L3014">
        <v>5</v>
      </c>
      <c r="M3014" t="s">
        <v>4525</v>
      </c>
      <c r="N3014">
        <v>4</v>
      </c>
      <c r="O3014">
        <v>11</v>
      </c>
      <c r="P3014">
        <v>118283.39</v>
      </c>
      <c r="Q3014">
        <v>95329.65</v>
      </c>
      <c r="R3014">
        <v>271</v>
      </c>
      <c r="S3014">
        <v>1622</v>
      </c>
      <c r="T3014" t="s">
        <v>34</v>
      </c>
      <c r="U3014" t="s">
        <v>31</v>
      </c>
    </row>
    <row r="3015" spans="1:21">
      <c r="A3015" t="s">
        <v>4716</v>
      </c>
      <c r="B3015" t="s">
        <v>4717</v>
      </c>
      <c r="C3015" t="s">
        <v>712</v>
      </c>
      <c r="D3015">
        <v>132000</v>
      </c>
      <c r="E3015">
        <v>11000</v>
      </c>
      <c r="G3015">
        <v>132000</v>
      </c>
      <c r="H3015">
        <v>2</v>
      </c>
      <c r="I3015" t="s">
        <v>89</v>
      </c>
      <c r="J3015">
        <v>25.5</v>
      </c>
      <c r="K3015">
        <v>2</v>
      </c>
      <c r="L3015">
        <v>8</v>
      </c>
      <c r="M3015" t="s">
        <v>4525</v>
      </c>
      <c r="N3015">
        <v>7</v>
      </c>
      <c r="O3015">
        <v>10</v>
      </c>
      <c r="P3015">
        <v>118283.39</v>
      </c>
      <c r="Q3015">
        <v>95329.65</v>
      </c>
      <c r="R3015">
        <v>271</v>
      </c>
      <c r="S3015">
        <v>1622</v>
      </c>
      <c r="T3015" t="s">
        <v>34</v>
      </c>
      <c r="U3015" t="s">
        <v>31</v>
      </c>
    </row>
    <row r="3016" spans="1:21">
      <c r="A3016" t="s">
        <v>4718</v>
      </c>
      <c r="B3016" t="s">
        <v>4717</v>
      </c>
      <c r="C3016" t="s">
        <v>712</v>
      </c>
      <c r="D3016">
        <v>133000</v>
      </c>
      <c r="E3016">
        <v>11000</v>
      </c>
      <c r="G3016">
        <v>133000</v>
      </c>
      <c r="H3016">
        <v>3</v>
      </c>
      <c r="I3016" t="s">
        <v>89</v>
      </c>
      <c r="J3016">
        <v>25.5</v>
      </c>
      <c r="K3016">
        <v>2</v>
      </c>
      <c r="L3016">
        <v>8</v>
      </c>
      <c r="M3016" t="s">
        <v>4525</v>
      </c>
      <c r="N3016">
        <v>7</v>
      </c>
      <c r="O3016">
        <v>10</v>
      </c>
      <c r="P3016">
        <v>118283.39</v>
      </c>
      <c r="Q3016">
        <v>95329.65</v>
      </c>
      <c r="R3016">
        <v>271</v>
      </c>
      <c r="S3016">
        <v>1622</v>
      </c>
      <c r="T3016" t="s">
        <v>34</v>
      </c>
      <c r="U3016" t="s">
        <v>31</v>
      </c>
    </row>
    <row r="3017" spans="1:21">
      <c r="A3017" t="s">
        <v>4719</v>
      </c>
      <c r="B3017" t="s">
        <v>4717</v>
      </c>
      <c r="C3017" t="s">
        <v>712</v>
      </c>
      <c r="D3017">
        <v>134000</v>
      </c>
      <c r="E3017">
        <v>11000</v>
      </c>
      <c r="G3017">
        <v>134000</v>
      </c>
      <c r="H3017">
        <v>5</v>
      </c>
      <c r="I3017" t="s">
        <v>89</v>
      </c>
      <c r="J3017">
        <v>25.5</v>
      </c>
      <c r="K3017">
        <v>2</v>
      </c>
      <c r="L3017">
        <v>8</v>
      </c>
      <c r="M3017" t="s">
        <v>4525</v>
      </c>
      <c r="N3017">
        <v>7</v>
      </c>
      <c r="O3017">
        <v>10</v>
      </c>
      <c r="P3017">
        <v>118283.39</v>
      </c>
      <c r="Q3017">
        <v>95329.65</v>
      </c>
      <c r="R3017">
        <v>271</v>
      </c>
      <c r="S3017">
        <v>1622</v>
      </c>
      <c r="T3017" t="s">
        <v>34</v>
      </c>
      <c r="U3017" t="s">
        <v>31</v>
      </c>
    </row>
    <row r="3018" spans="1:21">
      <c r="A3018" t="s">
        <v>4720</v>
      </c>
      <c r="B3018" t="s">
        <v>4717</v>
      </c>
      <c r="C3018" t="s">
        <v>712</v>
      </c>
      <c r="D3018">
        <v>135000</v>
      </c>
      <c r="E3018">
        <v>11000</v>
      </c>
      <c r="G3018">
        <v>135000</v>
      </c>
      <c r="H3018">
        <v>8</v>
      </c>
      <c r="I3018" t="s">
        <v>89</v>
      </c>
      <c r="J3018">
        <v>25.5</v>
      </c>
      <c r="K3018">
        <v>2</v>
      </c>
      <c r="L3018">
        <v>8</v>
      </c>
      <c r="M3018" t="s">
        <v>4525</v>
      </c>
      <c r="N3018">
        <v>7</v>
      </c>
      <c r="O3018">
        <v>10</v>
      </c>
      <c r="P3018">
        <v>118283.39</v>
      </c>
      <c r="Q3018">
        <v>95329.65</v>
      </c>
      <c r="R3018">
        <v>271</v>
      </c>
      <c r="S3018">
        <v>1622</v>
      </c>
      <c r="T3018" t="s">
        <v>34</v>
      </c>
      <c r="U3018" t="s">
        <v>31</v>
      </c>
    </row>
    <row r="3019" spans="1:21">
      <c r="A3019" t="s">
        <v>4721</v>
      </c>
      <c r="B3019" t="s">
        <v>4722</v>
      </c>
      <c r="C3019" t="s">
        <v>54</v>
      </c>
      <c r="D3019">
        <v>116000</v>
      </c>
      <c r="E3019">
        <v>10000</v>
      </c>
      <c r="F3019">
        <v>116000</v>
      </c>
      <c r="G3019">
        <v>116000</v>
      </c>
      <c r="H3019">
        <v>8</v>
      </c>
      <c r="I3019" t="s">
        <v>89</v>
      </c>
      <c r="J3019">
        <v>25.74</v>
      </c>
      <c r="K3019">
        <v>7</v>
      </c>
      <c r="L3019">
        <v>8</v>
      </c>
      <c r="M3019" t="s">
        <v>4525</v>
      </c>
      <c r="N3019">
        <v>9</v>
      </c>
      <c r="O3019">
        <v>12.33</v>
      </c>
      <c r="P3019">
        <v>118283.39</v>
      </c>
      <c r="Q3019">
        <v>95329.65</v>
      </c>
      <c r="R3019">
        <v>271</v>
      </c>
      <c r="S3019">
        <v>1622</v>
      </c>
      <c r="T3019" t="s">
        <v>34</v>
      </c>
      <c r="U3019" t="s">
        <v>31</v>
      </c>
    </row>
    <row r="3020" spans="1:21">
      <c r="A3020" t="s">
        <v>4723</v>
      </c>
      <c r="B3020" t="s">
        <v>4724</v>
      </c>
      <c r="C3020" t="s">
        <v>712</v>
      </c>
      <c r="D3020">
        <v>73000</v>
      </c>
      <c r="F3020">
        <v>73000</v>
      </c>
      <c r="H3020">
        <v>3</v>
      </c>
      <c r="I3020" t="s">
        <v>89</v>
      </c>
      <c r="J3020">
        <v>18.64</v>
      </c>
      <c r="K3020">
        <v>28</v>
      </c>
      <c r="L3020">
        <v>4</v>
      </c>
      <c r="M3020" t="s">
        <v>4525</v>
      </c>
      <c r="N3020">
        <v>8</v>
      </c>
      <c r="O3020">
        <v>9.5</v>
      </c>
      <c r="P3020">
        <v>118283.39</v>
      </c>
      <c r="Q3020">
        <v>95329.65</v>
      </c>
      <c r="R3020">
        <v>271</v>
      </c>
      <c r="S3020">
        <v>1622</v>
      </c>
      <c r="T3020" t="s">
        <v>108</v>
      </c>
      <c r="U3020" t="s">
        <v>27</v>
      </c>
    </row>
    <row r="3021" spans="1:21">
      <c r="A3021" t="s">
        <v>4725</v>
      </c>
      <c r="B3021" t="s">
        <v>4726</v>
      </c>
      <c r="C3021" t="s">
        <v>4547</v>
      </c>
      <c r="D3021">
        <v>75000</v>
      </c>
      <c r="E3021">
        <v>5000</v>
      </c>
      <c r="F3021">
        <v>75000</v>
      </c>
      <c r="H3021">
        <v>3</v>
      </c>
      <c r="I3021" t="s">
        <v>89</v>
      </c>
      <c r="J3021">
        <v>22.32</v>
      </c>
      <c r="K3021">
        <v>27</v>
      </c>
      <c r="L3021">
        <v>5</v>
      </c>
      <c r="M3021" t="s">
        <v>4525</v>
      </c>
      <c r="N3021">
        <v>8</v>
      </c>
      <c r="O3021">
        <v>10.33</v>
      </c>
      <c r="P3021">
        <v>118283.39</v>
      </c>
      <c r="Q3021">
        <v>95329.65</v>
      </c>
      <c r="R3021">
        <v>271</v>
      </c>
      <c r="S3021">
        <v>1622</v>
      </c>
      <c r="T3021" t="s">
        <v>34</v>
      </c>
      <c r="U3021" t="s">
        <v>27</v>
      </c>
    </row>
    <row r="3022" spans="1:21">
      <c r="A3022" t="s">
        <v>4727</v>
      </c>
      <c r="B3022" t="s">
        <v>4728</v>
      </c>
      <c r="C3022" t="s">
        <v>4356</v>
      </c>
      <c r="D3022">
        <v>65000</v>
      </c>
      <c r="F3022">
        <v>65000</v>
      </c>
      <c r="G3022">
        <v>65000</v>
      </c>
      <c r="H3022">
        <v>2</v>
      </c>
      <c r="I3022" t="s">
        <v>89</v>
      </c>
      <c r="J3022">
        <v>19.829999999999998</v>
      </c>
      <c r="K3022">
        <v>31</v>
      </c>
      <c r="L3022">
        <v>2</v>
      </c>
      <c r="M3022" t="s">
        <v>4525</v>
      </c>
      <c r="N3022">
        <v>10</v>
      </c>
      <c r="O3022">
        <v>11</v>
      </c>
      <c r="P3022">
        <v>118283.39</v>
      </c>
      <c r="Q3022">
        <v>95329.65</v>
      </c>
      <c r="R3022">
        <v>271</v>
      </c>
      <c r="S3022">
        <v>1622</v>
      </c>
      <c r="T3022" t="s">
        <v>108</v>
      </c>
      <c r="U3022" t="s">
        <v>49</v>
      </c>
    </row>
    <row r="3023" spans="1:21">
      <c r="A3023" t="s">
        <v>4729</v>
      </c>
      <c r="B3023" t="s">
        <v>4730</v>
      </c>
      <c r="C3023" t="s">
        <v>4590</v>
      </c>
      <c r="D3023">
        <v>92000</v>
      </c>
      <c r="E3023">
        <v>3000</v>
      </c>
      <c r="F3023">
        <v>92000</v>
      </c>
      <c r="G3023">
        <v>92000</v>
      </c>
      <c r="H3023">
        <v>3</v>
      </c>
      <c r="I3023" t="s">
        <v>89</v>
      </c>
      <c r="J3023">
        <v>28.79</v>
      </c>
      <c r="K3023">
        <v>31</v>
      </c>
      <c r="L3023">
        <v>5</v>
      </c>
      <c r="M3023" t="s">
        <v>4525</v>
      </c>
      <c r="N3023">
        <v>6</v>
      </c>
      <c r="O3023">
        <v>10.67</v>
      </c>
      <c r="P3023">
        <v>118283.39</v>
      </c>
      <c r="Q3023">
        <v>95329.65</v>
      </c>
      <c r="R3023">
        <v>271</v>
      </c>
      <c r="S3023">
        <v>1622</v>
      </c>
      <c r="T3023" t="s">
        <v>34</v>
      </c>
      <c r="U3023" t="s">
        <v>49</v>
      </c>
    </row>
    <row r="3024" spans="1:21">
      <c r="A3024" t="s">
        <v>4731</v>
      </c>
      <c r="B3024" t="s">
        <v>4730</v>
      </c>
      <c r="C3024" t="s">
        <v>4590</v>
      </c>
      <c r="D3024">
        <v>92000</v>
      </c>
      <c r="E3024">
        <v>3000</v>
      </c>
      <c r="F3024">
        <v>92000</v>
      </c>
      <c r="G3024">
        <v>92000</v>
      </c>
      <c r="H3024">
        <v>4</v>
      </c>
      <c r="I3024" t="s">
        <v>89</v>
      </c>
      <c r="J3024">
        <v>28.79</v>
      </c>
      <c r="K3024">
        <v>31</v>
      </c>
      <c r="L3024">
        <v>5</v>
      </c>
      <c r="M3024" t="s">
        <v>4525</v>
      </c>
      <c r="N3024">
        <v>6</v>
      </c>
      <c r="O3024">
        <v>10.67</v>
      </c>
      <c r="P3024">
        <v>118283.39</v>
      </c>
      <c r="Q3024">
        <v>95329.65</v>
      </c>
      <c r="R3024">
        <v>271</v>
      </c>
      <c r="S3024">
        <v>1622</v>
      </c>
      <c r="T3024" t="s">
        <v>34</v>
      </c>
      <c r="U3024" t="s">
        <v>49</v>
      </c>
    </row>
    <row r="3025" spans="1:21">
      <c r="A3025" t="s">
        <v>4732</v>
      </c>
      <c r="B3025" t="s">
        <v>4733</v>
      </c>
      <c r="C3025" t="s">
        <v>4542</v>
      </c>
      <c r="D3025">
        <v>74500</v>
      </c>
      <c r="E3025">
        <v>15000</v>
      </c>
      <c r="G3025">
        <v>37300</v>
      </c>
      <c r="H3025">
        <v>1</v>
      </c>
      <c r="I3025" t="s">
        <v>89</v>
      </c>
      <c r="J3025">
        <v>21.17</v>
      </c>
      <c r="K3025">
        <v>22</v>
      </c>
      <c r="L3025">
        <v>5</v>
      </c>
      <c r="M3025" t="s">
        <v>4525</v>
      </c>
      <c r="N3025">
        <v>5</v>
      </c>
      <c r="O3025">
        <v>10.33</v>
      </c>
      <c r="P3025">
        <v>118283.39</v>
      </c>
      <c r="Q3025">
        <v>95329.65</v>
      </c>
      <c r="R3025">
        <v>271</v>
      </c>
      <c r="S3025">
        <v>1622</v>
      </c>
      <c r="T3025" t="s">
        <v>34</v>
      </c>
      <c r="U3025" t="s">
        <v>27</v>
      </c>
    </row>
    <row r="3026" spans="1:21">
      <c r="A3026" t="s">
        <v>4734</v>
      </c>
      <c r="B3026" t="s">
        <v>4733</v>
      </c>
      <c r="C3026" t="s">
        <v>4542</v>
      </c>
      <c r="D3026">
        <v>82000</v>
      </c>
      <c r="E3026">
        <v>4000</v>
      </c>
      <c r="F3026">
        <v>82000</v>
      </c>
      <c r="G3026">
        <v>82000</v>
      </c>
      <c r="H3026">
        <v>1</v>
      </c>
      <c r="I3026" t="s">
        <v>89</v>
      </c>
      <c r="J3026">
        <v>21.17</v>
      </c>
      <c r="K3026">
        <v>22</v>
      </c>
      <c r="L3026">
        <v>5</v>
      </c>
      <c r="M3026" t="s">
        <v>4525</v>
      </c>
      <c r="N3026">
        <v>5</v>
      </c>
      <c r="O3026">
        <v>10.33</v>
      </c>
      <c r="P3026">
        <v>118283.39</v>
      </c>
      <c r="Q3026">
        <v>95329.65</v>
      </c>
      <c r="R3026">
        <v>271</v>
      </c>
      <c r="S3026">
        <v>1622</v>
      </c>
      <c r="T3026" t="s">
        <v>34</v>
      </c>
      <c r="U3026" t="s">
        <v>27</v>
      </c>
    </row>
    <row r="3027" spans="1:21">
      <c r="A3027" t="s">
        <v>4735</v>
      </c>
      <c r="B3027" t="s">
        <v>4733</v>
      </c>
      <c r="C3027" t="s">
        <v>4542</v>
      </c>
      <c r="D3027">
        <v>80000</v>
      </c>
      <c r="E3027">
        <v>10000</v>
      </c>
      <c r="F3027">
        <v>80000</v>
      </c>
      <c r="G3027">
        <v>80000</v>
      </c>
      <c r="H3027">
        <v>3</v>
      </c>
      <c r="I3027" t="s">
        <v>89</v>
      </c>
      <c r="J3027">
        <v>21.17</v>
      </c>
      <c r="K3027">
        <v>22</v>
      </c>
      <c r="L3027">
        <v>5</v>
      </c>
      <c r="M3027" t="s">
        <v>4525</v>
      </c>
      <c r="N3027">
        <v>5</v>
      </c>
      <c r="O3027">
        <v>10.33</v>
      </c>
      <c r="P3027">
        <v>118283.39</v>
      </c>
      <c r="Q3027">
        <v>95329.65</v>
      </c>
      <c r="R3027">
        <v>271</v>
      </c>
      <c r="S3027">
        <v>1622</v>
      </c>
      <c r="T3027" t="s">
        <v>34</v>
      </c>
      <c r="U3027" t="s">
        <v>27</v>
      </c>
    </row>
    <row r="3028" spans="1:21">
      <c r="A3028" t="s">
        <v>4736</v>
      </c>
      <c r="B3028" t="s">
        <v>4737</v>
      </c>
      <c r="C3028" t="s">
        <v>4542</v>
      </c>
      <c r="D3028">
        <v>35000</v>
      </c>
      <c r="E3028">
        <v>2000</v>
      </c>
      <c r="F3028">
        <v>35000</v>
      </c>
      <c r="G3028">
        <v>35000</v>
      </c>
      <c r="H3028">
        <v>1</v>
      </c>
      <c r="I3028" t="s">
        <v>89</v>
      </c>
      <c r="J3028">
        <v>18.22</v>
      </c>
      <c r="K3028">
        <v>60</v>
      </c>
      <c r="L3028">
        <v>2</v>
      </c>
      <c r="M3028" t="s">
        <v>4525</v>
      </c>
      <c r="N3028">
        <v>9</v>
      </c>
      <c r="O3028">
        <v>11.67</v>
      </c>
      <c r="P3028">
        <v>118283.39</v>
      </c>
      <c r="Q3028">
        <v>95329.65</v>
      </c>
      <c r="R3028">
        <v>271</v>
      </c>
      <c r="S3028">
        <v>1622</v>
      </c>
      <c r="T3028" t="s">
        <v>108</v>
      </c>
      <c r="U3028" t="s">
        <v>57</v>
      </c>
    </row>
    <row r="3029" spans="1:21">
      <c r="A3029" t="s">
        <v>4738</v>
      </c>
      <c r="B3029" t="s">
        <v>4739</v>
      </c>
      <c r="C3029" t="s">
        <v>4590</v>
      </c>
      <c r="D3029">
        <v>87000</v>
      </c>
      <c r="E3029">
        <v>6000</v>
      </c>
      <c r="H3029">
        <v>2</v>
      </c>
      <c r="I3029" t="s">
        <v>89</v>
      </c>
      <c r="J3029">
        <v>19.170000000000002</v>
      </c>
      <c r="K3029">
        <v>3</v>
      </c>
      <c r="L3029">
        <v>3</v>
      </c>
      <c r="M3029" t="s">
        <v>4525</v>
      </c>
      <c r="N3029">
        <v>6</v>
      </c>
      <c r="O3029">
        <v>12.33</v>
      </c>
      <c r="P3029">
        <v>118283.39</v>
      </c>
      <c r="Q3029">
        <v>95329.65</v>
      </c>
      <c r="R3029">
        <v>271</v>
      </c>
      <c r="S3029">
        <v>1622</v>
      </c>
      <c r="T3029" t="s">
        <v>108</v>
      </c>
      <c r="U3029" t="s">
        <v>31</v>
      </c>
    </row>
    <row r="3030" spans="1:21">
      <c r="A3030" t="s">
        <v>4740</v>
      </c>
      <c r="B3030" t="s">
        <v>4741</v>
      </c>
      <c r="C3030" t="s">
        <v>4687</v>
      </c>
      <c r="D3030">
        <v>101000</v>
      </c>
      <c r="E3030">
        <v>4000</v>
      </c>
      <c r="F3030">
        <v>101000</v>
      </c>
      <c r="G3030">
        <v>101000</v>
      </c>
      <c r="H3030">
        <v>12</v>
      </c>
      <c r="I3030" t="s">
        <v>89</v>
      </c>
      <c r="J3030">
        <v>21.28</v>
      </c>
      <c r="K3030">
        <v>14</v>
      </c>
      <c r="L3030">
        <v>12</v>
      </c>
      <c r="M3030" t="s">
        <v>4525</v>
      </c>
      <c r="N3030">
        <v>2</v>
      </c>
      <c r="O3030">
        <v>10.67</v>
      </c>
      <c r="P3030">
        <v>118283.39</v>
      </c>
      <c r="Q3030">
        <v>95329.65</v>
      </c>
      <c r="R3030">
        <v>271</v>
      </c>
      <c r="S3030">
        <v>1622</v>
      </c>
      <c r="T3030" t="s">
        <v>34</v>
      </c>
      <c r="U3030" t="s">
        <v>90</v>
      </c>
    </row>
    <row r="3031" spans="1:21">
      <c r="A3031" t="s">
        <v>4742</v>
      </c>
      <c r="B3031" t="s">
        <v>4743</v>
      </c>
      <c r="C3031" t="s">
        <v>4547</v>
      </c>
      <c r="D3031">
        <v>185000</v>
      </c>
      <c r="E3031">
        <v>5000</v>
      </c>
      <c r="F3031">
        <v>185000</v>
      </c>
      <c r="G3031">
        <v>185000</v>
      </c>
      <c r="H3031">
        <v>3</v>
      </c>
      <c r="I3031" t="s">
        <v>325</v>
      </c>
      <c r="J3031">
        <v>59.6</v>
      </c>
      <c r="K3031">
        <v>12</v>
      </c>
      <c r="L3031">
        <v>4</v>
      </c>
      <c r="M3031" t="s">
        <v>4525</v>
      </c>
      <c r="N3031">
        <v>6</v>
      </c>
      <c r="O3031">
        <v>9</v>
      </c>
      <c r="P3031">
        <v>118283.39</v>
      </c>
      <c r="Q3031">
        <v>168453.81</v>
      </c>
      <c r="R3031">
        <v>271</v>
      </c>
      <c r="S3031">
        <v>788</v>
      </c>
      <c r="T3031" t="s">
        <v>332</v>
      </c>
      <c r="U3031" t="s">
        <v>90</v>
      </c>
    </row>
    <row r="3032" spans="1:21">
      <c r="A3032" t="s">
        <v>4742</v>
      </c>
      <c r="B3032" t="s">
        <v>4743</v>
      </c>
      <c r="C3032" t="s">
        <v>4547</v>
      </c>
      <c r="D3032">
        <v>185000</v>
      </c>
      <c r="E3032">
        <v>5000</v>
      </c>
      <c r="F3032">
        <v>185000</v>
      </c>
      <c r="G3032">
        <v>185000</v>
      </c>
      <c r="H3032">
        <v>4</v>
      </c>
      <c r="I3032" t="s">
        <v>325</v>
      </c>
      <c r="J3032">
        <v>59.6</v>
      </c>
      <c r="K3032">
        <v>12</v>
      </c>
      <c r="L3032">
        <v>4</v>
      </c>
      <c r="M3032" t="s">
        <v>4525</v>
      </c>
      <c r="N3032">
        <v>6</v>
      </c>
      <c r="O3032">
        <v>9</v>
      </c>
      <c r="P3032">
        <v>118283.39</v>
      </c>
      <c r="Q3032">
        <v>168453.81</v>
      </c>
      <c r="R3032">
        <v>271</v>
      </c>
      <c r="S3032">
        <v>788</v>
      </c>
      <c r="T3032" t="s">
        <v>332</v>
      </c>
      <c r="U3032" t="s">
        <v>90</v>
      </c>
    </row>
    <row r="3033" spans="1:21">
      <c r="A3033" t="s">
        <v>4744</v>
      </c>
      <c r="B3033" t="s">
        <v>4745</v>
      </c>
      <c r="C3033" t="s">
        <v>4547</v>
      </c>
      <c r="D3033">
        <v>159000</v>
      </c>
      <c r="E3033">
        <v>8000</v>
      </c>
      <c r="H3033">
        <v>2</v>
      </c>
      <c r="I3033" t="s">
        <v>325</v>
      </c>
      <c r="J3033">
        <v>55.17</v>
      </c>
      <c r="K3033">
        <v>19</v>
      </c>
      <c r="L3033">
        <v>3</v>
      </c>
      <c r="M3033" t="s">
        <v>4525</v>
      </c>
      <c r="N3033">
        <v>8</v>
      </c>
      <c r="O3033">
        <v>10.33</v>
      </c>
      <c r="P3033">
        <v>118283.39</v>
      </c>
      <c r="Q3033">
        <v>168453.81</v>
      </c>
      <c r="R3033">
        <v>271</v>
      </c>
      <c r="S3033">
        <v>788</v>
      </c>
      <c r="T3033" t="s">
        <v>332</v>
      </c>
      <c r="U3033" t="s">
        <v>90</v>
      </c>
    </row>
    <row r="3034" spans="1:21">
      <c r="A3034" t="s">
        <v>4746</v>
      </c>
      <c r="B3034" t="s">
        <v>4524</v>
      </c>
      <c r="C3034" t="s">
        <v>4032</v>
      </c>
      <c r="D3034">
        <v>162000</v>
      </c>
      <c r="E3034">
        <v>18000</v>
      </c>
      <c r="H3034">
        <v>3</v>
      </c>
      <c r="I3034" t="s">
        <v>325</v>
      </c>
      <c r="J3034">
        <v>34.549999999999997</v>
      </c>
      <c r="K3034">
        <v>0</v>
      </c>
      <c r="L3034">
        <v>4</v>
      </c>
      <c r="M3034" t="s">
        <v>4525</v>
      </c>
      <c r="N3034">
        <v>8</v>
      </c>
      <c r="O3034">
        <v>12</v>
      </c>
      <c r="P3034">
        <v>118283.39</v>
      </c>
      <c r="Q3034">
        <v>168453.81</v>
      </c>
      <c r="R3034">
        <v>271</v>
      </c>
      <c r="S3034">
        <v>788</v>
      </c>
      <c r="T3034" t="s">
        <v>26</v>
      </c>
      <c r="U3034" t="s">
        <v>81</v>
      </c>
    </row>
    <row r="3035" spans="1:21">
      <c r="A3035" t="s">
        <v>4747</v>
      </c>
      <c r="B3035" t="s">
        <v>4524</v>
      </c>
      <c r="C3035" t="s">
        <v>4032</v>
      </c>
      <c r="D3035">
        <v>167000</v>
      </c>
      <c r="E3035">
        <v>18000</v>
      </c>
      <c r="H3035">
        <v>4</v>
      </c>
      <c r="I3035" t="s">
        <v>325</v>
      </c>
      <c r="J3035">
        <v>36.43</v>
      </c>
      <c r="K3035">
        <v>0</v>
      </c>
      <c r="L3035">
        <v>4</v>
      </c>
      <c r="M3035" t="s">
        <v>4525</v>
      </c>
      <c r="N3035">
        <v>8</v>
      </c>
      <c r="O3035">
        <v>12</v>
      </c>
      <c r="P3035">
        <v>118283.39</v>
      </c>
      <c r="Q3035">
        <v>168453.81</v>
      </c>
      <c r="R3035">
        <v>271</v>
      </c>
      <c r="S3035">
        <v>788</v>
      </c>
      <c r="T3035" t="s">
        <v>26</v>
      </c>
      <c r="U3035" t="s">
        <v>81</v>
      </c>
    </row>
    <row r="3036" spans="1:21">
      <c r="A3036" t="s">
        <v>4748</v>
      </c>
      <c r="B3036" t="s">
        <v>4749</v>
      </c>
      <c r="C3036" t="s">
        <v>54</v>
      </c>
      <c r="D3036">
        <v>144000</v>
      </c>
      <c r="E3036">
        <v>6000</v>
      </c>
      <c r="F3036">
        <v>144000</v>
      </c>
      <c r="H3036">
        <v>10</v>
      </c>
      <c r="I3036" t="s">
        <v>325</v>
      </c>
      <c r="J3036">
        <v>25.22</v>
      </c>
      <c r="K3036">
        <v>2</v>
      </c>
      <c r="L3036">
        <v>10</v>
      </c>
      <c r="M3036" t="s">
        <v>4525</v>
      </c>
      <c r="N3036">
        <v>9</v>
      </c>
      <c r="O3036">
        <v>11.67</v>
      </c>
      <c r="P3036">
        <v>118283.39</v>
      </c>
      <c r="Q3036">
        <v>168453.81</v>
      </c>
      <c r="R3036">
        <v>271</v>
      </c>
      <c r="S3036">
        <v>788</v>
      </c>
      <c r="T3036" t="s">
        <v>34</v>
      </c>
      <c r="U3036" t="s">
        <v>31</v>
      </c>
    </row>
    <row r="3037" spans="1:21">
      <c r="A3037" t="s">
        <v>4750</v>
      </c>
      <c r="B3037" t="s">
        <v>4541</v>
      </c>
      <c r="C3037" t="s">
        <v>4542</v>
      </c>
      <c r="D3037">
        <v>175000</v>
      </c>
      <c r="E3037">
        <v>20000</v>
      </c>
      <c r="F3037">
        <v>175000</v>
      </c>
      <c r="H3037">
        <v>10</v>
      </c>
      <c r="I3037" t="s">
        <v>325</v>
      </c>
      <c r="J3037">
        <v>33.299999999999997</v>
      </c>
      <c r="K3037">
        <v>2</v>
      </c>
      <c r="L3037">
        <v>19</v>
      </c>
      <c r="M3037" t="s">
        <v>4525</v>
      </c>
      <c r="N3037">
        <v>6</v>
      </c>
      <c r="O3037">
        <v>12</v>
      </c>
      <c r="P3037">
        <v>118283.39</v>
      </c>
      <c r="Q3037">
        <v>168453.81</v>
      </c>
      <c r="R3037">
        <v>271</v>
      </c>
      <c r="S3037">
        <v>788</v>
      </c>
      <c r="T3037" t="s">
        <v>26</v>
      </c>
      <c r="U3037" t="s">
        <v>31</v>
      </c>
    </row>
    <row r="3038" spans="1:21">
      <c r="A3038" t="s">
        <v>4751</v>
      </c>
      <c r="B3038" t="s">
        <v>4752</v>
      </c>
      <c r="C3038" t="s">
        <v>4539</v>
      </c>
      <c r="D3038">
        <v>169000</v>
      </c>
      <c r="F3038">
        <v>169000</v>
      </c>
      <c r="G3038">
        <v>169000</v>
      </c>
      <c r="H3038">
        <v>4</v>
      </c>
      <c r="I3038" t="s">
        <v>325</v>
      </c>
      <c r="J3038">
        <v>35.409999999999997</v>
      </c>
      <c r="K3038">
        <v>0</v>
      </c>
      <c r="L3038">
        <v>15</v>
      </c>
      <c r="M3038" t="s">
        <v>4525</v>
      </c>
      <c r="N3038">
        <v>3</v>
      </c>
      <c r="O3038">
        <v>10.33</v>
      </c>
      <c r="P3038">
        <v>118283.39</v>
      </c>
      <c r="Q3038">
        <v>168453.81</v>
      </c>
      <c r="R3038">
        <v>271</v>
      </c>
      <c r="S3038">
        <v>788</v>
      </c>
      <c r="T3038" t="s">
        <v>26</v>
      </c>
      <c r="U3038" t="s">
        <v>81</v>
      </c>
    </row>
    <row r="3039" spans="1:21">
      <c r="A3039" t="s">
        <v>4753</v>
      </c>
      <c r="B3039" t="s">
        <v>4754</v>
      </c>
      <c r="C3039" t="s">
        <v>54</v>
      </c>
      <c r="D3039">
        <v>170000</v>
      </c>
      <c r="E3039">
        <v>10000</v>
      </c>
      <c r="F3039">
        <v>170000</v>
      </c>
      <c r="G3039">
        <v>170000</v>
      </c>
      <c r="H3039">
        <v>2</v>
      </c>
      <c r="I3039" t="s">
        <v>325</v>
      </c>
      <c r="J3039">
        <v>43.25</v>
      </c>
      <c r="K3039">
        <v>7</v>
      </c>
      <c r="L3039">
        <v>5</v>
      </c>
      <c r="M3039" t="s">
        <v>4525</v>
      </c>
      <c r="N3039">
        <v>8</v>
      </c>
      <c r="O3039">
        <v>11</v>
      </c>
      <c r="P3039">
        <v>118283.39</v>
      </c>
      <c r="Q3039">
        <v>168453.81</v>
      </c>
      <c r="R3039">
        <v>271</v>
      </c>
      <c r="S3039">
        <v>788</v>
      </c>
      <c r="T3039" t="s">
        <v>326</v>
      </c>
      <c r="U3039" t="s">
        <v>31</v>
      </c>
    </row>
    <row r="3040" spans="1:21">
      <c r="A3040" t="s">
        <v>4755</v>
      </c>
      <c r="B3040" t="s">
        <v>4756</v>
      </c>
      <c r="C3040" t="s">
        <v>4547</v>
      </c>
      <c r="D3040">
        <v>130000</v>
      </c>
      <c r="E3040">
        <v>2000</v>
      </c>
      <c r="F3040">
        <v>130000</v>
      </c>
      <c r="G3040">
        <v>260000</v>
      </c>
      <c r="H3040">
        <v>1</v>
      </c>
      <c r="I3040" t="s">
        <v>325</v>
      </c>
      <c r="J3040">
        <v>49.68</v>
      </c>
      <c r="K3040">
        <v>17</v>
      </c>
      <c r="L3040">
        <v>2</v>
      </c>
      <c r="M3040" t="s">
        <v>4525</v>
      </c>
      <c r="N3040">
        <v>8</v>
      </c>
      <c r="O3040">
        <v>11.67</v>
      </c>
      <c r="P3040">
        <v>118283.39</v>
      </c>
      <c r="Q3040">
        <v>168453.81</v>
      </c>
      <c r="R3040">
        <v>271</v>
      </c>
      <c r="S3040">
        <v>788</v>
      </c>
      <c r="T3040" t="s">
        <v>326</v>
      </c>
      <c r="U3040" t="s">
        <v>90</v>
      </c>
    </row>
    <row r="3041" spans="1:21">
      <c r="A3041" t="s">
        <v>4757</v>
      </c>
      <c r="B3041" t="s">
        <v>4756</v>
      </c>
      <c r="C3041" t="s">
        <v>4547</v>
      </c>
      <c r="D3041">
        <v>140000</v>
      </c>
      <c r="E3041">
        <v>2000</v>
      </c>
      <c r="F3041">
        <v>140000</v>
      </c>
      <c r="G3041">
        <v>280000</v>
      </c>
      <c r="H3041">
        <v>1</v>
      </c>
      <c r="I3041" t="s">
        <v>325</v>
      </c>
      <c r="J3041">
        <v>49.68</v>
      </c>
      <c r="K3041">
        <v>17</v>
      </c>
      <c r="L3041">
        <v>2</v>
      </c>
      <c r="M3041" t="s">
        <v>4525</v>
      </c>
      <c r="N3041">
        <v>8</v>
      </c>
      <c r="O3041">
        <v>11.67</v>
      </c>
      <c r="P3041">
        <v>118283.39</v>
      </c>
      <c r="Q3041">
        <v>168453.81</v>
      </c>
      <c r="R3041">
        <v>271</v>
      </c>
      <c r="S3041">
        <v>788</v>
      </c>
      <c r="T3041" t="s">
        <v>326</v>
      </c>
      <c r="U3041" t="s">
        <v>90</v>
      </c>
    </row>
    <row r="3042" spans="1:21">
      <c r="A3042" t="s">
        <v>4758</v>
      </c>
      <c r="B3042" t="s">
        <v>4759</v>
      </c>
      <c r="C3042" t="s">
        <v>4760</v>
      </c>
      <c r="D3042">
        <v>168000</v>
      </c>
      <c r="E3042">
        <v>6000</v>
      </c>
      <c r="F3042">
        <v>168000</v>
      </c>
      <c r="G3042">
        <v>168000</v>
      </c>
      <c r="H3042">
        <v>12</v>
      </c>
      <c r="I3042" t="s">
        <v>325</v>
      </c>
      <c r="J3042">
        <v>33.57</v>
      </c>
      <c r="K3042">
        <v>8</v>
      </c>
      <c r="L3042">
        <v>12</v>
      </c>
      <c r="M3042" t="s">
        <v>4525</v>
      </c>
      <c r="N3042">
        <v>2</v>
      </c>
      <c r="O3042">
        <v>10.67</v>
      </c>
      <c r="P3042">
        <v>118283.39</v>
      </c>
      <c r="Q3042">
        <v>168453.81</v>
      </c>
      <c r="R3042">
        <v>271</v>
      </c>
      <c r="S3042">
        <v>788</v>
      </c>
      <c r="T3042" t="s">
        <v>26</v>
      </c>
      <c r="U3042" t="s">
        <v>31</v>
      </c>
    </row>
    <row r="3043" spans="1:21">
      <c r="A3043" t="s">
        <v>4761</v>
      </c>
      <c r="B3043" t="s">
        <v>4759</v>
      </c>
      <c r="C3043" t="s">
        <v>4760</v>
      </c>
      <c r="D3043">
        <v>145000</v>
      </c>
      <c r="E3043">
        <v>6000</v>
      </c>
      <c r="F3043">
        <v>145000</v>
      </c>
      <c r="G3043">
        <v>145000</v>
      </c>
      <c r="H3043">
        <v>2</v>
      </c>
      <c r="I3043" t="s">
        <v>325</v>
      </c>
      <c r="J3043">
        <v>32.450000000000003</v>
      </c>
      <c r="K3043">
        <v>8</v>
      </c>
      <c r="L3043">
        <v>12</v>
      </c>
      <c r="M3043" t="s">
        <v>4525</v>
      </c>
      <c r="N3043">
        <v>2</v>
      </c>
      <c r="O3043">
        <v>10.67</v>
      </c>
      <c r="P3043">
        <v>118283.39</v>
      </c>
      <c r="Q3043">
        <v>168453.81</v>
      </c>
      <c r="R3043">
        <v>271</v>
      </c>
      <c r="S3043">
        <v>788</v>
      </c>
      <c r="T3043" t="s">
        <v>26</v>
      </c>
      <c r="U3043" t="s">
        <v>31</v>
      </c>
    </row>
    <row r="3044" spans="1:21">
      <c r="A3044" t="s">
        <v>4762</v>
      </c>
      <c r="B3044" t="s">
        <v>4759</v>
      </c>
      <c r="C3044" t="s">
        <v>4760</v>
      </c>
      <c r="D3044">
        <v>148000</v>
      </c>
      <c r="E3044">
        <v>6000</v>
      </c>
      <c r="F3044">
        <v>148000</v>
      </c>
      <c r="G3044">
        <v>148000</v>
      </c>
      <c r="H3044">
        <v>4</v>
      </c>
      <c r="I3044" t="s">
        <v>325</v>
      </c>
      <c r="J3044">
        <v>32.450000000000003</v>
      </c>
      <c r="K3044">
        <v>8</v>
      </c>
      <c r="L3044">
        <v>12</v>
      </c>
      <c r="M3044" t="s">
        <v>4525</v>
      </c>
      <c r="N3044">
        <v>2</v>
      </c>
      <c r="O3044">
        <v>10.67</v>
      </c>
      <c r="P3044">
        <v>118283.39</v>
      </c>
      <c r="Q3044">
        <v>168453.81</v>
      </c>
      <c r="R3044">
        <v>271</v>
      </c>
      <c r="S3044">
        <v>788</v>
      </c>
      <c r="T3044" t="s">
        <v>26</v>
      </c>
      <c r="U3044" t="s">
        <v>31</v>
      </c>
    </row>
    <row r="3045" spans="1:21">
      <c r="A3045" t="s">
        <v>4763</v>
      </c>
      <c r="B3045" t="s">
        <v>4764</v>
      </c>
      <c r="C3045" t="s">
        <v>712</v>
      </c>
      <c r="D3045">
        <v>127000</v>
      </c>
      <c r="E3045">
        <v>8000</v>
      </c>
      <c r="G3045">
        <v>127000</v>
      </c>
      <c r="H3045">
        <v>10</v>
      </c>
      <c r="I3045" t="s">
        <v>325</v>
      </c>
      <c r="J3045">
        <v>37.21</v>
      </c>
      <c r="K3045">
        <v>13</v>
      </c>
      <c r="L3045">
        <v>10</v>
      </c>
      <c r="M3045" t="s">
        <v>4525</v>
      </c>
      <c r="N3045">
        <v>9</v>
      </c>
      <c r="O3045">
        <v>9.67</v>
      </c>
      <c r="P3045">
        <v>118283.39</v>
      </c>
      <c r="Q3045">
        <v>168453.81</v>
      </c>
      <c r="R3045">
        <v>271</v>
      </c>
      <c r="S3045">
        <v>788</v>
      </c>
      <c r="T3045" t="s">
        <v>26</v>
      </c>
      <c r="U3045" t="s">
        <v>90</v>
      </c>
    </row>
    <row r="3046" spans="1:21">
      <c r="A3046" t="s">
        <v>4765</v>
      </c>
      <c r="B3046" t="s">
        <v>4766</v>
      </c>
      <c r="C3046" t="s">
        <v>4539</v>
      </c>
      <c r="D3046">
        <v>150000</v>
      </c>
      <c r="E3046">
        <v>5000</v>
      </c>
      <c r="G3046">
        <v>150000</v>
      </c>
      <c r="H3046">
        <v>2</v>
      </c>
      <c r="I3046" t="s">
        <v>325</v>
      </c>
      <c r="J3046">
        <v>47.27</v>
      </c>
      <c r="K3046">
        <v>4</v>
      </c>
      <c r="L3046">
        <v>7</v>
      </c>
      <c r="M3046" t="s">
        <v>4525</v>
      </c>
      <c r="N3046">
        <v>5</v>
      </c>
      <c r="O3046">
        <v>12</v>
      </c>
      <c r="P3046">
        <v>118283.39</v>
      </c>
      <c r="Q3046">
        <v>168453.81</v>
      </c>
      <c r="R3046">
        <v>271</v>
      </c>
      <c r="S3046">
        <v>788</v>
      </c>
      <c r="T3046" t="s">
        <v>326</v>
      </c>
      <c r="U3046" t="s">
        <v>31</v>
      </c>
    </row>
    <row r="3047" spans="1:21">
      <c r="A3047" t="s">
        <v>4767</v>
      </c>
      <c r="B3047" t="s">
        <v>4768</v>
      </c>
      <c r="C3047" t="s">
        <v>54</v>
      </c>
      <c r="D3047">
        <v>165000</v>
      </c>
      <c r="E3047">
        <v>15000</v>
      </c>
      <c r="F3047">
        <v>165000</v>
      </c>
      <c r="G3047">
        <v>165000</v>
      </c>
      <c r="H3047">
        <v>10</v>
      </c>
      <c r="I3047" t="s">
        <v>325</v>
      </c>
      <c r="J3047">
        <v>40.090000000000003</v>
      </c>
      <c r="K3047">
        <v>19</v>
      </c>
      <c r="L3047">
        <v>10</v>
      </c>
      <c r="M3047" t="s">
        <v>4525</v>
      </c>
      <c r="N3047">
        <v>8</v>
      </c>
      <c r="O3047">
        <v>10.67</v>
      </c>
      <c r="P3047">
        <v>118283.39</v>
      </c>
      <c r="Q3047">
        <v>168453.81</v>
      </c>
      <c r="R3047">
        <v>271</v>
      </c>
      <c r="S3047">
        <v>788</v>
      </c>
      <c r="T3047" t="s">
        <v>326</v>
      </c>
      <c r="U3047" t="s">
        <v>90</v>
      </c>
    </row>
    <row r="3048" spans="1:21">
      <c r="A3048" t="s">
        <v>4769</v>
      </c>
      <c r="B3048" t="s">
        <v>4770</v>
      </c>
      <c r="C3048" t="s">
        <v>4542</v>
      </c>
      <c r="D3048">
        <v>138000</v>
      </c>
      <c r="H3048">
        <v>3</v>
      </c>
      <c r="I3048" t="s">
        <v>325</v>
      </c>
      <c r="J3048">
        <v>50.35</v>
      </c>
      <c r="K3048">
        <v>34</v>
      </c>
      <c r="L3048">
        <v>11</v>
      </c>
      <c r="M3048" t="s">
        <v>4525</v>
      </c>
      <c r="N3048">
        <v>5</v>
      </c>
      <c r="O3048">
        <v>10.67</v>
      </c>
      <c r="P3048">
        <v>118283.39</v>
      </c>
      <c r="Q3048">
        <v>168453.81</v>
      </c>
      <c r="R3048">
        <v>271</v>
      </c>
      <c r="S3048">
        <v>788</v>
      </c>
      <c r="T3048" t="s">
        <v>332</v>
      </c>
      <c r="U3048" t="s">
        <v>49</v>
      </c>
    </row>
    <row r="3049" spans="1:21">
      <c r="A3049" t="s">
        <v>4771</v>
      </c>
      <c r="B3049" t="s">
        <v>4772</v>
      </c>
      <c r="C3049" t="s">
        <v>4539</v>
      </c>
      <c r="D3049">
        <v>154000</v>
      </c>
      <c r="E3049">
        <v>15000</v>
      </c>
      <c r="H3049">
        <v>12</v>
      </c>
      <c r="I3049" t="s">
        <v>325</v>
      </c>
      <c r="J3049">
        <v>31.31</v>
      </c>
      <c r="K3049">
        <v>3</v>
      </c>
      <c r="L3049">
        <v>12</v>
      </c>
      <c r="M3049" t="s">
        <v>4525</v>
      </c>
      <c r="N3049">
        <v>5</v>
      </c>
      <c r="O3049">
        <v>10</v>
      </c>
      <c r="P3049">
        <v>118283.39</v>
      </c>
      <c r="Q3049">
        <v>168453.81</v>
      </c>
      <c r="R3049">
        <v>271</v>
      </c>
      <c r="S3049">
        <v>788</v>
      </c>
      <c r="T3049" t="s">
        <v>26</v>
      </c>
      <c r="U3049" t="s">
        <v>31</v>
      </c>
    </row>
    <row r="3050" spans="1:21">
      <c r="A3050" t="s">
        <v>4773</v>
      </c>
      <c r="B3050" t="s">
        <v>4772</v>
      </c>
      <c r="C3050" t="s">
        <v>4539</v>
      </c>
      <c r="D3050">
        <v>146000</v>
      </c>
      <c r="E3050">
        <v>15000</v>
      </c>
      <c r="H3050">
        <v>9</v>
      </c>
      <c r="I3050" t="s">
        <v>325</v>
      </c>
      <c r="J3050">
        <v>33.04</v>
      </c>
      <c r="K3050">
        <v>3</v>
      </c>
      <c r="L3050">
        <v>12</v>
      </c>
      <c r="M3050" t="s">
        <v>4525</v>
      </c>
      <c r="N3050">
        <v>5</v>
      </c>
      <c r="O3050">
        <v>10</v>
      </c>
      <c r="P3050">
        <v>118283.39</v>
      </c>
      <c r="Q3050">
        <v>168453.81</v>
      </c>
      <c r="R3050">
        <v>271</v>
      </c>
      <c r="S3050">
        <v>788</v>
      </c>
      <c r="T3050" t="s">
        <v>26</v>
      </c>
      <c r="U3050" t="s">
        <v>31</v>
      </c>
    </row>
    <row r="3051" spans="1:21">
      <c r="A3051" t="s">
        <v>4774</v>
      </c>
      <c r="B3051" t="s">
        <v>4775</v>
      </c>
      <c r="C3051" t="s">
        <v>4547</v>
      </c>
      <c r="D3051">
        <v>130000</v>
      </c>
      <c r="E3051">
        <v>2000</v>
      </c>
      <c r="F3051">
        <v>130000</v>
      </c>
      <c r="G3051">
        <v>260000</v>
      </c>
      <c r="H3051">
        <v>1</v>
      </c>
      <c r="I3051" t="s">
        <v>325</v>
      </c>
      <c r="J3051">
        <v>49.68</v>
      </c>
      <c r="K3051">
        <v>17</v>
      </c>
      <c r="L3051">
        <v>2</v>
      </c>
      <c r="M3051" t="s">
        <v>4525</v>
      </c>
      <c r="N3051">
        <v>8</v>
      </c>
      <c r="O3051">
        <v>11.33</v>
      </c>
      <c r="P3051">
        <v>118283.39</v>
      </c>
      <c r="Q3051">
        <v>168453.81</v>
      </c>
      <c r="R3051">
        <v>271</v>
      </c>
      <c r="S3051">
        <v>788</v>
      </c>
      <c r="T3051" t="s">
        <v>326</v>
      </c>
      <c r="U3051" t="s">
        <v>90</v>
      </c>
    </row>
    <row r="3052" spans="1:21">
      <c r="A3052" t="s">
        <v>4776</v>
      </c>
      <c r="B3052" t="s">
        <v>4775</v>
      </c>
      <c r="C3052" t="s">
        <v>4547</v>
      </c>
      <c r="D3052">
        <v>140000</v>
      </c>
      <c r="E3052">
        <v>2000</v>
      </c>
      <c r="F3052">
        <v>140000</v>
      </c>
      <c r="G3052">
        <v>280000</v>
      </c>
      <c r="H3052">
        <v>1</v>
      </c>
      <c r="I3052" t="s">
        <v>325</v>
      </c>
      <c r="J3052">
        <v>49.68</v>
      </c>
      <c r="K3052">
        <v>17</v>
      </c>
      <c r="L3052">
        <v>2</v>
      </c>
      <c r="M3052" t="s">
        <v>4525</v>
      </c>
      <c r="N3052">
        <v>8</v>
      </c>
      <c r="O3052">
        <v>11.33</v>
      </c>
      <c r="P3052">
        <v>118283.39</v>
      </c>
      <c r="Q3052">
        <v>168453.81</v>
      </c>
      <c r="R3052">
        <v>271</v>
      </c>
      <c r="S3052">
        <v>788</v>
      </c>
      <c r="T3052" t="s">
        <v>326</v>
      </c>
      <c r="U3052" t="s">
        <v>90</v>
      </c>
    </row>
    <row r="3053" spans="1:21">
      <c r="A3053" t="s">
        <v>4777</v>
      </c>
      <c r="B3053" t="s">
        <v>4692</v>
      </c>
      <c r="C3053" t="s">
        <v>37</v>
      </c>
      <c r="D3053">
        <v>188000</v>
      </c>
      <c r="E3053">
        <v>10500</v>
      </c>
      <c r="F3053">
        <v>188000</v>
      </c>
      <c r="G3053">
        <v>376000</v>
      </c>
      <c r="H3053">
        <v>1</v>
      </c>
      <c r="I3053" t="s">
        <v>325</v>
      </c>
      <c r="J3053">
        <v>51.16</v>
      </c>
      <c r="K3053">
        <v>0</v>
      </c>
      <c r="L3053">
        <v>3</v>
      </c>
      <c r="M3053" t="s">
        <v>4525</v>
      </c>
      <c r="N3053">
        <v>10</v>
      </c>
      <c r="O3053">
        <v>10.33</v>
      </c>
      <c r="P3053">
        <v>118283.39</v>
      </c>
      <c r="Q3053">
        <v>168453.81</v>
      </c>
      <c r="R3053">
        <v>271</v>
      </c>
      <c r="S3053">
        <v>788</v>
      </c>
      <c r="T3053" t="s">
        <v>332</v>
      </c>
      <c r="U3053" t="s">
        <v>81</v>
      </c>
    </row>
    <row r="3054" spans="1:21">
      <c r="A3054" t="s">
        <v>4778</v>
      </c>
      <c r="B3054" t="s">
        <v>4779</v>
      </c>
      <c r="C3054" t="s">
        <v>4547</v>
      </c>
      <c r="D3054">
        <v>159000</v>
      </c>
      <c r="E3054">
        <v>8000</v>
      </c>
      <c r="H3054">
        <v>2</v>
      </c>
      <c r="I3054" t="s">
        <v>325</v>
      </c>
      <c r="J3054">
        <v>55.17</v>
      </c>
      <c r="K3054">
        <v>19</v>
      </c>
      <c r="L3054">
        <v>3</v>
      </c>
      <c r="M3054" t="s">
        <v>4525</v>
      </c>
      <c r="N3054">
        <v>8</v>
      </c>
      <c r="O3054">
        <v>10.33</v>
      </c>
      <c r="P3054">
        <v>118283.39</v>
      </c>
      <c r="Q3054">
        <v>168453.81</v>
      </c>
      <c r="R3054">
        <v>271</v>
      </c>
      <c r="S3054">
        <v>788</v>
      </c>
      <c r="T3054" t="s">
        <v>332</v>
      </c>
      <c r="U3054" t="s">
        <v>90</v>
      </c>
    </row>
    <row r="3055" spans="1:21">
      <c r="A3055" t="s">
        <v>4780</v>
      </c>
      <c r="B3055" t="s">
        <v>4781</v>
      </c>
      <c r="C3055" t="s">
        <v>4539</v>
      </c>
      <c r="D3055">
        <v>165000</v>
      </c>
      <c r="E3055">
        <v>15000</v>
      </c>
      <c r="F3055">
        <v>165000</v>
      </c>
      <c r="H3055">
        <v>2</v>
      </c>
      <c r="I3055" t="s">
        <v>325</v>
      </c>
      <c r="J3055">
        <v>39.950000000000003</v>
      </c>
      <c r="K3055">
        <v>4</v>
      </c>
      <c r="L3055">
        <v>4</v>
      </c>
      <c r="M3055" t="s">
        <v>4525</v>
      </c>
      <c r="N3055">
        <v>5</v>
      </c>
      <c r="O3055">
        <v>11</v>
      </c>
      <c r="P3055">
        <v>118283.39</v>
      </c>
      <c r="Q3055">
        <v>168453.81</v>
      </c>
      <c r="R3055">
        <v>271</v>
      </c>
      <c r="S3055">
        <v>788</v>
      </c>
      <c r="T3055" t="s">
        <v>26</v>
      </c>
      <c r="U3055" t="s">
        <v>31</v>
      </c>
    </row>
    <row r="3056" spans="1:21">
      <c r="A3056" t="s">
        <v>4782</v>
      </c>
      <c r="B3056" t="s">
        <v>4783</v>
      </c>
      <c r="C3056" t="s">
        <v>4547</v>
      </c>
      <c r="D3056">
        <v>125000</v>
      </c>
      <c r="E3056">
        <v>5000</v>
      </c>
      <c r="F3056">
        <v>125000</v>
      </c>
      <c r="G3056">
        <v>125000</v>
      </c>
      <c r="H3056">
        <v>4</v>
      </c>
      <c r="I3056" t="s">
        <v>325</v>
      </c>
      <c r="J3056">
        <v>45.12</v>
      </c>
      <c r="K3056">
        <v>54</v>
      </c>
      <c r="L3056">
        <v>5</v>
      </c>
      <c r="M3056" t="s">
        <v>4525</v>
      </c>
      <c r="N3056">
        <v>10</v>
      </c>
      <c r="O3056">
        <v>12</v>
      </c>
      <c r="P3056">
        <v>118283.39</v>
      </c>
      <c r="Q3056">
        <v>168453.81</v>
      </c>
      <c r="R3056">
        <v>271</v>
      </c>
      <c r="S3056">
        <v>788</v>
      </c>
      <c r="T3056" t="s">
        <v>326</v>
      </c>
      <c r="U3056" t="s">
        <v>57</v>
      </c>
    </row>
    <row r="3057" spans="1:21">
      <c r="A3057" t="s">
        <v>4784</v>
      </c>
      <c r="B3057" t="s">
        <v>4785</v>
      </c>
      <c r="C3057" t="s">
        <v>4542</v>
      </c>
      <c r="D3057">
        <v>150000</v>
      </c>
      <c r="E3057">
        <v>10000</v>
      </c>
      <c r="F3057">
        <v>150000</v>
      </c>
      <c r="G3057">
        <v>150000</v>
      </c>
      <c r="H3057">
        <v>2</v>
      </c>
      <c r="I3057" t="s">
        <v>325</v>
      </c>
      <c r="J3057">
        <v>30.85</v>
      </c>
      <c r="K3057">
        <v>0</v>
      </c>
      <c r="L3057">
        <v>8</v>
      </c>
      <c r="M3057" t="s">
        <v>4525</v>
      </c>
      <c r="N3057">
        <v>6</v>
      </c>
      <c r="O3057">
        <v>10.67</v>
      </c>
      <c r="P3057">
        <v>118283.39</v>
      </c>
      <c r="Q3057">
        <v>168453.81</v>
      </c>
      <c r="R3057">
        <v>271</v>
      </c>
      <c r="S3057">
        <v>788</v>
      </c>
      <c r="T3057" t="s">
        <v>26</v>
      </c>
      <c r="U3057" t="s">
        <v>81</v>
      </c>
    </row>
    <row r="3058" spans="1:21">
      <c r="A3058" t="s">
        <v>4786</v>
      </c>
      <c r="B3058" t="s">
        <v>4785</v>
      </c>
      <c r="C3058" t="s">
        <v>4542</v>
      </c>
      <c r="D3058">
        <v>180000</v>
      </c>
      <c r="E3058">
        <v>10000</v>
      </c>
      <c r="F3058">
        <v>180000</v>
      </c>
      <c r="G3058">
        <v>180000</v>
      </c>
      <c r="H3058">
        <v>8</v>
      </c>
      <c r="I3058" t="s">
        <v>325</v>
      </c>
      <c r="J3058">
        <v>38.979999999999997</v>
      </c>
      <c r="K3058">
        <v>0</v>
      </c>
      <c r="L3058">
        <v>8</v>
      </c>
      <c r="M3058" t="s">
        <v>4525</v>
      </c>
      <c r="N3058">
        <v>6</v>
      </c>
      <c r="O3058">
        <v>10.67</v>
      </c>
      <c r="P3058">
        <v>118283.39</v>
      </c>
      <c r="Q3058">
        <v>168453.81</v>
      </c>
      <c r="R3058">
        <v>271</v>
      </c>
      <c r="S3058">
        <v>788</v>
      </c>
      <c r="T3058" t="s">
        <v>26</v>
      </c>
      <c r="U3058" t="s">
        <v>81</v>
      </c>
    </row>
    <row r="3059" spans="1:21">
      <c r="A3059" t="s">
        <v>4787</v>
      </c>
      <c r="B3059" t="s">
        <v>4788</v>
      </c>
      <c r="C3059" t="s">
        <v>4539</v>
      </c>
      <c r="D3059">
        <v>143000</v>
      </c>
      <c r="E3059">
        <v>5000</v>
      </c>
      <c r="F3059">
        <v>143000</v>
      </c>
      <c r="G3059">
        <v>143000</v>
      </c>
      <c r="H3059">
        <v>-1</v>
      </c>
      <c r="I3059" t="s">
        <v>325</v>
      </c>
      <c r="J3059">
        <v>36.24</v>
      </c>
      <c r="K3059">
        <v>5</v>
      </c>
      <c r="L3059">
        <v>5</v>
      </c>
      <c r="M3059" t="s">
        <v>4525</v>
      </c>
      <c r="N3059">
        <v>3</v>
      </c>
      <c r="O3059">
        <v>9.33</v>
      </c>
      <c r="P3059">
        <v>118283.39</v>
      </c>
      <c r="Q3059">
        <v>168453.81</v>
      </c>
      <c r="R3059">
        <v>271</v>
      </c>
      <c r="S3059">
        <v>788</v>
      </c>
      <c r="T3059" t="s">
        <v>26</v>
      </c>
      <c r="U3059" t="s">
        <v>31</v>
      </c>
    </row>
    <row r="3060" spans="1:21">
      <c r="A3060" t="s">
        <v>4787</v>
      </c>
      <c r="B3060" t="s">
        <v>4788</v>
      </c>
      <c r="C3060" t="s">
        <v>4539</v>
      </c>
      <c r="D3060">
        <v>143000</v>
      </c>
      <c r="E3060">
        <v>5000</v>
      </c>
      <c r="F3060">
        <v>143000</v>
      </c>
      <c r="G3060">
        <v>143000</v>
      </c>
      <c r="H3060">
        <v>0</v>
      </c>
      <c r="I3060" t="s">
        <v>325</v>
      </c>
      <c r="J3060">
        <v>36.24</v>
      </c>
      <c r="K3060">
        <v>5</v>
      </c>
      <c r="L3060">
        <v>5</v>
      </c>
      <c r="M3060" t="s">
        <v>4525</v>
      </c>
      <c r="N3060">
        <v>3</v>
      </c>
      <c r="O3060">
        <v>9.33</v>
      </c>
      <c r="P3060">
        <v>118283.39</v>
      </c>
      <c r="Q3060">
        <v>168453.81</v>
      </c>
      <c r="R3060">
        <v>271</v>
      </c>
      <c r="S3060">
        <v>788</v>
      </c>
      <c r="T3060" t="s">
        <v>26</v>
      </c>
      <c r="U3060" t="s">
        <v>31</v>
      </c>
    </row>
    <row r="3061" spans="1:21">
      <c r="A3061" t="s">
        <v>4787</v>
      </c>
      <c r="B3061" t="s">
        <v>4788</v>
      </c>
      <c r="C3061" t="s">
        <v>4539</v>
      </c>
      <c r="D3061">
        <v>143000</v>
      </c>
      <c r="E3061">
        <v>5000</v>
      </c>
      <c r="F3061">
        <v>143000</v>
      </c>
      <c r="G3061">
        <v>143000</v>
      </c>
      <c r="H3061">
        <v>1</v>
      </c>
      <c r="I3061" t="s">
        <v>325</v>
      </c>
      <c r="J3061">
        <v>36.24</v>
      </c>
      <c r="K3061">
        <v>5</v>
      </c>
      <c r="L3061">
        <v>5</v>
      </c>
      <c r="M3061" t="s">
        <v>4525</v>
      </c>
      <c r="N3061">
        <v>3</v>
      </c>
      <c r="O3061">
        <v>9.33</v>
      </c>
      <c r="P3061">
        <v>118283.39</v>
      </c>
      <c r="Q3061">
        <v>168453.81</v>
      </c>
      <c r="R3061">
        <v>271</v>
      </c>
      <c r="S3061">
        <v>788</v>
      </c>
      <c r="T3061" t="s">
        <v>26</v>
      </c>
      <c r="U3061" t="s">
        <v>31</v>
      </c>
    </row>
    <row r="3062" spans="1:21">
      <c r="A3062" t="s">
        <v>4789</v>
      </c>
      <c r="B3062" t="s">
        <v>4790</v>
      </c>
      <c r="C3062" t="s">
        <v>54</v>
      </c>
      <c r="D3062">
        <v>170000</v>
      </c>
      <c r="E3062">
        <v>10000</v>
      </c>
      <c r="F3062">
        <v>170000</v>
      </c>
      <c r="G3062">
        <v>170000</v>
      </c>
      <c r="H3062">
        <v>2</v>
      </c>
      <c r="I3062" t="s">
        <v>325</v>
      </c>
      <c r="J3062">
        <v>43.25</v>
      </c>
      <c r="K3062">
        <v>7</v>
      </c>
      <c r="L3062">
        <v>5</v>
      </c>
      <c r="M3062" t="s">
        <v>4525</v>
      </c>
      <c r="N3062">
        <v>7</v>
      </c>
      <c r="O3062">
        <v>10.33</v>
      </c>
      <c r="P3062">
        <v>118283.39</v>
      </c>
      <c r="Q3062">
        <v>168453.81</v>
      </c>
      <c r="R3062">
        <v>271</v>
      </c>
      <c r="S3062">
        <v>788</v>
      </c>
      <c r="T3062" t="s">
        <v>326</v>
      </c>
      <c r="U3062" t="s">
        <v>31</v>
      </c>
    </row>
    <row r="3063" spans="1:21">
      <c r="A3063" t="s">
        <v>4791</v>
      </c>
      <c r="B3063" t="s">
        <v>4792</v>
      </c>
      <c r="C3063" t="s">
        <v>712</v>
      </c>
      <c r="D3063">
        <v>127000</v>
      </c>
      <c r="E3063">
        <v>8000</v>
      </c>
      <c r="G3063">
        <v>127000</v>
      </c>
      <c r="H3063">
        <v>10</v>
      </c>
      <c r="I3063" t="s">
        <v>325</v>
      </c>
      <c r="J3063">
        <v>37.21</v>
      </c>
      <c r="K3063">
        <v>13</v>
      </c>
      <c r="L3063">
        <v>10</v>
      </c>
      <c r="M3063" t="s">
        <v>4525</v>
      </c>
      <c r="N3063">
        <v>9</v>
      </c>
      <c r="O3063">
        <v>9.67</v>
      </c>
      <c r="P3063">
        <v>118283.39</v>
      </c>
      <c r="Q3063">
        <v>168453.81</v>
      </c>
      <c r="R3063">
        <v>271</v>
      </c>
      <c r="S3063">
        <v>788</v>
      </c>
      <c r="T3063" t="s">
        <v>26</v>
      </c>
      <c r="U3063" t="s">
        <v>90</v>
      </c>
    </row>
    <row r="3064" spans="1:21">
      <c r="A3064" t="s">
        <v>4793</v>
      </c>
      <c r="B3064" t="s">
        <v>4794</v>
      </c>
      <c r="C3064" t="s">
        <v>4534</v>
      </c>
      <c r="D3064">
        <v>156000</v>
      </c>
      <c r="E3064">
        <v>8000</v>
      </c>
      <c r="F3064">
        <v>156000</v>
      </c>
      <c r="G3064">
        <v>156000</v>
      </c>
      <c r="H3064">
        <v>1</v>
      </c>
      <c r="I3064" t="s">
        <v>325</v>
      </c>
      <c r="J3064">
        <v>33.96</v>
      </c>
      <c r="K3064">
        <v>6</v>
      </c>
      <c r="L3064">
        <v>3</v>
      </c>
      <c r="M3064" t="s">
        <v>4525</v>
      </c>
      <c r="N3064">
        <v>8</v>
      </c>
      <c r="O3064">
        <v>12</v>
      </c>
      <c r="P3064">
        <v>118283.39</v>
      </c>
      <c r="Q3064">
        <v>168453.81</v>
      </c>
      <c r="R3064">
        <v>271</v>
      </c>
      <c r="S3064">
        <v>788</v>
      </c>
      <c r="T3064" t="s">
        <v>26</v>
      </c>
      <c r="U3064" t="s">
        <v>31</v>
      </c>
    </row>
    <row r="3065" spans="1:21">
      <c r="A3065" t="s">
        <v>4795</v>
      </c>
      <c r="B3065" t="s">
        <v>4794</v>
      </c>
      <c r="C3065" t="s">
        <v>4534</v>
      </c>
      <c r="D3065">
        <v>161000</v>
      </c>
      <c r="E3065">
        <v>8000</v>
      </c>
      <c r="F3065">
        <v>161000</v>
      </c>
      <c r="G3065">
        <v>161000</v>
      </c>
      <c r="H3065">
        <v>1</v>
      </c>
      <c r="I3065" t="s">
        <v>325</v>
      </c>
      <c r="J3065">
        <v>33.96</v>
      </c>
      <c r="K3065">
        <v>6</v>
      </c>
      <c r="L3065">
        <v>3</v>
      </c>
      <c r="M3065" t="s">
        <v>4525</v>
      </c>
      <c r="N3065">
        <v>8</v>
      </c>
      <c r="O3065">
        <v>12</v>
      </c>
      <c r="P3065">
        <v>118283.39</v>
      </c>
      <c r="Q3065">
        <v>168453.81</v>
      </c>
      <c r="R3065">
        <v>271</v>
      </c>
      <c r="S3065">
        <v>788</v>
      </c>
      <c r="T3065" t="s">
        <v>26</v>
      </c>
      <c r="U3065" t="s">
        <v>31</v>
      </c>
    </row>
    <row r="3066" spans="1:21">
      <c r="A3066" t="s">
        <v>4796</v>
      </c>
      <c r="B3066" t="s">
        <v>4794</v>
      </c>
      <c r="C3066" t="s">
        <v>4534</v>
      </c>
      <c r="D3066">
        <v>163000</v>
      </c>
      <c r="E3066">
        <v>8000</v>
      </c>
      <c r="F3066">
        <v>163000</v>
      </c>
      <c r="G3066">
        <v>163000</v>
      </c>
      <c r="H3066">
        <v>3</v>
      </c>
      <c r="I3066" t="s">
        <v>325</v>
      </c>
      <c r="J3066">
        <v>33.96</v>
      </c>
      <c r="K3066">
        <v>6</v>
      </c>
      <c r="L3066">
        <v>3</v>
      </c>
      <c r="M3066" t="s">
        <v>4525</v>
      </c>
      <c r="N3066">
        <v>8</v>
      </c>
      <c r="O3066">
        <v>12</v>
      </c>
      <c r="P3066">
        <v>118283.39</v>
      </c>
      <c r="Q3066">
        <v>168453.81</v>
      </c>
      <c r="R3066">
        <v>271</v>
      </c>
      <c r="S3066">
        <v>788</v>
      </c>
      <c r="T3066" t="s">
        <v>26</v>
      </c>
      <c r="U3066" t="s">
        <v>31</v>
      </c>
    </row>
    <row r="3067" spans="1:21">
      <c r="A3067" t="s">
        <v>4797</v>
      </c>
      <c r="B3067" t="s">
        <v>4798</v>
      </c>
      <c r="C3067" t="s">
        <v>4539</v>
      </c>
      <c r="D3067">
        <v>165000</v>
      </c>
      <c r="E3067">
        <v>15000</v>
      </c>
      <c r="F3067">
        <v>165000</v>
      </c>
      <c r="H3067">
        <v>2</v>
      </c>
      <c r="I3067" t="s">
        <v>325</v>
      </c>
      <c r="J3067">
        <v>39.950000000000003</v>
      </c>
      <c r="K3067">
        <v>4</v>
      </c>
      <c r="L3067">
        <v>4</v>
      </c>
      <c r="M3067" t="s">
        <v>4525</v>
      </c>
      <c r="N3067">
        <v>5</v>
      </c>
      <c r="O3067">
        <v>11.67</v>
      </c>
      <c r="P3067">
        <v>118283.39</v>
      </c>
      <c r="Q3067">
        <v>168453.81</v>
      </c>
      <c r="R3067">
        <v>271</v>
      </c>
      <c r="S3067">
        <v>788</v>
      </c>
      <c r="T3067" t="s">
        <v>26</v>
      </c>
      <c r="U3067" t="s">
        <v>31</v>
      </c>
    </row>
    <row r="3068" spans="1:21">
      <c r="A3068" t="s">
        <v>4799</v>
      </c>
      <c r="B3068" t="s">
        <v>4800</v>
      </c>
      <c r="C3068" t="s">
        <v>4539</v>
      </c>
      <c r="D3068">
        <v>154000</v>
      </c>
      <c r="E3068">
        <v>15000</v>
      </c>
      <c r="H3068">
        <v>12</v>
      </c>
      <c r="I3068" t="s">
        <v>325</v>
      </c>
      <c r="J3068">
        <v>31.31</v>
      </c>
      <c r="K3068">
        <v>2</v>
      </c>
      <c r="L3068">
        <v>12</v>
      </c>
      <c r="M3068" t="s">
        <v>4525</v>
      </c>
      <c r="N3068">
        <v>5</v>
      </c>
      <c r="O3068">
        <v>10</v>
      </c>
      <c r="P3068">
        <v>118283.39</v>
      </c>
      <c r="Q3068">
        <v>168453.81</v>
      </c>
      <c r="R3068">
        <v>271</v>
      </c>
      <c r="S3068">
        <v>788</v>
      </c>
      <c r="T3068" t="s">
        <v>26</v>
      </c>
      <c r="U3068" t="s">
        <v>31</v>
      </c>
    </row>
    <row r="3069" spans="1:21">
      <c r="A3069" t="s">
        <v>4801</v>
      </c>
      <c r="B3069" t="s">
        <v>4800</v>
      </c>
      <c r="C3069" t="s">
        <v>4539</v>
      </c>
      <c r="D3069">
        <v>146000</v>
      </c>
      <c r="E3069">
        <v>15000</v>
      </c>
      <c r="H3069">
        <v>9</v>
      </c>
      <c r="I3069" t="s">
        <v>325</v>
      </c>
      <c r="J3069">
        <v>33.04</v>
      </c>
      <c r="K3069">
        <v>2</v>
      </c>
      <c r="L3069">
        <v>12</v>
      </c>
      <c r="M3069" t="s">
        <v>4525</v>
      </c>
      <c r="N3069">
        <v>5</v>
      </c>
      <c r="O3069">
        <v>10</v>
      </c>
      <c r="P3069">
        <v>118283.39</v>
      </c>
      <c r="Q3069">
        <v>168453.81</v>
      </c>
      <c r="R3069">
        <v>271</v>
      </c>
      <c r="S3069">
        <v>788</v>
      </c>
      <c r="T3069" t="s">
        <v>26</v>
      </c>
      <c r="U3069" t="s">
        <v>31</v>
      </c>
    </row>
    <row r="3070" spans="1:21">
      <c r="A3070" t="s">
        <v>4802</v>
      </c>
      <c r="B3070" t="s">
        <v>4803</v>
      </c>
      <c r="C3070" t="s">
        <v>4534</v>
      </c>
      <c r="D3070">
        <v>161000</v>
      </c>
      <c r="E3070">
        <v>8000</v>
      </c>
      <c r="F3070">
        <v>161000</v>
      </c>
      <c r="G3070">
        <v>161000</v>
      </c>
      <c r="H3070">
        <v>1</v>
      </c>
      <c r="I3070" t="s">
        <v>325</v>
      </c>
      <c r="J3070">
        <v>33.96</v>
      </c>
      <c r="K3070">
        <v>6</v>
      </c>
      <c r="L3070">
        <v>3</v>
      </c>
      <c r="M3070" t="s">
        <v>4525</v>
      </c>
      <c r="N3070">
        <v>6</v>
      </c>
      <c r="O3070">
        <v>10.33</v>
      </c>
      <c r="P3070">
        <v>118283.39</v>
      </c>
      <c r="Q3070">
        <v>168453.81</v>
      </c>
      <c r="R3070">
        <v>271</v>
      </c>
      <c r="S3070">
        <v>788</v>
      </c>
      <c r="T3070" t="s">
        <v>26</v>
      </c>
      <c r="U3070" t="s">
        <v>31</v>
      </c>
    </row>
    <row r="3071" spans="1:21">
      <c r="A3071" t="s">
        <v>4804</v>
      </c>
      <c r="B3071" t="s">
        <v>4805</v>
      </c>
      <c r="C3071" t="s">
        <v>4539</v>
      </c>
      <c r="D3071">
        <v>143000</v>
      </c>
      <c r="E3071">
        <v>5000</v>
      </c>
      <c r="F3071">
        <v>143000</v>
      </c>
      <c r="G3071">
        <v>143000</v>
      </c>
      <c r="H3071">
        <v>1</v>
      </c>
      <c r="I3071" t="s">
        <v>325</v>
      </c>
      <c r="J3071">
        <v>36.24</v>
      </c>
      <c r="K3071">
        <v>5</v>
      </c>
      <c r="L3071">
        <v>5</v>
      </c>
      <c r="M3071" t="s">
        <v>4525</v>
      </c>
      <c r="N3071">
        <v>3</v>
      </c>
      <c r="O3071">
        <v>10.67</v>
      </c>
      <c r="P3071">
        <v>118283.39</v>
      </c>
      <c r="Q3071">
        <v>168453.81</v>
      </c>
      <c r="R3071">
        <v>271</v>
      </c>
      <c r="S3071">
        <v>788</v>
      </c>
      <c r="T3071" t="s">
        <v>26</v>
      </c>
      <c r="U3071" t="s">
        <v>31</v>
      </c>
    </row>
    <row r="3072" spans="1:21">
      <c r="A3072" t="s">
        <v>4806</v>
      </c>
      <c r="B3072" t="s">
        <v>4805</v>
      </c>
      <c r="C3072" t="s">
        <v>4539</v>
      </c>
      <c r="D3072">
        <v>139000</v>
      </c>
      <c r="E3072">
        <v>5000</v>
      </c>
      <c r="F3072">
        <v>139000</v>
      </c>
      <c r="G3072">
        <v>139000</v>
      </c>
      <c r="H3072">
        <v>4</v>
      </c>
      <c r="I3072" t="s">
        <v>325</v>
      </c>
      <c r="J3072">
        <v>31.84</v>
      </c>
      <c r="K3072">
        <v>5</v>
      </c>
      <c r="L3072">
        <v>5</v>
      </c>
      <c r="M3072" t="s">
        <v>4525</v>
      </c>
      <c r="N3072">
        <v>3</v>
      </c>
      <c r="O3072">
        <v>10.67</v>
      </c>
      <c r="P3072">
        <v>118283.39</v>
      </c>
      <c r="Q3072">
        <v>168453.81</v>
      </c>
      <c r="R3072">
        <v>271</v>
      </c>
      <c r="S3072">
        <v>788</v>
      </c>
      <c r="T3072" t="s">
        <v>26</v>
      </c>
      <c r="U3072" t="s">
        <v>31</v>
      </c>
    </row>
    <row r="3073" spans="1:21">
      <c r="A3073" t="s">
        <v>4807</v>
      </c>
      <c r="B3073" t="s">
        <v>4805</v>
      </c>
      <c r="C3073" t="s">
        <v>4539</v>
      </c>
      <c r="D3073">
        <v>143000</v>
      </c>
      <c r="E3073">
        <v>5000</v>
      </c>
      <c r="F3073">
        <v>143000</v>
      </c>
      <c r="G3073">
        <v>143000</v>
      </c>
      <c r="H3073">
        <v>-1</v>
      </c>
      <c r="I3073" t="s">
        <v>325</v>
      </c>
      <c r="J3073">
        <v>36.24</v>
      </c>
      <c r="K3073">
        <v>5</v>
      </c>
      <c r="L3073">
        <v>5</v>
      </c>
      <c r="M3073" t="s">
        <v>4525</v>
      </c>
      <c r="N3073">
        <v>3</v>
      </c>
      <c r="O3073">
        <v>10.67</v>
      </c>
      <c r="P3073">
        <v>118283.39</v>
      </c>
      <c r="Q3073">
        <v>168453.81</v>
      </c>
      <c r="R3073">
        <v>271</v>
      </c>
      <c r="S3073">
        <v>788</v>
      </c>
      <c r="T3073" t="s">
        <v>26</v>
      </c>
      <c r="U3073" t="s">
        <v>31</v>
      </c>
    </row>
    <row r="3074" spans="1:21">
      <c r="A3074" t="s">
        <v>4807</v>
      </c>
      <c r="B3074" t="s">
        <v>4805</v>
      </c>
      <c r="C3074" t="s">
        <v>4539</v>
      </c>
      <c r="D3074">
        <v>143000</v>
      </c>
      <c r="E3074">
        <v>5000</v>
      </c>
      <c r="F3074">
        <v>143000</v>
      </c>
      <c r="G3074">
        <v>143000</v>
      </c>
      <c r="H3074">
        <v>0</v>
      </c>
      <c r="I3074" t="s">
        <v>325</v>
      </c>
      <c r="J3074">
        <v>36.24</v>
      </c>
      <c r="K3074">
        <v>5</v>
      </c>
      <c r="L3074">
        <v>5</v>
      </c>
      <c r="M3074" t="s">
        <v>4525</v>
      </c>
      <c r="N3074">
        <v>3</v>
      </c>
      <c r="O3074">
        <v>10.67</v>
      </c>
      <c r="P3074">
        <v>118283.39</v>
      </c>
      <c r="Q3074">
        <v>168453.81</v>
      </c>
      <c r="R3074">
        <v>271</v>
      </c>
      <c r="S3074">
        <v>788</v>
      </c>
      <c r="T3074" t="s">
        <v>26</v>
      </c>
      <c r="U3074" t="s">
        <v>31</v>
      </c>
    </row>
    <row r="3075" spans="1:21">
      <c r="A3075" t="s">
        <v>4807</v>
      </c>
      <c r="B3075" t="s">
        <v>4805</v>
      </c>
      <c r="C3075" t="s">
        <v>4539</v>
      </c>
      <c r="D3075">
        <v>143000</v>
      </c>
      <c r="E3075">
        <v>5000</v>
      </c>
      <c r="F3075">
        <v>143000</v>
      </c>
      <c r="G3075">
        <v>143000</v>
      </c>
      <c r="H3075">
        <v>1</v>
      </c>
      <c r="I3075" t="s">
        <v>325</v>
      </c>
      <c r="J3075">
        <v>36.24</v>
      </c>
      <c r="K3075">
        <v>5</v>
      </c>
      <c r="L3075">
        <v>5</v>
      </c>
      <c r="M3075" t="s">
        <v>4525</v>
      </c>
      <c r="N3075">
        <v>3</v>
      </c>
      <c r="O3075">
        <v>10.67</v>
      </c>
      <c r="P3075">
        <v>118283.39</v>
      </c>
      <c r="Q3075">
        <v>168453.81</v>
      </c>
      <c r="R3075">
        <v>271</v>
      </c>
      <c r="S3075">
        <v>788</v>
      </c>
      <c r="T3075" t="s">
        <v>26</v>
      </c>
      <c r="U3075" t="s">
        <v>31</v>
      </c>
    </row>
    <row r="3076" spans="1:21">
      <c r="A3076" t="s">
        <v>4808</v>
      </c>
      <c r="B3076" t="s">
        <v>4809</v>
      </c>
      <c r="C3076" t="s">
        <v>4356</v>
      </c>
      <c r="D3076">
        <v>88000</v>
      </c>
      <c r="E3076">
        <v>5000</v>
      </c>
      <c r="H3076">
        <v>1</v>
      </c>
      <c r="I3076" t="s">
        <v>432</v>
      </c>
      <c r="J3076">
        <v>18.010000000000002</v>
      </c>
      <c r="K3076">
        <v>0</v>
      </c>
      <c r="L3076">
        <v>4</v>
      </c>
      <c r="M3076" t="s">
        <v>4525</v>
      </c>
      <c r="N3076">
        <v>7</v>
      </c>
      <c r="O3076">
        <v>12.33</v>
      </c>
      <c r="P3076">
        <v>118283.39</v>
      </c>
      <c r="Q3076">
        <v>77692.34</v>
      </c>
      <c r="R3076">
        <v>271</v>
      </c>
      <c r="S3076">
        <v>1071</v>
      </c>
      <c r="T3076" t="s">
        <v>108</v>
      </c>
      <c r="U3076" t="s">
        <v>81</v>
      </c>
    </row>
    <row r="3077" spans="1:21">
      <c r="A3077" t="s">
        <v>4810</v>
      </c>
      <c r="B3077" t="s">
        <v>4809</v>
      </c>
      <c r="C3077" t="s">
        <v>4356</v>
      </c>
      <c r="D3077">
        <v>92000</v>
      </c>
      <c r="E3077">
        <v>5000</v>
      </c>
      <c r="H3077">
        <v>1</v>
      </c>
      <c r="I3077" t="s">
        <v>432</v>
      </c>
      <c r="J3077">
        <v>20.239999999999998</v>
      </c>
      <c r="K3077">
        <v>0</v>
      </c>
      <c r="L3077">
        <v>4</v>
      </c>
      <c r="M3077" t="s">
        <v>4525</v>
      </c>
      <c r="N3077">
        <v>7</v>
      </c>
      <c r="O3077">
        <v>12.33</v>
      </c>
      <c r="P3077">
        <v>118283.39</v>
      </c>
      <c r="Q3077">
        <v>77692.34</v>
      </c>
      <c r="R3077">
        <v>271</v>
      </c>
      <c r="S3077">
        <v>1071</v>
      </c>
      <c r="T3077" t="s">
        <v>34</v>
      </c>
      <c r="U3077" t="s">
        <v>81</v>
      </c>
    </row>
    <row r="3078" spans="1:21">
      <c r="A3078" t="s">
        <v>4811</v>
      </c>
      <c r="B3078" t="s">
        <v>4809</v>
      </c>
      <c r="C3078" t="s">
        <v>4356</v>
      </c>
      <c r="D3078">
        <v>92000</v>
      </c>
      <c r="E3078">
        <v>5000</v>
      </c>
      <c r="H3078">
        <v>2</v>
      </c>
      <c r="I3078" t="s">
        <v>432</v>
      </c>
      <c r="J3078">
        <v>20.13</v>
      </c>
      <c r="K3078">
        <v>0</v>
      </c>
      <c r="L3078">
        <v>4</v>
      </c>
      <c r="M3078" t="s">
        <v>4525</v>
      </c>
      <c r="N3078">
        <v>7</v>
      </c>
      <c r="O3078">
        <v>12.33</v>
      </c>
      <c r="P3078">
        <v>118283.39</v>
      </c>
      <c r="Q3078">
        <v>77692.34</v>
      </c>
      <c r="R3078">
        <v>271</v>
      </c>
      <c r="S3078">
        <v>1071</v>
      </c>
      <c r="T3078" t="s">
        <v>34</v>
      </c>
      <c r="U3078" t="s">
        <v>81</v>
      </c>
    </row>
    <row r="3079" spans="1:21">
      <c r="A3079" t="s">
        <v>4812</v>
      </c>
      <c r="B3079" t="s">
        <v>4809</v>
      </c>
      <c r="C3079" t="s">
        <v>4356</v>
      </c>
      <c r="D3079">
        <v>92000</v>
      </c>
      <c r="E3079">
        <v>5000</v>
      </c>
      <c r="H3079">
        <v>3</v>
      </c>
      <c r="I3079" t="s">
        <v>432</v>
      </c>
      <c r="J3079">
        <v>18.010000000000002</v>
      </c>
      <c r="K3079">
        <v>0</v>
      </c>
      <c r="L3079">
        <v>4</v>
      </c>
      <c r="M3079" t="s">
        <v>4525</v>
      </c>
      <c r="N3079">
        <v>7</v>
      </c>
      <c r="O3079">
        <v>12.33</v>
      </c>
      <c r="P3079">
        <v>118283.39</v>
      </c>
      <c r="Q3079">
        <v>77692.34</v>
      </c>
      <c r="R3079">
        <v>271</v>
      </c>
      <c r="S3079">
        <v>1071</v>
      </c>
      <c r="T3079" t="s">
        <v>108</v>
      </c>
      <c r="U3079" t="s">
        <v>81</v>
      </c>
    </row>
    <row r="3080" spans="1:21">
      <c r="A3080" t="s">
        <v>4813</v>
      </c>
      <c r="B3080" t="s">
        <v>4809</v>
      </c>
      <c r="C3080" t="s">
        <v>4356</v>
      </c>
      <c r="D3080">
        <v>92000</v>
      </c>
      <c r="E3080">
        <v>5000</v>
      </c>
      <c r="H3080">
        <v>4</v>
      </c>
      <c r="I3080" t="s">
        <v>432</v>
      </c>
      <c r="J3080">
        <v>18.010000000000002</v>
      </c>
      <c r="K3080">
        <v>0</v>
      </c>
      <c r="L3080">
        <v>4</v>
      </c>
      <c r="M3080" t="s">
        <v>4525</v>
      </c>
      <c r="N3080">
        <v>7</v>
      </c>
      <c r="O3080">
        <v>12.33</v>
      </c>
      <c r="P3080">
        <v>118283.39</v>
      </c>
      <c r="Q3080">
        <v>77692.34</v>
      </c>
      <c r="R3080">
        <v>271</v>
      </c>
      <c r="S3080">
        <v>1071</v>
      </c>
      <c r="T3080" t="s">
        <v>108</v>
      </c>
      <c r="U3080" t="s">
        <v>81</v>
      </c>
    </row>
    <row r="3081" spans="1:21">
      <c r="A3081" t="s">
        <v>4814</v>
      </c>
      <c r="B3081" t="s">
        <v>4809</v>
      </c>
      <c r="C3081" t="s">
        <v>4356</v>
      </c>
      <c r="D3081">
        <v>96000</v>
      </c>
      <c r="E3081">
        <v>5000</v>
      </c>
      <c r="H3081">
        <v>4</v>
      </c>
      <c r="I3081" t="s">
        <v>432</v>
      </c>
      <c r="J3081">
        <v>20.13</v>
      </c>
      <c r="K3081">
        <v>0</v>
      </c>
      <c r="L3081">
        <v>4</v>
      </c>
      <c r="M3081" t="s">
        <v>4525</v>
      </c>
      <c r="N3081">
        <v>7</v>
      </c>
      <c r="O3081">
        <v>12.33</v>
      </c>
      <c r="P3081">
        <v>118283.39</v>
      </c>
      <c r="Q3081">
        <v>77692.34</v>
      </c>
      <c r="R3081">
        <v>271</v>
      </c>
      <c r="S3081">
        <v>1071</v>
      </c>
      <c r="T3081" t="s">
        <v>34</v>
      </c>
      <c r="U3081" t="s">
        <v>81</v>
      </c>
    </row>
    <row r="3082" spans="1:21">
      <c r="A3082" t="s">
        <v>4815</v>
      </c>
      <c r="B3082" t="s">
        <v>4816</v>
      </c>
      <c r="C3082" t="s">
        <v>4547</v>
      </c>
      <c r="D3082">
        <v>66000</v>
      </c>
      <c r="E3082">
        <v>4000</v>
      </c>
      <c r="G3082">
        <v>66000</v>
      </c>
      <c r="H3082">
        <v>1</v>
      </c>
      <c r="I3082" t="s">
        <v>432</v>
      </c>
      <c r="J3082">
        <v>10.5</v>
      </c>
      <c r="K3082">
        <v>9</v>
      </c>
      <c r="L3082">
        <v>2</v>
      </c>
      <c r="M3082" t="s">
        <v>4525</v>
      </c>
      <c r="N3082">
        <v>8</v>
      </c>
      <c r="O3082">
        <v>10.33</v>
      </c>
      <c r="P3082">
        <v>118283.39</v>
      </c>
      <c r="Q3082">
        <v>77692.34</v>
      </c>
      <c r="R3082">
        <v>271</v>
      </c>
      <c r="S3082">
        <v>1071</v>
      </c>
      <c r="T3082" t="s">
        <v>108</v>
      </c>
      <c r="U3082" t="s">
        <v>31</v>
      </c>
    </row>
    <row r="3083" spans="1:21">
      <c r="A3083" t="s">
        <v>4817</v>
      </c>
      <c r="B3083" t="s">
        <v>4818</v>
      </c>
      <c r="C3083" t="s">
        <v>4590</v>
      </c>
      <c r="D3083">
        <v>77000</v>
      </c>
      <c r="E3083">
        <v>10000</v>
      </c>
      <c r="F3083">
        <v>77000</v>
      </c>
      <c r="G3083">
        <v>77000</v>
      </c>
      <c r="H3083">
        <v>3</v>
      </c>
      <c r="I3083" t="s">
        <v>432</v>
      </c>
      <c r="J3083">
        <v>19</v>
      </c>
      <c r="K3083">
        <v>38</v>
      </c>
      <c r="L3083">
        <v>3</v>
      </c>
      <c r="M3083" t="s">
        <v>4525</v>
      </c>
      <c r="N3083">
        <v>3</v>
      </c>
      <c r="O3083">
        <v>11.67</v>
      </c>
      <c r="P3083">
        <v>118283.39</v>
      </c>
      <c r="Q3083">
        <v>77692.34</v>
      </c>
      <c r="R3083">
        <v>271</v>
      </c>
      <c r="S3083">
        <v>1071</v>
      </c>
      <c r="T3083" t="s">
        <v>108</v>
      </c>
      <c r="U3083" t="s">
        <v>49</v>
      </c>
    </row>
    <row r="3084" spans="1:21">
      <c r="A3084" t="s">
        <v>4819</v>
      </c>
      <c r="B3084" t="s">
        <v>4820</v>
      </c>
      <c r="C3084" t="s">
        <v>4547</v>
      </c>
      <c r="D3084">
        <v>52000</v>
      </c>
      <c r="H3084">
        <v>2</v>
      </c>
      <c r="I3084" t="s">
        <v>432</v>
      </c>
      <c r="J3084">
        <v>19.440000000000001</v>
      </c>
      <c r="K3084">
        <v>65</v>
      </c>
      <c r="L3084">
        <v>2</v>
      </c>
      <c r="M3084" t="s">
        <v>4525</v>
      </c>
      <c r="N3084">
        <v>7</v>
      </c>
      <c r="O3084">
        <v>9.67</v>
      </c>
      <c r="P3084">
        <v>118283.39</v>
      </c>
      <c r="Q3084">
        <v>77692.34</v>
      </c>
      <c r="R3084">
        <v>271</v>
      </c>
      <c r="S3084">
        <v>1071</v>
      </c>
      <c r="T3084" t="s">
        <v>108</v>
      </c>
      <c r="U3084" t="s">
        <v>38</v>
      </c>
    </row>
    <row r="3085" spans="1:21">
      <c r="A3085" t="s">
        <v>4821</v>
      </c>
      <c r="B3085" t="s">
        <v>4822</v>
      </c>
      <c r="C3085" t="s">
        <v>4547</v>
      </c>
      <c r="D3085">
        <v>25000</v>
      </c>
      <c r="E3085">
        <v>3000</v>
      </c>
      <c r="F3085">
        <v>25000</v>
      </c>
      <c r="G3085">
        <v>25000</v>
      </c>
      <c r="H3085">
        <v>2</v>
      </c>
      <c r="I3085" t="s">
        <v>432</v>
      </c>
      <c r="J3085">
        <v>10</v>
      </c>
      <c r="K3085">
        <v>59</v>
      </c>
      <c r="L3085">
        <v>2</v>
      </c>
      <c r="M3085" t="s">
        <v>4525</v>
      </c>
      <c r="N3085">
        <v>8</v>
      </c>
      <c r="O3085">
        <v>10.33</v>
      </c>
      <c r="P3085">
        <v>118283.39</v>
      </c>
      <c r="Q3085">
        <v>77692.34</v>
      </c>
      <c r="R3085">
        <v>271</v>
      </c>
      <c r="S3085">
        <v>1071</v>
      </c>
      <c r="T3085" t="s">
        <v>108</v>
      </c>
      <c r="U3085" t="s">
        <v>57</v>
      </c>
    </row>
    <row r="3086" spans="1:21">
      <c r="A3086" t="s">
        <v>4823</v>
      </c>
      <c r="B3086" t="s">
        <v>4822</v>
      </c>
      <c r="C3086" t="s">
        <v>4547</v>
      </c>
      <c r="D3086">
        <v>22000</v>
      </c>
      <c r="E3086">
        <v>3000</v>
      </c>
      <c r="F3086">
        <v>22000</v>
      </c>
      <c r="G3086">
        <v>22000</v>
      </c>
      <c r="H3086">
        <v>2</v>
      </c>
      <c r="I3086" t="s">
        <v>432</v>
      </c>
      <c r="J3086">
        <v>6.6</v>
      </c>
      <c r="K3086">
        <v>59</v>
      </c>
      <c r="L3086">
        <v>2</v>
      </c>
      <c r="M3086" t="s">
        <v>4525</v>
      </c>
      <c r="N3086">
        <v>8</v>
      </c>
      <c r="O3086">
        <v>10.33</v>
      </c>
      <c r="P3086">
        <v>118283.39</v>
      </c>
      <c r="Q3086">
        <v>77692.34</v>
      </c>
      <c r="R3086">
        <v>271</v>
      </c>
      <c r="S3086">
        <v>1071</v>
      </c>
      <c r="T3086" t="s">
        <v>231</v>
      </c>
      <c r="U3086" t="s">
        <v>57</v>
      </c>
    </row>
    <row r="3087" spans="1:21">
      <c r="A3087" t="s">
        <v>4824</v>
      </c>
      <c r="B3087" t="s">
        <v>4825</v>
      </c>
      <c r="C3087" t="s">
        <v>4547</v>
      </c>
      <c r="D3087">
        <v>50000</v>
      </c>
      <c r="E3087">
        <v>5000</v>
      </c>
      <c r="G3087">
        <v>50000</v>
      </c>
      <c r="H3087">
        <v>1</v>
      </c>
      <c r="I3087" t="s">
        <v>432</v>
      </c>
      <c r="J3087">
        <v>11</v>
      </c>
      <c r="K3087">
        <v>17</v>
      </c>
      <c r="L3087">
        <v>2</v>
      </c>
      <c r="M3087" t="s">
        <v>4525</v>
      </c>
      <c r="N3087">
        <v>5</v>
      </c>
      <c r="O3087">
        <v>10.33</v>
      </c>
      <c r="P3087">
        <v>118283.39</v>
      </c>
      <c r="Q3087">
        <v>77692.34</v>
      </c>
      <c r="R3087">
        <v>271</v>
      </c>
      <c r="S3087">
        <v>1071</v>
      </c>
      <c r="T3087" t="s">
        <v>108</v>
      </c>
      <c r="U3087" t="s">
        <v>90</v>
      </c>
    </row>
    <row r="3088" spans="1:21">
      <c r="A3088" t="s">
        <v>4826</v>
      </c>
      <c r="B3088" t="s">
        <v>4827</v>
      </c>
      <c r="C3088" t="s">
        <v>54</v>
      </c>
      <c r="D3088">
        <v>135000</v>
      </c>
      <c r="E3088">
        <v>10000</v>
      </c>
      <c r="G3088">
        <v>135000</v>
      </c>
      <c r="H3088">
        <v>5</v>
      </c>
      <c r="I3088" t="s">
        <v>432</v>
      </c>
      <c r="J3088">
        <v>30.7</v>
      </c>
      <c r="K3088">
        <v>17</v>
      </c>
      <c r="L3088">
        <v>14</v>
      </c>
      <c r="M3088" t="s">
        <v>4525</v>
      </c>
      <c r="N3088">
        <v>9</v>
      </c>
      <c r="O3088">
        <v>11.33</v>
      </c>
      <c r="P3088">
        <v>118283.39</v>
      </c>
      <c r="Q3088">
        <v>77692.34</v>
      </c>
      <c r="R3088">
        <v>271</v>
      </c>
      <c r="S3088">
        <v>1071</v>
      </c>
      <c r="T3088" t="s">
        <v>26</v>
      </c>
      <c r="U3088" t="s">
        <v>90</v>
      </c>
    </row>
    <row r="3089" spans="1:21">
      <c r="A3089" t="s">
        <v>4828</v>
      </c>
      <c r="B3089" t="s">
        <v>4829</v>
      </c>
      <c r="C3089" t="s">
        <v>4539</v>
      </c>
      <c r="D3089">
        <v>56000</v>
      </c>
      <c r="E3089">
        <v>5000</v>
      </c>
      <c r="F3089">
        <v>56000</v>
      </c>
      <c r="G3089">
        <v>56000</v>
      </c>
      <c r="H3089">
        <v>1</v>
      </c>
      <c r="I3089" t="s">
        <v>432</v>
      </c>
      <c r="J3089">
        <v>16.38</v>
      </c>
      <c r="K3089">
        <v>34</v>
      </c>
      <c r="L3089">
        <v>5</v>
      </c>
      <c r="M3089" t="s">
        <v>4525</v>
      </c>
      <c r="N3089">
        <v>7</v>
      </c>
      <c r="O3089">
        <v>10.67</v>
      </c>
      <c r="P3089">
        <v>118283.39</v>
      </c>
      <c r="Q3089">
        <v>77692.34</v>
      </c>
      <c r="R3089">
        <v>271</v>
      </c>
      <c r="S3089">
        <v>1071</v>
      </c>
      <c r="T3089" t="s">
        <v>108</v>
      </c>
      <c r="U3089" t="s">
        <v>49</v>
      </c>
    </row>
    <row r="3090" spans="1:21">
      <c r="A3090" t="s">
        <v>4830</v>
      </c>
      <c r="B3090" t="s">
        <v>4829</v>
      </c>
      <c r="C3090" t="s">
        <v>4539</v>
      </c>
      <c r="D3090">
        <v>66000</v>
      </c>
      <c r="E3090">
        <v>5000</v>
      </c>
      <c r="G3090">
        <v>66000</v>
      </c>
      <c r="H3090">
        <v>1</v>
      </c>
      <c r="I3090" t="s">
        <v>432</v>
      </c>
      <c r="J3090">
        <v>16.38</v>
      </c>
      <c r="K3090">
        <v>34</v>
      </c>
      <c r="L3090">
        <v>5</v>
      </c>
      <c r="M3090" t="s">
        <v>4525</v>
      </c>
      <c r="N3090">
        <v>7</v>
      </c>
      <c r="O3090">
        <v>10.67</v>
      </c>
      <c r="P3090">
        <v>118283.39</v>
      </c>
      <c r="Q3090">
        <v>77692.34</v>
      </c>
      <c r="R3090">
        <v>271</v>
      </c>
      <c r="S3090">
        <v>1071</v>
      </c>
      <c r="T3090" t="s">
        <v>108</v>
      </c>
      <c r="U3090" t="s">
        <v>49</v>
      </c>
    </row>
    <row r="3091" spans="1:21">
      <c r="A3091" t="s">
        <v>4831</v>
      </c>
      <c r="B3091" t="s">
        <v>4829</v>
      </c>
      <c r="C3091" t="s">
        <v>4539</v>
      </c>
      <c r="D3091">
        <v>66000</v>
      </c>
      <c r="E3091">
        <v>5000</v>
      </c>
      <c r="G3091">
        <v>66000</v>
      </c>
      <c r="H3091">
        <v>3</v>
      </c>
      <c r="I3091" t="s">
        <v>432</v>
      </c>
      <c r="J3091">
        <v>16.37</v>
      </c>
      <c r="K3091">
        <v>34</v>
      </c>
      <c r="L3091">
        <v>5</v>
      </c>
      <c r="M3091" t="s">
        <v>4525</v>
      </c>
      <c r="N3091">
        <v>7</v>
      </c>
      <c r="O3091">
        <v>10.67</v>
      </c>
      <c r="P3091">
        <v>118283.39</v>
      </c>
      <c r="Q3091">
        <v>77692.34</v>
      </c>
      <c r="R3091">
        <v>271</v>
      </c>
      <c r="S3091">
        <v>1071</v>
      </c>
      <c r="T3091" t="s">
        <v>108</v>
      </c>
      <c r="U3091" t="s">
        <v>49</v>
      </c>
    </row>
    <row r="3092" spans="1:21">
      <c r="A3092" t="s">
        <v>4832</v>
      </c>
      <c r="B3092" t="s">
        <v>4829</v>
      </c>
      <c r="C3092" t="s">
        <v>4539</v>
      </c>
      <c r="D3092">
        <v>62000</v>
      </c>
      <c r="E3092">
        <v>6000</v>
      </c>
      <c r="F3092">
        <v>62000</v>
      </c>
      <c r="G3092">
        <v>62000</v>
      </c>
      <c r="H3092">
        <v>3</v>
      </c>
      <c r="I3092" t="s">
        <v>432</v>
      </c>
      <c r="J3092">
        <v>16.38</v>
      </c>
      <c r="K3092">
        <v>34</v>
      </c>
      <c r="L3092">
        <v>5</v>
      </c>
      <c r="M3092" t="s">
        <v>4525</v>
      </c>
      <c r="N3092">
        <v>7</v>
      </c>
      <c r="O3092">
        <v>10.67</v>
      </c>
      <c r="P3092">
        <v>118283.39</v>
      </c>
      <c r="Q3092">
        <v>77692.34</v>
      </c>
      <c r="R3092">
        <v>271</v>
      </c>
      <c r="S3092">
        <v>1071</v>
      </c>
      <c r="T3092" t="s">
        <v>108</v>
      </c>
      <c r="U3092" t="s">
        <v>49</v>
      </c>
    </row>
    <row r="3093" spans="1:21">
      <c r="A3093" t="s">
        <v>4833</v>
      </c>
      <c r="B3093" t="s">
        <v>4834</v>
      </c>
      <c r="C3093" t="s">
        <v>4547</v>
      </c>
      <c r="D3093">
        <v>66000</v>
      </c>
      <c r="E3093">
        <v>4000</v>
      </c>
      <c r="G3093">
        <v>66000</v>
      </c>
      <c r="H3093">
        <v>1</v>
      </c>
      <c r="I3093" t="s">
        <v>432</v>
      </c>
      <c r="J3093">
        <v>10</v>
      </c>
      <c r="K3093">
        <v>9</v>
      </c>
      <c r="L3093">
        <v>2</v>
      </c>
      <c r="M3093" t="s">
        <v>4525</v>
      </c>
      <c r="N3093">
        <v>8</v>
      </c>
      <c r="O3093">
        <v>12</v>
      </c>
      <c r="P3093">
        <v>118283.39</v>
      </c>
      <c r="Q3093">
        <v>77692.34</v>
      </c>
      <c r="R3093">
        <v>271</v>
      </c>
      <c r="S3093">
        <v>1071</v>
      </c>
      <c r="T3093" t="s">
        <v>108</v>
      </c>
      <c r="U3093" t="s">
        <v>31</v>
      </c>
    </row>
    <row r="3094" spans="1:21">
      <c r="A3094" t="s">
        <v>4835</v>
      </c>
      <c r="B3094" t="s">
        <v>4836</v>
      </c>
      <c r="C3094" t="s">
        <v>37</v>
      </c>
      <c r="D3094">
        <v>73000</v>
      </c>
      <c r="E3094">
        <v>10000</v>
      </c>
      <c r="H3094">
        <v>1</v>
      </c>
      <c r="I3094" t="s">
        <v>432</v>
      </c>
      <c r="J3094">
        <v>25.52</v>
      </c>
      <c r="K3094">
        <v>25</v>
      </c>
      <c r="L3094">
        <v>9</v>
      </c>
      <c r="M3094" t="s">
        <v>4525</v>
      </c>
      <c r="N3094">
        <v>8</v>
      </c>
      <c r="O3094">
        <v>10</v>
      </c>
      <c r="P3094">
        <v>118283.39</v>
      </c>
      <c r="Q3094">
        <v>77692.34</v>
      </c>
      <c r="R3094">
        <v>271</v>
      </c>
      <c r="S3094">
        <v>1071</v>
      </c>
      <c r="T3094" t="s">
        <v>34</v>
      </c>
      <c r="U3094" t="s">
        <v>27</v>
      </c>
    </row>
    <row r="3095" spans="1:21">
      <c r="A3095" t="s">
        <v>4837</v>
      </c>
      <c r="B3095" t="s">
        <v>2021</v>
      </c>
      <c r="C3095" t="s">
        <v>4547</v>
      </c>
      <c r="D3095">
        <v>49000</v>
      </c>
      <c r="E3095">
        <v>3000</v>
      </c>
      <c r="H3095">
        <v>1</v>
      </c>
      <c r="I3095" t="s">
        <v>432</v>
      </c>
      <c r="J3095">
        <v>15.5</v>
      </c>
      <c r="K3095">
        <v>36</v>
      </c>
      <c r="L3095">
        <v>2</v>
      </c>
      <c r="M3095" t="s">
        <v>4525</v>
      </c>
      <c r="N3095">
        <v>9</v>
      </c>
      <c r="O3095">
        <v>10</v>
      </c>
      <c r="P3095">
        <v>118283.39</v>
      </c>
      <c r="Q3095">
        <v>77692.34</v>
      </c>
      <c r="R3095">
        <v>271</v>
      </c>
      <c r="S3095">
        <v>1071</v>
      </c>
      <c r="T3095" t="s">
        <v>108</v>
      </c>
      <c r="U3095" t="s">
        <v>49</v>
      </c>
    </row>
    <row r="3096" spans="1:21">
      <c r="A3096" t="s">
        <v>4838</v>
      </c>
      <c r="B3096" t="s">
        <v>4839</v>
      </c>
      <c r="C3096" t="s">
        <v>4590</v>
      </c>
      <c r="D3096">
        <v>61000</v>
      </c>
      <c r="E3096">
        <v>2000</v>
      </c>
      <c r="G3096">
        <v>61000</v>
      </c>
      <c r="H3096">
        <v>2</v>
      </c>
      <c r="I3096" t="s">
        <v>432</v>
      </c>
      <c r="J3096">
        <v>17.05</v>
      </c>
      <c r="K3096">
        <v>32</v>
      </c>
      <c r="L3096">
        <v>3</v>
      </c>
      <c r="M3096" t="s">
        <v>4525</v>
      </c>
      <c r="N3096">
        <v>4</v>
      </c>
      <c r="O3096">
        <v>11</v>
      </c>
      <c r="P3096">
        <v>118283.39</v>
      </c>
      <c r="Q3096">
        <v>77692.34</v>
      </c>
      <c r="R3096">
        <v>271</v>
      </c>
      <c r="S3096">
        <v>1071</v>
      </c>
      <c r="T3096" t="s">
        <v>108</v>
      </c>
      <c r="U3096" t="s">
        <v>49</v>
      </c>
    </row>
    <row r="3097" spans="1:21">
      <c r="A3097" t="s">
        <v>4840</v>
      </c>
      <c r="B3097" t="s">
        <v>4841</v>
      </c>
      <c r="C3097" t="s">
        <v>4032</v>
      </c>
      <c r="D3097">
        <v>55000</v>
      </c>
      <c r="F3097">
        <v>55000</v>
      </c>
      <c r="G3097">
        <v>55000</v>
      </c>
      <c r="H3097">
        <v>1</v>
      </c>
      <c r="I3097" t="s">
        <v>432</v>
      </c>
      <c r="J3097">
        <v>17.39</v>
      </c>
      <c r="K3097">
        <v>23</v>
      </c>
      <c r="L3097">
        <v>2</v>
      </c>
      <c r="M3097" t="s">
        <v>4525</v>
      </c>
      <c r="N3097">
        <v>8</v>
      </c>
      <c r="O3097">
        <v>12.67</v>
      </c>
      <c r="P3097">
        <v>118283.39</v>
      </c>
      <c r="Q3097">
        <v>77692.34</v>
      </c>
      <c r="R3097">
        <v>271</v>
      </c>
      <c r="S3097">
        <v>1071</v>
      </c>
      <c r="T3097" t="s">
        <v>108</v>
      </c>
      <c r="U3097" t="s">
        <v>27</v>
      </c>
    </row>
    <row r="3098" spans="1:21">
      <c r="A3098" t="s">
        <v>4842</v>
      </c>
      <c r="B3098" t="s">
        <v>4843</v>
      </c>
      <c r="C3098" t="s">
        <v>4547</v>
      </c>
      <c r="D3098">
        <v>50000</v>
      </c>
      <c r="E3098">
        <v>3000</v>
      </c>
      <c r="F3098">
        <v>50000</v>
      </c>
      <c r="H3098">
        <v>2</v>
      </c>
      <c r="I3098" t="s">
        <v>432</v>
      </c>
      <c r="J3098">
        <v>14.71</v>
      </c>
      <c r="K3098">
        <v>40</v>
      </c>
      <c r="L3098">
        <v>2</v>
      </c>
      <c r="M3098" t="s">
        <v>4525</v>
      </c>
      <c r="N3098">
        <v>8</v>
      </c>
      <c r="O3098">
        <v>11</v>
      </c>
      <c r="P3098">
        <v>118283.39</v>
      </c>
      <c r="Q3098">
        <v>77692.34</v>
      </c>
      <c r="R3098">
        <v>271</v>
      </c>
      <c r="S3098">
        <v>1071</v>
      </c>
      <c r="T3098" t="s">
        <v>108</v>
      </c>
      <c r="U3098" t="s">
        <v>49</v>
      </c>
    </row>
    <row r="3099" spans="1:21">
      <c r="A3099" t="s">
        <v>4844</v>
      </c>
      <c r="B3099" t="s">
        <v>4845</v>
      </c>
      <c r="C3099" t="s">
        <v>712</v>
      </c>
      <c r="D3099">
        <v>74000</v>
      </c>
      <c r="F3099">
        <v>74000</v>
      </c>
      <c r="G3099">
        <v>74000</v>
      </c>
      <c r="H3099">
        <v>1</v>
      </c>
      <c r="I3099" t="s">
        <v>432</v>
      </c>
      <c r="J3099">
        <v>20</v>
      </c>
      <c r="K3099">
        <v>20</v>
      </c>
      <c r="L3099">
        <v>5</v>
      </c>
      <c r="M3099" t="s">
        <v>4525</v>
      </c>
      <c r="N3099">
        <v>7</v>
      </c>
      <c r="O3099">
        <v>8.33</v>
      </c>
      <c r="P3099">
        <v>118283.39</v>
      </c>
      <c r="Q3099">
        <v>77692.34</v>
      </c>
      <c r="R3099">
        <v>271</v>
      </c>
      <c r="S3099">
        <v>1071</v>
      </c>
      <c r="T3099" t="s">
        <v>34</v>
      </c>
      <c r="U3099" t="s">
        <v>90</v>
      </c>
    </row>
    <row r="3100" spans="1:21">
      <c r="A3100" t="s">
        <v>4846</v>
      </c>
      <c r="B3100" t="s">
        <v>4847</v>
      </c>
      <c r="C3100" t="s">
        <v>4590</v>
      </c>
      <c r="D3100">
        <v>95000</v>
      </c>
      <c r="E3100">
        <v>11000</v>
      </c>
      <c r="H3100">
        <v>2</v>
      </c>
      <c r="I3100" t="s">
        <v>432</v>
      </c>
      <c r="J3100">
        <v>21.28</v>
      </c>
      <c r="K3100">
        <v>2</v>
      </c>
      <c r="L3100">
        <v>4</v>
      </c>
      <c r="M3100" t="s">
        <v>4525</v>
      </c>
      <c r="N3100">
        <v>9</v>
      </c>
      <c r="O3100">
        <v>13.33</v>
      </c>
      <c r="P3100">
        <v>118283.39</v>
      </c>
      <c r="Q3100">
        <v>77692.34</v>
      </c>
      <c r="R3100">
        <v>271</v>
      </c>
      <c r="S3100">
        <v>1071</v>
      </c>
      <c r="T3100" t="s">
        <v>34</v>
      </c>
      <c r="U3100" t="s">
        <v>31</v>
      </c>
    </row>
    <row r="3101" spans="1:21">
      <c r="A3101" t="s">
        <v>4848</v>
      </c>
      <c r="B3101" t="s">
        <v>4849</v>
      </c>
      <c r="C3101" t="s">
        <v>4760</v>
      </c>
      <c r="D3101">
        <v>94000</v>
      </c>
      <c r="E3101">
        <v>5000</v>
      </c>
      <c r="G3101">
        <v>94000</v>
      </c>
      <c r="H3101">
        <v>2</v>
      </c>
      <c r="I3101" t="s">
        <v>432</v>
      </c>
      <c r="J3101">
        <v>25</v>
      </c>
      <c r="K3101">
        <v>6</v>
      </c>
      <c r="L3101">
        <v>3</v>
      </c>
      <c r="M3101" t="s">
        <v>4525</v>
      </c>
      <c r="N3101">
        <v>3</v>
      </c>
      <c r="O3101">
        <v>10.33</v>
      </c>
      <c r="P3101">
        <v>118283.39</v>
      </c>
      <c r="Q3101">
        <v>77692.34</v>
      </c>
      <c r="R3101">
        <v>271</v>
      </c>
      <c r="S3101">
        <v>1071</v>
      </c>
      <c r="T3101" t="s">
        <v>34</v>
      </c>
      <c r="U3101" t="s">
        <v>31</v>
      </c>
    </row>
    <row r="3102" spans="1:21">
      <c r="A3102" t="s">
        <v>4850</v>
      </c>
      <c r="B3102" t="s">
        <v>4851</v>
      </c>
      <c r="C3102" t="s">
        <v>4547</v>
      </c>
      <c r="D3102">
        <v>66000</v>
      </c>
      <c r="E3102">
        <v>4000</v>
      </c>
      <c r="G3102">
        <v>66000</v>
      </c>
      <c r="H3102">
        <v>1</v>
      </c>
      <c r="I3102" t="s">
        <v>432</v>
      </c>
      <c r="J3102">
        <v>10.53</v>
      </c>
      <c r="K3102">
        <v>8</v>
      </c>
      <c r="L3102">
        <v>2</v>
      </c>
      <c r="M3102" t="s">
        <v>4525</v>
      </c>
      <c r="N3102">
        <v>7</v>
      </c>
      <c r="O3102">
        <v>12</v>
      </c>
      <c r="P3102">
        <v>118283.39</v>
      </c>
      <c r="Q3102">
        <v>77692.34</v>
      </c>
      <c r="R3102">
        <v>271</v>
      </c>
      <c r="S3102">
        <v>1071</v>
      </c>
      <c r="T3102" t="s">
        <v>108</v>
      </c>
      <c r="U3102" t="s">
        <v>31</v>
      </c>
    </row>
    <row r="3103" spans="1:21">
      <c r="A3103" t="s">
        <v>4852</v>
      </c>
      <c r="B3103" t="s">
        <v>4851</v>
      </c>
      <c r="C3103" t="s">
        <v>4547</v>
      </c>
      <c r="D3103">
        <v>70000</v>
      </c>
      <c r="E3103">
        <v>4000</v>
      </c>
      <c r="G3103">
        <v>70000</v>
      </c>
      <c r="H3103">
        <v>1</v>
      </c>
      <c r="I3103" t="s">
        <v>432</v>
      </c>
      <c r="J3103">
        <v>11.11</v>
      </c>
      <c r="K3103">
        <v>8</v>
      </c>
      <c r="L3103">
        <v>2</v>
      </c>
      <c r="M3103" t="s">
        <v>4525</v>
      </c>
      <c r="N3103">
        <v>7</v>
      </c>
      <c r="O3103">
        <v>12</v>
      </c>
      <c r="P3103">
        <v>118283.39</v>
      </c>
      <c r="Q3103">
        <v>77692.34</v>
      </c>
      <c r="R3103">
        <v>271</v>
      </c>
      <c r="S3103">
        <v>1071</v>
      </c>
      <c r="T3103" t="s">
        <v>108</v>
      </c>
      <c r="U3103" t="s">
        <v>31</v>
      </c>
    </row>
    <row r="3104" spans="1:21">
      <c r="A3104" t="s">
        <v>4853</v>
      </c>
      <c r="B3104" t="s">
        <v>4854</v>
      </c>
      <c r="C3104" t="s">
        <v>4547</v>
      </c>
      <c r="D3104">
        <v>65000</v>
      </c>
      <c r="E3104">
        <v>4000</v>
      </c>
      <c r="G3104">
        <v>65000</v>
      </c>
      <c r="H3104">
        <v>1</v>
      </c>
      <c r="I3104" t="s">
        <v>432</v>
      </c>
      <c r="J3104">
        <v>16.940000000000001</v>
      </c>
      <c r="K3104">
        <v>27</v>
      </c>
      <c r="L3104">
        <v>2</v>
      </c>
      <c r="M3104" t="s">
        <v>4525</v>
      </c>
      <c r="N3104">
        <v>7</v>
      </c>
      <c r="O3104">
        <v>10</v>
      </c>
      <c r="P3104">
        <v>118283.39</v>
      </c>
      <c r="Q3104">
        <v>77692.34</v>
      </c>
      <c r="R3104">
        <v>271</v>
      </c>
      <c r="S3104">
        <v>1071</v>
      </c>
      <c r="T3104" t="s">
        <v>108</v>
      </c>
      <c r="U3104" t="s">
        <v>27</v>
      </c>
    </row>
    <row r="3105" spans="1:21">
      <c r="A3105" t="s">
        <v>4855</v>
      </c>
      <c r="B3105" t="s">
        <v>4856</v>
      </c>
      <c r="C3105" t="s">
        <v>4547</v>
      </c>
      <c r="D3105">
        <v>63000</v>
      </c>
      <c r="E3105">
        <v>4000</v>
      </c>
      <c r="F3105">
        <v>63000</v>
      </c>
      <c r="H3105">
        <v>2</v>
      </c>
      <c r="I3105" t="s">
        <v>432</v>
      </c>
      <c r="J3105">
        <v>10.83</v>
      </c>
      <c r="K3105">
        <v>10</v>
      </c>
      <c r="L3105">
        <v>2</v>
      </c>
      <c r="M3105" t="s">
        <v>4525</v>
      </c>
      <c r="N3105">
        <v>7</v>
      </c>
      <c r="O3105">
        <v>9</v>
      </c>
      <c r="P3105">
        <v>118283.39</v>
      </c>
      <c r="Q3105">
        <v>77692.34</v>
      </c>
      <c r="R3105">
        <v>271</v>
      </c>
      <c r="S3105">
        <v>1071</v>
      </c>
      <c r="T3105" t="s">
        <v>108</v>
      </c>
      <c r="U3105" t="s">
        <v>31</v>
      </c>
    </row>
    <row r="3106" spans="1:21">
      <c r="A3106" t="s">
        <v>4857</v>
      </c>
      <c r="B3106" t="s">
        <v>2086</v>
      </c>
      <c r="C3106" t="s">
        <v>4542</v>
      </c>
      <c r="D3106">
        <v>60000</v>
      </c>
      <c r="E3106">
        <v>5000</v>
      </c>
      <c r="F3106">
        <v>60000</v>
      </c>
      <c r="H3106">
        <v>2</v>
      </c>
      <c r="I3106" t="s">
        <v>432</v>
      </c>
      <c r="J3106">
        <v>20.28</v>
      </c>
      <c r="K3106">
        <v>46</v>
      </c>
      <c r="L3106">
        <v>3</v>
      </c>
      <c r="M3106" t="s">
        <v>4525</v>
      </c>
      <c r="N3106">
        <v>7</v>
      </c>
      <c r="O3106">
        <v>11.33</v>
      </c>
      <c r="P3106">
        <v>118283.39</v>
      </c>
      <c r="Q3106">
        <v>77692.34</v>
      </c>
      <c r="R3106">
        <v>271</v>
      </c>
      <c r="S3106">
        <v>1071</v>
      </c>
      <c r="T3106" t="s">
        <v>34</v>
      </c>
      <c r="U3106" t="s">
        <v>42</v>
      </c>
    </row>
    <row r="3107" spans="1:21">
      <c r="A3107" t="s">
        <v>4858</v>
      </c>
      <c r="B3107" t="s">
        <v>4859</v>
      </c>
      <c r="C3107" t="s">
        <v>4539</v>
      </c>
      <c r="D3107">
        <v>63000</v>
      </c>
      <c r="E3107">
        <v>3000</v>
      </c>
      <c r="F3107">
        <v>63000</v>
      </c>
      <c r="H3107">
        <v>1</v>
      </c>
      <c r="I3107" t="s">
        <v>432</v>
      </c>
      <c r="J3107">
        <v>17.399999999999999</v>
      </c>
      <c r="K3107">
        <v>20</v>
      </c>
      <c r="L3107">
        <v>2</v>
      </c>
      <c r="M3107" t="s">
        <v>4525</v>
      </c>
      <c r="N3107">
        <v>3</v>
      </c>
      <c r="O3107">
        <v>13</v>
      </c>
      <c r="P3107">
        <v>118283.39</v>
      </c>
      <c r="Q3107">
        <v>77692.34</v>
      </c>
      <c r="R3107">
        <v>271</v>
      </c>
      <c r="S3107">
        <v>1071</v>
      </c>
      <c r="T3107" t="s">
        <v>108</v>
      </c>
      <c r="U3107" t="s">
        <v>90</v>
      </c>
    </row>
    <row r="3108" spans="1:21">
      <c r="A3108" t="s">
        <v>4860</v>
      </c>
      <c r="B3108" t="s">
        <v>4859</v>
      </c>
      <c r="C3108" t="s">
        <v>4539</v>
      </c>
      <c r="D3108">
        <v>65000</v>
      </c>
      <c r="E3108">
        <v>3000</v>
      </c>
      <c r="F3108">
        <v>65000</v>
      </c>
      <c r="H3108">
        <v>2</v>
      </c>
      <c r="I3108" t="s">
        <v>432</v>
      </c>
      <c r="J3108">
        <v>17.399999999999999</v>
      </c>
      <c r="K3108">
        <v>20</v>
      </c>
      <c r="L3108">
        <v>2</v>
      </c>
      <c r="M3108" t="s">
        <v>4525</v>
      </c>
      <c r="N3108">
        <v>3</v>
      </c>
      <c r="O3108">
        <v>13</v>
      </c>
      <c r="P3108">
        <v>118283.39</v>
      </c>
      <c r="Q3108">
        <v>77692.34</v>
      </c>
      <c r="R3108">
        <v>271</v>
      </c>
      <c r="S3108">
        <v>1071</v>
      </c>
      <c r="T3108" t="s">
        <v>108</v>
      </c>
      <c r="U3108" t="s">
        <v>90</v>
      </c>
    </row>
    <row r="3109" spans="1:21">
      <c r="A3109" t="s">
        <v>4861</v>
      </c>
      <c r="B3109" t="s">
        <v>4862</v>
      </c>
      <c r="C3109" t="s">
        <v>4590</v>
      </c>
      <c r="D3109">
        <v>62000</v>
      </c>
      <c r="E3109">
        <v>5000</v>
      </c>
      <c r="F3109">
        <v>62000</v>
      </c>
      <c r="H3109">
        <v>2</v>
      </c>
      <c r="I3109" t="s">
        <v>432</v>
      </c>
      <c r="J3109">
        <v>13.26</v>
      </c>
      <c r="K3109">
        <v>41</v>
      </c>
      <c r="L3109">
        <v>4</v>
      </c>
      <c r="M3109" t="s">
        <v>4525</v>
      </c>
      <c r="N3109">
        <v>3</v>
      </c>
      <c r="O3109">
        <v>11</v>
      </c>
      <c r="P3109">
        <v>118283.39</v>
      </c>
      <c r="Q3109">
        <v>77692.34</v>
      </c>
      <c r="R3109">
        <v>271</v>
      </c>
      <c r="S3109">
        <v>1071</v>
      </c>
      <c r="T3109" t="s">
        <v>108</v>
      </c>
      <c r="U3109" t="s">
        <v>42</v>
      </c>
    </row>
    <row r="3110" spans="1:21">
      <c r="A3110" t="s">
        <v>4863</v>
      </c>
      <c r="B3110" t="s">
        <v>4864</v>
      </c>
      <c r="C3110" t="s">
        <v>4542</v>
      </c>
      <c r="D3110">
        <v>82500</v>
      </c>
      <c r="F3110">
        <v>50000</v>
      </c>
      <c r="H3110">
        <v>5</v>
      </c>
      <c r="I3110" t="s">
        <v>432</v>
      </c>
      <c r="J3110">
        <v>16.5</v>
      </c>
      <c r="K3110">
        <v>3</v>
      </c>
      <c r="L3110">
        <v>7</v>
      </c>
      <c r="M3110" t="s">
        <v>4525</v>
      </c>
      <c r="N3110">
        <v>6</v>
      </c>
      <c r="O3110">
        <v>10.67</v>
      </c>
      <c r="P3110">
        <v>118283.39</v>
      </c>
      <c r="Q3110">
        <v>77692.34</v>
      </c>
      <c r="R3110">
        <v>271</v>
      </c>
      <c r="S3110">
        <v>1071</v>
      </c>
      <c r="T3110" t="s">
        <v>108</v>
      </c>
      <c r="U3110" t="s">
        <v>31</v>
      </c>
    </row>
    <row r="3111" spans="1:21">
      <c r="A3111" t="s">
        <v>4865</v>
      </c>
      <c r="B3111" t="s">
        <v>4866</v>
      </c>
      <c r="C3111" t="s">
        <v>4539</v>
      </c>
      <c r="D3111">
        <v>65000</v>
      </c>
      <c r="E3111">
        <v>3000</v>
      </c>
      <c r="F3111">
        <v>65000</v>
      </c>
      <c r="H3111">
        <v>2</v>
      </c>
      <c r="I3111" t="s">
        <v>432</v>
      </c>
      <c r="J3111">
        <v>17.399999999999999</v>
      </c>
      <c r="K3111">
        <v>20</v>
      </c>
      <c r="L3111">
        <v>2</v>
      </c>
      <c r="M3111" t="s">
        <v>4525</v>
      </c>
      <c r="N3111">
        <v>3</v>
      </c>
      <c r="O3111">
        <v>11</v>
      </c>
      <c r="P3111">
        <v>118283.39</v>
      </c>
      <c r="Q3111">
        <v>77692.34</v>
      </c>
      <c r="R3111">
        <v>271</v>
      </c>
      <c r="S3111">
        <v>1071</v>
      </c>
      <c r="T3111" t="s">
        <v>108</v>
      </c>
      <c r="U3111" t="s">
        <v>90</v>
      </c>
    </row>
    <row r="3112" spans="1:21">
      <c r="A3112" t="s">
        <v>4867</v>
      </c>
      <c r="B3112" t="s">
        <v>4868</v>
      </c>
      <c r="C3112" t="s">
        <v>4547</v>
      </c>
      <c r="D3112">
        <v>49000</v>
      </c>
      <c r="E3112">
        <v>3000</v>
      </c>
      <c r="H3112">
        <v>1</v>
      </c>
      <c r="I3112" t="s">
        <v>432</v>
      </c>
      <c r="J3112">
        <v>15.5</v>
      </c>
      <c r="K3112">
        <v>36</v>
      </c>
      <c r="L3112">
        <v>2</v>
      </c>
      <c r="M3112" t="s">
        <v>4525</v>
      </c>
      <c r="N3112">
        <v>8</v>
      </c>
      <c r="O3112">
        <v>10.33</v>
      </c>
      <c r="P3112">
        <v>118283.39</v>
      </c>
      <c r="Q3112">
        <v>77692.34</v>
      </c>
      <c r="R3112">
        <v>271</v>
      </c>
      <c r="S3112">
        <v>1071</v>
      </c>
      <c r="T3112" t="s">
        <v>108</v>
      </c>
      <c r="U3112" t="s">
        <v>49</v>
      </c>
    </row>
    <row r="3113" spans="1:21">
      <c r="A3113" t="s">
        <v>4869</v>
      </c>
      <c r="B3113" t="s">
        <v>4870</v>
      </c>
      <c r="C3113" t="s">
        <v>4547</v>
      </c>
      <c r="D3113">
        <v>62000</v>
      </c>
      <c r="E3113">
        <v>4000</v>
      </c>
      <c r="G3113">
        <v>62000</v>
      </c>
      <c r="H3113">
        <v>1</v>
      </c>
      <c r="I3113" t="s">
        <v>432</v>
      </c>
      <c r="J3113">
        <v>10.53</v>
      </c>
      <c r="K3113">
        <v>8</v>
      </c>
      <c r="L3113">
        <v>2</v>
      </c>
      <c r="M3113" t="s">
        <v>4525</v>
      </c>
      <c r="N3113">
        <v>7</v>
      </c>
      <c r="O3113">
        <v>12</v>
      </c>
      <c r="P3113">
        <v>118283.39</v>
      </c>
      <c r="Q3113">
        <v>77692.34</v>
      </c>
      <c r="R3113">
        <v>271</v>
      </c>
      <c r="S3113">
        <v>1071</v>
      </c>
      <c r="T3113" t="s">
        <v>108</v>
      </c>
      <c r="U3113" t="s">
        <v>31</v>
      </c>
    </row>
    <row r="3114" spans="1:21">
      <c r="A3114" t="s">
        <v>4871</v>
      </c>
      <c r="B3114" t="s">
        <v>4870</v>
      </c>
      <c r="C3114" t="s">
        <v>4547</v>
      </c>
      <c r="D3114">
        <v>70000</v>
      </c>
      <c r="E3114">
        <v>4000</v>
      </c>
      <c r="G3114">
        <v>70000</v>
      </c>
      <c r="H3114">
        <v>1</v>
      </c>
      <c r="I3114" t="s">
        <v>432</v>
      </c>
      <c r="J3114">
        <v>11.11</v>
      </c>
      <c r="K3114">
        <v>8</v>
      </c>
      <c r="L3114">
        <v>2</v>
      </c>
      <c r="M3114" t="s">
        <v>4525</v>
      </c>
      <c r="N3114">
        <v>7</v>
      </c>
      <c r="O3114">
        <v>12</v>
      </c>
      <c r="P3114">
        <v>118283.39</v>
      </c>
      <c r="Q3114">
        <v>77692.34</v>
      </c>
      <c r="R3114">
        <v>271</v>
      </c>
      <c r="S3114">
        <v>1071</v>
      </c>
      <c r="T3114" t="s">
        <v>108</v>
      </c>
      <c r="U3114" t="s">
        <v>31</v>
      </c>
    </row>
    <row r="3115" spans="1:21">
      <c r="A3115" t="s">
        <v>4872</v>
      </c>
      <c r="B3115" t="s">
        <v>4870</v>
      </c>
      <c r="C3115" t="s">
        <v>4356</v>
      </c>
      <c r="D3115">
        <v>71000</v>
      </c>
      <c r="E3115">
        <v>4000</v>
      </c>
      <c r="G3115">
        <v>71000</v>
      </c>
      <c r="H3115">
        <v>1</v>
      </c>
      <c r="I3115" t="s">
        <v>432</v>
      </c>
      <c r="J3115">
        <v>11.76</v>
      </c>
      <c r="K3115">
        <v>8</v>
      </c>
      <c r="L3115">
        <v>2</v>
      </c>
      <c r="M3115" t="s">
        <v>4525</v>
      </c>
      <c r="N3115">
        <v>10</v>
      </c>
      <c r="O3115">
        <v>11</v>
      </c>
      <c r="P3115">
        <v>118283.39</v>
      </c>
      <c r="Q3115">
        <v>77692.34</v>
      </c>
      <c r="R3115">
        <v>271</v>
      </c>
      <c r="S3115">
        <v>1071</v>
      </c>
      <c r="T3115" t="s">
        <v>108</v>
      </c>
      <c r="U3115" t="s">
        <v>31</v>
      </c>
    </row>
    <row r="3116" spans="1:21">
      <c r="A3116" t="s">
        <v>4873</v>
      </c>
      <c r="B3116" t="s">
        <v>4870</v>
      </c>
      <c r="C3116" t="s">
        <v>4356</v>
      </c>
      <c r="D3116">
        <v>63000</v>
      </c>
      <c r="E3116">
        <v>4000</v>
      </c>
      <c r="G3116">
        <v>63000</v>
      </c>
      <c r="H3116">
        <v>2</v>
      </c>
      <c r="I3116" t="s">
        <v>432</v>
      </c>
      <c r="J3116">
        <v>11.18</v>
      </c>
      <c r="K3116">
        <v>8</v>
      </c>
      <c r="L3116">
        <v>2</v>
      </c>
      <c r="M3116" t="s">
        <v>4525</v>
      </c>
      <c r="N3116">
        <v>10</v>
      </c>
      <c r="O3116">
        <v>11</v>
      </c>
      <c r="P3116">
        <v>118283.39</v>
      </c>
      <c r="Q3116">
        <v>77692.34</v>
      </c>
      <c r="R3116">
        <v>271</v>
      </c>
      <c r="S3116">
        <v>1071</v>
      </c>
      <c r="T3116" t="s">
        <v>108</v>
      </c>
      <c r="U3116" t="s">
        <v>31</v>
      </c>
    </row>
    <row r="3117" spans="1:21">
      <c r="A3117" t="s">
        <v>4874</v>
      </c>
      <c r="B3117" t="s">
        <v>4875</v>
      </c>
      <c r="C3117" t="s">
        <v>4547</v>
      </c>
      <c r="D3117">
        <v>66000</v>
      </c>
      <c r="E3117">
        <v>4000</v>
      </c>
      <c r="G3117">
        <v>66000</v>
      </c>
      <c r="H3117">
        <v>1</v>
      </c>
      <c r="I3117" t="s">
        <v>432</v>
      </c>
      <c r="J3117">
        <v>10.5</v>
      </c>
      <c r="K3117">
        <v>9</v>
      </c>
      <c r="L3117">
        <v>2</v>
      </c>
      <c r="M3117" t="s">
        <v>4525</v>
      </c>
      <c r="N3117">
        <v>8</v>
      </c>
      <c r="O3117">
        <v>10.33</v>
      </c>
      <c r="P3117">
        <v>118283.39</v>
      </c>
      <c r="Q3117">
        <v>77692.34</v>
      </c>
      <c r="R3117">
        <v>271</v>
      </c>
      <c r="S3117">
        <v>1071</v>
      </c>
      <c r="T3117" t="s">
        <v>108</v>
      </c>
      <c r="U3117" t="s">
        <v>31</v>
      </c>
    </row>
    <row r="3118" spans="1:21">
      <c r="A3118" t="s">
        <v>4876</v>
      </c>
      <c r="B3118" t="s">
        <v>4875</v>
      </c>
      <c r="C3118" t="s">
        <v>4547</v>
      </c>
      <c r="D3118">
        <v>66000</v>
      </c>
      <c r="E3118">
        <v>4000</v>
      </c>
      <c r="G3118">
        <v>66000</v>
      </c>
      <c r="H3118">
        <v>1</v>
      </c>
      <c r="I3118" t="s">
        <v>432</v>
      </c>
      <c r="J3118">
        <v>10</v>
      </c>
      <c r="K3118">
        <v>9</v>
      </c>
      <c r="L3118">
        <v>2</v>
      </c>
      <c r="M3118" t="s">
        <v>4525</v>
      </c>
      <c r="N3118">
        <v>8</v>
      </c>
      <c r="O3118">
        <v>10.67</v>
      </c>
      <c r="P3118">
        <v>118283.39</v>
      </c>
      <c r="Q3118">
        <v>77692.34</v>
      </c>
      <c r="R3118">
        <v>271</v>
      </c>
      <c r="S3118">
        <v>1071</v>
      </c>
      <c r="T3118" t="s">
        <v>108</v>
      </c>
      <c r="U3118" t="s">
        <v>31</v>
      </c>
    </row>
    <row r="3119" spans="1:21">
      <c r="A3119" t="s">
        <v>4877</v>
      </c>
      <c r="B3119" t="s">
        <v>4875</v>
      </c>
      <c r="C3119" t="s">
        <v>4547</v>
      </c>
      <c r="D3119">
        <v>69000</v>
      </c>
      <c r="E3119">
        <v>4000</v>
      </c>
      <c r="G3119">
        <v>69000</v>
      </c>
      <c r="H3119">
        <v>2</v>
      </c>
      <c r="I3119" t="s">
        <v>432</v>
      </c>
      <c r="J3119">
        <v>12.62</v>
      </c>
      <c r="K3119">
        <v>9</v>
      </c>
      <c r="L3119">
        <v>2</v>
      </c>
      <c r="M3119" t="s">
        <v>4525</v>
      </c>
      <c r="N3119">
        <v>8</v>
      </c>
      <c r="O3119">
        <v>10.67</v>
      </c>
      <c r="P3119">
        <v>118283.39</v>
      </c>
      <c r="Q3119">
        <v>77692.34</v>
      </c>
      <c r="R3119">
        <v>271</v>
      </c>
      <c r="S3119">
        <v>1071</v>
      </c>
      <c r="T3119" t="s">
        <v>108</v>
      </c>
      <c r="U3119" t="s">
        <v>31</v>
      </c>
    </row>
    <row r="3120" spans="1:21">
      <c r="A3120" t="s">
        <v>4878</v>
      </c>
      <c r="B3120" t="s">
        <v>4702</v>
      </c>
      <c r="C3120" t="s">
        <v>37</v>
      </c>
      <c r="D3120">
        <v>75000</v>
      </c>
      <c r="E3120">
        <v>3000</v>
      </c>
      <c r="F3120">
        <v>75000</v>
      </c>
      <c r="G3120">
        <v>75000</v>
      </c>
      <c r="H3120">
        <v>1</v>
      </c>
      <c r="I3120" t="s">
        <v>432</v>
      </c>
      <c r="J3120">
        <v>19.399999999999999</v>
      </c>
      <c r="K3120">
        <v>28</v>
      </c>
      <c r="L3120">
        <v>3</v>
      </c>
      <c r="M3120" t="s">
        <v>4525</v>
      </c>
      <c r="N3120">
        <v>8</v>
      </c>
      <c r="O3120">
        <v>9.5</v>
      </c>
      <c r="P3120">
        <v>118283.39</v>
      </c>
      <c r="Q3120">
        <v>77692.34</v>
      </c>
      <c r="R3120">
        <v>271</v>
      </c>
      <c r="S3120">
        <v>1071</v>
      </c>
      <c r="T3120" t="s">
        <v>108</v>
      </c>
      <c r="U3120" t="s">
        <v>27</v>
      </c>
    </row>
    <row r="3121" spans="1:21">
      <c r="A3121" t="s">
        <v>4879</v>
      </c>
      <c r="B3121" t="s">
        <v>4880</v>
      </c>
      <c r="C3121" t="s">
        <v>4356</v>
      </c>
      <c r="D3121">
        <v>88000</v>
      </c>
      <c r="E3121">
        <v>5000</v>
      </c>
      <c r="H3121">
        <v>1</v>
      </c>
      <c r="I3121" t="s">
        <v>432</v>
      </c>
      <c r="J3121">
        <v>18.010000000000002</v>
      </c>
      <c r="K3121">
        <v>0</v>
      </c>
      <c r="L3121">
        <v>4</v>
      </c>
      <c r="M3121" t="s">
        <v>4525</v>
      </c>
      <c r="N3121">
        <v>7</v>
      </c>
      <c r="O3121">
        <v>12.33</v>
      </c>
      <c r="P3121">
        <v>118283.39</v>
      </c>
      <c r="Q3121">
        <v>77692.34</v>
      </c>
      <c r="R3121">
        <v>271</v>
      </c>
      <c r="S3121">
        <v>1071</v>
      </c>
      <c r="T3121" t="s">
        <v>108</v>
      </c>
      <c r="U3121" t="s">
        <v>81</v>
      </c>
    </row>
    <row r="3122" spans="1:21">
      <c r="A3122" t="s">
        <v>4881</v>
      </c>
      <c r="B3122" t="s">
        <v>4882</v>
      </c>
      <c r="C3122" t="s">
        <v>4542</v>
      </c>
      <c r="D3122">
        <v>52000</v>
      </c>
      <c r="E3122">
        <v>6000</v>
      </c>
      <c r="F3122">
        <v>52000</v>
      </c>
      <c r="G3122">
        <v>52000</v>
      </c>
      <c r="H3122">
        <v>4</v>
      </c>
      <c r="I3122" t="s">
        <v>432</v>
      </c>
      <c r="J3122">
        <v>16.5</v>
      </c>
      <c r="K3122">
        <v>41</v>
      </c>
      <c r="L3122">
        <v>4</v>
      </c>
      <c r="M3122" t="s">
        <v>4525</v>
      </c>
      <c r="N3122">
        <v>5</v>
      </c>
      <c r="O3122">
        <v>11.33</v>
      </c>
      <c r="P3122">
        <v>118283.39</v>
      </c>
      <c r="Q3122">
        <v>77692.34</v>
      </c>
      <c r="R3122">
        <v>271</v>
      </c>
      <c r="S3122">
        <v>1071</v>
      </c>
      <c r="T3122" t="s">
        <v>108</v>
      </c>
      <c r="U3122" t="s">
        <v>42</v>
      </c>
    </row>
    <row r="3123" spans="1:21">
      <c r="A3123" t="s">
        <v>4883</v>
      </c>
      <c r="B3123" t="s">
        <v>4884</v>
      </c>
      <c r="C3123" t="s">
        <v>4539</v>
      </c>
      <c r="D3123">
        <v>85000</v>
      </c>
      <c r="E3123">
        <v>10000</v>
      </c>
      <c r="F3123">
        <v>85000</v>
      </c>
      <c r="G3123">
        <v>85000</v>
      </c>
      <c r="H3123">
        <v>2</v>
      </c>
      <c r="I3123" t="s">
        <v>432</v>
      </c>
      <c r="J3123">
        <v>21.71</v>
      </c>
      <c r="K3123">
        <v>17</v>
      </c>
      <c r="L3123">
        <v>7</v>
      </c>
      <c r="M3123" t="s">
        <v>4525</v>
      </c>
      <c r="N3123">
        <v>4</v>
      </c>
      <c r="O3123">
        <v>11.67</v>
      </c>
      <c r="P3123">
        <v>118283.39</v>
      </c>
      <c r="Q3123">
        <v>77692.34</v>
      </c>
      <c r="R3123">
        <v>271</v>
      </c>
      <c r="S3123">
        <v>1071</v>
      </c>
      <c r="T3123" t="s">
        <v>34</v>
      </c>
      <c r="U3123" t="s">
        <v>90</v>
      </c>
    </row>
    <row r="3124" spans="1:21">
      <c r="A3124" t="s">
        <v>4885</v>
      </c>
      <c r="B3124" t="s">
        <v>4886</v>
      </c>
      <c r="C3124" t="s">
        <v>4539</v>
      </c>
      <c r="D3124">
        <v>56000</v>
      </c>
      <c r="E3124">
        <v>5000</v>
      </c>
      <c r="F3124">
        <v>56000</v>
      </c>
      <c r="G3124">
        <v>56000</v>
      </c>
      <c r="H3124">
        <v>1</v>
      </c>
      <c r="I3124" t="s">
        <v>432</v>
      </c>
      <c r="J3124">
        <v>16.38</v>
      </c>
      <c r="K3124">
        <v>34</v>
      </c>
      <c r="L3124">
        <v>5</v>
      </c>
      <c r="M3124" t="s">
        <v>4525</v>
      </c>
      <c r="N3124">
        <v>7</v>
      </c>
      <c r="O3124">
        <v>10.67</v>
      </c>
      <c r="P3124">
        <v>118283.39</v>
      </c>
      <c r="Q3124">
        <v>77692.34</v>
      </c>
      <c r="R3124">
        <v>271</v>
      </c>
      <c r="S3124">
        <v>1071</v>
      </c>
      <c r="T3124" t="s">
        <v>108</v>
      </c>
      <c r="U3124" t="s">
        <v>49</v>
      </c>
    </row>
    <row r="3125" spans="1:21">
      <c r="A3125" t="s">
        <v>4887</v>
      </c>
      <c r="B3125" t="s">
        <v>4888</v>
      </c>
      <c r="C3125" t="s">
        <v>4542</v>
      </c>
      <c r="D3125">
        <v>92000</v>
      </c>
      <c r="E3125">
        <v>10000</v>
      </c>
      <c r="F3125">
        <v>92000</v>
      </c>
      <c r="G3125">
        <v>92000</v>
      </c>
      <c r="H3125">
        <v>7</v>
      </c>
      <c r="I3125" t="s">
        <v>432</v>
      </c>
      <c r="J3125">
        <v>20.420000000000002</v>
      </c>
      <c r="K3125">
        <v>11</v>
      </c>
      <c r="L3125">
        <v>8</v>
      </c>
      <c r="M3125" t="s">
        <v>4525</v>
      </c>
      <c r="N3125">
        <v>6</v>
      </c>
      <c r="O3125">
        <v>9.67</v>
      </c>
      <c r="P3125">
        <v>118283.39</v>
      </c>
      <c r="Q3125">
        <v>77692.34</v>
      </c>
      <c r="R3125">
        <v>271</v>
      </c>
      <c r="S3125">
        <v>1071</v>
      </c>
      <c r="T3125" t="s">
        <v>34</v>
      </c>
      <c r="U3125" t="s">
        <v>90</v>
      </c>
    </row>
    <row r="3126" spans="1:21">
      <c r="A3126" t="s">
        <v>4889</v>
      </c>
      <c r="B3126" t="s">
        <v>4890</v>
      </c>
      <c r="C3126" t="s">
        <v>37</v>
      </c>
      <c r="D3126">
        <v>75000</v>
      </c>
      <c r="E3126">
        <v>3000</v>
      </c>
      <c r="F3126">
        <v>75000</v>
      </c>
      <c r="G3126">
        <v>75000</v>
      </c>
      <c r="H3126">
        <v>1</v>
      </c>
      <c r="I3126" t="s">
        <v>432</v>
      </c>
      <c r="J3126">
        <v>19.399999999999999</v>
      </c>
      <c r="K3126">
        <v>29</v>
      </c>
      <c r="L3126">
        <v>3</v>
      </c>
      <c r="M3126" t="s">
        <v>4525</v>
      </c>
      <c r="N3126">
        <v>8</v>
      </c>
      <c r="O3126">
        <v>11</v>
      </c>
      <c r="P3126">
        <v>118283.39</v>
      </c>
      <c r="Q3126">
        <v>77692.34</v>
      </c>
      <c r="R3126">
        <v>271</v>
      </c>
      <c r="S3126">
        <v>1071</v>
      </c>
      <c r="T3126" t="s">
        <v>108</v>
      </c>
      <c r="U3126" t="s">
        <v>27</v>
      </c>
    </row>
    <row r="3127" spans="1:21">
      <c r="A3127" t="s">
        <v>4891</v>
      </c>
      <c r="B3127" t="s">
        <v>4892</v>
      </c>
      <c r="C3127" t="s">
        <v>4542</v>
      </c>
      <c r="D3127">
        <v>95000</v>
      </c>
      <c r="E3127">
        <v>5000</v>
      </c>
      <c r="F3127">
        <v>95000</v>
      </c>
      <c r="H3127">
        <v>3</v>
      </c>
      <c r="I3127" t="s">
        <v>555</v>
      </c>
      <c r="J3127">
        <v>38.4</v>
      </c>
      <c r="K3127">
        <v>42</v>
      </c>
      <c r="L3127">
        <v>4</v>
      </c>
      <c r="M3127" t="s">
        <v>4525</v>
      </c>
      <c r="N3127">
        <v>3</v>
      </c>
      <c r="O3127">
        <v>9</v>
      </c>
      <c r="P3127">
        <v>118283.39</v>
      </c>
      <c r="Q3127">
        <v>207063.41</v>
      </c>
      <c r="R3127">
        <v>271</v>
      </c>
      <c r="S3127">
        <v>41</v>
      </c>
      <c r="T3127" t="s">
        <v>26</v>
      </c>
      <c r="U3127" t="s">
        <v>42</v>
      </c>
    </row>
    <row r="3128" spans="1:21">
      <c r="A3128" t="s">
        <v>4893</v>
      </c>
      <c r="B3128" t="s">
        <v>4892</v>
      </c>
      <c r="C3128" t="s">
        <v>4542</v>
      </c>
      <c r="D3128">
        <v>90000</v>
      </c>
      <c r="E3128">
        <v>5000</v>
      </c>
      <c r="F3128">
        <v>90000</v>
      </c>
      <c r="H3128">
        <v>4</v>
      </c>
      <c r="I3128" t="s">
        <v>555</v>
      </c>
      <c r="J3128">
        <v>38.4</v>
      </c>
      <c r="K3128">
        <v>42</v>
      </c>
      <c r="L3128">
        <v>4</v>
      </c>
      <c r="M3128" t="s">
        <v>4525</v>
      </c>
      <c r="N3128">
        <v>3</v>
      </c>
      <c r="O3128">
        <v>9</v>
      </c>
      <c r="P3128">
        <v>118283.39</v>
      </c>
      <c r="Q3128">
        <v>207063.41</v>
      </c>
      <c r="R3128">
        <v>271</v>
      </c>
      <c r="S3128">
        <v>41</v>
      </c>
      <c r="T3128" t="s">
        <v>26</v>
      </c>
      <c r="U3128" t="s">
        <v>42</v>
      </c>
    </row>
    <row r="3129" spans="1:21">
      <c r="A3129" t="s">
        <v>4894</v>
      </c>
      <c r="B3129" t="s">
        <v>4895</v>
      </c>
      <c r="C3129" t="s">
        <v>4547</v>
      </c>
      <c r="D3129">
        <v>98000</v>
      </c>
      <c r="E3129">
        <v>5000</v>
      </c>
      <c r="F3129">
        <v>98000</v>
      </c>
      <c r="G3129">
        <v>98000</v>
      </c>
      <c r="H3129">
        <v>4</v>
      </c>
      <c r="I3129" t="s">
        <v>559</v>
      </c>
      <c r="J3129">
        <v>38.020000000000003</v>
      </c>
      <c r="K3129">
        <v>54</v>
      </c>
      <c r="L3129">
        <v>5</v>
      </c>
      <c r="M3129" t="s">
        <v>4525</v>
      </c>
      <c r="N3129">
        <v>10</v>
      </c>
      <c r="O3129">
        <v>12</v>
      </c>
      <c r="P3129">
        <v>118283.39</v>
      </c>
      <c r="Q3129">
        <v>141491.45000000001</v>
      </c>
      <c r="R3129">
        <v>271</v>
      </c>
      <c r="S3129">
        <v>117</v>
      </c>
      <c r="T3129" t="s">
        <v>26</v>
      </c>
      <c r="U3129" t="s">
        <v>57</v>
      </c>
    </row>
    <row r="3130" spans="1:21">
      <c r="A3130" t="s">
        <v>4896</v>
      </c>
      <c r="B3130" t="s">
        <v>4897</v>
      </c>
      <c r="C3130" t="s">
        <v>4547</v>
      </c>
      <c r="D3130">
        <v>120000</v>
      </c>
      <c r="E3130">
        <v>5000</v>
      </c>
      <c r="F3130">
        <v>240000</v>
      </c>
      <c r="H3130">
        <v>3</v>
      </c>
      <c r="I3130" t="s">
        <v>559</v>
      </c>
      <c r="J3130">
        <v>45.6</v>
      </c>
      <c r="K3130">
        <v>32</v>
      </c>
      <c r="L3130">
        <v>4</v>
      </c>
      <c r="M3130" t="s">
        <v>4525</v>
      </c>
      <c r="N3130">
        <v>6</v>
      </c>
      <c r="O3130">
        <v>11.67</v>
      </c>
      <c r="P3130">
        <v>118283.39</v>
      </c>
      <c r="Q3130">
        <v>141491.45000000001</v>
      </c>
      <c r="R3130">
        <v>271</v>
      </c>
      <c r="S3130">
        <v>117</v>
      </c>
      <c r="T3130" t="s">
        <v>326</v>
      </c>
      <c r="U3130" t="s">
        <v>49</v>
      </c>
    </row>
    <row r="3131" spans="1:21">
      <c r="A3131" t="s">
        <v>4898</v>
      </c>
      <c r="B3131" t="s">
        <v>4541</v>
      </c>
      <c r="C3131" t="s">
        <v>4542</v>
      </c>
      <c r="D3131">
        <v>218000</v>
      </c>
      <c r="E3131">
        <v>25000</v>
      </c>
      <c r="F3131">
        <v>218000</v>
      </c>
      <c r="H3131">
        <v>13</v>
      </c>
      <c r="I3131" t="s">
        <v>559</v>
      </c>
      <c r="J3131">
        <v>44.64</v>
      </c>
      <c r="K3131">
        <v>2</v>
      </c>
      <c r="L3131">
        <v>19</v>
      </c>
      <c r="M3131" t="s">
        <v>4525</v>
      </c>
      <c r="N3131">
        <v>6</v>
      </c>
      <c r="O3131">
        <v>12</v>
      </c>
      <c r="P3131">
        <v>118283.39</v>
      </c>
      <c r="Q3131">
        <v>141491.45000000001</v>
      </c>
      <c r="R3131">
        <v>271</v>
      </c>
      <c r="S3131">
        <v>117</v>
      </c>
      <c r="T3131" t="s">
        <v>326</v>
      </c>
      <c r="U3131" t="s">
        <v>31</v>
      </c>
    </row>
    <row r="3132" spans="1:21">
      <c r="A3132" t="s">
        <v>4899</v>
      </c>
      <c r="B3132" t="s">
        <v>4541</v>
      </c>
      <c r="C3132" t="s">
        <v>4542</v>
      </c>
      <c r="D3132">
        <v>218000</v>
      </c>
      <c r="E3132">
        <v>25000</v>
      </c>
      <c r="F3132">
        <v>218000</v>
      </c>
      <c r="H3132">
        <v>7</v>
      </c>
      <c r="I3132" t="s">
        <v>559</v>
      </c>
      <c r="J3132">
        <v>44.64</v>
      </c>
      <c r="K3132">
        <v>2</v>
      </c>
      <c r="L3132">
        <v>19</v>
      </c>
      <c r="M3132" t="s">
        <v>4525</v>
      </c>
      <c r="N3132">
        <v>6</v>
      </c>
      <c r="O3132">
        <v>12</v>
      </c>
      <c r="P3132">
        <v>118283.39</v>
      </c>
      <c r="Q3132">
        <v>141491.45000000001</v>
      </c>
      <c r="R3132">
        <v>271</v>
      </c>
      <c r="S3132">
        <v>117</v>
      </c>
      <c r="T3132" t="s">
        <v>326</v>
      </c>
      <c r="U3132" t="s">
        <v>31</v>
      </c>
    </row>
    <row r="3133" spans="1:21">
      <c r="A3133" t="s">
        <v>4900</v>
      </c>
      <c r="B3133" t="s">
        <v>4901</v>
      </c>
      <c r="C3133" t="s">
        <v>4547</v>
      </c>
      <c r="D3133">
        <v>96000</v>
      </c>
      <c r="F3133">
        <v>96000</v>
      </c>
      <c r="G3133">
        <v>96000</v>
      </c>
      <c r="H3133">
        <v>2</v>
      </c>
      <c r="I3133" t="s">
        <v>559</v>
      </c>
      <c r="J3133">
        <v>37.26</v>
      </c>
      <c r="K3133">
        <v>33</v>
      </c>
      <c r="L3133">
        <v>3</v>
      </c>
      <c r="M3133" t="s">
        <v>4525</v>
      </c>
      <c r="N3133">
        <v>5</v>
      </c>
      <c r="O3133">
        <v>10.67</v>
      </c>
      <c r="P3133">
        <v>118283.39</v>
      </c>
      <c r="Q3133">
        <v>141491.45000000001</v>
      </c>
      <c r="R3133">
        <v>271</v>
      </c>
      <c r="S3133">
        <v>117</v>
      </c>
      <c r="T3133" t="s">
        <v>26</v>
      </c>
      <c r="U3133" t="s">
        <v>49</v>
      </c>
    </row>
    <row r="3134" spans="1:21">
      <c r="A3134" t="s">
        <v>4902</v>
      </c>
      <c r="B3134" t="s">
        <v>4903</v>
      </c>
      <c r="C3134" t="s">
        <v>4539</v>
      </c>
      <c r="D3134">
        <v>120000</v>
      </c>
      <c r="E3134">
        <v>5000</v>
      </c>
      <c r="F3134">
        <v>120000</v>
      </c>
      <c r="G3134">
        <v>120000</v>
      </c>
      <c r="H3134">
        <v>2</v>
      </c>
      <c r="I3134" t="s">
        <v>559</v>
      </c>
      <c r="J3134">
        <v>42</v>
      </c>
      <c r="K3134">
        <v>52</v>
      </c>
      <c r="L3134">
        <v>7</v>
      </c>
      <c r="M3134" t="s">
        <v>4525</v>
      </c>
      <c r="N3134">
        <v>3</v>
      </c>
      <c r="O3134">
        <v>11.33</v>
      </c>
      <c r="P3134">
        <v>118283.39</v>
      </c>
      <c r="Q3134">
        <v>141491.45000000001</v>
      </c>
      <c r="R3134">
        <v>271</v>
      </c>
      <c r="S3134">
        <v>117</v>
      </c>
      <c r="T3134" t="s">
        <v>326</v>
      </c>
      <c r="U3134" t="s">
        <v>57</v>
      </c>
    </row>
    <row r="3135" spans="1:21">
      <c r="A3135" t="s">
        <v>4904</v>
      </c>
      <c r="B3135" t="s">
        <v>4581</v>
      </c>
      <c r="C3135" t="s">
        <v>4547</v>
      </c>
      <c r="D3135">
        <v>86000</v>
      </c>
      <c r="F3135">
        <v>86000</v>
      </c>
      <c r="G3135">
        <v>86000</v>
      </c>
      <c r="H3135">
        <v>3</v>
      </c>
      <c r="I3135" t="s">
        <v>573</v>
      </c>
      <c r="J3135">
        <v>39.86</v>
      </c>
      <c r="K3135">
        <v>38</v>
      </c>
      <c r="L3135">
        <v>3</v>
      </c>
      <c r="M3135" t="s">
        <v>4525</v>
      </c>
      <c r="N3135">
        <v>5</v>
      </c>
      <c r="O3135">
        <v>11.67</v>
      </c>
      <c r="P3135">
        <v>118283.39</v>
      </c>
      <c r="Q3135">
        <v>117441.44</v>
      </c>
      <c r="R3135">
        <v>271</v>
      </c>
      <c r="S3135">
        <v>111</v>
      </c>
      <c r="T3135" t="s">
        <v>26</v>
      </c>
      <c r="U3135" t="s">
        <v>49</v>
      </c>
    </row>
    <row r="3136" spans="1:21">
      <c r="A3136" t="s">
        <v>4905</v>
      </c>
      <c r="B3136" t="s">
        <v>4906</v>
      </c>
      <c r="C3136" t="s">
        <v>4590</v>
      </c>
      <c r="D3136">
        <v>75000</v>
      </c>
      <c r="E3136">
        <v>1000</v>
      </c>
      <c r="G3136">
        <v>75000</v>
      </c>
      <c r="H3136">
        <v>2</v>
      </c>
      <c r="I3136" t="s">
        <v>573</v>
      </c>
      <c r="J3136">
        <v>29.16</v>
      </c>
      <c r="K3136">
        <v>49</v>
      </c>
      <c r="L3136">
        <v>3</v>
      </c>
      <c r="M3136" t="s">
        <v>4525</v>
      </c>
      <c r="N3136">
        <v>7</v>
      </c>
      <c r="O3136">
        <v>12.33</v>
      </c>
      <c r="P3136">
        <v>118283.39</v>
      </c>
      <c r="Q3136">
        <v>117441.44</v>
      </c>
      <c r="R3136">
        <v>271</v>
      </c>
      <c r="S3136">
        <v>111</v>
      </c>
      <c r="T3136" t="s">
        <v>34</v>
      </c>
      <c r="U3136" t="s">
        <v>42</v>
      </c>
    </row>
    <row r="3137" spans="1:21">
      <c r="A3137" t="s">
        <v>4907</v>
      </c>
      <c r="B3137" t="s">
        <v>4908</v>
      </c>
      <c r="C3137" t="s">
        <v>4032</v>
      </c>
      <c r="D3137">
        <v>68000</v>
      </c>
      <c r="E3137">
        <v>3000</v>
      </c>
      <c r="F3137">
        <v>68000</v>
      </c>
      <c r="H3137">
        <v>1</v>
      </c>
      <c r="I3137" t="s">
        <v>573</v>
      </c>
      <c r="J3137">
        <v>33</v>
      </c>
      <c r="K3137">
        <v>39</v>
      </c>
      <c r="L3137">
        <v>2</v>
      </c>
      <c r="M3137" t="s">
        <v>4525</v>
      </c>
      <c r="N3137">
        <v>9</v>
      </c>
      <c r="O3137">
        <v>11.33</v>
      </c>
      <c r="P3137">
        <v>118283.39</v>
      </c>
      <c r="Q3137">
        <v>117441.44</v>
      </c>
      <c r="R3137">
        <v>271</v>
      </c>
      <c r="S3137">
        <v>111</v>
      </c>
      <c r="T3137" t="s">
        <v>26</v>
      </c>
      <c r="U3137" t="s">
        <v>49</v>
      </c>
    </row>
    <row r="3138" spans="1:21">
      <c r="A3138" t="s">
        <v>4909</v>
      </c>
      <c r="B3138" t="s">
        <v>4910</v>
      </c>
      <c r="C3138" t="s">
        <v>4547</v>
      </c>
      <c r="D3138">
        <v>113000</v>
      </c>
      <c r="E3138">
        <v>2000</v>
      </c>
      <c r="F3138">
        <v>113000</v>
      </c>
      <c r="G3138">
        <v>113000</v>
      </c>
      <c r="H3138">
        <v>2</v>
      </c>
      <c r="I3138" t="s">
        <v>573</v>
      </c>
      <c r="J3138">
        <v>33</v>
      </c>
      <c r="K3138">
        <v>22</v>
      </c>
      <c r="L3138">
        <v>2</v>
      </c>
      <c r="M3138" t="s">
        <v>4525</v>
      </c>
      <c r="N3138">
        <v>9</v>
      </c>
      <c r="O3138">
        <v>10.67</v>
      </c>
      <c r="P3138">
        <v>118283.39</v>
      </c>
      <c r="Q3138">
        <v>117441.44</v>
      </c>
      <c r="R3138">
        <v>271</v>
      </c>
      <c r="S3138">
        <v>111</v>
      </c>
      <c r="T3138" t="s">
        <v>26</v>
      </c>
      <c r="U3138" t="s">
        <v>27</v>
      </c>
    </row>
    <row r="3139" spans="1:21">
      <c r="A3139" t="s">
        <v>4911</v>
      </c>
      <c r="B3139" t="s">
        <v>4912</v>
      </c>
      <c r="C3139" t="s">
        <v>4539</v>
      </c>
      <c r="D3139">
        <v>85000</v>
      </c>
      <c r="E3139">
        <v>10000</v>
      </c>
      <c r="F3139">
        <v>170000</v>
      </c>
      <c r="G3139">
        <v>85000</v>
      </c>
      <c r="H3139">
        <v>4</v>
      </c>
      <c r="I3139" t="s">
        <v>573</v>
      </c>
      <c r="J3139">
        <v>29.45</v>
      </c>
      <c r="K3139">
        <v>55</v>
      </c>
      <c r="L3139">
        <v>10</v>
      </c>
      <c r="M3139" t="s">
        <v>4525</v>
      </c>
      <c r="N3139">
        <v>8</v>
      </c>
      <c r="O3139">
        <v>11.33</v>
      </c>
      <c r="P3139">
        <v>118283.39</v>
      </c>
      <c r="Q3139">
        <v>117441.44</v>
      </c>
      <c r="R3139">
        <v>271</v>
      </c>
      <c r="S3139">
        <v>111</v>
      </c>
      <c r="T3139" t="s">
        <v>34</v>
      </c>
      <c r="U3139" t="s">
        <v>57</v>
      </c>
    </row>
    <row r="3140" spans="1:21">
      <c r="A3140" t="s">
        <v>4913</v>
      </c>
      <c r="B3140" t="s">
        <v>4914</v>
      </c>
      <c r="C3140" t="s">
        <v>4539</v>
      </c>
      <c r="D3140">
        <v>74000</v>
      </c>
      <c r="F3140">
        <v>74000</v>
      </c>
      <c r="H3140">
        <v>2</v>
      </c>
      <c r="I3140" t="s">
        <v>573</v>
      </c>
      <c r="J3140">
        <v>33</v>
      </c>
      <c r="K3140">
        <v>41</v>
      </c>
      <c r="L3140">
        <v>2</v>
      </c>
      <c r="M3140" t="s">
        <v>4525</v>
      </c>
      <c r="N3140">
        <v>6</v>
      </c>
      <c r="O3140">
        <v>10.33</v>
      </c>
      <c r="P3140">
        <v>118283.39</v>
      </c>
      <c r="Q3140">
        <v>117441.44</v>
      </c>
      <c r="R3140">
        <v>271</v>
      </c>
      <c r="S3140">
        <v>111</v>
      </c>
      <c r="T3140" t="s">
        <v>26</v>
      </c>
      <c r="U3140" t="s">
        <v>42</v>
      </c>
    </row>
    <row r="3141" spans="1:21">
      <c r="A3141" t="s">
        <v>4915</v>
      </c>
      <c r="B3141" t="s">
        <v>4916</v>
      </c>
      <c r="C3141" t="s">
        <v>4547</v>
      </c>
      <c r="D3141">
        <v>113000</v>
      </c>
      <c r="E3141">
        <v>2000</v>
      </c>
      <c r="F3141">
        <v>113000</v>
      </c>
      <c r="G3141">
        <v>113000</v>
      </c>
      <c r="H3141">
        <v>2</v>
      </c>
      <c r="I3141" t="s">
        <v>573</v>
      </c>
      <c r="J3141">
        <v>33</v>
      </c>
      <c r="K3141">
        <v>22</v>
      </c>
      <c r="L3141">
        <v>2</v>
      </c>
      <c r="M3141" t="s">
        <v>4525</v>
      </c>
      <c r="N3141">
        <v>9</v>
      </c>
      <c r="O3141">
        <v>10.67</v>
      </c>
      <c r="P3141">
        <v>118283.39</v>
      </c>
      <c r="Q3141">
        <v>117441.44</v>
      </c>
      <c r="R3141">
        <v>271</v>
      </c>
      <c r="S3141">
        <v>111</v>
      </c>
      <c r="T3141" t="s">
        <v>26</v>
      </c>
      <c r="U3141" t="s">
        <v>27</v>
      </c>
    </row>
    <row r="3142" spans="1:21">
      <c r="A3142" t="s">
        <v>4917</v>
      </c>
      <c r="B3142" t="s">
        <v>4918</v>
      </c>
      <c r="C3142" t="s">
        <v>4547</v>
      </c>
      <c r="D3142">
        <v>175000</v>
      </c>
      <c r="E3142">
        <v>4000</v>
      </c>
      <c r="F3142">
        <v>175000</v>
      </c>
      <c r="G3142">
        <v>437500</v>
      </c>
      <c r="H3142">
        <v>2</v>
      </c>
      <c r="I3142" t="s">
        <v>585</v>
      </c>
      <c r="J3142">
        <v>53.67</v>
      </c>
      <c r="K3142">
        <v>15</v>
      </c>
      <c r="L3142">
        <v>3</v>
      </c>
      <c r="M3142" t="s">
        <v>4525</v>
      </c>
      <c r="N3142">
        <v>9</v>
      </c>
      <c r="O3142">
        <v>12.33</v>
      </c>
      <c r="P3142">
        <v>118283.39</v>
      </c>
      <c r="Q3142">
        <v>232352.65</v>
      </c>
      <c r="R3142">
        <v>271</v>
      </c>
      <c r="S3142">
        <v>359</v>
      </c>
      <c r="T3142" t="s">
        <v>332</v>
      </c>
      <c r="U3142" t="s">
        <v>90</v>
      </c>
    </row>
    <row r="3143" spans="1:21">
      <c r="A3143" t="s">
        <v>4919</v>
      </c>
      <c r="B3143" t="s">
        <v>4895</v>
      </c>
      <c r="C3143" t="s">
        <v>4547</v>
      </c>
      <c r="D3143">
        <v>125000</v>
      </c>
      <c r="E3143">
        <v>5000</v>
      </c>
      <c r="F3143">
        <v>125000</v>
      </c>
      <c r="G3143">
        <v>125000</v>
      </c>
      <c r="H3143">
        <v>4</v>
      </c>
      <c r="I3143" t="s">
        <v>585</v>
      </c>
      <c r="J3143">
        <v>45.12</v>
      </c>
      <c r="K3143">
        <v>54</v>
      </c>
      <c r="L3143">
        <v>5</v>
      </c>
      <c r="M3143" t="s">
        <v>4525</v>
      </c>
      <c r="N3143">
        <v>10</v>
      </c>
      <c r="O3143">
        <v>12</v>
      </c>
      <c r="P3143">
        <v>118283.39</v>
      </c>
      <c r="Q3143">
        <v>232352.65</v>
      </c>
      <c r="R3143">
        <v>271</v>
      </c>
      <c r="S3143">
        <v>359</v>
      </c>
      <c r="T3143" t="s">
        <v>326</v>
      </c>
      <c r="U3143" t="s">
        <v>57</v>
      </c>
    </row>
    <row r="3144" spans="1:21">
      <c r="A3144" t="s">
        <v>4920</v>
      </c>
      <c r="B3144" t="s">
        <v>4921</v>
      </c>
      <c r="C3144" t="s">
        <v>4539</v>
      </c>
      <c r="D3144">
        <v>244000</v>
      </c>
      <c r="F3144">
        <v>244000</v>
      </c>
      <c r="G3144">
        <v>488000</v>
      </c>
      <c r="H3144">
        <v>4</v>
      </c>
      <c r="I3144" t="s">
        <v>585</v>
      </c>
      <c r="J3144">
        <v>75.14</v>
      </c>
      <c r="K3144">
        <v>6</v>
      </c>
      <c r="L3144">
        <v>6</v>
      </c>
      <c r="M3144" t="s">
        <v>4525</v>
      </c>
      <c r="N3144">
        <v>3</v>
      </c>
      <c r="O3144">
        <v>11.33</v>
      </c>
      <c r="P3144">
        <v>118283.39</v>
      </c>
      <c r="Q3144">
        <v>232352.65</v>
      </c>
      <c r="R3144">
        <v>271</v>
      </c>
      <c r="S3144">
        <v>359</v>
      </c>
      <c r="T3144" t="s">
        <v>596</v>
      </c>
      <c r="U3144" t="s">
        <v>31</v>
      </c>
    </row>
    <row r="3145" spans="1:21">
      <c r="A3145" t="s">
        <v>4922</v>
      </c>
      <c r="B3145" t="s">
        <v>4923</v>
      </c>
      <c r="C3145" t="s">
        <v>4542</v>
      </c>
      <c r="D3145">
        <v>200000</v>
      </c>
      <c r="F3145">
        <v>200000</v>
      </c>
      <c r="G3145">
        <v>200000</v>
      </c>
      <c r="H3145">
        <v>2</v>
      </c>
      <c r="I3145" t="s">
        <v>585</v>
      </c>
      <c r="J3145">
        <v>50.77</v>
      </c>
      <c r="K3145">
        <v>0</v>
      </c>
      <c r="L3145">
        <v>3</v>
      </c>
      <c r="M3145" t="s">
        <v>4525</v>
      </c>
      <c r="N3145">
        <v>5</v>
      </c>
      <c r="O3145">
        <v>11</v>
      </c>
      <c r="P3145">
        <v>118283.39</v>
      </c>
      <c r="Q3145">
        <v>232352.65</v>
      </c>
      <c r="R3145">
        <v>271</v>
      </c>
      <c r="S3145">
        <v>359</v>
      </c>
      <c r="T3145" t="s">
        <v>332</v>
      </c>
      <c r="U3145" t="s">
        <v>81</v>
      </c>
    </row>
    <row r="3146" spans="1:21">
      <c r="A3146" t="s">
        <v>4924</v>
      </c>
      <c r="B3146" t="s">
        <v>4754</v>
      </c>
      <c r="C3146" t="s">
        <v>54</v>
      </c>
      <c r="D3146">
        <v>210000</v>
      </c>
      <c r="E3146">
        <v>10000</v>
      </c>
      <c r="F3146">
        <v>210000</v>
      </c>
      <c r="G3146">
        <v>210000</v>
      </c>
      <c r="H3146">
        <v>2</v>
      </c>
      <c r="I3146" t="s">
        <v>585</v>
      </c>
      <c r="J3146">
        <v>62.5</v>
      </c>
      <c r="K3146">
        <v>7</v>
      </c>
      <c r="L3146">
        <v>5</v>
      </c>
      <c r="M3146" t="s">
        <v>4525</v>
      </c>
      <c r="N3146">
        <v>8</v>
      </c>
      <c r="O3146">
        <v>11</v>
      </c>
      <c r="P3146">
        <v>118283.39</v>
      </c>
      <c r="Q3146">
        <v>232352.65</v>
      </c>
      <c r="R3146">
        <v>271</v>
      </c>
      <c r="S3146">
        <v>359</v>
      </c>
      <c r="T3146" t="s">
        <v>593</v>
      </c>
      <c r="U3146" t="s">
        <v>31</v>
      </c>
    </row>
    <row r="3147" spans="1:21">
      <c r="A3147" t="s">
        <v>4925</v>
      </c>
      <c r="B3147" t="s">
        <v>4926</v>
      </c>
      <c r="C3147" t="s">
        <v>712</v>
      </c>
      <c r="D3147">
        <v>190000</v>
      </c>
      <c r="E3147">
        <v>5000</v>
      </c>
      <c r="F3147">
        <v>190000</v>
      </c>
      <c r="G3147">
        <v>190000</v>
      </c>
      <c r="H3147">
        <v>5</v>
      </c>
      <c r="I3147" t="s">
        <v>585</v>
      </c>
      <c r="J3147">
        <v>54.3</v>
      </c>
      <c r="K3147">
        <v>28</v>
      </c>
      <c r="L3147">
        <v>12</v>
      </c>
      <c r="M3147" t="s">
        <v>4525</v>
      </c>
      <c r="N3147">
        <v>7</v>
      </c>
      <c r="O3147">
        <v>10</v>
      </c>
      <c r="P3147">
        <v>118283.39</v>
      </c>
      <c r="Q3147">
        <v>232352.65</v>
      </c>
      <c r="R3147">
        <v>271</v>
      </c>
      <c r="S3147">
        <v>359</v>
      </c>
      <c r="T3147" t="s">
        <v>332</v>
      </c>
      <c r="U3147" t="s">
        <v>27</v>
      </c>
    </row>
    <row r="3148" spans="1:21">
      <c r="A3148" t="s">
        <v>4927</v>
      </c>
      <c r="B3148" t="s">
        <v>4928</v>
      </c>
      <c r="C3148" t="s">
        <v>4542</v>
      </c>
      <c r="D3148">
        <v>145000</v>
      </c>
      <c r="F3148">
        <v>145000</v>
      </c>
      <c r="G3148">
        <v>145000</v>
      </c>
      <c r="H3148">
        <v>3</v>
      </c>
      <c r="I3148" t="s">
        <v>585</v>
      </c>
      <c r="J3148">
        <v>51.03</v>
      </c>
      <c r="K3148">
        <v>37</v>
      </c>
      <c r="L3148">
        <v>4</v>
      </c>
      <c r="M3148" t="s">
        <v>4525</v>
      </c>
      <c r="N3148">
        <v>6</v>
      </c>
      <c r="O3148">
        <v>11.67</v>
      </c>
      <c r="P3148">
        <v>118283.39</v>
      </c>
      <c r="Q3148">
        <v>232352.65</v>
      </c>
      <c r="R3148">
        <v>271</v>
      </c>
      <c r="S3148">
        <v>359</v>
      </c>
      <c r="T3148" t="s">
        <v>332</v>
      </c>
      <c r="U3148" t="s">
        <v>49</v>
      </c>
    </row>
    <row r="3149" spans="1:21">
      <c r="A3149" t="s">
        <v>4929</v>
      </c>
      <c r="B3149" t="s">
        <v>4930</v>
      </c>
      <c r="C3149" t="s">
        <v>712</v>
      </c>
      <c r="D3149">
        <v>190000</v>
      </c>
      <c r="E3149">
        <v>5000</v>
      </c>
      <c r="F3149">
        <v>190000</v>
      </c>
      <c r="G3149">
        <v>190000</v>
      </c>
      <c r="H3149">
        <v>5</v>
      </c>
      <c r="I3149" t="s">
        <v>585</v>
      </c>
      <c r="J3149">
        <v>54.3</v>
      </c>
      <c r="K3149">
        <v>28</v>
      </c>
      <c r="L3149">
        <v>12</v>
      </c>
      <c r="M3149" t="s">
        <v>4525</v>
      </c>
      <c r="N3149">
        <v>7</v>
      </c>
      <c r="O3149">
        <v>10</v>
      </c>
      <c r="P3149">
        <v>118283.39</v>
      </c>
      <c r="Q3149">
        <v>232352.65</v>
      </c>
      <c r="R3149">
        <v>271</v>
      </c>
      <c r="S3149">
        <v>359</v>
      </c>
      <c r="T3149" t="s">
        <v>332</v>
      </c>
      <c r="U3149" t="s">
        <v>27</v>
      </c>
    </row>
    <row r="3150" spans="1:21">
      <c r="A3150" t="s">
        <v>4931</v>
      </c>
      <c r="B3150" t="s">
        <v>4692</v>
      </c>
      <c r="C3150" t="s">
        <v>37</v>
      </c>
      <c r="D3150">
        <v>250000</v>
      </c>
      <c r="E3150">
        <v>10500</v>
      </c>
      <c r="F3150">
        <v>250000</v>
      </c>
      <c r="G3150">
        <v>500000</v>
      </c>
      <c r="H3150">
        <v>1</v>
      </c>
      <c r="I3150" t="s">
        <v>585</v>
      </c>
      <c r="J3150">
        <v>51.03</v>
      </c>
      <c r="K3150">
        <v>0</v>
      </c>
      <c r="L3150">
        <v>3</v>
      </c>
      <c r="M3150" t="s">
        <v>4525</v>
      </c>
      <c r="N3150">
        <v>10</v>
      </c>
      <c r="O3150">
        <v>10.33</v>
      </c>
      <c r="P3150">
        <v>118283.39</v>
      </c>
      <c r="Q3150">
        <v>232352.65</v>
      </c>
      <c r="R3150">
        <v>271</v>
      </c>
      <c r="S3150">
        <v>359</v>
      </c>
      <c r="T3150" t="s">
        <v>332</v>
      </c>
      <c r="U3150" t="s">
        <v>81</v>
      </c>
    </row>
    <row r="3151" spans="1:21">
      <c r="A3151" t="s">
        <v>4932</v>
      </c>
      <c r="B3151" t="s">
        <v>4692</v>
      </c>
      <c r="C3151" t="s">
        <v>37</v>
      </c>
      <c r="D3151">
        <v>252000</v>
      </c>
      <c r="E3151">
        <v>10500</v>
      </c>
      <c r="F3151">
        <v>252000</v>
      </c>
      <c r="G3151">
        <v>504000</v>
      </c>
      <c r="H3151">
        <v>1</v>
      </c>
      <c r="I3151" t="s">
        <v>585</v>
      </c>
      <c r="J3151">
        <v>54.94</v>
      </c>
      <c r="K3151">
        <v>0</v>
      </c>
      <c r="L3151">
        <v>3</v>
      </c>
      <c r="M3151" t="s">
        <v>4525</v>
      </c>
      <c r="N3151">
        <v>10</v>
      </c>
      <c r="O3151">
        <v>10.33</v>
      </c>
      <c r="P3151">
        <v>118283.39</v>
      </c>
      <c r="Q3151">
        <v>232352.65</v>
      </c>
      <c r="R3151">
        <v>271</v>
      </c>
      <c r="S3151">
        <v>359</v>
      </c>
      <c r="T3151" t="s">
        <v>332</v>
      </c>
      <c r="U3151" t="s">
        <v>81</v>
      </c>
    </row>
    <row r="3152" spans="1:21">
      <c r="A3152" t="s">
        <v>4933</v>
      </c>
      <c r="B3152" t="s">
        <v>4692</v>
      </c>
      <c r="C3152" t="s">
        <v>37</v>
      </c>
      <c r="D3152">
        <v>258000</v>
      </c>
      <c r="E3152">
        <v>12500</v>
      </c>
      <c r="F3152">
        <v>258000</v>
      </c>
      <c r="G3152">
        <v>516000</v>
      </c>
      <c r="H3152">
        <v>2</v>
      </c>
      <c r="I3152" t="s">
        <v>585</v>
      </c>
      <c r="J3152">
        <v>54.94</v>
      </c>
      <c r="K3152">
        <v>0</v>
      </c>
      <c r="L3152">
        <v>3</v>
      </c>
      <c r="M3152" t="s">
        <v>4525</v>
      </c>
      <c r="N3152">
        <v>10</v>
      </c>
      <c r="O3152">
        <v>10.33</v>
      </c>
      <c r="P3152">
        <v>118283.39</v>
      </c>
      <c r="Q3152">
        <v>232352.65</v>
      </c>
      <c r="R3152">
        <v>271</v>
      </c>
      <c r="S3152">
        <v>359</v>
      </c>
      <c r="T3152" t="s">
        <v>332</v>
      </c>
      <c r="U3152" t="s">
        <v>81</v>
      </c>
    </row>
    <row r="3153" spans="1:21">
      <c r="A3153" t="s">
        <v>4934</v>
      </c>
      <c r="B3153" t="s">
        <v>4692</v>
      </c>
      <c r="C3153" t="s">
        <v>37</v>
      </c>
      <c r="D3153">
        <v>266000</v>
      </c>
      <c r="E3153">
        <v>12500</v>
      </c>
      <c r="F3153">
        <v>266000</v>
      </c>
      <c r="G3153">
        <v>532000</v>
      </c>
      <c r="H3153">
        <v>2</v>
      </c>
      <c r="I3153" t="s">
        <v>585</v>
      </c>
      <c r="J3153">
        <v>58.96</v>
      </c>
      <c r="K3153">
        <v>0</v>
      </c>
      <c r="L3153">
        <v>3</v>
      </c>
      <c r="M3153" t="s">
        <v>4525</v>
      </c>
      <c r="N3153">
        <v>10</v>
      </c>
      <c r="O3153">
        <v>10.33</v>
      </c>
      <c r="P3153">
        <v>118283.39</v>
      </c>
      <c r="Q3153">
        <v>232352.65</v>
      </c>
      <c r="R3153">
        <v>271</v>
      </c>
      <c r="S3153">
        <v>359</v>
      </c>
      <c r="T3153" t="s">
        <v>332</v>
      </c>
      <c r="U3153" t="s">
        <v>81</v>
      </c>
    </row>
    <row r="3154" spans="1:21">
      <c r="A3154" t="s">
        <v>4935</v>
      </c>
      <c r="B3154" t="s">
        <v>4692</v>
      </c>
      <c r="C3154" t="s">
        <v>37</v>
      </c>
      <c r="D3154">
        <v>265000</v>
      </c>
      <c r="E3154">
        <v>12500</v>
      </c>
      <c r="F3154">
        <v>265000</v>
      </c>
      <c r="G3154">
        <v>530000</v>
      </c>
      <c r="H3154">
        <v>3</v>
      </c>
      <c r="I3154" t="s">
        <v>585</v>
      </c>
      <c r="J3154">
        <v>54.94</v>
      </c>
      <c r="K3154">
        <v>0</v>
      </c>
      <c r="L3154">
        <v>3</v>
      </c>
      <c r="M3154" t="s">
        <v>4525</v>
      </c>
      <c r="N3154">
        <v>10</v>
      </c>
      <c r="O3154">
        <v>10.33</v>
      </c>
      <c r="P3154">
        <v>118283.39</v>
      </c>
      <c r="Q3154">
        <v>232352.65</v>
      </c>
      <c r="R3154">
        <v>271</v>
      </c>
      <c r="S3154">
        <v>359</v>
      </c>
      <c r="T3154" t="s">
        <v>332</v>
      </c>
      <c r="U3154" t="s">
        <v>81</v>
      </c>
    </row>
    <row r="3155" spans="1:21">
      <c r="A3155" t="s">
        <v>4936</v>
      </c>
      <c r="B3155" t="s">
        <v>4692</v>
      </c>
      <c r="C3155" t="s">
        <v>37</v>
      </c>
      <c r="D3155">
        <v>261000</v>
      </c>
      <c r="E3155">
        <v>12500</v>
      </c>
      <c r="F3155">
        <v>261000</v>
      </c>
      <c r="G3155">
        <v>522000</v>
      </c>
      <c r="H3155">
        <v>3</v>
      </c>
      <c r="I3155" t="s">
        <v>585</v>
      </c>
      <c r="J3155">
        <v>57.2</v>
      </c>
      <c r="K3155">
        <v>0</v>
      </c>
      <c r="L3155">
        <v>3</v>
      </c>
      <c r="M3155" t="s">
        <v>4525</v>
      </c>
      <c r="N3155">
        <v>10</v>
      </c>
      <c r="O3155">
        <v>10.33</v>
      </c>
      <c r="P3155">
        <v>118283.39</v>
      </c>
      <c r="Q3155">
        <v>232352.65</v>
      </c>
      <c r="R3155">
        <v>271</v>
      </c>
      <c r="S3155">
        <v>359</v>
      </c>
      <c r="T3155" t="s">
        <v>332</v>
      </c>
      <c r="U3155" t="s">
        <v>81</v>
      </c>
    </row>
    <row r="3156" spans="1:21">
      <c r="A3156" t="s">
        <v>4937</v>
      </c>
      <c r="B3156" t="s">
        <v>4938</v>
      </c>
      <c r="C3156" t="s">
        <v>4547</v>
      </c>
      <c r="D3156">
        <v>175000</v>
      </c>
      <c r="E3156">
        <v>4000</v>
      </c>
      <c r="F3156">
        <v>175000</v>
      </c>
      <c r="G3156">
        <v>437500</v>
      </c>
      <c r="H3156">
        <v>2</v>
      </c>
      <c r="I3156" t="s">
        <v>585</v>
      </c>
      <c r="J3156">
        <v>53.67</v>
      </c>
      <c r="K3156">
        <v>15</v>
      </c>
      <c r="L3156">
        <v>3</v>
      </c>
      <c r="M3156" t="s">
        <v>4525</v>
      </c>
      <c r="N3156">
        <v>9</v>
      </c>
      <c r="O3156">
        <v>11.33</v>
      </c>
      <c r="P3156">
        <v>118283.39</v>
      </c>
      <c r="Q3156">
        <v>232352.65</v>
      </c>
      <c r="R3156">
        <v>271</v>
      </c>
      <c r="S3156">
        <v>359</v>
      </c>
      <c r="T3156" t="s">
        <v>332</v>
      </c>
      <c r="U3156" t="s">
        <v>90</v>
      </c>
    </row>
    <row r="3157" spans="1:21">
      <c r="A3157" t="s">
        <v>4939</v>
      </c>
      <c r="B3157" t="s">
        <v>4940</v>
      </c>
      <c r="C3157" t="s">
        <v>4542</v>
      </c>
      <c r="D3157">
        <v>170000</v>
      </c>
      <c r="E3157">
        <v>15000</v>
      </c>
      <c r="F3157">
        <v>170000</v>
      </c>
      <c r="G3157">
        <v>170000</v>
      </c>
      <c r="H3157">
        <v>3</v>
      </c>
      <c r="I3157" t="s">
        <v>585</v>
      </c>
      <c r="J3157">
        <v>53</v>
      </c>
      <c r="K3157">
        <v>24</v>
      </c>
      <c r="L3157">
        <v>4</v>
      </c>
      <c r="M3157" t="s">
        <v>4525</v>
      </c>
      <c r="N3157">
        <v>3</v>
      </c>
      <c r="O3157">
        <v>11.67</v>
      </c>
      <c r="P3157">
        <v>118283.39</v>
      </c>
      <c r="Q3157">
        <v>232352.65</v>
      </c>
      <c r="R3157">
        <v>271</v>
      </c>
      <c r="S3157">
        <v>359</v>
      </c>
      <c r="T3157" t="s">
        <v>332</v>
      </c>
      <c r="U3157" t="s">
        <v>27</v>
      </c>
    </row>
    <row r="3158" spans="1:21">
      <c r="A3158" t="s">
        <v>4941</v>
      </c>
      <c r="B3158" t="s">
        <v>4942</v>
      </c>
      <c r="C3158" t="s">
        <v>4539</v>
      </c>
      <c r="D3158">
        <v>244000</v>
      </c>
      <c r="F3158">
        <v>244000</v>
      </c>
      <c r="G3158">
        <v>488000</v>
      </c>
      <c r="H3158">
        <v>4</v>
      </c>
      <c r="I3158" t="s">
        <v>585</v>
      </c>
      <c r="J3158">
        <v>75.14</v>
      </c>
      <c r="K3158">
        <v>6</v>
      </c>
      <c r="L3158">
        <v>6</v>
      </c>
      <c r="M3158" t="s">
        <v>4525</v>
      </c>
      <c r="N3158">
        <v>3</v>
      </c>
      <c r="O3158">
        <v>11</v>
      </c>
      <c r="P3158">
        <v>118283.39</v>
      </c>
      <c r="Q3158">
        <v>232352.65</v>
      </c>
      <c r="R3158">
        <v>271</v>
      </c>
      <c r="S3158">
        <v>359</v>
      </c>
      <c r="T3158" t="s">
        <v>596</v>
      </c>
      <c r="U3158" t="s">
        <v>31</v>
      </c>
    </row>
    <row r="3159" spans="1:21">
      <c r="A3159" t="s">
        <v>4943</v>
      </c>
      <c r="B3159" t="s">
        <v>4790</v>
      </c>
      <c r="C3159" t="s">
        <v>54</v>
      </c>
      <c r="D3159">
        <v>210000</v>
      </c>
      <c r="E3159">
        <v>10000</v>
      </c>
      <c r="F3159">
        <v>210000</v>
      </c>
      <c r="G3159">
        <v>210000</v>
      </c>
      <c r="H3159">
        <v>2</v>
      </c>
      <c r="I3159" t="s">
        <v>585</v>
      </c>
      <c r="J3159">
        <v>62.5</v>
      </c>
      <c r="K3159">
        <v>7</v>
      </c>
      <c r="L3159">
        <v>5</v>
      </c>
      <c r="M3159" t="s">
        <v>4525</v>
      </c>
      <c r="N3159">
        <v>7</v>
      </c>
      <c r="O3159">
        <v>10.33</v>
      </c>
      <c r="P3159">
        <v>118283.39</v>
      </c>
      <c r="Q3159">
        <v>232352.65</v>
      </c>
      <c r="R3159">
        <v>271</v>
      </c>
      <c r="S3159">
        <v>359</v>
      </c>
      <c r="T3159" t="s">
        <v>593</v>
      </c>
      <c r="U3159" t="s">
        <v>31</v>
      </c>
    </row>
    <row r="3160" spans="1:21">
      <c r="A3160" t="s">
        <v>4944</v>
      </c>
      <c r="B3160" t="s">
        <v>4945</v>
      </c>
      <c r="C3160" t="s">
        <v>54</v>
      </c>
      <c r="D3160">
        <v>367000</v>
      </c>
      <c r="F3160">
        <v>367000</v>
      </c>
      <c r="G3160">
        <v>367000</v>
      </c>
      <c r="H3160">
        <v>1</v>
      </c>
      <c r="I3160" t="s">
        <v>642</v>
      </c>
      <c r="J3160">
        <v>80.41</v>
      </c>
      <c r="K3160">
        <v>4</v>
      </c>
      <c r="L3160">
        <v>3</v>
      </c>
      <c r="M3160" t="s">
        <v>4525</v>
      </c>
      <c r="N3160">
        <v>9</v>
      </c>
      <c r="O3160">
        <v>11</v>
      </c>
      <c r="P3160">
        <v>118283.39</v>
      </c>
      <c r="Q3160">
        <v>282153.84999999998</v>
      </c>
      <c r="R3160">
        <v>271</v>
      </c>
      <c r="S3160">
        <v>26</v>
      </c>
      <c r="T3160" t="s">
        <v>413</v>
      </c>
      <c r="U3160" t="s">
        <v>31</v>
      </c>
    </row>
    <row r="3161" spans="1:21">
      <c r="A3161" t="s">
        <v>4944</v>
      </c>
      <c r="B3161" t="s">
        <v>4945</v>
      </c>
      <c r="C3161" t="s">
        <v>54</v>
      </c>
      <c r="D3161">
        <v>367000</v>
      </c>
      <c r="F3161">
        <v>367000</v>
      </c>
      <c r="G3161">
        <v>367000</v>
      </c>
      <c r="H3161">
        <v>2</v>
      </c>
      <c r="I3161" t="s">
        <v>642</v>
      </c>
      <c r="J3161">
        <v>80.41</v>
      </c>
      <c r="K3161">
        <v>4</v>
      </c>
      <c r="L3161">
        <v>3</v>
      </c>
      <c r="M3161" t="s">
        <v>4525</v>
      </c>
      <c r="N3161">
        <v>9</v>
      </c>
      <c r="O3161">
        <v>11</v>
      </c>
      <c r="P3161">
        <v>118283.39</v>
      </c>
      <c r="Q3161">
        <v>282153.84999999998</v>
      </c>
      <c r="R3161">
        <v>271</v>
      </c>
      <c r="S3161">
        <v>26</v>
      </c>
      <c r="T3161" t="s">
        <v>413</v>
      </c>
      <c r="U3161" t="s">
        <v>31</v>
      </c>
    </row>
    <row r="3162" spans="1:21">
      <c r="A3162" t="s">
        <v>4944</v>
      </c>
      <c r="B3162" t="s">
        <v>4945</v>
      </c>
      <c r="C3162" t="s">
        <v>54</v>
      </c>
      <c r="D3162">
        <v>367000</v>
      </c>
      <c r="F3162">
        <v>367000</v>
      </c>
      <c r="G3162">
        <v>367000</v>
      </c>
      <c r="H3162">
        <v>3</v>
      </c>
      <c r="I3162" t="s">
        <v>642</v>
      </c>
      <c r="J3162">
        <v>80.41</v>
      </c>
      <c r="K3162">
        <v>4</v>
      </c>
      <c r="L3162">
        <v>3</v>
      </c>
      <c r="M3162" t="s">
        <v>4525</v>
      </c>
      <c r="N3162">
        <v>9</v>
      </c>
      <c r="O3162">
        <v>11</v>
      </c>
      <c r="P3162">
        <v>118283.39</v>
      </c>
      <c r="Q3162">
        <v>282153.84999999998</v>
      </c>
      <c r="R3162">
        <v>271</v>
      </c>
      <c r="S3162">
        <v>26</v>
      </c>
      <c r="T3162" t="s">
        <v>413</v>
      </c>
      <c r="U3162" t="s">
        <v>31</v>
      </c>
    </row>
    <row r="3163" spans="1:21">
      <c r="A3163" t="s">
        <v>4946</v>
      </c>
      <c r="B3163" t="s">
        <v>4945</v>
      </c>
      <c r="C3163" t="s">
        <v>54</v>
      </c>
      <c r="D3163">
        <v>367000</v>
      </c>
      <c r="F3163">
        <v>367000</v>
      </c>
      <c r="G3163">
        <v>367000</v>
      </c>
      <c r="H3163">
        <v>1</v>
      </c>
      <c r="I3163" t="s">
        <v>642</v>
      </c>
      <c r="J3163">
        <v>80.41</v>
      </c>
      <c r="K3163">
        <v>4</v>
      </c>
      <c r="L3163">
        <v>3</v>
      </c>
      <c r="M3163" t="s">
        <v>4525</v>
      </c>
      <c r="N3163">
        <v>9</v>
      </c>
      <c r="O3163">
        <v>11</v>
      </c>
      <c r="P3163">
        <v>118283.39</v>
      </c>
      <c r="Q3163">
        <v>282153.84999999998</v>
      </c>
      <c r="R3163">
        <v>271</v>
      </c>
      <c r="S3163">
        <v>26</v>
      </c>
      <c r="T3163" t="s">
        <v>413</v>
      </c>
      <c r="U3163" t="s">
        <v>31</v>
      </c>
    </row>
    <row r="3164" spans="1:21">
      <c r="A3164" t="s">
        <v>4947</v>
      </c>
      <c r="B3164" t="s">
        <v>4948</v>
      </c>
      <c r="C3164" t="s">
        <v>4547</v>
      </c>
      <c r="D3164">
        <v>290000</v>
      </c>
      <c r="E3164">
        <v>10000</v>
      </c>
      <c r="F3164">
        <v>580000</v>
      </c>
      <c r="G3164">
        <v>290000</v>
      </c>
      <c r="H3164">
        <v>2</v>
      </c>
      <c r="I3164" t="s">
        <v>642</v>
      </c>
      <c r="J3164">
        <v>66.680000000000007</v>
      </c>
      <c r="K3164">
        <v>9</v>
      </c>
      <c r="L3164">
        <v>5</v>
      </c>
      <c r="M3164" t="s">
        <v>4525</v>
      </c>
      <c r="N3164">
        <v>10</v>
      </c>
      <c r="O3164">
        <v>10.5</v>
      </c>
      <c r="P3164">
        <v>118283.39</v>
      </c>
      <c r="Q3164">
        <v>282153.84999999998</v>
      </c>
      <c r="R3164">
        <v>271</v>
      </c>
      <c r="S3164">
        <v>26</v>
      </c>
      <c r="T3164" t="s">
        <v>593</v>
      </c>
      <c r="U3164" t="s">
        <v>31</v>
      </c>
    </row>
    <row r="3165" spans="1:21">
      <c r="A3165" t="s">
        <v>4949</v>
      </c>
      <c r="B3165" t="s">
        <v>4950</v>
      </c>
      <c r="C3165" t="s">
        <v>54</v>
      </c>
      <c r="D3165">
        <v>367000</v>
      </c>
      <c r="F3165">
        <v>367000</v>
      </c>
      <c r="G3165">
        <v>367000</v>
      </c>
      <c r="H3165">
        <v>1</v>
      </c>
      <c r="I3165" t="s">
        <v>642</v>
      </c>
      <c r="J3165">
        <v>80.41</v>
      </c>
      <c r="K3165">
        <v>4</v>
      </c>
      <c r="L3165">
        <v>3</v>
      </c>
      <c r="M3165" t="s">
        <v>4525</v>
      </c>
      <c r="N3165">
        <v>9</v>
      </c>
      <c r="O3165">
        <v>11</v>
      </c>
      <c r="P3165">
        <v>118283.39</v>
      </c>
      <c r="Q3165">
        <v>282153.84999999998</v>
      </c>
      <c r="R3165">
        <v>271</v>
      </c>
      <c r="S3165">
        <v>26</v>
      </c>
      <c r="T3165" t="s">
        <v>413</v>
      </c>
      <c r="U3165" t="s">
        <v>31</v>
      </c>
    </row>
    <row r="3166" spans="1:21">
      <c r="A3166" t="s">
        <v>4951</v>
      </c>
      <c r="B3166" t="s">
        <v>4945</v>
      </c>
      <c r="C3166" t="s">
        <v>54</v>
      </c>
      <c r="D3166">
        <v>367000</v>
      </c>
      <c r="F3166">
        <v>367000</v>
      </c>
      <c r="G3166">
        <v>367000</v>
      </c>
      <c r="H3166">
        <v>3</v>
      </c>
      <c r="I3166" t="s">
        <v>654</v>
      </c>
      <c r="J3166">
        <v>80.41</v>
      </c>
      <c r="K3166">
        <v>4</v>
      </c>
      <c r="L3166">
        <v>3</v>
      </c>
      <c r="M3166" t="s">
        <v>4525</v>
      </c>
      <c r="N3166">
        <v>9</v>
      </c>
      <c r="O3166">
        <v>11</v>
      </c>
      <c r="P3166">
        <v>118283.39</v>
      </c>
      <c r="Q3166">
        <v>288705.81</v>
      </c>
      <c r="R3166">
        <v>271</v>
      </c>
      <c r="S3166">
        <v>155</v>
      </c>
      <c r="T3166" t="s">
        <v>413</v>
      </c>
      <c r="U3166" t="s">
        <v>31</v>
      </c>
    </row>
    <row r="3167" spans="1:21">
      <c r="A3167" t="s">
        <v>4952</v>
      </c>
      <c r="B3167" t="s">
        <v>4541</v>
      </c>
      <c r="C3167" t="s">
        <v>4542</v>
      </c>
      <c r="D3167">
        <v>375000</v>
      </c>
      <c r="E3167">
        <v>25000</v>
      </c>
      <c r="F3167">
        <v>375000</v>
      </c>
      <c r="H3167">
        <v>18</v>
      </c>
      <c r="I3167" t="s">
        <v>654</v>
      </c>
      <c r="J3167">
        <v>62.7</v>
      </c>
      <c r="K3167">
        <v>2</v>
      </c>
      <c r="L3167">
        <v>19</v>
      </c>
      <c r="M3167" t="s">
        <v>4525</v>
      </c>
      <c r="N3167">
        <v>6</v>
      </c>
      <c r="O3167">
        <v>12</v>
      </c>
      <c r="P3167">
        <v>118283.39</v>
      </c>
      <c r="Q3167">
        <v>288705.81</v>
      </c>
      <c r="R3167">
        <v>271</v>
      </c>
      <c r="S3167">
        <v>155</v>
      </c>
      <c r="T3167" t="s">
        <v>593</v>
      </c>
      <c r="U3167" t="s">
        <v>31</v>
      </c>
    </row>
    <row r="3168" spans="1:21">
      <c r="A3168" t="s">
        <v>4953</v>
      </c>
      <c r="B3168" t="s">
        <v>4948</v>
      </c>
      <c r="C3168" t="s">
        <v>4547</v>
      </c>
      <c r="D3168">
        <v>292000</v>
      </c>
      <c r="E3168">
        <v>19890</v>
      </c>
      <c r="F3168">
        <v>292000</v>
      </c>
      <c r="G3168">
        <v>292000</v>
      </c>
      <c r="H3168">
        <v>1</v>
      </c>
      <c r="I3168" t="s">
        <v>654</v>
      </c>
      <c r="J3168">
        <v>68.98</v>
      </c>
      <c r="K3168">
        <v>9</v>
      </c>
      <c r="L3168">
        <v>5</v>
      </c>
      <c r="M3168" t="s">
        <v>4525</v>
      </c>
      <c r="N3168">
        <v>10</v>
      </c>
      <c r="O3168">
        <v>10.5</v>
      </c>
      <c r="P3168">
        <v>118283.39</v>
      </c>
      <c r="Q3168">
        <v>288705.81</v>
      </c>
      <c r="R3168">
        <v>271</v>
      </c>
      <c r="S3168">
        <v>155</v>
      </c>
      <c r="T3168" t="s">
        <v>593</v>
      </c>
      <c r="U3168" t="s">
        <v>31</v>
      </c>
    </row>
    <row r="3169" spans="1:21">
      <c r="A3169" t="s">
        <v>4954</v>
      </c>
      <c r="B3169" t="s">
        <v>4948</v>
      </c>
      <c r="C3169" t="s">
        <v>4547</v>
      </c>
      <c r="D3169">
        <v>310000</v>
      </c>
      <c r="E3169">
        <v>19890</v>
      </c>
      <c r="F3169">
        <v>620000</v>
      </c>
      <c r="G3169">
        <v>465000</v>
      </c>
      <c r="H3169">
        <v>2</v>
      </c>
      <c r="I3169" t="s">
        <v>654</v>
      </c>
      <c r="J3169">
        <v>68.98</v>
      </c>
      <c r="K3169">
        <v>9</v>
      </c>
      <c r="L3169">
        <v>5</v>
      </c>
      <c r="M3169" t="s">
        <v>4525</v>
      </c>
      <c r="N3169">
        <v>10</v>
      </c>
      <c r="O3169">
        <v>10.5</v>
      </c>
      <c r="P3169">
        <v>118283.39</v>
      </c>
      <c r="Q3169">
        <v>288705.81</v>
      </c>
      <c r="R3169">
        <v>271</v>
      </c>
      <c r="S3169">
        <v>155</v>
      </c>
      <c r="T3169" t="s">
        <v>593</v>
      </c>
      <c r="U3169" t="s">
        <v>31</v>
      </c>
    </row>
    <row r="3170" spans="1:21">
      <c r="A3170" t="s">
        <v>4955</v>
      </c>
      <c r="B3170" t="s">
        <v>4948</v>
      </c>
      <c r="C3170" t="s">
        <v>4547</v>
      </c>
      <c r="D3170">
        <v>328000</v>
      </c>
      <c r="E3170">
        <v>19890</v>
      </c>
      <c r="F3170">
        <v>656000</v>
      </c>
      <c r="G3170">
        <v>492000</v>
      </c>
      <c r="H3170">
        <v>2</v>
      </c>
      <c r="I3170" t="s">
        <v>654</v>
      </c>
      <c r="J3170">
        <v>68.98</v>
      </c>
      <c r="K3170">
        <v>9</v>
      </c>
      <c r="L3170">
        <v>5</v>
      </c>
      <c r="M3170" t="s">
        <v>4525</v>
      </c>
      <c r="N3170">
        <v>10</v>
      </c>
      <c r="O3170">
        <v>10.5</v>
      </c>
      <c r="P3170">
        <v>118283.39</v>
      </c>
      <c r="Q3170">
        <v>288705.81</v>
      </c>
      <c r="R3170">
        <v>271</v>
      </c>
      <c r="S3170">
        <v>155</v>
      </c>
      <c r="T3170" t="s">
        <v>593</v>
      </c>
      <c r="U3170" t="s">
        <v>31</v>
      </c>
    </row>
    <row r="3171" spans="1:21">
      <c r="A3171" t="s">
        <v>4956</v>
      </c>
      <c r="B3171" t="s">
        <v>4948</v>
      </c>
      <c r="C3171" t="s">
        <v>4547</v>
      </c>
      <c r="D3171">
        <v>335100</v>
      </c>
      <c r="E3171">
        <v>19800</v>
      </c>
      <c r="F3171">
        <v>670200</v>
      </c>
      <c r="G3171">
        <v>502700</v>
      </c>
      <c r="H3171">
        <v>2</v>
      </c>
      <c r="I3171" t="s">
        <v>654</v>
      </c>
      <c r="J3171">
        <v>68.98</v>
      </c>
      <c r="K3171">
        <v>9</v>
      </c>
      <c r="L3171">
        <v>5</v>
      </c>
      <c r="M3171" t="s">
        <v>4525</v>
      </c>
      <c r="N3171">
        <v>10</v>
      </c>
      <c r="O3171">
        <v>10.5</v>
      </c>
      <c r="P3171">
        <v>118283.39</v>
      </c>
      <c r="Q3171">
        <v>288705.81</v>
      </c>
      <c r="R3171">
        <v>271</v>
      </c>
      <c r="S3171">
        <v>155</v>
      </c>
      <c r="T3171" t="s">
        <v>593</v>
      </c>
      <c r="U3171" t="s">
        <v>31</v>
      </c>
    </row>
    <row r="3172" spans="1:21">
      <c r="A3172" t="s">
        <v>4957</v>
      </c>
      <c r="B3172" t="s">
        <v>4692</v>
      </c>
      <c r="C3172" t="s">
        <v>37</v>
      </c>
      <c r="D3172">
        <v>278000</v>
      </c>
      <c r="E3172">
        <v>12500</v>
      </c>
      <c r="F3172">
        <v>278000</v>
      </c>
      <c r="G3172">
        <v>556000</v>
      </c>
      <c r="H3172">
        <v>2</v>
      </c>
      <c r="I3172" t="s">
        <v>654</v>
      </c>
      <c r="J3172">
        <v>68.75</v>
      </c>
      <c r="K3172">
        <v>0</v>
      </c>
      <c r="L3172">
        <v>3</v>
      </c>
      <c r="M3172" t="s">
        <v>4525</v>
      </c>
      <c r="N3172">
        <v>10</v>
      </c>
      <c r="O3172">
        <v>10.33</v>
      </c>
      <c r="P3172">
        <v>118283.39</v>
      </c>
      <c r="Q3172">
        <v>288705.81</v>
      </c>
      <c r="R3172">
        <v>271</v>
      </c>
      <c r="S3172">
        <v>155</v>
      </c>
      <c r="T3172" t="s">
        <v>593</v>
      </c>
      <c r="U3172" t="s">
        <v>81</v>
      </c>
    </row>
    <row r="3173" spans="1:21">
      <c r="A3173" t="s">
        <v>4958</v>
      </c>
      <c r="B3173" t="s">
        <v>4692</v>
      </c>
      <c r="C3173" t="s">
        <v>37</v>
      </c>
      <c r="D3173">
        <v>281000</v>
      </c>
      <c r="E3173">
        <v>12500</v>
      </c>
      <c r="F3173">
        <v>281000</v>
      </c>
      <c r="G3173">
        <v>562000</v>
      </c>
      <c r="H3173">
        <v>3</v>
      </c>
      <c r="I3173" t="s">
        <v>654</v>
      </c>
      <c r="J3173">
        <v>66.849999999999994</v>
      </c>
      <c r="K3173">
        <v>0</v>
      </c>
      <c r="L3173">
        <v>3</v>
      </c>
      <c r="M3173" t="s">
        <v>4525</v>
      </c>
      <c r="N3173">
        <v>10</v>
      </c>
      <c r="O3173">
        <v>10.33</v>
      </c>
      <c r="P3173">
        <v>118283.39</v>
      </c>
      <c r="Q3173">
        <v>288705.81</v>
      </c>
      <c r="R3173">
        <v>271</v>
      </c>
      <c r="S3173">
        <v>155</v>
      </c>
      <c r="T3173" t="s">
        <v>593</v>
      </c>
      <c r="U3173" t="s">
        <v>81</v>
      </c>
    </row>
    <row r="3174" spans="1:21">
      <c r="A3174" t="s">
        <v>4959</v>
      </c>
      <c r="B3174" t="s">
        <v>4960</v>
      </c>
      <c r="C3174" t="s">
        <v>4542</v>
      </c>
      <c r="D3174">
        <v>240000</v>
      </c>
      <c r="E3174">
        <v>10000</v>
      </c>
      <c r="F3174">
        <v>240000</v>
      </c>
      <c r="G3174">
        <v>240000</v>
      </c>
      <c r="H3174">
        <v>2</v>
      </c>
      <c r="I3174" t="s">
        <v>654</v>
      </c>
      <c r="J3174">
        <v>82.84</v>
      </c>
      <c r="K3174">
        <v>29</v>
      </c>
      <c r="L3174">
        <v>6</v>
      </c>
      <c r="M3174" t="s">
        <v>4525</v>
      </c>
      <c r="N3174">
        <v>4</v>
      </c>
      <c r="O3174">
        <v>11.67</v>
      </c>
      <c r="P3174">
        <v>118283.39</v>
      </c>
      <c r="Q3174">
        <v>288705.81</v>
      </c>
      <c r="R3174">
        <v>271</v>
      </c>
      <c r="S3174">
        <v>155</v>
      </c>
      <c r="T3174" t="s">
        <v>413</v>
      </c>
      <c r="U3174" t="s">
        <v>27</v>
      </c>
    </row>
    <row r="3175" spans="1:21">
      <c r="A3175" t="s">
        <v>4961</v>
      </c>
      <c r="B3175" t="s">
        <v>4962</v>
      </c>
      <c r="C3175" t="s">
        <v>4542</v>
      </c>
      <c r="D3175">
        <v>240000</v>
      </c>
      <c r="E3175">
        <v>10000</v>
      </c>
      <c r="F3175">
        <v>240000</v>
      </c>
      <c r="G3175">
        <v>240000</v>
      </c>
      <c r="H3175">
        <v>2</v>
      </c>
      <c r="I3175" t="s">
        <v>654</v>
      </c>
      <c r="J3175">
        <v>82.84</v>
      </c>
      <c r="K3175">
        <v>29</v>
      </c>
      <c r="L3175">
        <v>6</v>
      </c>
      <c r="M3175" t="s">
        <v>4525</v>
      </c>
      <c r="N3175">
        <v>4</v>
      </c>
      <c r="O3175">
        <v>11.67</v>
      </c>
      <c r="P3175">
        <v>118283.39</v>
      </c>
      <c r="Q3175">
        <v>288705.81</v>
      </c>
      <c r="R3175">
        <v>271</v>
      </c>
      <c r="S3175">
        <v>155</v>
      </c>
      <c r="T3175" t="s">
        <v>413</v>
      </c>
      <c r="U3175" t="s">
        <v>27</v>
      </c>
    </row>
    <row r="3176" spans="1:21">
      <c r="A3176" t="s">
        <v>4963</v>
      </c>
      <c r="B3176" t="s">
        <v>4964</v>
      </c>
      <c r="C3176" t="s">
        <v>4965</v>
      </c>
      <c r="D3176">
        <v>69000</v>
      </c>
      <c r="E3176">
        <v>4000</v>
      </c>
      <c r="F3176">
        <v>69000</v>
      </c>
      <c r="H3176">
        <v>4</v>
      </c>
      <c r="I3176" t="s">
        <v>432</v>
      </c>
      <c r="J3176">
        <v>25</v>
      </c>
      <c r="K3176">
        <v>50</v>
      </c>
      <c r="L3176">
        <v>4</v>
      </c>
      <c r="M3176" t="s">
        <v>4966</v>
      </c>
      <c r="N3176">
        <v>4</v>
      </c>
      <c r="O3176">
        <v>9.67</v>
      </c>
      <c r="P3176">
        <v>69000</v>
      </c>
      <c r="Q3176">
        <v>77692.34</v>
      </c>
      <c r="R3176">
        <v>1</v>
      </c>
      <c r="S3176">
        <v>1071</v>
      </c>
      <c r="T3176" t="s">
        <v>34</v>
      </c>
      <c r="U3176" t="s">
        <v>42</v>
      </c>
    </row>
    <row r="3177" spans="1:21">
      <c r="A3177" t="s">
        <v>4967</v>
      </c>
      <c r="B3177" t="s">
        <v>4968</v>
      </c>
      <c r="C3177" t="s">
        <v>4969</v>
      </c>
      <c r="D3177">
        <v>136000</v>
      </c>
      <c r="E3177">
        <v>4000</v>
      </c>
      <c r="F3177">
        <v>136000</v>
      </c>
      <c r="G3177">
        <v>136000</v>
      </c>
      <c r="H3177">
        <v>2</v>
      </c>
      <c r="I3177" t="s">
        <v>24</v>
      </c>
      <c r="J3177">
        <v>36</v>
      </c>
      <c r="K3177">
        <v>25</v>
      </c>
      <c r="L3177">
        <v>2</v>
      </c>
      <c r="M3177" t="s">
        <v>4970</v>
      </c>
      <c r="N3177">
        <v>3</v>
      </c>
      <c r="O3177">
        <v>10.67</v>
      </c>
      <c r="P3177">
        <v>98022.29</v>
      </c>
      <c r="Q3177">
        <v>123325.96</v>
      </c>
      <c r="R3177">
        <v>323</v>
      </c>
      <c r="S3177">
        <v>339</v>
      </c>
      <c r="T3177" t="s">
        <v>26</v>
      </c>
      <c r="U3177" t="s">
        <v>27</v>
      </c>
    </row>
    <row r="3178" spans="1:21">
      <c r="A3178" t="s">
        <v>4971</v>
      </c>
      <c r="B3178" t="s">
        <v>4972</v>
      </c>
      <c r="C3178" t="s">
        <v>4973</v>
      </c>
      <c r="D3178">
        <v>129000</v>
      </c>
      <c r="E3178">
        <v>6000</v>
      </c>
      <c r="F3178">
        <v>129000</v>
      </c>
      <c r="G3178">
        <v>129000</v>
      </c>
      <c r="H3178">
        <v>2</v>
      </c>
      <c r="I3178" t="s">
        <v>24</v>
      </c>
      <c r="J3178">
        <v>34.380000000000003</v>
      </c>
      <c r="K3178">
        <v>5</v>
      </c>
      <c r="L3178">
        <v>4</v>
      </c>
      <c r="M3178" t="s">
        <v>4970</v>
      </c>
      <c r="N3178">
        <v>5</v>
      </c>
      <c r="O3178">
        <v>10</v>
      </c>
      <c r="P3178">
        <v>98022.29</v>
      </c>
      <c r="Q3178">
        <v>123325.96</v>
      </c>
      <c r="R3178">
        <v>323</v>
      </c>
      <c r="S3178">
        <v>339</v>
      </c>
      <c r="T3178" t="s">
        <v>26</v>
      </c>
      <c r="U3178" t="s">
        <v>31</v>
      </c>
    </row>
    <row r="3179" spans="1:21">
      <c r="A3179" t="s">
        <v>4974</v>
      </c>
      <c r="B3179" t="s">
        <v>4975</v>
      </c>
      <c r="C3179" t="s">
        <v>4969</v>
      </c>
      <c r="D3179">
        <v>105000</v>
      </c>
      <c r="E3179">
        <v>5000</v>
      </c>
      <c r="F3179">
        <v>105000</v>
      </c>
      <c r="G3179">
        <v>105000</v>
      </c>
      <c r="H3179">
        <v>3</v>
      </c>
      <c r="I3179" t="s">
        <v>24</v>
      </c>
      <c r="J3179">
        <v>31.85</v>
      </c>
      <c r="K3179">
        <v>22</v>
      </c>
      <c r="L3179">
        <v>4</v>
      </c>
      <c r="M3179" t="s">
        <v>4970</v>
      </c>
      <c r="N3179">
        <v>1</v>
      </c>
      <c r="O3179">
        <v>10.33</v>
      </c>
      <c r="P3179">
        <v>98022.29</v>
      </c>
      <c r="Q3179">
        <v>123325.96</v>
      </c>
      <c r="R3179">
        <v>323</v>
      </c>
      <c r="S3179">
        <v>339</v>
      </c>
      <c r="T3179" t="s">
        <v>26</v>
      </c>
      <c r="U3179" t="s">
        <v>27</v>
      </c>
    </row>
    <row r="3180" spans="1:21">
      <c r="A3180" t="s">
        <v>4976</v>
      </c>
      <c r="B3180" t="s">
        <v>4977</v>
      </c>
      <c r="C3180" t="s">
        <v>1873</v>
      </c>
      <c r="D3180">
        <v>97000</v>
      </c>
      <c r="E3180">
        <v>3000</v>
      </c>
      <c r="F3180">
        <v>97000</v>
      </c>
      <c r="G3180">
        <v>97000</v>
      </c>
      <c r="H3180">
        <v>2</v>
      </c>
      <c r="I3180" t="s">
        <v>24</v>
      </c>
      <c r="J3180">
        <v>31.34</v>
      </c>
      <c r="K3180">
        <v>18</v>
      </c>
      <c r="L3180">
        <v>3</v>
      </c>
      <c r="M3180" t="s">
        <v>4970</v>
      </c>
      <c r="N3180">
        <v>5</v>
      </c>
      <c r="O3180">
        <v>9.67</v>
      </c>
      <c r="P3180">
        <v>98022.29</v>
      </c>
      <c r="Q3180">
        <v>123325.96</v>
      </c>
      <c r="R3180">
        <v>323</v>
      </c>
      <c r="S3180">
        <v>339</v>
      </c>
      <c r="T3180" t="s">
        <v>26</v>
      </c>
      <c r="U3180" t="s">
        <v>90</v>
      </c>
    </row>
    <row r="3181" spans="1:21">
      <c r="A3181" t="s">
        <v>4978</v>
      </c>
      <c r="B3181" t="s">
        <v>4979</v>
      </c>
      <c r="C3181" t="s">
        <v>1743</v>
      </c>
      <c r="D3181">
        <v>100000</v>
      </c>
      <c r="F3181">
        <v>100000</v>
      </c>
      <c r="H3181">
        <v>2</v>
      </c>
      <c r="I3181" t="s">
        <v>24</v>
      </c>
      <c r="J3181">
        <v>33.979999999999997</v>
      </c>
      <c r="K3181">
        <v>41</v>
      </c>
      <c r="L3181">
        <v>5</v>
      </c>
      <c r="M3181" t="s">
        <v>4970</v>
      </c>
      <c r="N3181">
        <v>9</v>
      </c>
      <c r="O3181">
        <v>12.67</v>
      </c>
      <c r="P3181">
        <v>98022.29</v>
      </c>
      <c r="Q3181">
        <v>123325.96</v>
      </c>
      <c r="R3181">
        <v>323</v>
      </c>
      <c r="S3181">
        <v>339</v>
      </c>
      <c r="T3181" t="s">
        <v>26</v>
      </c>
      <c r="U3181" t="s">
        <v>42</v>
      </c>
    </row>
    <row r="3182" spans="1:21">
      <c r="A3182" t="s">
        <v>4980</v>
      </c>
      <c r="B3182" t="s">
        <v>4979</v>
      </c>
      <c r="C3182" t="s">
        <v>1743</v>
      </c>
      <c r="D3182">
        <v>140000</v>
      </c>
      <c r="F3182">
        <v>140000</v>
      </c>
      <c r="H3182">
        <v>4</v>
      </c>
      <c r="I3182" t="s">
        <v>24</v>
      </c>
      <c r="J3182">
        <v>33.979999999999997</v>
      </c>
      <c r="K3182">
        <v>41</v>
      </c>
      <c r="L3182">
        <v>5</v>
      </c>
      <c r="M3182" t="s">
        <v>4970</v>
      </c>
      <c r="N3182">
        <v>9</v>
      </c>
      <c r="O3182">
        <v>12.67</v>
      </c>
      <c r="P3182">
        <v>98022.29</v>
      </c>
      <c r="Q3182">
        <v>123325.96</v>
      </c>
      <c r="R3182">
        <v>323</v>
      </c>
      <c r="S3182">
        <v>339</v>
      </c>
      <c r="T3182" t="s">
        <v>26</v>
      </c>
      <c r="U3182" t="s">
        <v>42</v>
      </c>
    </row>
    <row r="3183" spans="1:21">
      <c r="A3183" t="s">
        <v>4981</v>
      </c>
      <c r="B3183" t="s">
        <v>4979</v>
      </c>
      <c r="C3183" t="s">
        <v>1743</v>
      </c>
      <c r="D3183">
        <v>110000</v>
      </c>
      <c r="F3183">
        <v>110000</v>
      </c>
      <c r="H3183">
        <v>4</v>
      </c>
      <c r="I3183" t="s">
        <v>24</v>
      </c>
      <c r="J3183">
        <v>34.96</v>
      </c>
      <c r="K3183">
        <v>41</v>
      </c>
      <c r="L3183">
        <v>5</v>
      </c>
      <c r="M3183" t="s">
        <v>4970</v>
      </c>
      <c r="N3183">
        <v>9</v>
      </c>
      <c r="O3183">
        <v>12.67</v>
      </c>
      <c r="P3183">
        <v>98022.29</v>
      </c>
      <c r="Q3183">
        <v>123325.96</v>
      </c>
      <c r="R3183">
        <v>323</v>
      </c>
      <c r="S3183">
        <v>339</v>
      </c>
      <c r="T3183" t="s">
        <v>26</v>
      </c>
      <c r="U3183" t="s">
        <v>42</v>
      </c>
    </row>
    <row r="3184" spans="1:21">
      <c r="A3184" t="s">
        <v>4982</v>
      </c>
      <c r="B3184" t="s">
        <v>4983</v>
      </c>
      <c r="C3184" t="s">
        <v>4984</v>
      </c>
      <c r="D3184">
        <v>90000</v>
      </c>
      <c r="E3184">
        <v>5000</v>
      </c>
      <c r="F3184">
        <v>90000</v>
      </c>
      <c r="H3184">
        <v>2</v>
      </c>
      <c r="I3184" t="s">
        <v>24</v>
      </c>
      <c r="J3184">
        <v>26.34</v>
      </c>
      <c r="K3184">
        <v>8</v>
      </c>
      <c r="L3184">
        <v>5</v>
      </c>
      <c r="M3184" t="s">
        <v>4970</v>
      </c>
      <c r="N3184">
        <v>6</v>
      </c>
      <c r="O3184">
        <v>12.67</v>
      </c>
      <c r="P3184">
        <v>98022.29</v>
      </c>
      <c r="Q3184">
        <v>123325.96</v>
      </c>
      <c r="R3184">
        <v>323</v>
      </c>
      <c r="S3184">
        <v>339</v>
      </c>
      <c r="T3184" t="s">
        <v>34</v>
      </c>
      <c r="U3184" t="s">
        <v>31</v>
      </c>
    </row>
    <row r="3185" spans="1:21">
      <c r="A3185" t="s">
        <v>4985</v>
      </c>
      <c r="B3185" t="s">
        <v>4986</v>
      </c>
      <c r="C3185" t="s">
        <v>1743</v>
      </c>
      <c r="D3185">
        <v>54000</v>
      </c>
      <c r="F3185">
        <v>54000</v>
      </c>
      <c r="G3185">
        <v>54000</v>
      </c>
      <c r="H3185">
        <v>2</v>
      </c>
      <c r="I3185" t="s">
        <v>24</v>
      </c>
      <c r="J3185">
        <v>24.3</v>
      </c>
      <c r="K3185">
        <v>63</v>
      </c>
      <c r="L3185">
        <v>2</v>
      </c>
      <c r="M3185" t="s">
        <v>4970</v>
      </c>
      <c r="N3185">
        <v>8</v>
      </c>
      <c r="O3185">
        <v>12.33</v>
      </c>
      <c r="P3185">
        <v>98022.29</v>
      </c>
      <c r="Q3185">
        <v>123325.96</v>
      </c>
      <c r="R3185">
        <v>323</v>
      </c>
      <c r="S3185">
        <v>339</v>
      </c>
      <c r="T3185" t="s">
        <v>34</v>
      </c>
      <c r="U3185" t="s">
        <v>38</v>
      </c>
    </row>
    <row r="3186" spans="1:21">
      <c r="A3186" t="s">
        <v>4987</v>
      </c>
      <c r="B3186" t="s">
        <v>2549</v>
      </c>
      <c r="C3186" t="s">
        <v>4984</v>
      </c>
      <c r="D3186">
        <v>70000</v>
      </c>
      <c r="F3186">
        <v>70000</v>
      </c>
      <c r="G3186">
        <v>70000</v>
      </c>
      <c r="H3186">
        <v>2</v>
      </c>
      <c r="I3186" t="s">
        <v>24</v>
      </c>
      <c r="J3186">
        <v>27</v>
      </c>
      <c r="K3186">
        <v>47</v>
      </c>
      <c r="L3186">
        <v>2</v>
      </c>
      <c r="M3186" t="s">
        <v>4970</v>
      </c>
      <c r="N3186">
        <v>6</v>
      </c>
      <c r="O3186">
        <v>11.67</v>
      </c>
      <c r="P3186">
        <v>98022.29</v>
      </c>
      <c r="Q3186">
        <v>123325.96</v>
      </c>
      <c r="R3186">
        <v>323</v>
      </c>
      <c r="S3186">
        <v>339</v>
      </c>
      <c r="T3186" t="s">
        <v>34</v>
      </c>
      <c r="U3186" t="s">
        <v>42</v>
      </c>
    </row>
    <row r="3187" spans="1:21">
      <c r="A3187" t="s">
        <v>4988</v>
      </c>
      <c r="B3187" t="s">
        <v>4989</v>
      </c>
      <c r="C3187" t="s">
        <v>4984</v>
      </c>
      <c r="D3187">
        <v>65000</v>
      </c>
      <c r="E3187">
        <v>3000</v>
      </c>
      <c r="F3187">
        <v>65000</v>
      </c>
      <c r="G3187">
        <v>65000</v>
      </c>
      <c r="H3187">
        <v>2</v>
      </c>
      <c r="I3187" t="s">
        <v>24</v>
      </c>
      <c r="J3187">
        <v>25</v>
      </c>
      <c r="K3187">
        <v>36</v>
      </c>
      <c r="L3187">
        <v>2</v>
      </c>
      <c r="M3187" t="s">
        <v>4970</v>
      </c>
      <c r="N3187">
        <v>4</v>
      </c>
      <c r="O3187">
        <v>10.67</v>
      </c>
      <c r="P3187">
        <v>98022.29</v>
      </c>
      <c r="Q3187">
        <v>123325.96</v>
      </c>
      <c r="R3187">
        <v>323</v>
      </c>
      <c r="S3187">
        <v>339</v>
      </c>
      <c r="T3187" t="s">
        <v>34</v>
      </c>
      <c r="U3187" t="s">
        <v>49</v>
      </c>
    </row>
    <row r="3188" spans="1:21">
      <c r="A3188" t="s">
        <v>4990</v>
      </c>
      <c r="B3188" t="s">
        <v>4991</v>
      </c>
      <c r="C3188" t="s">
        <v>1743</v>
      </c>
      <c r="D3188">
        <v>54000</v>
      </c>
      <c r="F3188">
        <v>54000</v>
      </c>
      <c r="G3188">
        <v>54000</v>
      </c>
      <c r="H3188">
        <v>2</v>
      </c>
      <c r="I3188" t="s">
        <v>24</v>
      </c>
      <c r="J3188">
        <v>24.3</v>
      </c>
      <c r="K3188">
        <v>63</v>
      </c>
      <c r="L3188">
        <v>2</v>
      </c>
      <c r="M3188" t="s">
        <v>4970</v>
      </c>
      <c r="N3188">
        <v>8</v>
      </c>
      <c r="O3188">
        <v>12.33</v>
      </c>
      <c r="P3188">
        <v>98022.29</v>
      </c>
      <c r="Q3188">
        <v>123325.96</v>
      </c>
      <c r="R3188">
        <v>323</v>
      </c>
      <c r="S3188">
        <v>339</v>
      </c>
      <c r="T3188" t="s">
        <v>34</v>
      </c>
      <c r="U3188" t="s">
        <v>38</v>
      </c>
    </row>
    <row r="3189" spans="1:21">
      <c r="A3189" t="s">
        <v>4992</v>
      </c>
      <c r="B3189" t="s">
        <v>4993</v>
      </c>
      <c r="C3189" t="s">
        <v>4969</v>
      </c>
      <c r="D3189">
        <v>105000</v>
      </c>
      <c r="E3189">
        <v>5000</v>
      </c>
      <c r="F3189">
        <v>105000</v>
      </c>
      <c r="G3189">
        <v>105000</v>
      </c>
      <c r="H3189">
        <v>3</v>
      </c>
      <c r="I3189" t="s">
        <v>24</v>
      </c>
      <c r="J3189">
        <v>31.85</v>
      </c>
      <c r="K3189">
        <v>22</v>
      </c>
      <c r="L3189">
        <v>4</v>
      </c>
      <c r="M3189" t="s">
        <v>4970</v>
      </c>
      <c r="N3189">
        <v>1</v>
      </c>
      <c r="O3189">
        <v>12.67</v>
      </c>
      <c r="P3189">
        <v>98022.29</v>
      </c>
      <c r="Q3189">
        <v>123325.96</v>
      </c>
      <c r="R3189">
        <v>323</v>
      </c>
      <c r="S3189">
        <v>339</v>
      </c>
      <c r="T3189" t="s">
        <v>26</v>
      </c>
      <c r="U3189" t="s">
        <v>27</v>
      </c>
    </row>
    <row r="3190" spans="1:21">
      <c r="A3190" t="s">
        <v>4994</v>
      </c>
      <c r="B3190" t="s">
        <v>4995</v>
      </c>
      <c r="C3190" t="s">
        <v>4973</v>
      </c>
      <c r="D3190">
        <v>110000</v>
      </c>
      <c r="E3190">
        <v>8000</v>
      </c>
      <c r="F3190">
        <v>110000</v>
      </c>
      <c r="G3190">
        <v>110000</v>
      </c>
      <c r="H3190">
        <v>1</v>
      </c>
      <c r="I3190" t="s">
        <v>89</v>
      </c>
      <c r="J3190">
        <v>26.59</v>
      </c>
      <c r="K3190">
        <v>3</v>
      </c>
      <c r="L3190">
        <v>5</v>
      </c>
      <c r="M3190" t="s">
        <v>4970</v>
      </c>
      <c r="N3190">
        <v>8</v>
      </c>
      <c r="O3190">
        <v>11.33</v>
      </c>
      <c r="P3190">
        <v>98022.29</v>
      </c>
      <c r="Q3190">
        <v>95329.65</v>
      </c>
      <c r="R3190">
        <v>323</v>
      </c>
      <c r="S3190">
        <v>1622</v>
      </c>
      <c r="T3190" t="s">
        <v>34</v>
      </c>
      <c r="U3190" t="s">
        <v>31</v>
      </c>
    </row>
    <row r="3191" spans="1:21">
      <c r="A3191" t="s">
        <v>4996</v>
      </c>
      <c r="B3191" t="s">
        <v>4995</v>
      </c>
      <c r="C3191" t="s">
        <v>4973</v>
      </c>
      <c r="D3191">
        <v>115000</v>
      </c>
      <c r="E3191">
        <v>8000</v>
      </c>
      <c r="F3191">
        <v>115000</v>
      </c>
      <c r="G3191">
        <v>115000</v>
      </c>
      <c r="H3191">
        <v>2</v>
      </c>
      <c r="I3191" t="s">
        <v>89</v>
      </c>
      <c r="J3191">
        <v>26.59</v>
      </c>
      <c r="K3191">
        <v>3</v>
      </c>
      <c r="L3191">
        <v>5</v>
      </c>
      <c r="M3191" t="s">
        <v>4970</v>
      </c>
      <c r="N3191">
        <v>8</v>
      </c>
      <c r="O3191">
        <v>11.33</v>
      </c>
      <c r="P3191">
        <v>98022.29</v>
      </c>
      <c r="Q3191">
        <v>95329.65</v>
      </c>
      <c r="R3191">
        <v>323</v>
      </c>
      <c r="S3191">
        <v>1622</v>
      </c>
      <c r="T3191" t="s">
        <v>34</v>
      </c>
      <c r="U3191" t="s">
        <v>31</v>
      </c>
    </row>
    <row r="3192" spans="1:21">
      <c r="A3192" t="s">
        <v>4997</v>
      </c>
      <c r="B3192" t="s">
        <v>4998</v>
      </c>
      <c r="C3192" t="s">
        <v>4969</v>
      </c>
      <c r="D3192">
        <v>79000</v>
      </c>
      <c r="E3192">
        <v>10000</v>
      </c>
      <c r="G3192">
        <v>79000</v>
      </c>
      <c r="H3192">
        <v>3</v>
      </c>
      <c r="I3192" t="s">
        <v>89</v>
      </c>
      <c r="J3192">
        <v>20.04</v>
      </c>
      <c r="K3192">
        <v>4</v>
      </c>
      <c r="L3192">
        <v>4</v>
      </c>
      <c r="M3192" t="s">
        <v>4970</v>
      </c>
      <c r="N3192">
        <v>9</v>
      </c>
      <c r="O3192">
        <v>15.67</v>
      </c>
      <c r="P3192">
        <v>98022.29</v>
      </c>
      <c r="Q3192">
        <v>95329.65</v>
      </c>
      <c r="R3192">
        <v>323</v>
      </c>
      <c r="S3192">
        <v>1622</v>
      </c>
      <c r="T3192" t="s">
        <v>34</v>
      </c>
      <c r="U3192" t="s">
        <v>31</v>
      </c>
    </row>
    <row r="3193" spans="1:21">
      <c r="A3193" t="s">
        <v>4999</v>
      </c>
      <c r="B3193" t="s">
        <v>5000</v>
      </c>
      <c r="C3193" t="s">
        <v>5001</v>
      </c>
      <c r="D3193">
        <v>147000</v>
      </c>
      <c r="E3193">
        <v>18000</v>
      </c>
      <c r="H3193">
        <v>1</v>
      </c>
      <c r="I3193" t="s">
        <v>89</v>
      </c>
      <c r="J3193">
        <v>37.17</v>
      </c>
      <c r="K3193">
        <v>0</v>
      </c>
      <c r="L3193">
        <v>4</v>
      </c>
      <c r="M3193" t="s">
        <v>4970</v>
      </c>
      <c r="N3193">
        <v>4</v>
      </c>
      <c r="O3193">
        <v>12.67</v>
      </c>
      <c r="P3193">
        <v>98022.29</v>
      </c>
      <c r="Q3193">
        <v>95329.65</v>
      </c>
      <c r="R3193">
        <v>323</v>
      </c>
      <c r="S3193">
        <v>1622</v>
      </c>
      <c r="T3193" t="s">
        <v>26</v>
      </c>
      <c r="U3193" t="s">
        <v>81</v>
      </c>
    </row>
    <row r="3194" spans="1:21">
      <c r="A3194" t="s">
        <v>5002</v>
      </c>
      <c r="B3194" t="s">
        <v>5000</v>
      </c>
      <c r="C3194" t="s">
        <v>5001</v>
      </c>
      <c r="D3194">
        <v>161000</v>
      </c>
      <c r="E3194">
        <v>18000</v>
      </c>
      <c r="H3194">
        <v>2</v>
      </c>
      <c r="I3194" t="s">
        <v>89</v>
      </c>
      <c r="J3194">
        <v>41.78</v>
      </c>
      <c r="K3194">
        <v>0</v>
      </c>
      <c r="L3194">
        <v>4</v>
      </c>
      <c r="M3194" t="s">
        <v>4970</v>
      </c>
      <c r="N3194">
        <v>4</v>
      </c>
      <c r="O3194">
        <v>12.67</v>
      </c>
      <c r="P3194">
        <v>98022.29</v>
      </c>
      <c r="Q3194">
        <v>95329.65</v>
      </c>
      <c r="R3194">
        <v>323</v>
      </c>
      <c r="S3194">
        <v>1622</v>
      </c>
      <c r="T3194" t="s">
        <v>326</v>
      </c>
      <c r="U3194" t="s">
        <v>81</v>
      </c>
    </row>
    <row r="3195" spans="1:21">
      <c r="A3195" t="s">
        <v>5003</v>
      </c>
      <c r="B3195" t="s">
        <v>5000</v>
      </c>
      <c r="C3195" t="s">
        <v>5001</v>
      </c>
      <c r="D3195">
        <v>112000</v>
      </c>
      <c r="E3195">
        <v>18000</v>
      </c>
      <c r="H3195">
        <v>3</v>
      </c>
      <c r="I3195" t="s">
        <v>89</v>
      </c>
      <c r="J3195">
        <v>26.19</v>
      </c>
      <c r="K3195">
        <v>0</v>
      </c>
      <c r="L3195">
        <v>4</v>
      </c>
      <c r="M3195" t="s">
        <v>4970</v>
      </c>
      <c r="N3195">
        <v>4</v>
      </c>
      <c r="O3195">
        <v>12.67</v>
      </c>
      <c r="P3195">
        <v>98022.29</v>
      </c>
      <c r="Q3195">
        <v>95329.65</v>
      </c>
      <c r="R3195">
        <v>323</v>
      </c>
      <c r="S3195">
        <v>1622</v>
      </c>
      <c r="T3195" t="s">
        <v>34</v>
      </c>
      <c r="U3195" t="s">
        <v>81</v>
      </c>
    </row>
    <row r="3196" spans="1:21">
      <c r="A3196" t="s">
        <v>5004</v>
      </c>
      <c r="B3196" t="s">
        <v>5005</v>
      </c>
      <c r="C3196" t="s">
        <v>5001</v>
      </c>
      <c r="D3196">
        <v>62000</v>
      </c>
      <c r="E3196">
        <v>2000</v>
      </c>
      <c r="G3196">
        <v>62000</v>
      </c>
      <c r="H3196">
        <v>1</v>
      </c>
      <c r="I3196" t="s">
        <v>89</v>
      </c>
      <c r="J3196">
        <v>20</v>
      </c>
      <c r="K3196">
        <v>53</v>
      </c>
      <c r="L3196">
        <v>2</v>
      </c>
      <c r="M3196" t="s">
        <v>4970</v>
      </c>
      <c r="N3196">
        <v>9</v>
      </c>
      <c r="O3196">
        <v>12.67</v>
      </c>
      <c r="P3196">
        <v>98022.29</v>
      </c>
      <c r="Q3196">
        <v>95329.65</v>
      </c>
      <c r="R3196">
        <v>323</v>
      </c>
      <c r="S3196">
        <v>1622</v>
      </c>
      <c r="T3196" t="s">
        <v>34</v>
      </c>
      <c r="U3196" t="s">
        <v>57</v>
      </c>
    </row>
    <row r="3197" spans="1:21">
      <c r="A3197" t="s">
        <v>5006</v>
      </c>
      <c r="B3197" t="s">
        <v>5005</v>
      </c>
      <c r="C3197" t="s">
        <v>5001</v>
      </c>
      <c r="D3197">
        <v>65000</v>
      </c>
      <c r="E3197">
        <v>2000</v>
      </c>
      <c r="G3197">
        <v>65000</v>
      </c>
      <c r="H3197">
        <v>1</v>
      </c>
      <c r="I3197" t="s">
        <v>89</v>
      </c>
      <c r="J3197">
        <v>20</v>
      </c>
      <c r="K3197">
        <v>53</v>
      </c>
      <c r="L3197">
        <v>2</v>
      </c>
      <c r="M3197" t="s">
        <v>4970</v>
      </c>
      <c r="N3197">
        <v>9</v>
      </c>
      <c r="O3197">
        <v>12.67</v>
      </c>
      <c r="P3197">
        <v>98022.29</v>
      </c>
      <c r="Q3197">
        <v>95329.65</v>
      </c>
      <c r="R3197">
        <v>323</v>
      </c>
      <c r="S3197">
        <v>1622</v>
      </c>
      <c r="T3197" t="s">
        <v>34</v>
      </c>
      <c r="U3197" t="s">
        <v>57</v>
      </c>
    </row>
    <row r="3198" spans="1:21">
      <c r="A3198" t="s">
        <v>5007</v>
      </c>
      <c r="B3198" t="s">
        <v>5005</v>
      </c>
      <c r="C3198" t="s">
        <v>5001</v>
      </c>
      <c r="D3198">
        <v>47000</v>
      </c>
      <c r="E3198">
        <v>2000</v>
      </c>
      <c r="G3198">
        <v>47000</v>
      </c>
      <c r="H3198">
        <v>2</v>
      </c>
      <c r="I3198" t="s">
        <v>89</v>
      </c>
      <c r="J3198">
        <v>20</v>
      </c>
      <c r="K3198">
        <v>53</v>
      </c>
      <c r="L3198">
        <v>2</v>
      </c>
      <c r="M3198" t="s">
        <v>4970</v>
      </c>
      <c r="N3198">
        <v>9</v>
      </c>
      <c r="O3198">
        <v>12.67</v>
      </c>
      <c r="P3198">
        <v>98022.29</v>
      </c>
      <c r="Q3198">
        <v>95329.65</v>
      </c>
      <c r="R3198">
        <v>323</v>
      </c>
      <c r="S3198">
        <v>1622</v>
      </c>
      <c r="T3198" t="s">
        <v>34</v>
      </c>
      <c r="U3198" t="s">
        <v>57</v>
      </c>
    </row>
    <row r="3199" spans="1:21">
      <c r="A3199" t="s">
        <v>5008</v>
      </c>
      <c r="B3199" t="s">
        <v>5009</v>
      </c>
      <c r="C3199" t="s">
        <v>4984</v>
      </c>
      <c r="D3199">
        <v>60000</v>
      </c>
      <c r="E3199">
        <v>2000</v>
      </c>
      <c r="F3199">
        <v>60000</v>
      </c>
      <c r="G3199">
        <v>60000</v>
      </c>
      <c r="H3199">
        <v>1</v>
      </c>
      <c r="I3199" t="s">
        <v>89</v>
      </c>
      <c r="J3199">
        <v>20</v>
      </c>
      <c r="K3199">
        <v>30</v>
      </c>
      <c r="L3199">
        <v>2</v>
      </c>
      <c r="M3199" t="s">
        <v>4970</v>
      </c>
      <c r="N3199">
        <v>5</v>
      </c>
      <c r="O3199">
        <v>10</v>
      </c>
      <c r="P3199">
        <v>98022.29</v>
      </c>
      <c r="Q3199">
        <v>95329.65</v>
      </c>
      <c r="R3199">
        <v>323</v>
      </c>
      <c r="S3199">
        <v>1622</v>
      </c>
      <c r="T3199" t="s">
        <v>34</v>
      </c>
      <c r="U3199" t="s">
        <v>27</v>
      </c>
    </row>
    <row r="3200" spans="1:21">
      <c r="A3200" t="s">
        <v>5010</v>
      </c>
      <c r="B3200" t="s">
        <v>5011</v>
      </c>
      <c r="C3200" t="s">
        <v>5001</v>
      </c>
      <c r="D3200">
        <v>48000</v>
      </c>
      <c r="E3200">
        <v>2000</v>
      </c>
      <c r="H3200">
        <v>1</v>
      </c>
      <c r="I3200" t="s">
        <v>89</v>
      </c>
      <c r="J3200">
        <v>13.5</v>
      </c>
      <c r="K3200">
        <v>40</v>
      </c>
      <c r="L3200">
        <v>2</v>
      </c>
      <c r="M3200" t="s">
        <v>4970</v>
      </c>
      <c r="N3200">
        <v>9</v>
      </c>
      <c r="O3200">
        <v>14.67</v>
      </c>
      <c r="P3200">
        <v>98022.29</v>
      </c>
      <c r="Q3200">
        <v>95329.65</v>
      </c>
      <c r="R3200">
        <v>323</v>
      </c>
      <c r="S3200">
        <v>1622</v>
      </c>
      <c r="T3200" t="s">
        <v>108</v>
      </c>
      <c r="U3200" t="s">
        <v>49</v>
      </c>
    </row>
    <row r="3201" spans="1:21">
      <c r="A3201" t="s">
        <v>5012</v>
      </c>
      <c r="B3201" t="s">
        <v>5011</v>
      </c>
      <c r="C3201" t="s">
        <v>5001</v>
      </c>
      <c r="D3201">
        <v>47000</v>
      </c>
      <c r="E3201">
        <v>2000</v>
      </c>
      <c r="H3201">
        <v>1</v>
      </c>
      <c r="I3201" t="s">
        <v>89</v>
      </c>
      <c r="J3201">
        <v>13</v>
      </c>
      <c r="K3201">
        <v>40</v>
      </c>
      <c r="L3201">
        <v>2</v>
      </c>
      <c r="M3201" t="s">
        <v>4970</v>
      </c>
      <c r="N3201">
        <v>9</v>
      </c>
      <c r="O3201">
        <v>14.67</v>
      </c>
      <c r="P3201">
        <v>98022.29</v>
      </c>
      <c r="Q3201">
        <v>95329.65</v>
      </c>
      <c r="R3201">
        <v>323</v>
      </c>
      <c r="S3201">
        <v>1622</v>
      </c>
      <c r="T3201" t="s">
        <v>108</v>
      </c>
      <c r="U3201" t="s">
        <v>49</v>
      </c>
    </row>
    <row r="3202" spans="1:21">
      <c r="A3202" t="s">
        <v>5013</v>
      </c>
      <c r="B3202" t="s">
        <v>5014</v>
      </c>
      <c r="C3202" t="s">
        <v>4984</v>
      </c>
      <c r="D3202">
        <v>55000</v>
      </c>
      <c r="E3202">
        <v>5000</v>
      </c>
      <c r="H3202">
        <v>1</v>
      </c>
      <c r="I3202" t="s">
        <v>89</v>
      </c>
      <c r="J3202">
        <v>12.24</v>
      </c>
      <c r="K3202">
        <v>40</v>
      </c>
      <c r="L3202">
        <v>2</v>
      </c>
      <c r="M3202" t="s">
        <v>4970</v>
      </c>
      <c r="N3202">
        <v>5</v>
      </c>
      <c r="O3202">
        <v>8</v>
      </c>
      <c r="P3202">
        <v>98022.29</v>
      </c>
      <c r="Q3202">
        <v>95329.65</v>
      </c>
      <c r="R3202">
        <v>323</v>
      </c>
      <c r="S3202">
        <v>1622</v>
      </c>
      <c r="T3202" t="s">
        <v>108</v>
      </c>
      <c r="U3202" t="s">
        <v>49</v>
      </c>
    </row>
    <row r="3203" spans="1:21">
      <c r="A3203" t="s">
        <v>5015</v>
      </c>
      <c r="B3203" t="s">
        <v>5016</v>
      </c>
      <c r="C3203" t="s">
        <v>5001</v>
      </c>
      <c r="D3203">
        <v>56000</v>
      </c>
      <c r="H3203">
        <v>2</v>
      </c>
      <c r="I3203" t="s">
        <v>89</v>
      </c>
      <c r="J3203">
        <v>20</v>
      </c>
      <c r="K3203">
        <v>35</v>
      </c>
      <c r="L3203">
        <v>2</v>
      </c>
      <c r="M3203" t="s">
        <v>4970</v>
      </c>
      <c r="N3203">
        <v>7</v>
      </c>
      <c r="O3203">
        <v>12.33</v>
      </c>
      <c r="P3203">
        <v>98022.29</v>
      </c>
      <c r="Q3203">
        <v>95329.65</v>
      </c>
      <c r="R3203">
        <v>323</v>
      </c>
      <c r="S3203">
        <v>1622</v>
      </c>
      <c r="T3203" t="s">
        <v>34</v>
      </c>
      <c r="U3203" t="s">
        <v>49</v>
      </c>
    </row>
    <row r="3204" spans="1:21">
      <c r="A3204" t="s">
        <v>5017</v>
      </c>
      <c r="B3204" t="s">
        <v>5018</v>
      </c>
      <c r="C3204" t="s">
        <v>5001</v>
      </c>
      <c r="D3204">
        <v>71000</v>
      </c>
      <c r="E3204">
        <v>3000</v>
      </c>
      <c r="G3204">
        <v>142000</v>
      </c>
      <c r="H3204">
        <v>1</v>
      </c>
      <c r="I3204" t="s">
        <v>89</v>
      </c>
      <c r="J3204">
        <v>17.52</v>
      </c>
      <c r="K3204">
        <v>8</v>
      </c>
      <c r="L3204">
        <v>2</v>
      </c>
      <c r="M3204" t="s">
        <v>4970</v>
      </c>
      <c r="N3204">
        <v>3</v>
      </c>
      <c r="O3204">
        <v>10.67</v>
      </c>
      <c r="P3204">
        <v>98022.29</v>
      </c>
      <c r="Q3204">
        <v>95329.65</v>
      </c>
      <c r="R3204">
        <v>323</v>
      </c>
      <c r="S3204">
        <v>1622</v>
      </c>
      <c r="T3204" t="s">
        <v>108</v>
      </c>
      <c r="U3204" t="s">
        <v>31</v>
      </c>
    </row>
    <row r="3205" spans="1:21">
      <c r="A3205" t="s">
        <v>5019</v>
      </c>
      <c r="B3205" t="s">
        <v>5018</v>
      </c>
      <c r="C3205" t="s">
        <v>5001</v>
      </c>
      <c r="D3205">
        <v>74000</v>
      </c>
      <c r="E3205">
        <v>3000</v>
      </c>
      <c r="H3205">
        <v>1</v>
      </c>
      <c r="I3205" t="s">
        <v>89</v>
      </c>
      <c r="J3205">
        <v>17.52</v>
      </c>
      <c r="K3205">
        <v>8</v>
      </c>
      <c r="L3205">
        <v>2</v>
      </c>
      <c r="M3205" t="s">
        <v>4970</v>
      </c>
      <c r="N3205">
        <v>3</v>
      </c>
      <c r="O3205">
        <v>10.67</v>
      </c>
      <c r="P3205">
        <v>98022.29</v>
      </c>
      <c r="Q3205">
        <v>95329.65</v>
      </c>
      <c r="R3205">
        <v>323</v>
      </c>
      <c r="S3205">
        <v>1622</v>
      </c>
      <c r="T3205" t="s">
        <v>108</v>
      </c>
      <c r="U3205" t="s">
        <v>31</v>
      </c>
    </row>
    <row r="3206" spans="1:21">
      <c r="A3206" t="s">
        <v>5020</v>
      </c>
      <c r="B3206" t="s">
        <v>5018</v>
      </c>
      <c r="C3206" t="s">
        <v>5001</v>
      </c>
      <c r="D3206">
        <v>75000</v>
      </c>
      <c r="E3206">
        <v>3000</v>
      </c>
      <c r="H3206">
        <v>2</v>
      </c>
      <c r="I3206" t="s">
        <v>89</v>
      </c>
      <c r="J3206">
        <v>17.52</v>
      </c>
      <c r="K3206">
        <v>8</v>
      </c>
      <c r="L3206">
        <v>2</v>
      </c>
      <c r="M3206" t="s">
        <v>4970</v>
      </c>
      <c r="N3206">
        <v>3</v>
      </c>
      <c r="O3206">
        <v>10.67</v>
      </c>
      <c r="P3206">
        <v>98022.29</v>
      </c>
      <c r="Q3206">
        <v>95329.65</v>
      </c>
      <c r="R3206">
        <v>323</v>
      </c>
      <c r="S3206">
        <v>1622</v>
      </c>
      <c r="T3206" t="s">
        <v>108</v>
      </c>
      <c r="U3206" t="s">
        <v>31</v>
      </c>
    </row>
    <row r="3207" spans="1:21">
      <c r="A3207" t="s">
        <v>5021</v>
      </c>
      <c r="B3207" t="s">
        <v>5022</v>
      </c>
      <c r="C3207" t="s">
        <v>1310</v>
      </c>
      <c r="D3207">
        <v>120000</v>
      </c>
      <c r="E3207">
        <v>5000</v>
      </c>
      <c r="G3207">
        <v>120000</v>
      </c>
      <c r="H3207">
        <v>2</v>
      </c>
      <c r="I3207" t="s">
        <v>89</v>
      </c>
      <c r="J3207">
        <v>34.17</v>
      </c>
      <c r="K3207">
        <v>11</v>
      </c>
      <c r="L3207">
        <v>4</v>
      </c>
      <c r="M3207" t="s">
        <v>4970</v>
      </c>
      <c r="N3207">
        <v>10</v>
      </c>
      <c r="O3207">
        <v>11.33</v>
      </c>
      <c r="P3207">
        <v>98022.29</v>
      </c>
      <c r="Q3207">
        <v>95329.65</v>
      </c>
      <c r="R3207">
        <v>323</v>
      </c>
      <c r="S3207">
        <v>1622</v>
      </c>
      <c r="T3207" t="s">
        <v>26</v>
      </c>
      <c r="U3207" t="s">
        <v>90</v>
      </c>
    </row>
    <row r="3208" spans="1:21">
      <c r="A3208" t="s">
        <v>5023</v>
      </c>
      <c r="B3208" t="s">
        <v>5024</v>
      </c>
      <c r="C3208" t="s">
        <v>5001</v>
      </c>
      <c r="D3208">
        <v>65000</v>
      </c>
      <c r="E3208">
        <v>1000</v>
      </c>
      <c r="F3208">
        <v>65000</v>
      </c>
      <c r="G3208">
        <v>65000</v>
      </c>
      <c r="H3208">
        <v>2</v>
      </c>
      <c r="I3208" t="s">
        <v>89</v>
      </c>
      <c r="J3208">
        <v>18</v>
      </c>
      <c r="K3208">
        <v>37</v>
      </c>
      <c r="L3208">
        <v>2</v>
      </c>
      <c r="M3208" t="s">
        <v>4970</v>
      </c>
      <c r="N3208">
        <v>6</v>
      </c>
      <c r="O3208">
        <v>13.33</v>
      </c>
      <c r="P3208">
        <v>98022.29</v>
      </c>
      <c r="Q3208">
        <v>95329.65</v>
      </c>
      <c r="R3208">
        <v>323</v>
      </c>
      <c r="S3208">
        <v>1622</v>
      </c>
      <c r="T3208" t="s">
        <v>108</v>
      </c>
      <c r="U3208" t="s">
        <v>49</v>
      </c>
    </row>
    <row r="3209" spans="1:21">
      <c r="A3209" t="s">
        <v>5025</v>
      </c>
      <c r="B3209" t="s">
        <v>5024</v>
      </c>
      <c r="C3209" t="s">
        <v>5001</v>
      </c>
      <c r="D3209">
        <v>66000</v>
      </c>
      <c r="E3209">
        <v>1000</v>
      </c>
      <c r="F3209">
        <v>66000</v>
      </c>
      <c r="G3209">
        <v>66000</v>
      </c>
      <c r="H3209">
        <v>2</v>
      </c>
      <c r="I3209" t="s">
        <v>89</v>
      </c>
      <c r="J3209">
        <v>18</v>
      </c>
      <c r="K3209">
        <v>37</v>
      </c>
      <c r="L3209">
        <v>2</v>
      </c>
      <c r="M3209" t="s">
        <v>4970</v>
      </c>
      <c r="N3209">
        <v>6</v>
      </c>
      <c r="O3209">
        <v>13.33</v>
      </c>
      <c r="P3209">
        <v>98022.29</v>
      </c>
      <c r="Q3209">
        <v>95329.65</v>
      </c>
      <c r="R3209">
        <v>323</v>
      </c>
      <c r="S3209">
        <v>1622</v>
      </c>
      <c r="T3209" t="s">
        <v>108</v>
      </c>
      <c r="U3209" t="s">
        <v>49</v>
      </c>
    </row>
    <row r="3210" spans="1:21">
      <c r="A3210" t="s">
        <v>5026</v>
      </c>
      <c r="B3210" t="s">
        <v>5027</v>
      </c>
      <c r="C3210" t="s">
        <v>4984</v>
      </c>
      <c r="D3210">
        <v>67000</v>
      </c>
      <c r="E3210">
        <v>2000</v>
      </c>
      <c r="F3210">
        <v>67000</v>
      </c>
      <c r="G3210">
        <v>67000</v>
      </c>
      <c r="H3210">
        <v>1</v>
      </c>
      <c r="I3210" t="s">
        <v>89</v>
      </c>
      <c r="J3210">
        <v>22</v>
      </c>
      <c r="K3210">
        <v>40</v>
      </c>
      <c r="L3210">
        <v>4</v>
      </c>
      <c r="M3210" t="s">
        <v>4970</v>
      </c>
      <c r="N3210">
        <v>6</v>
      </c>
      <c r="O3210">
        <v>10.67</v>
      </c>
      <c r="P3210">
        <v>98022.29</v>
      </c>
      <c r="Q3210">
        <v>95329.65</v>
      </c>
      <c r="R3210">
        <v>323</v>
      </c>
      <c r="S3210">
        <v>1622</v>
      </c>
      <c r="T3210" t="s">
        <v>34</v>
      </c>
      <c r="U3210" t="s">
        <v>49</v>
      </c>
    </row>
    <row r="3211" spans="1:21">
      <c r="A3211" t="s">
        <v>5028</v>
      </c>
      <c r="B3211" t="s">
        <v>5029</v>
      </c>
      <c r="C3211" t="s">
        <v>4973</v>
      </c>
      <c r="D3211">
        <v>70000</v>
      </c>
      <c r="E3211">
        <v>3000</v>
      </c>
      <c r="H3211">
        <v>2</v>
      </c>
      <c r="I3211" t="s">
        <v>89</v>
      </c>
      <c r="J3211">
        <v>16.3</v>
      </c>
      <c r="K3211">
        <v>20</v>
      </c>
      <c r="L3211">
        <v>2</v>
      </c>
      <c r="M3211" t="s">
        <v>4970</v>
      </c>
      <c r="N3211">
        <v>8</v>
      </c>
      <c r="O3211">
        <v>11</v>
      </c>
      <c r="P3211">
        <v>98022.29</v>
      </c>
      <c r="Q3211">
        <v>95329.65</v>
      </c>
      <c r="R3211">
        <v>323</v>
      </c>
      <c r="S3211">
        <v>1622</v>
      </c>
      <c r="T3211" t="s">
        <v>108</v>
      </c>
      <c r="U3211" t="s">
        <v>90</v>
      </c>
    </row>
    <row r="3212" spans="1:21">
      <c r="A3212" t="s">
        <v>5030</v>
      </c>
      <c r="B3212" t="s">
        <v>5031</v>
      </c>
      <c r="C3212" t="s">
        <v>4969</v>
      </c>
      <c r="D3212">
        <v>62000</v>
      </c>
      <c r="E3212">
        <v>3000</v>
      </c>
      <c r="F3212">
        <v>62000</v>
      </c>
      <c r="G3212">
        <v>62000</v>
      </c>
      <c r="H3212">
        <v>1</v>
      </c>
      <c r="I3212" t="s">
        <v>89</v>
      </c>
      <c r="J3212">
        <v>16.59</v>
      </c>
      <c r="K3212">
        <v>23</v>
      </c>
      <c r="L3212">
        <v>3</v>
      </c>
      <c r="M3212" t="s">
        <v>4970</v>
      </c>
      <c r="N3212">
        <v>1</v>
      </c>
      <c r="O3212">
        <v>10.67</v>
      </c>
      <c r="P3212">
        <v>98022.29</v>
      </c>
      <c r="Q3212">
        <v>95329.65</v>
      </c>
      <c r="R3212">
        <v>323</v>
      </c>
      <c r="S3212">
        <v>1622</v>
      </c>
      <c r="T3212" t="s">
        <v>108</v>
      </c>
      <c r="U3212" t="s">
        <v>27</v>
      </c>
    </row>
    <row r="3213" spans="1:21">
      <c r="A3213" t="s">
        <v>5032</v>
      </c>
      <c r="B3213" t="s">
        <v>5033</v>
      </c>
      <c r="C3213" t="s">
        <v>4973</v>
      </c>
      <c r="D3213">
        <v>60000</v>
      </c>
      <c r="E3213">
        <v>3000</v>
      </c>
      <c r="F3213">
        <v>60000</v>
      </c>
      <c r="G3213">
        <v>60000</v>
      </c>
      <c r="H3213">
        <v>3</v>
      </c>
      <c r="I3213" t="s">
        <v>89</v>
      </c>
      <c r="J3213">
        <v>20.25</v>
      </c>
      <c r="K3213">
        <v>32</v>
      </c>
      <c r="L3213">
        <v>3</v>
      </c>
      <c r="M3213" t="s">
        <v>4970</v>
      </c>
      <c r="N3213">
        <v>9</v>
      </c>
      <c r="O3213">
        <v>13</v>
      </c>
      <c r="P3213">
        <v>98022.29</v>
      </c>
      <c r="Q3213">
        <v>95329.65</v>
      </c>
      <c r="R3213">
        <v>323</v>
      </c>
      <c r="S3213">
        <v>1622</v>
      </c>
      <c r="T3213" t="s">
        <v>34</v>
      </c>
      <c r="U3213" t="s">
        <v>49</v>
      </c>
    </row>
    <row r="3214" spans="1:21">
      <c r="A3214" t="s">
        <v>5034</v>
      </c>
      <c r="B3214" t="s">
        <v>5035</v>
      </c>
      <c r="C3214" t="s">
        <v>4973</v>
      </c>
      <c r="D3214">
        <v>57000</v>
      </c>
      <c r="E3214">
        <v>1000</v>
      </c>
      <c r="F3214">
        <v>57000</v>
      </c>
      <c r="G3214">
        <v>57000</v>
      </c>
      <c r="H3214">
        <v>1</v>
      </c>
      <c r="I3214" t="s">
        <v>89</v>
      </c>
      <c r="J3214">
        <v>18</v>
      </c>
      <c r="K3214">
        <v>37</v>
      </c>
      <c r="L3214">
        <v>2</v>
      </c>
      <c r="M3214" t="s">
        <v>4970</v>
      </c>
      <c r="N3214">
        <v>8</v>
      </c>
      <c r="O3214">
        <v>10.33</v>
      </c>
      <c r="P3214">
        <v>98022.29</v>
      </c>
      <c r="Q3214">
        <v>95329.65</v>
      </c>
      <c r="R3214">
        <v>323</v>
      </c>
      <c r="S3214">
        <v>1622</v>
      </c>
      <c r="T3214" t="s">
        <v>108</v>
      </c>
      <c r="U3214" t="s">
        <v>49</v>
      </c>
    </row>
    <row r="3215" spans="1:21">
      <c r="A3215" t="s">
        <v>5036</v>
      </c>
      <c r="B3215" t="s">
        <v>5037</v>
      </c>
      <c r="C3215" t="s">
        <v>5001</v>
      </c>
      <c r="D3215">
        <v>92000</v>
      </c>
      <c r="E3215">
        <v>10000</v>
      </c>
      <c r="H3215">
        <v>3</v>
      </c>
      <c r="I3215" t="s">
        <v>89</v>
      </c>
      <c r="J3215">
        <v>25.66</v>
      </c>
      <c r="K3215">
        <v>10</v>
      </c>
      <c r="L3215">
        <v>10</v>
      </c>
      <c r="M3215" t="s">
        <v>4970</v>
      </c>
      <c r="N3215">
        <v>8</v>
      </c>
      <c r="O3215">
        <v>12</v>
      </c>
      <c r="P3215">
        <v>98022.29</v>
      </c>
      <c r="Q3215">
        <v>95329.65</v>
      </c>
      <c r="R3215">
        <v>323</v>
      </c>
      <c r="S3215">
        <v>1622</v>
      </c>
      <c r="T3215" t="s">
        <v>34</v>
      </c>
      <c r="U3215" t="s">
        <v>31</v>
      </c>
    </row>
    <row r="3216" spans="1:21">
      <c r="A3216" t="s">
        <v>5038</v>
      </c>
      <c r="B3216" t="s">
        <v>5037</v>
      </c>
      <c r="C3216" t="s">
        <v>5001</v>
      </c>
      <c r="D3216">
        <v>83000</v>
      </c>
      <c r="E3216">
        <v>12000</v>
      </c>
      <c r="G3216">
        <v>83000</v>
      </c>
      <c r="H3216">
        <v>4</v>
      </c>
      <c r="I3216" t="s">
        <v>89</v>
      </c>
      <c r="J3216">
        <v>25.66</v>
      </c>
      <c r="K3216">
        <v>10</v>
      </c>
      <c r="L3216">
        <v>10</v>
      </c>
      <c r="M3216" t="s">
        <v>4970</v>
      </c>
      <c r="N3216">
        <v>8</v>
      </c>
      <c r="O3216">
        <v>12</v>
      </c>
      <c r="P3216">
        <v>98022.29</v>
      </c>
      <c r="Q3216">
        <v>95329.65</v>
      </c>
      <c r="R3216">
        <v>323</v>
      </c>
      <c r="S3216">
        <v>1622</v>
      </c>
      <c r="T3216" t="s">
        <v>34</v>
      </c>
      <c r="U3216" t="s">
        <v>31</v>
      </c>
    </row>
    <row r="3217" spans="1:21">
      <c r="A3217" t="s">
        <v>5039</v>
      </c>
      <c r="B3217" t="s">
        <v>5037</v>
      </c>
      <c r="C3217" t="s">
        <v>5001</v>
      </c>
      <c r="D3217">
        <v>101000</v>
      </c>
      <c r="E3217">
        <v>5000</v>
      </c>
      <c r="G3217">
        <v>101000</v>
      </c>
      <c r="H3217">
        <v>4</v>
      </c>
      <c r="I3217" t="s">
        <v>89</v>
      </c>
      <c r="J3217">
        <v>25.8</v>
      </c>
      <c r="K3217">
        <v>10</v>
      </c>
      <c r="L3217">
        <v>10</v>
      </c>
      <c r="M3217" t="s">
        <v>4970</v>
      </c>
      <c r="N3217">
        <v>8</v>
      </c>
      <c r="O3217">
        <v>12</v>
      </c>
      <c r="P3217">
        <v>98022.29</v>
      </c>
      <c r="Q3217">
        <v>95329.65</v>
      </c>
      <c r="R3217">
        <v>323</v>
      </c>
      <c r="S3217">
        <v>1622</v>
      </c>
      <c r="T3217" t="s">
        <v>34</v>
      </c>
      <c r="U3217" t="s">
        <v>31</v>
      </c>
    </row>
    <row r="3218" spans="1:21">
      <c r="A3218" t="s">
        <v>5040</v>
      </c>
      <c r="B3218" t="s">
        <v>5037</v>
      </c>
      <c r="C3218" t="s">
        <v>5001</v>
      </c>
      <c r="D3218">
        <v>110000</v>
      </c>
      <c r="E3218">
        <v>10000</v>
      </c>
      <c r="F3218">
        <v>110000</v>
      </c>
      <c r="H3218">
        <v>4</v>
      </c>
      <c r="I3218" t="s">
        <v>89</v>
      </c>
      <c r="J3218">
        <v>27.72</v>
      </c>
      <c r="K3218">
        <v>10</v>
      </c>
      <c r="L3218">
        <v>10</v>
      </c>
      <c r="M3218" t="s">
        <v>4970</v>
      </c>
      <c r="N3218">
        <v>8</v>
      </c>
      <c r="O3218">
        <v>12</v>
      </c>
      <c r="P3218">
        <v>98022.29</v>
      </c>
      <c r="Q3218">
        <v>95329.65</v>
      </c>
      <c r="R3218">
        <v>323</v>
      </c>
      <c r="S3218">
        <v>1622</v>
      </c>
      <c r="T3218" t="s">
        <v>34</v>
      </c>
      <c r="U3218" t="s">
        <v>31</v>
      </c>
    </row>
    <row r="3219" spans="1:21">
      <c r="A3219" t="s">
        <v>5041</v>
      </c>
      <c r="B3219" t="s">
        <v>5037</v>
      </c>
      <c r="C3219" t="s">
        <v>5001</v>
      </c>
      <c r="D3219">
        <v>94000</v>
      </c>
      <c r="E3219">
        <v>10000</v>
      </c>
      <c r="H3219">
        <v>6</v>
      </c>
      <c r="I3219" t="s">
        <v>89</v>
      </c>
      <c r="J3219">
        <v>25.7</v>
      </c>
      <c r="K3219">
        <v>10</v>
      </c>
      <c r="L3219">
        <v>10</v>
      </c>
      <c r="M3219" t="s">
        <v>4970</v>
      </c>
      <c r="N3219">
        <v>8</v>
      </c>
      <c r="O3219">
        <v>12</v>
      </c>
      <c r="P3219">
        <v>98022.29</v>
      </c>
      <c r="Q3219">
        <v>95329.65</v>
      </c>
      <c r="R3219">
        <v>323</v>
      </c>
      <c r="S3219">
        <v>1622</v>
      </c>
      <c r="T3219" t="s">
        <v>34</v>
      </c>
      <c r="U3219" t="s">
        <v>31</v>
      </c>
    </row>
    <row r="3220" spans="1:21">
      <c r="A3220" t="s">
        <v>5042</v>
      </c>
      <c r="B3220" t="s">
        <v>5037</v>
      </c>
      <c r="C3220" t="s">
        <v>5001</v>
      </c>
      <c r="D3220">
        <v>92500</v>
      </c>
      <c r="E3220">
        <v>8500</v>
      </c>
      <c r="F3220">
        <v>92500</v>
      </c>
      <c r="G3220">
        <v>92500</v>
      </c>
      <c r="H3220">
        <v>9</v>
      </c>
      <c r="I3220" t="s">
        <v>89</v>
      </c>
      <c r="J3220">
        <v>25.66</v>
      </c>
      <c r="K3220">
        <v>10</v>
      </c>
      <c r="L3220">
        <v>10</v>
      </c>
      <c r="M3220" t="s">
        <v>4970</v>
      </c>
      <c r="N3220">
        <v>8</v>
      </c>
      <c r="O3220">
        <v>12</v>
      </c>
      <c r="P3220">
        <v>98022.29</v>
      </c>
      <c r="Q3220">
        <v>95329.65</v>
      </c>
      <c r="R3220">
        <v>323</v>
      </c>
      <c r="S3220">
        <v>1622</v>
      </c>
      <c r="T3220" t="s">
        <v>34</v>
      </c>
      <c r="U3220" t="s">
        <v>31</v>
      </c>
    </row>
    <row r="3221" spans="1:21">
      <c r="A3221" t="s">
        <v>5043</v>
      </c>
      <c r="B3221" t="s">
        <v>5044</v>
      </c>
      <c r="C3221" t="s">
        <v>1873</v>
      </c>
      <c r="D3221">
        <v>67000</v>
      </c>
      <c r="E3221">
        <v>2000</v>
      </c>
      <c r="F3221">
        <v>67000</v>
      </c>
      <c r="G3221">
        <v>67000</v>
      </c>
      <c r="H3221">
        <v>2</v>
      </c>
      <c r="I3221" t="s">
        <v>89</v>
      </c>
      <c r="J3221">
        <v>25.05</v>
      </c>
      <c r="K3221">
        <v>37</v>
      </c>
      <c r="L3221">
        <v>2</v>
      </c>
      <c r="M3221" t="s">
        <v>4970</v>
      </c>
      <c r="N3221">
        <v>5</v>
      </c>
      <c r="O3221">
        <v>10</v>
      </c>
      <c r="P3221">
        <v>98022.29</v>
      </c>
      <c r="Q3221">
        <v>95329.65</v>
      </c>
      <c r="R3221">
        <v>323</v>
      </c>
      <c r="S3221">
        <v>1622</v>
      </c>
      <c r="T3221" t="s">
        <v>34</v>
      </c>
      <c r="U3221" t="s">
        <v>49</v>
      </c>
    </row>
    <row r="3222" spans="1:21">
      <c r="A3222" t="s">
        <v>5045</v>
      </c>
      <c r="B3222" t="s">
        <v>5046</v>
      </c>
      <c r="C3222" t="s">
        <v>4984</v>
      </c>
      <c r="D3222">
        <v>72000</v>
      </c>
      <c r="E3222">
        <v>3000</v>
      </c>
      <c r="H3222">
        <v>4</v>
      </c>
      <c r="I3222" t="s">
        <v>89</v>
      </c>
      <c r="J3222">
        <v>20.49</v>
      </c>
      <c r="K3222">
        <v>37</v>
      </c>
      <c r="L3222">
        <v>5</v>
      </c>
      <c r="M3222" t="s">
        <v>4970</v>
      </c>
      <c r="N3222">
        <v>6</v>
      </c>
      <c r="O3222">
        <v>12.67</v>
      </c>
      <c r="P3222">
        <v>98022.29</v>
      </c>
      <c r="Q3222">
        <v>95329.65</v>
      </c>
      <c r="R3222">
        <v>323</v>
      </c>
      <c r="S3222">
        <v>1622</v>
      </c>
      <c r="T3222" t="s">
        <v>34</v>
      </c>
      <c r="U3222" t="s">
        <v>49</v>
      </c>
    </row>
    <row r="3223" spans="1:21">
      <c r="A3223" t="s">
        <v>5047</v>
      </c>
      <c r="B3223" t="s">
        <v>5048</v>
      </c>
      <c r="C3223" t="s">
        <v>2695</v>
      </c>
      <c r="D3223">
        <v>67000</v>
      </c>
      <c r="E3223">
        <v>5000</v>
      </c>
      <c r="F3223">
        <v>67000</v>
      </c>
      <c r="G3223">
        <v>67000</v>
      </c>
      <c r="H3223">
        <v>1</v>
      </c>
      <c r="I3223" t="s">
        <v>89</v>
      </c>
      <c r="J3223">
        <v>12.52</v>
      </c>
      <c r="K3223">
        <v>5</v>
      </c>
      <c r="L3223">
        <v>2</v>
      </c>
      <c r="M3223" t="s">
        <v>4970</v>
      </c>
      <c r="N3223">
        <v>11</v>
      </c>
      <c r="O3223">
        <v>15</v>
      </c>
      <c r="P3223">
        <v>98022.29</v>
      </c>
      <c r="Q3223">
        <v>95329.65</v>
      </c>
      <c r="R3223">
        <v>323</v>
      </c>
      <c r="S3223">
        <v>1622</v>
      </c>
      <c r="T3223" t="s">
        <v>108</v>
      </c>
      <c r="U3223" t="s">
        <v>31</v>
      </c>
    </row>
    <row r="3224" spans="1:21">
      <c r="A3224" t="s">
        <v>5049</v>
      </c>
      <c r="B3224" t="s">
        <v>5048</v>
      </c>
      <c r="C3224" t="s">
        <v>2695</v>
      </c>
      <c r="D3224">
        <v>69000</v>
      </c>
      <c r="E3224">
        <v>5000</v>
      </c>
      <c r="F3224">
        <v>69000</v>
      </c>
      <c r="G3224">
        <v>69000</v>
      </c>
      <c r="H3224">
        <v>1</v>
      </c>
      <c r="I3224" t="s">
        <v>89</v>
      </c>
      <c r="J3224">
        <v>14.9</v>
      </c>
      <c r="K3224">
        <v>5</v>
      </c>
      <c r="L3224">
        <v>2</v>
      </c>
      <c r="M3224" t="s">
        <v>4970</v>
      </c>
      <c r="N3224">
        <v>11</v>
      </c>
      <c r="O3224">
        <v>15</v>
      </c>
      <c r="P3224">
        <v>98022.29</v>
      </c>
      <c r="Q3224">
        <v>95329.65</v>
      </c>
      <c r="R3224">
        <v>323</v>
      </c>
      <c r="S3224">
        <v>1622</v>
      </c>
      <c r="T3224" t="s">
        <v>108</v>
      </c>
      <c r="U3224" t="s">
        <v>31</v>
      </c>
    </row>
    <row r="3225" spans="1:21">
      <c r="A3225" t="s">
        <v>5050</v>
      </c>
      <c r="B3225" t="s">
        <v>5051</v>
      </c>
      <c r="C3225" t="s">
        <v>4973</v>
      </c>
      <c r="D3225">
        <v>70000</v>
      </c>
      <c r="F3225">
        <v>70000</v>
      </c>
      <c r="G3225">
        <v>70000</v>
      </c>
      <c r="H3225">
        <v>2</v>
      </c>
      <c r="I3225" t="s">
        <v>89</v>
      </c>
      <c r="J3225">
        <v>21.33</v>
      </c>
      <c r="K3225">
        <v>40</v>
      </c>
      <c r="L3225">
        <v>2</v>
      </c>
      <c r="M3225" t="s">
        <v>4970</v>
      </c>
      <c r="N3225">
        <v>8</v>
      </c>
      <c r="O3225">
        <v>11</v>
      </c>
      <c r="P3225">
        <v>98022.29</v>
      </c>
      <c r="Q3225">
        <v>95329.65</v>
      </c>
      <c r="R3225">
        <v>323</v>
      </c>
      <c r="S3225">
        <v>1622</v>
      </c>
      <c r="T3225" t="s">
        <v>34</v>
      </c>
      <c r="U3225" t="s">
        <v>49</v>
      </c>
    </row>
    <row r="3226" spans="1:21">
      <c r="A3226" t="s">
        <v>5052</v>
      </c>
      <c r="B3226" t="s">
        <v>5053</v>
      </c>
      <c r="C3226" t="s">
        <v>1873</v>
      </c>
      <c r="D3226">
        <v>51000</v>
      </c>
      <c r="E3226">
        <v>1000</v>
      </c>
      <c r="F3226">
        <v>51000</v>
      </c>
      <c r="H3226">
        <v>2</v>
      </c>
      <c r="I3226" t="s">
        <v>89</v>
      </c>
      <c r="J3226">
        <v>18</v>
      </c>
      <c r="K3226">
        <v>39</v>
      </c>
      <c r="L3226">
        <v>2</v>
      </c>
      <c r="M3226" t="s">
        <v>4970</v>
      </c>
      <c r="N3226">
        <v>5</v>
      </c>
      <c r="O3226">
        <v>13</v>
      </c>
      <c r="P3226">
        <v>98022.29</v>
      </c>
      <c r="Q3226">
        <v>95329.65</v>
      </c>
      <c r="R3226">
        <v>323</v>
      </c>
      <c r="S3226">
        <v>1622</v>
      </c>
      <c r="T3226" t="s">
        <v>108</v>
      </c>
      <c r="U3226" t="s">
        <v>49</v>
      </c>
    </row>
    <row r="3227" spans="1:21">
      <c r="A3227" t="s">
        <v>5054</v>
      </c>
      <c r="B3227" t="s">
        <v>5055</v>
      </c>
      <c r="C3227" t="s">
        <v>4984</v>
      </c>
      <c r="D3227">
        <v>92000</v>
      </c>
      <c r="E3227">
        <v>4000</v>
      </c>
      <c r="G3227">
        <v>92000</v>
      </c>
      <c r="H3227">
        <v>2</v>
      </c>
      <c r="I3227" t="s">
        <v>89</v>
      </c>
      <c r="J3227">
        <v>22.48</v>
      </c>
      <c r="K3227">
        <v>37</v>
      </c>
      <c r="L3227">
        <v>2</v>
      </c>
      <c r="M3227" t="s">
        <v>4970</v>
      </c>
      <c r="N3227">
        <v>6</v>
      </c>
      <c r="O3227">
        <v>11</v>
      </c>
      <c r="P3227">
        <v>98022.29</v>
      </c>
      <c r="Q3227">
        <v>95329.65</v>
      </c>
      <c r="R3227">
        <v>323</v>
      </c>
      <c r="S3227">
        <v>1622</v>
      </c>
      <c r="T3227" t="s">
        <v>34</v>
      </c>
      <c r="U3227" t="s">
        <v>49</v>
      </c>
    </row>
    <row r="3228" spans="1:21">
      <c r="A3228" t="s">
        <v>5056</v>
      </c>
      <c r="B3228" t="s">
        <v>5055</v>
      </c>
      <c r="C3228" t="s">
        <v>4984</v>
      </c>
      <c r="D3228">
        <v>96000</v>
      </c>
      <c r="E3228">
        <v>4000</v>
      </c>
      <c r="G3228">
        <v>192000</v>
      </c>
      <c r="H3228">
        <v>2</v>
      </c>
      <c r="I3228" t="s">
        <v>89</v>
      </c>
      <c r="J3228">
        <v>22.48</v>
      </c>
      <c r="K3228">
        <v>37</v>
      </c>
      <c r="L3228">
        <v>2</v>
      </c>
      <c r="M3228" t="s">
        <v>4970</v>
      </c>
      <c r="N3228">
        <v>6</v>
      </c>
      <c r="O3228">
        <v>11</v>
      </c>
      <c r="P3228">
        <v>98022.29</v>
      </c>
      <c r="Q3228">
        <v>95329.65</v>
      </c>
      <c r="R3228">
        <v>323</v>
      </c>
      <c r="S3228">
        <v>1622</v>
      </c>
      <c r="T3228" t="s">
        <v>34</v>
      </c>
      <c r="U3228" t="s">
        <v>49</v>
      </c>
    </row>
    <row r="3229" spans="1:21">
      <c r="A3229" t="s">
        <v>5057</v>
      </c>
      <c r="B3229" t="s">
        <v>5058</v>
      </c>
      <c r="C3229" t="s">
        <v>2695</v>
      </c>
      <c r="D3229">
        <v>88000</v>
      </c>
      <c r="E3229">
        <v>12000</v>
      </c>
      <c r="G3229">
        <v>88000</v>
      </c>
      <c r="H3229">
        <v>1</v>
      </c>
      <c r="I3229" t="s">
        <v>89</v>
      </c>
      <c r="J3229">
        <v>25.65</v>
      </c>
      <c r="K3229">
        <v>8</v>
      </c>
      <c r="L3229">
        <v>3</v>
      </c>
      <c r="M3229" t="s">
        <v>4970</v>
      </c>
      <c r="N3229">
        <v>9</v>
      </c>
      <c r="O3229">
        <v>13</v>
      </c>
      <c r="P3229">
        <v>98022.29</v>
      </c>
      <c r="Q3229">
        <v>95329.65</v>
      </c>
      <c r="R3229">
        <v>323</v>
      </c>
      <c r="S3229">
        <v>1622</v>
      </c>
      <c r="T3229" t="s">
        <v>34</v>
      </c>
      <c r="U3229" t="s">
        <v>31</v>
      </c>
    </row>
    <row r="3230" spans="1:21">
      <c r="A3230" t="s">
        <v>5059</v>
      </c>
      <c r="B3230" t="s">
        <v>5058</v>
      </c>
      <c r="C3230" t="s">
        <v>2695</v>
      </c>
      <c r="D3230">
        <v>97000</v>
      </c>
      <c r="E3230">
        <v>8000</v>
      </c>
      <c r="G3230">
        <v>97000</v>
      </c>
      <c r="H3230">
        <v>3</v>
      </c>
      <c r="I3230" t="s">
        <v>89</v>
      </c>
      <c r="J3230">
        <v>25.76</v>
      </c>
      <c r="K3230">
        <v>8</v>
      </c>
      <c r="L3230">
        <v>3</v>
      </c>
      <c r="M3230" t="s">
        <v>4970</v>
      </c>
      <c r="N3230">
        <v>9</v>
      </c>
      <c r="O3230">
        <v>13</v>
      </c>
      <c r="P3230">
        <v>98022.29</v>
      </c>
      <c r="Q3230">
        <v>95329.65</v>
      </c>
      <c r="R3230">
        <v>323</v>
      </c>
      <c r="S3230">
        <v>1622</v>
      </c>
      <c r="T3230" t="s">
        <v>34</v>
      </c>
      <c r="U3230" t="s">
        <v>31</v>
      </c>
    </row>
    <row r="3231" spans="1:21">
      <c r="A3231" t="s">
        <v>5060</v>
      </c>
      <c r="B3231" t="s">
        <v>5061</v>
      </c>
      <c r="C3231" t="s">
        <v>4973</v>
      </c>
      <c r="D3231">
        <v>68000</v>
      </c>
      <c r="F3231">
        <v>68000</v>
      </c>
      <c r="G3231">
        <v>68000</v>
      </c>
      <c r="H3231">
        <v>1</v>
      </c>
      <c r="I3231" t="s">
        <v>89</v>
      </c>
      <c r="J3231">
        <v>20</v>
      </c>
      <c r="K3231">
        <v>36</v>
      </c>
      <c r="L3231">
        <v>2</v>
      </c>
      <c r="M3231" t="s">
        <v>4970</v>
      </c>
      <c r="N3231">
        <v>8</v>
      </c>
      <c r="O3231">
        <v>10.67</v>
      </c>
      <c r="P3231">
        <v>98022.29</v>
      </c>
      <c r="Q3231">
        <v>95329.65</v>
      </c>
      <c r="R3231">
        <v>323</v>
      </c>
      <c r="S3231">
        <v>1622</v>
      </c>
      <c r="T3231" t="s">
        <v>34</v>
      </c>
      <c r="U3231" t="s">
        <v>49</v>
      </c>
    </row>
    <row r="3232" spans="1:21">
      <c r="A3232" t="s">
        <v>5062</v>
      </c>
      <c r="B3232" t="s">
        <v>5063</v>
      </c>
      <c r="C3232" t="s">
        <v>5001</v>
      </c>
      <c r="D3232">
        <v>80000</v>
      </c>
      <c r="E3232">
        <v>2000</v>
      </c>
      <c r="H3232">
        <v>1</v>
      </c>
      <c r="I3232" t="s">
        <v>89</v>
      </c>
      <c r="J3232">
        <v>26.91</v>
      </c>
      <c r="K3232">
        <v>21</v>
      </c>
      <c r="L3232">
        <v>2</v>
      </c>
      <c r="M3232" t="s">
        <v>4970</v>
      </c>
      <c r="N3232">
        <v>7</v>
      </c>
      <c r="O3232">
        <v>12.33</v>
      </c>
      <c r="P3232">
        <v>98022.29</v>
      </c>
      <c r="Q3232">
        <v>95329.65</v>
      </c>
      <c r="R3232">
        <v>323</v>
      </c>
      <c r="S3232">
        <v>1622</v>
      </c>
      <c r="T3232" t="s">
        <v>34</v>
      </c>
      <c r="U3232" t="s">
        <v>27</v>
      </c>
    </row>
    <row r="3233" spans="1:21">
      <c r="A3233" t="s">
        <v>5064</v>
      </c>
      <c r="B3233" t="s">
        <v>5065</v>
      </c>
      <c r="C3233" t="s">
        <v>5001</v>
      </c>
      <c r="D3233">
        <v>65000</v>
      </c>
      <c r="E3233">
        <v>1000</v>
      </c>
      <c r="F3233">
        <v>65000</v>
      </c>
      <c r="G3233">
        <v>65000</v>
      </c>
      <c r="H3233">
        <v>2</v>
      </c>
      <c r="I3233" t="s">
        <v>89</v>
      </c>
      <c r="J3233">
        <v>18</v>
      </c>
      <c r="K3233">
        <v>40</v>
      </c>
      <c r="L3233">
        <v>2</v>
      </c>
      <c r="M3233" t="s">
        <v>4970</v>
      </c>
      <c r="N3233">
        <v>6</v>
      </c>
      <c r="O3233">
        <v>12.67</v>
      </c>
      <c r="P3233">
        <v>98022.29</v>
      </c>
      <c r="Q3233">
        <v>95329.65</v>
      </c>
      <c r="R3233">
        <v>323</v>
      </c>
      <c r="S3233">
        <v>1622</v>
      </c>
      <c r="T3233" t="s">
        <v>108</v>
      </c>
      <c r="U3233" t="s">
        <v>49</v>
      </c>
    </row>
    <row r="3234" spans="1:21">
      <c r="A3234" t="s">
        <v>5066</v>
      </c>
      <c r="B3234" t="s">
        <v>5065</v>
      </c>
      <c r="C3234" t="s">
        <v>5001</v>
      </c>
      <c r="D3234">
        <v>65000</v>
      </c>
      <c r="E3234">
        <v>1000</v>
      </c>
      <c r="F3234">
        <v>65000</v>
      </c>
      <c r="G3234">
        <v>65000</v>
      </c>
      <c r="H3234">
        <v>2</v>
      </c>
      <c r="I3234" t="s">
        <v>89</v>
      </c>
      <c r="J3234">
        <v>20</v>
      </c>
      <c r="K3234">
        <v>40</v>
      </c>
      <c r="L3234">
        <v>2</v>
      </c>
      <c r="M3234" t="s">
        <v>4970</v>
      </c>
      <c r="N3234">
        <v>6</v>
      </c>
      <c r="O3234">
        <v>12.67</v>
      </c>
      <c r="P3234">
        <v>98022.29</v>
      </c>
      <c r="Q3234">
        <v>95329.65</v>
      </c>
      <c r="R3234">
        <v>323</v>
      </c>
      <c r="S3234">
        <v>1622</v>
      </c>
      <c r="T3234" t="s">
        <v>34</v>
      </c>
      <c r="U3234" t="s">
        <v>49</v>
      </c>
    </row>
    <row r="3235" spans="1:21">
      <c r="A3235" t="s">
        <v>5067</v>
      </c>
      <c r="B3235" t="s">
        <v>5068</v>
      </c>
      <c r="C3235" t="s">
        <v>5001</v>
      </c>
      <c r="D3235">
        <v>62000</v>
      </c>
      <c r="F3235">
        <v>62000</v>
      </c>
      <c r="G3235">
        <v>62000</v>
      </c>
      <c r="H3235">
        <v>2</v>
      </c>
      <c r="I3235" t="s">
        <v>89</v>
      </c>
      <c r="J3235">
        <v>19.8</v>
      </c>
      <c r="K3235">
        <v>41</v>
      </c>
      <c r="L3235">
        <v>2</v>
      </c>
      <c r="M3235" t="s">
        <v>4970</v>
      </c>
      <c r="N3235">
        <v>8</v>
      </c>
      <c r="O3235">
        <v>11.33</v>
      </c>
      <c r="P3235">
        <v>98022.29</v>
      </c>
      <c r="Q3235">
        <v>95329.65</v>
      </c>
      <c r="R3235">
        <v>323</v>
      </c>
      <c r="S3235">
        <v>1622</v>
      </c>
      <c r="T3235" t="s">
        <v>108</v>
      </c>
      <c r="U3235" t="s">
        <v>42</v>
      </c>
    </row>
    <row r="3236" spans="1:21">
      <c r="A3236" t="s">
        <v>5069</v>
      </c>
      <c r="B3236" t="s">
        <v>5070</v>
      </c>
      <c r="C3236" t="s">
        <v>5071</v>
      </c>
      <c r="D3236">
        <v>68000</v>
      </c>
      <c r="E3236">
        <v>3000</v>
      </c>
      <c r="F3236">
        <v>68000</v>
      </c>
      <c r="G3236">
        <v>68000</v>
      </c>
      <c r="H3236">
        <v>2</v>
      </c>
      <c r="I3236" t="s">
        <v>89</v>
      </c>
      <c r="J3236">
        <v>27</v>
      </c>
      <c r="K3236">
        <v>37</v>
      </c>
      <c r="L3236">
        <v>2</v>
      </c>
      <c r="M3236" t="s">
        <v>4970</v>
      </c>
      <c r="N3236">
        <v>9</v>
      </c>
      <c r="O3236">
        <v>15</v>
      </c>
      <c r="P3236">
        <v>98022.29</v>
      </c>
      <c r="Q3236">
        <v>95329.65</v>
      </c>
      <c r="R3236">
        <v>323</v>
      </c>
      <c r="S3236">
        <v>1622</v>
      </c>
      <c r="T3236" t="s">
        <v>34</v>
      </c>
      <c r="U3236" t="s">
        <v>49</v>
      </c>
    </row>
    <row r="3237" spans="1:21">
      <c r="A3237" t="s">
        <v>5072</v>
      </c>
      <c r="B3237" t="s">
        <v>5073</v>
      </c>
      <c r="C3237" t="s">
        <v>5071</v>
      </c>
      <c r="D3237">
        <v>79000</v>
      </c>
      <c r="E3237">
        <v>5000</v>
      </c>
      <c r="F3237">
        <v>79000</v>
      </c>
      <c r="G3237">
        <v>79000</v>
      </c>
      <c r="H3237">
        <v>1</v>
      </c>
      <c r="I3237" t="s">
        <v>89</v>
      </c>
      <c r="J3237">
        <v>21.91</v>
      </c>
      <c r="K3237">
        <v>2</v>
      </c>
      <c r="L3237">
        <v>2</v>
      </c>
      <c r="M3237" t="s">
        <v>4970</v>
      </c>
      <c r="N3237">
        <v>6</v>
      </c>
      <c r="O3237">
        <v>13</v>
      </c>
      <c r="P3237">
        <v>98022.29</v>
      </c>
      <c r="Q3237">
        <v>95329.65</v>
      </c>
      <c r="R3237">
        <v>323</v>
      </c>
      <c r="S3237">
        <v>1622</v>
      </c>
      <c r="T3237" t="s">
        <v>34</v>
      </c>
      <c r="U3237" t="s">
        <v>31</v>
      </c>
    </row>
    <row r="3238" spans="1:21">
      <c r="A3238" t="s">
        <v>5074</v>
      </c>
      <c r="B3238" t="s">
        <v>5075</v>
      </c>
      <c r="C3238" t="s">
        <v>4973</v>
      </c>
      <c r="D3238">
        <v>63000</v>
      </c>
      <c r="E3238">
        <v>2500</v>
      </c>
      <c r="F3238">
        <v>63000</v>
      </c>
      <c r="H3238">
        <v>2</v>
      </c>
      <c r="I3238" t="s">
        <v>89</v>
      </c>
      <c r="J3238">
        <v>23.1</v>
      </c>
      <c r="K3238">
        <v>37</v>
      </c>
      <c r="L3238">
        <v>2</v>
      </c>
      <c r="M3238" t="s">
        <v>4970</v>
      </c>
      <c r="N3238">
        <v>7</v>
      </c>
      <c r="O3238">
        <v>13.67</v>
      </c>
      <c r="P3238">
        <v>98022.29</v>
      </c>
      <c r="Q3238">
        <v>95329.65</v>
      </c>
      <c r="R3238">
        <v>323</v>
      </c>
      <c r="S3238">
        <v>1622</v>
      </c>
      <c r="T3238" t="s">
        <v>34</v>
      </c>
      <c r="U3238" t="s">
        <v>49</v>
      </c>
    </row>
    <row r="3239" spans="1:21">
      <c r="A3239" t="s">
        <v>5076</v>
      </c>
      <c r="B3239" t="s">
        <v>5077</v>
      </c>
      <c r="C3239" t="s">
        <v>1310</v>
      </c>
      <c r="D3239">
        <v>93500</v>
      </c>
      <c r="E3239">
        <v>4600</v>
      </c>
      <c r="G3239">
        <v>233800</v>
      </c>
      <c r="H3239">
        <v>1</v>
      </c>
      <c r="I3239" t="s">
        <v>89</v>
      </c>
      <c r="J3239">
        <v>24.3</v>
      </c>
      <c r="K3239">
        <v>11</v>
      </c>
      <c r="L3239">
        <v>4</v>
      </c>
      <c r="M3239" t="s">
        <v>4970</v>
      </c>
      <c r="N3239">
        <v>10</v>
      </c>
      <c r="O3239">
        <v>11.33</v>
      </c>
      <c r="P3239">
        <v>98022.29</v>
      </c>
      <c r="Q3239">
        <v>95329.65</v>
      </c>
      <c r="R3239">
        <v>323</v>
      </c>
      <c r="S3239">
        <v>1622</v>
      </c>
      <c r="T3239" t="s">
        <v>34</v>
      </c>
      <c r="U3239" t="s">
        <v>90</v>
      </c>
    </row>
    <row r="3240" spans="1:21">
      <c r="A3240" t="s">
        <v>5078</v>
      </c>
      <c r="B3240" t="s">
        <v>5079</v>
      </c>
      <c r="C3240" t="s">
        <v>1743</v>
      </c>
      <c r="D3240">
        <v>68000</v>
      </c>
      <c r="E3240">
        <v>3000</v>
      </c>
      <c r="F3240">
        <v>68000</v>
      </c>
      <c r="H3240">
        <v>2</v>
      </c>
      <c r="I3240" t="s">
        <v>89</v>
      </c>
      <c r="J3240">
        <v>22.5</v>
      </c>
      <c r="K3240">
        <v>33</v>
      </c>
      <c r="L3240">
        <v>3</v>
      </c>
      <c r="M3240" t="s">
        <v>4970</v>
      </c>
      <c r="N3240">
        <v>10</v>
      </c>
      <c r="O3240">
        <v>11.67</v>
      </c>
      <c r="P3240">
        <v>98022.29</v>
      </c>
      <c r="Q3240">
        <v>95329.65</v>
      </c>
      <c r="R3240">
        <v>323</v>
      </c>
      <c r="S3240">
        <v>1622</v>
      </c>
      <c r="T3240" t="s">
        <v>34</v>
      </c>
      <c r="U3240" t="s">
        <v>49</v>
      </c>
    </row>
    <row r="3241" spans="1:21">
      <c r="A3241" t="s">
        <v>5080</v>
      </c>
      <c r="B3241" t="s">
        <v>5081</v>
      </c>
      <c r="C3241" t="s">
        <v>4984</v>
      </c>
      <c r="D3241">
        <v>74000</v>
      </c>
      <c r="E3241">
        <v>3000</v>
      </c>
      <c r="F3241">
        <v>74000</v>
      </c>
      <c r="G3241">
        <v>74000</v>
      </c>
      <c r="H3241">
        <v>1</v>
      </c>
      <c r="I3241" t="s">
        <v>89</v>
      </c>
      <c r="J3241">
        <v>22.5</v>
      </c>
      <c r="K3241">
        <v>19</v>
      </c>
      <c r="L3241">
        <v>3</v>
      </c>
      <c r="M3241" t="s">
        <v>4970</v>
      </c>
      <c r="N3241">
        <v>3</v>
      </c>
      <c r="O3241">
        <v>10</v>
      </c>
      <c r="P3241">
        <v>98022.29</v>
      </c>
      <c r="Q3241">
        <v>95329.65</v>
      </c>
      <c r="R3241">
        <v>323</v>
      </c>
      <c r="S3241">
        <v>1622</v>
      </c>
      <c r="T3241" t="s">
        <v>34</v>
      </c>
      <c r="U3241" t="s">
        <v>90</v>
      </c>
    </row>
    <row r="3242" spans="1:21">
      <c r="A3242" t="s">
        <v>5082</v>
      </c>
      <c r="B3242" t="s">
        <v>5083</v>
      </c>
      <c r="C3242" t="s">
        <v>1310</v>
      </c>
      <c r="D3242">
        <v>63000</v>
      </c>
      <c r="E3242">
        <v>5000</v>
      </c>
      <c r="F3242">
        <v>63000</v>
      </c>
      <c r="H3242">
        <v>2</v>
      </c>
      <c r="I3242" t="s">
        <v>89</v>
      </c>
      <c r="J3242">
        <v>17.600000000000001</v>
      </c>
      <c r="K3242">
        <v>34</v>
      </c>
      <c r="L3242">
        <v>3</v>
      </c>
      <c r="M3242" t="s">
        <v>4970</v>
      </c>
      <c r="N3242">
        <v>10</v>
      </c>
      <c r="O3242">
        <v>12.33</v>
      </c>
      <c r="P3242">
        <v>98022.29</v>
      </c>
      <c r="Q3242">
        <v>95329.65</v>
      </c>
      <c r="R3242">
        <v>323</v>
      </c>
      <c r="S3242">
        <v>1622</v>
      </c>
      <c r="T3242" t="s">
        <v>108</v>
      </c>
      <c r="U3242" t="s">
        <v>49</v>
      </c>
    </row>
    <row r="3243" spans="1:21">
      <c r="A3243" t="s">
        <v>5084</v>
      </c>
      <c r="B3243" t="s">
        <v>5085</v>
      </c>
      <c r="C3243" t="s">
        <v>5071</v>
      </c>
      <c r="D3243">
        <v>100000</v>
      </c>
      <c r="E3243">
        <v>5500</v>
      </c>
      <c r="G3243">
        <v>100000</v>
      </c>
      <c r="H3243">
        <v>2</v>
      </c>
      <c r="I3243" t="s">
        <v>89</v>
      </c>
      <c r="J3243">
        <v>22.35</v>
      </c>
      <c r="K3243">
        <v>18</v>
      </c>
      <c r="L3243">
        <v>2</v>
      </c>
      <c r="M3243" t="s">
        <v>4970</v>
      </c>
      <c r="N3243">
        <v>6</v>
      </c>
      <c r="O3243">
        <v>12.33</v>
      </c>
      <c r="P3243">
        <v>98022.29</v>
      </c>
      <c r="Q3243">
        <v>95329.65</v>
      </c>
      <c r="R3243">
        <v>323</v>
      </c>
      <c r="S3243">
        <v>1622</v>
      </c>
      <c r="T3243" t="s">
        <v>34</v>
      </c>
      <c r="U3243" t="s">
        <v>90</v>
      </c>
    </row>
    <row r="3244" spans="1:21">
      <c r="A3244" t="s">
        <v>5086</v>
      </c>
      <c r="B3244" t="s">
        <v>5087</v>
      </c>
      <c r="C3244" t="s">
        <v>4984</v>
      </c>
      <c r="D3244">
        <v>93000</v>
      </c>
      <c r="E3244">
        <v>5500</v>
      </c>
      <c r="G3244">
        <v>93000</v>
      </c>
      <c r="H3244">
        <v>1</v>
      </c>
      <c r="I3244" t="s">
        <v>89</v>
      </c>
      <c r="J3244">
        <v>22.35</v>
      </c>
      <c r="K3244">
        <v>21</v>
      </c>
      <c r="L3244">
        <v>2</v>
      </c>
      <c r="M3244" t="s">
        <v>4970</v>
      </c>
      <c r="N3244">
        <v>7</v>
      </c>
      <c r="O3244">
        <v>12.67</v>
      </c>
      <c r="P3244">
        <v>98022.29</v>
      </c>
      <c r="Q3244">
        <v>95329.65</v>
      </c>
      <c r="R3244">
        <v>323</v>
      </c>
      <c r="S3244">
        <v>1622</v>
      </c>
      <c r="T3244" t="s">
        <v>34</v>
      </c>
      <c r="U3244" t="s">
        <v>27</v>
      </c>
    </row>
    <row r="3245" spans="1:21">
      <c r="A3245" t="s">
        <v>5088</v>
      </c>
      <c r="B3245" t="s">
        <v>5087</v>
      </c>
      <c r="C3245" t="s">
        <v>4984</v>
      </c>
      <c r="D3245">
        <v>98000</v>
      </c>
      <c r="E3245">
        <v>5500</v>
      </c>
      <c r="G3245">
        <v>98000</v>
      </c>
      <c r="H3245">
        <v>2</v>
      </c>
      <c r="I3245" t="s">
        <v>89</v>
      </c>
      <c r="J3245">
        <v>22.35</v>
      </c>
      <c r="K3245">
        <v>21</v>
      </c>
      <c r="L3245">
        <v>2</v>
      </c>
      <c r="M3245" t="s">
        <v>4970</v>
      </c>
      <c r="N3245">
        <v>7</v>
      </c>
      <c r="O3245">
        <v>12.67</v>
      </c>
      <c r="P3245">
        <v>98022.29</v>
      </c>
      <c r="Q3245">
        <v>95329.65</v>
      </c>
      <c r="R3245">
        <v>323</v>
      </c>
      <c r="S3245">
        <v>1622</v>
      </c>
      <c r="T3245" t="s">
        <v>34</v>
      </c>
      <c r="U3245" t="s">
        <v>27</v>
      </c>
    </row>
    <row r="3246" spans="1:21">
      <c r="A3246" t="s">
        <v>5089</v>
      </c>
      <c r="B3246" t="s">
        <v>5090</v>
      </c>
      <c r="C3246" t="s">
        <v>1743</v>
      </c>
      <c r="D3246">
        <v>50000</v>
      </c>
      <c r="H3246">
        <v>1</v>
      </c>
      <c r="I3246" t="s">
        <v>89</v>
      </c>
      <c r="J3246">
        <v>12.67</v>
      </c>
      <c r="K3246">
        <v>43</v>
      </c>
      <c r="L3246">
        <v>3</v>
      </c>
      <c r="M3246" t="s">
        <v>4970</v>
      </c>
      <c r="N3246">
        <v>7</v>
      </c>
      <c r="O3246">
        <v>13</v>
      </c>
      <c r="P3246">
        <v>98022.29</v>
      </c>
      <c r="Q3246">
        <v>95329.65</v>
      </c>
      <c r="R3246">
        <v>323</v>
      </c>
      <c r="S3246">
        <v>1622</v>
      </c>
      <c r="T3246" t="s">
        <v>108</v>
      </c>
      <c r="U3246" t="s">
        <v>42</v>
      </c>
    </row>
    <row r="3247" spans="1:21">
      <c r="A3247" t="s">
        <v>5091</v>
      </c>
      <c r="B3247" t="s">
        <v>5092</v>
      </c>
      <c r="C3247" t="s">
        <v>5001</v>
      </c>
      <c r="D3247">
        <v>69000</v>
      </c>
      <c r="E3247">
        <v>3000</v>
      </c>
      <c r="F3247">
        <v>69000</v>
      </c>
      <c r="G3247">
        <v>69000</v>
      </c>
      <c r="H3247">
        <v>2</v>
      </c>
      <c r="I3247" t="s">
        <v>89</v>
      </c>
      <c r="J3247">
        <v>21</v>
      </c>
      <c r="K3247">
        <v>33</v>
      </c>
      <c r="L3247">
        <v>2</v>
      </c>
      <c r="M3247" t="s">
        <v>4970</v>
      </c>
      <c r="N3247">
        <v>5</v>
      </c>
      <c r="O3247">
        <v>14</v>
      </c>
      <c r="P3247">
        <v>98022.29</v>
      </c>
      <c r="Q3247">
        <v>95329.65</v>
      </c>
      <c r="R3247">
        <v>323</v>
      </c>
      <c r="S3247">
        <v>1622</v>
      </c>
      <c r="T3247" t="s">
        <v>34</v>
      </c>
      <c r="U3247" t="s">
        <v>49</v>
      </c>
    </row>
    <row r="3248" spans="1:21">
      <c r="A3248" t="s">
        <v>5093</v>
      </c>
      <c r="B3248" t="s">
        <v>4986</v>
      </c>
      <c r="C3248" t="s">
        <v>1743</v>
      </c>
      <c r="D3248">
        <v>55000</v>
      </c>
      <c r="F3248">
        <v>55000</v>
      </c>
      <c r="G3248">
        <v>55000</v>
      </c>
      <c r="H3248">
        <v>2</v>
      </c>
      <c r="I3248" t="s">
        <v>89</v>
      </c>
      <c r="J3248">
        <v>20</v>
      </c>
      <c r="K3248">
        <v>63</v>
      </c>
      <c r="L3248">
        <v>2</v>
      </c>
      <c r="M3248" t="s">
        <v>4970</v>
      </c>
      <c r="N3248">
        <v>8</v>
      </c>
      <c r="O3248">
        <v>12.33</v>
      </c>
      <c r="P3248">
        <v>98022.29</v>
      </c>
      <c r="Q3248">
        <v>95329.65</v>
      </c>
      <c r="R3248">
        <v>323</v>
      </c>
      <c r="S3248">
        <v>1622</v>
      </c>
      <c r="T3248" t="s">
        <v>34</v>
      </c>
      <c r="U3248" t="s">
        <v>38</v>
      </c>
    </row>
    <row r="3249" spans="1:21">
      <c r="A3249" t="s">
        <v>5094</v>
      </c>
      <c r="B3249" t="s">
        <v>5095</v>
      </c>
      <c r="C3249" t="s">
        <v>5096</v>
      </c>
      <c r="D3249">
        <v>77000</v>
      </c>
      <c r="E3249">
        <v>3000</v>
      </c>
      <c r="F3249">
        <v>77000</v>
      </c>
      <c r="G3249">
        <v>77000</v>
      </c>
      <c r="H3249">
        <v>2</v>
      </c>
      <c r="I3249" t="s">
        <v>89</v>
      </c>
      <c r="J3249">
        <v>31.39</v>
      </c>
      <c r="K3249">
        <v>20</v>
      </c>
      <c r="L3249">
        <v>2</v>
      </c>
      <c r="M3249" t="s">
        <v>4970</v>
      </c>
      <c r="N3249">
        <v>10</v>
      </c>
      <c r="O3249">
        <v>14.67</v>
      </c>
      <c r="P3249">
        <v>98022.29</v>
      </c>
      <c r="Q3249">
        <v>95329.65</v>
      </c>
      <c r="R3249">
        <v>323</v>
      </c>
      <c r="S3249">
        <v>1622</v>
      </c>
      <c r="T3249" t="s">
        <v>26</v>
      </c>
      <c r="U3249" t="s">
        <v>90</v>
      </c>
    </row>
    <row r="3250" spans="1:21">
      <c r="A3250" t="s">
        <v>5097</v>
      </c>
      <c r="B3250" t="s">
        <v>5098</v>
      </c>
      <c r="C3250" t="s">
        <v>5001</v>
      </c>
      <c r="D3250">
        <v>66000</v>
      </c>
      <c r="E3250">
        <v>1000</v>
      </c>
      <c r="F3250">
        <v>66000</v>
      </c>
      <c r="G3250">
        <v>66000</v>
      </c>
      <c r="H3250">
        <v>2</v>
      </c>
      <c r="I3250" t="s">
        <v>89</v>
      </c>
      <c r="J3250">
        <v>20</v>
      </c>
      <c r="K3250">
        <v>58</v>
      </c>
      <c r="L3250">
        <v>2</v>
      </c>
      <c r="M3250" t="s">
        <v>4970</v>
      </c>
      <c r="N3250">
        <v>4</v>
      </c>
      <c r="O3250">
        <v>12.33</v>
      </c>
      <c r="P3250">
        <v>98022.29</v>
      </c>
      <c r="Q3250">
        <v>95329.65</v>
      </c>
      <c r="R3250">
        <v>323</v>
      </c>
      <c r="S3250">
        <v>1622</v>
      </c>
      <c r="T3250" t="s">
        <v>34</v>
      </c>
      <c r="U3250" t="s">
        <v>57</v>
      </c>
    </row>
    <row r="3251" spans="1:21">
      <c r="A3251" t="s">
        <v>5099</v>
      </c>
      <c r="B3251" t="s">
        <v>5100</v>
      </c>
      <c r="C3251" t="s">
        <v>5001</v>
      </c>
      <c r="D3251">
        <v>73000</v>
      </c>
      <c r="E3251">
        <v>2000</v>
      </c>
      <c r="F3251">
        <v>73000</v>
      </c>
      <c r="G3251">
        <v>73000</v>
      </c>
      <c r="H3251">
        <v>1</v>
      </c>
      <c r="I3251" t="s">
        <v>89</v>
      </c>
      <c r="J3251">
        <v>27.43</v>
      </c>
      <c r="K3251">
        <v>23</v>
      </c>
      <c r="L3251">
        <v>2</v>
      </c>
      <c r="M3251" t="s">
        <v>4970</v>
      </c>
      <c r="N3251">
        <v>5</v>
      </c>
      <c r="O3251">
        <v>15</v>
      </c>
      <c r="P3251">
        <v>98022.29</v>
      </c>
      <c r="Q3251">
        <v>95329.65</v>
      </c>
      <c r="R3251">
        <v>323</v>
      </c>
      <c r="S3251">
        <v>1622</v>
      </c>
      <c r="T3251" t="s">
        <v>34</v>
      </c>
      <c r="U3251" t="s">
        <v>27</v>
      </c>
    </row>
    <row r="3252" spans="1:21">
      <c r="A3252" t="s">
        <v>5101</v>
      </c>
      <c r="B3252" t="s">
        <v>5102</v>
      </c>
      <c r="C3252" t="s">
        <v>5001</v>
      </c>
      <c r="D3252">
        <v>87000</v>
      </c>
      <c r="E3252">
        <v>8000</v>
      </c>
      <c r="F3252">
        <v>87000</v>
      </c>
      <c r="G3252">
        <v>87000</v>
      </c>
      <c r="H3252">
        <v>3</v>
      </c>
      <c r="I3252" t="s">
        <v>89</v>
      </c>
      <c r="J3252">
        <v>25.66</v>
      </c>
      <c r="K3252">
        <v>10</v>
      </c>
      <c r="L3252">
        <v>10</v>
      </c>
      <c r="M3252" t="s">
        <v>4970</v>
      </c>
      <c r="N3252">
        <v>9</v>
      </c>
      <c r="O3252">
        <v>13</v>
      </c>
      <c r="P3252">
        <v>98022.29</v>
      </c>
      <c r="Q3252">
        <v>95329.65</v>
      </c>
      <c r="R3252">
        <v>323</v>
      </c>
      <c r="S3252">
        <v>1622</v>
      </c>
      <c r="T3252" t="s">
        <v>34</v>
      </c>
      <c r="U3252" t="s">
        <v>31</v>
      </c>
    </row>
    <row r="3253" spans="1:21">
      <c r="A3253" t="s">
        <v>5103</v>
      </c>
      <c r="B3253" t="s">
        <v>5102</v>
      </c>
      <c r="C3253" t="s">
        <v>5001</v>
      </c>
      <c r="D3253">
        <v>92500</v>
      </c>
      <c r="E3253">
        <v>8500</v>
      </c>
      <c r="F3253">
        <v>92500</v>
      </c>
      <c r="G3253">
        <v>92500</v>
      </c>
      <c r="H3253">
        <v>9</v>
      </c>
      <c r="I3253" t="s">
        <v>89</v>
      </c>
      <c r="J3253">
        <v>25.66</v>
      </c>
      <c r="K3253">
        <v>10</v>
      </c>
      <c r="L3253">
        <v>10</v>
      </c>
      <c r="M3253" t="s">
        <v>4970</v>
      </c>
      <c r="N3253">
        <v>9</v>
      </c>
      <c r="O3253">
        <v>13</v>
      </c>
      <c r="P3253">
        <v>98022.29</v>
      </c>
      <c r="Q3253">
        <v>95329.65</v>
      </c>
      <c r="R3253">
        <v>323</v>
      </c>
      <c r="S3253">
        <v>1622</v>
      </c>
      <c r="T3253" t="s">
        <v>34</v>
      </c>
      <c r="U3253" t="s">
        <v>31</v>
      </c>
    </row>
    <row r="3254" spans="1:21">
      <c r="A3254" t="s">
        <v>5104</v>
      </c>
      <c r="B3254" t="s">
        <v>5105</v>
      </c>
      <c r="C3254" t="s">
        <v>4973</v>
      </c>
      <c r="D3254">
        <v>71000</v>
      </c>
      <c r="E3254">
        <v>8000</v>
      </c>
      <c r="F3254">
        <v>71000</v>
      </c>
      <c r="G3254">
        <v>71000</v>
      </c>
      <c r="H3254">
        <v>2</v>
      </c>
      <c r="I3254" t="s">
        <v>89</v>
      </c>
      <c r="J3254">
        <v>22.8</v>
      </c>
      <c r="K3254">
        <v>16</v>
      </c>
      <c r="L3254">
        <v>2</v>
      </c>
      <c r="M3254" t="s">
        <v>4970</v>
      </c>
      <c r="N3254">
        <v>8</v>
      </c>
      <c r="O3254">
        <v>12.33</v>
      </c>
      <c r="P3254">
        <v>98022.29</v>
      </c>
      <c r="Q3254">
        <v>95329.65</v>
      </c>
      <c r="R3254">
        <v>323</v>
      </c>
      <c r="S3254">
        <v>1622</v>
      </c>
      <c r="T3254" t="s">
        <v>34</v>
      </c>
      <c r="U3254" t="s">
        <v>90</v>
      </c>
    </row>
    <row r="3255" spans="1:21">
      <c r="A3255" t="s">
        <v>5106</v>
      </c>
      <c r="B3255" t="s">
        <v>5107</v>
      </c>
      <c r="C3255" t="s">
        <v>5001</v>
      </c>
      <c r="D3255">
        <v>70000</v>
      </c>
      <c r="E3255">
        <v>2000</v>
      </c>
      <c r="F3255">
        <v>70000</v>
      </c>
      <c r="G3255">
        <v>70000</v>
      </c>
      <c r="H3255">
        <v>2</v>
      </c>
      <c r="I3255" t="s">
        <v>89</v>
      </c>
      <c r="J3255">
        <v>23.18</v>
      </c>
      <c r="K3255">
        <v>17</v>
      </c>
      <c r="L3255">
        <v>2</v>
      </c>
      <c r="M3255" t="s">
        <v>4970</v>
      </c>
      <c r="N3255">
        <v>5</v>
      </c>
      <c r="O3255">
        <v>11.67</v>
      </c>
      <c r="P3255">
        <v>98022.29</v>
      </c>
      <c r="Q3255">
        <v>95329.65</v>
      </c>
      <c r="R3255">
        <v>323</v>
      </c>
      <c r="S3255">
        <v>1622</v>
      </c>
      <c r="T3255" t="s">
        <v>34</v>
      </c>
      <c r="U3255" t="s">
        <v>90</v>
      </c>
    </row>
    <row r="3256" spans="1:21">
      <c r="A3256" t="s">
        <v>5108</v>
      </c>
      <c r="B3256" t="s">
        <v>5109</v>
      </c>
      <c r="C3256" t="s">
        <v>5071</v>
      </c>
      <c r="D3256">
        <v>100000</v>
      </c>
      <c r="E3256">
        <v>5500</v>
      </c>
      <c r="G3256">
        <v>100000</v>
      </c>
      <c r="H3256">
        <v>2</v>
      </c>
      <c r="I3256" t="s">
        <v>89</v>
      </c>
      <c r="J3256">
        <v>22.35</v>
      </c>
      <c r="K3256">
        <v>18</v>
      </c>
      <c r="L3256">
        <v>2</v>
      </c>
      <c r="M3256" t="s">
        <v>4970</v>
      </c>
      <c r="N3256">
        <v>6</v>
      </c>
      <c r="O3256">
        <v>12.33</v>
      </c>
      <c r="P3256">
        <v>98022.29</v>
      </c>
      <c r="Q3256">
        <v>95329.65</v>
      </c>
      <c r="R3256">
        <v>323</v>
      </c>
      <c r="S3256">
        <v>1622</v>
      </c>
      <c r="T3256" t="s">
        <v>34</v>
      </c>
      <c r="U3256" t="s">
        <v>90</v>
      </c>
    </row>
    <row r="3257" spans="1:21">
      <c r="A3257" t="s">
        <v>5110</v>
      </c>
      <c r="B3257" t="s">
        <v>5111</v>
      </c>
      <c r="C3257" t="s">
        <v>4984</v>
      </c>
      <c r="D3257">
        <v>93000</v>
      </c>
      <c r="E3257">
        <v>5500</v>
      </c>
      <c r="G3257">
        <v>93000</v>
      </c>
      <c r="H3257">
        <v>1</v>
      </c>
      <c r="I3257" t="s">
        <v>89</v>
      </c>
      <c r="J3257">
        <v>22.35</v>
      </c>
      <c r="K3257">
        <v>21</v>
      </c>
      <c r="L3257">
        <v>2</v>
      </c>
      <c r="M3257" t="s">
        <v>4970</v>
      </c>
      <c r="N3257">
        <v>7</v>
      </c>
      <c r="O3257">
        <v>11.67</v>
      </c>
      <c r="P3257">
        <v>98022.29</v>
      </c>
      <c r="Q3257">
        <v>95329.65</v>
      </c>
      <c r="R3257">
        <v>323</v>
      </c>
      <c r="S3257">
        <v>1622</v>
      </c>
      <c r="T3257" t="s">
        <v>34</v>
      </c>
      <c r="U3257" t="s">
        <v>27</v>
      </c>
    </row>
    <row r="3258" spans="1:21">
      <c r="A3258" t="s">
        <v>5112</v>
      </c>
      <c r="B3258" t="s">
        <v>5111</v>
      </c>
      <c r="C3258" t="s">
        <v>1873</v>
      </c>
      <c r="D3258">
        <v>78000</v>
      </c>
      <c r="E3258">
        <v>2000</v>
      </c>
      <c r="F3258">
        <v>78000</v>
      </c>
      <c r="G3258">
        <v>78000</v>
      </c>
      <c r="H3258">
        <v>1</v>
      </c>
      <c r="I3258" t="s">
        <v>89</v>
      </c>
      <c r="J3258">
        <v>26.49</v>
      </c>
      <c r="K3258">
        <v>21</v>
      </c>
      <c r="L3258">
        <v>2</v>
      </c>
      <c r="M3258" t="s">
        <v>4970</v>
      </c>
      <c r="N3258">
        <v>3</v>
      </c>
      <c r="O3258">
        <v>9.33</v>
      </c>
      <c r="P3258">
        <v>98022.29</v>
      </c>
      <c r="Q3258">
        <v>95329.65</v>
      </c>
      <c r="R3258">
        <v>323</v>
      </c>
      <c r="S3258">
        <v>1622</v>
      </c>
      <c r="T3258" t="s">
        <v>34</v>
      </c>
      <c r="U3258" t="s">
        <v>27</v>
      </c>
    </row>
    <row r="3259" spans="1:21">
      <c r="A3259" t="s">
        <v>5113</v>
      </c>
      <c r="B3259" t="s">
        <v>5111</v>
      </c>
      <c r="C3259" t="s">
        <v>5001</v>
      </c>
      <c r="D3259">
        <v>80000</v>
      </c>
      <c r="E3259">
        <v>2000</v>
      </c>
      <c r="H3259">
        <v>1</v>
      </c>
      <c r="I3259" t="s">
        <v>89</v>
      </c>
      <c r="J3259">
        <v>26.91</v>
      </c>
      <c r="K3259">
        <v>21</v>
      </c>
      <c r="L3259">
        <v>2</v>
      </c>
      <c r="M3259" t="s">
        <v>4970</v>
      </c>
      <c r="N3259">
        <v>7</v>
      </c>
      <c r="O3259">
        <v>12.33</v>
      </c>
      <c r="P3259">
        <v>98022.29</v>
      </c>
      <c r="Q3259">
        <v>95329.65</v>
      </c>
      <c r="R3259">
        <v>323</v>
      </c>
      <c r="S3259">
        <v>1622</v>
      </c>
      <c r="T3259" t="s">
        <v>34</v>
      </c>
      <c r="U3259" t="s">
        <v>27</v>
      </c>
    </row>
    <row r="3260" spans="1:21">
      <c r="A3260" t="s">
        <v>5114</v>
      </c>
      <c r="B3260" t="s">
        <v>5111</v>
      </c>
      <c r="C3260" t="s">
        <v>4984</v>
      </c>
      <c r="D3260">
        <v>81000</v>
      </c>
      <c r="E3260">
        <v>3000</v>
      </c>
      <c r="H3260">
        <v>2</v>
      </c>
      <c r="I3260" t="s">
        <v>89</v>
      </c>
      <c r="J3260">
        <v>25.01</v>
      </c>
      <c r="K3260">
        <v>21</v>
      </c>
      <c r="L3260">
        <v>2</v>
      </c>
      <c r="M3260" t="s">
        <v>4970</v>
      </c>
      <c r="N3260">
        <v>3</v>
      </c>
      <c r="O3260">
        <v>11</v>
      </c>
      <c r="P3260">
        <v>98022.29</v>
      </c>
      <c r="Q3260">
        <v>95329.65</v>
      </c>
      <c r="R3260">
        <v>323</v>
      </c>
      <c r="S3260">
        <v>1622</v>
      </c>
      <c r="T3260" t="s">
        <v>34</v>
      </c>
      <c r="U3260" t="s">
        <v>27</v>
      </c>
    </row>
    <row r="3261" spans="1:21">
      <c r="A3261" t="s">
        <v>5115</v>
      </c>
      <c r="B3261" t="s">
        <v>4989</v>
      </c>
      <c r="C3261" t="s">
        <v>4973</v>
      </c>
      <c r="D3261">
        <v>69000</v>
      </c>
      <c r="F3261">
        <v>69000</v>
      </c>
      <c r="G3261">
        <v>69000</v>
      </c>
      <c r="H3261">
        <v>1</v>
      </c>
      <c r="I3261" t="s">
        <v>89</v>
      </c>
      <c r="J3261">
        <v>22.3</v>
      </c>
      <c r="K3261">
        <v>36</v>
      </c>
      <c r="L3261">
        <v>2</v>
      </c>
      <c r="M3261" t="s">
        <v>4970</v>
      </c>
      <c r="N3261">
        <v>8</v>
      </c>
      <c r="O3261">
        <v>10.67</v>
      </c>
      <c r="P3261">
        <v>98022.29</v>
      </c>
      <c r="Q3261">
        <v>95329.65</v>
      </c>
      <c r="R3261">
        <v>323</v>
      </c>
      <c r="S3261">
        <v>1622</v>
      </c>
      <c r="T3261" t="s">
        <v>34</v>
      </c>
      <c r="U3261" t="s">
        <v>49</v>
      </c>
    </row>
    <row r="3262" spans="1:21">
      <c r="A3262" t="s">
        <v>5116</v>
      </c>
      <c r="B3262" t="s">
        <v>5117</v>
      </c>
      <c r="C3262" t="s">
        <v>5001</v>
      </c>
      <c r="D3262">
        <v>65000</v>
      </c>
      <c r="E3262">
        <v>1000</v>
      </c>
      <c r="F3262">
        <v>65000</v>
      </c>
      <c r="G3262">
        <v>65000</v>
      </c>
      <c r="H3262">
        <v>2</v>
      </c>
      <c r="I3262" t="s">
        <v>89</v>
      </c>
      <c r="J3262">
        <v>18</v>
      </c>
      <c r="K3262">
        <v>40</v>
      </c>
      <c r="L3262">
        <v>2</v>
      </c>
      <c r="M3262" t="s">
        <v>4970</v>
      </c>
      <c r="N3262">
        <v>6</v>
      </c>
      <c r="O3262">
        <v>15.33</v>
      </c>
      <c r="P3262">
        <v>98022.29</v>
      </c>
      <c r="Q3262">
        <v>95329.65</v>
      </c>
      <c r="R3262">
        <v>323</v>
      </c>
      <c r="S3262">
        <v>1622</v>
      </c>
      <c r="T3262" t="s">
        <v>108</v>
      </c>
      <c r="U3262" t="s">
        <v>49</v>
      </c>
    </row>
    <row r="3263" spans="1:21">
      <c r="A3263" t="s">
        <v>5118</v>
      </c>
      <c r="B3263" t="s">
        <v>5117</v>
      </c>
      <c r="C3263" t="s">
        <v>5001</v>
      </c>
      <c r="D3263">
        <v>66000</v>
      </c>
      <c r="E3263">
        <v>1000</v>
      </c>
      <c r="F3263">
        <v>66000</v>
      </c>
      <c r="G3263">
        <v>66000</v>
      </c>
      <c r="H3263">
        <v>2</v>
      </c>
      <c r="I3263" t="s">
        <v>89</v>
      </c>
      <c r="J3263">
        <v>18</v>
      </c>
      <c r="K3263">
        <v>40</v>
      </c>
      <c r="L3263">
        <v>2</v>
      </c>
      <c r="M3263" t="s">
        <v>4970</v>
      </c>
      <c r="N3263">
        <v>6</v>
      </c>
      <c r="O3263">
        <v>15.33</v>
      </c>
      <c r="P3263">
        <v>98022.29</v>
      </c>
      <c r="Q3263">
        <v>95329.65</v>
      </c>
      <c r="R3263">
        <v>323</v>
      </c>
      <c r="S3263">
        <v>1622</v>
      </c>
      <c r="T3263" t="s">
        <v>108</v>
      </c>
      <c r="U3263" t="s">
        <v>49</v>
      </c>
    </row>
    <row r="3264" spans="1:21">
      <c r="A3264" t="s">
        <v>5119</v>
      </c>
      <c r="B3264" t="s">
        <v>5120</v>
      </c>
      <c r="C3264" t="s">
        <v>5001</v>
      </c>
      <c r="D3264">
        <v>62000</v>
      </c>
      <c r="F3264">
        <v>62000</v>
      </c>
      <c r="G3264">
        <v>62000</v>
      </c>
      <c r="H3264">
        <v>2</v>
      </c>
      <c r="I3264" t="s">
        <v>89</v>
      </c>
      <c r="J3264">
        <v>19.8</v>
      </c>
      <c r="K3264">
        <v>41</v>
      </c>
      <c r="L3264">
        <v>2</v>
      </c>
      <c r="M3264" t="s">
        <v>4970</v>
      </c>
      <c r="N3264">
        <v>8</v>
      </c>
      <c r="O3264">
        <v>12</v>
      </c>
      <c r="P3264">
        <v>98022.29</v>
      </c>
      <c r="Q3264">
        <v>95329.65</v>
      </c>
      <c r="R3264">
        <v>323</v>
      </c>
      <c r="S3264">
        <v>1622</v>
      </c>
      <c r="T3264" t="s">
        <v>108</v>
      </c>
      <c r="U3264" t="s">
        <v>42</v>
      </c>
    </row>
    <row r="3265" spans="1:21">
      <c r="A3265" t="s">
        <v>5121</v>
      </c>
      <c r="B3265" t="s">
        <v>5120</v>
      </c>
      <c r="C3265" t="s">
        <v>5001</v>
      </c>
      <c r="D3265">
        <v>60000</v>
      </c>
      <c r="F3265">
        <v>60000</v>
      </c>
      <c r="G3265">
        <v>60000</v>
      </c>
      <c r="H3265">
        <v>2</v>
      </c>
      <c r="I3265" t="s">
        <v>89</v>
      </c>
      <c r="J3265">
        <v>19.8</v>
      </c>
      <c r="K3265">
        <v>41</v>
      </c>
      <c r="L3265">
        <v>2</v>
      </c>
      <c r="M3265" t="s">
        <v>4970</v>
      </c>
      <c r="N3265">
        <v>8</v>
      </c>
      <c r="O3265">
        <v>12</v>
      </c>
      <c r="P3265">
        <v>98022.29</v>
      </c>
      <c r="Q3265">
        <v>95329.65</v>
      </c>
      <c r="R3265">
        <v>323</v>
      </c>
      <c r="S3265">
        <v>1622</v>
      </c>
      <c r="T3265" t="s">
        <v>108</v>
      </c>
      <c r="U3265" t="s">
        <v>42</v>
      </c>
    </row>
    <row r="3266" spans="1:21">
      <c r="A3266" t="s">
        <v>5122</v>
      </c>
      <c r="B3266" t="s">
        <v>5123</v>
      </c>
      <c r="C3266" t="s">
        <v>1743</v>
      </c>
      <c r="D3266">
        <v>55000</v>
      </c>
      <c r="E3266">
        <v>3000</v>
      </c>
      <c r="F3266">
        <v>55000</v>
      </c>
      <c r="G3266">
        <v>55000</v>
      </c>
      <c r="H3266">
        <v>1</v>
      </c>
      <c r="I3266" t="s">
        <v>89</v>
      </c>
      <c r="J3266">
        <v>19.170000000000002</v>
      </c>
      <c r="K3266">
        <v>42</v>
      </c>
      <c r="L3266">
        <v>2</v>
      </c>
      <c r="M3266" t="s">
        <v>4970</v>
      </c>
      <c r="N3266">
        <v>8</v>
      </c>
      <c r="O3266">
        <v>12</v>
      </c>
      <c r="P3266">
        <v>98022.29</v>
      </c>
      <c r="Q3266">
        <v>95329.65</v>
      </c>
      <c r="R3266">
        <v>323</v>
      </c>
      <c r="S3266">
        <v>1622</v>
      </c>
      <c r="T3266" t="s">
        <v>108</v>
      </c>
      <c r="U3266" t="s">
        <v>42</v>
      </c>
    </row>
    <row r="3267" spans="1:21">
      <c r="A3267" t="s">
        <v>5124</v>
      </c>
      <c r="B3267" t="s">
        <v>5125</v>
      </c>
      <c r="C3267" t="s">
        <v>5001</v>
      </c>
      <c r="D3267">
        <v>65000</v>
      </c>
      <c r="E3267">
        <v>2000</v>
      </c>
      <c r="G3267">
        <v>65000</v>
      </c>
      <c r="H3267">
        <v>1</v>
      </c>
      <c r="I3267" t="s">
        <v>89</v>
      </c>
      <c r="J3267">
        <v>20</v>
      </c>
      <c r="K3267">
        <v>53</v>
      </c>
      <c r="L3267">
        <v>2</v>
      </c>
      <c r="M3267" t="s">
        <v>4970</v>
      </c>
      <c r="N3267">
        <v>9</v>
      </c>
      <c r="O3267">
        <v>12.67</v>
      </c>
      <c r="P3267">
        <v>98022.29</v>
      </c>
      <c r="Q3267">
        <v>95329.65</v>
      </c>
      <c r="R3267">
        <v>323</v>
      </c>
      <c r="S3267">
        <v>1622</v>
      </c>
      <c r="T3267" t="s">
        <v>34</v>
      </c>
      <c r="U3267" t="s">
        <v>57</v>
      </c>
    </row>
    <row r="3268" spans="1:21">
      <c r="A3268" t="s">
        <v>5126</v>
      </c>
      <c r="B3268" t="s">
        <v>5127</v>
      </c>
      <c r="C3268" t="s">
        <v>2695</v>
      </c>
      <c r="D3268">
        <v>67000</v>
      </c>
      <c r="E3268">
        <v>5000</v>
      </c>
      <c r="F3268">
        <v>67000</v>
      </c>
      <c r="G3268">
        <v>67000</v>
      </c>
      <c r="H3268">
        <v>1</v>
      </c>
      <c r="I3268" t="s">
        <v>89</v>
      </c>
      <c r="J3268">
        <v>12.52</v>
      </c>
      <c r="K3268">
        <v>5</v>
      </c>
      <c r="L3268">
        <v>2</v>
      </c>
      <c r="M3268" t="s">
        <v>4970</v>
      </c>
      <c r="N3268">
        <v>11</v>
      </c>
      <c r="O3268">
        <v>14.33</v>
      </c>
      <c r="P3268">
        <v>98022.29</v>
      </c>
      <c r="Q3268">
        <v>95329.65</v>
      </c>
      <c r="R3268">
        <v>323</v>
      </c>
      <c r="S3268">
        <v>1622</v>
      </c>
      <c r="T3268" t="s">
        <v>108</v>
      </c>
      <c r="U3268" t="s">
        <v>31</v>
      </c>
    </row>
    <row r="3269" spans="1:21">
      <c r="A3269" t="s">
        <v>5128</v>
      </c>
      <c r="B3269" t="s">
        <v>5127</v>
      </c>
      <c r="C3269" t="s">
        <v>2695</v>
      </c>
      <c r="D3269">
        <v>69000</v>
      </c>
      <c r="E3269">
        <v>5000</v>
      </c>
      <c r="F3269">
        <v>69000</v>
      </c>
      <c r="G3269">
        <v>69000</v>
      </c>
      <c r="H3269">
        <v>1</v>
      </c>
      <c r="I3269" t="s">
        <v>89</v>
      </c>
      <c r="J3269">
        <v>14.9</v>
      </c>
      <c r="K3269">
        <v>5</v>
      </c>
      <c r="L3269">
        <v>2</v>
      </c>
      <c r="M3269" t="s">
        <v>4970</v>
      </c>
      <c r="N3269">
        <v>11</v>
      </c>
      <c r="O3269">
        <v>14.33</v>
      </c>
      <c r="P3269">
        <v>98022.29</v>
      </c>
      <c r="Q3269">
        <v>95329.65</v>
      </c>
      <c r="R3269">
        <v>323</v>
      </c>
      <c r="S3269">
        <v>1622</v>
      </c>
      <c r="T3269" t="s">
        <v>108</v>
      </c>
      <c r="U3269" t="s">
        <v>31</v>
      </c>
    </row>
    <row r="3270" spans="1:21">
      <c r="A3270" t="s">
        <v>5129</v>
      </c>
      <c r="B3270" t="s">
        <v>4991</v>
      </c>
      <c r="C3270" t="s">
        <v>1743</v>
      </c>
      <c r="D3270">
        <v>55000</v>
      </c>
      <c r="F3270">
        <v>55000</v>
      </c>
      <c r="G3270">
        <v>55000</v>
      </c>
      <c r="H3270">
        <v>2</v>
      </c>
      <c r="I3270" t="s">
        <v>89</v>
      </c>
      <c r="J3270">
        <v>20</v>
      </c>
      <c r="K3270">
        <v>63</v>
      </c>
      <c r="L3270">
        <v>2</v>
      </c>
      <c r="M3270" t="s">
        <v>4970</v>
      </c>
      <c r="N3270">
        <v>8</v>
      </c>
      <c r="O3270">
        <v>12.33</v>
      </c>
      <c r="P3270">
        <v>98022.29</v>
      </c>
      <c r="Q3270">
        <v>95329.65</v>
      </c>
      <c r="R3270">
        <v>323</v>
      </c>
      <c r="S3270">
        <v>1622</v>
      </c>
      <c r="T3270" t="s">
        <v>34</v>
      </c>
      <c r="U3270" t="s">
        <v>38</v>
      </c>
    </row>
    <row r="3271" spans="1:21">
      <c r="A3271" t="s">
        <v>5130</v>
      </c>
      <c r="B3271" t="s">
        <v>5131</v>
      </c>
      <c r="C3271" t="s">
        <v>5001</v>
      </c>
      <c r="D3271">
        <v>74000</v>
      </c>
      <c r="E3271">
        <v>3000</v>
      </c>
      <c r="H3271">
        <v>1</v>
      </c>
      <c r="I3271" t="s">
        <v>89</v>
      </c>
      <c r="J3271">
        <v>17.52</v>
      </c>
      <c r="K3271">
        <v>8</v>
      </c>
      <c r="L3271">
        <v>2</v>
      </c>
      <c r="M3271" t="s">
        <v>4970</v>
      </c>
      <c r="N3271">
        <v>3</v>
      </c>
      <c r="O3271">
        <v>10.67</v>
      </c>
      <c r="P3271">
        <v>98022.29</v>
      </c>
      <c r="Q3271">
        <v>95329.65</v>
      </c>
      <c r="R3271">
        <v>323</v>
      </c>
      <c r="S3271">
        <v>1622</v>
      </c>
      <c r="T3271" t="s">
        <v>108</v>
      </c>
      <c r="U3271" t="s">
        <v>31</v>
      </c>
    </row>
    <row r="3272" spans="1:21">
      <c r="A3272" t="s">
        <v>5132</v>
      </c>
      <c r="B3272" t="s">
        <v>5131</v>
      </c>
      <c r="C3272" t="s">
        <v>5001</v>
      </c>
      <c r="D3272">
        <v>75000</v>
      </c>
      <c r="E3272">
        <v>3000</v>
      </c>
      <c r="H3272">
        <v>2</v>
      </c>
      <c r="I3272" t="s">
        <v>89</v>
      </c>
      <c r="J3272">
        <v>17.52</v>
      </c>
      <c r="K3272">
        <v>8</v>
      </c>
      <c r="L3272">
        <v>2</v>
      </c>
      <c r="M3272" t="s">
        <v>4970</v>
      </c>
      <c r="N3272">
        <v>3</v>
      </c>
      <c r="O3272">
        <v>10.67</v>
      </c>
      <c r="P3272">
        <v>98022.29</v>
      </c>
      <c r="Q3272">
        <v>95329.65</v>
      </c>
      <c r="R3272">
        <v>323</v>
      </c>
      <c r="S3272">
        <v>1622</v>
      </c>
      <c r="T3272" t="s">
        <v>108</v>
      </c>
      <c r="U3272" t="s">
        <v>31</v>
      </c>
    </row>
    <row r="3273" spans="1:21">
      <c r="A3273" t="s">
        <v>5133</v>
      </c>
      <c r="B3273" t="s">
        <v>5134</v>
      </c>
      <c r="C3273" t="s">
        <v>2695</v>
      </c>
      <c r="D3273">
        <v>73000</v>
      </c>
      <c r="E3273">
        <v>3000</v>
      </c>
      <c r="F3273">
        <v>73000</v>
      </c>
      <c r="G3273">
        <v>73000</v>
      </c>
      <c r="H3273">
        <v>1</v>
      </c>
      <c r="I3273" t="s">
        <v>89</v>
      </c>
      <c r="J3273">
        <v>26.25</v>
      </c>
      <c r="K3273">
        <v>18</v>
      </c>
      <c r="L3273">
        <v>3</v>
      </c>
      <c r="M3273" t="s">
        <v>4970</v>
      </c>
      <c r="N3273">
        <v>12</v>
      </c>
      <c r="O3273">
        <v>14.67</v>
      </c>
      <c r="P3273">
        <v>98022.29</v>
      </c>
      <c r="Q3273">
        <v>95329.65</v>
      </c>
      <c r="R3273">
        <v>323</v>
      </c>
      <c r="S3273">
        <v>1622</v>
      </c>
      <c r="T3273" t="s">
        <v>34</v>
      </c>
      <c r="U3273" t="s">
        <v>90</v>
      </c>
    </row>
    <row r="3274" spans="1:21">
      <c r="A3274" t="s">
        <v>5135</v>
      </c>
      <c r="B3274" t="s">
        <v>5136</v>
      </c>
      <c r="C3274" t="s">
        <v>4984</v>
      </c>
      <c r="D3274">
        <v>74000</v>
      </c>
      <c r="E3274">
        <v>3000</v>
      </c>
      <c r="F3274">
        <v>74000</v>
      </c>
      <c r="G3274">
        <v>74000</v>
      </c>
      <c r="H3274">
        <v>1</v>
      </c>
      <c r="I3274" t="s">
        <v>89</v>
      </c>
      <c r="J3274">
        <v>22</v>
      </c>
      <c r="K3274">
        <v>19</v>
      </c>
      <c r="L3274">
        <v>3</v>
      </c>
      <c r="M3274" t="s">
        <v>4970</v>
      </c>
      <c r="N3274">
        <v>3</v>
      </c>
      <c r="O3274">
        <v>9.67</v>
      </c>
      <c r="P3274">
        <v>98022.29</v>
      </c>
      <c r="Q3274">
        <v>95329.65</v>
      </c>
      <c r="R3274">
        <v>323</v>
      </c>
      <c r="S3274">
        <v>1622</v>
      </c>
      <c r="T3274" t="s">
        <v>34</v>
      </c>
      <c r="U3274" t="s">
        <v>90</v>
      </c>
    </row>
    <row r="3275" spans="1:21">
      <c r="A3275" t="s">
        <v>5137</v>
      </c>
      <c r="B3275" t="s">
        <v>5138</v>
      </c>
      <c r="C3275" t="s">
        <v>4984</v>
      </c>
      <c r="D3275">
        <v>60000</v>
      </c>
      <c r="E3275">
        <v>2000</v>
      </c>
      <c r="F3275">
        <v>60000</v>
      </c>
      <c r="G3275">
        <v>60000</v>
      </c>
      <c r="H3275">
        <v>3</v>
      </c>
      <c r="I3275" t="s">
        <v>89</v>
      </c>
      <c r="J3275">
        <v>18.36</v>
      </c>
      <c r="K3275">
        <v>32</v>
      </c>
      <c r="L3275">
        <v>3</v>
      </c>
      <c r="M3275" t="s">
        <v>4970</v>
      </c>
      <c r="N3275">
        <v>5</v>
      </c>
      <c r="O3275">
        <v>12.67</v>
      </c>
      <c r="P3275">
        <v>98022.29</v>
      </c>
      <c r="Q3275">
        <v>95329.65</v>
      </c>
      <c r="R3275">
        <v>323</v>
      </c>
      <c r="S3275">
        <v>1622</v>
      </c>
      <c r="T3275" t="s">
        <v>108</v>
      </c>
      <c r="U3275" t="s">
        <v>49</v>
      </c>
    </row>
    <row r="3276" spans="1:21">
      <c r="A3276" t="s">
        <v>5139</v>
      </c>
      <c r="B3276" t="s">
        <v>5140</v>
      </c>
      <c r="C3276" t="s">
        <v>1743</v>
      </c>
      <c r="D3276">
        <v>68000</v>
      </c>
      <c r="E3276">
        <v>3000</v>
      </c>
      <c r="F3276">
        <v>68000</v>
      </c>
      <c r="H3276">
        <v>2</v>
      </c>
      <c r="I3276" t="s">
        <v>89</v>
      </c>
      <c r="J3276">
        <v>22.5</v>
      </c>
      <c r="K3276">
        <v>36</v>
      </c>
      <c r="L3276">
        <v>3</v>
      </c>
      <c r="M3276" t="s">
        <v>4970</v>
      </c>
      <c r="N3276">
        <v>8</v>
      </c>
      <c r="O3276">
        <v>10.33</v>
      </c>
      <c r="P3276">
        <v>98022.29</v>
      </c>
      <c r="Q3276">
        <v>95329.65</v>
      </c>
      <c r="R3276">
        <v>323</v>
      </c>
      <c r="S3276">
        <v>1622</v>
      </c>
      <c r="T3276" t="s">
        <v>34</v>
      </c>
      <c r="U3276" t="s">
        <v>49</v>
      </c>
    </row>
    <row r="3277" spans="1:21">
      <c r="A3277" t="s">
        <v>5141</v>
      </c>
      <c r="B3277" t="s">
        <v>5140</v>
      </c>
      <c r="C3277" t="s">
        <v>1743</v>
      </c>
      <c r="D3277">
        <v>67000</v>
      </c>
      <c r="E3277">
        <v>3000</v>
      </c>
      <c r="F3277">
        <v>67000</v>
      </c>
      <c r="H3277">
        <v>2</v>
      </c>
      <c r="I3277" t="s">
        <v>89</v>
      </c>
      <c r="J3277">
        <v>22</v>
      </c>
      <c r="K3277">
        <v>36</v>
      </c>
      <c r="L3277">
        <v>3</v>
      </c>
      <c r="M3277" t="s">
        <v>4970</v>
      </c>
      <c r="N3277">
        <v>8</v>
      </c>
      <c r="O3277">
        <v>10.33</v>
      </c>
      <c r="P3277">
        <v>98022.29</v>
      </c>
      <c r="Q3277">
        <v>95329.65</v>
      </c>
      <c r="R3277">
        <v>323</v>
      </c>
      <c r="S3277">
        <v>1622</v>
      </c>
      <c r="T3277" t="s">
        <v>34</v>
      </c>
      <c r="U3277" t="s">
        <v>49</v>
      </c>
    </row>
    <row r="3278" spans="1:21">
      <c r="A3278" t="s">
        <v>5142</v>
      </c>
      <c r="B3278" t="s">
        <v>5140</v>
      </c>
      <c r="C3278" t="s">
        <v>1743</v>
      </c>
      <c r="D3278">
        <v>65000</v>
      </c>
      <c r="E3278">
        <v>3000</v>
      </c>
      <c r="F3278">
        <v>65000</v>
      </c>
      <c r="H3278">
        <v>3</v>
      </c>
      <c r="I3278" t="s">
        <v>89</v>
      </c>
      <c r="J3278">
        <v>20</v>
      </c>
      <c r="K3278">
        <v>36</v>
      </c>
      <c r="L3278">
        <v>3</v>
      </c>
      <c r="M3278" t="s">
        <v>4970</v>
      </c>
      <c r="N3278">
        <v>8</v>
      </c>
      <c r="O3278">
        <v>10.33</v>
      </c>
      <c r="P3278">
        <v>98022.29</v>
      </c>
      <c r="Q3278">
        <v>95329.65</v>
      </c>
      <c r="R3278">
        <v>323</v>
      </c>
      <c r="S3278">
        <v>1622</v>
      </c>
      <c r="T3278" t="s">
        <v>34</v>
      </c>
      <c r="U3278" t="s">
        <v>49</v>
      </c>
    </row>
    <row r="3279" spans="1:21">
      <c r="A3279" t="s">
        <v>5143</v>
      </c>
      <c r="B3279" t="s">
        <v>5140</v>
      </c>
      <c r="C3279" t="s">
        <v>1743</v>
      </c>
      <c r="D3279">
        <v>65000</v>
      </c>
      <c r="E3279">
        <v>3000</v>
      </c>
      <c r="F3279">
        <v>65000</v>
      </c>
      <c r="H3279">
        <v>3</v>
      </c>
      <c r="I3279" t="s">
        <v>89</v>
      </c>
      <c r="J3279">
        <v>22</v>
      </c>
      <c r="K3279">
        <v>36</v>
      </c>
      <c r="L3279">
        <v>3</v>
      </c>
      <c r="M3279" t="s">
        <v>4970</v>
      </c>
      <c r="N3279">
        <v>8</v>
      </c>
      <c r="O3279">
        <v>10.33</v>
      </c>
      <c r="P3279">
        <v>98022.29</v>
      </c>
      <c r="Q3279">
        <v>95329.65</v>
      </c>
      <c r="R3279">
        <v>323</v>
      </c>
      <c r="S3279">
        <v>1622</v>
      </c>
      <c r="T3279" t="s">
        <v>34</v>
      </c>
      <c r="U3279" t="s">
        <v>49</v>
      </c>
    </row>
    <row r="3280" spans="1:21">
      <c r="A3280" t="s">
        <v>5144</v>
      </c>
      <c r="B3280" t="s">
        <v>5145</v>
      </c>
      <c r="C3280" t="s">
        <v>4984</v>
      </c>
      <c r="D3280">
        <v>67000</v>
      </c>
      <c r="E3280">
        <v>2000</v>
      </c>
      <c r="F3280">
        <v>67000</v>
      </c>
      <c r="G3280">
        <v>67000</v>
      </c>
      <c r="H3280">
        <v>1</v>
      </c>
      <c r="I3280" t="s">
        <v>89</v>
      </c>
      <c r="J3280">
        <v>22</v>
      </c>
      <c r="K3280">
        <v>40</v>
      </c>
      <c r="L3280">
        <v>3</v>
      </c>
      <c r="M3280" t="s">
        <v>4970</v>
      </c>
      <c r="N3280">
        <v>6</v>
      </c>
      <c r="O3280">
        <v>10.67</v>
      </c>
      <c r="P3280">
        <v>98022.29</v>
      </c>
      <c r="Q3280">
        <v>95329.65</v>
      </c>
      <c r="R3280">
        <v>323</v>
      </c>
      <c r="S3280">
        <v>1622</v>
      </c>
      <c r="T3280" t="s">
        <v>34</v>
      </c>
      <c r="U3280" t="s">
        <v>49</v>
      </c>
    </row>
    <row r="3281" spans="1:21">
      <c r="A3281" t="s">
        <v>5146</v>
      </c>
      <c r="B3281" t="s">
        <v>5147</v>
      </c>
      <c r="C3281" t="s">
        <v>2695</v>
      </c>
      <c r="D3281">
        <v>88000</v>
      </c>
      <c r="E3281">
        <v>12000</v>
      </c>
      <c r="G3281">
        <v>88000</v>
      </c>
      <c r="H3281">
        <v>1</v>
      </c>
      <c r="I3281" t="s">
        <v>89</v>
      </c>
      <c r="J3281">
        <v>25.65</v>
      </c>
      <c r="K3281">
        <v>8</v>
      </c>
      <c r="L3281">
        <v>3</v>
      </c>
      <c r="M3281" t="s">
        <v>4970</v>
      </c>
      <c r="N3281">
        <v>9</v>
      </c>
      <c r="O3281">
        <v>13</v>
      </c>
      <c r="P3281">
        <v>98022.29</v>
      </c>
      <c r="Q3281">
        <v>95329.65</v>
      </c>
      <c r="R3281">
        <v>323</v>
      </c>
      <c r="S3281">
        <v>1622</v>
      </c>
      <c r="T3281" t="s">
        <v>34</v>
      </c>
      <c r="U3281" t="s">
        <v>31</v>
      </c>
    </row>
    <row r="3282" spans="1:21">
      <c r="A3282" t="s">
        <v>5148</v>
      </c>
      <c r="B3282" t="s">
        <v>5147</v>
      </c>
      <c r="C3282" t="s">
        <v>2695</v>
      </c>
      <c r="D3282">
        <v>88000</v>
      </c>
      <c r="E3282">
        <v>12000</v>
      </c>
      <c r="H3282">
        <v>1</v>
      </c>
      <c r="I3282" t="s">
        <v>89</v>
      </c>
      <c r="J3282">
        <v>26.35</v>
      </c>
      <c r="K3282">
        <v>8</v>
      </c>
      <c r="L3282">
        <v>3</v>
      </c>
      <c r="M3282" t="s">
        <v>4970</v>
      </c>
      <c r="N3282">
        <v>9</v>
      </c>
      <c r="O3282">
        <v>13</v>
      </c>
      <c r="P3282">
        <v>98022.29</v>
      </c>
      <c r="Q3282">
        <v>95329.65</v>
      </c>
      <c r="R3282">
        <v>323</v>
      </c>
      <c r="S3282">
        <v>1622</v>
      </c>
      <c r="T3282" t="s">
        <v>34</v>
      </c>
      <c r="U3282" t="s">
        <v>31</v>
      </c>
    </row>
    <row r="3283" spans="1:21">
      <c r="A3283" t="s">
        <v>5149</v>
      </c>
      <c r="B3283" t="s">
        <v>5147</v>
      </c>
      <c r="C3283" t="s">
        <v>2695</v>
      </c>
      <c r="D3283">
        <v>91000</v>
      </c>
      <c r="E3283">
        <v>12000</v>
      </c>
      <c r="G3283">
        <v>91000</v>
      </c>
      <c r="H3283">
        <v>3</v>
      </c>
      <c r="I3283" t="s">
        <v>89</v>
      </c>
      <c r="J3283">
        <v>25.76</v>
      </c>
      <c r="K3283">
        <v>8</v>
      </c>
      <c r="L3283">
        <v>3</v>
      </c>
      <c r="M3283" t="s">
        <v>4970</v>
      </c>
      <c r="N3283">
        <v>9</v>
      </c>
      <c r="O3283">
        <v>13</v>
      </c>
      <c r="P3283">
        <v>98022.29</v>
      </c>
      <c r="Q3283">
        <v>95329.65</v>
      </c>
      <c r="R3283">
        <v>323</v>
      </c>
      <c r="S3283">
        <v>1622</v>
      </c>
      <c r="T3283" t="s">
        <v>34</v>
      </c>
      <c r="U3283" t="s">
        <v>31</v>
      </c>
    </row>
    <row r="3284" spans="1:21">
      <c r="A3284" t="s">
        <v>5150</v>
      </c>
      <c r="B3284" t="s">
        <v>5147</v>
      </c>
      <c r="C3284" t="s">
        <v>2695</v>
      </c>
      <c r="D3284">
        <v>97000</v>
      </c>
      <c r="E3284">
        <v>8000</v>
      </c>
      <c r="G3284">
        <v>97000</v>
      </c>
      <c r="H3284">
        <v>3</v>
      </c>
      <c r="I3284" t="s">
        <v>89</v>
      </c>
      <c r="J3284">
        <v>25.76</v>
      </c>
      <c r="K3284">
        <v>8</v>
      </c>
      <c r="L3284">
        <v>3</v>
      </c>
      <c r="M3284" t="s">
        <v>4970</v>
      </c>
      <c r="N3284">
        <v>9</v>
      </c>
      <c r="O3284">
        <v>13</v>
      </c>
      <c r="P3284">
        <v>98022.29</v>
      </c>
      <c r="Q3284">
        <v>95329.65</v>
      </c>
      <c r="R3284">
        <v>323</v>
      </c>
      <c r="S3284">
        <v>1622</v>
      </c>
      <c r="T3284" t="s">
        <v>34</v>
      </c>
      <c r="U3284" t="s">
        <v>31</v>
      </c>
    </row>
    <row r="3285" spans="1:21">
      <c r="A3285" t="s">
        <v>5151</v>
      </c>
      <c r="B3285" t="s">
        <v>5152</v>
      </c>
      <c r="C3285" t="s">
        <v>4969</v>
      </c>
      <c r="D3285">
        <v>79000</v>
      </c>
      <c r="E3285">
        <v>10000</v>
      </c>
      <c r="G3285">
        <v>79000</v>
      </c>
      <c r="H3285">
        <v>3</v>
      </c>
      <c r="I3285" t="s">
        <v>89</v>
      </c>
      <c r="J3285">
        <v>20.04</v>
      </c>
      <c r="K3285">
        <v>4</v>
      </c>
      <c r="L3285">
        <v>4</v>
      </c>
      <c r="M3285" t="s">
        <v>4970</v>
      </c>
      <c r="N3285">
        <v>9</v>
      </c>
      <c r="O3285">
        <v>12.67</v>
      </c>
      <c r="P3285">
        <v>98022.29</v>
      </c>
      <c r="Q3285">
        <v>95329.65</v>
      </c>
      <c r="R3285">
        <v>323</v>
      </c>
      <c r="S3285">
        <v>1622</v>
      </c>
      <c r="T3285" t="s">
        <v>34</v>
      </c>
      <c r="U3285" t="s">
        <v>31</v>
      </c>
    </row>
    <row r="3286" spans="1:21">
      <c r="A3286" t="s">
        <v>5153</v>
      </c>
      <c r="B3286" t="s">
        <v>5154</v>
      </c>
      <c r="C3286" t="s">
        <v>2695</v>
      </c>
      <c r="D3286">
        <v>79000</v>
      </c>
      <c r="E3286">
        <v>12000</v>
      </c>
      <c r="H3286">
        <v>3</v>
      </c>
      <c r="I3286" t="s">
        <v>89</v>
      </c>
      <c r="J3286">
        <v>18.5</v>
      </c>
      <c r="K3286">
        <v>5</v>
      </c>
      <c r="L3286">
        <v>4</v>
      </c>
      <c r="M3286" t="s">
        <v>4970</v>
      </c>
      <c r="N3286">
        <v>10</v>
      </c>
      <c r="O3286">
        <v>12.67</v>
      </c>
      <c r="P3286">
        <v>98022.29</v>
      </c>
      <c r="Q3286">
        <v>95329.65</v>
      </c>
      <c r="R3286">
        <v>323</v>
      </c>
      <c r="S3286">
        <v>1622</v>
      </c>
      <c r="T3286" t="s">
        <v>108</v>
      </c>
      <c r="U3286" t="s">
        <v>31</v>
      </c>
    </row>
    <row r="3287" spans="1:21">
      <c r="A3287" t="s">
        <v>5155</v>
      </c>
      <c r="B3287" t="s">
        <v>5154</v>
      </c>
      <c r="C3287" t="s">
        <v>2695</v>
      </c>
      <c r="D3287">
        <v>79000</v>
      </c>
      <c r="E3287">
        <v>12000</v>
      </c>
      <c r="H3287">
        <v>3</v>
      </c>
      <c r="I3287" t="s">
        <v>89</v>
      </c>
      <c r="J3287">
        <v>20.5</v>
      </c>
      <c r="K3287">
        <v>5</v>
      </c>
      <c r="L3287">
        <v>4</v>
      </c>
      <c r="M3287" t="s">
        <v>4970</v>
      </c>
      <c r="N3287">
        <v>10</v>
      </c>
      <c r="O3287">
        <v>13.33</v>
      </c>
      <c r="P3287">
        <v>98022.29</v>
      </c>
      <c r="Q3287">
        <v>95329.65</v>
      </c>
      <c r="R3287">
        <v>323</v>
      </c>
      <c r="S3287">
        <v>1622</v>
      </c>
      <c r="T3287" t="s">
        <v>34</v>
      </c>
      <c r="U3287" t="s">
        <v>31</v>
      </c>
    </row>
    <row r="3288" spans="1:21">
      <c r="A3288" t="s">
        <v>5156</v>
      </c>
      <c r="B3288" t="s">
        <v>5157</v>
      </c>
      <c r="C3288" t="s">
        <v>1873</v>
      </c>
      <c r="D3288">
        <v>93000</v>
      </c>
      <c r="E3288">
        <v>5000</v>
      </c>
      <c r="F3288">
        <v>93000</v>
      </c>
      <c r="G3288">
        <v>93000</v>
      </c>
      <c r="H3288">
        <v>2</v>
      </c>
      <c r="I3288" t="s">
        <v>89</v>
      </c>
      <c r="J3288">
        <v>25.13</v>
      </c>
      <c r="K3288">
        <v>11</v>
      </c>
      <c r="L3288">
        <v>5</v>
      </c>
      <c r="M3288" t="s">
        <v>4970</v>
      </c>
      <c r="N3288">
        <v>5</v>
      </c>
      <c r="O3288">
        <v>10.33</v>
      </c>
      <c r="P3288">
        <v>98022.29</v>
      </c>
      <c r="Q3288">
        <v>95329.65</v>
      </c>
      <c r="R3288">
        <v>323</v>
      </c>
      <c r="S3288">
        <v>1622</v>
      </c>
      <c r="T3288" t="s">
        <v>34</v>
      </c>
      <c r="U3288" t="s">
        <v>90</v>
      </c>
    </row>
    <row r="3289" spans="1:21">
      <c r="A3289" t="s">
        <v>5158</v>
      </c>
      <c r="B3289" t="s">
        <v>5159</v>
      </c>
      <c r="C3289" t="s">
        <v>5001</v>
      </c>
      <c r="D3289">
        <v>70000</v>
      </c>
      <c r="E3289">
        <v>2000</v>
      </c>
      <c r="F3289">
        <v>70000</v>
      </c>
      <c r="G3289">
        <v>70000</v>
      </c>
      <c r="H3289">
        <v>2</v>
      </c>
      <c r="I3289" t="s">
        <v>89</v>
      </c>
      <c r="J3289">
        <v>23.18</v>
      </c>
      <c r="K3289">
        <v>17</v>
      </c>
      <c r="L3289">
        <v>2</v>
      </c>
      <c r="M3289" t="s">
        <v>4970</v>
      </c>
      <c r="N3289">
        <v>5</v>
      </c>
      <c r="O3289">
        <v>11.67</v>
      </c>
      <c r="P3289">
        <v>98022.29</v>
      </c>
      <c r="Q3289">
        <v>95329.65</v>
      </c>
      <c r="R3289">
        <v>323</v>
      </c>
      <c r="S3289">
        <v>1622</v>
      </c>
      <c r="T3289" t="s">
        <v>34</v>
      </c>
      <c r="U3289" t="s">
        <v>90</v>
      </c>
    </row>
    <row r="3290" spans="1:21">
      <c r="A3290" t="s">
        <v>5160</v>
      </c>
      <c r="B3290" t="s">
        <v>5161</v>
      </c>
      <c r="C3290" t="s">
        <v>1873</v>
      </c>
      <c r="D3290">
        <v>67000</v>
      </c>
      <c r="E3290">
        <v>2000</v>
      </c>
      <c r="F3290">
        <v>67000</v>
      </c>
      <c r="G3290">
        <v>67000</v>
      </c>
      <c r="H3290">
        <v>2</v>
      </c>
      <c r="I3290" t="s">
        <v>89</v>
      </c>
      <c r="J3290">
        <v>25.05</v>
      </c>
      <c r="K3290">
        <v>37</v>
      </c>
      <c r="L3290">
        <v>2</v>
      </c>
      <c r="M3290" t="s">
        <v>4970</v>
      </c>
      <c r="N3290">
        <v>5</v>
      </c>
      <c r="O3290">
        <v>9.67</v>
      </c>
      <c r="P3290">
        <v>98022.29</v>
      </c>
      <c r="Q3290">
        <v>95329.65</v>
      </c>
      <c r="R3290">
        <v>323</v>
      </c>
      <c r="S3290">
        <v>1622</v>
      </c>
      <c r="T3290" t="s">
        <v>34</v>
      </c>
      <c r="U3290" t="s">
        <v>49</v>
      </c>
    </row>
    <row r="3291" spans="1:21">
      <c r="A3291" t="s">
        <v>5162</v>
      </c>
      <c r="B3291" t="s">
        <v>5163</v>
      </c>
      <c r="C3291" t="s">
        <v>1310</v>
      </c>
      <c r="D3291">
        <v>93500</v>
      </c>
      <c r="E3291">
        <v>4600</v>
      </c>
      <c r="G3291">
        <v>233800</v>
      </c>
      <c r="H3291">
        <v>1</v>
      </c>
      <c r="I3291" t="s">
        <v>89</v>
      </c>
      <c r="J3291">
        <v>24.3</v>
      </c>
      <c r="K3291">
        <v>11</v>
      </c>
      <c r="L3291">
        <v>4</v>
      </c>
      <c r="M3291" t="s">
        <v>4970</v>
      </c>
      <c r="N3291">
        <v>10</v>
      </c>
      <c r="O3291">
        <v>11.33</v>
      </c>
      <c r="P3291">
        <v>98022.29</v>
      </c>
      <c r="Q3291">
        <v>95329.65</v>
      </c>
      <c r="R3291">
        <v>323</v>
      </c>
      <c r="S3291">
        <v>1622</v>
      </c>
      <c r="T3291" t="s">
        <v>34</v>
      </c>
      <c r="U3291" t="s">
        <v>90</v>
      </c>
    </row>
    <row r="3292" spans="1:21">
      <c r="A3292" t="s">
        <v>5164</v>
      </c>
      <c r="B3292" t="s">
        <v>5165</v>
      </c>
      <c r="C3292" t="s">
        <v>4973</v>
      </c>
      <c r="D3292">
        <v>110000</v>
      </c>
      <c r="E3292">
        <v>8000</v>
      </c>
      <c r="F3292">
        <v>110000</v>
      </c>
      <c r="G3292">
        <v>110000</v>
      </c>
      <c r="H3292">
        <v>1</v>
      </c>
      <c r="I3292" t="s">
        <v>89</v>
      </c>
      <c r="J3292">
        <v>26.59</v>
      </c>
      <c r="K3292">
        <v>2</v>
      </c>
      <c r="L3292">
        <v>5</v>
      </c>
      <c r="M3292" t="s">
        <v>4970</v>
      </c>
      <c r="N3292">
        <v>8</v>
      </c>
      <c r="O3292">
        <v>10.67</v>
      </c>
      <c r="P3292">
        <v>98022.29</v>
      </c>
      <c r="Q3292">
        <v>95329.65</v>
      </c>
      <c r="R3292">
        <v>323</v>
      </c>
      <c r="S3292">
        <v>1622</v>
      </c>
      <c r="T3292" t="s">
        <v>34</v>
      </c>
      <c r="U3292" t="s">
        <v>31</v>
      </c>
    </row>
    <row r="3293" spans="1:21">
      <c r="A3293" t="s">
        <v>5166</v>
      </c>
      <c r="B3293" t="s">
        <v>5165</v>
      </c>
      <c r="C3293" t="s">
        <v>4973</v>
      </c>
      <c r="D3293">
        <v>115000</v>
      </c>
      <c r="E3293">
        <v>8000</v>
      </c>
      <c r="F3293">
        <v>115000</v>
      </c>
      <c r="G3293">
        <v>115000</v>
      </c>
      <c r="H3293">
        <v>2</v>
      </c>
      <c r="I3293" t="s">
        <v>89</v>
      </c>
      <c r="J3293">
        <v>26.59</v>
      </c>
      <c r="K3293">
        <v>2</v>
      </c>
      <c r="L3293">
        <v>5</v>
      </c>
      <c r="M3293" t="s">
        <v>4970</v>
      </c>
      <c r="N3293">
        <v>8</v>
      </c>
      <c r="O3293">
        <v>10.67</v>
      </c>
      <c r="P3293">
        <v>98022.29</v>
      </c>
      <c r="Q3293">
        <v>95329.65</v>
      </c>
      <c r="R3293">
        <v>323</v>
      </c>
      <c r="S3293">
        <v>1622</v>
      </c>
      <c r="T3293" t="s">
        <v>34</v>
      </c>
      <c r="U3293" t="s">
        <v>31</v>
      </c>
    </row>
    <row r="3294" spans="1:21">
      <c r="A3294" t="s">
        <v>5167</v>
      </c>
      <c r="B3294" t="s">
        <v>5168</v>
      </c>
      <c r="C3294" t="s">
        <v>4973</v>
      </c>
      <c r="D3294">
        <v>63000</v>
      </c>
      <c r="E3294">
        <v>2500</v>
      </c>
      <c r="F3294">
        <v>63000</v>
      </c>
      <c r="H3294">
        <v>2</v>
      </c>
      <c r="I3294" t="s">
        <v>89</v>
      </c>
      <c r="J3294">
        <v>23.1</v>
      </c>
      <c r="K3294">
        <v>37</v>
      </c>
      <c r="L3294">
        <v>2</v>
      </c>
      <c r="M3294" t="s">
        <v>4970</v>
      </c>
      <c r="N3294">
        <v>7</v>
      </c>
      <c r="O3294">
        <v>13</v>
      </c>
      <c r="P3294">
        <v>98022.29</v>
      </c>
      <c r="Q3294">
        <v>95329.65</v>
      </c>
      <c r="R3294">
        <v>323</v>
      </c>
      <c r="S3294">
        <v>1622</v>
      </c>
      <c r="T3294" t="s">
        <v>34</v>
      </c>
      <c r="U3294" t="s">
        <v>49</v>
      </c>
    </row>
    <row r="3295" spans="1:21">
      <c r="A3295" t="s">
        <v>5169</v>
      </c>
      <c r="B3295" t="s">
        <v>5170</v>
      </c>
      <c r="C3295" t="s">
        <v>4969</v>
      </c>
      <c r="D3295">
        <v>95000</v>
      </c>
      <c r="E3295">
        <v>3000</v>
      </c>
      <c r="F3295">
        <v>95000</v>
      </c>
      <c r="G3295">
        <v>95000</v>
      </c>
      <c r="H3295">
        <v>2</v>
      </c>
      <c r="I3295" t="s">
        <v>89</v>
      </c>
      <c r="J3295">
        <v>31.58</v>
      </c>
      <c r="K3295">
        <v>7</v>
      </c>
      <c r="L3295">
        <v>2</v>
      </c>
      <c r="M3295" t="s">
        <v>4970</v>
      </c>
      <c r="N3295">
        <v>3</v>
      </c>
      <c r="O3295">
        <v>10.67</v>
      </c>
      <c r="P3295">
        <v>98022.29</v>
      </c>
      <c r="Q3295">
        <v>95329.65</v>
      </c>
      <c r="R3295">
        <v>323</v>
      </c>
      <c r="S3295">
        <v>1622</v>
      </c>
      <c r="T3295" t="s">
        <v>26</v>
      </c>
      <c r="U3295" t="s">
        <v>31</v>
      </c>
    </row>
    <row r="3296" spans="1:21">
      <c r="A3296" t="s">
        <v>5171</v>
      </c>
      <c r="B3296" t="s">
        <v>5172</v>
      </c>
      <c r="C3296" t="s">
        <v>5071</v>
      </c>
      <c r="D3296">
        <v>81000</v>
      </c>
      <c r="E3296">
        <v>5000</v>
      </c>
      <c r="H3296">
        <v>1</v>
      </c>
      <c r="I3296" t="s">
        <v>89</v>
      </c>
      <c r="J3296">
        <v>19.02</v>
      </c>
      <c r="K3296">
        <v>5</v>
      </c>
      <c r="L3296">
        <v>4</v>
      </c>
      <c r="M3296" t="s">
        <v>4970</v>
      </c>
      <c r="N3296">
        <v>4</v>
      </c>
      <c r="O3296">
        <v>12.67</v>
      </c>
      <c r="P3296">
        <v>98022.29</v>
      </c>
      <c r="Q3296">
        <v>95329.65</v>
      </c>
      <c r="R3296">
        <v>323</v>
      </c>
      <c r="S3296">
        <v>1622</v>
      </c>
      <c r="T3296" t="s">
        <v>108</v>
      </c>
      <c r="U3296" t="s">
        <v>31</v>
      </c>
    </row>
    <row r="3297" spans="1:21">
      <c r="A3297" t="s">
        <v>5173</v>
      </c>
      <c r="B3297" t="s">
        <v>5174</v>
      </c>
      <c r="C3297" t="s">
        <v>4984</v>
      </c>
      <c r="D3297">
        <v>95000</v>
      </c>
      <c r="E3297">
        <v>5000</v>
      </c>
      <c r="F3297">
        <v>95000</v>
      </c>
      <c r="G3297">
        <v>95000</v>
      </c>
      <c r="H3297">
        <v>2</v>
      </c>
      <c r="I3297" t="s">
        <v>89</v>
      </c>
      <c r="J3297">
        <v>26.24</v>
      </c>
      <c r="K3297">
        <v>18</v>
      </c>
      <c r="L3297">
        <v>4</v>
      </c>
      <c r="M3297" t="s">
        <v>4970</v>
      </c>
      <c r="N3297">
        <v>2</v>
      </c>
      <c r="O3297">
        <v>9.33</v>
      </c>
      <c r="P3297">
        <v>98022.29</v>
      </c>
      <c r="Q3297">
        <v>95329.65</v>
      </c>
      <c r="R3297">
        <v>323</v>
      </c>
      <c r="S3297">
        <v>1622</v>
      </c>
      <c r="T3297" t="s">
        <v>34</v>
      </c>
      <c r="U3297" t="s">
        <v>90</v>
      </c>
    </row>
    <row r="3298" spans="1:21">
      <c r="A3298" t="s">
        <v>5175</v>
      </c>
      <c r="B3298" t="s">
        <v>4995</v>
      </c>
      <c r="C3298" t="s">
        <v>4973</v>
      </c>
      <c r="D3298">
        <v>135000</v>
      </c>
      <c r="E3298">
        <v>10000</v>
      </c>
      <c r="F3298">
        <v>135000</v>
      </c>
      <c r="G3298">
        <v>125000</v>
      </c>
      <c r="H3298">
        <v>2</v>
      </c>
      <c r="I3298" t="s">
        <v>325</v>
      </c>
      <c r="J3298">
        <v>34.56</v>
      </c>
      <c r="K3298">
        <v>3</v>
      </c>
      <c r="L3298">
        <v>5</v>
      </c>
      <c r="M3298" t="s">
        <v>4970</v>
      </c>
      <c r="N3298">
        <v>8</v>
      </c>
      <c r="O3298">
        <v>11.33</v>
      </c>
      <c r="P3298">
        <v>98022.29</v>
      </c>
      <c r="Q3298">
        <v>168453.81</v>
      </c>
      <c r="R3298">
        <v>323</v>
      </c>
      <c r="S3298">
        <v>788</v>
      </c>
      <c r="T3298" t="s">
        <v>26</v>
      </c>
      <c r="U3298" t="s">
        <v>31</v>
      </c>
    </row>
    <row r="3299" spans="1:21">
      <c r="A3299" t="s">
        <v>5176</v>
      </c>
      <c r="B3299" t="s">
        <v>5000</v>
      </c>
      <c r="C3299" t="s">
        <v>5001</v>
      </c>
      <c r="D3299">
        <v>108000</v>
      </c>
      <c r="E3299">
        <v>18000</v>
      </c>
      <c r="H3299">
        <v>1</v>
      </c>
      <c r="I3299" t="s">
        <v>325</v>
      </c>
      <c r="J3299">
        <v>25.56</v>
      </c>
      <c r="K3299">
        <v>0</v>
      </c>
      <c r="L3299">
        <v>4</v>
      </c>
      <c r="M3299" t="s">
        <v>4970</v>
      </c>
      <c r="N3299">
        <v>4</v>
      </c>
      <c r="O3299">
        <v>12.67</v>
      </c>
      <c r="P3299">
        <v>98022.29</v>
      </c>
      <c r="Q3299">
        <v>168453.81</v>
      </c>
      <c r="R3299">
        <v>323</v>
      </c>
      <c r="S3299">
        <v>788</v>
      </c>
      <c r="T3299" t="s">
        <v>34</v>
      </c>
      <c r="U3299" t="s">
        <v>81</v>
      </c>
    </row>
    <row r="3300" spans="1:21">
      <c r="A3300" t="s">
        <v>5177</v>
      </c>
      <c r="B3300" t="s">
        <v>5000</v>
      </c>
      <c r="C3300" t="s">
        <v>5001</v>
      </c>
      <c r="D3300">
        <v>109000</v>
      </c>
      <c r="E3300">
        <v>18000</v>
      </c>
      <c r="H3300">
        <v>1</v>
      </c>
      <c r="I3300" t="s">
        <v>325</v>
      </c>
      <c r="J3300">
        <v>26.19</v>
      </c>
      <c r="K3300">
        <v>0</v>
      </c>
      <c r="L3300">
        <v>4</v>
      </c>
      <c r="M3300" t="s">
        <v>4970</v>
      </c>
      <c r="N3300">
        <v>4</v>
      </c>
      <c r="O3300">
        <v>12.67</v>
      </c>
      <c r="P3300">
        <v>98022.29</v>
      </c>
      <c r="Q3300">
        <v>168453.81</v>
      </c>
      <c r="R3300">
        <v>323</v>
      </c>
      <c r="S3300">
        <v>788</v>
      </c>
      <c r="T3300" t="s">
        <v>34</v>
      </c>
      <c r="U3300" t="s">
        <v>81</v>
      </c>
    </row>
    <row r="3301" spans="1:21">
      <c r="A3301" t="s">
        <v>5178</v>
      </c>
      <c r="B3301" t="s">
        <v>5000</v>
      </c>
      <c r="C3301" t="s">
        <v>5001</v>
      </c>
      <c r="D3301">
        <v>108000</v>
      </c>
      <c r="E3301">
        <v>18000</v>
      </c>
      <c r="H3301">
        <v>-1</v>
      </c>
      <c r="I3301" t="s">
        <v>325</v>
      </c>
      <c r="J3301">
        <v>26.19</v>
      </c>
      <c r="K3301">
        <v>0</v>
      </c>
      <c r="L3301">
        <v>4</v>
      </c>
      <c r="M3301" t="s">
        <v>4970</v>
      </c>
      <c r="N3301">
        <v>4</v>
      </c>
      <c r="O3301">
        <v>12.67</v>
      </c>
      <c r="P3301">
        <v>98022.29</v>
      </c>
      <c r="Q3301">
        <v>168453.81</v>
      </c>
      <c r="R3301">
        <v>323</v>
      </c>
      <c r="S3301">
        <v>788</v>
      </c>
      <c r="T3301" t="s">
        <v>34</v>
      </c>
      <c r="U3301" t="s">
        <v>81</v>
      </c>
    </row>
    <row r="3302" spans="1:21">
      <c r="A3302" t="s">
        <v>5179</v>
      </c>
      <c r="B3302" t="s">
        <v>5180</v>
      </c>
      <c r="C3302" t="s">
        <v>5001</v>
      </c>
      <c r="D3302">
        <v>106000</v>
      </c>
      <c r="E3302">
        <v>4000</v>
      </c>
      <c r="F3302">
        <v>106000</v>
      </c>
      <c r="G3302">
        <v>106000</v>
      </c>
      <c r="H3302">
        <v>1</v>
      </c>
      <c r="I3302" t="s">
        <v>325</v>
      </c>
      <c r="J3302">
        <v>33.25</v>
      </c>
      <c r="K3302">
        <v>11</v>
      </c>
      <c r="L3302">
        <v>3</v>
      </c>
      <c r="M3302" t="s">
        <v>4970</v>
      </c>
      <c r="N3302">
        <v>3</v>
      </c>
      <c r="O3302">
        <v>6.67</v>
      </c>
      <c r="P3302">
        <v>98022.29</v>
      </c>
      <c r="Q3302">
        <v>168453.81</v>
      </c>
      <c r="R3302">
        <v>323</v>
      </c>
      <c r="S3302">
        <v>788</v>
      </c>
      <c r="T3302" t="s">
        <v>26</v>
      </c>
      <c r="U3302" t="s">
        <v>90</v>
      </c>
    </row>
    <row r="3303" spans="1:21">
      <c r="A3303" t="s">
        <v>5181</v>
      </c>
      <c r="B3303" t="s">
        <v>5180</v>
      </c>
      <c r="C3303" t="s">
        <v>5001</v>
      </c>
      <c r="D3303">
        <v>124000</v>
      </c>
      <c r="E3303">
        <v>4000</v>
      </c>
      <c r="F3303">
        <v>124000</v>
      </c>
      <c r="G3303">
        <v>124000</v>
      </c>
      <c r="H3303">
        <v>1</v>
      </c>
      <c r="I3303" t="s">
        <v>325</v>
      </c>
      <c r="J3303">
        <v>38.25</v>
      </c>
      <c r="K3303">
        <v>11</v>
      </c>
      <c r="L3303">
        <v>3</v>
      </c>
      <c r="M3303" t="s">
        <v>4970</v>
      </c>
      <c r="N3303">
        <v>3</v>
      </c>
      <c r="O3303">
        <v>6.67</v>
      </c>
      <c r="P3303">
        <v>98022.29</v>
      </c>
      <c r="Q3303">
        <v>168453.81</v>
      </c>
      <c r="R3303">
        <v>323</v>
      </c>
      <c r="S3303">
        <v>788</v>
      </c>
      <c r="T3303" t="s">
        <v>26</v>
      </c>
      <c r="U3303" t="s">
        <v>90</v>
      </c>
    </row>
    <row r="3304" spans="1:21">
      <c r="A3304" t="s">
        <v>5182</v>
      </c>
      <c r="B3304" t="s">
        <v>4979</v>
      </c>
      <c r="C3304" t="s">
        <v>1743</v>
      </c>
      <c r="D3304">
        <v>125000</v>
      </c>
      <c r="F3304">
        <v>125000</v>
      </c>
      <c r="H3304">
        <v>3</v>
      </c>
      <c r="I3304" t="s">
        <v>325</v>
      </c>
      <c r="J3304">
        <v>33.979999999999997</v>
      </c>
      <c r="K3304">
        <v>41</v>
      </c>
      <c r="L3304">
        <v>5</v>
      </c>
      <c r="M3304" t="s">
        <v>4970</v>
      </c>
      <c r="N3304">
        <v>9</v>
      </c>
      <c r="O3304">
        <v>12.67</v>
      </c>
      <c r="P3304">
        <v>98022.29</v>
      </c>
      <c r="Q3304">
        <v>168453.81</v>
      </c>
      <c r="R3304">
        <v>323</v>
      </c>
      <c r="S3304">
        <v>788</v>
      </c>
      <c r="T3304" t="s">
        <v>26</v>
      </c>
      <c r="U3304" t="s">
        <v>42</v>
      </c>
    </row>
    <row r="3305" spans="1:21">
      <c r="A3305" t="s">
        <v>5183</v>
      </c>
      <c r="B3305" t="s">
        <v>4979</v>
      </c>
      <c r="C3305" t="s">
        <v>1743</v>
      </c>
      <c r="D3305">
        <v>125000</v>
      </c>
      <c r="F3305">
        <v>125000</v>
      </c>
      <c r="H3305">
        <v>4</v>
      </c>
      <c r="I3305" t="s">
        <v>325</v>
      </c>
      <c r="J3305">
        <v>34.96</v>
      </c>
      <c r="K3305">
        <v>41</v>
      </c>
      <c r="L3305">
        <v>5</v>
      </c>
      <c r="M3305" t="s">
        <v>4970</v>
      </c>
      <c r="N3305">
        <v>9</v>
      </c>
      <c r="O3305">
        <v>12.67</v>
      </c>
      <c r="P3305">
        <v>98022.29</v>
      </c>
      <c r="Q3305">
        <v>168453.81</v>
      </c>
      <c r="R3305">
        <v>323</v>
      </c>
      <c r="S3305">
        <v>788</v>
      </c>
      <c r="T3305" t="s">
        <v>26</v>
      </c>
      <c r="U3305" t="s">
        <v>42</v>
      </c>
    </row>
    <row r="3306" spans="1:21">
      <c r="A3306" t="s">
        <v>5184</v>
      </c>
      <c r="B3306" t="s">
        <v>5185</v>
      </c>
      <c r="C3306" t="s">
        <v>1873</v>
      </c>
      <c r="D3306">
        <v>150000</v>
      </c>
      <c r="E3306">
        <v>5000</v>
      </c>
      <c r="F3306">
        <v>150000</v>
      </c>
      <c r="G3306">
        <v>150000</v>
      </c>
      <c r="H3306">
        <v>1</v>
      </c>
      <c r="I3306" t="s">
        <v>325</v>
      </c>
      <c r="J3306">
        <v>40</v>
      </c>
      <c r="K3306">
        <v>42</v>
      </c>
      <c r="L3306">
        <v>3</v>
      </c>
      <c r="M3306" t="s">
        <v>4970</v>
      </c>
      <c r="N3306">
        <v>4</v>
      </c>
      <c r="O3306">
        <v>10.33</v>
      </c>
      <c r="P3306">
        <v>98022.29</v>
      </c>
      <c r="Q3306">
        <v>168453.81</v>
      </c>
      <c r="R3306">
        <v>323</v>
      </c>
      <c r="S3306">
        <v>788</v>
      </c>
      <c r="T3306" t="s">
        <v>326</v>
      </c>
      <c r="U3306" t="s">
        <v>42</v>
      </c>
    </row>
    <row r="3307" spans="1:21">
      <c r="A3307" t="s">
        <v>5186</v>
      </c>
      <c r="B3307" t="s">
        <v>5187</v>
      </c>
      <c r="C3307" t="s">
        <v>1310</v>
      </c>
      <c r="D3307">
        <v>160000</v>
      </c>
      <c r="E3307">
        <v>10000</v>
      </c>
      <c r="F3307">
        <v>160000</v>
      </c>
      <c r="G3307">
        <v>160000</v>
      </c>
      <c r="H3307">
        <v>4</v>
      </c>
      <c r="I3307" t="s">
        <v>325</v>
      </c>
      <c r="J3307">
        <v>41</v>
      </c>
      <c r="K3307">
        <v>37</v>
      </c>
      <c r="L3307">
        <v>4</v>
      </c>
      <c r="M3307" t="s">
        <v>4970</v>
      </c>
      <c r="N3307">
        <v>9</v>
      </c>
      <c r="O3307">
        <v>11</v>
      </c>
      <c r="P3307">
        <v>98022.29</v>
      </c>
      <c r="Q3307">
        <v>168453.81</v>
      </c>
      <c r="R3307">
        <v>323</v>
      </c>
      <c r="S3307">
        <v>788</v>
      </c>
      <c r="T3307" t="s">
        <v>326</v>
      </c>
      <c r="U3307" t="s">
        <v>49</v>
      </c>
    </row>
    <row r="3308" spans="1:21">
      <c r="A3308" t="s">
        <v>5188</v>
      </c>
      <c r="B3308" t="s">
        <v>5189</v>
      </c>
      <c r="C3308" t="s">
        <v>1310</v>
      </c>
      <c r="D3308">
        <v>153000</v>
      </c>
      <c r="E3308">
        <v>5500</v>
      </c>
      <c r="G3308">
        <v>153000</v>
      </c>
      <c r="H3308">
        <v>3</v>
      </c>
      <c r="I3308" t="s">
        <v>325</v>
      </c>
      <c r="J3308">
        <v>40.57</v>
      </c>
      <c r="K3308">
        <v>22</v>
      </c>
      <c r="L3308">
        <v>3</v>
      </c>
      <c r="M3308" t="s">
        <v>4970</v>
      </c>
      <c r="N3308">
        <v>13</v>
      </c>
      <c r="O3308">
        <v>14.33</v>
      </c>
      <c r="P3308">
        <v>98022.29</v>
      </c>
      <c r="Q3308">
        <v>168453.81</v>
      </c>
      <c r="R3308">
        <v>323</v>
      </c>
      <c r="S3308">
        <v>788</v>
      </c>
      <c r="T3308" t="s">
        <v>326</v>
      </c>
      <c r="U3308" t="s">
        <v>27</v>
      </c>
    </row>
    <row r="3309" spans="1:21">
      <c r="A3309" t="s">
        <v>5190</v>
      </c>
      <c r="B3309" t="s">
        <v>5191</v>
      </c>
      <c r="C3309" t="s">
        <v>5001</v>
      </c>
      <c r="D3309">
        <v>129900</v>
      </c>
      <c r="E3309">
        <v>8000</v>
      </c>
      <c r="F3309">
        <v>129900</v>
      </c>
      <c r="G3309">
        <v>129900</v>
      </c>
      <c r="H3309">
        <v>3</v>
      </c>
      <c r="I3309" t="s">
        <v>325</v>
      </c>
      <c r="J3309">
        <v>41.11</v>
      </c>
      <c r="K3309">
        <v>14</v>
      </c>
      <c r="L3309">
        <v>3</v>
      </c>
      <c r="M3309" t="s">
        <v>4970</v>
      </c>
      <c r="N3309">
        <v>5</v>
      </c>
      <c r="O3309">
        <v>15</v>
      </c>
      <c r="P3309">
        <v>98022.29</v>
      </c>
      <c r="Q3309">
        <v>168453.81</v>
      </c>
      <c r="R3309">
        <v>323</v>
      </c>
      <c r="S3309">
        <v>788</v>
      </c>
      <c r="T3309" t="s">
        <v>326</v>
      </c>
      <c r="U3309" t="s">
        <v>90</v>
      </c>
    </row>
    <row r="3310" spans="1:21">
      <c r="A3310" t="s">
        <v>5192</v>
      </c>
      <c r="B3310" t="s">
        <v>5193</v>
      </c>
      <c r="C3310" t="s">
        <v>1873</v>
      </c>
      <c r="D3310">
        <v>140000</v>
      </c>
      <c r="E3310">
        <v>10000</v>
      </c>
      <c r="F3310">
        <v>140000</v>
      </c>
      <c r="G3310">
        <v>140000</v>
      </c>
      <c r="H3310">
        <v>4</v>
      </c>
      <c r="I3310" t="s">
        <v>325</v>
      </c>
      <c r="J3310">
        <v>56.7</v>
      </c>
      <c r="K3310">
        <v>57</v>
      </c>
      <c r="L3310">
        <v>8</v>
      </c>
      <c r="M3310" t="s">
        <v>4970</v>
      </c>
      <c r="N3310">
        <v>4</v>
      </c>
      <c r="O3310">
        <v>7</v>
      </c>
      <c r="P3310">
        <v>98022.29</v>
      </c>
      <c r="Q3310">
        <v>168453.81</v>
      </c>
      <c r="R3310">
        <v>323</v>
      </c>
      <c r="S3310">
        <v>788</v>
      </c>
      <c r="T3310" t="s">
        <v>332</v>
      </c>
      <c r="U3310" t="s">
        <v>57</v>
      </c>
    </row>
    <row r="3311" spans="1:21">
      <c r="A3311" t="s">
        <v>5194</v>
      </c>
      <c r="B3311" t="s">
        <v>5195</v>
      </c>
      <c r="C3311" t="s">
        <v>4969</v>
      </c>
      <c r="D3311">
        <v>136000</v>
      </c>
      <c r="E3311">
        <v>4000</v>
      </c>
      <c r="F3311">
        <v>136000</v>
      </c>
      <c r="G3311">
        <v>136000</v>
      </c>
      <c r="H3311">
        <v>2</v>
      </c>
      <c r="I3311" t="s">
        <v>325</v>
      </c>
      <c r="J3311">
        <v>36</v>
      </c>
      <c r="K3311">
        <v>25</v>
      </c>
      <c r="L3311">
        <v>2</v>
      </c>
      <c r="M3311" t="s">
        <v>4970</v>
      </c>
      <c r="N3311">
        <v>3</v>
      </c>
      <c r="O3311">
        <v>10</v>
      </c>
      <c r="P3311">
        <v>98022.29</v>
      </c>
      <c r="Q3311">
        <v>168453.81</v>
      </c>
      <c r="R3311">
        <v>323</v>
      </c>
      <c r="S3311">
        <v>788</v>
      </c>
      <c r="T3311" t="s">
        <v>26</v>
      </c>
      <c r="U3311" t="s">
        <v>27</v>
      </c>
    </row>
    <row r="3312" spans="1:21">
      <c r="A3312" t="s">
        <v>5196</v>
      </c>
      <c r="B3312" t="s">
        <v>5197</v>
      </c>
      <c r="C3312" t="s">
        <v>5001</v>
      </c>
      <c r="D3312">
        <v>106000</v>
      </c>
      <c r="E3312">
        <v>4000</v>
      </c>
      <c r="F3312">
        <v>106000</v>
      </c>
      <c r="G3312">
        <v>106000</v>
      </c>
      <c r="H3312">
        <v>1</v>
      </c>
      <c r="I3312" t="s">
        <v>325</v>
      </c>
      <c r="J3312">
        <v>33.25</v>
      </c>
      <c r="K3312">
        <v>11</v>
      </c>
      <c r="L3312">
        <v>3</v>
      </c>
      <c r="M3312" t="s">
        <v>4970</v>
      </c>
      <c r="N3312">
        <v>3</v>
      </c>
      <c r="O3312">
        <v>6.67</v>
      </c>
      <c r="P3312">
        <v>98022.29</v>
      </c>
      <c r="Q3312">
        <v>168453.81</v>
      </c>
      <c r="R3312">
        <v>323</v>
      </c>
      <c r="S3312">
        <v>788</v>
      </c>
      <c r="T3312" t="s">
        <v>26</v>
      </c>
      <c r="U3312" t="s">
        <v>90</v>
      </c>
    </row>
    <row r="3313" spans="1:21">
      <c r="A3313" t="s">
        <v>5198</v>
      </c>
      <c r="B3313" t="s">
        <v>5197</v>
      </c>
      <c r="C3313" t="s">
        <v>5001</v>
      </c>
      <c r="D3313">
        <v>124000</v>
      </c>
      <c r="E3313">
        <v>4000</v>
      </c>
      <c r="F3313">
        <v>124000</v>
      </c>
      <c r="G3313">
        <v>124000</v>
      </c>
      <c r="H3313">
        <v>1</v>
      </c>
      <c r="I3313" t="s">
        <v>325</v>
      </c>
      <c r="J3313">
        <v>38.25</v>
      </c>
      <c r="K3313">
        <v>11</v>
      </c>
      <c r="L3313">
        <v>3</v>
      </c>
      <c r="M3313" t="s">
        <v>4970</v>
      </c>
      <c r="N3313">
        <v>3</v>
      </c>
      <c r="O3313">
        <v>6.67</v>
      </c>
      <c r="P3313">
        <v>98022.29</v>
      </c>
      <c r="Q3313">
        <v>168453.81</v>
      </c>
      <c r="R3313">
        <v>323</v>
      </c>
      <c r="S3313">
        <v>788</v>
      </c>
      <c r="T3313" t="s">
        <v>26</v>
      </c>
      <c r="U3313" t="s">
        <v>90</v>
      </c>
    </row>
    <row r="3314" spans="1:21">
      <c r="A3314" t="s">
        <v>5199</v>
      </c>
      <c r="B3314" t="s">
        <v>5200</v>
      </c>
      <c r="C3314" t="s">
        <v>5001</v>
      </c>
      <c r="D3314">
        <v>139900</v>
      </c>
      <c r="E3314">
        <v>9900</v>
      </c>
      <c r="F3314">
        <v>139900</v>
      </c>
      <c r="G3314">
        <v>139900</v>
      </c>
      <c r="H3314">
        <v>2</v>
      </c>
      <c r="I3314" t="s">
        <v>325</v>
      </c>
      <c r="J3314">
        <v>53.86</v>
      </c>
      <c r="K3314">
        <v>14</v>
      </c>
      <c r="L3314">
        <v>3</v>
      </c>
      <c r="M3314" t="s">
        <v>4970</v>
      </c>
      <c r="N3314">
        <v>5</v>
      </c>
      <c r="O3314">
        <v>12.67</v>
      </c>
      <c r="P3314">
        <v>98022.29</v>
      </c>
      <c r="Q3314">
        <v>168453.81</v>
      </c>
      <c r="R3314">
        <v>323</v>
      </c>
      <c r="S3314">
        <v>788</v>
      </c>
      <c r="T3314" t="s">
        <v>332</v>
      </c>
      <c r="U3314" t="s">
        <v>90</v>
      </c>
    </row>
    <row r="3315" spans="1:21">
      <c r="A3315" t="s">
        <v>5201</v>
      </c>
      <c r="B3315" t="s">
        <v>5200</v>
      </c>
      <c r="C3315" t="s">
        <v>5001</v>
      </c>
      <c r="D3315">
        <v>129900</v>
      </c>
      <c r="E3315">
        <v>8000</v>
      </c>
      <c r="F3315">
        <v>129900</v>
      </c>
      <c r="G3315">
        <v>129900</v>
      </c>
      <c r="H3315">
        <v>3</v>
      </c>
      <c r="I3315" t="s">
        <v>325</v>
      </c>
      <c r="J3315">
        <v>41.11</v>
      </c>
      <c r="K3315">
        <v>14</v>
      </c>
      <c r="L3315">
        <v>3</v>
      </c>
      <c r="M3315" t="s">
        <v>4970</v>
      </c>
      <c r="N3315">
        <v>5</v>
      </c>
      <c r="O3315">
        <v>12.67</v>
      </c>
      <c r="P3315">
        <v>98022.29</v>
      </c>
      <c r="Q3315">
        <v>168453.81</v>
      </c>
      <c r="R3315">
        <v>323</v>
      </c>
      <c r="S3315">
        <v>788</v>
      </c>
      <c r="T3315" t="s">
        <v>326</v>
      </c>
      <c r="U3315" t="s">
        <v>90</v>
      </c>
    </row>
    <row r="3316" spans="1:21">
      <c r="A3316" t="s">
        <v>5202</v>
      </c>
      <c r="B3316" t="s">
        <v>5200</v>
      </c>
      <c r="C3316" t="s">
        <v>5001</v>
      </c>
      <c r="D3316">
        <v>129000</v>
      </c>
      <c r="E3316">
        <v>8000</v>
      </c>
      <c r="F3316">
        <v>129000</v>
      </c>
      <c r="G3316">
        <v>129000</v>
      </c>
      <c r="H3316">
        <v>3</v>
      </c>
      <c r="I3316" t="s">
        <v>325</v>
      </c>
      <c r="J3316">
        <v>41.11</v>
      </c>
      <c r="K3316">
        <v>14</v>
      </c>
      <c r="L3316">
        <v>3</v>
      </c>
      <c r="M3316" t="s">
        <v>4970</v>
      </c>
      <c r="N3316">
        <v>5</v>
      </c>
      <c r="O3316">
        <v>12.67</v>
      </c>
      <c r="P3316">
        <v>98022.29</v>
      </c>
      <c r="Q3316">
        <v>168453.81</v>
      </c>
      <c r="R3316">
        <v>323</v>
      </c>
      <c r="S3316">
        <v>788</v>
      </c>
      <c r="T3316" t="s">
        <v>326</v>
      </c>
      <c r="U3316" t="s">
        <v>90</v>
      </c>
    </row>
    <row r="3317" spans="1:21">
      <c r="A3317" t="s">
        <v>5203</v>
      </c>
      <c r="B3317" t="s">
        <v>5136</v>
      </c>
      <c r="C3317" t="s">
        <v>5001</v>
      </c>
      <c r="D3317">
        <v>139000</v>
      </c>
      <c r="E3317">
        <v>10000</v>
      </c>
      <c r="F3317">
        <v>139000</v>
      </c>
      <c r="G3317">
        <v>139000</v>
      </c>
      <c r="H3317">
        <v>1</v>
      </c>
      <c r="I3317" t="s">
        <v>325</v>
      </c>
      <c r="J3317">
        <v>38.71</v>
      </c>
      <c r="K3317">
        <v>19</v>
      </c>
      <c r="L3317">
        <v>3</v>
      </c>
      <c r="M3317" t="s">
        <v>4970</v>
      </c>
      <c r="N3317">
        <v>10</v>
      </c>
      <c r="O3317">
        <v>12.67</v>
      </c>
      <c r="P3317">
        <v>98022.29</v>
      </c>
      <c r="Q3317">
        <v>168453.81</v>
      </c>
      <c r="R3317">
        <v>323</v>
      </c>
      <c r="S3317">
        <v>788</v>
      </c>
      <c r="T3317" t="s">
        <v>26</v>
      </c>
      <c r="U3317" t="s">
        <v>90</v>
      </c>
    </row>
    <row r="3318" spans="1:21">
      <c r="A3318" t="s">
        <v>5204</v>
      </c>
      <c r="B3318" t="s">
        <v>5205</v>
      </c>
      <c r="C3318" t="s">
        <v>4969</v>
      </c>
      <c r="D3318">
        <v>120000</v>
      </c>
      <c r="E3318">
        <v>3000</v>
      </c>
      <c r="F3318">
        <v>120000</v>
      </c>
      <c r="G3318">
        <v>120000</v>
      </c>
      <c r="H3318">
        <v>1</v>
      </c>
      <c r="I3318" t="s">
        <v>325</v>
      </c>
      <c r="J3318">
        <v>31.58</v>
      </c>
      <c r="K3318">
        <v>20</v>
      </c>
      <c r="L3318">
        <v>3</v>
      </c>
      <c r="M3318" t="s">
        <v>4970</v>
      </c>
      <c r="N3318">
        <v>8</v>
      </c>
      <c r="O3318">
        <v>12</v>
      </c>
      <c r="P3318">
        <v>98022.29</v>
      </c>
      <c r="Q3318">
        <v>168453.81</v>
      </c>
      <c r="R3318">
        <v>323</v>
      </c>
      <c r="S3318">
        <v>788</v>
      </c>
      <c r="T3318" t="s">
        <v>26</v>
      </c>
      <c r="U3318" t="s">
        <v>90</v>
      </c>
    </row>
    <row r="3319" spans="1:21">
      <c r="A3319" t="s">
        <v>5206</v>
      </c>
      <c r="B3319" t="s">
        <v>5207</v>
      </c>
      <c r="C3319" t="s">
        <v>1743</v>
      </c>
      <c r="D3319">
        <v>100000</v>
      </c>
      <c r="F3319">
        <v>100000</v>
      </c>
      <c r="H3319">
        <v>2</v>
      </c>
      <c r="I3319" t="s">
        <v>325</v>
      </c>
      <c r="J3319">
        <v>33.979999999999997</v>
      </c>
      <c r="K3319">
        <v>41</v>
      </c>
      <c r="L3319">
        <v>5</v>
      </c>
      <c r="M3319" t="s">
        <v>4970</v>
      </c>
      <c r="N3319">
        <v>9</v>
      </c>
      <c r="O3319">
        <v>11</v>
      </c>
      <c r="P3319">
        <v>98022.29</v>
      </c>
      <c r="Q3319">
        <v>168453.81</v>
      </c>
      <c r="R3319">
        <v>323</v>
      </c>
      <c r="S3319">
        <v>788</v>
      </c>
      <c r="T3319" t="s">
        <v>26</v>
      </c>
      <c r="U3319" t="s">
        <v>42</v>
      </c>
    </row>
    <row r="3320" spans="1:21">
      <c r="A3320" t="s">
        <v>5208</v>
      </c>
      <c r="B3320" t="s">
        <v>5207</v>
      </c>
      <c r="C3320" t="s">
        <v>1743</v>
      </c>
      <c r="D3320">
        <v>125000</v>
      </c>
      <c r="F3320">
        <v>125000</v>
      </c>
      <c r="H3320">
        <v>4</v>
      </c>
      <c r="I3320" t="s">
        <v>325</v>
      </c>
      <c r="J3320">
        <v>33.979999999999997</v>
      </c>
      <c r="K3320">
        <v>41</v>
      </c>
      <c r="L3320">
        <v>5</v>
      </c>
      <c r="M3320" t="s">
        <v>4970</v>
      </c>
      <c r="N3320">
        <v>9</v>
      </c>
      <c r="O3320">
        <v>11</v>
      </c>
      <c r="P3320">
        <v>98022.29</v>
      </c>
      <c r="Q3320">
        <v>168453.81</v>
      </c>
      <c r="R3320">
        <v>323</v>
      </c>
      <c r="S3320">
        <v>788</v>
      </c>
      <c r="T3320" t="s">
        <v>26</v>
      </c>
      <c r="U3320" t="s">
        <v>42</v>
      </c>
    </row>
    <row r="3321" spans="1:21">
      <c r="A3321" t="s">
        <v>5209</v>
      </c>
      <c r="B3321" t="s">
        <v>5210</v>
      </c>
      <c r="C3321" t="s">
        <v>5001</v>
      </c>
      <c r="D3321">
        <v>139000</v>
      </c>
      <c r="E3321">
        <v>10000</v>
      </c>
      <c r="F3321">
        <v>139000</v>
      </c>
      <c r="G3321">
        <v>139000</v>
      </c>
      <c r="H3321">
        <v>1</v>
      </c>
      <c r="I3321" t="s">
        <v>325</v>
      </c>
      <c r="J3321">
        <v>38.71</v>
      </c>
      <c r="K3321">
        <v>19</v>
      </c>
      <c r="L3321">
        <v>3</v>
      </c>
      <c r="M3321" t="s">
        <v>4970</v>
      </c>
      <c r="N3321">
        <v>10</v>
      </c>
      <c r="O3321">
        <v>12.67</v>
      </c>
      <c r="P3321">
        <v>98022.29</v>
      </c>
      <c r="Q3321">
        <v>168453.81</v>
      </c>
      <c r="R3321">
        <v>323</v>
      </c>
      <c r="S3321">
        <v>788</v>
      </c>
      <c r="T3321" t="s">
        <v>26</v>
      </c>
      <c r="U3321" t="s">
        <v>90</v>
      </c>
    </row>
    <row r="3322" spans="1:21">
      <c r="A3322" t="s">
        <v>5211</v>
      </c>
      <c r="B3322" t="s">
        <v>5212</v>
      </c>
      <c r="C3322" t="s">
        <v>1310</v>
      </c>
      <c r="D3322">
        <v>153000</v>
      </c>
      <c r="E3322">
        <v>5500</v>
      </c>
      <c r="G3322">
        <v>153000</v>
      </c>
      <c r="H3322">
        <v>3</v>
      </c>
      <c r="I3322" t="s">
        <v>325</v>
      </c>
      <c r="J3322">
        <v>40.57</v>
      </c>
      <c r="K3322">
        <v>22</v>
      </c>
      <c r="L3322">
        <v>3</v>
      </c>
      <c r="M3322" t="s">
        <v>4970</v>
      </c>
      <c r="N3322">
        <v>13</v>
      </c>
      <c r="O3322">
        <v>14.33</v>
      </c>
      <c r="P3322">
        <v>98022.29</v>
      </c>
      <c r="Q3322">
        <v>168453.81</v>
      </c>
      <c r="R3322">
        <v>323</v>
      </c>
      <c r="S3322">
        <v>788</v>
      </c>
      <c r="T3322" t="s">
        <v>326</v>
      </c>
      <c r="U3322" t="s">
        <v>27</v>
      </c>
    </row>
    <row r="3323" spans="1:21">
      <c r="A3323" t="s">
        <v>5213</v>
      </c>
      <c r="B3323" t="s">
        <v>5214</v>
      </c>
      <c r="C3323" t="s">
        <v>1310</v>
      </c>
      <c r="D3323">
        <v>160000</v>
      </c>
      <c r="E3323">
        <v>10000</v>
      </c>
      <c r="F3323">
        <v>160000</v>
      </c>
      <c r="G3323">
        <v>160000</v>
      </c>
      <c r="H3323">
        <v>4</v>
      </c>
      <c r="I3323" t="s">
        <v>325</v>
      </c>
      <c r="J3323">
        <v>41</v>
      </c>
      <c r="K3323">
        <v>37</v>
      </c>
      <c r="L3323">
        <v>4</v>
      </c>
      <c r="M3323" t="s">
        <v>4970</v>
      </c>
      <c r="N3323">
        <v>9</v>
      </c>
      <c r="O3323">
        <v>11</v>
      </c>
      <c r="P3323">
        <v>98022.29</v>
      </c>
      <c r="Q3323">
        <v>168453.81</v>
      </c>
      <c r="R3323">
        <v>323</v>
      </c>
      <c r="S3323">
        <v>788</v>
      </c>
      <c r="T3323" t="s">
        <v>326</v>
      </c>
      <c r="U3323" t="s">
        <v>49</v>
      </c>
    </row>
    <row r="3324" spans="1:21">
      <c r="A3324" t="s">
        <v>5215</v>
      </c>
      <c r="B3324" t="s">
        <v>5165</v>
      </c>
      <c r="C3324" t="s">
        <v>4973</v>
      </c>
      <c r="D3324">
        <v>135000</v>
      </c>
      <c r="E3324">
        <v>10000</v>
      </c>
      <c r="F3324">
        <v>135000</v>
      </c>
      <c r="G3324">
        <v>135000</v>
      </c>
      <c r="H3324">
        <v>2</v>
      </c>
      <c r="I3324" t="s">
        <v>325</v>
      </c>
      <c r="J3324">
        <v>34.56</v>
      </c>
      <c r="K3324">
        <v>2</v>
      </c>
      <c r="L3324">
        <v>5</v>
      </c>
      <c r="M3324" t="s">
        <v>4970</v>
      </c>
      <c r="N3324">
        <v>8</v>
      </c>
      <c r="O3324">
        <v>10.67</v>
      </c>
      <c r="P3324">
        <v>98022.29</v>
      </c>
      <c r="Q3324">
        <v>168453.81</v>
      </c>
      <c r="R3324">
        <v>323</v>
      </c>
      <c r="S3324">
        <v>788</v>
      </c>
      <c r="T3324" t="s">
        <v>26</v>
      </c>
      <c r="U3324" t="s">
        <v>31</v>
      </c>
    </row>
    <row r="3325" spans="1:21">
      <c r="A3325" t="s">
        <v>5216</v>
      </c>
      <c r="B3325" t="s">
        <v>5217</v>
      </c>
      <c r="C3325" t="s">
        <v>4984</v>
      </c>
      <c r="D3325">
        <v>77000</v>
      </c>
      <c r="E3325">
        <v>9000</v>
      </c>
      <c r="H3325">
        <v>2</v>
      </c>
      <c r="I3325" t="s">
        <v>432</v>
      </c>
      <c r="J3325">
        <v>15.29</v>
      </c>
      <c r="K3325">
        <v>6</v>
      </c>
      <c r="L3325">
        <v>4</v>
      </c>
      <c r="M3325" t="s">
        <v>4970</v>
      </c>
      <c r="N3325">
        <v>3</v>
      </c>
      <c r="O3325">
        <v>13</v>
      </c>
      <c r="P3325">
        <v>98022.29</v>
      </c>
      <c r="Q3325">
        <v>77692.34</v>
      </c>
      <c r="R3325">
        <v>323</v>
      </c>
      <c r="S3325">
        <v>1071</v>
      </c>
      <c r="T3325" t="s">
        <v>108</v>
      </c>
      <c r="U3325" t="s">
        <v>31</v>
      </c>
    </row>
    <row r="3326" spans="1:21">
      <c r="A3326" t="s">
        <v>5218</v>
      </c>
      <c r="B3326" t="s">
        <v>5217</v>
      </c>
      <c r="C3326" t="s">
        <v>4984</v>
      </c>
      <c r="D3326">
        <v>70000</v>
      </c>
      <c r="E3326">
        <v>9000</v>
      </c>
      <c r="H3326">
        <v>3</v>
      </c>
      <c r="I3326" t="s">
        <v>432</v>
      </c>
      <c r="J3326">
        <v>12</v>
      </c>
      <c r="K3326">
        <v>6</v>
      </c>
      <c r="L3326">
        <v>4</v>
      </c>
      <c r="M3326" t="s">
        <v>4970</v>
      </c>
      <c r="N3326">
        <v>3</v>
      </c>
      <c r="O3326">
        <v>13</v>
      </c>
      <c r="P3326">
        <v>98022.29</v>
      </c>
      <c r="Q3326">
        <v>77692.34</v>
      </c>
      <c r="R3326">
        <v>323</v>
      </c>
      <c r="S3326">
        <v>1071</v>
      </c>
      <c r="T3326" t="s">
        <v>108</v>
      </c>
      <c r="U3326" t="s">
        <v>31</v>
      </c>
    </row>
    <row r="3327" spans="1:21">
      <c r="A3327" t="s">
        <v>5219</v>
      </c>
      <c r="B3327" t="s">
        <v>5217</v>
      </c>
      <c r="C3327" t="s">
        <v>4984</v>
      </c>
      <c r="D3327">
        <v>72000</v>
      </c>
      <c r="E3327">
        <v>9000</v>
      </c>
      <c r="H3327">
        <v>4</v>
      </c>
      <c r="I3327" t="s">
        <v>432</v>
      </c>
      <c r="J3327">
        <v>12.25</v>
      </c>
      <c r="K3327">
        <v>6</v>
      </c>
      <c r="L3327">
        <v>4</v>
      </c>
      <c r="M3327" t="s">
        <v>4970</v>
      </c>
      <c r="N3327">
        <v>3</v>
      </c>
      <c r="O3327">
        <v>13</v>
      </c>
      <c r="P3327">
        <v>98022.29</v>
      </c>
      <c r="Q3327">
        <v>77692.34</v>
      </c>
      <c r="R3327">
        <v>323</v>
      </c>
      <c r="S3327">
        <v>1071</v>
      </c>
      <c r="T3327" t="s">
        <v>108</v>
      </c>
      <c r="U3327" t="s">
        <v>31</v>
      </c>
    </row>
    <row r="3328" spans="1:21">
      <c r="A3328" t="s">
        <v>5220</v>
      </c>
      <c r="B3328" t="s">
        <v>5221</v>
      </c>
      <c r="C3328" t="s">
        <v>4969</v>
      </c>
      <c r="D3328">
        <v>50000</v>
      </c>
      <c r="E3328">
        <v>3000</v>
      </c>
      <c r="H3328">
        <v>1</v>
      </c>
      <c r="I3328" t="s">
        <v>432</v>
      </c>
      <c r="J3328">
        <v>18</v>
      </c>
      <c r="K3328">
        <v>39</v>
      </c>
      <c r="L3328">
        <v>4</v>
      </c>
      <c r="M3328" t="s">
        <v>4970</v>
      </c>
      <c r="N3328">
        <v>8</v>
      </c>
      <c r="O3328">
        <v>12.33</v>
      </c>
      <c r="P3328">
        <v>98022.29</v>
      </c>
      <c r="Q3328">
        <v>77692.34</v>
      </c>
      <c r="R3328">
        <v>323</v>
      </c>
      <c r="S3328">
        <v>1071</v>
      </c>
      <c r="T3328" t="s">
        <v>108</v>
      </c>
      <c r="U3328" t="s">
        <v>49</v>
      </c>
    </row>
    <row r="3329" spans="1:21">
      <c r="A3329" t="s">
        <v>5222</v>
      </c>
      <c r="B3329" t="s">
        <v>5223</v>
      </c>
      <c r="C3329" t="s">
        <v>4969</v>
      </c>
      <c r="D3329">
        <v>64000</v>
      </c>
      <c r="E3329">
        <v>4000</v>
      </c>
      <c r="G3329">
        <v>64000</v>
      </c>
      <c r="H3329">
        <v>2</v>
      </c>
      <c r="I3329" t="s">
        <v>432</v>
      </c>
      <c r="J3329">
        <v>12.61</v>
      </c>
      <c r="K3329">
        <v>2</v>
      </c>
      <c r="L3329">
        <v>2</v>
      </c>
      <c r="M3329" t="s">
        <v>4970</v>
      </c>
      <c r="N3329">
        <v>6</v>
      </c>
      <c r="O3329">
        <v>11.67</v>
      </c>
      <c r="P3329">
        <v>98022.29</v>
      </c>
      <c r="Q3329">
        <v>77692.34</v>
      </c>
      <c r="R3329">
        <v>323</v>
      </c>
      <c r="S3329">
        <v>1071</v>
      </c>
      <c r="T3329" t="s">
        <v>108</v>
      </c>
      <c r="U3329" t="s">
        <v>31</v>
      </c>
    </row>
    <row r="3330" spans="1:21">
      <c r="A3330" t="s">
        <v>5224</v>
      </c>
      <c r="B3330" t="s">
        <v>5009</v>
      </c>
      <c r="C3330" t="s">
        <v>4984</v>
      </c>
      <c r="D3330">
        <v>60000</v>
      </c>
      <c r="F3330">
        <v>60000</v>
      </c>
      <c r="G3330">
        <v>60000</v>
      </c>
      <c r="H3330">
        <v>1</v>
      </c>
      <c r="I3330" t="s">
        <v>432</v>
      </c>
      <c r="J3330">
        <v>20</v>
      </c>
      <c r="K3330">
        <v>30</v>
      </c>
      <c r="L3330">
        <v>2</v>
      </c>
      <c r="M3330" t="s">
        <v>4970</v>
      </c>
      <c r="N3330">
        <v>5</v>
      </c>
      <c r="O3330">
        <v>10</v>
      </c>
      <c r="P3330">
        <v>98022.29</v>
      </c>
      <c r="Q3330">
        <v>77692.34</v>
      </c>
      <c r="R3330">
        <v>323</v>
      </c>
      <c r="S3330">
        <v>1071</v>
      </c>
      <c r="T3330" t="s">
        <v>34</v>
      </c>
      <c r="U3330" t="s">
        <v>27</v>
      </c>
    </row>
    <row r="3331" spans="1:21">
      <c r="A3331" t="s">
        <v>5225</v>
      </c>
      <c r="B3331" t="s">
        <v>5226</v>
      </c>
      <c r="C3331" t="s">
        <v>4984</v>
      </c>
      <c r="D3331">
        <v>75000</v>
      </c>
      <c r="E3331">
        <v>1000</v>
      </c>
      <c r="F3331">
        <v>75000</v>
      </c>
      <c r="G3331">
        <v>75000</v>
      </c>
      <c r="H3331">
        <v>2</v>
      </c>
      <c r="I3331" t="s">
        <v>432</v>
      </c>
      <c r="J3331">
        <v>22</v>
      </c>
      <c r="K3331">
        <v>20</v>
      </c>
      <c r="L3331">
        <v>3</v>
      </c>
      <c r="M3331" t="s">
        <v>4970</v>
      </c>
      <c r="N3331">
        <v>4</v>
      </c>
      <c r="O3331">
        <v>10.67</v>
      </c>
      <c r="P3331">
        <v>98022.29</v>
      </c>
      <c r="Q3331">
        <v>77692.34</v>
      </c>
      <c r="R3331">
        <v>323</v>
      </c>
      <c r="S3331">
        <v>1071</v>
      </c>
      <c r="T3331" t="s">
        <v>34</v>
      </c>
      <c r="U3331" t="s">
        <v>90</v>
      </c>
    </row>
    <row r="3332" spans="1:21">
      <c r="A3332" t="s">
        <v>5227</v>
      </c>
      <c r="B3332" t="s">
        <v>5228</v>
      </c>
      <c r="C3332" t="s">
        <v>1873</v>
      </c>
      <c r="D3332">
        <v>92000</v>
      </c>
      <c r="E3332">
        <v>4000</v>
      </c>
      <c r="F3332">
        <v>92000</v>
      </c>
      <c r="G3332">
        <v>92000</v>
      </c>
      <c r="H3332">
        <v>3</v>
      </c>
      <c r="I3332" t="s">
        <v>432</v>
      </c>
      <c r="J3332">
        <v>25.05</v>
      </c>
      <c r="K3332">
        <v>17</v>
      </c>
      <c r="L3332">
        <v>3</v>
      </c>
      <c r="M3332" t="s">
        <v>4970</v>
      </c>
      <c r="N3332">
        <v>4</v>
      </c>
      <c r="O3332">
        <v>11.33</v>
      </c>
      <c r="P3332">
        <v>98022.29</v>
      </c>
      <c r="Q3332">
        <v>77692.34</v>
      </c>
      <c r="R3332">
        <v>323</v>
      </c>
      <c r="S3332">
        <v>1071</v>
      </c>
      <c r="T3332" t="s">
        <v>34</v>
      </c>
      <c r="U3332" t="s">
        <v>90</v>
      </c>
    </row>
    <row r="3333" spans="1:21">
      <c r="A3333" t="s">
        <v>5229</v>
      </c>
      <c r="B3333" t="s">
        <v>5230</v>
      </c>
      <c r="C3333" t="s">
        <v>5096</v>
      </c>
      <c r="D3333">
        <v>37000</v>
      </c>
      <c r="E3333">
        <v>3000</v>
      </c>
      <c r="H3333">
        <v>3</v>
      </c>
      <c r="I3333" t="s">
        <v>432</v>
      </c>
      <c r="J3333">
        <v>11.4</v>
      </c>
      <c r="K3333">
        <v>40</v>
      </c>
      <c r="L3333">
        <v>4</v>
      </c>
      <c r="M3333" t="s">
        <v>4970</v>
      </c>
      <c r="N3333">
        <v>8</v>
      </c>
      <c r="O3333">
        <v>13.67</v>
      </c>
      <c r="P3333">
        <v>98022.29</v>
      </c>
      <c r="Q3333">
        <v>77692.34</v>
      </c>
      <c r="R3333">
        <v>323</v>
      </c>
      <c r="S3333">
        <v>1071</v>
      </c>
      <c r="T3333" t="s">
        <v>108</v>
      </c>
      <c r="U3333" t="s">
        <v>49</v>
      </c>
    </row>
    <row r="3334" spans="1:21">
      <c r="A3334" t="s">
        <v>5231</v>
      </c>
      <c r="B3334" t="s">
        <v>5232</v>
      </c>
      <c r="C3334" t="s">
        <v>4984</v>
      </c>
      <c r="D3334">
        <v>51000</v>
      </c>
      <c r="E3334">
        <v>2000</v>
      </c>
      <c r="F3334">
        <v>51000</v>
      </c>
      <c r="H3334">
        <v>2</v>
      </c>
      <c r="I3334" t="s">
        <v>432</v>
      </c>
      <c r="J3334">
        <v>11.34</v>
      </c>
      <c r="K3334">
        <v>21</v>
      </c>
      <c r="L3334">
        <v>2</v>
      </c>
      <c r="M3334" t="s">
        <v>4970</v>
      </c>
      <c r="N3334">
        <v>5</v>
      </c>
      <c r="O3334">
        <v>10.33</v>
      </c>
      <c r="P3334">
        <v>98022.29</v>
      </c>
      <c r="Q3334">
        <v>77692.34</v>
      </c>
      <c r="R3334">
        <v>323</v>
      </c>
      <c r="S3334">
        <v>1071</v>
      </c>
      <c r="T3334" t="s">
        <v>108</v>
      </c>
      <c r="U3334" t="s">
        <v>27</v>
      </c>
    </row>
    <row r="3335" spans="1:21">
      <c r="A3335" t="s">
        <v>5233</v>
      </c>
      <c r="B3335" t="s">
        <v>5234</v>
      </c>
      <c r="C3335" t="s">
        <v>5071</v>
      </c>
      <c r="D3335">
        <v>48000</v>
      </c>
      <c r="E3335">
        <v>3000</v>
      </c>
      <c r="H3335">
        <v>1</v>
      </c>
      <c r="I3335" t="s">
        <v>432</v>
      </c>
      <c r="J3335">
        <v>9.1999999999999993</v>
      </c>
      <c r="K3335">
        <v>16</v>
      </c>
      <c r="L3335">
        <v>2</v>
      </c>
      <c r="M3335" t="s">
        <v>4970</v>
      </c>
      <c r="N3335">
        <v>5</v>
      </c>
      <c r="O3335">
        <v>10.67</v>
      </c>
      <c r="P3335">
        <v>98022.29</v>
      </c>
      <c r="Q3335">
        <v>77692.34</v>
      </c>
      <c r="R3335">
        <v>323</v>
      </c>
      <c r="S3335">
        <v>1071</v>
      </c>
      <c r="T3335" t="s">
        <v>231</v>
      </c>
      <c r="U3335" t="s">
        <v>90</v>
      </c>
    </row>
    <row r="3336" spans="1:21">
      <c r="A3336" t="s">
        <v>5235</v>
      </c>
      <c r="B3336" t="s">
        <v>5236</v>
      </c>
      <c r="C3336" t="s">
        <v>5071</v>
      </c>
      <c r="D3336">
        <v>55000</v>
      </c>
      <c r="F3336">
        <v>55000</v>
      </c>
      <c r="G3336">
        <v>55000</v>
      </c>
      <c r="H3336">
        <v>1</v>
      </c>
      <c r="I3336" t="s">
        <v>432</v>
      </c>
      <c r="J3336">
        <v>10.130000000000001</v>
      </c>
      <c r="K3336">
        <v>16</v>
      </c>
      <c r="L3336">
        <v>2</v>
      </c>
      <c r="M3336" t="s">
        <v>4970</v>
      </c>
      <c r="N3336">
        <v>5</v>
      </c>
      <c r="O3336">
        <v>11.33</v>
      </c>
      <c r="P3336">
        <v>98022.29</v>
      </c>
      <c r="Q3336">
        <v>77692.34</v>
      </c>
      <c r="R3336">
        <v>323</v>
      </c>
      <c r="S3336">
        <v>1071</v>
      </c>
      <c r="T3336" t="s">
        <v>108</v>
      </c>
      <c r="U3336" t="s">
        <v>90</v>
      </c>
    </row>
    <row r="3337" spans="1:21">
      <c r="A3337" t="s">
        <v>5237</v>
      </c>
      <c r="B3337" t="s">
        <v>5238</v>
      </c>
      <c r="C3337" t="s">
        <v>2695</v>
      </c>
      <c r="D3337">
        <v>47000</v>
      </c>
      <c r="E3337">
        <v>5000</v>
      </c>
      <c r="H3337">
        <v>1</v>
      </c>
      <c r="I3337" t="s">
        <v>432</v>
      </c>
      <c r="J3337">
        <v>10.87</v>
      </c>
      <c r="K3337">
        <v>17</v>
      </c>
      <c r="L3337">
        <v>2</v>
      </c>
      <c r="M3337" t="s">
        <v>4970</v>
      </c>
      <c r="N3337">
        <v>9</v>
      </c>
      <c r="O3337">
        <v>13.33</v>
      </c>
      <c r="P3337">
        <v>98022.29</v>
      </c>
      <c r="Q3337">
        <v>77692.34</v>
      </c>
      <c r="R3337">
        <v>323</v>
      </c>
      <c r="S3337">
        <v>1071</v>
      </c>
      <c r="T3337" t="s">
        <v>108</v>
      </c>
      <c r="U3337" t="s">
        <v>90</v>
      </c>
    </row>
    <row r="3338" spans="1:21">
      <c r="A3338" t="s">
        <v>5239</v>
      </c>
      <c r="B3338" t="s">
        <v>5240</v>
      </c>
      <c r="C3338" t="s">
        <v>4984</v>
      </c>
      <c r="D3338">
        <v>50000</v>
      </c>
      <c r="F3338">
        <v>50000</v>
      </c>
      <c r="G3338">
        <v>50000</v>
      </c>
      <c r="H3338">
        <v>1</v>
      </c>
      <c r="I3338" t="s">
        <v>432</v>
      </c>
      <c r="J3338">
        <v>16.7</v>
      </c>
      <c r="K3338">
        <v>34</v>
      </c>
      <c r="L3338">
        <v>2</v>
      </c>
      <c r="M3338" t="s">
        <v>4970</v>
      </c>
      <c r="N3338">
        <v>2</v>
      </c>
      <c r="O3338">
        <v>11</v>
      </c>
      <c r="P3338">
        <v>98022.29</v>
      </c>
      <c r="Q3338">
        <v>77692.34</v>
      </c>
      <c r="R3338">
        <v>323</v>
      </c>
      <c r="S3338">
        <v>1071</v>
      </c>
      <c r="T3338" t="s">
        <v>108</v>
      </c>
      <c r="U3338" t="s">
        <v>49</v>
      </c>
    </row>
    <row r="3339" spans="1:21">
      <c r="A3339" t="s">
        <v>5241</v>
      </c>
      <c r="B3339" t="s">
        <v>5242</v>
      </c>
      <c r="C3339" t="s">
        <v>1310</v>
      </c>
      <c r="D3339">
        <v>75000</v>
      </c>
      <c r="E3339">
        <v>2000</v>
      </c>
      <c r="F3339">
        <v>75000</v>
      </c>
      <c r="G3339">
        <v>75000</v>
      </c>
      <c r="H3339">
        <v>3</v>
      </c>
      <c r="I3339" t="s">
        <v>432</v>
      </c>
      <c r="J3339">
        <v>20.3</v>
      </c>
      <c r="K3339">
        <v>35</v>
      </c>
      <c r="L3339">
        <v>3</v>
      </c>
      <c r="M3339" t="s">
        <v>4970</v>
      </c>
      <c r="N3339">
        <v>8</v>
      </c>
      <c r="O3339">
        <v>10</v>
      </c>
      <c r="P3339">
        <v>98022.29</v>
      </c>
      <c r="Q3339">
        <v>77692.34</v>
      </c>
      <c r="R3339">
        <v>323</v>
      </c>
      <c r="S3339">
        <v>1071</v>
      </c>
      <c r="T3339" t="s">
        <v>34</v>
      </c>
      <c r="U3339" t="s">
        <v>49</v>
      </c>
    </row>
    <row r="3340" spans="1:21">
      <c r="A3340" t="s">
        <v>5243</v>
      </c>
      <c r="B3340" t="s">
        <v>5244</v>
      </c>
      <c r="C3340" t="s">
        <v>4984</v>
      </c>
      <c r="D3340">
        <v>45000</v>
      </c>
      <c r="E3340">
        <v>2000</v>
      </c>
      <c r="H3340">
        <v>3</v>
      </c>
      <c r="I3340" t="s">
        <v>432</v>
      </c>
      <c r="J3340">
        <v>13</v>
      </c>
      <c r="K3340">
        <v>38</v>
      </c>
      <c r="L3340">
        <v>4</v>
      </c>
      <c r="M3340" t="s">
        <v>4970</v>
      </c>
      <c r="N3340">
        <v>6</v>
      </c>
      <c r="O3340">
        <v>11</v>
      </c>
      <c r="P3340">
        <v>98022.29</v>
      </c>
      <c r="Q3340">
        <v>77692.34</v>
      </c>
      <c r="R3340">
        <v>323</v>
      </c>
      <c r="S3340">
        <v>1071</v>
      </c>
      <c r="T3340" t="s">
        <v>108</v>
      </c>
      <c r="U3340" t="s">
        <v>49</v>
      </c>
    </row>
    <row r="3341" spans="1:21">
      <c r="A3341" t="s">
        <v>5245</v>
      </c>
      <c r="B3341" t="s">
        <v>5246</v>
      </c>
      <c r="C3341" t="s">
        <v>5247</v>
      </c>
      <c r="D3341">
        <v>66000</v>
      </c>
      <c r="E3341">
        <v>5000</v>
      </c>
      <c r="H3341">
        <v>2</v>
      </c>
      <c r="I3341" t="s">
        <v>432</v>
      </c>
      <c r="J3341">
        <v>12.68</v>
      </c>
      <c r="K3341">
        <v>7</v>
      </c>
      <c r="L3341">
        <v>2</v>
      </c>
      <c r="M3341" t="s">
        <v>4970</v>
      </c>
      <c r="N3341">
        <v>9</v>
      </c>
      <c r="O3341">
        <v>12.67</v>
      </c>
      <c r="P3341">
        <v>98022.29</v>
      </c>
      <c r="Q3341">
        <v>77692.34</v>
      </c>
      <c r="R3341">
        <v>323</v>
      </c>
      <c r="S3341">
        <v>1071</v>
      </c>
      <c r="T3341" t="s">
        <v>108</v>
      </c>
      <c r="U3341" t="s">
        <v>31</v>
      </c>
    </row>
    <row r="3342" spans="1:21">
      <c r="A3342" t="s">
        <v>5248</v>
      </c>
      <c r="B3342" t="s">
        <v>5249</v>
      </c>
      <c r="C3342" t="s">
        <v>1743</v>
      </c>
      <c r="D3342">
        <v>70000</v>
      </c>
      <c r="E3342">
        <v>2500</v>
      </c>
      <c r="H3342">
        <v>2</v>
      </c>
      <c r="I3342" t="s">
        <v>432</v>
      </c>
      <c r="J3342">
        <v>25</v>
      </c>
      <c r="K3342">
        <v>33</v>
      </c>
      <c r="L3342">
        <v>2</v>
      </c>
      <c r="M3342" t="s">
        <v>4970</v>
      </c>
      <c r="N3342">
        <v>10</v>
      </c>
      <c r="O3342">
        <v>12.67</v>
      </c>
      <c r="P3342">
        <v>98022.29</v>
      </c>
      <c r="Q3342">
        <v>77692.34</v>
      </c>
      <c r="R3342">
        <v>323</v>
      </c>
      <c r="S3342">
        <v>1071</v>
      </c>
      <c r="T3342" t="s">
        <v>34</v>
      </c>
      <c r="U3342" t="s">
        <v>49</v>
      </c>
    </row>
    <row r="3343" spans="1:21">
      <c r="A3343" t="s">
        <v>5250</v>
      </c>
      <c r="B3343" t="s">
        <v>5251</v>
      </c>
      <c r="C3343" t="s">
        <v>1310</v>
      </c>
      <c r="D3343">
        <v>60000</v>
      </c>
      <c r="E3343">
        <v>2000</v>
      </c>
      <c r="F3343">
        <v>60000</v>
      </c>
      <c r="G3343">
        <v>60000</v>
      </c>
      <c r="H3343">
        <v>2</v>
      </c>
      <c r="I3343" t="s">
        <v>432</v>
      </c>
      <c r="J3343">
        <v>19</v>
      </c>
      <c r="K3343">
        <v>41</v>
      </c>
      <c r="L3343">
        <v>4</v>
      </c>
      <c r="M3343" t="s">
        <v>4970</v>
      </c>
      <c r="N3343">
        <v>10</v>
      </c>
      <c r="O3343">
        <v>11.33</v>
      </c>
      <c r="P3343">
        <v>98022.29</v>
      </c>
      <c r="Q3343">
        <v>77692.34</v>
      </c>
      <c r="R3343">
        <v>323</v>
      </c>
      <c r="S3343">
        <v>1071</v>
      </c>
      <c r="T3343" t="s">
        <v>108</v>
      </c>
      <c r="U3343" t="s">
        <v>42</v>
      </c>
    </row>
    <row r="3344" spans="1:21">
      <c r="A3344" t="s">
        <v>5252</v>
      </c>
      <c r="B3344" t="s">
        <v>5253</v>
      </c>
      <c r="C3344" t="s">
        <v>1873</v>
      </c>
      <c r="D3344">
        <v>74000</v>
      </c>
      <c r="E3344">
        <v>5000</v>
      </c>
      <c r="F3344">
        <v>74000</v>
      </c>
      <c r="G3344">
        <v>74000</v>
      </c>
      <c r="H3344">
        <v>1</v>
      </c>
      <c r="I3344" t="s">
        <v>432</v>
      </c>
      <c r="J3344">
        <v>18</v>
      </c>
      <c r="K3344">
        <v>38</v>
      </c>
      <c r="L3344">
        <v>3</v>
      </c>
      <c r="M3344" t="s">
        <v>4970</v>
      </c>
      <c r="N3344">
        <v>5</v>
      </c>
      <c r="O3344">
        <v>10.67</v>
      </c>
      <c r="P3344">
        <v>98022.29</v>
      </c>
      <c r="Q3344">
        <v>77692.34</v>
      </c>
      <c r="R3344">
        <v>323</v>
      </c>
      <c r="S3344">
        <v>1071</v>
      </c>
      <c r="T3344" t="s">
        <v>108</v>
      </c>
      <c r="U3344" t="s">
        <v>49</v>
      </c>
    </row>
    <row r="3345" spans="1:21">
      <c r="A3345" t="s">
        <v>5254</v>
      </c>
      <c r="B3345" t="s">
        <v>5255</v>
      </c>
      <c r="C3345" t="s">
        <v>5071</v>
      </c>
      <c r="D3345">
        <v>50000</v>
      </c>
      <c r="E3345">
        <v>5000</v>
      </c>
      <c r="H3345">
        <v>1</v>
      </c>
      <c r="I3345" t="s">
        <v>432</v>
      </c>
      <c r="J3345">
        <v>13.5</v>
      </c>
      <c r="K3345">
        <v>17</v>
      </c>
      <c r="L3345">
        <v>2</v>
      </c>
      <c r="M3345" t="s">
        <v>4970</v>
      </c>
      <c r="N3345">
        <v>9</v>
      </c>
      <c r="O3345">
        <v>14</v>
      </c>
      <c r="P3345">
        <v>98022.29</v>
      </c>
      <c r="Q3345">
        <v>77692.34</v>
      </c>
      <c r="R3345">
        <v>323</v>
      </c>
      <c r="S3345">
        <v>1071</v>
      </c>
      <c r="T3345" t="s">
        <v>108</v>
      </c>
      <c r="U3345" t="s">
        <v>90</v>
      </c>
    </row>
    <row r="3346" spans="1:21">
      <c r="A3346" t="s">
        <v>5256</v>
      </c>
      <c r="B3346" t="s">
        <v>5257</v>
      </c>
      <c r="C3346" t="s">
        <v>4969</v>
      </c>
      <c r="D3346">
        <v>81000</v>
      </c>
      <c r="E3346">
        <v>10000</v>
      </c>
      <c r="H3346">
        <v>4</v>
      </c>
      <c r="I3346" t="s">
        <v>432</v>
      </c>
      <c r="J3346">
        <v>20.03</v>
      </c>
      <c r="K3346">
        <v>5</v>
      </c>
      <c r="L3346">
        <v>4</v>
      </c>
      <c r="M3346" t="s">
        <v>4970</v>
      </c>
      <c r="N3346">
        <v>9</v>
      </c>
      <c r="O3346">
        <v>12.67</v>
      </c>
      <c r="P3346">
        <v>98022.29</v>
      </c>
      <c r="Q3346">
        <v>77692.34</v>
      </c>
      <c r="R3346">
        <v>323</v>
      </c>
      <c r="S3346">
        <v>1071</v>
      </c>
      <c r="T3346" t="s">
        <v>34</v>
      </c>
      <c r="U3346" t="s">
        <v>31</v>
      </c>
    </row>
    <row r="3347" spans="1:21">
      <c r="A3347" t="s">
        <v>5258</v>
      </c>
      <c r="B3347" t="s">
        <v>5259</v>
      </c>
      <c r="C3347" t="s">
        <v>4984</v>
      </c>
      <c r="D3347">
        <v>60000</v>
      </c>
      <c r="H3347">
        <v>2</v>
      </c>
      <c r="I3347" t="s">
        <v>432</v>
      </c>
      <c r="J3347">
        <v>15.8</v>
      </c>
      <c r="K3347">
        <v>58</v>
      </c>
      <c r="L3347">
        <v>2</v>
      </c>
      <c r="M3347" t="s">
        <v>4970</v>
      </c>
      <c r="N3347">
        <v>2</v>
      </c>
      <c r="O3347">
        <v>10.67</v>
      </c>
      <c r="P3347">
        <v>98022.29</v>
      </c>
      <c r="Q3347">
        <v>77692.34</v>
      </c>
      <c r="R3347">
        <v>323</v>
      </c>
      <c r="S3347">
        <v>1071</v>
      </c>
      <c r="T3347" t="s">
        <v>108</v>
      </c>
      <c r="U3347" t="s">
        <v>57</v>
      </c>
    </row>
    <row r="3348" spans="1:21">
      <c r="A3348" t="s">
        <v>5260</v>
      </c>
      <c r="B3348" t="s">
        <v>5261</v>
      </c>
      <c r="C3348" t="s">
        <v>4969</v>
      </c>
      <c r="D3348">
        <v>66000</v>
      </c>
      <c r="E3348">
        <v>4000</v>
      </c>
      <c r="F3348">
        <v>66000</v>
      </c>
      <c r="H3348">
        <v>2</v>
      </c>
      <c r="I3348" t="s">
        <v>432</v>
      </c>
      <c r="J3348">
        <v>17.98</v>
      </c>
      <c r="K3348">
        <v>38</v>
      </c>
      <c r="L3348">
        <v>3</v>
      </c>
      <c r="M3348" t="s">
        <v>4970</v>
      </c>
      <c r="N3348">
        <v>2</v>
      </c>
      <c r="O3348">
        <v>9.33</v>
      </c>
      <c r="P3348">
        <v>98022.29</v>
      </c>
      <c r="Q3348">
        <v>77692.34</v>
      </c>
      <c r="R3348">
        <v>323</v>
      </c>
      <c r="S3348">
        <v>1071</v>
      </c>
      <c r="T3348" t="s">
        <v>108</v>
      </c>
      <c r="U3348" t="s">
        <v>49</v>
      </c>
    </row>
    <row r="3349" spans="1:21">
      <c r="A3349" t="s">
        <v>5262</v>
      </c>
      <c r="B3349" t="s">
        <v>5261</v>
      </c>
      <c r="C3349" t="s">
        <v>4969</v>
      </c>
      <c r="D3349">
        <v>69000</v>
      </c>
      <c r="E3349">
        <v>3000</v>
      </c>
      <c r="F3349">
        <v>69000</v>
      </c>
      <c r="H3349">
        <v>2</v>
      </c>
      <c r="I3349" t="s">
        <v>432</v>
      </c>
      <c r="J3349">
        <v>20.22</v>
      </c>
      <c r="K3349">
        <v>38</v>
      </c>
      <c r="L3349">
        <v>3</v>
      </c>
      <c r="M3349" t="s">
        <v>4970</v>
      </c>
      <c r="N3349">
        <v>2</v>
      </c>
      <c r="O3349">
        <v>9.33</v>
      </c>
      <c r="P3349">
        <v>98022.29</v>
      </c>
      <c r="Q3349">
        <v>77692.34</v>
      </c>
      <c r="R3349">
        <v>323</v>
      </c>
      <c r="S3349">
        <v>1071</v>
      </c>
      <c r="T3349" t="s">
        <v>34</v>
      </c>
      <c r="U3349" t="s">
        <v>49</v>
      </c>
    </row>
    <row r="3350" spans="1:21">
      <c r="A3350" t="s">
        <v>5263</v>
      </c>
      <c r="B3350" t="s">
        <v>5264</v>
      </c>
      <c r="C3350" t="s">
        <v>4969</v>
      </c>
      <c r="D3350">
        <v>57000</v>
      </c>
      <c r="F3350">
        <v>57000</v>
      </c>
      <c r="G3350">
        <v>57000</v>
      </c>
      <c r="H3350">
        <v>1</v>
      </c>
      <c r="I3350" t="s">
        <v>432</v>
      </c>
      <c r="J3350">
        <v>16</v>
      </c>
      <c r="K3350">
        <v>40</v>
      </c>
      <c r="L3350">
        <v>2</v>
      </c>
      <c r="M3350" t="s">
        <v>4970</v>
      </c>
      <c r="N3350">
        <v>4</v>
      </c>
      <c r="O3350">
        <v>10.33</v>
      </c>
      <c r="P3350">
        <v>98022.29</v>
      </c>
      <c r="Q3350">
        <v>77692.34</v>
      </c>
      <c r="R3350">
        <v>323</v>
      </c>
      <c r="S3350">
        <v>1071</v>
      </c>
      <c r="T3350" t="s">
        <v>108</v>
      </c>
      <c r="U3350" t="s">
        <v>49</v>
      </c>
    </row>
    <row r="3351" spans="1:21">
      <c r="A3351" t="s">
        <v>5265</v>
      </c>
      <c r="B3351" t="s">
        <v>5264</v>
      </c>
      <c r="C3351" t="s">
        <v>4969</v>
      </c>
      <c r="D3351">
        <v>46000</v>
      </c>
      <c r="E3351">
        <v>1000</v>
      </c>
      <c r="H3351">
        <v>2</v>
      </c>
      <c r="I3351" t="s">
        <v>432</v>
      </c>
      <c r="J3351">
        <v>14</v>
      </c>
      <c r="K3351">
        <v>40</v>
      </c>
      <c r="L3351">
        <v>2</v>
      </c>
      <c r="M3351" t="s">
        <v>4970</v>
      </c>
      <c r="N3351">
        <v>4</v>
      </c>
      <c r="O3351">
        <v>10.33</v>
      </c>
      <c r="P3351">
        <v>98022.29</v>
      </c>
      <c r="Q3351">
        <v>77692.34</v>
      </c>
      <c r="R3351">
        <v>323</v>
      </c>
      <c r="S3351">
        <v>1071</v>
      </c>
      <c r="T3351" t="s">
        <v>108</v>
      </c>
      <c r="U3351" t="s">
        <v>49</v>
      </c>
    </row>
    <row r="3352" spans="1:21">
      <c r="A3352" t="s">
        <v>5266</v>
      </c>
      <c r="B3352" t="s">
        <v>5264</v>
      </c>
      <c r="C3352" t="s">
        <v>4969</v>
      </c>
      <c r="D3352">
        <v>48000</v>
      </c>
      <c r="E3352">
        <v>1000</v>
      </c>
      <c r="H3352">
        <v>2</v>
      </c>
      <c r="I3352" t="s">
        <v>432</v>
      </c>
      <c r="J3352">
        <v>16</v>
      </c>
      <c r="K3352">
        <v>40</v>
      </c>
      <c r="L3352">
        <v>2</v>
      </c>
      <c r="M3352" t="s">
        <v>4970</v>
      </c>
      <c r="N3352">
        <v>4</v>
      </c>
      <c r="O3352">
        <v>10.33</v>
      </c>
      <c r="P3352">
        <v>98022.29</v>
      </c>
      <c r="Q3352">
        <v>77692.34</v>
      </c>
      <c r="R3352">
        <v>323</v>
      </c>
      <c r="S3352">
        <v>1071</v>
      </c>
      <c r="T3352" t="s">
        <v>108</v>
      </c>
      <c r="U3352" t="s">
        <v>49</v>
      </c>
    </row>
    <row r="3353" spans="1:21">
      <c r="A3353" t="s">
        <v>5267</v>
      </c>
      <c r="B3353" t="s">
        <v>5264</v>
      </c>
      <c r="C3353" t="s">
        <v>4969</v>
      </c>
      <c r="D3353">
        <v>57000</v>
      </c>
      <c r="F3353">
        <v>57000</v>
      </c>
      <c r="G3353">
        <v>57000</v>
      </c>
      <c r="H3353">
        <v>2</v>
      </c>
      <c r="I3353" t="s">
        <v>432</v>
      </c>
      <c r="J3353">
        <v>16</v>
      </c>
      <c r="K3353">
        <v>40</v>
      </c>
      <c r="L3353">
        <v>2</v>
      </c>
      <c r="M3353" t="s">
        <v>4970</v>
      </c>
      <c r="N3353">
        <v>4</v>
      </c>
      <c r="O3353">
        <v>10.33</v>
      </c>
      <c r="P3353">
        <v>98022.29</v>
      </c>
      <c r="Q3353">
        <v>77692.34</v>
      </c>
      <c r="R3353">
        <v>323</v>
      </c>
      <c r="S3353">
        <v>1071</v>
      </c>
      <c r="T3353" t="s">
        <v>108</v>
      </c>
      <c r="U3353" t="s">
        <v>49</v>
      </c>
    </row>
    <row r="3354" spans="1:21">
      <c r="A3354" t="s">
        <v>5268</v>
      </c>
      <c r="B3354" t="s">
        <v>5269</v>
      </c>
      <c r="C3354" t="s">
        <v>1743</v>
      </c>
      <c r="D3354">
        <v>45000</v>
      </c>
      <c r="E3354">
        <v>3000</v>
      </c>
      <c r="H3354">
        <v>1</v>
      </c>
      <c r="I3354" t="s">
        <v>432</v>
      </c>
      <c r="J3354">
        <v>12.96</v>
      </c>
      <c r="K3354">
        <v>36</v>
      </c>
      <c r="L3354">
        <v>2</v>
      </c>
      <c r="M3354" t="s">
        <v>4970</v>
      </c>
      <c r="N3354">
        <v>9</v>
      </c>
      <c r="O3354">
        <v>9.5</v>
      </c>
      <c r="P3354">
        <v>98022.29</v>
      </c>
      <c r="Q3354">
        <v>77692.34</v>
      </c>
      <c r="R3354">
        <v>323</v>
      </c>
      <c r="S3354">
        <v>1071</v>
      </c>
      <c r="T3354" t="s">
        <v>108</v>
      </c>
      <c r="U3354" t="s">
        <v>49</v>
      </c>
    </row>
    <row r="3355" spans="1:21">
      <c r="A3355" t="s">
        <v>5270</v>
      </c>
      <c r="B3355" t="s">
        <v>5269</v>
      </c>
      <c r="C3355" t="s">
        <v>1743</v>
      </c>
      <c r="D3355">
        <v>47000</v>
      </c>
      <c r="E3355">
        <v>3000</v>
      </c>
      <c r="H3355">
        <v>2</v>
      </c>
      <c r="I3355" t="s">
        <v>432</v>
      </c>
      <c r="J3355">
        <v>12.96</v>
      </c>
      <c r="K3355">
        <v>36</v>
      </c>
      <c r="L3355">
        <v>2</v>
      </c>
      <c r="M3355" t="s">
        <v>4970</v>
      </c>
      <c r="N3355">
        <v>9</v>
      </c>
      <c r="O3355">
        <v>9.5</v>
      </c>
      <c r="P3355">
        <v>98022.29</v>
      </c>
      <c r="Q3355">
        <v>77692.34</v>
      </c>
      <c r="R3355">
        <v>323</v>
      </c>
      <c r="S3355">
        <v>1071</v>
      </c>
      <c r="T3355" t="s">
        <v>108</v>
      </c>
      <c r="U3355" t="s">
        <v>49</v>
      </c>
    </row>
    <row r="3356" spans="1:21">
      <c r="A3356" t="s">
        <v>5271</v>
      </c>
      <c r="B3356" t="s">
        <v>5272</v>
      </c>
      <c r="C3356" t="s">
        <v>4969</v>
      </c>
      <c r="D3356">
        <v>62000</v>
      </c>
      <c r="E3356">
        <v>3000</v>
      </c>
      <c r="H3356">
        <v>2</v>
      </c>
      <c r="I3356" t="s">
        <v>432</v>
      </c>
      <c r="J3356">
        <v>10.57</v>
      </c>
      <c r="K3356">
        <v>6</v>
      </c>
      <c r="L3356">
        <v>2</v>
      </c>
      <c r="M3356" t="s">
        <v>4970</v>
      </c>
      <c r="N3356">
        <v>4</v>
      </c>
      <c r="O3356">
        <v>13.67</v>
      </c>
      <c r="P3356">
        <v>98022.29</v>
      </c>
      <c r="Q3356">
        <v>77692.34</v>
      </c>
      <c r="R3356">
        <v>323</v>
      </c>
      <c r="S3356">
        <v>1071</v>
      </c>
      <c r="T3356" t="s">
        <v>108</v>
      </c>
      <c r="U3356" t="s">
        <v>31</v>
      </c>
    </row>
    <row r="3357" spans="1:21">
      <c r="A3357" t="s">
        <v>5273</v>
      </c>
      <c r="B3357" t="s">
        <v>5274</v>
      </c>
      <c r="C3357" t="s">
        <v>1743</v>
      </c>
      <c r="D3357">
        <v>62000</v>
      </c>
      <c r="E3357">
        <v>3000</v>
      </c>
      <c r="H3357">
        <v>2</v>
      </c>
      <c r="I3357" t="s">
        <v>432</v>
      </c>
      <c r="J3357">
        <v>10.7</v>
      </c>
      <c r="K3357">
        <v>5</v>
      </c>
      <c r="L3357">
        <v>2</v>
      </c>
      <c r="M3357" t="s">
        <v>4970</v>
      </c>
      <c r="N3357">
        <v>12</v>
      </c>
      <c r="O3357">
        <v>14.67</v>
      </c>
      <c r="P3357">
        <v>98022.29</v>
      </c>
      <c r="Q3357">
        <v>77692.34</v>
      </c>
      <c r="R3357">
        <v>323</v>
      </c>
      <c r="S3357">
        <v>1071</v>
      </c>
      <c r="T3357" t="s">
        <v>108</v>
      </c>
      <c r="U3357" t="s">
        <v>31</v>
      </c>
    </row>
    <row r="3358" spans="1:21">
      <c r="A3358" t="s">
        <v>5275</v>
      </c>
      <c r="B3358" t="s">
        <v>5276</v>
      </c>
      <c r="C3358" t="s">
        <v>1743</v>
      </c>
      <c r="D3358">
        <v>62000</v>
      </c>
      <c r="E3358">
        <v>3000</v>
      </c>
      <c r="H3358">
        <v>2</v>
      </c>
      <c r="I3358" t="s">
        <v>432</v>
      </c>
      <c r="J3358">
        <v>11.05</v>
      </c>
      <c r="K3358">
        <v>5</v>
      </c>
      <c r="L3358">
        <v>2</v>
      </c>
      <c r="M3358" t="s">
        <v>4970</v>
      </c>
      <c r="N3358">
        <v>12</v>
      </c>
      <c r="O3358">
        <v>14.67</v>
      </c>
      <c r="P3358">
        <v>98022.29</v>
      </c>
      <c r="Q3358">
        <v>77692.34</v>
      </c>
      <c r="R3358">
        <v>323</v>
      </c>
      <c r="S3358">
        <v>1071</v>
      </c>
      <c r="T3358" t="s">
        <v>108</v>
      </c>
      <c r="U3358" t="s">
        <v>31</v>
      </c>
    </row>
    <row r="3359" spans="1:21">
      <c r="A3359" t="s">
        <v>5277</v>
      </c>
      <c r="B3359" t="s">
        <v>5278</v>
      </c>
      <c r="C3359" t="s">
        <v>5071</v>
      </c>
      <c r="D3359">
        <v>60000</v>
      </c>
      <c r="E3359">
        <v>3000</v>
      </c>
      <c r="H3359">
        <v>1</v>
      </c>
      <c r="I3359" t="s">
        <v>432</v>
      </c>
      <c r="J3359">
        <v>10.24</v>
      </c>
      <c r="K3359">
        <v>6</v>
      </c>
      <c r="L3359">
        <v>2</v>
      </c>
      <c r="M3359" t="s">
        <v>4970</v>
      </c>
      <c r="N3359">
        <v>6</v>
      </c>
      <c r="O3359">
        <v>12.67</v>
      </c>
      <c r="P3359">
        <v>98022.29</v>
      </c>
      <c r="Q3359">
        <v>77692.34</v>
      </c>
      <c r="R3359">
        <v>323</v>
      </c>
      <c r="S3359">
        <v>1071</v>
      </c>
      <c r="T3359" t="s">
        <v>108</v>
      </c>
      <c r="U3359" t="s">
        <v>31</v>
      </c>
    </row>
    <row r="3360" spans="1:21">
      <c r="A3360" t="s">
        <v>5279</v>
      </c>
      <c r="B3360" t="s">
        <v>5280</v>
      </c>
      <c r="C3360" t="s">
        <v>4969</v>
      </c>
      <c r="D3360">
        <v>65000</v>
      </c>
      <c r="E3360">
        <v>3000</v>
      </c>
      <c r="F3360">
        <v>65000</v>
      </c>
      <c r="G3360">
        <v>65000</v>
      </c>
      <c r="H3360">
        <v>1</v>
      </c>
      <c r="I3360" t="s">
        <v>432</v>
      </c>
      <c r="J3360">
        <v>17.02</v>
      </c>
      <c r="K3360">
        <v>38</v>
      </c>
      <c r="L3360">
        <v>3</v>
      </c>
      <c r="M3360" t="s">
        <v>4970</v>
      </c>
      <c r="N3360">
        <v>3</v>
      </c>
      <c r="O3360">
        <v>10.67</v>
      </c>
      <c r="P3360">
        <v>98022.29</v>
      </c>
      <c r="Q3360">
        <v>77692.34</v>
      </c>
      <c r="R3360">
        <v>323</v>
      </c>
      <c r="S3360">
        <v>1071</v>
      </c>
      <c r="T3360" t="s">
        <v>108</v>
      </c>
      <c r="U3360" t="s">
        <v>49</v>
      </c>
    </row>
    <row r="3361" spans="1:21">
      <c r="A3361" t="s">
        <v>5281</v>
      </c>
      <c r="B3361" t="s">
        <v>5280</v>
      </c>
      <c r="C3361" t="s">
        <v>4969</v>
      </c>
      <c r="D3361">
        <v>67000</v>
      </c>
      <c r="E3361">
        <v>3000</v>
      </c>
      <c r="F3361">
        <v>67000</v>
      </c>
      <c r="G3361">
        <v>67000</v>
      </c>
      <c r="H3361">
        <v>1</v>
      </c>
      <c r="I3361" t="s">
        <v>432</v>
      </c>
      <c r="J3361">
        <v>20.28</v>
      </c>
      <c r="K3361">
        <v>38</v>
      </c>
      <c r="L3361">
        <v>3</v>
      </c>
      <c r="M3361" t="s">
        <v>4970</v>
      </c>
      <c r="N3361">
        <v>3</v>
      </c>
      <c r="O3361">
        <v>10.67</v>
      </c>
      <c r="P3361">
        <v>98022.29</v>
      </c>
      <c r="Q3361">
        <v>77692.34</v>
      </c>
      <c r="R3361">
        <v>323</v>
      </c>
      <c r="S3361">
        <v>1071</v>
      </c>
      <c r="T3361" t="s">
        <v>34</v>
      </c>
      <c r="U3361" t="s">
        <v>49</v>
      </c>
    </row>
    <row r="3362" spans="1:21">
      <c r="A3362" t="s">
        <v>5282</v>
      </c>
      <c r="B3362" t="s">
        <v>5283</v>
      </c>
      <c r="C3362" t="s">
        <v>5071</v>
      </c>
      <c r="D3362">
        <v>73000</v>
      </c>
      <c r="E3362">
        <v>4000</v>
      </c>
      <c r="G3362">
        <v>73000</v>
      </c>
      <c r="H3362">
        <v>2</v>
      </c>
      <c r="I3362" t="s">
        <v>432</v>
      </c>
      <c r="J3362">
        <v>21.73</v>
      </c>
      <c r="K3362">
        <v>8</v>
      </c>
      <c r="L3362">
        <v>2</v>
      </c>
      <c r="M3362" t="s">
        <v>4970</v>
      </c>
      <c r="N3362">
        <v>5</v>
      </c>
      <c r="O3362">
        <v>13.67</v>
      </c>
      <c r="P3362">
        <v>98022.29</v>
      </c>
      <c r="Q3362">
        <v>77692.34</v>
      </c>
      <c r="R3362">
        <v>323</v>
      </c>
      <c r="S3362">
        <v>1071</v>
      </c>
      <c r="T3362" t="s">
        <v>34</v>
      </c>
      <c r="U3362" t="s">
        <v>31</v>
      </c>
    </row>
    <row r="3363" spans="1:21">
      <c r="A3363" t="s">
        <v>5284</v>
      </c>
      <c r="B3363" t="s">
        <v>5285</v>
      </c>
      <c r="C3363" t="s">
        <v>4973</v>
      </c>
      <c r="D3363">
        <v>74000</v>
      </c>
      <c r="E3363">
        <v>1000</v>
      </c>
      <c r="F3363">
        <v>74000</v>
      </c>
      <c r="G3363">
        <v>74000</v>
      </c>
      <c r="H3363">
        <v>1</v>
      </c>
      <c r="I3363" t="s">
        <v>432</v>
      </c>
      <c r="J3363">
        <v>18</v>
      </c>
      <c r="K3363">
        <v>19</v>
      </c>
      <c r="L3363">
        <v>3</v>
      </c>
      <c r="M3363" t="s">
        <v>4970</v>
      </c>
      <c r="N3363">
        <v>7</v>
      </c>
      <c r="O3363">
        <v>10</v>
      </c>
      <c r="P3363">
        <v>98022.29</v>
      </c>
      <c r="Q3363">
        <v>77692.34</v>
      </c>
      <c r="R3363">
        <v>323</v>
      </c>
      <c r="S3363">
        <v>1071</v>
      </c>
      <c r="T3363" t="s">
        <v>108</v>
      </c>
      <c r="U3363" t="s">
        <v>90</v>
      </c>
    </row>
    <row r="3364" spans="1:21">
      <c r="A3364" t="s">
        <v>5286</v>
      </c>
      <c r="B3364" t="s">
        <v>5287</v>
      </c>
      <c r="C3364" t="s">
        <v>4984</v>
      </c>
      <c r="D3364">
        <v>70000</v>
      </c>
      <c r="E3364">
        <v>3000</v>
      </c>
      <c r="F3364">
        <v>70000</v>
      </c>
      <c r="G3364">
        <v>70000</v>
      </c>
      <c r="H3364">
        <v>2</v>
      </c>
      <c r="I3364" t="s">
        <v>432</v>
      </c>
      <c r="J3364">
        <v>24.1</v>
      </c>
      <c r="K3364">
        <v>63</v>
      </c>
      <c r="L3364">
        <v>2</v>
      </c>
      <c r="M3364" t="s">
        <v>4970</v>
      </c>
      <c r="N3364">
        <v>5</v>
      </c>
      <c r="O3364">
        <v>11</v>
      </c>
      <c r="P3364">
        <v>98022.29</v>
      </c>
      <c r="Q3364">
        <v>77692.34</v>
      </c>
      <c r="R3364">
        <v>323</v>
      </c>
      <c r="S3364">
        <v>1071</v>
      </c>
      <c r="T3364" t="s">
        <v>34</v>
      </c>
      <c r="U3364" t="s">
        <v>38</v>
      </c>
    </row>
    <row r="3365" spans="1:21">
      <c r="A3365" t="s">
        <v>5288</v>
      </c>
      <c r="B3365" t="s">
        <v>5289</v>
      </c>
      <c r="C3365" t="s">
        <v>5001</v>
      </c>
      <c r="D3365">
        <v>58000</v>
      </c>
      <c r="E3365">
        <v>4000</v>
      </c>
      <c r="G3365">
        <v>58000</v>
      </c>
      <c r="H3365">
        <v>1</v>
      </c>
      <c r="I3365" t="s">
        <v>432</v>
      </c>
      <c r="J3365">
        <v>11.01</v>
      </c>
      <c r="K3365">
        <v>4</v>
      </c>
      <c r="L3365">
        <v>2</v>
      </c>
      <c r="M3365" t="s">
        <v>4970</v>
      </c>
      <c r="N3365">
        <v>9</v>
      </c>
      <c r="O3365">
        <v>12.67</v>
      </c>
      <c r="P3365">
        <v>98022.29</v>
      </c>
      <c r="Q3365">
        <v>77692.34</v>
      </c>
      <c r="R3365">
        <v>323</v>
      </c>
      <c r="S3365">
        <v>1071</v>
      </c>
      <c r="T3365" t="s">
        <v>108</v>
      </c>
      <c r="U3365" t="s">
        <v>31</v>
      </c>
    </row>
    <row r="3366" spans="1:21">
      <c r="A3366" t="s">
        <v>5290</v>
      </c>
      <c r="B3366" t="s">
        <v>5289</v>
      </c>
      <c r="C3366" t="s">
        <v>5001</v>
      </c>
      <c r="D3366">
        <v>62000</v>
      </c>
      <c r="E3366">
        <v>4000</v>
      </c>
      <c r="G3366">
        <v>62000</v>
      </c>
      <c r="H3366">
        <v>1</v>
      </c>
      <c r="I3366" t="s">
        <v>432</v>
      </c>
      <c r="J3366">
        <v>12.32</v>
      </c>
      <c r="K3366">
        <v>4</v>
      </c>
      <c r="L3366">
        <v>2</v>
      </c>
      <c r="M3366" t="s">
        <v>4970</v>
      </c>
      <c r="N3366">
        <v>9</v>
      </c>
      <c r="O3366">
        <v>12.67</v>
      </c>
      <c r="P3366">
        <v>98022.29</v>
      </c>
      <c r="Q3366">
        <v>77692.34</v>
      </c>
      <c r="R3366">
        <v>323</v>
      </c>
      <c r="S3366">
        <v>1071</v>
      </c>
      <c r="T3366" t="s">
        <v>108</v>
      </c>
      <c r="U3366" t="s">
        <v>31</v>
      </c>
    </row>
    <row r="3367" spans="1:21">
      <c r="A3367" t="s">
        <v>5291</v>
      </c>
      <c r="B3367" t="s">
        <v>5289</v>
      </c>
      <c r="C3367" t="s">
        <v>5001</v>
      </c>
      <c r="D3367">
        <v>61000</v>
      </c>
      <c r="E3367">
        <v>4000</v>
      </c>
      <c r="G3367">
        <v>61000</v>
      </c>
      <c r="H3367">
        <v>2</v>
      </c>
      <c r="I3367" t="s">
        <v>432</v>
      </c>
      <c r="J3367">
        <v>11.01</v>
      </c>
      <c r="K3367">
        <v>4</v>
      </c>
      <c r="L3367">
        <v>2</v>
      </c>
      <c r="M3367" t="s">
        <v>4970</v>
      </c>
      <c r="N3367">
        <v>9</v>
      </c>
      <c r="O3367">
        <v>12.67</v>
      </c>
      <c r="P3367">
        <v>98022.29</v>
      </c>
      <c r="Q3367">
        <v>77692.34</v>
      </c>
      <c r="R3367">
        <v>323</v>
      </c>
      <c r="S3367">
        <v>1071</v>
      </c>
      <c r="T3367" t="s">
        <v>108</v>
      </c>
      <c r="U3367" t="s">
        <v>31</v>
      </c>
    </row>
    <row r="3368" spans="1:21">
      <c r="A3368" t="s">
        <v>5292</v>
      </c>
      <c r="B3368" t="s">
        <v>5293</v>
      </c>
      <c r="C3368" t="s">
        <v>4984</v>
      </c>
      <c r="D3368">
        <v>52000</v>
      </c>
      <c r="E3368">
        <v>3000</v>
      </c>
      <c r="F3368">
        <v>52000</v>
      </c>
      <c r="G3368">
        <v>52000</v>
      </c>
      <c r="H3368">
        <v>2</v>
      </c>
      <c r="I3368" t="s">
        <v>432</v>
      </c>
      <c r="J3368">
        <v>10.55</v>
      </c>
      <c r="K3368">
        <v>10</v>
      </c>
      <c r="L3368">
        <v>2</v>
      </c>
      <c r="M3368" t="s">
        <v>4970</v>
      </c>
      <c r="N3368">
        <v>5</v>
      </c>
      <c r="O3368">
        <v>11.67</v>
      </c>
      <c r="P3368">
        <v>98022.29</v>
      </c>
      <c r="Q3368">
        <v>77692.34</v>
      </c>
      <c r="R3368">
        <v>323</v>
      </c>
      <c r="S3368">
        <v>1071</v>
      </c>
      <c r="T3368" t="s">
        <v>108</v>
      </c>
      <c r="U3368" t="s">
        <v>31</v>
      </c>
    </row>
    <row r="3369" spans="1:21">
      <c r="A3369" t="s">
        <v>5294</v>
      </c>
      <c r="B3369" t="s">
        <v>5295</v>
      </c>
      <c r="C3369" t="s">
        <v>4973</v>
      </c>
      <c r="D3369">
        <v>70000</v>
      </c>
      <c r="E3369">
        <v>3000</v>
      </c>
      <c r="H3369">
        <v>2</v>
      </c>
      <c r="I3369" t="s">
        <v>432</v>
      </c>
      <c r="J3369">
        <v>16.5</v>
      </c>
      <c r="K3369">
        <v>27</v>
      </c>
      <c r="L3369">
        <v>3</v>
      </c>
      <c r="M3369" t="s">
        <v>4970</v>
      </c>
      <c r="N3369">
        <v>10</v>
      </c>
      <c r="O3369">
        <v>12</v>
      </c>
      <c r="P3369">
        <v>98022.29</v>
      </c>
      <c r="Q3369">
        <v>77692.34</v>
      </c>
      <c r="R3369">
        <v>323</v>
      </c>
      <c r="S3369">
        <v>1071</v>
      </c>
      <c r="T3369" t="s">
        <v>108</v>
      </c>
      <c r="U3369" t="s">
        <v>27</v>
      </c>
    </row>
    <row r="3370" spans="1:21">
      <c r="A3370" t="s">
        <v>5296</v>
      </c>
      <c r="B3370" t="s">
        <v>5295</v>
      </c>
      <c r="C3370" t="s">
        <v>4973</v>
      </c>
      <c r="D3370">
        <v>69000</v>
      </c>
      <c r="E3370">
        <v>4000</v>
      </c>
      <c r="F3370">
        <v>69000</v>
      </c>
      <c r="H3370">
        <v>2</v>
      </c>
      <c r="I3370" t="s">
        <v>432</v>
      </c>
      <c r="J3370">
        <v>17.600000000000001</v>
      </c>
      <c r="K3370">
        <v>27</v>
      </c>
      <c r="L3370">
        <v>3</v>
      </c>
      <c r="M3370" t="s">
        <v>4970</v>
      </c>
      <c r="N3370">
        <v>10</v>
      </c>
      <c r="O3370">
        <v>12</v>
      </c>
      <c r="P3370">
        <v>98022.29</v>
      </c>
      <c r="Q3370">
        <v>77692.34</v>
      </c>
      <c r="R3370">
        <v>323</v>
      </c>
      <c r="S3370">
        <v>1071</v>
      </c>
      <c r="T3370" t="s">
        <v>108</v>
      </c>
      <c r="U3370" t="s">
        <v>27</v>
      </c>
    </row>
    <row r="3371" spans="1:21">
      <c r="A3371" t="s">
        <v>5297</v>
      </c>
      <c r="B3371" t="s">
        <v>5295</v>
      </c>
      <c r="C3371" t="s">
        <v>4973</v>
      </c>
      <c r="D3371">
        <v>70000</v>
      </c>
      <c r="E3371">
        <v>4000</v>
      </c>
      <c r="H3371">
        <v>3</v>
      </c>
      <c r="I3371" t="s">
        <v>432</v>
      </c>
      <c r="J3371">
        <v>16.5</v>
      </c>
      <c r="K3371">
        <v>27</v>
      </c>
      <c r="L3371">
        <v>3</v>
      </c>
      <c r="M3371" t="s">
        <v>4970</v>
      </c>
      <c r="N3371">
        <v>10</v>
      </c>
      <c r="O3371">
        <v>12</v>
      </c>
      <c r="P3371">
        <v>98022.29</v>
      </c>
      <c r="Q3371">
        <v>77692.34</v>
      </c>
      <c r="R3371">
        <v>323</v>
      </c>
      <c r="S3371">
        <v>1071</v>
      </c>
      <c r="T3371" t="s">
        <v>108</v>
      </c>
      <c r="U3371" t="s">
        <v>27</v>
      </c>
    </row>
    <row r="3372" spans="1:21">
      <c r="A3372" t="s">
        <v>5298</v>
      </c>
      <c r="B3372" t="s">
        <v>5299</v>
      </c>
      <c r="C3372" t="s">
        <v>1743</v>
      </c>
      <c r="D3372">
        <v>81000</v>
      </c>
      <c r="E3372">
        <v>3000</v>
      </c>
      <c r="F3372">
        <v>40500</v>
      </c>
      <c r="G3372">
        <v>121500</v>
      </c>
      <c r="H3372">
        <v>2</v>
      </c>
      <c r="I3372" t="s">
        <v>432</v>
      </c>
      <c r="J3372">
        <v>24.22</v>
      </c>
      <c r="K3372">
        <v>22</v>
      </c>
      <c r="L3372">
        <v>2</v>
      </c>
      <c r="M3372" t="s">
        <v>4970</v>
      </c>
      <c r="N3372">
        <v>10</v>
      </c>
      <c r="O3372">
        <v>13.67</v>
      </c>
      <c r="P3372">
        <v>98022.29</v>
      </c>
      <c r="Q3372">
        <v>77692.34</v>
      </c>
      <c r="R3372">
        <v>323</v>
      </c>
      <c r="S3372">
        <v>1071</v>
      </c>
      <c r="T3372" t="s">
        <v>34</v>
      </c>
      <c r="U3372" t="s">
        <v>27</v>
      </c>
    </row>
    <row r="3373" spans="1:21">
      <c r="A3373" t="s">
        <v>5300</v>
      </c>
      <c r="B3373" t="s">
        <v>5061</v>
      </c>
      <c r="C3373" t="s">
        <v>4973</v>
      </c>
      <c r="D3373">
        <v>69000</v>
      </c>
      <c r="F3373">
        <v>69000</v>
      </c>
      <c r="G3373">
        <v>69000</v>
      </c>
      <c r="H3373">
        <v>1</v>
      </c>
      <c r="I3373" t="s">
        <v>432</v>
      </c>
      <c r="J3373">
        <v>22</v>
      </c>
      <c r="K3373">
        <v>36</v>
      </c>
      <c r="L3373">
        <v>2</v>
      </c>
      <c r="M3373" t="s">
        <v>4970</v>
      </c>
      <c r="N3373">
        <v>8</v>
      </c>
      <c r="O3373">
        <v>10.67</v>
      </c>
      <c r="P3373">
        <v>98022.29</v>
      </c>
      <c r="Q3373">
        <v>77692.34</v>
      </c>
      <c r="R3373">
        <v>323</v>
      </c>
      <c r="S3373">
        <v>1071</v>
      </c>
      <c r="T3373" t="s">
        <v>34</v>
      </c>
      <c r="U3373" t="s">
        <v>49</v>
      </c>
    </row>
    <row r="3374" spans="1:21">
      <c r="A3374" t="s">
        <v>5301</v>
      </c>
      <c r="B3374" t="s">
        <v>5302</v>
      </c>
      <c r="C3374" t="s">
        <v>4984</v>
      </c>
      <c r="D3374">
        <v>59000</v>
      </c>
      <c r="E3374">
        <v>4000</v>
      </c>
      <c r="G3374">
        <v>59000</v>
      </c>
      <c r="H3374">
        <v>1</v>
      </c>
      <c r="I3374" t="s">
        <v>432</v>
      </c>
      <c r="J3374">
        <v>11.02</v>
      </c>
      <c r="K3374">
        <v>2</v>
      </c>
      <c r="L3374">
        <v>2</v>
      </c>
      <c r="M3374" t="s">
        <v>4970</v>
      </c>
      <c r="N3374">
        <v>5</v>
      </c>
      <c r="O3374">
        <v>11.33</v>
      </c>
      <c r="P3374">
        <v>98022.29</v>
      </c>
      <c r="Q3374">
        <v>77692.34</v>
      </c>
      <c r="R3374">
        <v>323</v>
      </c>
      <c r="S3374">
        <v>1071</v>
      </c>
      <c r="T3374" t="s">
        <v>108</v>
      </c>
      <c r="U3374" t="s">
        <v>31</v>
      </c>
    </row>
    <row r="3375" spans="1:21">
      <c r="A3375" t="s">
        <v>5303</v>
      </c>
      <c r="B3375" t="s">
        <v>5302</v>
      </c>
      <c r="C3375" t="s">
        <v>4984</v>
      </c>
      <c r="D3375">
        <v>61000</v>
      </c>
      <c r="E3375">
        <v>4000</v>
      </c>
      <c r="G3375">
        <v>61000</v>
      </c>
      <c r="H3375">
        <v>1</v>
      </c>
      <c r="I3375" t="s">
        <v>432</v>
      </c>
      <c r="J3375">
        <v>11</v>
      </c>
      <c r="K3375">
        <v>2</v>
      </c>
      <c r="L3375">
        <v>2</v>
      </c>
      <c r="M3375" t="s">
        <v>4970</v>
      </c>
      <c r="N3375">
        <v>5</v>
      </c>
      <c r="O3375">
        <v>11.33</v>
      </c>
      <c r="P3375">
        <v>98022.29</v>
      </c>
      <c r="Q3375">
        <v>77692.34</v>
      </c>
      <c r="R3375">
        <v>323</v>
      </c>
      <c r="S3375">
        <v>1071</v>
      </c>
      <c r="T3375" t="s">
        <v>108</v>
      </c>
      <c r="U3375" t="s">
        <v>31</v>
      </c>
    </row>
    <row r="3376" spans="1:21">
      <c r="A3376" t="s">
        <v>5304</v>
      </c>
      <c r="B3376" t="s">
        <v>5305</v>
      </c>
      <c r="C3376" t="s">
        <v>4973</v>
      </c>
      <c r="D3376">
        <v>65000</v>
      </c>
      <c r="E3376">
        <v>5000</v>
      </c>
      <c r="F3376">
        <v>65000</v>
      </c>
      <c r="G3376">
        <v>65000</v>
      </c>
      <c r="H3376">
        <v>3</v>
      </c>
      <c r="I3376" t="s">
        <v>432</v>
      </c>
      <c r="J3376">
        <v>24.3</v>
      </c>
      <c r="K3376">
        <v>38</v>
      </c>
      <c r="L3376">
        <v>3</v>
      </c>
      <c r="M3376" t="s">
        <v>4970</v>
      </c>
      <c r="N3376">
        <v>6</v>
      </c>
      <c r="O3376">
        <v>9.67</v>
      </c>
      <c r="P3376">
        <v>98022.29</v>
      </c>
      <c r="Q3376">
        <v>77692.34</v>
      </c>
      <c r="R3376">
        <v>323</v>
      </c>
      <c r="S3376">
        <v>1071</v>
      </c>
      <c r="T3376" t="s">
        <v>34</v>
      </c>
      <c r="U3376" t="s">
        <v>49</v>
      </c>
    </row>
    <row r="3377" spans="1:21">
      <c r="A3377" t="s">
        <v>5306</v>
      </c>
      <c r="B3377" t="s">
        <v>5307</v>
      </c>
      <c r="C3377" t="s">
        <v>4984</v>
      </c>
      <c r="D3377">
        <v>52000</v>
      </c>
      <c r="E3377">
        <v>3000</v>
      </c>
      <c r="F3377">
        <v>52000</v>
      </c>
      <c r="H3377">
        <v>2</v>
      </c>
      <c r="I3377" t="s">
        <v>432</v>
      </c>
      <c r="J3377">
        <v>13.2</v>
      </c>
      <c r="K3377">
        <v>27</v>
      </c>
      <c r="L3377">
        <v>3</v>
      </c>
      <c r="M3377" t="s">
        <v>4970</v>
      </c>
      <c r="N3377">
        <v>7</v>
      </c>
      <c r="O3377">
        <v>12.33</v>
      </c>
      <c r="P3377">
        <v>98022.29</v>
      </c>
      <c r="Q3377">
        <v>77692.34</v>
      </c>
      <c r="R3377">
        <v>323</v>
      </c>
      <c r="S3377">
        <v>1071</v>
      </c>
      <c r="T3377" t="s">
        <v>108</v>
      </c>
      <c r="U3377" t="s">
        <v>27</v>
      </c>
    </row>
    <row r="3378" spans="1:21">
      <c r="A3378" t="s">
        <v>5308</v>
      </c>
      <c r="B3378" t="s">
        <v>5307</v>
      </c>
      <c r="C3378" t="s">
        <v>4984</v>
      </c>
      <c r="D3378">
        <v>52000</v>
      </c>
      <c r="E3378">
        <v>3000</v>
      </c>
      <c r="F3378">
        <v>52000</v>
      </c>
      <c r="H3378">
        <v>2</v>
      </c>
      <c r="I3378" t="s">
        <v>432</v>
      </c>
      <c r="J3378">
        <v>14.09</v>
      </c>
      <c r="K3378">
        <v>27</v>
      </c>
      <c r="L3378">
        <v>3</v>
      </c>
      <c r="M3378" t="s">
        <v>4970</v>
      </c>
      <c r="N3378">
        <v>7</v>
      </c>
      <c r="O3378">
        <v>12.33</v>
      </c>
      <c r="P3378">
        <v>98022.29</v>
      </c>
      <c r="Q3378">
        <v>77692.34</v>
      </c>
      <c r="R3378">
        <v>323</v>
      </c>
      <c r="S3378">
        <v>1071</v>
      </c>
      <c r="T3378" t="s">
        <v>108</v>
      </c>
      <c r="U3378" t="s">
        <v>27</v>
      </c>
    </row>
    <row r="3379" spans="1:21">
      <c r="A3379" t="s">
        <v>5309</v>
      </c>
      <c r="B3379" t="s">
        <v>5307</v>
      </c>
      <c r="C3379" t="s">
        <v>4984</v>
      </c>
      <c r="D3379">
        <v>53000</v>
      </c>
      <c r="E3379">
        <v>3000</v>
      </c>
      <c r="F3379">
        <v>53000</v>
      </c>
      <c r="H3379">
        <v>2</v>
      </c>
      <c r="I3379" t="s">
        <v>432</v>
      </c>
      <c r="J3379">
        <v>14.09</v>
      </c>
      <c r="K3379">
        <v>27</v>
      </c>
      <c r="L3379">
        <v>3</v>
      </c>
      <c r="M3379" t="s">
        <v>4970</v>
      </c>
      <c r="N3379">
        <v>7</v>
      </c>
      <c r="O3379">
        <v>12.33</v>
      </c>
      <c r="P3379">
        <v>98022.29</v>
      </c>
      <c r="Q3379">
        <v>77692.34</v>
      </c>
      <c r="R3379">
        <v>323</v>
      </c>
      <c r="S3379">
        <v>1071</v>
      </c>
      <c r="T3379" t="s">
        <v>108</v>
      </c>
      <c r="U3379" t="s">
        <v>27</v>
      </c>
    </row>
    <row r="3380" spans="1:21">
      <c r="A3380" t="s">
        <v>5310</v>
      </c>
      <c r="B3380" t="s">
        <v>5307</v>
      </c>
      <c r="C3380" t="s">
        <v>4984</v>
      </c>
      <c r="D3380">
        <v>58000</v>
      </c>
      <c r="F3380">
        <v>58000</v>
      </c>
      <c r="H3380">
        <v>3</v>
      </c>
      <c r="I3380" t="s">
        <v>432</v>
      </c>
      <c r="J3380">
        <v>13.51</v>
      </c>
      <c r="K3380">
        <v>27</v>
      </c>
      <c r="L3380">
        <v>3</v>
      </c>
      <c r="M3380" t="s">
        <v>4970</v>
      </c>
      <c r="N3380">
        <v>7</v>
      </c>
      <c r="O3380">
        <v>12.33</v>
      </c>
      <c r="P3380">
        <v>98022.29</v>
      </c>
      <c r="Q3380">
        <v>77692.34</v>
      </c>
      <c r="R3380">
        <v>323</v>
      </c>
      <c r="S3380">
        <v>1071</v>
      </c>
      <c r="T3380" t="s">
        <v>108</v>
      </c>
      <c r="U3380" t="s">
        <v>27</v>
      </c>
    </row>
    <row r="3381" spans="1:21">
      <c r="A3381" t="s">
        <v>5311</v>
      </c>
      <c r="B3381" t="s">
        <v>5312</v>
      </c>
      <c r="C3381" t="s">
        <v>4973</v>
      </c>
      <c r="D3381">
        <v>63000</v>
      </c>
      <c r="F3381">
        <v>63000</v>
      </c>
      <c r="H3381">
        <v>2</v>
      </c>
      <c r="I3381" t="s">
        <v>432</v>
      </c>
      <c r="J3381">
        <v>16.5</v>
      </c>
      <c r="K3381">
        <v>36</v>
      </c>
      <c r="L3381">
        <v>2</v>
      </c>
      <c r="M3381" t="s">
        <v>4970</v>
      </c>
      <c r="N3381">
        <v>5</v>
      </c>
      <c r="O3381">
        <v>9.67</v>
      </c>
      <c r="P3381">
        <v>98022.29</v>
      </c>
      <c r="Q3381">
        <v>77692.34</v>
      </c>
      <c r="R3381">
        <v>323</v>
      </c>
      <c r="S3381">
        <v>1071</v>
      </c>
      <c r="T3381" t="s">
        <v>108</v>
      </c>
      <c r="U3381" t="s">
        <v>49</v>
      </c>
    </row>
    <row r="3382" spans="1:21">
      <c r="A3382" t="s">
        <v>5313</v>
      </c>
      <c r="B3382" t="s">
        <v>5314</v>
      </c>
      <c r="C3382" t="s">
        <v>1310</v>
      </c>
      <c r="D3382">
        <v>47000</v>
      </c>
      <c r="E3382">
        <v>15000</v>
      </c>
      <c r="G3382">
        <v>47000</v>
      </c>
      <c r="H3382">
        <v>1</v>
      </c>
      <c r="I3382" t="s">
        <v>432</v>
      </c>
      <c r="J3382">
        <v>13.65</v>
      </c>
      <c r="K3382">
        <v>41</v>
      </c>
      <c r="L3382">
        <v>5</v>
      </c>
      <c r="M3382" t="s">
        <v>4970</v>
      </c>
      <c r="N3382">
        <v>9</v>
      </c>
      <c r="O3382">
        <v>12.33</v>
      </c>
      <c r="P3382">
        <v>98022.29</v>
      </c>
      <c r="Q3382">
        <v>77692.34</v>
      </c>
      <c r="R3382">
        <v>323</v>
      </c>
      <c r="S3382">
        <v>1071</v>
      </c>
      <c r="T3382" t="s">
        <v>108</v>
      </c>
      <c r="U3382" t="s">
        <v>42</v>
      </c>
    </row>
    <row r="3383" spans="1:21">
      <c r="A3383" t="s">
        <v>5315</v>
      </c>
      <c r="B3383" t="s">
        <v>5316</v>
      </c>
      <c r="C3383" t="s">
        <v>2156</v>
      </c>
      <c r="D3383">
        <v>68000</v>
      </c>
      <c r="E3383">
        <v>5000</v>
      </c>
      <c r="H3383">
        <v>1</v>
      </c>
      <c r="I3383" t="s">
        <v>432</v>
      </c>
      <c r="J3383">
        <v>23.04</v>
      </c>
      <c r="K3383">
        <v>22</v>
      </c>
      <c r="L3383">
        <v>3</v>
      </c>
      <c r="M3383" t="s">
        <v>4970</v>
      </c>
      <c r="N3383">
        <v>12</v>
      </c>
      <c r="O3383">
        <v>13.33</v>
      </c>
      <c r="P3383">
        <v>98022.29</v>
      </c>
      <c r="Q3383">
        <v>77692.34</v>
      </c>
      <c r="R3383">
        <v>323</v>
      </c>
      <c r="S3383">
        <v>1071</v>
      </c>
      <c r="T3383" t="s">
        <v>34</v>
      </c>
      <c r="U3383" t="s">
        <v>27</v>
      </c>
    </row>
    <row r="3384" spans="1:21">
      <c r="A3384" t="s">
        <v>5317</v>
      </c>
      <c r="B3384" t="s">
        <v>5079</v>
      </c>
      <c r="C3384" t="s">
        <v>1743</v>
      </c>
      <c r="D3384">
        <v>67000</v>
      </c>
      <c r="E3384">
        <v>3000</v>
      </c>
      <c r="F3384">
        <v>67000</v>
      </c>
      <c r="H3384">
        <v>2</v>
      </c>
      <c r="I3384" t="s">
        <v>432</v>
      </c>
      <c r="J3384">
        <v>21.37</v>
      </c>
      <c r="K3384">
        <v>33</v>
      </c>
      <c r="L3384">
        <v>3</v>
      </c>
      <c r="M3384" t="s">
        <v>4970</v>
      </c>
      <c r="N3384">
        <v>10</v>
      </c>
      <c r="O3384">
        <v>11.67</v>
      </c>
      <c r="P3384">
        <v>98022.29</v>
      </c>
      <c r="Q3384">
        <v>77692.34</v>
      </c>
      <c r="R3384">
        <v>323</v>
      </c>
      <c r="S3384">
        <v>1071</v>
      </c>
      <c r="T3384" t="s">
        <v>34</v>
      </c>
      <c r="U3384" t="s">
        <v>49</v>
      </c>
    </row>
    <row r="3385" spans="1:21">
      <c r="A3385" t="s">
        <v>5318</v>
      </c>
      <c r="B3385" t="s">
        <v>5079</v>
      </c>
      <c r="C3385" t="s">
        <v>1743</v>
      </c>
      <c r="D3385">
        <v>65000</v>
      </c>
      <c r="E3385">
        <v>3000</v>
      </c>
      <c r="F3385">
        <v>65000</v>
      </c>
      <c r="H3385">
        <v>3</v>
      </c>
      <c r="I3385" t="s">
        <v>432</v>
      </c>
      <c r="J3385">
        <v>20</v>
      </c>
      <c r="K3385">
        <v>33</v>
      </c>
      <c r="L3385">
        <v>3</v>
      </c>
      <c r="M3385" t="s">
        <v>4970</v>
      </c>
      <c r="N3385">
        <v>10</v>
      </c>
      <c r="O3385">
        <v>11.67</v>
      </c>
      <c r="P3385">
        <v>98022.29</v>
      </c>
      <c r="Q3385">
        <v>77692.34</v>
      </c>
      <c r="R3385">
        <v>323</v>
      </c>
      <c r="S3385">
        <v>1071</v>
      </c>
      <c r="T3385" t="s">
        <v>34</v>
      </c>
      <c r="U3385" t="s">
        <v>49</v>
      </c>
    </row>
    <row r="3386" spans="1:21">
      <c r="A3386" t="s">
        <v>5319</v>
      </c>
      <c r="B3386" t="s">
        <v>5320</v>
      </c>
      <c r="C3386" t="s">
        <v>1743</v>
      </c>
      <c r="D3386">
        <v>42000</v>
      </c>
      <c r="E3386">
        <v>1000</v>
      </c>
      <c r="F3386">
        <v>42000</v>
      </c>
      <c r="H3386">
        <v>1</v>
      </c>
      <c r="I3386" t="s">
        <v>432</v>
      </c>
      <c r="J3386">
        <v>11.04</v>
      </c>
      <c r="K3386">
        <v>19</v>
      </c>
      <c r="L3386">
        <v>2</v>
      </c>
      <c r="M3386" t="s">
        <v>4970</v>
      </c>
      <c r="N3386">
        <v>7</v>
      </c>
      <c r="O3386">
        <v>12.67</v>
      </c>
      <c r="P3386">
        <v>98022.29</v>
      </c>
      <c r="Q3386">
        <v>77692.34</v>
      </c>
      <c r="R3386">
        <v>323</v>
      </c>
      <c r="S3386">
        <v>1071</v>
      </c>
      <c r="T3386" t="s">
        <v>108</v>
      </c>
      <c r="U3386" t="s">
        <v>90</v>
      </c>
    </row>
    <row r="3387" spans="1:21">
      <c r="A3387" t="s">
        <v>5321</v>
      </c>
      <c r="B3387" t="s">
        <v>5322</v>
      </c>
      <c r="C3387" t="s">
        <v>1873</v>
      </c>
      <c r="D3387">
        <v>87000</v>
      </c>
      <c r="E3387">
        <v>2000</v>
      </c>
      <c r="H3387">
        <v>2</v>
      </c>
      <c r="I3387" t="s">
        <v>432</v>
      </c>
      <c r="J3387">
        <v>30</v>
      </c>
      <c r="K3387">
        <v>56</v>
      </c>
      <c r="L3387">
        <v>5</v>
      </c>
      <c r="M3387" t="s">
        <v>4970</v>
      </c>
      <c r="N3387">
        <v>5</v>
      </c>
      <c r="O3387">
        <v>8.67</v>
      </c>
      <c r="P3387">
        <v>98022.29</v>
      </c>
      <c r="Q3387">
        <v>77692.34</v>
      </c>
      <c r="R3387">
        <v>323</v>
      </c>
      <c r="S3387">
        <v>1071</v>
      </c>
      <c r="T3387" t="s">
        <v>26</v>
      </c>
      <c r="U3387" t="s">
        <v>57</v>
      </c>
    </row>
    <row r="3388" spans="1:21">
      <c r="A3388" t="s">
        <v>5323</v>
      </c>
      <c r="B3388" t="s">
        <v>5324</v>
      </c>
      <c r="C3388" t="s">
        <v>1873</v>
      </c>
      <c r="D3388">
        <v>77000</v>
      </c>
      <c r="E3388">
        <v>3000</v>
      </c>
      <c r="F3388">
        <v>77000</v>
      </c>
      <c r="H3388">
        <v>2</v>
      </c>
      <c r="I3388" t="s">
        <v>432</v>
      </c>
      <c r="J3388">
        <v>23</v>
      </c>
      <c r="K3388">
        <v>48</v>
      </c>
      <c r="L3388">
        <v>2</v>
      </c>
      <c r="M3388" t="s">
        <v>4970</v>
      </c>
      <c r="N3388">
        <v>3</v>
      </c>
      <c r="O3388">
        <v>10.67</v>
      </c>
      <c r="P3388">
        <v>98022.29</v>
      </c>
      <c r="Q3388">
        <v>77692.34</v>
      </c>
      <c r="R3388">
        <v>323</v>
      </c>
      <c r="S3388">
        <v>1071</v>
      </c>
      <c r="T3388" t="s">
        <v>34</v>
      </c>
      <c r="U3388" t="s">
        <v>42</v>
      </c>
    </row>
    <row r="3389" spans="1:21">
      <c r="A3389" t="s">
        <v>5325</v>
      </c>
      <c r="B3389" t="s">
        <v>5326</v>
      </c>
      <c r="C3389" t="s">
        <v>4969</v>
      </c>
      <c r="D3389">
        <v>26000</v>
      </c>
      <c r="E3389">
        <v>3000</v>
      </c>
      <c r="F3389">
        <v>26000</v>
      </c>
      <c r="H3389">
        <v>2</v>
      </c>
      <c r="I3389" t="s">
        <v>432</v>
      </c>
      <c r="J3389">
        <v>10</v>
      </c>
      <c r="K3389">
        <v>57</v>
      </c>
      <c r="L3389">
        <v>2</v>
      </c>
      <c r="M3389" t="s">
        <v>4970</v>
      </c>
      <c r="N3389">
        <v>4</v>
      </c>
      <c r="O3389">
        <v>10.33</v>
      </c>
      <c r="P3389">
        <v>98022.29</v>
      </c>
      <c r="Q3389">
        <v>77692.34</v>
      </c>
      <c r="R3389">
        <v>323</v>
      </c>
      <c r="S3389">
        <v>1071</v>
      </c>
      <c r="T3389" t="s">
        <v>108</v>
      </c>
      <c r="U3389" t="s">
        <v>57</v>
      </c>
    </row>
    <row r="3390" spans="1:21">
      <c r="A3390" t="s">
        <v>5327</v>
      </c>
      <c r="B3390" t="s">
        <v>5328</v>
      </c>
      <c r="C3390" t="s">
        <v>1873</v>
      </c>
      <c r="D3390">
        <v>41000</v>
      </c>
      <c r="E3390">
        <v>2000</v>
      </c>
      <c r="F3390">
        <v>41000</v>
      </c>
      <c r="G3390">
        <v>41000</v>
      </c>
      <c r="H3390">
        <v>2</v>
      </c>
      <c r="I3390" t="s">
        <v>432</v>
      </c>
      <c r="J3390">
        <v>9.9</v>
      </c>
      <c r="K3390">
        <v>47</v>
      </c>
      <c r="L3390">
        <v>3</v>
      </c>
      <c r="M3390" t="s">
        <v>4970</v>
      </c>
      <c r="N3390">
        <v>6</v>
      </c>
      <c r="O3390">
        <v>9.33</v>
      </c>
      <c r="P3390">
        <v>98022.29</v>
      </c>
      <c r="Q3390">
        <v>77692.34</v>
      </c>
      <c r="R3390">
        <v>323</v>
      </c>
      <c r="S3390">
        <v>1071</v>
      </c>
      <c r="T3390" t="s">
        <v>231</v>
      </c>
      <c r="U3390" t="s">
        <v>42</v>
      </c>
    </row>
    <row r="3391" spans="1:21">
      <c r="A3391" t="s">
        <v>5329</v>
      </c>
      <c r="B3391" t="s">
        <v>5330</v>
      </c>
      <c r="C3391" t="s">
        <v>4984</v>
      </c>
      <c r="D3391">
        <v>57000</v>
      </c>
      <c r="F3391">
        <v>57000</v>
      </c>
      <c r="H3391">
        <v>2</v>
      </c>
      <c r="I3391" t="s">
        <v>432</v>
      </c>
      <c r="J3391">
        <v>16</v>
      </c>
      <c r="K3391">
        <v>34</v>
      </c>
      <c r="L3391">
        <v>2</v>
      </c>
      <c r="M3391" t="s">
        <v>4970</v>
      </c>
      <c r="N3391">
        <v>2</v>
      </c>
      <c r="O3391">
        <v>12.33</v>
      </c>
      <c r="P3391">
        <v>98022.29</v>
      </c>
      <c r="Q3391">
        <v>77692.34</v>
      </c>
      <c r="R3391">
        <v>323</v>
      </c>
      <c r="S3391">
        <v>1071</v>
      </c>
      <c r="T3391" t="s">
        <v>108</v>
      </c>
      <c r="U3391" t="s">
        <v>49</v>
      </c>
    </row>
    <row r="3392" spans="1:21">
      <c r="A3392" t="s">
        <v>5331</v>
      </c>
      <c r="B3392" t="s">
        <v>5332</v>
      </c>
      <c r="C3392" t="s">
        <v>1310</v>
      </c>
      <c r="D3392">
        <v>28000</v>
      </c>
      <c r="E3392">
        <v>2000</v>
      </c>
      <c r="H3392">
        <v>2</v>
      </c>
      <c r="I3392" t="s">
        <v>432</v>
      </c>
      <c r="J3392">
        <v>12.4</v>
      </c>
      <c r="K3392">
        <v>67</v>
      </c>
      <c r="L3392">
        <v>2</v>
      </c>
      <c r="M3392" t="s">
        <v>4970</v>
      </c>
      <c r="N3392">
        <v>9</v>
      </c>
      <c r="O3392">
        <v>10.33</v>
      </c>
      <c r="P3392">
        <v>98022.29</v>
      </c>
      <c r="Q3392">
        <v>77692.34</v>
      </c>
      <c r="R3392">
        <v>323</v>
      </c>
      <c r="S3392">
        <v>1071</v>
      </c>
      <c r="T3392" t="s">
        <v>108</v>
      </c>
      <c r="U3392" t="s">
        <v>38</v>
      </c>
    </row>
    <row r="3393" spans="1:21">
      <c r="A3393" t="s">
        <v>5333</v>
      </c>
      <c r="B3393" t="s">
        <v>5332</v>
      </c>
      <c r="C3393" t="s">
        <v>1310</v>
      </c>
      <c r="D3393">
        <v>36000</v>
      </c>
      <c r="E3393">
        <v>2000</v>
      </c>
      <c r="H3393">
        <v>2</v>
      </c>
      <c r="I3393" t="s">
        <v>432</v>
      </c>
      <c r="J3393">
        <v>14</v>
      </c>
      <c r="K3393">
        <v>67</v>
      </c>
      <c r="L3393">
        <v>2</v>
      </c>
      <c r="M3393" t="s">
        <v>4970</v>
      </c>
      <c r="N3393">
        <v>9</v>
      </c>
      <c r="O3393">
        <v>10.33</v>
      </c>
      <c r="P3393">
        <v>98022.29</v>
      </c>
      <c r="Q3393">
        <v>77692.34</v>
      </c>
      <c r="R3393">
        <v>323</v>
      </c>
      <c r="S3393">
        <v>1071</v>
      </c>
      <c r="T3393" t="s">
        <v>108</v>
      </c>
      <c r="U3393" t="s">
        <v>38</v>
      </c>
    </row>
    <row r="3394" spans="1:21">
      <c r="A3394" t="s">
        <v>5334</v>
      </c>
      <c r="B3394" t="s">
        <v>5335</v>
      </c>
      <c r="C3394" t="s">
        <v>5071</v>
      </c>
      <c r="D3394">
        <v>52500</v>
      </c>
      <c r="E3394">
        <v>2500</v>
      </c>
      <c r="H3394">
        <v>1</v>
      </c>
      <c r="I3394" t="s">
        <v>432</v>
      </c>
      <c r="J3394">
        <v>15</v>
      </c>
      <c r="K3394">
        <v>17</v>
      </c>
      <c r="L3394">
        <v>2</v>
      </c>
      <c r="M3394" t="s">
        <v>4970</v>
      </c>
      <c r="N3394">
        <v>5</v>
      </c>
      <c r="O3394">
        <v>15.33</v>
      </c>
      <c r="P3394">
        <v>98022.29</v>
      </c>
      <c r="Q3394">
        <v>77692.34</v>
      </c>
      <c r="R3394">
        <v>323</v>
      </c>
      <c r="S3394">
        <v>1071</v>
      </c>
      <c r="T3394" t="s">
        <v>108</v>
      </c>
      <c r="U3394" t="s">
        <v>90</v>
      </c>
    </row>
    <row r="3395" spans="1:21">
      <c r="A3395" t="s">
        <v>5336</v>
      </c>
      <c r="B3395" t="s">
        <v>5337</v>
      </c>
      <c r="C3395" t="s">
        <v>5001</v>
      </c>
      <c r="D3395">
        <v>57000</v>
      </c>
      <c r="E3395">
        <v>3000</v>
      </c>
      <c r="H3395">
        <v>3</v>
      </c>
      <c r="I3395" t="s">
        <v>432</v>
      </c>
      <c r="J3395">
        <v>17.010000000000002</v>
      </c>
      <c r="K3395">
        <v>41</v>
      </c>
      <c r="L3395">
        <v>4</v>
      </c>
      <c r="M3395" t="s">
        <v>4970</v>
      </c>
      <c r="N3395">
        <v>8</v>
      </c>
      <c r="O3395">
        <v>12</v>
      </c>
      <c r="P3395">
        <v>98022.29</v>
      </c>
      <c r="Q3395">
        <v>77692.34</v>
      </c>
      <c r="R3395">
        <v>323</v>
      </c>
      <c r="S3395">
        <v>1071</v>
      </c>
      <c r="T3395" t="s">
        <v>108</v>
      </c>
      <c r="U3395" t="s">
        <v>42</v>
      </c>
    </row>
    <row r="3396" spans="1:21">
      <c r="A3396" t="s">
        <v>5338</v>
      </c>
      <c r="B3396" t="s">
        <v>5339</v>
      </c>
      <c r="C3396" t="s">
        <v>4984</v>
      </c>
      <c r="D3396">
        <v>52000</v>
      </c>
      <c r="E3396">
        <v>3000</v>
      </c>
      <c r="F3396">
        <v>52000</v>
      </c>
      <c r="G3396">
        <v>52000</v>
      </c>
      <c r="H3396">
        <v>2</v>
      </c>
      <c r="I3396" t="s">
        <v>432</v>
      </c>
      <c r="J3396">
        <v>10.55</v>
      </c>
      <c r="K3396">
        <v>10</v>
      </c>
      <c r="L3396">
        <v>2</v>
      </c>
      <c r="M3396" t="s">
        <v>4970</v>
      </c>
      <c r="N3396">
        <v>5</v>
      </c>
      <c r="O3396">
        <v>11.67</v>
      </c>
      <c r="P3396">
        <v>98022.29</v>
      </c>
      <c r="Q3396">
        <v>77692.34</v>
      </c>
      <c r="R3396">
        <v>323</v>
      </c>
      <c r="S3396">
        <v>1071</v>
      </c>
      <c r="T3396" t="s">
        <v>108</v>
      </c>
      <c r="U3396" t="s">
        <v>31</v>
      </c>
    </row>
    <row r="3397" spans="1:21">
      <c r="A3397" t="s">
        <v>5340</v>
      </c>
      <c r="B3397" t="s">
        <v>5105</v>
      </c>
      <c r="C3397" t="s">
        <v>5071</v>
      </c>
      <c r="D3397">
        <v>48000</v>
      </c>
      <c r="E3397">
        <v>3000</v>
      </c>
      <c r="H3397">
        <v>1</v>
      </c>
      <c r="I3397" t="s">
        <v>432</v>
      </c>
      <c r="J3397">
        <v>9.1999999999999993</v>
      </c>
      <c r="K3397">
        <v>16</v>
      </c>
      <c r="L3397">
        <v>2</v>
      </c>
      <c r="M3397" t="s">
        <v>4970</v>
      </c>
      <c r="N3397">
        <v>5</v>
      </c>
      <c r="O3397">
        <v>10.67</v>
      </c>
      <c r="P3397">
        <v>98022.29</v>
      </c>
      <c r="Q3397">
        <v>77692.34</v>
      </c>
      <c r="R3397">
        <v>323</v>
      </c>
      <c r="S3397">
        <v>1071</v>
      </c>
      <c r="T3397" t="s">
        <v>231</v>
      </c>
      <c r="U3397" t="s">
        <v>90</v>
      </c>
    </row>
    <row r="3398" spans="1:21">
      <c r="A3398" t="s">
        <v>5341</v>
      </c>
      <c r="B3398" t="s">
        <v>5107</v>
      </c>
      <c r="C3398" t="s">
        <v>5071</v>
      </c>
      <c r="D3398">
        <v>50000</v>
      </c>
      <c r="E3398">
        <v>5000</v>
      </c>
      <c r="H3398">
        <v>1</v>
      </c>
      <c r="I3398" t="s">
        <v>432</v>
      </c>
      <c r="J3398">
        <v>13.5</v>
      </c>
      <c r="K3398">
        <v>17</v>
      </c>
      <c r="L3398">
        <v>2</v>
      </c>
      <c r="M3398" t="s">
        <v>4970</v>
      </c>
      <c r="N3398">
        <v>9</v>
      </c>
      <c r="O3398">
        <v>14</v>
      </c>
      <c r="P3398">
        <v>98022.29</v>
      </c>
      <c r="Q3398">
        <v>77692.34</v>
      </c>
      <c r="R3398">
        <v>323</v>
      </c>
      <c r="S3398">
        <v>1071</v>
      </c>
      <c r="T3398" t="s">
        <v>108</v>
      </c>
      <c r="U3398" t="s">
        <v>90</v>
      </c>
    </row>
    <row r="3399" spans="1:21">
      <c r="A3399" t="s">
        <v>5342</v>
      </c>
      <c r="B3399" t="s">
        <v>5109</v>
      </c>
      <c r="C3399" t="s">
        <v>5001</v>
      </c>
      <c r="D3399">
        <v>65000</v>
      </c>
      <c r="E3399">
        <v>3000</v>
      </c>
      <c r="F3399">
        <v>65000</v>
      </c>
      <c r="G3399">
        <v>65000</v>
      </c>
      <c r="H3399">
        <v>2</v>
      </c>
      <c r="I3399" t="s">
        <v>432</v>
      </c>
      <c r="J3399">
        <v>19.87</v>
      </c>
      <c r="K3399">
        <v>18</v>
      </c>
      <c r="L3399">
        <v>2</v>
      </c>
      <c r="M3399" t="s">
        <v>4970</v>
      </c>
      <c r="N3399">
        <v>6</v>
      </c>
      <c r="O3399">
        <v>10</v>
      </c>
      <c r="P3399">
        <v>98022.29</v>
      </c>
      <c r="Q3399">
        <v>77692.34</v>
      </c>
      <c r="R3399">
        <v>323</v>
      </c>
      <c r="S3399">
        <v>1071</v>
      </c>
      <c r="T3399" t="s">
        <v>108</v>
      </c>
      <c r="U3399" t="s">
        <v>90</v>
      </c>
    </row>
    <row r="3400" spans="1:21">
      <c r="A3400" t="s">
        <v>5343</v>
      </c>
      <c r="B3400" t="s">
        <v>5344</v>
      </c>
      <c r="C3400" t="s">
        <v>1743</v>
      </c>
      <c r="D3400">
        <v>81000</v>
      </c>
      <c r="E3400">
        <v>3000</v>
      </c>
      <c r="F3400">
        <v>40500</v>
      </c>
      <c r="G3400">
        <v>121500</v>
      </c>
      <c r="H3400">
        <v>2</v>
      </c>
      <c r="I3400" t="s">
        <v>432</v>
      </c>
      <c r="J3400">
        <v>24.22</v>
      </c>
      <c r="K3400">
        <v>22</v>
      </c>
      <c r="L3400">
        <v>2</v>
      </c>
      <c r="M3400" t="s">
        <v>4970</v>
      </c>
      <c r="N3400">
        <v>10</v>
      </c>
      <c r="O3400">
        <v>13.67</v>
      </c>
      <c r="P3400">
        <v>98022.29</v>
      </c>
      <c r="Q3400">
        <v>77692.34</v>
      </c>
      <c r="R3400">
        <v>323</v>
      </c>
      <c r="S3400">
        <v>1071</v>
      </c>
      <c r="T3400" t="s">
        <v>34</v>
      </c>
      <c r="U3400" t="s">
        <v>27</v>
      </c>
    </row>
    <row r="3401" spans="1:21">
      <c r="A3401" t="s">
        <v>5345</v>
      </c>
      <c r="B3401" t="s">
        <v>5346</v>
      </c>
      <c r="C3401" t="s">
        <v>5001</v>
      </c>
      <c r="D3401">
        <v>66000</v>
      </c>
      <c r="E3401">
        <v>2000</v>
      </c>
      <c r="F3401">
        <v>47300</v>
      </c>
      <c r="H3401">
        <v>2</v>
      </c>
      <c r="I3401" t="s">
        <v>432</v>
      </c>
      <c r="J3401">
        <v>28.98</v>
      </c>
      <c r="K3401">
        <v>28</v>
      </c>
      <c r="L3401">
        <v>2</v>
      </c>
      <c r="M3401" t="s">
        <v>4970</v>
      </c>
      <c r="N3401">
        <v>7</v>
      </c>
      <c r="O3401">
        <v>13.33</v>
      </c>
      <c r="P3401">
        <v>98022.29</v>
      </c>
      <c r="Q3401">
        <v>77692.34</v>
      </c>
      <c r="R3401">
        <v>323</v>
      </c>
      <c r="S3401">
        <v>1071</v>
      </c>
      <c r="T3401" t="s">
        <v>34</v>
      </c>
      <c r="U3401" t="s">
        <v>27</v>
      </c>
    </row>
    <row r="3402" spans="1:21">
      <c r="A3402" t="s">
        <v>5347</v>
      </c>
      <c r="B3402" t="s">
        <v>5348</v>
      </c>
      <c r="C3402" t="s">
        <v>4984</v>
      </c>
      <c r="D3402">
        <v>59000</v>
      </c>
      <c r="E3402">
        <v>4000</v>
      </c>
      <c r="G3402">
        <v>59000</v>
      </c>
      <c r="H3402">
        <v>1</v>
      </c>
      <c r="I3402" t="s">
        <v>432</v>
      </c>
      <c r="J3402">
        <v>11.02</v>
      </c>
      <c r="K3402">
        <v>2</v>
      </c>
      <c r="L3402">
        <v>2</v>
      </c>
      <c r="M3402" t="s">
        <v>4970</v>
      </c>
      <c r="N3402">
        <v>5</v>
      </c>
      <c r="O3402">
        <v>11.33</v>
      </c>
      <c r="P3402">
        <v>98022.29</v>
      </c>
      <c r="Q3402">
        <v>77692.34</v>
      </c>
      <c r="R3402">
        <v>323</v>
      </c>
      <c r="S3402">
        <v>1071</v>
      </c>
      <c r="T3402" t="s">
        <v>108</v>
      </c>
      <c r="U3402" t="s">
        <v>31</v>
      </c>
    </row>
    <row r="3403" spans="1:21">
      <c r="A3403" t="s">
        <v>5349</v>
      </c>
      <c r="B3403" t="s">
        <v>5348</v>
      </c>
      <c r="C3403" t="s">
        <v>4984</v>
      </c>
      <c r="D3403">
        <v>61000</v>
      </c>
      <c r="E3403">
        <v>4000</v>
      </c>
      <c r="G3403">
        <v>61000</v>
      </c>
      <c r="H3403">
        <v>1</v>
      </c>
      <c r="I3403" t="s">
        <v>432</v>
      </c>
      <c r="J3403">
        <v>11</v>
      </c>
      <c r="K3403">
        <v>2</v>
      </c>
      <c r="L3403">
        <v>2</v>
      </c>
      <c r="M3403" t="s">
        <v>4970</v>
      </c>
      <c r="N3403">
        <v>5</v>
      </c>
      <c r="O3403">
        <v>11.33</v>
      </c>
      <c r="P3403">
        <v>98022.29</v>
      </c>
      <c r="Q3403">
        <v>77692.34</v>
      </c>
      <c r="R3403">
        <v>323</v>
      </c>
      <c r="S3403">
        <v>1071</v>
      </c>
      <c r="T3403" t="s">
        <v>108</v>
      </c>
      <c r="U3403" t="s">
        <v>31</v>
      </c>
    </row>
    <row r="3404" spans="1:21">
      <c r="A3404" t="s">
        <v>5350</v>
      </c>
      <c r="B3404" t="s">
        <v>5348</v>
      </c>
      <c r="C3404" t="s">
        <v>4969</v>
      </c>
      <c r="D3404">
        <v>64000</v>
      </c>
      <c r="E3404">
        <v>4000</v>
      </c>
      <c r="G3404">
        <v>64000</v>
      </c>
      <c r="H3404">
        <v>2</v>
      </c>
      <c r="I3404" t="s">
        <v>432</v>
      </c>
      <c r="J3404">
        <v>12.61</v>
      </c>
      <c r="K3404">
        <v>2</v>
      </c>
      <c r="L3404">
        <v>2</v>
      </c>
      <c r="M3404" t="s">
        <v>4970</v>
      </c>
      <c r="N3404">
        <v>6</v>
      </c>
      <c r="O3404">
        <v>11.67</v>
      </c>
      <c r="P3404">
        <v>98022.29</v>
      </c>
      <c r="Q3404">
        <v>77692.34</v>
      </c>
      <c r="R3404">
        <v>323</v>
      </c>
      <c r="S3404">
        <v>1071</v>
      </c>
      <c r="T3404" t="s">
        <v>108</v>
      </c>
      <c r="U3404" t="s">
        <v>31</v>
      </c>
    </row>
    <row r="3405" spans="1:21">
      <c r="A3405" t="s">
        <v>5351</v>
      </c>
      <c r="B3405" t="s">
        <v>5352</v>
      </c>
      <c r="C3405" t="s">
        <v>4984</v>
      </c>
      <c r="D3405">
        <v>60000</v>
      </c>
      <c r="F3405">
        <v>60000</v>
      </c>
      <c r="G3405">
        <v>60000</v>
      </c>
      <c r="H3405">
        <v>1</v>
      </c>
      <c r="I3405" t="s">
        <v>432</v>
      </c>
      <c r="J3405">
        <v>20</v>
      </c>
      <c r="K3405">
        <v>30</v>
      </c>
      <c r="L3405">
        <v>2</v>
      </c>
      <c r="M3405" t="s">
        <v>4970</v>
      </c>
      <c r="N3405">
        <v>5</v>
      </c>
      <c r="O3405">
        <v>10</v>
      </c>
      <c r="P3405">
        <v>98022.29</v>
      </c>
      <c r="Q3405">
        <v>77692.34</v>
      </c>
      <c r="R3405">
        <v>323</v>
      </c>
      <c r="S3405">
        <v>1071</v>
      </c>
      <c r="T3405" t="s">
        <v>34</v>
      </c>
      <c r="U3405" t="s">
        <v>27</v>
      </c>
    </row>
    <row r="3406" spans="1:21">
      <c r="A3406" t="s">
        <v>5353</v>
      </c>
      <c r="B3406" t="s">
        <v>5354</v>
      </c>
      <c r="C3406" t="s">
        <v>4984</v>
      </c>
      <c r="D3406">
        <v>50000</v>
      </c>
      <c r="F3406">
        <v>50000</v>
      </c>
      <c r="G3406">
        <v>50000</v>
      </c>
      <c r="H3406">
        <v>1</v>
      </c>
      <c r="I3406" t="s">
        <v>432</v>
      </c>
      <c r="J3406">
        <v>16.7</v>
      </c>
      <c r="K3406">
        <v>34</v>
      </c>
      <c r="L3406">
        <v>2</v>
      </c>
      <c r="M3406" t="s">
        <v>4970</v>
      </c>
      <c r="N3406">
        <v>2</v>
      </c>
      <c r="O3406">
        <v>11</v>
      </c>
      <c r="P3406">
        <v>98022.29</v>
      </c>
      <c r="Q3406">
        <v>77692.34</v>
      </c>
      <c r="R3406">
        <v>323</v>
      </c>
      <c r="S3406">
        <v>1071</v>
      </c>
      <c r="T3406" t="s">
        <v>108</v>
      </c>
      <c r="U3406" t="s">
        <v>49</v>
      </c>
    </row>
    <row r="3407" spans="1:21">
      <c r="A3407" t="s">
        <v>5355</v>
      </c>
      <c r="B3407" t="s">
        <v>5356</v>
      </c>
      <c r="C3407" t="s">
        <v>1743</v>
      </c>
      <c r="D3407">
        <v>63000</v>
      </c>
      <c r="E3407">
        <v>4000</v>
      </c>
      <c r="G3407">
        <v>63000</v>
      </c>
      <c r="H3407">
        <v>1</v>
      </c>
      <c r="I3407" t="s">
        <v>432</v>
      </c>
      <c r="J3407">
        <v>12</v>
      </c>
      <c r="K3407">
        <v>3</v>
      </c>
      <c r="L3407">
        <v>2</v>
      </c>
      <c r="M3407" t="s">
        <v>4970</v>
      </c>
      <c r="N3407">
        <v>8</v>
      </c>
      <c r="O3407">
        <v>12</v>
      </c>
      <c r="P3407">
        <v>98022.29</v>
      </c>
      <c r="Q3407">
        <v>77692.34</v>
      </c>
      <c r="R3407">
        <v>323</v>
      </c>
      <c r="S3407">
        <v>1071</v>
      </c>
      <c r="T3407" t="s">
        <v>108</v>
      </c>
      <c r="U3407" t="s">
        <v>31</v>
      </c>
    </row>
    <row r="3408" spans="1:21">
      <c r="A3408" t="s">
        <v>5357</v>
      </c>
      <c r="B3408" t="s">
        <v>5358</v>
      </c>
      <c r="C3408" t="s">
        <v>1873</v>
      </c>
      <c r="D3408">
        <v>77000</v>
      </c>
      <c r="E3408">
        <v>3000</v>
      </c>
      <c r="F3408">
        <v>77000</v>
      </c>
      <c r="G3408">
        <v>77000</v>
      </c>
      <c r="H3408">
        <v>2</v>
      </c>
      <c r="I3408" t="s">
        <v>432</v>
      </c>
      <c r="J3408">
        <v>23</v>
      </c>
      <c r="K3408">
        <v>48</v>
      </c>
      <c r="L3408">
        <v>2</v>
      </c>
      <c r="M3408" t="s">
        <v>4970</v>
      </c>
      <c r="N3408">
        <v>3</v>
      </c>
      <c r="O3408">
        <v>10.33</v>
      </c>
      <c r="P3408">
        <v>98022.29</v>
      </c>
      <c r="Q3408">
        <v>77692.34</v>
      </c>
      <c r="R3408">
        <v>323</v>
      </c>
      <c r="S3408">
        <v>1071</v>
      </c>
      <c r="T3408" t="s">
        <v>34</v>
      </c>
      <c r="U3408" t="s">
        <v>42</v>
      </c>
    </row>
    <row r="3409" spans="1:21">
      <c r="A3409" t="s">
        <v>5359</v>
      </c>
      <c r="B3409" t="s">
        <v>5360</v>
      </c>
      <c r="C3409" t="s">
        <v>5001</v>
      </c>
      <c r="D3409">
        <v>62000</v>
      </c>
      <c r="E3409">
        <v>4000</v>
      </c>
      <c r="G3409">
        <v>62000</v>
      </c>
      <c r="H3409">
        <v>1</v>
      </c>
      <c r="I3409" t="s">
        <v>432</v>
      </c>
      <c r="J3409">
        <v>12.32</v>
      </c>
      <c r="K3409">
        <v>4</v>
      </c>
      <c r="L3409">
        <v>2</v>
      </c>
      <c r="M3409" t="s">
        <v>4970</v>
      </c>
      <c r="N3409">
        <v>9</v>
      </c>
      <c r="O3409">
        <v>12.67</v>
      </c>
      <c r="P3409">
        <v>98022.29</v>
      </c>
      <c r="Q3409">
        <v>77692.34</v>
      </c>
      <c r="R3409">
        <v>323</v>
      </c>
      <c r="S3409">
        <v>1071</v>
      </c>
      <c r="T3409" t="s">
        <v>108</v>
      </c>
      <c r="U3409" t="s">
        <v>31</v>
      </c>
    </row>
    <row r="3410" spans="1:21">
      <c r="A3410" t="s">
        <v>5361</v>
      </c>
      <c r="B3410" t="s">
        <v>5360</v>
      </c>
      <c r="C3410" t="s">
        <v>5001</v>
      </c>
      <c r="D3410">
        <v>61000</v>
      </c>
      <c r="E3410">
        <v>4000</v>
      </c>
      <c r="G3410">
        <v>61000</v>
      </c>
      <c r="H3410">
        <v>2</v>
      </c>
      <c r="I3410" t="s">
        <v>432</v>
      </c>
      <c r="J3410">
        <v>11.01</v>
      </c>
      <c r="K3410">
        <v>4</v>
      </c>
      <c r="L3410">
        <v>2</v>
      </c>
      <c r="M3410" t="s">
        <v>4970</v>
      </c>
      <c r="N3410">
        <v>9</v>
      </c>
      <c r="O3410">
        <v>12.67</v>
      </c>
      <c r="P3410">
        <v>98022.29</v>
      </c>
      <c r="Q3410">
        <v>77692.34</v>
      </c>
      <c r="R3410">
        <v>323</v>
      </c>
      <c r="S3410">
        <v>1071</v>
      </c>
      <c r="T3410" t="s">
        <v>108</v>
      </c>
      <c r="U3410" t="s">
        <v>31</v>
      </c>
    </row>
    <row r="3411" spans="1:21">
      <c r="A3411" t="s">
        <v>5362</v>
      </c>
      <c r="B3411" t="s">
        <v>4991</v>
      </c>
      <c r="C3411" t="s">
        <v>4984</v>
      </c>
      <c r="D3411">
        <v>70000</v>
      </c>
      <c r="E3411">
        <v>3000</v>
      </c>
      <c r="F3411">
        <v>70000</v>
      </c>
      <c r="G3411">
        <v>70000</v>
      </c>
      <c r="H3411">
        <v>2</v>
      </c>
      <c r="I3411" t="s">
        <v>432</v>
      </c>
      <c r="J3411">
        <v>24.1</v>
      </c>
      <c r="K3411">
        <v>63</v>
      </c>
      <c r="L3411">
        <v>2</v>
      </c>
      <c r="M3411" t="s">
        <v>4970</v>
      </c>
      <c r="N3411">
        <v>5</v>
      </c>
      <c r="O3411">
        <v>11</v>
      </c>
      <c r="P3411">
        <v>98022.29</v>
      </c>
      <c r="Q3411">
        <v>77692.34</v>
      </c>
      <c r="R3411">
        <v>323</v>
      </c>
      <c r="S3411">
        <v>1071</v>
      </c>
      <c r="T3411" t="s">
        <v>34</v>
      </c>
      <c r="U3411" t="s">
        <v>38</v>
      </c>
    </row>
    <row r="3412" spans="1:21">
      <c r="A3412" t="s">
        <v>5363</v>
      </c>
      <c r="B3412" t="s">
        <v>5131</v>
      </c>
      <c r="C3412" t="s">
        <v>5071</v>
      </c>
      <c r="D3412">
        <v>73000</v>
      </c>
      <c r="E3412">
        <v>4000</v>
      </c>
      <c r="G3412">
        <v>73000</v>
      </c>
      <c r="H3412">
        <v>2</v>
      </c>
      <c r="I3412" t="s">
        <v>432</v>
      </c>
      <c r="J3412">
        <v>21.73</v>
      </c>
      <c r="K3412">
        <v>8</v>
      </c>
      <c r="L3412">
        <v>2</v>
      </c>
      <c r="M3412" t="s">
        <v>4970</v>
      </c>
      <c r="N3412">
        <v>5</v>
      </c>
      <c r="O3412">
        <v>13.67</v>
      </c>
      <c r="P3412">
        <v>98022.29</v>
      </c>
      <c r="Q3412">
        <v>77692.34</v>
      </c>
      <c r="R3412">
        <v>323</v>
      </c>
      <c r="S3412">
        <v>1071</v>
      </c>
      <c r="T3412" t="s">
        <v>34</v>
      </c>
      <c r="U3412" t="s">
        <v>31</v>
      </c>
    </row>
    <row r="3413" spans="1:21">
      <c r="A3413" t="s">
        <v>5364</v>
      </c>
      <c r="B3413" t="s">
        <v>5205</v>
      </c>
      <c r="C3413" t="s">
        <v>5001</v>
      </c>
      <c r="D3413">
        <v>93000</v>
      </c>
      <c r="E3413">
        <v>7000</v>
      </c>
      <c r="G3413">
        <v>93000</v>
      </c>
      <c r="H3413">
        <v>1</v>
      </c>
      <c r="I3413" t="s">
        <v>432</v>
      </c>
      <c r="J3413">
        <v>30.53</v>
      </c>
      <c r="K3413">
        <v>20</v>
      </c>
      <c r="L3413">
        <v>3</v>
      </c>
      <c r="M3413" t="s">
        <v>4970</v>
      </c>
      <c r="N3413">
        <v>8</v>
      </c>
      <c r="O3413">
        <v>12.33</v>
      </c>
      <c r="P3413">
        <v>98022.29</v>
      </c>
      <c r="Q3413">
        <v>77692.34</v>
      </c>
      <c r="R3413">
        <v>323</v>
      </c>
      <c r="S3413">
        <v>1071</v>
      </c>
      <c r="T3413" t="s">
        <v>26</v>
      </c>
      <c r="U3413" t="s">
        <v>90</v>
      </c>
    </row>
    <row r="3414" spans="1:21">
      <c r="A3414" t="s">
        <v>5365</v>
      </c>
      <c r="B3414" t="s">
        <v>5205</v>
      </c>
      <c r="C3414" t="s">
        <v>4984</v>
      </c>
      <c r="D3414">
        <v>75000</v>
      </c>
      <c r="E3414">
        <v>1000</v>
      </c>
      <c r="F3414">
        <v>75000</v>
      </c>
      <c r="G3414">
        <v>75000</v>
      </c>
      <c r="H3414">
        <v>2</v>
      </c>
      <c r="I3414" t="s">
        <v>432</v>
      </c>
      <c r="J3414">
        <v>22</v>
      </c>
      <c r="K3414">
        <v>20</v>
      </c>
      <c r="L3414">
        <v>3</v>
      </c>
      <c r="M3414" t="s">
        <v>4970</v>
      </c>
      <c r="N3414">
        <v>4</v>
      </c>
      <c r="O3414">
        <v>10.67</v>
      </c>
      <c r="P3414">
        <v>98022.29</v>
      </c>
      <c r="Q3414">
        <v>77692.34</v>
      </c>
      <c r="R3414">
        <v>323</v>
      </c>
      <c r="S3414">
        <v>1071</v>
      </c>
      <c r="T3414" t="s">
        <v>34</v>
      </c>
      <c r="U3414" t="s">
        <v>90</v>
      </c>
    </row>
    <row r="3415" spans="1:21">
      <c r="A3415" t="s">
        <v>5366</v>
      </c>
      <c r="B3415" t="s">
        <v>5367</v>
      </c>
      <c r="C3415" t="s">
        <v>5071</v>
      </c>
      <c r="D3415">
        <v>85000</v>
      </c>
      <c r="F3415">
        <v>85000</v>
      </c>
      <c r="G3415">
        <v>85000</v>
      </c>
      <c r="H3415">
        <v>1</v>
      </c>
      <c r="I3415" t="s">
        <v>432</v>
      </c>
      <c r="J3415">
        <v>25.18</v>
      </c>
      <c r="K3415">
        <v>23</v>
      </c>
      <c r="L3415">
        <v>3</v>
      </c>
      <c r="M3415" t="s">
        <v>4970</v>
      </c>
      <c r="N3415">
        <v>5</v>
      </c>
      <c r="O3415">
        <v>11.33</v>
      </c>
      <c r="P3415">
        <v>98022.29</v>
      </c>
      <c r="Q3415">
        <v>77692.34</v>
      </c>
      <c r="R3415">
        <v>323</v>
      </c>
      <c r="S3415">
        <v>1071</v>
      </c>
      <c r="T3415" t="s">
        <v>34</v>
      </c>
      <c r="U3415" t="s">
        <v>27</v>
      </c>
    </row>
    <row r="3416" spans="1:21">
      <c r="A3416" t="s">
        <v>5368</v>
      </c>
      <c r="B3416" t="s">
        <v>5369</v>
      </c>
      <c r="C3416" t="s">
        <v>4984</v>
      </c>
      <c r="D3416">
        <v>53000</v>
      </c>
      <c r="E3416">
        <v>3000</v>
      </c>
      <c r="F3416">
        <v>53000</v>
      </c>
      <c r="H3416">
        <v>2</v>
      </c>
      <c r="I3416" t="s">
        <v>432</v>
      </c>
      <c r="J3416">
        <v>13.2</v>
      </c>
      <c r="K3416">
        <v>27</v>
      </c>
      <c r="L3416">
        <v>3</v>
      </c>
      <c r="M3416" t="s">
        <v>4970</v>
      </c>
      <c r="N3416">
        <v>5</v>
      </c>
      <c r="O3416">
        <v>12.33</v>
      </c>
      <c r="P3416">
        <v>98022.29</v>
      </c>
      <c r="Q3416">
        <v>77692.34</v>
      </c>
      <c r="R3416">
        <v>323</v>
      </c>
      <c r="S3416">
        <v>1071</v>
      </c>
      <c r="T3416" t="s">
        <v>108</v>
      </c>
      <c r="U3416" t="s">
        <v>27</v>
      </c>
    </row>
    <row r="3417" spans="1:21">
      <c r="A3417" t="s">
        <v>5370</v>
      </c>
      <c r="B3417" t="s">
        <v>5369</v>
      </c>
      <c r="C3417" t="s">
        <v>4984</v>
      </c>
      <c r="D3417">
        <v>52000</v>
      </c>
      <c r="E3417">
        <v>3000</v>
      </c>
      <c r="F3417">
        <v>52000</v>
      </c>
      <c r="H3417">
        <v>2</v>
      </c>
      <c r="I3417" t="s">
        <v>432</v>
      </c>
      <c r="J3417">
        <v>14.77</v>
      </c>
      <c r="K3417">
        <v>27</v>
      </c>
      <c r="L3417">
        <v>3</v>
      </c>
      <c r="M3417" t="s">
        <v>4970</v>
      </c>
      <c r="N3417">
        <v>5</v>
      </c>
      <c r="O3417">
        <v>12.33</v>
      </c>
      <c r="P3417">
        <v>98022.29</v>
      </c>
      <c r="Q3417">
        <v>77692.34</v>
      </c>
      <c r="R3417">
        <v>323</v>
      </c>
      <c r="S3417">
        <v>1071</v>
      </c>
      <c r="T3417" t="s">
        <v>108</v>
      </c>
      <c r="U3417" t="s">
        <v>27</v>
      </c>
    </row>
    <row r="3418" spans="1:21">
      <c r="A3418" t="s">
        <v>5371</v>
      </c>
      <c r="B3418" t="s">
        <v>5369</v>
      </c>
      <c r="C3418" t="s">
        <v>4973</v>
      </c>
      <c r="D3418">
        <v>70000</v>
      </c>
      <c r="E3418">
        <v>3000</v>
      </c>
      <c r="H3418">
        <v>2</v>
      </c>
      <c r="I3418" t="s">
        <v>432</v>
      </c>
      <c r="J3418">
        <v>16.5</v>
      </c>
      <c r="K3418">
        <v>27</v>
      </c>
      <c r="L3418">
        <v>3</v>
      </c>
      <c r="M3418" t="s">
        <v>4970</v>
      </c>
      <c r="N3418">
        <v>10</v>
      </c>
      <c r="O3418">
        <v>12</v>
      </c>
      <c r="P3418">
        <v>98022.29</v>
      </c>
      <c r="Q3418">
        <v>77692.34</v>
      </c>
      <c r="R3418">
        <v>323</v>
      </c>
      <c r="S3418">
        <v>1071</v>
      </c>
      <c r="T3418" t="s">
        <v>108</v>
      </c>
      <c r="U3418" t="s">
        <v>27</v>
      </c>
    </row>
    <row r="3419" spans="1:21">
      <c r="A3419" t="s">
        <v>5372</v>
      </c>
      <c r="B3419" t="s">
        <v>5369</v>
      </c>
      <c r="C3419" t="s">
        <v>4973</v>
      </c>
      <c r="D3419">
        <v>69000</v>
      </c>
      <c r="E3419">
        <v>4000</v>
      </c>
      <c r="F3419">
        <v>69000</v>
      </c>
      <c r="H3419">
        <v>2</v>
      </c>
      <c r="I3419" t="s">
        <v>432</v>
      </c>
      <c r="J3419">
        <v>17.600000000000001</v>
      </c>
      <c r="K3419">
        <v>27</v>
      </c>
      <c r="L3419">
        <v>3</v>
      </c>
      <c r="M3419" t="s">
        <v>4970</v>
      </c>
      <c r="N3419">
        <v>10</v>
      </c>
      <c r="O3419">
        <v>12</v>
      </c>
      <c r="P3419">
        <v>98022.29</v>
      </c>
      <c r="Q3419">
        <v>77692.34</v>
      </c>
      <c r="R3419">
        <v>323</v>
      </c>
      <c r="S3419">
        <v>1071</v>
      </c>
      <c r="T3419" t="s">
        <v>108</v>
      </c>
      <c r="U3419" t="s">
        <v>27</v>
      </c>
    </row>
    <row r="3420" spans="1:21">
      <c r="A3420" t="s">
        <v>5373</v>
      </c>
      <c r="B3420" t="s">
        <v>5369</v>
      </c>
      <c r="C3420" t="s">
        <v>4984</v>
      </c>
      <c r="D3420">
        <v>58000</v>
      </c>
      <c r="F3420">
        <v>58000</v>
      </c>
      <c r="H3420">
        <v>3</v>
      </c>
      <c r="I3420" t="s">
        <v>432</v>
      </c>
      <c r="J3420">
        <v>15.18</v>
      </c>
      <c r="K3420">
        <v>27</v>
      </c>
      <c r="L3420">
        <v>3</v>
      </c>
      <c r="M3420" t="s">
        <v>4970</v>
      </c>
      <c r="N3420">
        <v>5</v>
      </c>
      <c r="O3420">
        <v>12.33</v>
      </c>
      <c r="P3420">
        <v>98022.29</v>
      </c>
      <c r="Q3420">
        <v>77692.34</v>
      </c>
      <c r="R3420">
        <v>323</v>
      </c>
      <c r="S3420">
        <v>1071</v>
      </c>
      <c r="T3420" t="s">
        <v>108</v>
      </c>
      <c r="U3420" t="s">
        <v>27</v>
      </c>
    </row>
    <row r="3421" spans="1:21">
      <c r="A3421" t="s">
        <v>5374</v>
      </c>
      <c r="B3421" t="s">
        <v>5375</v>
      </c>
      <c r="C3421" t="s">
        <v>4969</v>
      </c>
      <c r="D3421">
        <v>65000</v>
      </c>
      <c r="E3421">
        <v>3000</v>
      </c>
      <c r="F3421">
        <v>65000</v>
      </c>
      <c r="G3421">
        <v>65000</v>
      </c>
      <c r="H3421">
        <v>1</v>
      </c>
      <c r="I3421" t="s">
        <v>432</v>
      </c>
      <c r="J3421">
        <v>17</v>
      </c>
      <c r="K3421">
        <v>37</v>
      </c>
      <c r="L3421">
        <v>3</v>
      </c>
      <c r="M3421" t="s">
        <v>4970</v>
      </c>
      <c r="N3421">
        <v>2</v>
      </c>
      <c r="O3421">
        <v>9.33</v>
      </c>
      <c r="P3421">
        <v>98022.29</v>
      </c>
      <c r="Q3421">
        <v>77692.34</v>
      </c>
      <c r="R3421">
        <v>323</v>
      </c>
      <c r="S3421">
        <v>1071</v>
      </c>
      <c r="T3421" t="s">
        <v>108</v>
      </c>
      <c r="U3421" t="s">
        <v>49</v>
      </c>
    </row>
    <row r="3422" spans="1:21">
      <c r="A3422" t="s">
        <v>5376</v>
      </c>
      <c r="B3422" t="s">
        <v>5377</v>
      </c>
      <c r="C3422" t="s">
        <v>5001</v>
      </c>
      <c r="D3422">
        <v>57000</v>
      </c>
      <c r="E3422">
        <v>3000</v>
      </c>
      <c r="H3422">
        <v>3</v>
      </c>
      <c r="I3422" t="s">
        <v>432</v>
      </c>
      <c r="J3422">
        <v>17.010000000000002</v>
      </c>
      <c r="K3422">
        <v>41</v>
      </c>
      <c r="L3422">
        <v>4</v>
      </c>
      <c r="M3422" t="s">
        <v>4970</v>
      </c>
      <c r="N3422">
        <v>8</v>
      </c>
      <c r="O3422">
        <v>12</v>
      </c>
      <c r="P3422">
        <v>98022.29</v>
      </c>
      <c r="Q3422">
        <v>77692.34</v>
      </c>
      <c r="R3422">
        <v>323</v>
      </c>
      <c r="S3422">
        <v>1071</v>
      </c>
      <c r="T3422" t="s">
        <v>108</v>
      </c>
      <c r="U3422" t="s">
        <v>42</v>
      </c>
    </row>
    <row r="3423" spans="1:21">
      <c r="A3423" t="s">
        <v>5378</v>
      </c>
      <c r="B3423" t="s">
        <v>5154</v>
      </c>
      <c r="C3423" t="s">
        <v>2695</v>
      </c>
      <c r="D3423">
        <v>70000</v>
      </c>
      <c r="E3423">
        <v>10000</v>
      </c>
      <c r="G3423">
        <v>70000</v>
      </c>
      <c r="H3423">
        <v>3</v>
      </c>
      <c r="I3423" t="s">
        <v>432</v>
      </c>
      <c r="J3423">
        <v>18.72</v>
      </c>
      <c r="K3423">
        <v>5</v>
      </c>
      <c r="L3423">
        <v>4</v>
      </c>
      <c r="M3423" t="s">
        <v>4970</v>
      </c>
      <c r="N3423">
        <v>10</v>
      </c>
      <c r="O3423">
        <v>12.67</v>
      </c>
      <c r="P3423">
        <v>98022.29</v>
      </c>
      <c r="Q3423">
        <v>77692.34</v>
      </c>
      <c r="R3423">
        <v>323</v>
      </c>
      <c r="S3423">
        <v>1071</v>
      </c>
      <c r="T3423" t="s">
        <v>108</v>
      </c>
      <c r="U3423" t="s">
        <v>31</v>
      </c>
    </row>
    <row r="3424" spans="1:21">
      <c r="A3424" t="s">
        <v>5379</v>
      </c>
      <c r="B3424" t="s">
        <v>5154</v>
      </c>
      <c r="C3424" t="s">
        <v>4969</v>
      </c>
      <c r="D3424">
        <v>81000</v>
      </c>
      <c r="E3424">
        <v>10000</v>
      </c>
      <c r="H3424">
        <v>4</v>
      </c>
      <c r="I3424" t="s">
        <v>432</v>
      </c>
      <c r="J3424">
        <v>20.03</v>
      </c>
      <c r="K3424">
        <v>5</v>
      </c>
      <c r="L3424">
        <v>4</v>
      </c>
      <c r="M3424" t="s">
        <v>4970</v>
      </c>
      <c r="N3424">
        <v>9</v>
      </c>
      <c r="O3424">
        <v>12.67</v>
      </c>
      <c r="P3424">
        <v>98022.29</v>
      </c>
      <c r="Q3424">
        <v>77692.34</v>
      </c>
      <c r="R3424">
        <v>323</v>
      </c>
      <c r="S3424">
        <v>1071</v>
      </c>
      <c r="T3424" t="s">
        <v>34</v>
      </c>
      <c r="U3424" t="s">
        <v>31</v>
      </c>
    </row>
    <row r="3425" spans="1:21">
      <c r="A3425" t="s">
        <v>5380</v>
      </c>
      <c r="B3425" t="s">
        <v>5381</v>
      </c>
      <c r="C3425" t="s">
        <v>4984</v>
      </c>
      <c r="D3425">
        <v>83000</v>
      </c>
      <c r="E3425">
        <v>5000</v>
      </c>
      <c r="F3425">
        <v>83000</v>
      </c>
      <c r="G3425">
        <v>83000</v>
      </c>
      <c r="H3425">
        <v>2</v>
      </c>
      <c r="I3425" t="s">
        <v>432</v>
      </c>
      <c r="J3425">
        <v>18.13</v>
      </c>
      <c r="K3425">
        <v>4</v>
      </c>
      <c r="L3425">
        <v>5</v>
      </c>
      <c r="M3425" t="s">
        <v>4970</v>
      </c>
      <c r="N3425">
        <v>2</v>
      </c>
      <c r="O3425">
        <v>13</v>
      </c>
      <c r="P3425">
        <v>98022.29</v>
      </c>
      <c r="Q3425">
        <v>77692.34</v>
      </c>
      <c r="R3425">
        <v>323</v>
      </c>
      <c r="S3425">
        <v>1071</v>
      </c>
      <c r="T3425" t="s">
        <v>108</v>
      </c>
      <c r="U3425" t="s">
        <v>31</v>
      </c>
    </row>
    <row r="3426" spans="1:21">
      <c r="A3426" t="s">
        <v>5382</v>
      </c>
      <c r="B3426" t="s">
        <v>5383</v>
      </c>
      <c r="C3426" t="s">
        <v>1873</v>
      </c>
      <c r="D3426">
        <v>87000</v>
      </c>
      <c r="E3426">
        <v>2000</v>
      </c>
      <c r="H3426">
        <v>2</v>
      </c>
      <c r="I3426" t="s">
        <v>432</v>
      </c>
      <c r="J3426">
        <v>30</v>
      </c>
      <c r="K3426">
        <v>56</v>
      </c>
      <c r="L3426">
        <v>5</v>
      </c>
      <c r="M3426" t="s">
        <v>4970</v>
      </c>
      <c r="N3426">
        <v>5</v>
      </c>
      <c r="O3426">
        <v>8.67</v>
      </c>
      <c r="P3426">
        <v>98022.29</v>
      </c>
      <c r="Q3426">
        <v>77692.34</v>
      </c>
      <c r="R3426">
        <v>323</v>
      </c>
      <c r="S3426">
        <v>1071</v>
      </c>
      <c r="T3426" t="s">
        <v>26</v>
      </c>
      <c r="U3426" t="s">
        <v>57</v>
      </c>
    </row>
    <row r="3427" spans="1:21">
      <c r="A3427" t="s">
        <v>5384</v>
      </c>
      <c r="B3427" t="s">
        <v>5385</v>
      </c>
      <c r="C3427" t="s">
        <v>1873</v>
      </c>
      <c r="D3427">
        <v>98000</v>
      </c>
      <c r="G3427">
        <v>98000</v>
      </c>
      <c r="H3427">
        <v>3</v>
      </c>
      <c r="I3427" t="s">
        <v>432</v>
      </c>
      <c r="J3427">
        <v>32.29</v>
      </c>
      <c r="K3427">
        <v>26</v>
      </c>
      <c r="L3427">
        <v>6</v>
      </c>
      <c r="M3427" t="s">
        <v>4970</v>
      </c>
      <c r="N3427">
        <v>5</v>
      </c>
      <c r="O3427">
        <v>10</v>
      </c>
      <c r="P3427">
        <v>98022.29</v>
      </c>
      <c r="Q3427">
        <v>77692.34</v>
      </c>
      <c r="R3427">
        <v>323</v>
      </c>
      <c r="S3427">
        <v>1071</v>
      </c>
      <c r="T3427" t="s">
        <v>26</v>
      </c>
      <c r="U3427" t="s">
        <v>27</v>
      </c>
    </row>
    <row r="3428" spans="1:21">
      <c r="A3428" t="s">
        <v>5386</v>
      </c>
      <c r="B3428" t="s">
        <v>5387</v>
      </c>
      <c r="C3428" t="s">
        <v>4984</v>
      </c>
      <c r="D3428">
        <v>77000</v>
      </c>
      <c r="E3428">
        <v>9000</v>
      </c>
      <c r="H3428">
        <v>2</v>
      </c>
      <c r="I3428" t="s">
        <v>432</v>
      </c>
      <c r="J3428">
        <v>12.5</v>
      </c>
      <c r="K3428">
        <v>4</v>
      </c>
      <c r="L3428">
        <v>5</v>
      </c>
      <c r="M3428" t="s">
        <v>4970</v>
      </c>
      <c r="N3428">
        <v>3</v>
      </c>
      <c r="O3428">
        <v>9.67</v>
      </c>
      <c r="P3428">
        <v>98022.29</v>
      </c>
      <c r="Q3428">
        <v>77692.34</v>
      </c>
      <c r="R3428">
        <v>323</v>
      </c>
      <c r="S3428">
        <v>1071</v>
      </c>
      <c r="T3428" t="s">
        <v>108</v>
      </c>
      <c r="U3428" t="s">
        <v>31</v>
      </c>
    </row>
    <row r="3429" spans="1:21">
      <c r="A3429" t="s">
        <v>5388</v>
      </c>
      <c r="B3429" t="s">
        <v>5387</v>
      </c>
      <c r="C3429" t="s">
        <v>4984</v>
      </c>
      <c r="D3429">
        <v>72000</v>
      </c>
      <c r="E3429">
        <v>9000</v>
      </c>
      <c r="H3429">
        <v>4</v>
      </c>
      <c r="I3429" t="s">
        <v>432</v>
      </c>
      <c r="J3429">
        <v>12.25</v>
      </c>
      <c r="K3429">
        <v>4</v>
      </c>
      <c r="L3429">
        <v>5</v>
      </c>
      <c r="M3429" t="s">
        <v>4970</v>
      </c>
      <c r="N3429">
        <v>3</v>
      </c>
      <c r="O3429">
        <v>9.67</v>
      </c>
      <c r="P3429">
        <v>98022.29</v>
      </c>
      <c r="Q3429">
        <v>77692.34</v>
      </c>
      <c r="R3429">
        <v>323</v>
      </c>
      <c r="S3429">
        <v>1071</v>
      </c>
      <c r="T3429" t="s">
        <v>108</v>
      </c>
      <c r="U3429" t="s">
        <v>31</v>
      </c>
    </row>
    <row r="3430" spans="1:21">
      <c r="A3430" t="s">
        <v>5389</v>
      </c>
      <c r="B3430" t="s">
        <v>5387</v>
      </c>
      <c r="C3430" t="s">
        <v>4984</v>
      </c>
      <c r="D3430">
        <v>72000</v>
      </c>
      <c r="E3430">
        <v>9000</v>
      </c>
      <c r="H3430">
        <v>4</v>
      </c>
      <c r="I3430" t="s">
        <v>432</v>
      </c>
      <c r="J3430">
        <v>12.35</v>
      </c>
      <c r="K3430">
        <v>4</v>
      </c>
      <c r="L3430">
        <v>5</v>
      </c>
      <c r="M3430" t="s">
        <v>4970</v>
      </c>
      <c r="N3430">
        <v>3</v>
      </c>
      <c r="O3430">
        <v>9.67</v>
      </c>
      <c r="P3430">
        <v>98022.29</v>
      </c>
      <c r="Q3430">
        <v>77692.34</v>
      </c>
      <c r="R3430">
        <v>323</v>
      </c>
      <c r="S3430">
        <v>1071</v>
      </c>
      <c r="T3430" t="s">
        <v>108</v>
      </c>
      <c r="U3430" t="s">
        <v>31</v>
      </c>
    </row>
    <row r="3431" spans="1:21">
      <c r="A3431" t="s">
        <v>5390</v>
      </c>
      <c r="B3431" t="s">
        <v>5391</v>
      </c>
      <c r="C3431" t="s">
        <v>4984</v>
      </c>
      <c r="D3431">
        <v>85000</v>
      </c>
      <c r="E3431">
        <v>6000</v>
      </c>
      <c r="F3431">
        <v>85000</v>
      </c>
      <c r="G3431">
        <v>85000</v>
      </c>
      <c r="H3431">
        <v>3</v>
      </c>
      <c r="I3431" t="s">
        <v>432</v>
      </c>
      <c r="J3431">
        <v>25.25</v>
      </c>
      <c r="K3431">
        <v>56</v>
      </c>
      <c r="L3431">
        <v>8</v>
      </c>
      <c r="M3431" t="s">
        <v>4970</v>
      </c>
      <c r="N3431">
        <v>3</v>
      </c>
      <c r="O3431">
        <v>8.67</v>
      </c>
      <c r="P3431">
        <v>98022.29</v>
      </c>
      <c r="Q3431">
        <v>77692.34</v>
      </c>
      <c r="R3431">
        <v>323</v>
      </c>
      <c r="S3431">
        <v>1071</v>
      </c>
      <c r="T3431" t="s">
        <v>34</v>
      </c>
      <c r="U3431" t="s">
        <v>57</v>
      </c>
    </row>
    <row r="3432" spans="1:21">
      <c r="A3432" t="s">
        <v>5392</v>
      </c>
      <c r="B3432" t="s">
        <v>5393</v>
      </c>
      <c r="C3432" t="s">
        <v>1873</v>
      </c>
      <c r="D3432">
        <v>92000</v>
      </c>
      <c r="E3432">
        <v>18000</v>
      </c>
      <c r="F3432">
        <v>92000</v>
      </c>
      <c r="H3432">
        <v>2</v>
      </c>
      <c r="I3432" t="s">
        <v>432</v>
      </c>
      <c r="J3432">
        <v>19.8</v>
      </c>
      <c r="K3432">
        <v>3</v>
      </c>
      <c r="L3432">
        <v>4</v>
      </c>
      <c r="M3432" t="s">
        <v>4970</v>
      </c>
      <c r="N3432">
        <v>6</v>
      </c>
      <c r="O3432">
        <v>10.33</v>
      </c>
      <c r="P3432">
        <v>98022.29</v>
      </c>
      <c r="Q3432">
        <v>77692.34</v>
      </c>
      <c r="R3432">
        <v>323</v>
      </c>
      <c r="S3432">
        <v>1071</v>
      </c>
      <c r="T3432" t="s">
        <v>108</v>
      </c>
      <c r="U3432" t="s">
        <v>31</v>
      </c>
    </row>
    <row r="3433" spans="1:21">
      <c r="A3433" t="s">
        <v>5394</v>
      </c>
      <c r="B3433" t="s">
        <v>5393</v>
      </c>
      <c r="C3433" t="s">
        <v>1873</v>
      </c>
      <c r="D3433">
        <v>80000</v>
      </c>
      <c r="E3433">
        <v>15000</v>
      </c>
      <c r="F3433">
        <v>80000</v>
      </c>
      <c r="H3433">
        <v>3</v>
      </c>
      <c r="I3433" t="s">
        <v>432</v>
      </c>
      <c r="J3433">
        <v>15.86</v>
      </c>
      <c r="K3433">
        <v>3</v>
      </c>
      <c r="L3433">
        <v>4</v>
      </c>
      <c r="M3433" t="s">
        <v>4970</v>
      </c>
      <c r="N3433">
        <v>6</v>
      </c>
      <c r="O3433">
        <v>10.33</v>
      </c>
      <c r="P3433">
        <v>98022.29</v>
      </c>
      <c r="Q3433">
        <v>77692.34</v>
      </c>
      <c r="R3433">
        <v>323</v>
      </c>
      <c r="S3433">
        <v>1071</v>
      </c>
      <c r="T3433" t="s">
        <v>108</v>
      </c>
      <c r="U3433" t="s">
        <v>31</v>
      </c>
    </row>
    <row r="3434" spans="1:21">
      <c r="A3434" t="s">
        <v>5395</v>
      </c>
      <c r="B3434" t="s">
        <v>5393</v>
      </c>
      <c r="C3434" t="s">
        <v>1873</v>
      </c>
      <c r="D3434">
        <v>80000</v>
      </c>
      <c r="E3434">
        <v>18000</v>
      </c>
      <c r="F3434">
        <v>80000</v>
      </c>
      <c r="H3434">
        <v>4</v>
      </c>
      <c r="I3434" t="s">
        <v>432</v>
      </c>
      <c r="J3434">
        <v>17.309999999999999</v>
      </c>
      <c r="K3434">
        <v>3</v>
      </c>
      <c r="L3434">
        <v>4</v>
      </c>
      <c r="M3434" t="s">
        <v>4970</v>
      </c>
      <c r="N3434">
        <v>6</v>
      </c>
      <c r="O3434">
        <v>10.33</v>
      </c>
      <c r="P3434">
        <v>98022.29</v>
      </c>
      <c r="Q3434">
        <v>77692.34</v>
      </c>
      <c r="R3434">
        <v>323</v>
      </c>
      <c r="S3434">
        <v>1071</v>
      </c>
      <c r="T3434" t="s">
        <v>108</v>
      </c>
      <c r="U3434" t="s">
        <v>31</v>
      </c>
    </row>
    <row r="3435" spans="1:21">
      <c r="A3435" t="s">
        <v>5396</v>
      </c>
      <c r="B3435" t="s">
        <v>5397</v>
      </c>
      <c r="C3435" t="s">
        <v>5071</v>
      </c>
      <c r="D3435">
        <v>98000</v>
      </c>
      <c r="E3435">
        <v>5000</v>
      </c>
      <c r="F3435">
        <v>98000</v>
      </c>
      <c r="G3435">
        <v>98000</v>
      </c>
      <c r="H3435">
        <v>2</v>
      </c>
      <c r="I3435" t="s">
        <v>432</v>
      </c>
      <c r="J3435">
        <v>23.76</v>
      </c>
      <c r="K3435">
        <v>0</v>
      </c>
      <c r="L3435">
        <v>4</v>
      </c>
      <c r="M3435" t="s">
        <v>4970</v>
      </c>
      <c r="N3435">
        <v>4</v>
      </c>
      <c r="O3435">
        <v>12</v>
      </c>
      <c r="P3435">
        <v>98022.29</v>
      </c>
      <c r="Q3435">
        <v>77692.34</v>
      </c>
      <c r="R3435">
        <v>323</v>
      </c>
      <c r="S3435">
        <v>1071</v>
      </c>
      <c r="T3435" t="s">
        <v>34</v>
      </c>
      <c r="U3435" t="s">
        <v>81</v>
      </c>
    </row>
    <row r="3436" spans="1:21">
      <c r="A3436" t="s">
        <v>5398</v>
      </c>
      <c r="B3436" t="s">
        <v>5397</v>
      </c>
      <c r="C3436" t="s">
        <v>5071</v>
      </c>
      <c r="D3436">
        <v>98000</v>
      </c>
      <c r="E3436">
        <v>5000</v>
      </c>
      <c r="F3436">
        <v>98000</v>
      </c>
      <c r="G3436">
        <v>98000</v>
      </c>
      <c r="H3436">
        <v>3</v>
      </c>
      <c r="I3436" t="s">
        <v>432</v>
      </c>
      <c r="J3436">
        <v>23.76</v>
      </c>
      <c r="K3436">
        <v>0</v>
      </c>
      <c r="L3436">
        <v>4</v>
      </c>
      <c r="M3436" t="s">
        <v>4970</v>
      </c>
      <c r="N3436">
        <v>4</v>
      </c>
      <c r="O3436">
        <v>12</v>
      </c>
      <c r="P3436">
        <v>98022.29</v>
      </c>
      <c r="Q3436">
        <v>77692.34</v>
      </c>
      <c r="R3436">
        <v>323</v>
      </c>
      <c r="S3436">
        <v>1071</v>
      </c>
      <c r="T3436" t="s">
        <v>34</v>
      </c>
      <c r="U3436" t="s">
        <v>81</v>
      </c>
    </row>
    <row r="3437" spans="1:21">
      <c r="A3437" t="s">
        <v>5399</v>
      </c>
      <c r="B3437" t="s">
        <v>5400</v>
      </c>
      <c r="C3437" t="s">
        <v>5071</v>
      </c>
      <c r="D3437">
        <v>72000</v>
      </c>
      <c r="E3437">
        <v>2000</v>
      </c>
      <c r="F3437">
        <v>72000</v>
      </c>
      <c r="G3437">
        <v>36000</v>
      </c>
      <c r="H3437">
        <v>2</v>
      </c>
      <c r="I3437" t="s">
        <v>1161</v>
      </c>
      <c r="J3437">
        <v>20.25</v>
      </c>
      <c r="K3437">
        <v>7</v>
      </c>
      <c r="L3437">
        <v>2</v>
      </c>
      <c r="M3437" t="s">
        <v>4970</v>
      </c>
      <c r="N3437">
        <v>6</v>
      </c>
      <c r="O3437">
        <v>11.67</v>
      </c>
      <c r="P3437">
        <v>98022.29</v>
      </c>
      <c r="Q3437">
        <v>92000</v>
      </c>
      <c r="R3437">
        <v>323</v>
      </c>
      <c r="S3437">
        <v>9</v>
      </c>
      <c r="T3437" t="s">
        <v>34</v>
      </c>
      <c r="U3437" t="s">
        <v>31</v>
      </c>
    </row>
    <row r="3438" spans="1:21">
      <c r="A3438" t="s">
        <v>5401</v>
      </c>
      <c r="B3438" t="s">
        <v>5402</v>
      </c>
      <c r="C3438" t="s">
        <v>5001</v>
      </c>
      <c r="D3438">
        <v>51000</v>
      </c>
      <c r="E3438">
        <v>3000</v>
      </c>
      <c r="F3438">
        <v>51000</v>
      </c>
      <c r="H3438">
        <v>1</v>
      </c>
      <c r="I3438" t="s">
        <v>1161</v>
      </c>
      <c r="J3438">
        <v>24.3</v>
      </c>
      <c r="K3438">
        <v>40</v>
      </c>
      <c r="L3438">
        <v>2</v>
      </c>
      <c r="M3438" t="s">
        <v>4970</v>
      </c>
      <c r="N3438">
        <v>9</v>
      </c>
      <c r="O3438">
        <v>13.67</v>
      </c>
      <c r="P3438">
        <v>98022.29</v>
      </c>
      <c r="Q3438">
        <v>92000</v>
      </c>
      <c r="R3438">
        <v>323</v>
      </c>
      <c r="S3438">
        <v>9</v>
      </c>
      <c r="T3438" t="s">
        <v>34</v>
      </c>
      <c r="U3438" t="s">
        <v>49</v>
      </c>
    </row>
    <row r="3439" spans="1:21">
      <c r="A3439" t="s">
        <v>5403</v>
      </c>
      <c r="B3439" t="s">
        <v>5404</v>
      </c>
      <c r="C3439" t="s">
        <v>4984</v>
      </c>
      <c r="D3439">
        <v>185000</v>
      </c>
      <c r="F3439">
        <v>185000</v>
      </c>
      <c r="G3439">
        <v>185000</v>
      </c>
      <c r="H3439">
        <v>1</v>
      </c>
      <c r="I3439" t="s">
        <v>555</v>
      </c>
      <c r="J3439">
        <v>44.9</v>
      </c>
      <c r="K3439">
        <v>0</v>
      </c>
      <c r="L3439">
        <v>2</v>
      </c>
      <c r="M3439" t="s">
        <v>4970</v>
      </c>
      <c r="N3439">
        <v>3</v>
      </c>
      <c r="O3439">
        <v>10.33</v>
      </c>
      <c r="P3439">
        <v>98022.29</v>
      </c>
      <c r="Q3439">
        <v>207063.41</v>
      </c>
      <c r="R3439">
        <v>323</v>
      </c>
      <c r="S3439">
        <v>41</v>
      </c>
      <c r="T3439" t="s">
        <v>326</v>
      </c>
      <c r="U3439" t="s">
        <v>81</v>
      </c>
    </row>
    <row r="3440" spans="1:21">
      <c r="A3440" t="s">
        <v>5405</v>
      </c>
      <c r="B3440" t="s">
        <v>5404</v>
      </c>
      <c r="C3440" t="s">
        <v>4984</v>
      </c>
      <c r="D3440">
        <v>180000</v>
      </c>
      <c r="F3440">
        <v>180000</v>
      </c>
      <c r="G3440">
        <v>180000</v>
      </c>
      <c r="H3440">
        <v>1</v>
      </c>
      <c r="I3440" t="s">
        <v>555</v>
      </c>
      <c r="J3440">
        <v>46.7</v>
      </c>
      <c r="K3440">
        <v>0</v>
      </c>
      <c r="L3440">
        <v>2</v>
      </c>
      <c r="M3440" t="s">
        <v>4970</v>
      </c>
      <c r="N3440">
        <v>3</v>
      </c>
      <c r="O3440">
        <v>10.33</v>
      </c>
      <c r="P3440">
        <v>98022.29</v>
      </c>
      <c r="Q3440">
        <v>207063.41</v>
      </c>
      <c r="R3440">
        <v>323</v>
      </c>
      <c r="S3440">
        <v>41</v>
      </c>
      <c r="T3440" t="s">
        <v>326</v>
      </c>
      <c r="U3440" t="s">
        <v>81</v>
      </c>
    </row>
    <row r="3441" spans="1:21">
      <c r="A3441" t="s">
        <v>5406</v>
      </c>
      <c r="B3441" t="s">
        <v>5407</v>
      </c>
      <c r="C3441" t="s">
        <v>4984</v>
      </c>
      <c r="D3441">
        <v>185000</v>
      </c>
      <c r="F3441">
        <v>185000</v>
      </c>
      <c r="G3441">
        <v>185000</v>
      </c>
      <c r="H3441">
        <v>1</v>
      </c>
      <c r="I3441" t="s">
        <v>555</v>
      </c>
      <c r="J3441">
        <v>44.9</v>
      </c>
      <c r="K3441">
        <v>0</v>
      </c>
      <c r="L3441">
        <v>2</v>
      </c>
      <c r="M3441" t="s">
        <v>4970</v>
      </c>
      <c r="N3441">
        <v>3</v>
      </c>
      <c r="O3441">
        <v>10.33</v>
      </c>
      <c r="P3441">
        <v>98022.29</v>
      </c>
      <c r="Q3441">
        <v>207063.41</v>
      </c>
      <c r="R3441">
        <v>323</v>
      </c>
      <c r="S3441">
        <v>41</v>
      </c>
      <c r="T3441" t="s">
        <v>326</v>
      </c>
      <c r="U3441" t="s">
        <v>81</v>
      </c>
    </row>
    <row r="3442" spans="1:21">
      <c r="A3442" t="s">
        <v>5408</v>
      </c>
      <c r="B3442" t="s">
        <v>5407</v>
      </c>
      <c r="C3442" t="s">
        <v>4984</v>
      </c>
      <c r="D3442">
        <v>180000</v>
      </c>
      <c r="F3442">
        <v>180000</v>
      </c>
      <c r="G3442">
        <v>180000</v>
      </c>
      <c r="H3442">
        <v>1</v>
      </c>
      <c r="I3442" t="s">
        <v>555</v>
      </c>
      <c r="J3442">
        <v>46.7</v>
      </c>
      <c r="K3442">
        <v>0</v>
      </c>
      <c r="L3442">
        <v>2</v>
      </c>
      <c r="M3442" t="s">
        <v>4970</v>
      </c>
      <c r="N3442">
        <v>3</v>
      </c>
      <c r="O3442">
        <v>10.33</v>
      </c>
      <c r="P3442">
        <v>98022.29</v>
      </c>
      <c r="Q3442">
        <v>207063.41</v>
      </c>
      <c r="R3442">
        <v>323</v>
      </c>
      <c r="S3442">
        <v>41</v>
      </c>
      <c r="T3442" t="s">
        <v>326</v>
      </c>
      <c r="U3442" t="s">
        <v>81</v>
      </c>
    </row>
    <row r="3443" spans="1:21">
      <c r="A3443" t="s">
        <v>5409</v>
      </c>
      <c r="B3443" t="s">
        <v>5410</v>
      </c>
      <c r="C3443" t="s">
        <v>1743</v>
      </c>
      <c r="D3443">
        <v>135000</v>
      </c>
      <c r="F3443">
        <v>135000</v>
      </c>
      <c r="G3443">
        <v>135000</v>
      </c>
      <c r="H3443">
        <v>2</v>
      </c>
      <c r="I3443" t="s">
        <v>559</v>
      </c>
      <c r="J3443">
        <v>42.3</v>
      </c>
      <c r="K3443">
        <v>31</v>
      </c>
      <c r="L3443">
        <v>2</v>
      </c>
      <c r="M3443" t="s">
        <v>4970</v>
      </c>
      <c r="N3443">
        <v>7</v>
      </c>
      <c r="O3443">
        <v>11.67</v>
      </c>
      <c r="P3443">
        <v>98022.29</v>
      </c>
      <c r="Q3443">
        <v>141491.45000000001</v>
      </c>
      <c r="R3443">
        <v>323</v>
      </c>
      <c r="S3443">
        <v>117</v>
      </c>
      <c r="T3443" t="s">
        <v>326</v>
      </c>
      <c r="U3443" t="s">
        <v>49</v>
      </c>
    </row>
    <row r="3444" spans="1:21">
      <c r="A3444" t="s">
        <v>5411</v>
      </c>
      <c r="B3444" t="s">
        <v>5412</v>
      </c>
      <c r="C3444" t="s">
        <v>5071</v>
      </c>
      <c r="D3444">
        <v>128000</v>
      </c>
      <c r="E3444">
        <v>10000</v>
      </c>
      <c r="F3444">
        <v>128000</v>
      </c>
      <c r="G3444">
        <v>128000</v>
      </c>
      <c r="H3444">
        <v>7</v>
      </c>
      <c r="I3444" t="s">
        <v>559</v>
      </c>
      <c r="J3444">
        <v>40.5</v>
      </c>
      <c r="K3444">
        <v>20</v>
      </c>
      <c r="L3444">
        <v>9</v>
      </c>
      <c r="M3444" t="s">
        <v>4970</v>
      </c>
      <c r="N3444">
        <v>8</v>
      </c>
      <c r="O3444">
        <v>14</v>
      </c>
      <c r="P3444">
        <v>98022.29</v>
      </c>
      <c r="Q3444">
        <v>141491.45000000001</v>
      </c>
      <c r="R3444">
        <v>323</v>
      </c>
      <c r="S3444">
        <v>117</v>
      </c>
      <c r="T3444" t="s">
        <v>326</v>
      </c>
      <c r="U3444" t="s">
        <v>90</v>
      </c>
    </row>
    <row r="3445" spans="1:21">
      <c r="A3445" t="s">
        <v>5413</v>
      </c>
      <c r="B3445" t="s">
        <v>5414</v>
      </c>
      <c r="C3445" t="s">
        <v>5096</v>
      </c>
      <c r="D3445">
        <v>132000</v>
      </c>
      <c r="G3445">
        <v>132000</v>
      </c>
      <c r="H3445">
        <v>5</v>
      </c>
      <c r="I3445" t="s">
        <v>559</v>
      </c>
      <c r="J3445">
        <v>39.520000000000003</v>
      </c>
      <c r="K3445">
        <v>20</v>
      </c>
      <c r="L3445">
        <v>6</v>
      </c>
      <c r="M3445" t="s">
        <v>4970</v>
      </c>
      <c r="N3445">
        <v>9</v>
      </c>
      <c r="O3445">
        <v>13.67</v>
      </c>
      <c r="P3445">
        <v>98022.29</v>
      </c>
      <c r="Q3445">
        <v>141491.45000000001</v>
      </c>
      <c r="R3445">
        <v>323</v>
      </c>
      <c r="S3445">
        <v>117</v>
      </c>
      <c r="T3445" t="s">
        <v>26</v>
      </c>
      <c r="U3445" t="s">
        <v>90</v>
      </c>
    </row>
    <row r="3446" spans="1:21">
      <c r="A3446" t="s">
        <v>5415</v>
      </c>
      <c r="B3446" t="s">
        <v>5416</v>
      </c>
      <c r="C3446" t="s">
        <v>4969</v>
      </c>
      <c r="D3446">
        <v>89000</v>
      </c>
      <c r="E3446">
        <v>3000</v>
      </c>
      <c r="F3446">
        <v>89000</v>
      </c>
      <c r="G3446">
        <v>44500</v>
      </c>
      <c r="H3446">
        <v>2</v>
      </c>
      <c r="I3446" t="s">
        <v>559</v>
      </c>
      <c r="J3446">
        <v>37.6</v>
      </c>
      <c r="K3446">
        <v>57</v>
      </c>
      <c r="L3446">
        <v>4</v>
      </c>
      <c r="M3446" t="s">
        <v>4970</v>
      </c>
      <c r="N3446">
        <v>5</v>
      </c>
      <c r="O3446">
        <v>14.67</v>
      </c>
      <c r="P3446">
        <v>98022.29</v>
      </c>
      <c r="Q3446">
        <v>141491.45000000001</v>
      </c>
      <c r="R3446">
        <v>323</v>
      </c>
      <c r="S3446">
        <v>117</v>
      </c>
      <c r="T3446" t="s">
        <v>26</v>
      </c>
      <c r="U3446" t="s">
        <v>57</v>
      </c>
    </row>
    <row r="3447" spans="1:21">
      <c r="A3447" t="s">
        <v>5417</v>
      </c>
      <c r="B3447" t="s">
        <v>5418</v>
      </c>
      <c r="C3447" t="s">
        <v>2695</v>
      </c>
      <c r="D3447">
        <v>67000</v>
      </c>
      <c r="E3447">
        <v>2000</v>
      </c>
      <c r="F3447">
        <v>67000</v>
      </c>
      <c r="H3447">
        <v>3</v>
      </c>
      <c r="I3447" t="s">
        <v>559</v>
      </c>
      <c r="J3447">
        <v>32</v>
      </c>
      <c r="K3447">
        <v>43</v>
      </c>
      <c r="L3447">
        <v>4</v>
      </c>
      <c r="M3447" t="s">
        <v>4970</v>
      </c>
      <c r="N3447">
        <v>12</v>
      </c>
      <c r="O3447">
        <v>15.33</v>
      </c>
      <c r="P3447">
        <v>98022.29</v>
      </c>
      <c r="Q3447">
        <v>141491.45000000001</v>
      </c>
      <c r="R3447">
        <v>323</v>
      </c>
      <c r="S3447">
        <v>117</v>
      </c>
      <c r="T3447" t="s">
        <v>26</v>
      </c>
      <c r="U3447" t="s">
        <v>42</v>
      </c>
    </row>
    <row r="3448" spans="1:21">
      <c r="A3448" t="s">
        <v>5419</v>
      </c>
      <c r="B3448" t="s">
        <v>5420</v>
      </c>
      <c r="C3448" t="s">
        <v>4969</v>
      </c>
      <c r="D3448">
        <v>95000</v>
      </c>
      <c r="F3448">
        <v>95000</v>
      </c>
      <c r="G3448">
        <v>95000</v>
      </c>
      <c r="H3448">
        <v>3</v>
      </c>
      <c r="I3448" t="s">
        <v>559</v>
      </c>
      <c r="J3448">
        <v>35</v>
      </c>
      <c r="K3448">
        <v>57</v>
      </c>
      <c r="L3448">
        <v>4</v>
      </c>
      <c r="M3448" t="s">
        <v>4970</v>
      </c>
      <c r="N3448">
        <v>3</v>
      </c>
      <c r="O3448">
        <v>9.33</v>
      </c>
      <c r="P3448">
        <v>98022.29</v>
      </c>
      <c r="Q3448">
        <v>141491.45000000001</v>
      </c>
      <c r="R3448">
        <v>323</v>
      </c>
      <c r="S3448">
        <v>117</v>
      </c>
      <c r="T3448" t="s">
        <v>26</v>
      </c>
      <c r="U3448" t="s">
        <v>57</v>
      </c>
    </row>
    <row r="3449" spans="1:21">
      <c r="A3449" t="s">
        <v>5421</v>
      </c>
      <c r="B3449" t="s">
        <v>5422</v>
      </c>
      <c r="C3449" t="s">
        <v>1743</v>
      </c>
      <c r="D3449">
        <v>135000</v>
      </c>
      <c r="F3449">
        <v>135000</v>
      </c>
      <c r="G3449">
        <v>135000</v>
      </c>
      <c r="H3449">
        <v>2</v>
      </c>
      <c r="I3449" t="s">
        <v>559</v>
      </c>
      <c r="J3449">
        <v>42.3</v>
      </c>
      <c r="K3449">
        <v>31</v>
      </c>
      <c r="L3449">
        <v>2</v>
      </c>
      <c r="M3449" t="s">
        <v>4970</v>
      </c>
      <c r="N3449">
        <v>7</v>
      </c>
      <c r="O3449">
        <v>11.67</v>
      </c>
      <c r="P3449">
        <v>98022.29</v>
      </c>
      <c r="Q3449">
        <v>141491.45000000001</v>
      </c>
      <c r="R3449">
        <v>323</v>
      </c>
      <c r="S3449">
        <v>117</v>
      </c>
      <c r="T3449" t="s">
        <v>326</v>
      </c>
      <c r="U3449" t="s">
        <v>49</v>
      </c>
    </row>
    <row r="3450" spans="1:21">
      <c r="A3450" t="s">
        <v>5423</v>
      </c>
      <c r="B3450" t="s">
        <v>5424</v>
      </c>
      <c r="C3450" t="s">
        <v>5096</v>
      </c>
      <c r="D3450">
        <v>132000</v>
      </c>
      <c r="E3450">
        <v>10000</v>
      </c>
      <c r="G3450">
        <v>132000</v>
      </c>
      <c r="H3450">
        <v>5</v>
      </c>
      <c r="I3450" t="s">
        <v>559</v>
      </c>
      <c r="J3450">
        <v>39.520000000000003</v>
      </c>
      <c r="K3450">
        <v>19</v>
      </c>
      <c r="L3450">
        <v>6</v>
      </c>
      <c r="M3450" t="s">
        <v>4970</v>
      </c>
      <c r="N3450">
        <v>9</v>
      </c>
      <c r="O3450">
        <v>13.33</v>
      </c>
      <c r="P3450">
        <v>98022.29</v>
      </c>
      <c r="Q3450">
        <v>141491.45000000001</v>
      </c>
      <c r="R3450">
        <v>323</v>
      </c>
      <c r="S3450">
        <v>117</v>
      </c>
      <c r="T3450" t="s">
        <v>26</v>
      </c>
      <c r="U3450" t="s">
        <v>90</v>
      </c>
    </row>
    <row r="3451" spans="1:21">
      <c r="A3451" t="s">
        <v>5425</v>
      </c>
      <c r="B3451" t="s">
        <v>5387</v>
      </c>
      <c r="C3451" t="s">
        <v>4984</v>
      </c>
      <c r="D3451">
        <v>145000</v>
      </c>
      <c r="E3451">
        <v>5000</v>
      </c>
      <c r="F3451">
        <v>145000</v>
      </c>
      <c r="G3451">
        <v>145000</v>
      </c>
      <c r="H3451">
        <v>3</v>
      </c>
      <c r="I3451" t="s">
        <v>559</v>
      </c>
      <c r="J3451">
        <v>35.92</v>
      </c>
      <c r="K3451">
        <v>4</v>
      </c>
      <c r="L3451">
        <v>5</v>
      </c>
      <c r="M3451" t="s">
        <v>4970</v>
      </c>
      <c r="N3451">
        <v>2</v>
      </c>
      <c r="O3451">
        <v>8.67</v>
      </c>
      <c r="P3451">
        <v>98022.29</v>
      </c>
      <c r="Q3451">
        <v>141491.45000000001</v>
      </c>
      <c r="R3451">
        <v>323</v>
      </c>
      <c r="S3451">
        <v>117</v>
      </c>
      <c r="T3451" t="s">
        <v>26</v>
      </c>
      <c r="U3451" t="s">
        <v>31</v>
      </c>
    </row>
    <row r="3452" spans="1:21">
      <c r="A3452" t="s">
        <v>5425</v>
      </c>
      <c r="B3452" t="s">
        <v>5387</v>
      </c>
      <c r="C3452" t="s">
        <v>4984</v>
      </c>
      <c r="D3452">
        <v>145000</v>
      </c>
      <c r="E3452">
        <v>5000</v>
      </c>
      <c r="F3452">
        <v>145000</v>
      </c>
      <c r="G3452">
        <v>145000</v>
      </c>
      <c r="H3452">
        <v>4</v>
      </c>
      <c r="I3452" t="s">
        <v>559</v>
      </c>
      <c r="J3452">
        <v>35.92</v>
      </c>
      <c r="K3452">
        <v>4</v>
      </c>
      <c r="L3452">
        <v>5</v>
      </c>
      <c r="M3452" t="s">
        <v>4970</v>
      </c>
      <c r="N3452">
        <v>2</v>
      </c>
      <c r="O3452">
        <v>8.67</v>
      </c>
      <c r="P3452">
        <v>98022.29</v>
      </c>
      <c r="Q3452">
        <v>141491.45000000001</v>
      </c>
      <c r="R3452">
        <v>323</v>
      </c>
      <c r="S3452">
        <v>117</v>
      </c>
      <c r="T3452" t="s">
        <v>26</v>
      </c>
      <c r="U3452" t="s">
        <v>31</v>
      </c>
    </row>
    <row r="3453" spans="1:21">
      <c r="A3453" t="s">
        <v>5426</v>
      </c>
      <c r="B3453" t="s">
        <v>5427</v>
      </c>
      <c r="C3453" t="s">
        <v>1873</v>
      </c>
      <c r="D3453">
        <v>113000</v>
      </c>
      <c r="E3453">
        <v>5000</v>
      </c>
      <c r="F3453">
        <v>113000</v>
      </c>
      <c r="G3453">
        <v>113000</v>
      </c>
      <c r="H3453">
        <v>1</v>
      </c>
      <c r="I3453" t="s">
        <v>573</v>
      </c>
      <c r="J3453">
        <v>38</v>
      </c>
      <c r="K3453">
        <v>21</v>
      </c>
      <c r="L3453">
        <v>3</v>
      </c>
      <c r="M3453" t="s">
        <v>4970</v>
      </c>
      <c r="N3453">
        <v>3</v>
      </c>
      <c r="O3453">
        <v>10.33</v>
      </c>
      <c r="P3453">
        <v>98022.29</v>
      </c>
      <c r="Q3453">
        <v>117441.44</v>
      </c>
      <c r="R3453">
        <v>323</v>
      </c>
      <c r="S3453">
        <v>111</v>
      </c>
      <c r="T3453" t="s">
        <v>26</v>
      </c>
      <c r="U3453" t="s">
        <v>27</v>
      </c>
    </row>
    <row r="3454" spans="1:21">
      <c r="A3454" t="s">
        <v>5428</v>
      </c>
      <c r="B3454" t="s">
        <v>5429</v>
      </c>
      <c r="C3454" t="s">
        <v>1873</v>
      </c>
      <c r="D3454">
        <v>120000</v>
      </c>
      <c r="E3454">
        <v>5000</v>
      </c>
      <c r="F3454">
        <v>120000</v>
      </c>
      <c r="G3454">
        <v>120000</v>
      </c>
      <c r="H3454">
        <v>5</v>
      </c>
      <c r="I3454" t="s">
        <v>573</v>
      </c>
      <c r="J3454">
        <v>46.27</v>
      </c>
      <c r="K3454">
        <v>35</v>
      </c>
      <c r="L3454">
        <v>5</v>
      </c>
      <c r="M3454" t="s">
        <v>4970</v>
      </c>
      <c r="N3454">
        <v>5</v>
      </c>
      <c r="O3454">
        <v>9.67</v>
      </c>
      <c r="P3454">
        <v>98022.29</v>
      </c>
      <c r="Q3454">
        <v>117441.44</v>
      </c>
      <c r="R3454">
        <v>323</v>
      </c>
      <c r="S3454">
        <v>111</v>
      </c>
      <c r="T3454" t="s">
        <v>326</v>
      </c>
      <c r="U3454" t="s">
        <v>49</v>
      </c>
    </row>
    <row r="3455" spans="1:21">
      <c r="A3455" t="s">
        <v>5430</v>
      </c>
      <c r="B3455" t="s">
        <v>3301</v>
      </c>
      <c r="C3455" t="s">
        <v>1743</v>
      </c>
      <c r="D3455">
        <v>79000</v>
      </c>
      <c r="E3455">
        <v>3000</v>
      </c>
      <c r="F3455">
        <v>79000</v>
      </c>
      <c r="G3455">
        <v>79000</v>
      </c>
      <c r="H3455">
        <v>2</v>
      </c>
      <c r="I3455" t="s">
        <v>573</v>
      </c>
      <c r="J3455">
        <v>29.81</v>
      </c>
      <c r="K3455">
        <v>34</v>
      </c>
      <c r="L3455">
        <v>2</v>
      </c>
      <c r="M3455" t="s">
        <v>4970</v>
      </c>
      <c r="N3455">
        <v>10</v>
      </c>
      <c r="O3455">
        <v>12.67</v>
      </c>
      <c r="P3455">
        <v>98022.29</v>
      </c>
      <c r="Q3455">
        <v>117441.44</v>
      </c>
      <c r="R3455">
        <v>323</v>
      </c>
      <c r="S3455">
        <v>111</v>
      </c>
      <c r="T3455" t="s">
        <v>34</v>
      </c>
      <c r="U3455" t="s">
        <v>49</v>
      </c>
    </row>
    <row r="3456" spans="1:21">
      <c r="A3456" t="s">
        <v>5431</v>
      </c>
      <c r="B3456" t="s">
        <v>5432</v>
      </c>
      <c r="C3456" t="s">
        <v>2695</v>
      </c>
      <c r="D3456">
        <v>70000</v>
      </c>
      <c r="E3456">
        <v>3000</v>
      </c>
      <c r="F3456">
        <v>70000</v>
      </c>
      <c r="G3456">
        <v>70000</v>
      </c>
      <c r="H3456">
        <v>1</v>
      </c>
      <c r="I3456" t="s">
        <v>573</v>
      </c>
      <c r="J3456">
        <v>27</v>
      </c>
      <c r="K3456">
        <v>31</v>
      </c>
      <c r="L3456">
        <v>2</v>
      </c>
      <c r="M3456" t="s">
        <v>4970</v>
      </c>
      <c r="N3456">
        <v>10</v>
      </c>
      <c r="O3456">
        <v>12.67</v>
      </c>
      <c r="P3456">
        <v>98022.29</v>
      </c>
      <c r="Q3456">
        <v>117441.44</v>
      </c>
      <c r="R3456">
        <v>323</v>
      </c>
      <c r="S3456">
        <v>111</v>
      </c>
      <c r="T3456" t="s">
        <v>34</v>
      </c>
      <c r="U3456" t="s">
        <v>49</v>
      </c>
    </row>
    <row r="3457" spans="1:21">
      <c r="A3457" t="s">
        <v>5433</v>
      </c>
      <c r="B3457" t="s">
        <v>5434</v>
      </c>
      <c r="C3457" t="s">
        <v>2156</v>
      </c>
      <c r="D3457">
        <v>44000</v>
      </c>
      <c r="E3457">
        <v>2000</v>
      </c>
      <c r="F3457">
        <v>44000</v>
      </c>
      <c r="G3457">
        <v>44000</v>
      </c>
      <c r="H3457">
        <v>2</v>
      </c>
      <c r="I3457" t="s">
        <v>573</v>
      </c>
      <c r="J3457">
        <v>22.7</v>
      </c>
      <c r="K3457">
        <v>52</v>
      </c>
      <c r="L3457">
        <v>2</v>
      </c>
      <c r="M3457" t="s">
        <v>4970</v>
      </c>
      <c r="N3457">
        <v>10</v>
      </c>
      <c r="O3457">
        <v>11</v>
      </c>
      <c r="P3457">
        <v>98022.29</v>
      </c>
      <c r="Q3457">
        <v>117441.44</v>
      </c>
      <c r="R3457">
        <v>323</v>
      </c>
      <c r="S3457">
        <v>111</v>
      </c>
      <c r="T3457" t="s">
        <v>34</v>
      </c>
      <c r="U3457" t="s">
        <v>57</v>
      </c>
    </row>
    <row r="3458" spans="1:21">
      <c r="A3458" t="s">
        <v>5435</v>
      </c>
      <c r="B3458" t="s">
        <v>5436</v>
      </c>
      <c r="C3458" t="s">
        <v>2695</v>
      </c>
      <c r="D3458">
        <v>67000</v>
      </c>
      <c r="E3458">
        <v>2000</v>
      </c>
      <c r="F3458">
        <v>67000</v>
      </c>
      <c r="H3458">
        <v>3</v>
      </c>
      <c r="I3458" t="s">
        <v>573</v>
      </c>
      <c r="J3458">
        <v>32</v>
      </c>
      <c r="K3458">
        <v>43</v>
      </c>
      <c r="L3458">
        <v>4</v>
      </c>
      <c r="M3458" t="s">
        <v>4970</v>
      </c>
      <c r="N3458">
        <v>12</v>
      </c>
      <c r="O3458">
        <v>14.67</v>
      </c>
      <c r="P3458">
        <v>98022.29</v>
      </c>
      <c r="Q3458">
        <v>117441.44</v>
      </c>
      <c r="R3458">
        <v>323</v>
      </c>
      <c r="S3458">
        <v>111</v>
      </c>
      <c r="T3458" t="s">
        <v>26</v>
      </c>
      <c r="U3458" t="s">
        <v>42</v>
      </c>
    </row>
    <row r="3459" spans="1:21">
      <c r="A3459" t="s">
        <v>5437</v>
      </c>
      <c r="B3459" t="s">
        <v>5438</v>
      </c>
      <c r="C3459" t="s">
        <v>2695</v>
      </c>
      <c r="D3459">
        <v>63000</v>
      </c>
      <c r="E3459">
        <v>3000</v>
      </c>
      <c r="F3459">
        <v>63000</v>
      </c>
      <c r="G3459">
        <v>63000</v>
      </c>
      <c r="H3459">
        <v>4</v>
      </c>
      <c r="I3459" t="s">
        <v>573</v>
      </c>
      <c r="J3459">
        <v>25.58</v>
      </c>
      <c r="K3459">
        <v>54</v>
      </c>
      <c r="L3459">
        <v>4</v>
      </c>
      <c r="M3459" t="s">
        <v>4970</v>
      </c>
      <c r="N3459">
        <v>10</v>
      </c>
      <c r="O3459">
        <v>12.67</v>
      </c>
      <c r="P3459">
        <v>98022.29</v>
      </c>
      <c r="Q3459">
        <v>117441.44</v>
      </c>
      <c r="R3459">
        <v>323</v>
      </c>
      <c r="S3459">
        <v>111</v>
      </c>
      <c r="T3459" t="s">
        <v>34</v>
      </c>
      <c r="U3459" t="s">
        <v>57</v>
      </c>
    </row>
    <row r="3460" spans="1:21">
      <c r="A3460" t="s">
        <v>5439</v>
      </c>
      <c r="B3460" t="s">
        <v>5000</v>
      </c>
      <c r="C3460" t="s">
        <v>5001</v>
      </c>
      <c r="D3460">
        <v>147000</v>
      </c>
      <c r="E3460">
        <v>18000</v>
      </c>
      <c r="H3460">
        <v>-1</v>
      </c>
      <c r="I3460" t="s">
        <v>585</v>
      </c>
      <c r="J3460">
        <v>39.479999999999997</v>
      </c>
      <c r="K3460">
        <v>0</v>
      </c>
      <c r="L3460">
        <v>4</v>
      </c>
      <c r="M3460" t="s">
        <v>4970</v>
      </c>
      <c r="N3460">
        <v>4</v>
      </c>
      <c r="O3460">
        <v>12.67</v>
      </c>
      <c r="P3460">
        <v>98022.29</v>
      </c>
      <c r="Q3460">
        <v>232352.65</v>
      </c>
      <c r="R3460">
        <v>323</v>
      </c>
      <c r="S3460">
        <v>359</v>
      </c>
      <c r="T3460" t="s">
        <v>26</v>
      </c>
      <c r="U3460" t="s">
        <v>81</v>
      </c>
    </row>
    <row r="3461" spans="1:21">
      <c r="A3461" t="s">
        <v>5440</v>
      </c>
      <c r="B3461" t="s">
        <v>5000</v>
      </c>
      <c r="C3461" t="s">
        <v>5001</v>
      </c>
      <c r="D3461">
        <v>150000</v>
      </c>
      <c r="E3461">
        <v>18000</v>
      </c>
      <c r="H3461">
        <v>-1</v>
      </c>
      <c r="I3461" t="s">
        <v>585</v>
      </c>
      <c r="J3461">
        <v>40.24</v>
      </c>
      <c r="K3461">
        <v>0</v>
      </c>
      <c r="L3461">
        <v>4</v>
      </c>
      <c r="M3461" t="s">
        <v>4970</v>
      </c>
      <c r="N3461">
        <v>4</v>
      </c>
      <c r="O3461">
        <v>12.67</v>
      </c>
      <c r="P3461">
        <v>98022.29</v>
      </c>
      <c r="Q3461">
        <v>232352.65</v>
      </c>
      <c r="R3461">
        <v>323</v>
      </c>
      <c r="S3461">
        <v>359</v>
      </c>
      <c r="T3461" t="s">
        <v>326</v>
      </c>
      <c r="U3461" t="s">
        <v>81</v>
      </c>
    </row>
    <row r="3462" spans="1:21">
      <c r="A3462" t="s">
        <v>5441</v>
      </c>
      <c r="B3462" t="s">
        <v>5442</v>
      </c>
      <c r="C3462" t="s">
        <v>4984</v>
      </c>
      <c r="D3462">
        <v>170000</v>
      </c>
      <c r="E3462">
        <v>7000</v>
      </c>
      <c r="F3462">
        <v>170000</v>
      </c>
      <c r="G3462">
        <v>170000</v>
      </c>
      <c r="H3462">
        <v>4</v>
      </c>
      <c r="I3462" t="s">
        <v>585</v>
      </c>
      <c r="J3462">
        <v>41.52</v>
      </c>
      <c r="K3462">
        <v>5</v>
      </c>
      <c r="L3462">
        <v>5</v>
      </c>
      <c r="M3462" t="s">
        <v>4970</v>
      </c>
      <c r="N3462">
        <v>2</v>
      </c>
      <c r="O3462">
        <v>11</v>
      </c>
      <c r="P3462">
        <v>98022.29</v>
      </c>
      <c r="Q3462">
        <v>232352.65</v>
      </c>
      <c r="R3462">
        <v>323</v>
      </c>
      <c r="S3462">
        <v>359</v>
      </c>
      <c r="T3462" t="s">
        <v>326</v>
      </c>
      <c r="U3462" t="s">
        <v>31</v>
      </c>
    </row>
    <row r="3463" spans="1:21">
      <c r="A3463" t="s">
        <v>5443</v>
      </c>
      <c r="B3463" t="s">
        <v>5444</v>
      </c>
      <c r="C3463" t="s">
        <v>1870</v>
      </c>
      <c r="D3463">
        <v>222000</v>
      </c>
      <c r="E3463">
        <v>8000</v>
      </c>
      <c r="F3463">
        <v>222000</v>
      </c>
      <c r="G3463">
        <v>222000</v>
      </c>
      <c r="H3463">
        <v>14</v>
      </c>
      <c r="I3463" t="s">
        <v>585</v>
      </c>
      <c r="J3463">
        <v>57.26</v>
      </c>
      <c r="K3463">
        <v>25</v>
      </c>
      <c r="L3463">
        <v>14</v>
      </c>
      <c r="M3463" t="s">
        <v>4970</v>
      </c>
      <c r="N3463">
        <v>6</v>
      </c>
      <c r="O3463">
        <v>9.33</v>
      </c>
      <c r="P3463">
        <v>98022.29</v>
      </c>
      <c r="Q3463">
        <v>232352.65</v>
      </c>
      <c r="R3463">
        <v>323</v>
      </c>
      <c r="S3463">
        <v>359</v>
      </c>
      <c r="T3463" t="s">
        <v>332</v>
      </c>
      <c r="U3463" t="s">
        <v>27</v>
      </c>
    </row>
    <row r="3464" spans="1:21">
      <c r="A3464" t="s">
        <v>5445</v>
      </c>
      <c r="B3464" t="s">
        <v>5446</v>
      </c>
      <c r="C3464" t="s">
        <v>1873</v>
      </c>
      <c r="D3464">
        <v>180000</v>
      </c>
      <c r="F3464">
        <v>180000</v>
      </c>
      <c r="G3464">
        <v>180000</v>
      </c>
      <c r="H3464">
        <v>3</v>
      </c>
      <c r="I3464" t="s">
        <v>585</v>
      </c>
      <c r="J3464">
        <v>62.7</v>
      </c>
      <c r="K3464">
        <v>29</v>
      </c>
      <c r="L3464">
        <v>3</v>
      </c>
      <c r="M3464" t="s">
        <v>4970</v>
      </c>
      <c r="N3464">
        <v>4</v>
      </c>
      <c r="O3464">
        <v>9.67</v>
      </c>
      <c r="P3464">
        <v>98022.29</v>
      </c>
      <c r="Q3464">
        <v>232352.65</v>
      </c>
      <c r="R3464">
        <v>323</v>
      </c>
      <c r="S3464">
        <v>359</v>
      </c>
      <c r="T3464" t="s">
        <v>593</v>
      </c>
      <c r="U3464" t="s">
        <v>27</v>
      </c>
    </row>
    <row r="3465" spans="1:21">
      <c r="A3465" t="s">
        <v>5447</v>
      </c>
      <c r="B3465" t="s">
        <v>5448</v>
      </c>
      <c r="C3465" t="s">
        <v>4973</v>
      </c>
      <c r="D3465">
        <v>190000</v>
      </c>
      <c r="E3465">
        <v>10000</v>
      </c>
      <c r="F3465">
        <v>190000</v>
      </c>
      <c r="G3465">
        <v>190000</v>
      </c>
      <c r="H3465">
        <v>5</v>
      </c>
      <c r="I3465" t="s">
        <v>585</v>
      </c>
      <c r="J3465">
        <v>56.32</v>
      </c>
      <c r="K3465">
        <v>24</v>
      </c>
      <c r="L3465">
        <v>8</v>
      </c>
      <c r="M3465" t="s">
        <v>4970</v>
      </c>
      <c r="N3465">
        <v>4</v>
      </c>
      <c r="O3465">
        <v>11</v>
      </c>
      <c r="P3465">
        <v>98022.29</v>
      </c>
      <c r="Q3465">
        <v>232352.65</v>
      </c>
      <c r="R3465">
        <v>323</v>
      </c>
      <c r="S3465">
        <v>359</v>
      </c>
      <c r="T3465" t="s">
        <v>332</v>
      </c>
      <c r="U3465" t="s">
        <v>27</v>
      </c>
    </row>
    <row r="3466" spans="1:21">
      <c r="A3466" t="s">
        <v>5449</v>
      </c>
      <c r="B3466" t="s">
        <v>5414</v>
      </c>
      <c r="C3466" t="s">
        <v>5096</v>
      </c>
      <c r="D3466">
        <v>132000</v>
      </c>
      <c r="E3466">
        <v>10000</v>
      </c>
      <c r="G3466">
        <v>132000</v>
      </c>
      <c r="H3466">
        <v>5</v>
      </c>
      <c r="I3466" t="s">
        <v>585</v>
      </c>
      <c r="J3466">
        <v>39.520000000000003</v>
      </c>
      <c r="K3466">
        <v>20</v>
      </c>
      <c r="L3466">
        <v>6</v>
      </c>
      <c r="M3466" t="s">
        <v>4970</v>
      </c>
      <c r="N3466">
        <v>9</v>
      </c>
      <c r="O3466">
        <v>13.67</v>
      </c>
      <c r="P3466">
        <v>98022.29</v>
      </c>
      <c r="Q3466">
        <v>232352.65</v>
      </c>
      <c r="R3466">
        <v>323</v>
      </c>
      <c r="S3466">
        <v>359</v>
      </c>
      <c r="T3466" t="s">
        <v>26</v>
      </c>
      <c r="U3466" t="s">
        <v>90</v>
      </c>
    </row>
    <row r="3467" spans="1:21">
      <c r="A3467" t="s">
        <v>5450</v>
      </c>
      <c r="B3467" t="s">
        <v>5451</v>
      </c>
      <c r="C3467" t="s">
        <v>4969</v>
      </c>
      <c r="D3467">
        <v>220000</v>
      </c>
      <c r="F3467">
        <v>220000</v>
      </c>
      <c r="G3467">
        <v>220000</v>
      </c>
      <c r="H3467">
        <v>1</v>
      </c>
      <c r="I3467" t="s">
        <v>585</v>
      </c>
      <c r="J3467">
        <v>72.34</v>
      </c>
      <c r="K3467">
        <v>19</v>
      </c>
      <c r="L3467">
        <v>2</v>
      </c>
      <c r="M3467" t="s">
        <v>4970</v>
      </c>
      <c r="N3467">
        <v>7</v>
      </c>
      <c r="O3467">
        <v>10.33</v>
      </c>
      <c r="P3467">
        <v>98022.29</v>
      </c>
      <c r="Q3467">
        <v>232352.65</v>
      </c>
      <c r="R3467">
        <v>323</v>
      </c>
      <c r="S3467">
        <v>359</v>
      </c>
      <c r="T3467" t="s">
        <v>596</v>
      </c>
      <c r="U3467" t="s">
        <v>90</v>
      </c>
    </row>
    <row r="3468" spans="1:21">
      <c r="A3468" t="s">
        <v>5450</v>
      </c>
      <c r="B3468" t="s">
        <v>5451</v>
      </c>
      <c r="C3468" t="s">
        <v>4969</v>
      </c>
      <c r="D3468">
        <v>220000</v>
      </c>
      <c r="F3468">
        <v>220000</v>
      </c>
      <c r="G3468">
        <v>220000</v>
      </c>
      <c r="H3468">
        <v>2</v>
      </c>
      <c r="I3468" t="s">
        <v>585</v>
      </c>
      <c r="J3468">
        <v>72.34</v>
      </c>
      <c r="K3468">
        <v>19</v>
      </c>
      <c r="L3468">
        <v>2</v>
      </c>
      <c r="M3468" t="s">
        <v>4970</v>
      </c>
      <c r="N3468">
        <v>7</v>
      </c>
      <c r="O3468">
        <v>10.33</v>
      </c>
      <c r="P3468">
        <v>98022.29</v>
      </c>
      <c r="Q3468">
        <v>232352.65</v>
      </c>
      <c r="R3468">
        <v>323</v>
      </c>
      <c r="S3468">
        <v>359</v>
      </c>
      <c r="T3468" t="s">
        <v>596</v>
      </c>
      <c r="U3468" t="s">
        <v>90</v>
      </c>
    </row>
    <row r="3469" spans="1:21">
      <c r="A3469" t="s">
        <v>5452</v>
      </c>
      <c r="B3469" t="s">
        <v>5453</v>
      </c>
      <c r="C3469" t="s">
        <v>1870</v>
      </c>
      <c r="D3469">
        <v>222000</v>
      </c>
      <c r="E3469">
        <v>8000</v>
      </c>
      <c r="F3469">
        <v>222000</v>
      </c>
      <c r="G3469">
        <v>222000</v>
      </c>
      <c r="H3469">
        <v>14</v>
      </c>
      <c r="I3469" t="s">
        <v>585</v>
      </c>
      <c r="J3469">
        <v>57.26</v>
      </c>
      <c r="K3469">
        <v>25</v>
      </c>
      <c r="L3469">
        <v>14</v>
      </c>
      <c r="M3469" t="s">
        <v>4970</v>
      </c>
      <c r="N3469">
        <v>6</v>
      </c>
      <c r="O3469">
        <v>9.33</v>
      </c>
      <c r="P3469">
        <v>98022.29</v>
      </c>
      <c r="Q3469">
        <v>232352.65</v>
      </c>
      <c r="R3469">
        <v>323</v>
      </c>
      <c r="S3469">
        <v>359</v>
      </c>
      <c r="T3469" t="s">
        <v>332</v>
      </c>
      <c r="U3469" t="s">
        <v>27</v>
      </c>
    </row>
    <row r="3470" spans="1:21">
      <c r="A3470" t="s">
        <v>5454</v>
      </c>
      <c r="B3470" t="s">
        <v>5455</v>
      </c>
      <c r="C3470" t="s">
        <v>4984</v>
      </c>
      <c r="D3470">
        <v>225000</v>
      </c>
      <c r="E3470">
        <v>7000</v>
      </c>
      <c r="F3470">
        <v>225000</v>
      </c>
      <c r="G3470">
        <v>225000</v>
      </c>
      <c r="H3470">
        <v>1</v>
      </c>
      <c r="I3470" t="s">
        <v>585</v>
      </c>
      <c r="J3470">
        <v>74.599999999999994</v>
      </c>
      <c r="K3470">
        <v>0</v>
      </c>
      <c r="L3470">
        <v>3</v>
      </c>
      <c r="M3470" t="s">
        <v>4970</v>
      </c>
      <c r="N3470">
        <v>4</v>
      </c>
      <c r="O3470">
        <v>10.67</v>
      </c>
      <c r="P3470">
        <v>98022.29</v>
      </c>
      <c r="Q3470">
        <v>232352.65</v>
      </c>
      <c r="R3470">
        <v>323</v>
      </c>
      <c r="S3470">
        <v>359</v>
      </c>
      <c r="T3470" t="s">
        <v>596</v>
      </c>
      <c r="U3470" t="s">
        <v>81</v>
      </c>
    </row>
    <row r="3471" spans="1:21">
      <c r="A3471" t="s">
        <v>5454</v>
      </c>
      <c r="B3471" t="s">
        <v>5455</v>
      </c>
      <c r="C3471" t="s">
        <v>4984</v>
      </c>
      <c r="D3471">
        <v>225000</v>
      </c>
      <c r="E3471">
        <v>7000</v>
      </c>
      <c r="F3471">
        <v>225000</v>
      </c>
      <c r="G3471">
        <v>225000</v>
      </c>
      <c r="H3471">
        <v>2</v>
      </c>
      <c r="I3471" t="s">
        <v>585</v>
      </c>
      <c r="J3471">
        <v>74.599999999999994</v>
      </c>
      <c r="K3471">
        <v>0</v>
      </c>
      <c r="L3471">
        <v>3</v>
      </c>
      <c r="M3471" t="s">
        <v>4970</v>
      </c>
      <c r="N3471">
        <v>4</v>
      </c>
      <c r="O3471">
        <v>10.67</v>
      </c>
      <c r="P3471">
        <v>98022.29</v>
      </c>
      <c r="Q3471">
        <v>232352.65</v>
      </c>
      <c r="R3471">
        <v>323</v>
      </c>
      <c r="S3471">
        <v>359</v>
      </c>
      <c r="T3471" t="s">
        <v>596</v>
      </c>
      <c r="U3471" t="s">
        <v>81</v>
      </c>
    </row>
    <row r="3472" spans="1:21">
      <c r="A3472" t="s">
        <v>5456</v>
      </c>
      <c r="B3472" t="s">
        <v>5455</v>
      </c>
      <c r="C3472" t="s">
        <v>5001</v>
      </c>
      <c r="D3472">
        <v>210000</v>
      </c>
      <c r="E3472">
        <v>18000</v>
      </c>
      <c r="H3472">
        <v>1</v>
      </c>
      <c r="I3472" t="s">
        <v>585</v>
      </c>
      <c r="J3472">
        <v>49.62</v>
      </c>
      <c r="K3472">
        <v>0</v>
      </c>
      <c r="L3472">
        <v>3</v>
      </c>
      <c r="M3472" t="s">
        <v>4970</v>
      </c>
      <c r="N3472">
        <v>8</v>
      </c>
      <c r="O3472">
        <v>13.67</v>
      </c>
      <c r="P3472">
        <v>98022.29</v>
      </c>
      <c r="Q3472">
        <v>232352.65</v>
      </c>
      <c r="R3472">
        <v>323</v>
      </c>
      <c r="S3472">
        <v>359</v>
      </c>
      <c r="T3472" t="s">
        <v>326</v>
      </c>
      <c r="U3472" t="s">
        <v>81</v>
      </c>
    </row>
    <row r="3473" spans="1:21">
      <c r="A3473" t="s">
        <v>5457</v>
      </c>
      <c r="B3473" t="s">
        <v>5455</v>
      </c>
      <c r="C3473" t="s">
        <v>4984</v>
      </c>
      <c r="D3473">
        <v>216000</v>
      </c>
      <c r="E3473">
        <v>7000</v>
      </c>
      <c r="F3473">
        <v>216000</v>
      </c>
      <c r="G3473">
        <v>216000</v>
      </c>
      <c r="H3473">
        <v>1</v>
      </c>
      <c r="I3473" t="s">
        <v>585</v>
      </c>
      <c r="J3473">
        <v>55.92</v>
      </c>
      <c r="K3473">
        <v>0</v>
      </c>
      <c r="L3473">
        <v>3</v>
      </c>
      <c r="M3473" t="s">
        <v>4970</v>
      </c>
      <c r="N3473">
        <v>4</v>
      </c>
      <c r="O3473">
        <v>10.67</v>
      </c>
      <c r="P3473">
        <v>98022.29</v>
      </c>
      <c r="Q3473">
        <v>232352.65</v>
      </c>
      <c r="R3473">
        <v>323</v>
      </c>
      <c r="S3473">
        <v>359</v>
      </c>
      <c r="T3473" t="s">
        <v>332</v>
      </c>
      <c r="U3473" t="s">
        <v>81</v>
      </c>
    </row>
    <row r="3474" spans="1:21">
      <c r="A3474" t="s">
        <v>5458</v>
      </c>
      <c r="B3474" t="s">
        <v>5455</v>
      </c>
      <c r="C3474" t="s">
        <v>5001</v>
      </c>
      <c r="D3474">
        <v>161000</v>
      </c>
      <c r="E3474">
        <v>18000</v>
      </c>
      <c r="H3474">
        <v>2</v>
      </c>
      <c r="I3474" t="s">
        <v>585</v>
      </c>
      <c r="J3474">
        <v>41.78</v>
      </c>
      <c r="K3474">
        <v>0</v>
      </c>
      <c r="L3474">
        <v>3</v>
      </c>
      <c r="M3474" t="s">
        <v>4970</v>
      </c>
      <c r="N3474">
        <v>4</v>
      </c>
      <c r="O3474">
        <v>8</v>
      </c>
      <c r="P3474">
        <v>98022.29</v>
      </c>
      <c r="Q3474">
        <v>232352.65</v>
      </c>
      <c r="R3474">
        <v>323</v>
      </c>
      <c r="S3474">
        <v>359</v>
      </c>
      <c r="T3474" t="s">
        <v>326</v>
      </c>
      <c r="U3474" t="s">
        <v>81</v>
      </c>
    </row>
    <row r="3475" spans="1:21">
      <c r="A3475" t="s">
        <v>5459</v>
      </c>
      <c r="B3475" t="s">
        <v>5455</v>
      </c>
      <c r="C3475" t="s">
        <v>5001</v>
      </c>
      <c r="D3475">
        <v>215000</v>
      </c>
      <c r="E3475">
        <v>18000</v>
      </c>
      <c r="H3475">
        <v>2</v>
      </c>
      <c r="I3475" t="s">
        <v>585</v>
      </c>
      <c r="J3475">
        <v>49.62</v>
      </c>
      <c r="K3475">
        <v>0</v>
      </c>
      <c r="L3475">
        <v>3</v>
      </c>
      <c r="M3475" t="s">
        <v>4970</v>
      </c>
      <c r="N3475">
        <v>8</v>
      </c>
      <c r="O3475">
        <v>13.67</v>
      </c>
      <c r="P3475">
        <v>98022.29</v>
      </c>
      <c r="Q3475">
        <v>232352.65</v>
      </c>
      <c r="R3475">
        <v>323</v>
      </c>
      <c r="S3475">
        <v>359</v>
      </c>
      <c r="T3475" t="s">
        <v>326</v>
      </c>
      <c r="U3475" t="s">
        <v>81</v>
      </c>
    </row>
    <row r="3476" spans="1:21">
      <c r="A3476" t="s">
        <v>5460</v>
      </c>
      <c r="B3476" t="s">
        <v>5205</v>
      </c>
      <c r="C3476" t="s">
        <v>4969</v>
      </c>
      <c r="D3476">
        <v>215000</v>
      </c>
      <c r="E3476">
        <v>3000</v>
      </c>
      <c r="F3476">
        <v>215000</v>
      </c>
      <c r="G3476">
        <v>215000</v>
      </c>
      <c r="H3476">
        <v>3</v>
      </c>
      <c r="I3476" t="s">
        <v>585</v>
      </c>
      <c r="J3476">
        <v>61.4</v>
      </c>
      <c r="K3476">
        <v>20</v>
      </c>
      <c r="L3476">
        <v>3</v>
      </c>
      <c r="M3476" t="s">
        <v>4970</v>
      </c>
      <c r="N3476">
        <v>8</v>
      </c>
      <c r="O3476">
        <v>12</v>
      </c>
      <c r="P3476">
        <v>98022.29</v>
      </c>
      <c r="Q3476">
        <v>232352.65</v>
      </c>
      <c r="R3476">
        <v>323</v>
      </c>
      <c r="S3476">
        <v>359</v>
      </c>
      <c r="T3476" t="s">
        <v>593</v>
      </c>
      <c r="U3476" t="s">
        <v>90</v>
      </c>
    </row>
    <row r="3477" spans="1:21">
      <c r="A3477" t="s">
        <v>5461</v>
      </c>
      <c r="B3477" t="s">
        <v>5462</v>
      </c>
      <c r="C3477" t="s">
        <v>4984</v>
      </c>
      <c r="D3477">
        <v>170000</v>
      </c>
      <c r="E3477">
        <v>7000</v>
      </c>
      <c r="F3477">
        <v>170000</v>
      </c>
      <c r="G3477">
        <v>170000</v>
      </c>
      <c r="H3477">
        <v>4</v>
      </c>
      <c r="I3477" t="s">
        <v>585</v>
      </c>
      <c r="J3477">
        <v>41.52</v>
      </c>
      <c r="K3477">
        <v>5</v>
      </c>
      <c r="L3477">
        <v>5</v>
      </c>
      <c r="M3477" t="s">
        <v>4970</v>
      </c>
      <c r="N3477">
        <v>2</v>
      </c>
      <c r="O3477">
        <v>11</v>
      </c>
      <c r="P3477">
        <v>98022.29</v>
      </c>
      <c r="Q3477">
        <v>232352.65</v>
      </c>
      <c r="R3477">
        <v>323</v>
      </c>
      <c r="S3477">
        <v>359</v>
      </c>
      <c r="T3477" t="s">
        <v>326</v>
      </c>
      <c r="U3477" t="s">
        <v>31</v>
      </c>
    </row>
    <row r="3478" spans="1:21">
      <c r="A3478" t="s">
        <v>5463</v>
      </c>
      <c r="B3478" t="s">
        <v>5424</v>
      </c>
      <c r="C3478" t="s">
        <v>5096</v>
      </c>
      <c r="D3478">
        <v>132000</v>
      </c>
      <c r="E3478">
        <v>10000</v>
      </c>
      <c r="G3478">
        <v>132000</v>
      </c>
      <c r="H3478">
        <v>3</v>
      </c>
      <c r="I3478" t="s">
        <v>585</v>
      </c>
      <c r="J3478">
        <v>39.520000000000003</v>
      </c>
      <c r="K3478">
        <v>19</v>
      </c>
      <c r="L3478">
        <v>6</v>
      </c>
      <c r="M3478" t="s">
        <v>4970</v>
      </c>
      <c r="N3478">
        <v>9</v>
      </c>
      <c r="O3478">
        <v>13.33</v>
      </c>
      <c r="P3478">
        <v>98022.29</v>
      </c>
      <c r="Q3478">
        <v>232352.65</v>
      </c>
      <c r="R3478">
        <v>323</v>
      </c>
      <c r="S3478">
        <v>359</v>
      </c>
      <c r="T3478" t="s">
        <v>26</v>
      </c>
      <c r="U3478" t="s">
        <v>90</v>
      </c>
    </row>
    <row r="3479" spans="1:21">
      <c r="A3479" t="s">
        <v>5464</v>
      </c>
      <c r="B3479" t="s">
        <v>5465</v>
      </c>
      <c r="C3479" t="s">
        <v>4973</v>
      </c>
      <c r="D3479">
        <v>263000</v>
      </c>
      <c r="E3479">
        <v>12000</v>
      </c>
      <c r="F3479">
        <v>131500</v>
      </c>
      <c r="H3479">
        <v>1</v>
      </c>
      <c r="I3479" t="s">
        <v>585</v>
      </c>
      <c r="J3479">
        <v>67.84</v>
      </c>
      <c r="K3479">
        <v>0</v>
      </c>
      <c r="L3479">
        <v>3</v>
      </c>
      <c r="M3479" t="s">
        <v>4970</v>
      </c>
      <c r="N3479">
        <v>9</v>
      </c>
      <c r="O3479">
        <v>11.33</v>
      </c>
      <c r="P3479">
        <v>98022.29</v>
      </c>
      <c r="Q3479">
        <v>232352.65</v>
      </c>
      <c r="R3479">
        <v>323</v>
      </c>
      <c r="S3479">
        <v>359</v>
      </c>
      <c r="T3479" t="s">
        <v>593</v>
      </c>
      <c r="U3479" t="s">
        <v>81</v>
      </c>
    </row>
    <row r="3480" spans="1:21">
      <c r="A3480" t="s">
        <v>5466</v>
      </c>
      <c r="B3480" t="s">
        <v>1638</v>
      </c>
      <c r="C3480" t="s">
        <v>4973</v>
      </c>
      <c r="D3480">
        <v>145000</v>
      </c>
      <c r="E3480">
        <v>5000</v>
      </c>
      <c r="F3480">
        <v>145000</v>
      </c>
      <c r="G3480">
        <v>145000</v>
      </c>
      <c r="H3480">
        <v>1</v>
      </c>
      <c r="I3480" t="s">
        <v>585</v>
      </c>
      <c r="J3480">
        <v>46.74</v>
      </c>
      <c r="K3480">
        <v>24</v>
      </c>
      <c r="L3480">
        <v>3</v>
      </c>
      <c r="M3480" t="s">
        <v>4970</v>
      </c>
      <c r="N3480">
        <v>8</v>
      </c>
      <c r="O3480">
        <v>9</v>
      </c>
      <c r="P3480">
        <v>98022.29</v>
      </c>
      <c r="Q3480">
        <v>232352.65</v>
      </c>
      <c r="R3480">
        <v>323</v>
      </c>
      <c r="S3480">
        <v>359</v>
      </c>
      <c r="T3480" t="s">
        <v>326</v>
      </c>
      <c r="U3480" t="s">
        <v>27</v>
      </c>
    </row>
    <row r="3481" spans="1:21">
      <c r="A3481" t="s">
        <v>5467</v>
      </c>
      <c r="B3481" t="s">
        <v>5468</v>
      </c>
      <c r="C3481" t="s">
        <v>4973</v>
      </c>
      <c r="D3481">
        <v>190000</v>
      </c>
      <c r="E3481">
        <v>10000</v>
      </c>
      <c r="F3481">
        <v>190000</v>
      </c>
      <c r="G3481">
        <v>190000</v>
      </c>
      <c r="H3481">
        <v>5</v>
      </c>
      <c r="I3481" t="s">
        <v>585</v>
      </c>
      <c r="J3481">
        <v>56.32</v>
      </c>
      <c r="K3481">
        <v>24</v>
      </c>
      <c r="L3481">
        <v>8</v>
      </c>
      <c r="M3481" t="s">
        <v>4970</v>
      </c>
      <c r="N3481">
        <v>4</v>
      </c>
      <c r="O3481">
        <v>10</v>
      </c>
      <c r="P3481">
        <v>98022.29</v>
      </c>
      <c r="Q3481">
        <v>232352.65</v>
      </c>
      <c r="R3481">
        <v>323</v>
      </c>
      <c r="S3481">
        <v>359</v>
      </c>
      <c r="T3481" t="s">
        <v>332</v>
      </c>
      <c r="U3481" t="s">
        <v>27</v>
      </c>
    </row>
    <row r="3482" spans="1:21">
      <c r="A3482" t="s">
        <v>5469</v>
      </c>
      <c r="B3482" t="s">
        <v>5470</v>
      </c>
      <c r="C3482" t="s">
        <v>4973</v>
      </c>
      <c r="D3482">
        <v>263000</v>
      </c>
      <c r="E3482">
        <v>12000</v>
      </c>
      <c r="F3482">
        <v>131500</v>
      </c>
      <c r="H3482">
        <v>1</v>
      </c>
      <c r="I3482" t="s">
        <v>585</v>
      </c>
      <c r="J3482">
        <v>67.84</v>
      </c>
      <c r="K3482">
        <v>0</v>
      </c>
      <c r="L3482">
        <v>3</v>
      </c>
      <c r="M3482" t="s">
        <v>4970</v>
      </c>
      <c r="N3482">
        <v>9</v>
      </c>
      <c r="O3482">
        <v>11.33</v>
      </c>
      <c r="P3482">
        <v>98022.29</v>
      </c>
      <c r="Q3482">
        <v>232352.65</v>
      </c>
      <c r="R3482">
        <v>323</v>
      </c>
      <c r="S3482">
        <v>359</v>
      </c>
      <c r="T3482" t="s">
        <v>593</v>
      </c>
      <c r="U3482" t="s">
        <v>81</v>
      </c>
    </row>
    <row r="3483" spans="1:21">
      <c r="A3483" t="s">
        <v>5471</v>
      </c>
      <c r="B3483" t="s">
        <v>5472</v>
      </c>
      <c r="C3483" t="s">
        <v>5001</v>
      </c>
      <c r="D3483">
        <v>210000</v>
      </c>
      <c r="E3483">
        <v>18000</v>
      </c>
      <c r="H3483">
        <v>1</v>
      </c>
      <c r="I3483" t="s">
        <v>585</v>
      </c>
      <c r="J3483">
        <v>49.62</v>
      </c>
      <c r="K3483">
        <v>1</v>
      </c>
      <c r="L3483">
        <v>3</v>
      </c>
      <c r="M3483" t="s">
        <v>4970</v>
      </c>
      <c r="N3483">
        <v>8</v>
      </c>
      <c r="O3483">
        <v>12.33</v>
      </c>
      <c r="P3483">
        <v>98022.29</v>
      </c>
      <c r="Q3483">
        <v>232352.65</v>
      </c>
      <c r="R3483">
        <v>323</v>
      </c>
      <c r="S3483">
        <v>359</v>
      </c>
      <c r="T3483" t="s">
        <v>326</v>
      </c>
      <c r="U3483" t="s">
        <v>31</v>
      </c>
    </row>
    <row r="3484" spans="1:21">
      <c r="A3484" t="s">
        <v>5473</v>
      </c>
      <c r="B3484" t="s">
        <v>5472</v>
      </c>
      <c r="C3484" t="s">
        <v>5001</v>
      </c>
      <c r="D3484">
        <v>215000</v>
      </c>
      <c r="E3484">
        <v>18000</v>
      </c>
      <c r="H3484">
        <v>2</v>
      </c>
      <c r="I3484" t="s">
        <v>585</v>
      </c>
      <c r="J3484">
        <v>49.62</v>
      </c>
      <c r="K3484">
        <v>1</v>
      </c>
      <c r="L3484">
        <v>3</v>
      </c>
      <c r="M3484" t="s">
        <v>4970</v>
      </c>
      <c r="N3484">
        <v>8</v>
      </c>
      <c r="O3484">
        <v>12.33</v>
      </c>
      <c r="P3484">
        <v>98022.29</v>
      </c>
      <c r="Q3484">
        <v>232352.65</v>
      </c>
      <c r="R3484">
        <v>323</v>
      </c>
      <c r="S3484">
        <v>359</v>
      </c>
      <c r="T3484" t="s">
        <v>326</v>
      </c>
      <c r="U3484" t="s">
        <v>31</v>
      </c>
    </row>
    <row r="3485" spans="1:21">
      <c r="A3485" t="s">
        <v>5474</v>
      </c>
      <c r="B3485" t="s">
        <v>5475</v>
      </c>
      <c r="C3485" t="s">
        <v>4984</v>
      </c>
      <c r="D3485">
        <v>225000</v>
      </c>
      <c r="E3485">
        <v>7000</v>
      </c>
      <c r="F3485">
        <v>225000</v>
      </c>
      <c r="G3485">
        <v>225000</v>
      </c>
      <c r="H3485">
        <v>1</v>
      </c>
      <c r="I3485" t="s">
        <v>585</v>
      </c>
      <c r="J3485">
        <v>74.599999999999994</v>
      </c>
      <c r="K3485">
        <v>0</v>
      </c>
      <c r="L3485">
        <v>3</v>
      </c>
      <c r="M3485" t="s">
        <v>4970</v>
      </c>
      <c r="N3485">
        <v>4</v>
      </c>
      <c r="O3485">
        <v>10.67</v>
      </c>
      <c r="P3485">
        <v>98022.29</v>
      </c>
      <c r="Q3485">
        <v>232352.65</v>
      </c>
      <c r="R3485">
        <v>323</v>
      </c>
      <c r="S3485">
        <v>359</v>
      </c>
      <c r="T3485" t="s">
        <v>596</v>
      </c>
      <c r="U3485" t="s">
        <v>81</v>
      </c>
    </row>
    <row r="3486" spans="1:21">
      <c r="A3486" t="s">
        <v>5474</v>
      </c>
      <c r="B3486" t="s">
        <v>5475</v>
      </c>
      <c r="C3486" t="s">
        <v>4984</v>
      </c>
      <c r="D3486">
        <v>225000</v>
      </c>
      <c r="E3486">
        <v>7000</v>
      </c>
      <c r="F3486">
        <v>225000</v>
      </c>
      <c r="G3486">
        <v>225000</v>
      </c>
      <c r="H3486">
        <v>2</v>
      </c>
      <c r="I3486" t="s">
        <v>585</v>
      </c>
      <c r="J3486">
        <v>74.599999999999994</v>
      </c>
      <c r="K3486">
        <v>0</v>
      </c>
      <c r="L3486">
        <v>3</v>
      </c>
      <c r="M3486" t="s">
        <v>4970</v>
      </c>
      <c r="N3486">
        <v>4</v>
      </c>
      <c r="O3486">
        <v>10.67</v>
      </c>
      <c r="P3486">
        <v>98022.29</v>
      </c>
      <c r="Q3486">
        <v>232352.65</v>
      </c>
      <c r="R3486">
        <v>323</v>
      </c>
      <c r="S3486">
        <v>359</v>
      </c>
      <c r="T3486" t="s">
        <v>596</v>
      </c>
      <c r="U3486" t="s">
        <v>81</v>
      </c>
    </row>
    <row r="3487" spans="1:21">
      <c r="A3487" t="s">
        <v>5476</v>
      </c>
      <c r="B3487" t="s">
        <v>5475</v>
      </c>
      <c r="C3487" t="s">
        <v>4984</v>
      </c>
      <c r="D3487">
        <v>216000</v>
      </c>
      <c r="E3487">
        <v>7000</v>
      </c>
      <c r="F3487">
        <v>216000</v>
      </c>
      <c r="G3487">
        <v>216000</v>
      </c>
      <c r="H3487">
        <v>1</v>
      </c>
      <c r="I3487" t="s">
        <v>585</v>
      </c>
      <c r="J3487">
        <v>55.92</v>
      </c>
      <c r="K3487">
        <v>0</v>
      </c>
      <c r="L3487">
        <v>3</v>
      </c>
      <c r="M3487" t="s">
        <v>4970</v>
      </c>
      <c r="N3487">
        <v>4</v>
      </c>
      <c r="O3487">
        <v>10.67</v>
      </c>
      <c r="P3487">
        <v>98022.29</v>
      </c>
      <c r="Q3487">
        <v>232352.65</v>
      </c>
      <c r="R3487">
        <v>323</v>
      </c>
      <c r="S3487">
        <v>359</v>
      </c>
      <c r="T3487" t="s">
        <v>332</v>
      </c>
      <c r="U3487" t="s">
        <v>81</v>
      </c>
    </row>
    <row r="3488" spans="1:21">
      <c r="A3488" t="s">
        <v>5477</v>
      </c>
      <c r="B3488" t="s">
        <v>5478</v>
      </c>
      <c r="C3488" t="s">
        <v>1873</v>
      </c>
      <c r="D3488">
        <v>215000</v>
      </c>
      <c r="E3488">
        <v>10000</v>
      </c>
      <c r="G3488">
        <v>430000</v>
      </c>
      <c r="H3488">
        <v>3</v>
      </c>
      <c r="I3488" t="s">
        <v>654</v>
      </c>
      <c r="J3488">
        <v>66.06</v>
      </c>
      <c r="K3488">
        <v>30</v>
      </c>
      <c r="L3488">
        <v>4</v>
      </c>
      <c r="M3488" t="s">
        <v>4970</v>
      </c>
      <c r="N3488">
        <v>8</v>
      </c>
      <c r="O3488">
        <v>10.33</v>
      </c>
      <c r="P3488">
        <v>98022.29</v>
      </c>
      <c r="Q3488">
        <v>288705.81</v>
      </c>
      <c r="R3488">
        <v>323</v>
      </c>
      <c r="S3488">
        <v>155</v>
      </c>
      <c r="T3488" t="s">
        <v>593</v>
      </c>
      <c r="U3488" t="s">
        <v>27</v>
      </c>
    </row>
    <row r="3489" spans="1:21">
      <c r="A3489" t="s">
        <v>5479</v>
      </c>
      <c r="B3489" t="s">
        <v>5480</v>
      </c>
      <c r="C3489" t="s">
        <v>1873</v>
      </c>
      <c r="D3489">
        <v>260000</v>
      </c>
      <c r="E3489">
        <v>20000</v>
      </c>
      <c r="F3489">
        <v>260000</v>
      </c>
      <c r="G3489">
        <v>260000</v>
      </c>
      <c r="H3489">
        <v>3</v>
      </c>
      <c r="I3489" t="s">
        <v>654</v>
      </c>
      <c r="J3489">
        <v>70.03</v>
      </c>
      <c r="K3489">
        <v>8</v>
      </c>
      <c r="L3489">
        <v>7</v>
      </c>
      <c r="M3489" t="s">
        <v>4970</v>
      </c>
      <c r="N3489">
        <v>6</v>
      </c>
      <c r="O3489">
        <v>16.670000000000002</v>
      </c>
      <c r="P3489">
        <v>98022.29</v>
      </c>
      <c r="Q3489">
        <v>288705.81</v>
      </c>
      <c r="R3489">
        <v>323</v>
      </c>
      <c r="S3489">
        <v>155</v>
      </c>
      <c r="T3489" t="s">
        <v>596</v>
      </c>
      <c r="U3489" t="s">
        <v>31</v>
      </c>
    </row>
    <row r="3490" spans="1:21">
      <c r="A3490" t="s">
        <v>5481</v>
      </c>
      <c r="B3490" t="s">
        <v>5482</v>
      </c>
      <c r="C3490" t="s">
        <v>4984</v>
      </c>
      <c r="D3490">
        <v>170000</v>
      </c>
      <c r="E3490">
        <v>5000</v>
      </c>
      <c r="F3490">
        <v>170000</v>
      </c>
      <c r="G3490">
        <v>170000</v>
      </c>
      <c r="H3490">
        <v>2</v>
      </c>
      <c r="I3490" t="s">
        <v>654</v>
      </c>
      <c r="J3490">
        <v>64.03</v>
      </c>
      <c r="K3490">
        <v>36</v>
      </c>
      <c r="L3490">
        <v>3</v>
      </c>
      <c r="M3490" t="s">
        <v>4970</v>
      </c>
      <c r="N3490">
        <v>5</v>
      </c>
      <c r="O3490">
        <v>11</v>
      </c>
      <c r="P3490">
        <v>98022.29</v>
      </c>
      <c r="Q3490">
        <v>288705.81</v>
      </c>
      <c r="R3490">
        <v>323</v>
      </c>
      <c r="S3490">
        <v>155</v>
      </c>
      <c r="T3490" t="s">
        <v>593</v>
      </c>
      <c r="U3490" t="s">
        <v>49</v>
      </c>
    </row>
    <row r="3491" spans="1:21">
      <c r="A3491" t="s">
        <v>5483</v>
      </c>
      <c r="B3491" t="s">
        <v>5484</v>
      </c>
      <c r="C3491" t="s">
        <v>1873</v>
      </c>
      <c r="D3491">
        <v>245000</v>
      </c>
      <c r="E3491">
        <v>15000</v>
      </c>
      <c r="F3491">
        <v>245000</v>
      </c>
      <c r="G3491">
        <v>245000</v>
      </c>
      <c r="H3491">
        <v>7</v>
      </c>
      <c r="I3491" t="s">
        <v>654</v>
      </c>
      <c r="J3491">
        <v>72.69</v>
      </c>
      <c r="K3491">
        <v>30</v>
      </c>
      <c r="L3491">
        <v>7</v>
      </c>
      <c r="M3491" t="s">
        <v>4970</v>
      </c>
      <c r="N3491">
        <v>7</v>
      </c>
      <c r="O3491">
        <v>10.67</v>
      </c>
      <c r="P3491">
        <v>98022.29</v>
      </c>
      <c r="Q3491">
        <v>288705.81</v>
      </c>
      <c r="R3491">
        <v>323</v>
      </c>
      <c r="S3491">
        <v>155</v>
      </c>
      <c r="T3491" t="s">
        <v>596</v>
      </c>
      <c r="U3491" t="s">
        <v>27</v>
      </c>
    </row>
    <row r="3492" spans="1:21">
      <c r="A3492" t="s">
        <v>5485</v>
      </c>
      <c r="B3492" t="s">
        <v>5407</v>
      </c>
      <c r="C3492" t="s">
        <v>1743</v>
      </c>
      <c r="D3492">
        <v>239000</v>
      </c>
      <c r="E3492">
        <v>6000</v>
      </c>
      <c r="H3492">
        <v>1</v>
      </c>
      <c r="I3492" t="s">
        <v>654</v>
      </c>
      <c r="J3492">
        <v>58.64</v>
      </c>
      <c r="K3492">
        <v>0</v>
      </c>
      <c r="L3492">
        <v>2</v>
      </c>
      <c r="M3492" t="s">
        <v>4970</v>
      </c>
      <c r="N3492">
        <v>7</v>
      </c>
      <c r="O3492">
        <v>12</v>
      </c>
      <c r="P3492">
        <v>98022.29</v>
      </c>
      <c r="Q3492">
        <v>288705.81</v>
      </c>
      <c r="R3492">
        <v>323</v>
      </c>
      <c r="S3492">
        <v>155</v>
      </c>
      <c r="T3492" t="s">
        <v>332</v>
      </c>
      <c r="U3492" t="s">
        <v>81</v>
      </c>
    </row>
    <row r="3493" spans="1:21">
      <c r="A3493" t="s">
        <v>5486</v>
      </c>
      <c r="B3493" t="s">
        <v>5407</v>
      </c>
      <c r="C3493" t="s">
        <v>1743</v>
      </c>
      <c r="D3493">
        <v>247000</v>
      </c>
      <c r="E3493">
        <v>6000</v>
      </c>
      <c r="H3493">
        <v>1</v>
      </c>
      <c r="I3493" t="s">
        <v>654</v>
      </c>
      <c r="J3493">
        <v>59.02</v>
      </c>
      <c r="K3493">
        <v>0</v>
      </c>
      <c r="L3493">
        <v>2</v>
      </c>
      <c r="M3493" t="s">
        <v>4970</v>
      </c>
      <c r="N3493">
        <v>7</v>
      </c>
      <c r="O3493">
        <v>12</v>
      </c>
      <c r="P3493">
        <v>98022.29</v>
      </c>
      <c r="Q3493">
        <v>288705.81</v>
      </c>
      <c r="R3493">
        <v>323</v>
      </c>
      <c r="S3493">
        <v>155</v>
      </c>
      <c r="T3493" t="s">
        <v>332</v>
      </c>
      <c r="U3493" t="s">
        <v>81</v>
      </c>
    </row>
    <row r="3494" spans="1:21">
      <c r="A3494" t="s">
        <v>5487</v>
      </c>
      <c r="B3494" t="s">
        <v>5407</v>
      </c>
      <c r="C3494" t="s">
        <v>1743</v>
      </c>
      <c r="D3494">
        <v>260000</v>
      </c>
      <c r="E3494">
        <v>6000</v>
      </c>
      <c r="H3494">
        <v>2</v>
      </c>
      <c r="I3494" t="s">
        <v>654</v>
      </c>
      <c r="J3494">
        <v>74.45</v>
      </c>
      <c r="K3494">
        <v>0</v>
      </c>
      <c r="L3494">
        <v>2</v>
      </c>
      <c r="M3494" t="s">
        <v>4970</v>
      </c>
      <c r="N3494">
        <v>7</v>
      </c>
      <c r="O3494">
        <v>12</v>
      </c>
      <c r="P3494">
        <v>98022.29</v>
      </c>
      <c r="Q3494">
        <v>288705.81</v>
      </c>
      <c r="R3494">
        <v>323</v>
      </c>
      <c r="S3494">
        <v>155</v>
      </c>
      <c r="T3494" t="s">
        <v>596</v>
      </c>
      <c r="U3494" t="s">
        <v>81</v>
      </c>
    </row>
    <row r="3495" spans="1:21">
      <c r="A3495" t="s">
        <v>5488</v>
      </c>
      <c r="B3495" t="s">
        <v>5140</v>
      </c>
      <c r="C3495" t="s">
        <v>4984</v>
      </c>
      <c r="D3495">
        <v>170000</v>
      </c>
      <c r="E3495">
        <v>5000</v>
      </c>
      <c r="F3495">
        <v>170000</v>
      </c>
      <c r="G3495">
        <v>170000</v>
      </c>
      <c r="H3495">
        <v>2</v>
      </c>
      <c r="I3495" t="s">
        <v>654</v>
      </c>
      <c r="J3495">
        <v>64.03</v>
      </c>
      <c r="K3495">
        <v>36</v>
      </c>
      <c r="L3495">
        <v>3</v>
      </c>
      <c r="M3495" t="s">
        <v>4970</v>
      </c>
      <c r="N3495">
        <v>5</v>
      </c>
      <c r="O3495">
        <v>11</v>
      </c>
      <c r="P3495">
        <v>98022.29</v>
      </c>
      <c r="Q3495">
        <v>288705.81</v>
      </c>
      <c r="R3495">
        <v>323</v>
      </c>
      <c r="S3495">
        <v>155</v>
      </c>
      <c r="T3495" t="s">
        <v>593</v>
      </c>
      <c r="U3495" t="s">
        <v>49</v>
      </c>
    </row>
    <row r="3496" spans="1:21">
      <c r="A3496" t="s">
        <v>5489</v>
      </c>
      <c r="B3496" t="s">
        <v>5490</v>
      </c>
      <c r="C3496" t="s">
        <v>1873</v>
      </c>
      <c r="D3496">
        <v>250000</v>
      </c>
      <c r="E3496">
        <v>15000</v>
      </c>
      <c r="F3496">
        <v>250000</v>
      </c>
      <c r="G3496">
        <v>250000</v>
      </c>
      <c r="H3496">
        <v>7</v>
      </c>
      <c r="I3496" t="s">
        <v>654</v>
      </c>
      <c r="J3496">
        <v>72.69</v>
      </c>
      <c r="K3496">
        <v>30</v>
      </c>
      <c r="L3496">
        <v>7</v>
      </c>
      <c r="M3496" t="s">
        <v>4970</v>
      </c>
      <c r="N3496">
        <v>7</v>
      </c>
      <c r="O3496">
        <v>10.67</v>
      </c>
      <c r="P3496">
        <v>98022.29</v>
      </c>
      <c r="Q3496">
        <v>288705.81</v>
      </c>
      <c r="R3496">
        <v>323</v>
      </c>
      <c r="S3496">
        <v>155</v>
      </c>
      <c r="T3496" t="s">
        <v>596</v>
      </c>
      <c r="U3496" t="s">
        <v>27</v>
      </c>
    </row>
    <row r="3497" spans="1:21">
      <c r="A3497" t="s">
        <v>5491</v>
      </c>
      <c r="B3497" t="s">
        <v>5490</v>
      </c>
      <c r="C3497" t="s">
        <v>1873</v>
      </c>
      <c r="D3497">
        <v>245000</v>
      </c>
      <c r="E3497">
        <v>15000</v>
      </c>
      <c r="F3497">
        <v>245000</v>
      </c>
      <c r="G3497">
        <v>245000</v>
      </c>
      <c r="H3497">
        <v>7</v>
      </c>
      <c r="I3497" t="s">
        <v>654</v>
      </c>
      <c r="J3497">
        <v>72.599999999999994</v>
      </c>
      <c r="K3497">
        <v>30</v>
      </c>
      <c r="L3497">
        <v>7</v>
      </c>
      <c r="M3497" t="s">
        <v>4970</v>
      </c>
      <c r="N3497">
        <v>7</v>
      </c>
      <c r="O3497">
        <v>10.67</v>
      </c>
      <c r="P3497">
        <v>98022.29</v>
      </c>
      <c r="Q3497">
        <v>288705.81</v>
      </c>
      <c r="R3497">
        <v>323</v>
      </c>
      <c r="S3497">
        <v>155</v>
      </c>
      <c r="T3497" t="s">
        <v>596</v>
      </c>
      <c r="U3497" t="s">
        <v>27</v>
      </c>
    </row>
    <row r="3498" spans="1:21">
      <c r="A3498" t="s">
        <v>5492</v>
      </c>
      <c r="B3498" t="s">
        <v>5493</v>
      </c>
      <c r="C3498" t="s">
        <v>1873</v>
      </c>
      <c r="D3498">
        <v>260000</v>
      </c>
      <c r="E3498">
        <v>20000</v>
      </c>
      <c r="F3498">
        <v>260000</v>
      </c>
      <c r="G3498">
        <v>260000</v>
      </c>
      <c r="H3498">
        <v>3</v>
      </c>
      <c r="I3498" t="s">
        <v>654</v>
      </c>
      <c r="J3498">
        <v>70.03</v>
      </c>
      <c r="K3498">
        <v>8</v>
      </c>
      <c r="L3498">
        <v>7</v>
      </c>
      <c r="M3498" t="s">
        <v>4970</v>
      </c>
      <c r="N3498">
        <v>6</v>
      </c>
      <c r="O3498">
        <v>9.67</v>
      </c>
      <c r="P3498">
        <v>98022.29</v>
      </c>
      <c r="Q3498">
        <v>288705.81</v>
      </c>
      <c r="R3498">
        <v>323</v>
      </c>
      <c r="S3498">
        <v>155</v>
      </c>
      <c r="T3498" t="s">
        <v>596</v>
      </c>
      <c r="U3498" t="s">
        <v>31</v>
      </c>
    </row>
    <row r="3499" spans="1:21">
      <c r="A3499" t="s">
        <v>5494</v>
      </c>
      <c r="B3499" t="s">
        <v>5465</v>
      </c>
      <c r="C3499" t="s">
        <v>4973</v>
      </c>
      <c r="D3499">
        <v>315000</v>
      </c>
      <c r="E3499">
        <v>12000</v>
      </c>
      <c r="F3499">
        <v>157500</v>
      </c>
      <c r="H3499">
        <v>2</v>
      </c>
      <c r="I3499" t="s">
        <v>654</v>
      </c>
      <c r="J3499">
        <v>78.61</v>
      </c>
      <c r="K3499">
        <v>0</v>
      </c>
      <c r="L3499">
        <v>3</v>
      </c>
      <c r="M3499" t="s">
        <v>4970</v>
      </c>
      <c r="N3499">
        <v>9</v>
      </c>
      <c r="O3499">
        <v>11.33</v>
      </c>
      <c r="P3499">
        <v>98022.29</v>
      </c>
      <c r="Q3499">
        <v>288705.81</v>
      </c>
      <c r="R3499">
        <v>323</v>
      </c>
      <c r="S3499">
        <v>155</v>
      </c>
      <c r="T3499" t="s">
        <v>596</v>
      </c>
      <c r="U3499" t="s">
        <v>81</v>
      </c>
    </row>
    <row r="3500" spans="1:21">
      <c r="A3500" t="s">
        <v>5495</v>
      </c>
      <c r="B3500" t="s">
        <v>5470</v>
      </c>
      <c r="C3500" t="s">
        <v>4973</v>
      </c>
      <c r="D3500">
        <v>315000</v>
      </c>
      <c r="E3500">
        <v>12000</v>
      </c>
      <c r="F3500">
        <v>157500</v>
      </c>
      <c r="H3500">
        <v>2</v>
      </c>
      <c r="I3500" t="s">
        <v>654</v>
      </c>
      <c r="J3500">
        <v>78.61</v>
      </c>
      <c r="K3500">
        <v>0</v>
      </c>
      <c r="L3500">
        <v>3</v>
      </c>
      <c r="M3500" t="s">
        <v>4970</v>
      </c>
      <c r="N3500">
        <v>9</v>
      </c>
      <c r="O3500">
        <v>11.33</v>
      </c>
      <c r="P3500">
        <v>98022.29</v>
      </c>
      <c r="Q3500">
        <v>288705.81</v>
      </c>
      <c r="R3500">
        <v>323</v>
      </c>
      <c r="S3500">
        <v>155</v>
      </c>
      <c r="T3500" t="s">
        <v>596</v>
      </c>
      <c r="U3500" t="s">
        <v>81</v>
      </c>
    </row>
    <row r="3501" spans="1:21">
      <c r="A3501" t="s">
        <v>5496</v>
      </c>
      <c r="B3501" t="s">
        <v>5497</v>
      </c>
      <c r="C3501" t="s">
        <v>1743</v>
      </c>
      <c r="D3501">
        <v>260000</v>
      </c>
      <c r="F3501">
        <v>260000</v>
      </c>
      <c r="G3501">
        <v>260000</v>
      </c>
      <c r="H3501">
        <v>1</v>
      </c>
      <c r="I3501" t="s">
        <v>681</v>
      </c>
      <c r="J3501">
        <v>90.02</v>
      </c>
      <c r="K3501">
        <v>26</v>
      </c>
      <c r="L3501">
        <v>3</v>
      </c>
      <c r="M3501" t="s">
        <v>4970</v>
      </c>
      <c r="N3501">
        <v>9</v>
      </c>
      <c r="O3501">
        <v>15</v>
      </c>
      <c r="P3501">
        <v>98022.29</v>
      </c>
      <c r="Q3501">
        <v>388200</v>
      </c>
      <c r="R3501">
        <v>323</v>
      </c>
      <c r="S3501">
        <v>20</v>
      </c>
      <c r="T3501" t="s">
        <v>1835</v>
      </c>
      <c r="U3501" t="s">
        <v>27</v>
      </c>
    </row>
    <row r="3502" spans="1:21">
      <c r="A3502" t="s">
        <v>5498</v>
      </c>
      <c r="B3502" t="s">
        <v>5499</v>
      </c>
      <c r="C3502" t="s">
        <v>5071</v>
      </c>
      <c r="D3502">
        <v>260000</v>
      </c>
      <c r="F3502">
        <v>260000</v>
      </c>
      <c r="G3502">
        <v>260000</v>
      </c>
      <c r="H3502">
        <v>1</v>
      </c>
      <c r="I3502" t="s">
        <v>681</v>
      </c>
      <c r="J3502">
        <v>90</v>
      </c>
      <c r="K3502">
        <v>12</v>
      </c>
      <c r="L3502">
        <v>3</v>
      </c>
      <c r="M3502" t="s">
        <v>4970</v>
      </c>
      <c r="N3502">
        <v>5</v>
      </c>
      <c r="O3502">
        <v>12</v>
      </c>
      <c r="P3502">
        <v>98022.29</v>
      </c>
      <c r="Q3502">
        <v>388200</v>
      </c>
      <c r="R3502">
        <v>323</v>
      </c>
      <c r="S3502">
        <v>20</v>
      </c>
      <c r="T3502" t="s">
        <v>1835</v>
      </c>
      <c r="U3502" t="s">
        <v>90</v>
      </c>
    </row>
    <row r="3503" spans="1:21">
      <c r="A3503" t="s">
        <v>5498</v>
      </c>
      <c r="B3503" t="s">
        <v>5499</v>
      </c>
      <c r="C3503" t="s">
        <v>5071</v>
      </c>
      <c r="D3503">
        <v>260000</v>
      </c>
      <c r="F3503">
        <v>260000</v>
      </c>
      <c r="G3503">
        <v>260000</v>
      </c>
      <c r="H3503">
        <v>2</v>
      </c>
      <c r="I3503" t="s">
        <v>681</v>
      </c>
      <c r="J3503">
        <v>90</v>
      </c>
      <c r="K3503">
        <v>12</v>
      </c>
      <c r="L3503">
        <v>3</v>
      </c>
      <c r="M3503" t="s">
        <v>4970</v>
      </c>
      <c r="N3503">
        <v>5</v>
      </c>
      <c r="O3503">
        <v>12</v>
      </c>
      <c r="P3503">
        <v>98022.29</v>
      </c>
      <c r="Q3503">
        <v>388200</v>
      </c>
      <c r="R3503">
        <v>323</v>
      </c>
      <c r="S3503">
        <v>20</v>
      </c>
      <c r="T3503" t="s">
        <v>1835</v>
      </c>
      <c r="U3503" t="s">
        <v>90</v>
      </c>
    </row>
    <row r="3504" spans="1:21">
      <c r="A3504" t="s">
        <v>5498</v>
      </c>
      <c r="B3504" t="s">
        <v>5499</v>
      </c>
      <c r="C3504" t="s">
        <v>5071</v>
      </c>
      <c r="D3504">
        <v>260000</v>
      </c>
      <c r="F3504">
        <v>260000</v>
      </c>
      <c r="G3504">
        <v>260000</v>
      </c>
      <c r="H3504">
        <v>3</v>
      </c>
      <c r="I3504" t="s">
        <v>681</v>
      </c>
      <c r="J3504">
        <v>90</v>
      </c>
      <c r="K3504">
        <v>12</v>
      </c>
      <c r="L3504">
        <v>3</v>
      </c>
      <c r="M3504" t="s">
        <v>4970</v>
      </c>
      <c r="N3504">
        <v>5</v>
      </c>
      <c r="O3504">
        <v>12</v>
      </c>
      <c r="P3504">
        <v>98022.29</v>
      </c>
      <c r="Q3504">
        <v>388200</v>
      </c>
      <c r="R3504">
        <v>323</v>
      </c>
      <c r="S3504">
        <v>20</v>
      </c>
      <c r="T3504" t="s">
        <v>1835</v>
      </c>
      <c r="U3504" t="s">
        <v>90</v>
      </c>
    </row>
    <row r="3505" spans="1:21">
      <c r="A3505" t="s">
        <v>5500</v>
      </c>
      <c r="B3505" t="s">
        <v>5501</v>
      </c>
      <c r="C3505" t="s">
        <v>23</v>
      </c>
      <c r="D3505">
        <v>125000</v>
      </c>
      <c r="F3505">
        <v>125000</v>
      </c>
      <c r="G3505">
        <v>125000</v>
      </c>
      <c r="H3505">
        <v>2</v>
      </c>
      <c r="I3505" t="s">
        <v>24</v>
      </c>
      <c r="J3505">
        <v>30</v>
      </c>
      <c r="K3505">
        <v>6</v>
      </c>
      <c r="L3505">
        <v>2</v>
      </c>
      <c r="M3505" t="s">
        <v>5502</v>
      </c>
      <c r="N3505">
        <v>10</v>
      </c>
      <c r="O3505">
        <v>12</v>
      </c>
      <c r="P3505">
        <v>147283.01999999999</v>
      </c>
      <c r="Q3505">
        <v>123325.96</v>
      </c>
      <c r="R3505">
        <v>53</v>
      </c>
      <c r="S3505">
        <v>339</v>
      </c>
      <c r="T3505" t="s">
        <v>26</v>
      </c>
      <c r="U3505" t="s">
        <v>31</v>
      </c>
    </row>
    <row r="3506" spans="1:21">
      <c r="A3506" t="s">
        <v>5503</v>
      </c>
      <c r="B3506" t="s">
        <v>5504</v>
      </c>
      <c r="C3506" t="s">
        <v>23</v>
      </c>
      <c r="D3506">
        <v>125000</v>
      </c>
      <c r="F3506">
        <v>125000</v>
      </c>
      <c r="G3506">
        <v>125000</v>
      </c>
      <c r="H3506">
        <v>2</v>
      </c>
      <c r="I3506" t="s">
        <v>24</v>
      </c>
      <c r="J3506">
        <v>30</v>
      </c>
      <c r="K3506">
        <v>6</v>
      </c>
      <c r="L3506">
        <v>2</v>
      </c>
      <c r="M3506" t="s">
        <v>5502</v>
      </c>
      <c r="N3506">
        <v>10</v>
      </c>
      <c r="O3506">
        <v>12</v>
      </c>
      <c r="P3506">
        <v>147283.01999999999</v>
      </c>
      <c r="Q3506">
        <v>123325.96</v>
      </c>
      <c r="R3506">
        <v>53</v>
      </c>
      <c r="S3506">
        <v>339</v>
      </c>
      <c r="T3506" t="s">
        <v>26</v>
      </c>
      <c r="U3506" t="s">
        <v>31</v>
      </c>
    </row>
    <row r="3507" spans="1:21">
      <c r="A3507" t="s">
        <v>5505</v>
      </c>
      <c r="B3507" t="s">
        <v>5506</v>
      </c>
      <c r="C3507" t="s">
        <v>45</v>
      </c>
      <c r="D3507">
        <v>130000</v>
      </c>
      <c r="E3507">
        <v>8000</v>
      </c>
      <c r="F3507">
        <v>130000</v>
      </c>
      <c r="G3507">
        <v>130000</v>
      </c>
      <c r="H3507">
        <v>1</v>
      </c>
      <c r="I3507" t="s">
        <v>89</v>
      </c>
      <c r="J3507">
        <v>25.65</v>
      </c>
      <c r="K3507">
        <v>8</v>
      </c>
      <c r="L3507">
        <v>4</v>
      </c>
      <c r="M3507" t="s">
        <v>5502</v>
      </c>
      <c r="N3507">
        <v>9</v>
      </c>
      <c r="O3507">
        <v>10.67</v>
      </c>
      <c r="P3507">
        <v>147283.01999999999</v>
      </c>
      <c r="Q3507">
        <v>95329.65</v>
      </c>
      <c r="R3507">
        <v>53</v>
      </c>
      <c r="S3507">
        <v>1622</v>
      </c>
      <c r="T3507" t="s">
        <v>34</v>
      </c>
      <c r="U3507" t="s">
        <v>31</v>
      </c>
    </row>
    <row r="3508" spans="1:21">
      <c r="A3508" t="s">
        <v>5507</v>
      </c>
      <c r="B3508" t="s">
        <v>5506</v>
      </c>
      <c r="C3508" t="s">
        <v>45</v>
      </c>
      <c r="D3508">
        <v>119000</v>
      </c>
      <c r="E3508">
        <v>8000</v>
      </c>
      <c r="F3508">
        <v>119000</v>
      </c>
      <c r="G3508">
        <v>119000</v>
      </c>
      <c r="H3508">
        <v>-1</v>
      </c>
      <c r="I3508" t="s">
        <v>89</v>
      </c>
      <c r="J3508">
        <v>25.65</v>
      </c>
      <c r="K3508">
        <v>8</v>
      </c>
      <c r="L3508">
        <v>4</v>
      </c>
      <c r="M3508" t="s">
        <v>5502</v>
      </c>
      <c r="N3508">
        <v>9</v>
      </c>
      <c r="O3508">
        <v>10.67</v>
      </c>
      <c r="P3508">
        <v>147283.01999999999</v>
      </c>
      <c r="Q3508">
        <v>95329.65</v>
      </c>
      <c r="R3508">
        <v>53</v>
      </c>
      <c r="S3508">
        <v>1622</v>
      </c>
      <c r="T3508" t="s">
        <v>34</v>
      </c>
      <c r="U3508" t="s">
        <v>31</v>
      </c>
    </row>
    <row r="3509" spans="1:21">
      <c r="A3509" t="s">
        <v>5508</v>
      </c>
      <c r="B3509" t="s">
        <v>5509</v>
      </c>
      <c r="C3509" t="s">
        <v>45</v>
      </c>
      <c r="D3509">
        <v>74000</v>
      </c>
      <c r="E3509">
        <v>6500</v>
      </c>
      <c r="G3509">
        <v>74000</v>
      </c>
      <c r="H3509">
        <v>1</v>
      </c>
      <c r="I3509" t="s">
        <v>89</v>
      </c>
      <c r="J3509">
        <v>21.8</v>
      </c>
      <c r="K3509">
        <v>28</v>
      </c>
      <c r="L3509">
        <v>2</v>
      </c>
      <c r="M3509" t="s">
        <v>5502</v>
      </c>
      <c r="N3509">
        <v>10</v>
      </c>
      <c r="O3509">
        <v>11</v>
      </c>
      <c r="P3509">
        <v>147283.01999999999</v>
      </c>
      <c r="Q3509">
        <v>95329.65</v>
      </c>
      <c r="R3509">
        <v>53</v>
      </c>
      <c r="S3509">
        <v>1622</v>
      </c>
      <c r="T3509" t="s">
        <v>34</v>
      </c>
      <c r="U3509" t="s">
        <v>27</v>
      </c>
    </row>
    <row r="3510" spans="1:21">
      <c r="A3510" t="s">
        <v>5510</v>
      </c>
      <c r="B3510" t="s">
        <v>5509</v>
      </c>
      <c r="C3510" t="s">
        <v>45</v>
      </c>
      <c r="D3510">
        <v>89000</v>
      </c>
      <c r="E3510">
        <v>6500</v>
      </c>
      <c r="G3510">
        <v>89000</v>
      </c>
      <c r="H3510">
        <v>2</v>
      </c>
      <c r="I3510" t="s">
        <v>89</v>
      </c>
      <c r="J3510">
        <v>21.8</v>
      </c>
      <c r="K3510">
        <v>28</v>
      </c>
      <c r="L3510">
        <v>2</v>
      </c>
      <c r="M3510" t="s">
        <v>5502</v>
      </c>
      <c r="N3510">
        <v>10</v>
      </c>
      <c r="O3510">
        <v>11</v>
      </c>
      <c r="P3510">
        <v>147283.01999999999</v>
      </c>
      <c r="Q3510">
        <v>95329.65</v>
      </c>
      <c r="R3510">
        <v>53</v>
      </c>
      <c r="S3510">
        <v>1622</v>
      </c>
      <c r="T3510" t="s">
        <v>34</v>
      </c>
      <c r="U3510" t="s">
        <v>27</v>
      </c>
    </row>
    <row r="3511" spans="1:21">
      <c r="A3511" t="s">
        <v>5511</v>
      </c>
      <c r="B3511" t="s">
        <v>5512</v>
      </c>
      <c r="C3511" t="s">
        <v>23</v>
      </c>
      <c r="D3511">
        <v>50000</v>
      </c>
      <c r="E3511">
        <v>2000</v>
      </c>
      <c r="F3511">
        <v>50000</v>
      </c>
      <c r="G3511">
        <v>50000</v>
      </c>
      <c r="H3511">
        <v>1</v>
      </c>
      <c r="I3511" t="s">
        <v>89</v>
      </c>
      <c r="J3511">
        <v>19</v>
      </c>
      <c r="K3511">
        <v>56</v>
      </c>
      <c r="L3511">
        <v>2</v>
      </c>
      <c r="M3511" t="s">
        <v>5502</v>
      </c>
      <c r="N3511">
        <v>10</v>
      </c>
      <c r="O3511">
        <v>12.33</v>
      </c>
      <c r="P3511">
        <v>147283.01999999999</v>
      </c>
      <c r="Q3511">
        <v>95329.65</v>
      </c>
      <c r="R3511">
        <v>53</v>
      </c>
      <c r="S3511">
        <v>1622</v>
      </c>
      <c r="T3511" t="s">
        <v>108</v>
      </c>
      <c r="U3511" t="s">
        <v>57</v>
      </c>
    </row>
    <row r="3512" spans="1:21">
      <c r="A3512" t="s">
        <v>5513</v>
      </c>
      <c r="B3512" t="s">
        <v>5514</v>
      </c>
      <c r="C3512" t="s">
        <v>23</v>
      </c>
      <c r="D3512">
        <v>72000</v>
      </c>
      <c r="F3512">
        <v>72000</v>
      </c>
      <c r="H3512">
        <v>1</v>
      </c>
      <c r="I3512" t="s">
        <v>89</v>
      </c>
      <c r="J3512">
        <v>20</v>
      </c>
      <c r="K3512">
        <v>28</v>
      </c>
      <c r="L3512">
        <v>2</v>
      </c>
      <c r="M3512" t="s">
        <v>5502</v>
      </c>
      <c r="N3512">
        <v>9</v>
      </c>
      <c r="O3512">
        <v>12.33</v>
      </c>
      <c r="P3512">
        <v>147283.01999999999</v>
      </c>
      <c r="Q3512">
        <v>95329.65</v>
      </c>
      <c r="R3512">
        <v>53</v>
      </c>
      <c r="S3512">
        <v>1622</v>
      </c>
      <c r="T3512" t="s">
        <v>34</v>
      </c>
      <c r="U3512" t="s">
        <v>27</v>
      </c>
    </row>
    <row r="3513" spans="1:21">
      <c r="A3513" t="s">
        <v>5515</v>
      </c>
      <c r="B3513" t="s">
        <v>5516</v>
      </c>
      <c r="C3513" t="s">
        <v>23</v>
      </c>
      <c r="D3513">
        <v>113000</v>
      </c>
      <c r="E3513">
        <v>8000</v>
      </c>
      <c r="F3513">
        <v>113000</v>
      </c>
      <c r="G3513">
        <v>113000</v>
      </c>
      <c r="H3513">
        <v>6</v>
      </c>
      <c r="I3513" t="s">
        <v>89</v>
      </c>
      <c r="J3513">
        <v>25.34</v>
      </c>
      <c r="K3513">
        <v>21</v>
      </c>
      <c r="L3513">
        <v>14</v>
      </c>
      <c r="M3513" t="s">
        <v>5502</v>
      </c>
      <c r="N3513">
        <v>10</v>
      </c>
      <c r="O3513">
        <v>12.33</v>
      </c>
      <c r="P3513">
        <v>147283.01999999999</v>
      </c>
      <c r="Q3513">
        <v>95329.65</v>
      </c>
      <c r="R3513">
        <v>53</v>
      </c>
      <c r="S3513">
        <v>1622</v>
      </c>
      <c r="T3513" t="s">
        <v>34</v>
      </c>
      <c r="U3513" t="s">
        <v>27</v>
      </c>
    </row>
    <row r="3514" spans="1:21">
      <c r="A3514" t="s">
        <v>5517</v>
      </c>
      <c r="B3514" t="s">
        <v>5518</v>
      </c>
      <c r="C3514" t="s">
        <v>23</v>
      </c>
      <c r="D3514">
        <v>116000</v>
      </c>
      <c r="E3514">
        <v>3000</v>
      </c>
      <c r="F3514">
        <v>116000</v>
      </c>
      <c r="G3514">
        <v>116000</v>
      </c>
      <c r="H3514">
        <v>1</v>
      </c>
      <c r="I3514" t="s">
        <v>89</v>
      </c>
      <c r="J3514">
        <v>29.91</v>
      </c>
      <c r="K3514">
        <v>4</v>
      </c>
      <c r="L3514">
        <v>2</v>
      </c>
      <c r="M3514" t="s">
        <v>5502</v>
      </c>
      <c r="N3514">
        <v>10</v>
      </c>
      <c r="O3514">
        <v>12</v>
      </c>
      <c r="P3514">
        <v>147283.01999999999</v>
      </c>
      <c r="Q3514">
        <v>95329.65</v>
      </c>
      <c r="R3514">
        <v>53</v>
      </c>
      <c r="S3514">
        <v>1622</v>
      </c>
      <c r="T3514" t="s">
        <v>34</v>
      </c>
      <c r="U3514" t="s">
        <v>31</v>
      </c>
    </row>
    <row r="3515" spans="1:21">
      <c r="A3515" t="s">
        <v>5519</v>
      </c>
      <c r="B3515" t="s">
        <v>5520</v>
      </c>
      <c r="C3515" t="s">
        <v>23</v>
      </c>
      <c r="D3515">
        <v>159000</v>
      </c>
      <c r="E3515">
        <v>12000</v>
      </c>
      <c r="H3515">
        <v>11</v>
      </c>
      <c r="I3515" t="s">
        <v>89</v>
      </c>
      <c r="J3515">
        <v>32.4</v>
      </c>
      <c r="K3515">
        <v>21</v>
      </c>
      <c r="L3515">
        <v>11</v>
      </c>
      <c r="M3515" t="s">
        <v>5502</v>
      </c>
      <c r="N3515">
        <v>10</v>
      </c>
      <c r="O3515">
        <v>10.67</v>
      </c>
      <c r="P3515">
        <v>147283.01999999999</v>
      </c>
      <c r="Q3515">
        <v>95329.65</v>
      </c>
      <c r="R3515">
        <v>53</v>
      </c>
      <c r="S3515">
        <v>1622</v>
      </c>
      <c r="T3515" t="s">
        <v>26</v>
      </c>
      <c r="U3515" t="s">
        <v>27</v>
      </c>
    </row>
    <row r="3516" spans="1:21">
      <c r="A3516" t="s">
        <v>5521</v>
      </c>
      <c r="B3516" t="s">
        <v>5520</v>
      </c>
      <c r="C3516" t="s">
        <v>23</v>
      </c>
      <c r="D3516">
        <v>154000</v>
      </c>
      <c r="E3516">
        <v>12000</v>
      </c>
      <c r="H3516">
        <v>2</v>
      </c>
      <c r="I3516" t="s">
        <v>89</v>
      </c>
      <c r="J3516">
        <v>32.4</v>
      </c>
      <c r="K3516">
        <v>21</v>
      </c>
      <c r="L3516">
        <v>11</v>
      </c>
      <c r="M3516" t="s">
        <v>5502</v>
      </c>
      <c r="N3516">
        <v>10</v>
      </c>
      <c r="O3516">
        <v>10.67</v>
      </c>
      <c r="P3516">
        <v>147283.01999999999</v>
      </c>
      <c r="Q3516">
        <v>95329.65</v>
      </c>
      <c r="R3516">
        <v>53</v>
      </c>
      <c r="S3516">
        <v>1622</v>
      </c>
      <c r="T3516" t="s">
        <v>26</v>
      </c>
      <c r="U3516" t="s">
        <v>27</v>
      </c>
    </row>
    <row r="3517" spans="1:21">
      <c r="A3517" t="s">
        <v>5522</v>
      </c>
      <c r="B3517" t="s">
        <v>5520</v>
      </c>
      <c r="C3517" t="s">
        <v>23</v>
      </c>
      <c r="D3517">
        <v>156000</v>
      </c>
      <c r="E3517">
        <v>12000</v>
      </c>
      <c r="H3517">
        <v>6</v>
      </c>
      <c r="I3517" t="s">
        <v>89</v>
      </c>
      <c r="J3517">
        <v>30.12</v>
      </c>
      <c r="K3517">
        <v>21</v>
      </c>
      <c r="L3517">
        <v>11</v>
      </c>
      <c r="M3517" t="s">
        <v>5502</v>
      </c>
      <c r="N3517">
        <v>10</v>
      </c>
      <c r="O3517">
        <v>10.67</v>
      </c>
      <c r="P3517">
        <v>147283.01999999999</v>
      </c>
      <c r="Q3517">
        <v>95329.65</v>
      </c>
      <c r="R3517">
        <v>53</v>
      </c>
      <c r="S3517">
        <v>1622</v>
      </c>
      <c r="T3517" t="s">
        <v>26</v>
      </c>
      <c r="U3517" t="s">
        <v>27</v>
      </c>
    </row>
    <row r="3518" spans="1:21">
      <c r="A3518" t="s">
        <v>5523</v>
      </c>
      <c r="B3518" t="s">
        <v>5524</v>
      </c>
      <c r="C3518" t="s">
        <v>23</v>
      </c>
      <c r="D3518">
        <v>102000</v>
      </c>
      <c r="E3518">
        <v>3000</v>
      </c>
      <c r="F3518">
        <v>102000</v>
      </c>
      <c r="G3518">
        <v>102000</v>
      </c>
      <c r="H3518">
        <v>1</v>
      </c>
      <c r="I3518" t="s">
        <v>89</v>
      </c>
      <c r="J3518">
        <v>29.36</v>
      </c>
      <c r="K3518">
        <v>23</v>
      </c>
      <c r="L3518">
        <v>3</v>
      </c>
      <c r="M3518" t="s">
        <v>5502</v>
      </c>
      <c r="N3518">
        <v>8</v>
      </c>
      <c r="O3518">
        <v>12.33</v>
      </c>
      <c r="P3518">
        <v>147283.01999999999</v>
      </c>
      <c r="Q3518">
        <v>95329.65</v>
      </c>
      <c r="R3518">
        <v>53</v>
      </c>
      <c r="S3518">
        <v>1622</v>
      </c>
      <c r="T3518" t="s">
        <v>34</v>
      </c>
      <c r="U3518" t="s">
        <v>27</v>
      </c>
    </row>
    <row r="3519" spans="1:21">
      <c r="A3519" t="s">
        <v>5525</v>
      </c>
      <c r="B3519" t="s">
        <v>5524</v>
      </c>
      <c r="C3519" t="s">
        <v>23</v>
      </c>
      <c r="D3519">
        <v>103000</v>
      </c>
      <c r="E3519">
        <v>3000</v>
      </c>
      <c r="F3519">
        <v>103000</v>
      </c>
      <c r="G3519">
        <v>103000</v>
      </c>
      <c r="H3519">
        <v>2</v>
      </c>
      <c r="I3519" t="s">
        <v>89</v>
      </c>
      <c r="J3519">
        <v>25.6</v>
      </c>
      <c r="K3519">
        <v>23</v>
      </c>
      <c r="L3519">
        <v>3</v>
      </c>
      <c r="M3519" t="s">
        <v>5502</v>
      </c>
      <c r="N3519">
        <v>8</v>
      </c>
      <c r="O3519">
        <v>12.33</v>
      </c>
      <c r="P3519">
        <v>147283.01999999999</v>
      </c>
      <c r="Q3519">
        <v>95329.65</v>
      </c>
      <c r="R3519">
        <v>53</v>
      </c>
      <c r="S3519">
        <v>1622</v>
      </c>
      <c r="T3519" t="s">
        <v>34</v>
      </c>
      <c r="U3519" t="s">
        <v>27</v>
      </c>
    </row>
    <row r="3520" spans="1:21">
      <c r="A3520" t="s">
        <v>5526</v>
      </c>
      <c r="B3520" t="s">
        <v>5527</v>
      </c>
      <c r="C3520" t="s">
        <v>23</v>
      </c>
      <c r="D3520">
        <v>164000</v>
      </c>
      <c r="E3520">
        <v>12000</v>
      </c>
      <c r="G3520">
        <v>164000</v>
      </c>
      <c r="H3520">
        <v>1</v>
      </c>
      <c r="I3520" t="s">
        <v>89</v>
      </c>
      <c r="J3520">
        <v>25.11</v>
      </c>
      <c r="K3520">
        <v>2</v>
      </c>
      <c r="L3520">
        <v>4</v>
      </c>
      <c r="M3520" t="s">
        <v>5502</v>
      </c>
      <c r="N3520">
        <v>7</v>
      </c>
      <c r="O3520">
        <v>12.33</v>
      </c>
      <c r="P3520">
        <v>147283.01999999999</v>
      </c>
      <c r="Q3520">
        <v>95329.65</v>
      </c>
      <c r="R3520">
        <v>53</v>
      </c>
      <c r="S3520">
        <v>1622</v>
      </c>
      <c r="T3520" t="s">
        <v>34</v>
      </c>
      <c r="U3520" t="s">
        <v>31</v>
      </c>
    </row>
    <row r="3521" spans="1:21">
      <c r="A3521" t="s">
        <v>5528</v>
      </c>
      <c r="B3521" t="s">
        <v>5527</v>
      </c>
      <c r="C3521" t="s">
        <v>23</v>
      </c>
      <c r="D3521">
        <v>169000</v>
      </c>
      <c r="E3521">
        <v>12000</v>
      </c>
      <c r="G3521">
        <v>169000</v>
      </c>
      <c r="H3521">
        <v>4</v>
      </c>
      <c r="I3521" t="s">
        <v>89</v>
      </c>
      <c r="J3521">
        <v>25.11</v>
      </c>
      <c r="K3521">
        <v>2</v>
      </c>
      <c r="L3521">
        <v>4</v>
      </c>
      <c r="M3521" t="s">
        <v>5502</v>
      </c>
      <c r="N3521">
        <v>7</v>
      </c>
      <c r="O3521">
        <v>12.33</v>
      </c>
      <c r="P3521">
        <v>147283.01999999999</v>
      </c>
      <c r="Q3521">
        <v>95329.65</v>
      </c>
      <c r="R3521">
        <v>53</v>
      </c>
      <c r="S3521">
        <v>1622</v>
      </c>
      <c r="T3521" t="s">
        <v>34</v>
      </c>
      <c r="U3521" t="s">
        <v>31</v>
      </c>
    </row>
    <row r="3522" spans="1:21">
      <c r="A3522" t="s">
        <v>5529</v>
      </c>
      <c r="B3522" t="s">
        <v>5527</v>
      </c>
      <c r="C3522" t="s">
        <v>23</v>
      </c>
      <c r="D3522">
        <v>170000</v>
      </c>
      <c r="E3522">
        <v>12000</v>
      </c>
      <c r="G3522">
        <v>170000</v>
      </c>
      <c r="H3522">
        <v>4</v>
      </c>
      <c r="I3522" t="s">
        <v>89</v>
      </c>
      <c r="J3522">
        <v>26.33</v>
      </c>
      <c r="K3522">
        <v>2</v>
      </c>
      <c r="L3522">
        <v>4</v>
      </c>
      <c r="M3522" t="s">
        <v>5502</v>
      </c>
      <c r="N3522">
        <v>7</v>
      </c>
      <c r="O3522">
        <v>12.33</v>
      </c>
      <c r="P3522">
        <v>147283.01999999999</v>
      </c>
      <c r="Q3522">
        <v>95329.65</v>
      </c>
      <c r="R3522">
        <v>53</v>
      </c>
      <c r="S3522">
        <v>1622</v>
      </c>
      <c r="T3522" t="s">
        <v>34</v>
      </c>
      <c r="U3522" t="s">
        <v>31</v>
      </c>
    </row>
    <row r="3523" spans="1:21">
      <c r="A3523" t="s">
        <v>5530</v>
      </c>
      <c r="B3523" t="s">
        <v>5531</v>
      </c>
      <c r="C3523" t="s">
        <v>45</v>
      </c>
      <c r="D3523">
        <v>85000</v>
      </c>
      <c r="E3523">
        <v>3000</v>
      </c>
      <c r="F3523">
        <v>85000</v>
      </c>
      <c r="G3523">
        <v>85000</v>
      </c>
      <c r="H3523">
        <v>1</v>
      </c>
      <c r="I3523" t="s">
        <v>89</v>
      </c>
      <c r="J3523">
        <v>27.2</v>
      </c>
      <c r="K3523">
        <v>17</v>
      </c>
      <c r="L3523">
        <v>2</v>
      </c>
      <c r="M3523" t="s">
        <v>5502</v>
      </c>
      <c r="N3523">
        <v>10</v>
      </c>
      <c r="O3523">
        <v>13</v>
      </c>
      <c r="P3523">
        <v>147283.01999999999</v>
      </c>
      <c r="Q3523">
        <v>95329.65</v>
      </c>
      <c r="R3523">
        <v>53</v>
      </c>
      <c r="S3523">
        <v>1622</v>
      </c>
      <c r="T3523" t="s">
        <v>34</v>
      </c>
      <c r="U3523" t="s">
        <v>90</v>
      </c>
    </row>
    <row r="3524" spans="1:21">
      <c r="A3524" t="s">
        <v>5532</v>
      </c>
      <c r="B3524" t="s">
        <v>5533</v>
      </c>
      <c r="C3524" t="s">
        <v>45</v>
      </c>
      <c r="D3524">
        <v>75000</v>
      </c>
      <c r="E3524">
        <v>5000</v>
      </c>
      <c r="H3524">
        <v>5</v>
      </c>
      <c r="I3524" t="s">
        <v>89</v>
      </c>
      <c r="J3524">
        <v>18.88</v>
      </c>
      <c r="K3524">
        <v>38</v>
      </c>
      <c r="L3524">
        <v>5</v>
      </c>
      <c r="M3524" t="s">
        <v>5502</v>
      </c>
      <c r="N3524">
        <v>4</v>
      </c>
      <c r="O3524">
        <v>8.67</v>
      </c>
      <c r="P3524">
        <v>147283.01999999999</v>
      </c>
      <c r="Q3524">
        <v>95329.65</v>
      </c>
      <c r="R3524">
        <v>53</v>
      </c>
      <c r="S3524">
        <v>1622</v>
      </c>
      <c r="T3524" t="s">
        <v>108</v>
      </c>
      <c r="U3524" t="s">
        <v>49</v>
      </c>
    </row>
    <row r="3525" spans="1:21">
      <c r="A3525" t="s">
        <v>5534</v>
      </c>
      <c r="B3525" t="s">
        <v>5535</v>
      </c>
      <c r="C3525" t="s">
        <v>23</v>
      </c>
      <c r="D3525">
        <v>159000</v>
      </c>
      <c r="E3525">
        <v>12000</v>
      </c>
      <c r="H3525">
        <v>11</v>
      </c>
      <c r="I3525" t="s">
        <v>89</v>
      </c>
      <c r="J3525">
        <v>32.4</v>
      </c>
      <c r="K3525">
        <v>21</v>
      </c>
      <c r="L3525">
        <v>11</v>
      </c>
      <c r="M3525" t="s">
        <v>5502</v>
      </c>
      <c r="N3525">
        <v>10</v>
      </c>
      <c r="O3525">
        <v>13</v>
      </c>
      <c r="P3525">
        <v>147283.01999999999</v>
      </c>
      <c r="Q3525">
        <v>95329.65</v>
      </c>
      <c r="R3525">
        <v>53</v>
      </c>
      <c r="S3525">
        <v>1622</v>
      </c>
      <c r="T3525" t="s">
        <v>26</v>
      </c>
      <c r="U3525" t="s">
        <v>27</v>
      </c>
    </row>
    <row r="3526" spans="1:21">
      <c r="A3526" t="s">
        <v>5536</v>
      </c>
      <c r="B3526" t="s">
        <v>5535</v>
      </c>
      <c r="C3526" t="s">
        <v>23</v>
      </c>
      <c r="D3526">
        <v>154000</v>
      </c>
      <c r="E3526">
        <v>12000</v>
      </c>
      <c r="H3526">
        <v>2</v>
      </c>
      <c r="I3526" t="s">
        <v>89</v>
      </c>
      <c r="J3526">
        <v>32.4</v>
      </c>
      <c r="K3526">
        <v>21</v>
      </c>
      <c r="L3526">
        <v>11</v>
      </c>
      <c r="M3526" t="s">
        <v>5502</v>
      </c>
      <c r="N3526">
        <v>10</v>
      </c>
      <c r="O3526">
        <v>13</v>
      </c>
      <c r="P3526">
        <v>147283.01999999999</v>
      </c>
      <c r="Q3526">
        <v>95329.65</v>
      </c>
      <c r="R3526">
        <v>53</v>
      </c>
      <c r="S3526">
        <v>1622</v>
      </c>
      <c r="T3526" t="s">
        <v>26</v>
      </c>
      <c r="U3526" t="s">
        <v>27</v>
      </c>
    </row>
    <row r="3527" spans="1:21">
      <c r="A3527" t="s">
        <v>5537</v>
      </c>
      <c r="B3527" t="s">
        <v>5538</v>
      </c>
      <c r="C3527" t="s">
        <v>23</v>
      </c>
      <c r="D3527">
        <v>116000</v>
      </c>
      <c r="E3527">
        <v>3000</v>
      </c>
      <c r="F3527">
        <v>116000</v>
      </c>
      <c r="G3527">
        <v>116000</v>
      </c>
      <c r="H3527">
        <v>1</v>
      </c>
      <c r="I3527" t="s">
        <v>89</v>
      </c>
      <c r="J3527">
        <v>29.91</v>
      </c>
      <c r="K3527">
        <v>4</v>
      </c>
      <c r="L3527">
        <v>2</v>
      </c>
      <c r="M3527" t="s">
        <v>5502</v>
      </c>
      <c r="N3527">
        <v>10</v>
      </c>
      <c r="O3527">
        <v>12.33</v>
      </c>
      <c r="P3527">
        <v>147283.01999999999</v>
      </c>
      <c r="Q3527">
        <v>95329.65</v>
      </c>
      <c r="R3527">
        <v>53</v>
      </c>
      <c r="S3527">
        <v>1622</v>
      </c>
      <c r="T3527" t="s">
        <v>34</v>
      </c>
      <c r="U3527" t="s">
        <v>31</v>
      </c>
    </row>
    <row r="3528" spans="1:21">
      <c r="A3528" t="s">
        <v>5539</v>
      </c>
      <c r="B3528" t="s">
        <v>5540</v>
      </c>
      <c r="C3528" t="s">
        <v>23</v>
      </c>
      <c r="D3528">
        <v>102000</v>
      </c>
      <c r="E3528">
        <v>3000</v>
      </c>
      <c r="F3528">
        <v>102000</v>
      </c>
      <c r="G3528">
        <v>102000</v>
      </c>
      <c r="H3528">
        <v>1</v>
      </c>
      <c r="I3528" t="s">
        <v>89</v>
      </c>
      <c r="J3528">
        <v>29.36</v>
      </c>
      <c r="K3528">
        <v>22</v>
      </c>
      <c r="L3528">
        <v>3</v>
      </c>
      <c r="M3528" t="s">
        <v>5502</v>
      </c>
      <c r="N3528">
        <v>8</v>
      </c>
      <c r="O3528">
        <v>12.67</v>
      </c>
      <c r="P3528">
        <v>147283.01999999999</v>
      </c>
      <c r="Q3528">
        <v>95329.65</v>
      </c>
      <c r="R3528">
        <v>53</v>
      </c>
      <c r="S3528">
        <v>1622</v>
      </c>
      <c r="T3528" t="s">
        <v>34</v>
      </c>
      <c r="U3528" t="s">
        <v>27</v>
      </c>
    </row>
    <row r="3529" spans="1:21">
      <c r="A3529" t="s">
        <v>5541</v>
      </c>
      <c r="B3529" t="s">
        <v>5542</v>
      </c>
      <c r="C3529" t="s">
        <v>23</v>
      </c>
      <c r="D3529">
        <v>62000</v>
      </c>
      <c r="E3529">
        <v>3000</v>
      </c>
      <c r="F3529">
        <v>62000</v>
      </c>
      <c r="G3529">
        <v>62000</v>
      </c>
      <c r="H3529">
        <v>4</v>
      </c>
      <c r="I3529" t="s">
        <v>89</v>
      </c>
      <c r="J3529">
        <v>15.69</v>
      </c>
      <c r="K3529">
        <v>40</v>
      </c>
      <c r="L3529">
        <v>4</v>
      </c>
      <c r="M3529" t="s">
        <v>5502</v>
      </c>
      <c r="N3529">
        <v>5</v>
      </c>
      <c r="O3529">
        <v>11.67</v>
      </c>
      <c r="P3529">
        <v>147283.01999999999</v>
      </c>
      <c r="Q3529">
        <v>95329.65</v>
      </c>
      <c r="R3529">
        <v>53</v>
      </c>
      <c r="S3529">
        <v>1622</v>
      </c>
      <c r="T3529" t="s">
        <v>108</v>
      </c>
      <c r="U3529" t="s">
        <v>49</v>
      </c>
    </row>
    <row r="3530" spans="1:21">
      <c r="A3530" t="s">
        <v>5543</v>
      </c>
      <c r="B3530" t="s">
        <v>5544</v>
      </c>
      <c r="C3530" t="s">
        <v>45</v>
      </c>
      <c r="D3530">
        <v>119000</v>
      </c>
      <c r="E3530">
        <v>8000</v>
      </c>
      <c r="F3530">
        <v>119000</v>
      </c>
      <c r="G3530">
        <v>119000</v>
      </c>
      <c r="H3530">
        <v>1</v>
      </c>
      <c r="I3530" t="s">
        <v>89</v>
      </c>
      <c r="J3530">
        <v>25.65</v>
      </c>
      <c r="K3530">
        <v>8</v>
      </c>
      <c r="L3530">
        <v>4</v>
      </c>
      <c r="M3530" t="s">
        <v>5502</v>
      </c>
      <c r="N3530">
        <v>8</v>
      </c>
      <c r="O3530">
        <v>10</v>
      </c>
      <c r="P3530">
        <v>147283.01999999999</v>
      </c>
      <c r="Q3530">
        <v>95329.65</v>
      </c>
      <c r="R3530">
        <v>53</v>
      </c>
      <c r="S3530">
        <v>1622</v>
      </c>
      <c r="T3530" t="s">
        <v>34</v>
      </c>
      <c r="U3530" t="s">
        <v>31</v>
      </c>
    </row>
    <row r="3531" spans="1:21">
      <c r="A3531" t="s">
        <v>5545</v>
      </c>
      <c r="B3531" t="s">
        <v>5544</v>
      </c>
      <c r="C3531" t="s">
        <v>45</v>
      </c>
      <c r="D3531">
        <v>122000</v>
      </c>
      <c r="E3531">
        <v>8000</v>
      </c>
      <c r="F3531">
        <v>122000</v>
      </c>
      <c r="G3531">
        <v>122000</v>
      </c>
      <c r="H3531">
        <v>2</v>
      </c>
      <c r="I3531" t="s">
        <v>89</v>
      </c>
      <c r="J3531">
        <v>25.65</v>
      </c>
      <c r="K3531">
        <v>8</v>
      </c>
      <c r="L3531">
        <v>4</v>
      </c>
      <c r="M3531" t="s">
        <v>5502</v>
      </c>
      <c r="N3531">
        <v>8</v>
      </c>
      <c r="O3531">
        <v>10</v>
      </c>
      <c r="P3531">
        <v>147283.01999999999</v>
      </c>
      <c r="Q3531">
        <v>95329.65</v>
      </c>
      <c r="R3531">
        <v>53</v>
      </c>
      <c r="S3531">
        <v>1622</v>
      </c>
      <c r="T3531" t="s">
        <v>34</v>
      </c>
      <c r="U3531" t="s">
        <v>31</v>
      </c>
    </row>
    <row r="3532" spans="1:21">
      <c r="A3532" t="s">
        <v>5546</v>
      </c>
      <c r="B3532" t="s">
        <v>5547</v>
      </c>
      <c r="C3532" t="s">
        <v>23</v>
      </c>
      <c r="D3532">
        <v>193000</v>
      </c>
      <c r="F3532">
        <v>193000</v>
      </c>
      <c r="G3532">
        <v>193000</v>
      </c>
      <c r="H3532">
        <v>9</v>
      </c>
      <c r="I3532" t="s">
        <v>325</v>
      </c>
      <c r="J3532">
        <v>42.57</v>
      </c>
      <c r="K3532">
        <v>22</v>
      </c>
      <c r="L3532">
        <v>10</v>
      </c>
      <c r="M3532" t="s">
        <v>5502</v>
      </c>
      <c r="N3532">
        <v>6</v>
      </c>
      <c r="O3532">
        <v>11.67</v>
      </c>
      <c r="P3532">
        <v>147283.01999999999</v>
      </c>
      <c r="Q3532">
        <v>168453.81</v>
      </c>
      <c r="R3532">
        <v>53</v>
      </c>
      <c r="S3532">
        <v>788</v>
      </c>
      <c r="T3532" t="s">
        <v>326</v>
      </c>
      <c r="U3532" t="s">
        <v>27</v>
      </c>
    </row>
    <row r="3533" spans="1:21">
      <c r="A3533" t="s">
        <v>5548</v>
      </c>
      <c r="B3533" t="s">
        <v>5520</v>
      </c>
      <c r="C3533" t="s">
        <v>23</v>
      </c>
      <c r="D3533">
        <v>158000</v>
      </c>
      <c r="E3533">
        <v>12000</v>
      </c>
      <c r="H3533">
        <v>8</v>
      </c>
      <c r="I3533" t="s">
        <v>325</v>
      </c>
      <c r="J3533">
        <v>30.12</v>
      </c>
      <c r="K3533">
        <v>21</v>
      </c>
      <c r="L3533">
        <v>11</v>
      </c>
      <c r="M3533" t="s">
        <v>5502</v>
      </c>
      <c r="N3533">
        <v>10</v>
      </c>
      <c r="O3533">
        <v>10.67</v>
      </c>
      <c r="P3533">
        <v>147283.01999999999</v>
      </c>
      <c r="Q3533">
        <v>168453.81</v>
      </c>
      <c r="R3533">
        <v>53</v>
      </c>
      <c r="S3533">
        <v>788</v>
      </c>
      <c r="T3533" t="s">
        <v>26</v>
      </c>
      <c r="U3533" t="s">
        <v>27</v>
      </c>
    </row>
    <row r="3534" spans="1:21">
      <c r="A3534" t="s">
        <v>5549</v>
      </c>
      <c r="B3534" t="s">
        <v>5550</v>
      </c>
      <c r="C3534" t="s">
        <v>45</v>
      </c>
      <c r="D3534">
        <v>143000</v>
      </c>
      <c r="F3534">
        <v>286000</v>
      </c>
      <c r="G3534">
        <v>143000</v>
      </c>
      <c r="H3534">
        <v>2</v>
      </c>
      <c r="I3534" t="s">
        <v>325</v>
      </c>
      <c r="J3534">
        <v>47.65</v>
      </c>
      <c r="K3534">
        <v>36</v>
      </c>
      <c r="L3534">
        <v>3</v>
      </c>
      <c r="M3534" t="s">
        <v>5502</v>
      </c>
      <c r="N3534">
        <v>12</v>
      </c>
      <c r="O3534">
        <v>13</v>
      </c>
      <c r="P3534">
        <v>147283.01999999999</v>
      </c>
      <c r="Q3534">
        <v>168453.81</v>
      </c>
      <c r="R3534">
        <v>53</v>
      </c>
      <c r="S3534">
        <v>788</v>
      </c>
      <c r="T3534" t="s">
        <v>326</v>
      </c>
      <c r="U3534" t="s">
        <v>49</v>
      </c>
    </row>
    <row r="3535" spans="1:21">
      <c r="A3535" t="s">
        <v>5551</v>
      </c>
      <c r="B3535" t="s">
        <v>5527</v>
      </c>
      <c r="C3535" t="s">
        <v>23</v>
      </c>
      <c r="D3535">
        <v>232000</v>
      </c>
      <c r="E3535">
        <v>15000</v>
      </c>
      <c r="G3535">
        <v>232000</v>
      </c>
      <c r="H3535">
        <v>2</v>
      </c>
      <c r="I3535" t="s">
        <v>325</v>
      </c>
      <c r="J3535">
        <v>40</v>
      </c>
      <c r="K3535">
        <v>2</v>
      </c>
      <c r="L3535">
        <v>4</v>
      </c>
      <c r="M3535" t="s">
        <v>5502</v>
      </c>
      <c r="N3535">
        <v>7</v>
      </c>
      <c r="O3535">
        <v>12.33</v>
      </c>
      <c r="P3535">
        <v>147283.01999999999</v>
      </c>
      <c r="Q3535">
        <v>168453.81</v>
      </c>
      <c r="R3535">
        <v>53</v>
      </c>
      <c r="S3535">
        <v>788</v>
      </c>
      <c r="T3535" t="s">
        <v>326</v>
      </c>
      <c r="U3535" t="s">
        <v>31</v>
      </c>
    </row>
    <row r="3536" spans="1:21">
      <c r="A3536" t="s">
        <v>5552</v>
      </c>
      <c r="B3536" t="s">
        <v>5553</v>
      </c>
      <c r="C3536" t="s">
        <v>45</v>
      </c>
      <c r="D3536">
        <v>270000</v>
      </c>
      <c r="F3536">
        <v>540000</v>
      </c>
      <c r="H3536">
        <v>1</v>
      </c>
      <c r="I3536" t="s">
        <v>325</v>
      </c>
      <c r="J3536">
        <v>74.099999999999994</v>
      </c>
      <c r="K3536">
        <v>33</v>
      </c>
      <c r="L3536">
        <v>3</v>
      </c>
      <c r="M3536" t="s">
        <v>5502</v>
      </c>
      <c r="N3536">
        <v>8</v>
      </c>
      <c r="O3536">
        <v>9.33</v>
      </c>
      <c r="P3536">
        <v>147283.01999999999</v>
      </c>
      <c r="Q3536">
        <v>168453.81</v>
      </c>
      <c r="R3536">
        <v>53</v>
      </c>
      <c r="S3536">
        <v>788</v>
      </c>
      <c r="T3536" t="s">
        <v>596</v>
      </c>
      <c r="U3536" t="s">
        <v>49</v>
      </c>
    </row>
    <row r="3537" spans="1:21">
      <c r="A3537" t="s">
        <v>5554</v>
      </c>
      <c r="B3537" t="s">
        <v>5535</v>
      </c>
      <c r="C3537" t="s">
        <v>23</v>
      </c>
      <c r="D3537">
        <v>158000</v>
      </c>
      <c r="E3537">
        <v>12000</v>
      </c>
      <c r="H3537">
        <v>8</v>
      </c>
      <c r="I3537" t="s">
        <v>325</v>
      </c>
      <c r="J3537">
        <v>30.12</v>
      </c>
      <c r="K3537">
        <v>21</v>
      </c>
      <c r="L3537">
        <v>11</v>
      </c>
      <c r="M3537" t="s">
        <v>5502</v>
      </c>
      <c r="N3537">
        <v>10</v>
      </c>
      <c r="O3537">
        <v>13</v>
      </c>
      <c r="P3537">
        <v>147283.01999999999</v>
      </c>
      <c r="Q3537">
        <v>168453.81</v>
      </c>
      <c r="R3537">
        <v>53</v>
      </c>
      <c r="S3537">
        <v>788</v>
      </c>
      <c r="T3537" t="s">
        <v>26</v>
      </c>
      <c r="U3537" t="s">
        <v>27</v>
      </c>
    </row>
    <row r="3538" spans="1:21">
      <c r="A3538" t="s">
        <v>5555</v>
      </c>
      <c r="B3538" t="s">
        <v>5556</v>
      </c>
      <c r="C3538" t="s">
        <v>45</v>
      </c>
      <c r="D3538">
        <v>153000</v>
      </c>
      <c r="E3538">
        <v>11000</v>
      </c>
      <c r="F3538">
        <v>153000</v>
      </c>
      <c r="G3538">
        <v>153000</v>
      </c>
      <c r="H3538">
        <v>6</v>
      </c>
      <c r="I3538" t="s">
        <v>325</v>
      </c>
      <c r="J3538">
        <v>30.25</v>
      </c>
      <c r="K3538">
        <v>9</v>
      </c>
      <c r="L3538">
        <v>6</v>
      </c>
      <c r="M3538" t="s">
        <v>5502</v>
      </c>
      <c r="N3538">
        <v>7</v>
      </c>
      <c r="O3538">
        <v>9.67</v>
      </c>
      <c r="P3538">
        <v>147283.01999999999</v>
      </c>
      <c r="Q3538">
        <v>168453.81</v>
      </c>
      <c r="R3538">
        <v>53</v>
      </c>
      <c r="S3538">
        <v>788</v>
      </c>
      <c r="T3538" t="s">
        <v>26</v>
      </c>
      <c r="U3538" t="s">
        <v>31</v>
      </c>
    </row>
    <row r="3539" spans="1:21">
      <c r="A3539" t="s">
        <v>5557</v>
      </c>
      <c r="B3539" t="s">
        <v>5558</v>
      </c>
      <c r="C3539" t="s">
        <v>23</v>
      </c>
      <c r="D3539">
        <v>84000</v>
      </c>
      <c r="E3539">
        <v>5000</v>
      </c>
      <c r="F3539">
        <v>84000</v>
      </c>
      <c r="H3539">
        <v>4</v>
      </c>
      <c r="I3539" t="s">
        <v>432</v>
      </c>
      <c r="J3539">
        <v>28.88</v>
      </c>
      <c r="K3539">
        <v>41</v>
      </c>
      <c r="L3539">
        <v>4</v>
      </c>
      <c r="M3539" t="s">
        <v>5502</v>
      </c>
      <c r="N3539">
        <v>8</v>
      </c>
      <c r="O3539">
        <v>12.33</v>
      </c>
      <c r="P3539">
        <v>147283.01999999999</v>
      </c>
      <c r="Q3539">
        <v>77692.34</v>
      </c>
      <c r="R3539">
        <v>53</v>
      </c>
      <c r="S3539">
        <v>1071</v>
      </c>
      <c r="T3539" t="s">
        <v>34</v>
      </c>
      <c r="U3539" t="s">
        <v>42</v>
      </c>
    </row>
    <row r="3540" spans="1:21">
      <c r="A3540" t="s">
        <v>5559</v>
      </c>
      <c r="B3540" t="s">
        <v>5560</v>
      </c>
      <c r="C3540" t="s">
        <v>45</v>
      </c>
      <c r="D3540">
        <v>58000</v>
      </c>
      <c r="F3540">
        <v>58000</v>
      </c>
      <c r="G3540">
        <v>58000</v>
      </c>
      <c r="H3540">
        <v>2</v>
      </c>
      <c r="I3540" t="s">
        <v>432</v>
      </c>
      <c r="J3540">
        <v>13.25</v>
      </c>
      <c r="K3540">
        <v>42</v>
      </c>
      <c r="L3540">
        <v>5</v>
      </c>
      <c r="M3540" t="s">
        <v>5502</v>
      </c>
      <c r="N3540">
        <v>5</v>
      </c>
      <c r="O3540">
        <v>11</v>
      </c>
      <c r="P3540">
        <v>147283.01999999999</v>
      </c>
      <c r="Q3540">
        <v>77692.34</v>
      </c>
      <c r="R3540">
        <v>53</v>
      </c>
      <c r="S3540">
        <v>1071</v>
      </c>
      <c r="T3540" t="s">
        <v>108</v>
      </c>
      <c r="U3540" t="s">
        <v>42</v>
      </c>
    </row>
    <row r="3541" spans="1:21">
      <c r="A3541" t="s">
        <v>5561</v>
      </c>
      <c r="B3541" t="s">
        <v>5562</v>
      </c>
      <c r="C3541" t="s">
        <v>4534</v>
      </c>
      <c r="D3541">
        <v>107000</v>
      </c>
      <c r="E3541">
        <v>6000</v>
      </c>
      <c r="F3541">
        <v>107000</v>
      </c>
      <c r="G3541">
        <v>107000</v>
      </c>
      <c r="H3541">
        <v>1</v>
      </c>
      <c r="I3541" t="s">
        <v>432</v>
      </c>
      <c r="J3541">
        <v>32.83</v>
      </c>
      <c r="K3541">
        <v>17</v>
      </c>
      <c r="L3541">
        <v>2</v>
      </c>
      <c r="M3541" t="s">
        <v>5502</v>
      </c>
      <c r="N3541">
        <v>9</v>
      </c>
      <c r="O3541">
        <v>12.67</v>
      </c>
      <c r="P3541">
        <v>147283.01999999999</v>
      </c>
      <c r="Q3541">
        <v>77692.34</v>
      </c>
      <c r="R3541">
        <v>53</v>
      </c>
      <c r="S3541">
        <v>1071</v>
      </c>
      <c r="T3541" t="s">
        <v>26</v>
      </c>
      <c r="U3541" t="s">
        <v>90</v>
      </c>
    </row>
    <row r="3542" spans="1:21">
      <c r="A3542" t="s">
        <v>5563</v>
      </c>
      <c r="B3542" t="s">
        <v>5527</v>
      </c>
      <c r="C3542" t="s">
        <v>23</v>
      </c>
      <c r="D3542">
        <v>166000</v>
      </c>
      <c r="E3542">
        <v>12000</v>
      </c>
      <c r="H3542">
        <v>1</v>
      </c>
      <c r="I3542" t="s">
        <v>432</v>
      </c>
      <c r="J3542">
        <v>25.73</v>
      </c>
      <c r="K3542">
        <v>2</v>
      </c>
      <c r="L3542">
        <v>4</v>
      </c>
      <c r="M3542" t="s">
        <v>5502</v>
      </c>
      <c r="N3542">
        <v>7</v>
      </c>
      <c r="O3542">
        <v>12.33</v>
      </c>
      <c r="P3542">
        <v>147283.01999999999</v>
      </c>
      <c r="Q3542">
        <v>77692.34</v>
      </c>
      <c r="R3542">
        <v>53</v>
      </c>
      <c r="S3542">
        <v>1071</v>
      </c>
      <c r="T3542" t="s">
        <v>34</v>
      </c>
      <c r="U3542" t="s">
        <v>31</v>
      </c>
    </row>
    <row r="3543" spans="1:21">
      <c r="A3543" t="s">
        <v>5564</v>
      </c>
      <c r="B3543" t="s">
        <v>5527</v>
      </c>
      <c r="C3543" t="s">
        <v>23</v>
      </c>
      <c r="D3543">
        <v>164000</v>
      </c>
      <c r="E3543">
        <v>12000</v>
      </c>
      <c r="G3543">
        <v>164000</v>
      </c>
      <c r="H3543">
        <v>4</v>
      </c>
      <c r="I3543" t="s">
        <v>432</v>
      </c>
      <c r="J3543">
        <v>25.23</v>
      </c>
      <c r="K3543">
        <v>2</v>
      </c>
      <c r="L3543">
        <v>4</v>
      </c>
      <c r="M3543" t="s">
        <v>5502</v>
      </c>
      <c r="N3543">
        <v>7</v>
      </c>
      <c r="O3543">
        <v>12.33</v>
      </c>
      <c r="P3543">
        <v>147283.01999999999</v>
      </c>
      <c r="Q3543">
        <v>77692.34</v>
      </c>
      <c r="R3543">
        <v>53</v>
      </c>
      <c r="S3543">
        <v>1071</v>
      </c>
      <c r="T3543" t="s">
        <v>34</v>
      </c>
      <c r="U3543" t="s">
        <v>31</v>
      </c>
    </row>
    <row r="3544" spans="1:21">
      <c r="A3544" t="s">
        <v>5565</v>
      </c>
      <c r="B3544" t="s">
        <v>5527</v>
      </c>
      <c r="C3544" t="s">
        <v>23</v>
      </c>
      <c r="D3544">
        <v>172000</v>
      </c>
      <c r="E3544">
        <v>12000</v>
      </c>
      <c r="H3544">
        <v>4</v>
      </c>
      <c r="I3544" t="s">
        <v>432</v>
      </c>
      <c r="J3544">
        <v>25.23</v>
      </c>
      <c r="K3544">
        <v>2</v>
      </c>
      <c r="L3544">
        <v>4</v>
      </c>
      <c r="M3544" t="s">
        <v>5502</v>
      </c>
      <c r="N3544">
        <v>7</v>
      </c>
      <c r="O3544">
        <v>12.33</v>
      </c>
      <c r="P3544">
        <v>147283.01999999999</v>
      </c>
      <c r="Q3544">
        <v>77692.34</v>
      </c>
      <c r="R3544">
        <v>53</v>
      </c>
      <c r="S3544">
        <v>1071</v>
      </c>
      <c r="T3544" t="s">
        <v>34</v>
      </c>
      <c r="U3544" t="s">
        <v>31</v>
      </c>
    </row>
    <row r="3545" spans="1:21">
      <c r="A3545" t="s">
        <v>5566</v>
      </c>
      <c r="B3545" t="s">
        <v>5527</v>
      </c>
      <c r="C3545" t="s">
        <v>23</v>
      </c>
      <c r="D3545">
        <v>172000</v>
      </c>
      <c r="E3545">
        <v>12000</v>
      </c>
      <c r="H3545">
        <v>4</v>
      </c>
      <c r="I3545" t="s">
        <v>432</v>
      </c>
      <c r="J3545">
        <v>25</v>
      </c>
      <c r="K3545">
        <v>2</v>
      </c>
      <c r="L3545">
        <v>4</v>
      </c>
      <c r="M3545" t="s">
        <v>5502</v>
      </c>
      <c r="N3545">
        <v>7</v>
      </c>
      <c r="O3545">
        <v>12.33</v>
      </c>
      <c r="P3545">
        <v>147283.01999999999</v>
      </c>
      <c r="Q3545">
        <v>77692.34</v>
      </c>
      <c r="R3545">
        <v>53</v>
      </c>
      <c r="S3545">
        <v>1071</v>
      </c>
      <c r="T3545" t="s">
        <v>34</v>
      </c>
      <c r="U3545" t="s">
        <v>31</v>
      </c>
    </row>
    <row r="3546" spans="1:21">
      <c r="A3546" t="s">
        <v>5567</v>
      </c>
      <c r="B3546" t="s">
        <v>5568</v>
      </c>
      <c r="C3546" t="s">
        <v>45</v>
      </c>
      <c r="D3546">
        <v>77000</v>
      </c>
      <c r="E3546">
        <v>3000</v>
      </c>
      <c r="F3546">
        <v>77000</v>
      </c>
      <c r="G3546">
        <v>77000</v>
      </c>
      <c r="H3546">
        <v>1</v>
      </c>
      <c r="I3546" t="s">
        <v>432</v>
      </c>
      <c r="J3546">
        <v>18.27</v>
      </c>
      <c r="K3546">
        <v>16</v>
      </c>
      <c r="L3546">
        <v>3</v>
      </c>
      <c r="M3546" t="s">
        <v>5502</v>
      </c>
      <c r="N3546">
        <v>8</v>
      </c>
      <c r="O3546">
        <v>9.67</v>
      </c>
      <c r="P3546">
        <v>147283.01999999999</v>
      </c>
      <c r="Q3546">
        <v>77692.34</v>
      </c>
      <c r="R3546">
        <v>53</v>
      </c>
      <c r="S3546">
        <v>1071</v>
      </c>
      <c r="T3546" t="s">
        <v>108</v>
      </c>
      <c r="U3546" t="s">
        <v>90</v>
      </c>
    </row>
    <row r="3547" spans="1:21">
      <c r="A3547" t="s">
        <v>5569</v>
      </c>
      <c r="B3547" t="s">
        <v>5570</v>
      </c>
      <c r="C3547" t="s">
        <v>23</v>
      </c>
      <c r="D3547">
        <v>172000</v>
      </c>
      <c r="E3547">
        <v>12000</v>
      </c>
      <c r="G3547">
        <v>172000</v>
      </c>
      <c r="H3547">
        <v>4</v>
      </c>
      <c r="I3547" t="s">
        <v>432</v>
      </c>
      <c r="J3547">
        <v>25.23</v>
      </c>
      <c r="K3547">
        <v>1</v>
      </c>
      <c r="L3547">
        <v>4</v>
      </c>
      <c r="M3547" t="s">
        <v>5502</v>
      </c>
      <c r="N3547">
        <v>7</v>
      </c>
      <c r="O3547">
        <v>12</v>
      </c>
      <c r="P3547">
        <v>147283.01999999999</v>
      </c>
      <c r="Q3547">
        <v>77692.34</v>
      </c>
      <c r="R3547">
        <v>53</v>
      </c>
      <c r="S3547">
        <v>1071</v>
      </c>
      <c r="T3547" t="s">
        <v>34</v>
      </c>
      <c r="U3547" t="s">
        <v>31</v>
      </c>
    </row>
    <row r="3548" spans="1:21">
      <c r="A3548" t="s">
        <v>5571</v>
      </c>
      <c r="B3548" t="s">
        <v>5572</v>
      </c>
      <c r="C3548" t="s">
        <v>23</v>
      </c>
      <c r="D3548">
        <v>133000</v>
      </c>
      <c r="E3548">
        <v>5000</v>
      </c>
      <c r="G3548">
        <v>133000</v>
      </c>
      <c r="H3548">
        <v>2</v>
      </c>
      <c r="I3548" t="s">
        <v>1161</v>
      </c>
      <c r="J3548">
        <v>36.72</v>
      </c>
      <c r="K3548">
        <v>36</v>
      </c>
      <c r="L3548">
        <v>3</v>
      </c>
      <c r="M3548" t="s">
        <v>5502</v>
      </c>
      <c r="N3548">
        <v>10</v>
      </c>
      <c r="O3548">
        <v>10.33</v>
      </c>
      <c r="P3548">
        <v>147283.01999999999</v>
      </c>
      <c r="Q3548">
        <v>92000</v>
      </c>
      <c r="R3548">
        <v>53</v>
      </c>
      <c r="S3548">
        <v>9</v>
      </c>
      <c r="T3548" t="s">
        <v>26</v>
      </c>
      <c r="U3548" t="s">
        <v>49</v>
      </c>
    </row>
    <row r="3549" spans="1:21">
      <c r="A3549" t="s">
        <v>5573</v>
      </c>
      <c r="B3549" t="s">
        <v>5574</v>
      </c>
      <c r="C3549" t="s">
        <v>23</v>
      </c>
      <c r="D3549">
        <v>185000</v>
      </c>
      <c r="H3549">
        <v>1</v>
      </c>
      <c r="I3549" t="s">
        <v>559</v>
      </c>
      <c r="J3549">
        <v>44</v>
      </c>
      <c r="K3549">
        <v>10</v>
      </c>
      <c r="L3549">
        <v>10</v>
      </c>
      <c r="M3549" t="s">
        <v>5502</v>
      </c>
      <c r="N3549">
        <v>9</v>
      </c>
      <c r="O3549">
        <v>11.67</v>
      </c>
      <c r="P3549">
        <v>147283.01999999999</v>
      </c>
      <c r="Q3549">
        <v>141491.45000000001</v>
      </c>
      <c r="R3549">
        <v>53</v>
      </c>
      <c r="S3549">
        <v>117</v>
      </c>
      <c r="T3549" t="s">
        <v>326</v>
      </c>
      <c r="U3549" t="s">
        <v>31</v>
      </c>
    </row>
    <row r="3550" spans="1:21">
      <c r="A3550" t="s">
        <v>5573</v>
      </c>
      <c r="B3550" t="s">
        <v>5574</v>
      </c>
      <c r="C3550" t="s">
        <v>23</v>
      </c>
      <c r="D3550">
        <v>185000</v>
      </c>
      <c r="H3550">
        <v>2</v>
      </c>
      <c r="I3550" t="s">
        <v>559</v>
      </c>
      <c r="J3550">
        <v>44</v>
      </c>
      <c r="K3550">
        <v>10</v>
      </c>
      <c r="L3550">
        <v>10</v>
      </c>
      <c r="M3550" t="s">
        <v>5502</v>
      </c>
      <c r="N3550">
        <v>9</v>
      </c>
      <c r="O3550">
        <v>11.67</v>
      </c>
      <c r="P3550">
        <v>147283.01999999999</v>
      </c>
      <c r="Q3550">
        <v>141491.45000000001</v>
      </c>
      <c r="R3550">
        <v>53</v>
      </c>
      <c r="S3550">
        <v>117</v>
      </c>
      <c r="T3550" t="s">
        <v>326</v>
      </c>
      <c r="U3550" t="s">
        <v>31</v>
      </c>
    </row>
    <row r="3551" spans="1:21">
      <c r="A3551" t="s">
        <v>5575</v>
      </c>
      <c r="B3551" t="s">
        <v>5576</v>
      </c>
      <c r="C3551" t="s">
        <v>5577</v>
      </c>
      <c r="D3551">
        <v>230000</v>
      </c>
      <c r="E3551">
        <v>15000</v>
      </c>
      <c r="F3551">
        <v>230000</v>
      </c>
      <c r="G3551">
        <v>230000</v>
      </c>
      <c r="H3551">
        <v>5</v>
      </c>
      <c r="I3551" t="s">
        <v>585</v>
      </c>
      <c r="J3551">
        <v>63.07</v>
      </c>
      <c r="K3551">
        <v>29</v>
      </c>
      <c r="L3551">
        <v>7</v>
      </c>
      <c r="M3551" t="s">
        <v>5502</v>
      </c>
      <c r="N3551">
        <v>5</v>
      </c>
      <c r="O3551">
        <v>11.67</v>
      </c>
      <c r="P3551">
        <v>147283.01999999999</v>
      </c>
      <c r="Q3551">
        <v>232352.65</v>
      </c>
      <c r="R3551">
        <v>53</v>
      </c>
      <c r="S3551">
        <v>359</v>
      </c>
      <c r="T3551" t="s">
        <v>593</v>
      </c>
      <c r="U3551" t="s">
        <v>27</v>
      </c>
    </row>
    <row r="3552" spans="1:21">
      <c r="A3552" t="s">
        <v>5578</v>
      </c>
      <c r="B3552" t="s">
        <v>5579</v>
      </c>
      <c r="C3552" t="s">
        <v>23</v>
      </c>
      <c r="D3552">
        <v>260000</v>
      </c>
      <c r="E3552">
        <v>10000</v>
      </c>
      <c r="F3552">
        <v>260000</v>
      </c>
      <c r="G3552">
        <v>260000</v>
      </c>
      <c r="H3552">
        <v>5</v>
      </c>
      <c r="I3552" t="s">
        <v>585</v>
      </c>
      <c r="J3552">
        <v>53</v>
      </c>
      <c r="K3552">
        <v>20</v>
      </c>
      <c r="L3552">
        <v>12</v>
      </c>
      <c r="M3552" t="s">
        <v>5502</v>
      </c>
      <c r="N3552">
        <v>10</v>
      </c>
      <c r="O3552">
        <v>11.33</v>
      </c>
      <c r="P3552">
        <v>147283.01999999999</v>
      </c>
      <c r="Q3552">
        <v>232352.65</v>
      </c>
      <c r="R3552">
        <v>53</v>
      </c>
      <c r="S3552">
        <v>359</v>
      </c>
      <c r="T3552" t="s">
        <v>332</v>
      </c>
      <c r="U3552" t="s">
        <v>90</v>
      </c>
    </row>
    <row r="3553" spans="1:21">
      <c r="A3553" t="s">
        <v>5580</v>
      </c>
      <c r="B3553" t="s">
        <v>5550</v>
      </c>
      <c r="C3553" t="s">
        <v>45</v>
      </c>
      <c r="D3553">
        <v>180000</v>
      </c>
      <c r="F3553">
        <v>360000</v>
      </c>
      <c r="G3553">
        <v>180000</v>
      </c>
      <c r="H3553">
        <v>1</v>
      </c>
      <c r="I3553" t="s">
        <v>585</v>
      </c>
      <c r="J3553">
        <v>61.67</v>
      </c>
      <c r="K3553">
        <v>36</v>
      </c>
      <c r="L3553">
        <v>3</v>
      </c>
      <c r="M3553" t="s">
        <v>5502</v>
      </c>
      <c r="N3553">
        <v>12</v>
      </c>
      <c r="O3553">
        <v>13</v>
      </c>
      <c r="P3553">
        <v>147283.01999999999</v>
      </c>
      <c r="Q3553">
        <v>232352.65</v>
      </c>
      <c r="R3553">
        <v>53</v>
      </c>
      <c r="S3553">
        <v>359</v>
      </c>
      <c r="T3553" t="s">
        <v>593</v>
      </c>
      <c r="U3553" t="s">
        <v>49</v>
      </c>
    </row>
    <row r="3554" spans="1:21">
      <c r="A3554" t="s">
        <v>5581</v>
      </c>
      <c r="B3554" t="s">
        <v>5582</v>
      </c>
      <c r="C3554" t="s">
        <v>23</v>
      </c>
      <c r="D3554">
        <v>260000</v>
      </c>
      <c r="E3554">
        <v>10000</v>
      </c>
      <c r="F3554">
        <v>260000</v>
      </c>
      <c r="G3554">
        <v>260000</v>
      </c>
      <c r="H3554">
        <v>5</v>
      </c>
      <c r="I3554" t="s">
        <v>585</v>
      </c>
      <c r="J3554">
        <v>53</v>
      </c>
      <c r="K3554">
        <v>20</v>
      </c>
      <c r="L3554">
        <v>11</v>
      </c>
      <c r="M3554" t="s">
        <v>5502</v>
      </c>
      <c r="N3554">
        <v>10</v>
      </c>
      <c r="O3554">
        <v>11.33</v>
      </c>
      <c r="P3554">
        <v>147283.01999999999</v>
      </c>
      <c r="Q3554">
        <v>232352.65</v>
      </c>
      <c r="R3554">
        <v>53</v>
      </c>
      <c r="S3554">
        <v>359</v>
      </c>
      <c r="T3554" t="s">
        <v>332</v>
      </c>
      <c r="U3554" t="s">
        <v>90</v>
      </c>
    </row>
    <row r="3555" spans="1:21">
      <c r="A3555" t="s">
        <v>5583</v>
      </c>
      <c r="B3555" t="s">
        <v>5584</v>
      </c>
      <c r="C3555" t="s">
        <v>54</v>
      </c>
      <c r="D3555">
        <v>175000</v>
      </c>
      <c r="E3555">
        <v>10000</v>
      </c>
      <c r="H3555">
        <v>3</v>
      </c>
      <c r="I3555" t="s">
        <v>585</v>
      </c>
      <c r="J3555">
        <v>59.06</v>
      </c>
      <c r="K3555">
        <v>37</v>
      </c>
      <c r="L3555">
        <v>3</v>
      </c>
      <c r="M3555" t="s">
        <v>5502</v>
      </c>
      <c r="N3555">
        <v>12</v>
      </c>
      <c r="O3555">
        <v>12</v>
      </c>
      <c r="P3555">
        <v>147283.01999999999</v>
      </c>
      <c r="Q3555">
        <v>232352.65</v>
      </c>
      <c r="R3555">
        <v>53</v>
      </c>
      <c r="S3555">
        <v>359</v>
      </c>
      <c r="T3555" t="s">
        <v>332</v>
      </c>
      <c r="U3555" t="s">
        <v>49</v>
      </c>
    </row>
    <row r="3556" spans="1:21">
      <c r="A3556" t="s">
        <v>5585</v>
      </c>
      <c r="B3556" t="s">
        <v>5586</v>
      </c>
      <c r="C3556" t="s">
        <v>23</v>
      </c>
      <c r="D3556">
        <v>230000</v>
      </c>
      <c r="E3556">
        <v>5000</v>
      </c>
      <c r="F3556">
        <v>460000</v>
      </c>
      <c r="G3556">
        <v>230000</v>
      </c>
      <c r="H3556">
        <v>1</v>
      </c>
      <c r="I3556" t="s">
        <v>585</v>
      </c>
      <c r="J3556">
        <v>60.78</v>
      </c>
      <c r="K3556">
        <v>5</v>
      </c>
      <c r="L3556">
        <v>3</v>
      </c>
      <c r="M3556" t="s">
        <v>5502</v>
      </c>
      <c r="N3556">
        <v>7</v>
      </c>
      <c r="O3556">
        <v>12.33</v>
      </c>
      <c r="P3556">
        <v>147283.01999999999</v>
      </c>
      <c r="Q3556">
        <v>232352.65</v>
      </c>
      <c r="R3556">
        <v>53</v>
      </c>
      <c r="S3556">
        <v>359</v>
      </c>
      <c r="T3556" t="s">
        <v>593</v>
      </c>
      <c r="U3556" t="s">
        <v>31</v>
      </c>
    </row>
    <row r="3557" spans="1:21">
      <c r="A3557" t="s">
        <v>5587</v>
      </c>
      <c r="B3557" t="s">
        <v>5588</v>
      </c>
      <c r="C3557" t="s">
        <v>23</v>
      </c>
      <c r="D3557">
        <v>260000</v>
      </c>
      <c r="E3557">
        <v>10000</v>
      </c>
      <c r="F3557">
        <v>260000</v>
      </c>
      <c r="G3557">
        <v>260000</v>
      </c>
      <c r="H3557">
        <v>9</v>
      </c>
      <c r="I3557" t="s">
        <v>585</v>
      </c>
      <c r="J3557">
        <v>53</v>
      </c>
      <c r="K3557">
        <v>20</v>
      </c>
      <c r="L3557">
        <v>12</v>
      </c>
      <c r="M3557" t="s">
        <v>5502</v>
      </c>
      <c r="N3557">
        <v>10</v>
      </c>
      <c r="O3557">
        <v>12</v>
      </c>
      <c r="P3557">
        <v>147283.01999999999</v>
      </c>
      <c r="Q3557">
        <v>232352.65</v>
      </c>
      <c r="R3557">
        <v>53</v>
      </c>
      <c r="S3557">
        <v>359</v>
      </c>
      <c r="T3557" t="s">
        <v>332</v>
      </c>
      <c r="U3557" t="s">
        <v>90</v>
      </c>
    </row>
    <row r="3558" spans="1:21">
      <c r="A3558" t="s">
        <v>5589</v>
      </c>
      <c r="B3558" t="s">
        <v>5590</v>
      </c>
      <c r="C3558" t="s">
        <v>23</v>
      </c>
      <c r="D3558">
        <v>230000</v>
      </c>
      <c r="E3558">
        <v>5000</v>
      </c>
      <c r="F3558">
        <v>460000</v>
      </c>
      <c r="G3558">
        <v>230000</v>
      </c>
      <c r="H3558">
        <v>1</v>
      </c>
      <c r="I3558" t="s">
        <v>585</v>
      </c>
      <c r="J3558">
        <v>60.78</v>
      </c>
      <c r="K3558">
        <v>5</v>
      </c>
      <c r="L3558">
        <v>3</v>
      </c>
      <c r="M3558" t="s">
        <v>5502</v>
      </c>
      <c r="N3558">
        <v>7</v>
      </c>
      <c r="O3558">
        <v>12.33</v>
      </c>
      <c r="P3558">
        <v>147283.01999999999</v>
      </c>
      <c r="Q3558">
        <v>232352.65</v>
      </c>
      <c r="R3558">
        <v>53</v>
      </c>
      <c r="S3558">
        <v>359</v>
      </c>
      <c r="T3558" t="s">
        <v>593</v>
      </c>
      <c r="U3558" t="s">
        <v>31</v>
      </c>
    </row>
    <row r="3559" spans="1:21">
      <c r="A3559" t="s">
        <v>5591</v>
      </c>
      <c r="B3559" t="s">
        <v>5592</v>
      </c>
      <c r="C3559" t="s">
        <v>4547</v>
      </c>
      <c r="D3559">
        <v>110000</v>
      </c>
      <c r="E3559">
        <v>3000</v>
      </c>
      <c r="F3559">
        <v>110000</v>
      </c>
      <c r="G3559">
        <v>110000</v>
      </c>
      <c r="H3559">
        <v>1</v>
      </c>
      <c r="I3559" t="s">
        <v>432</v>
      </c>
      <c r="J3559">
        <v>31.06</v>
      </c>
      <c r="K3559">
        <v>13</v>
      </c>
      <c r="L3559">
        <v>3</v>
      </c>
      <c r="M3559" t="s">
        <v>5593</v>
      </c>
      <c r="N3559">
        <v>6</v>
      </c>
      <c r="O3559">
        <v>8</v>
      </c>
      <c r="P3559">
        <v>110000</v>
      </c>
      <c r="Q3559">
        <v>77692.34</v>
      </c>
      <c r="R3559">
        <v>1</v>
      </c>
      <c r="S3559">
        <v>1071</v>
      </c>
      <c r="T3559" t="s">
        <v>26</v>
      </c>
      <c r="U3559" t="s">
        <v>90</v>
      </c>
    </row>
    <row r="3560" spans="1:21">
      <c r="A3560" t="s">
        <v>5594</v>
      </c>
      <c r="B3560" t="s">
        <v>5595</v>
      </c>
      <c r="C3560" t="s">
        <v>2033</v>
      </c>
      <c r="D3560">
        <v>123000</v>
      </c>
      <c r="E3560">
        <v>12000</v>
      </c>
      <c r="F3560">
        <v>123000</v>
      </c>
      <c r="G3560">
        <v>123000</v>
      </c>
      <c r="H3560">
        <v>6</v>
      </c>
      <c r="I3560" t="s">
        <v>24</v>
      </c>
      <c r="J3560">
        <v>25.26</v>
      </c>
      <c r="K3560">
        <v>2</v>
      </c>
      <c r="L3560">
        <v>6</v>
      </c>
      <c r="M3560" t="s">
        <v>5596</v>
      </c>
      <c r="N3560">
        <v>9</v>
      </c>
      <c r="O3560">
        <v>13</v>
      </c>
      <c r="P3560">
        <v>122997.85</v>
      </c>
      <c r="Q3560">
        <v>123325.96</v>
      </c>
      <c r="R3560">
        <v>512</v>
      </c>
      <c r="S3560">
        <v>339</v>
      </c>
      <c r="T3560" t="s">
        <v>34</v>
      </c>
      <c r="U3560" t="s">
        <v>31</v>
      </c>
    </row>
    <row r="3561" spans="1:21">
      <c r="A3561" t="s">
        <v>5597</v>
      </c>
      <c r="B3561" t="s">
        <v>5598</v>
      </c>
      <c r="C3561" t="s">
        <v>4547</v>
      </c>
      <c r="D3561">
        <v>116000</v>
      </c>
      <c r="E3561">
        <v>5000</v>
      </c>
      <c r="H3561">
        <v>2</v>
      </c>
      <c r="I3561" t="s">
        <v>24</v>
      </c>
      <c r="J3561">
        <v>35</v>
      </c>
      <c r="K3561">
        <v>8</v>
      </c>
      <c r="L3561">
        <v>3</v>
      </c>
      <c r="M3561" t="s">
        <v>5596</v>
      </c>
      <c r="N3561">
        <v>8</v>
      </c>
      <c r="O3561">
        <v>10.67</v>
      </c>
      <c r="P3561">
        <v>122997.85</v>
      </c>
      <c r="Q3561">
        <v>123325.96</v>
      </c>
      <c r="R3561">
        <v>512</v>
      </c>
      <c r="S3561">
        <v>339</v>
      </c>
      <c r="T3561" t="s">
        <v>26</v>
      </c>
      <c r="U3561" t="s">
        <v>31</v>
      </c>
    </row>
    <row r="3562" spans="1:21">
      <c r="A3562" t="s">
        <v>5599</v>
      </c>
      <c r="B3562" t="s">
        <v>5600</v>
      </c>
      <c r="C3562" t="s">
        <v>5601</v>
      </c>
      <c r="D3562">
        <v>104000</v>
      </c>
      <c r="E3562">
        <v>5000</v>
      </c>
      <c r="F3562">
        <v>104000</v>
      </c>
      <c r="G3562">
        <v>104000</v>
      </c>
      <c r="H3562">
        <v>1</v>
      </c>
      <c r="I3562" t="s">
        <v>24</v>
      </c>
      <c r="J3562">
        <v>32.5</v>
      </c>
      <c r="K3562">
        <v>37</v>
      </c>
      <c r="L3562">
        <v>3</v>
      </c>
      <c r="M3562" t="s">
        <v>5596</v>
      </c>
      <c r="N3562">
        <v>5</v>
      </c>
      <c r="O3562">
        <v>11.67</v>
      </c>
      <c r="P3562">
        <v>122997.85</v>
      </c>
      <c r="Q3562">
        <v>123325.96</v>
      </c>
      <c r="R3562">
        <v>512</v>
      </c>
      <c r="S3562">
        <v>339</v>
      </c>
      <c r="T3562" t="s">
        <v>26</v>
      </c>
      <c r="U3562" t="s">
        <v>49</v>
      </c>
    </row>
    <row r="3563" spans="1:21">
      <c r="A3563" t="s">
        <v>5602</v>
      </c>
      <c r="B3563" t="s">
        <v>5603</v>
      </c>
      <c r="C3563" t="s">
        <v>4547</v>
      </c>
      <c r="D3563">
        <v>165000</v>
      </c>
      <c r="E3563">
        <v>7000</v>
      </c>
      <c r="F3563">
        <v>165000</v>
      </c>
      <c r="H3563">
        <v>1</v>
      </c>
      <c r="I3563" t="s">
        <v>24</v>
      </c>
      <c r="J3563">
        <v>33.79</v>
      </c>
      <c r="K3563">
        <v>1</v>
      </c>
      <c r="L3563">
        <v>3</v>
      </c>
      <c r="M3563" t="s">
        <v>5596</v>
      </c>
      <c r="N3563">
        <v>9</v>
      </c>
      <c r="O3563">
        <v>11.67</v>
      </c>
      <c r="P3563">
        <v>122997.85</v>
      </c>
      <c r="Q3563">
        <v>123325.96</v>
      </c>
      <c r="R3563">
        <v>512</v>
      </c>
      <c r="S3563">
        <v>339</v>
      </c>
      <c r="T3563" t="s">
        <v>26</v>
      </c>
      <c r="U3563" t="s">
        <v>31</v>
      </c>
    </row>
    <row r="3564" spans="1:21">
      <c r="A3564" t="s">
        <v>5604</v>
      </c>
      <c r="B3564" t="s">
        <v>5603</v>
      </c>
      <c r="C3564" t="s">
        <v>4547</v>
      </c>
      <c r="D3564">
        <v>170000</v>
      </c>
      <c r="E3564">
        <v>7000</v>
      </c>
      <c r="F3564">
        <v>170000</v>
      </c>
      <c r="H3564">
        <v>2</v>
      </c>
      <c r="I3564" t="s">
        <v>24</v>
      </c>
      <c r="J3564">
        <v>33.79</v>
      </c>
      <c r="K3564">
        <v>1</v>
      </c>
      <c r="L3564">
        <v>3</v>
      </c>
      <c r="M3564" t="s">
        <v>5596</v>
      </c>
      <c r="N3564">
        <v>9</v>
      </c>
      <c r="O3564">
        <v>11.67</v>
      </c>
      <c r="P3564">
        <v>122997.85</v>
      </c>
      <c r="Q3564">
        <v>123325.96</v>
      </c>
      <c r="R3564">
        <v>512</v>
      </c>
      <c r="S3564">
        <v>339</v>
      </c>
      <c r="T3564" t="s">
        <v>26</v>
      </c>
      <c r="U3564" t="s">
        <v>31</v>
      </c>
    </row>
    <row r="3565" spans="1:21">
      <c r="A3565" t="s">
        <v>5605</v>
      </c>
      <c r="B3565" t="s">
        <v>5603</v>
      </c>
      <c r="C3565" t="s">
        <v>4547</v>
      </c>
      <c r="D3565">
        <v>170000</v>
      </c>
      <c r="E3565">
        <v>7000</v>
      </c>
      <c r="F3565">
        <v>170000</v>
      </c>
      <c r="H3565">
        <v>3</v>
      </c>
      <c r="I3565" t="s">
        <v>24</v>
      </c>
      <c r="J3565">
        <v>33.79</v>
      </c>
      <c r="K3565">
        <v>1</v>
      </c>
      <c r="L3565">
        <v>3</v>
      </c>
      <c r="M3565" t="s">
        <v>5596</v>
      </c>
      <c r="N3565">
        <v>9</v>
      </c>
      <c r="O3565">
        <v>11.67</v>
      </c>
      <c r="P3565">
        <v>122997.85</v>
      </c>
      <c r="Q3565">
        <v>123325.96</v>
      </c>
      <c r="R3565">
        <v>512</v>
      </c>
      <c r="S3565">
        <v>339</v>
      </c>
      <c r="T3565" t="s">
        <v>26</v>
      </c>
      <c r="U3565" t="s">
        <v>31</v>
      </c>
    </row>
    <row r="3566" spans="1:21">
      <c r="A3566" t="s">
        <v>5606</v>
      </c>
      <c r="B3566" t="s">
        <v>5607</v>
      </c>
      <c r="C3566" t="s">
        <v>5608</v>
      </c>
      <c r="D3566">
        <v>130000</v>
      </c>
      <c r="E3566">
        <v>8000</v>
      </c>
      <c r="F3566">
        <v>130000</v>
      </c>
      <c r="G3566">
        <v>130000</v>
      </c>
      <c r="H3566">
        <v>1</v>
      </c>
      <c r="I3566" t="s">
        <v>24</v>
      </c>
      <c r="J3566">
        <v>30.42</v>
      </c>
      <c r="K3566">
        <v>7</v>
      </c>
      <c r="L3566">
        <v>7</v>
      </c>
      <c r="M3566" t="s">
        <v>5596</v>
      </c>
      <c r="N3566">
        <v>6</v>
      </c>
      <c r="O3566">
        <v>11.67</v>
      </c>
      <c r="P3566">
        <v>122997.85</v>
      </c>
      <c r="Q3566">
        <v>123325.96</v>
      </c>
      <c r="R3566">
        <v>512</v>
      </c>
      <c r="S3566">
        <v>339</v>
      </c>
      <c r="T3566" t="s">
        <v>26</v>
      </c>
      <c r="U3566" t="s">
        <v>31</v>
      </c>
    </row>
    <row r="3567" spans="1:21">
      <c r="A3567" t="s">
        <v>5609</v>
      </c>
      <c r="B3567" t="s">
        <v>5610</v>
      </c>
      <c r="C3567" t="s">
        <v>712</v>
      </c>
      <c r="D3567">
        <v>132000</v>
      </c>
      <c r="E3567">
        <v>10000</v>
      </c>
      <c r="F3567">
        <v>132000</v>
      </c>
      <c r="G3567">
        <v>132000</v>
      </c>
      <c r="H3567">
        <v>14</v>
      </c>
      <c r="I3567" t="s">
        <v>24</v>
      </c>
      <c r="J3567">
        <v>32.61</v>
      </c>
      <c r="K3567">
        <v>21</v>
      </c>
      <c r="L3567">
        <v>15</v>
      </c>
      <c r="M3567" t="s">
        <v>5596</v>
      </c>
      <c r="N3567">
        <v>8</v>
      </c>
      <c r="O3567">
        <v>10.33</v>
      </c>
      <c r="P3567">
        <v>122997.85</v>
      </c>
      <c r="Q3567">
        <v>123325.96</v>
      </c>
      <c r="R3567">
        <v>512</v>
      </c>
      <c r="S3567">
        <v>339</v>
      </c>
      <c r="T3567" t="s">
        <v>26</v>
      </c>
      <c r="U3567" t="s">
        <v>27</v>
      </c>
    </row>
    <row r="3568" spans="1:21">
      <c r="A3568" t="s">
        <v>5611</v>
      </c>
      <c r="B3568" t="s">
        <v>5612</v>
      </c>
      <c r="C3568" t="s">
        <v>2033</v>
      </c>
      <c r="D3568">
        <v>110000</v>
      </c>
      <c r="E3568">
        <v>13000</v>
      </c>
      <c r="F3568">
        <v>110000</v>
      </c>
      <c r="G3568">
        <v>110000</v>
      </c>
      <c r="H3568">
        <v>2</v>
      </c>
      <c r="I3568" t="s">
        <v>24</v>
      </c>
      <c r="J3568">
        <v>25.79</v>
      </c>
      <c r="K3568">
        <v>5</v>
      </c>
      <c r="L3568">
        <v>5</v>
      </c>
      <c r="M3568" t="s">
        <v>5596</v>
      </c>
      <c r="N3568">
        <v>11</v>
      </c>
      <c r="O3568">
        <v>15</v>
      </c>
      <c r="P3568">
        <v>122997.85</v>
      </c>
      <c r="Q3568">
        <v>123325.96</v>
      </c>
      <c r="R3568">
        <v>512</v>
      </c>
      <c r="S3568">
        <v>339</v>
      </c>
      <c r="T3568" t="s">
        <v>34</v>
      </c>
      <c r="U3568" t="s">
        <v>31</v>
      </c>
    </row>
    <row r="3569" spans="1:21">
      <c r="A3569" t="s">
        <v>5613</v>
      </c>
      <c r="B3569" t="s">
        <v>5614</v>
      </c>
      <c r="C3569" t="s">
        <v>4547</v>
      </c>
      <c r="D3569">
        <v>116000</v>
      </c>
      <c r="E3569">
        <v>5000</v>
      </c>
      <c r="H3569">
        <v>2</v>
      </c>
      <c r="I3569" t="s">
        <v>24</v>
      </c>
      <c r="J3569">
        <v>35</v>
      </c>
      <c r="K3569">
        <v>8</v>
      </c>
      <c r="L3569">
        <v>3</v>
      </c>
      <c r="M3569" t="s">
        <v>5596</v>
      </c>
      <c r="N3569">
        <v>8</v>
      </c>
      <c r="O3569">
        <v>15.67</v>
      </c>
      <c r="P3569">
        <v>122997.85</v>
      </c>
      <c r="Q3569">
        <v>123325.96</v>
      </c>
      <c r="R3569">
        <v>512</v>
      </c>
      <c r="S3569">
        <v>339</v>
      </c>
      <c r="T3569" t="s">
        <v>26</v>
      </c>
      <c r="U3569" t="s">
        <v>31</v>
      </c>
    </row>
    <row r="3570" spans="1:21">
      <c r="A3570" t="s">
        <v>5615</v>
      </c>
      <c r="B3570" t="s">
        <v>5616</v>
      </c>
      <c r="C3570" t="s">
        <v>4013</v>
      </c>
      <c r="D3570">
        <v>115000</v>
      </c>
      <c r="E3570">
        <v>10000</v>
      </c>
      <c r="G3570">
        <v>57500</v>
      </c>
      <c r="H3570">
        <v>1</v>
      </c>
      <c r="I3570" t="s">
        <v>24</v>
      </c>
      <c r="J3570">
        <v>30.07</v>
      </c>
      <c r="K3570">
        <v>6</v>
      </c>
      <c r="L3570">
        <v>4</v>
      </c>
      <c r="M3570" t="s">
        <v>5596</v>
      </c>
      <c r="N3570">
        <v>7</v>
      </c>
      <c r="O3570">
        <v>10.33</v>
      </c>
      <c r="P3570">
        <v>122997.85</v>
      </c>
      <c r="Q3570">
        <v>123325.96</v>
      </c>
      <c r="R3570">
        <v>512</v>
      </c>
      <c r="S3570">
        <v>339</v>
      </c>
      <c r="T3570" t="s">
        <v>26</v>
      </c>
      <c r="U3570" t="s">
        <v>31</v>
      </c>
    </row>
    <row r="3571" spans="1:21">
      <c r="A3571" t="s">
        <v>5617</v>
      </c>
      <c r="B3571" t="s">
        <v>5618</v>
      </c>
      <c r="C3571" t="s">
        <v>4356</v>
      </c>
      <c r="D3571">
        <v>115000</v>
      </c>
      <c r="F3571">
        <v>115000</v>
      </c>
      <c r="G3571">
        <v>115000</v>
      </c>
      <c r="H3571">
        <v>4</v>
      </c>
      <c r="I3571" t="s">
        <v>24</v>
      </c>
      <c r="J3571">
        <v>29.76</v>
      </c>
      <c r="K3571">
        <v>25</v>
      </c>
      <c r="L3571">
        <v>6</v>
      </c>
      <c r="M3571" t="s">
        <v>5596</v>
      </c>
      <c r="N3571">
        <v>8</v>
      </c>
      <c r="O3571">
        <v>10.33</v>
      </c>
      <c r="P3571">
        <v>122997.85</v>
      </c>
      <c r="Q3571">
        <v>123325.96</v>
      </c>
      <c r="R3571">
        <v>512</v>
      </c>
      <c r="S3571">
        <v>339</v>
      </c>
      <c r="T3571" t="s">
        <v>34</v>
      </c>
      <c r="U3571" t="s">
        <v>27</v>
      </c>
    </row>
    <row r="3572" spans="1:21">
      <c r="A3572" t="s">
        <v>5619</v>
      </c>
      <c r="B3572" t="s">
        <v>5618</v>
      </c>
      <c r="C3572" t="s">
        <v>4356</v>
      </c>
      <c r="D3572">
        <v>120000</v>
      </c>
      <c r="F3572">
        <v>120000</v>
      </c>
      <c r="G3572">
        <v>120000</v>
      </c>
      <c r="H3572">
        <v>4</v>
      </c>
      <c r="I3572" t="s">
        <v>24</v>
      </c>
      <c r="J3572">
        <v>29.7</v>
      </c>
      <c r="K3572">
        <v>25</v>
      </c>
      <c r="L3572">
        <v>6</v>
      </c>
      <c r="M3572" t="s">
        <v>5596</v>
      </c>
      <c r="N3572">
        <v>8</v>
      </c>
      <c r="O3572">
        <v>10.33</v>
      </c>
      <c r="P3572">
        <v>122997.85</v>
      </c>
      <c r="Q3572">
        <v>123325.96</v>
      </c>
      <c r="R3572">
        <v>512</v>
      </c>
      <c r="S3572">
        <v>339</v>
      </c>
      <c r="T3572" t="s">
        <v>34</v>
      </c>
      <c r="U3572" t="s">
        <v>27</v>
      </c>
    </row>
    <row r="3573" spans="1:21">
      <c r="A3573" t="s">
        <v>5620</v>
      </c>
      <c r="B3573" t="s">
        <v>5621</v>
      </c>
      <c r="C3573" t="s">
        <v>5608</v>
      </c>
      <c r="D3573">
        <v>121000</v>
      </c>
      <c r="E3573">
        <v>5000</v>
      </c>
      <c r="G3573">
        <v>121000</v>
      </c>
      <c r="H3573">
        <v>4</v>
      </c>
      <c r="I3573" t="s">
        <v>24</v>
      </c>
      <c r="J3573">
        <v>30.83</v>
      </c>
      <c r="K3573">
        <v>4</v>
      </c>
      <c r="L3573">
        <v>5</v>
      </c>
      <c r="M3573" t="s">
        <v>5596</v>
      </c>
      <c r="N3573">
        <v>7</v>
      </c>
      <c r="O3573">
        <v>12</v>
      </c>
      <c r="P3573">
        <v>122997.85</v>
      </c>
      <c r="Q3573">
        <v>123325.96</v>
      </c>
      <c r="R3573">
        <v>512</v>
      </c>
      <c r="S3573">
        <v>339</v>
      </c>
      <c r="T3573" t="s">
        <v>26</v>
      </c>
      <c r="U3573" t="s">
        <v>31</v>
      </c>
    </row>
    <row r="3574" spans="1:21">
      <c r="A3574" t="s">
        <v>5622</v>
      </c>
      <c r="B3574" t="s">
        <v>5623</v>
      </c>
      <c r="C3574" t="s">
        <v>712</v>
      </c>
      <c r="D3574">
        <v>125000</v>
      </c>
      <c r="E3574">
        <v>7000</v>
      </c>
      <c r="F3574">
        <v>125000</v>
      </c>
      <c r="H3574">
        <v>4</v>
      </c>
      <c r="I3574" t="s">
        <v>24</v>
      </c>
      <c r="J3574">
        <v>40.03</v>
      </c>
      <c r="K3574">
        <v>42</v>
      </c>
      <c r="L3574">
        <v>4</v>
      </c>
      <c r="M3574" t="s">
        <v>5596</v>
      </c>
      <c r="N3574">
        <v>11</v>
      </c>
      <c r="O3574">
        <v>11.67</v>
      </c>
      <c r="P3574">
        <v>122997.85</v>
      </c>
      <c r="Q3574">
        <v>123325.96</v>
      </c>
      <c r="R3574">
        <v>512</v>
      </c>
      <c r="S3574">
        <v>339</v>
      </c>
      <c r="T3574" t="s">
        <v>326</v>
      </c>
      <c r="U3574" t="s">
        <v>42</v>
      </c>
    </row>
    <row r="3575" spans="1:21">
      <c r="A3575" t="s">
        <v>5624</v>
      </c>
      <c r="B3575" t="s">
        <v>5625</v>
      </c>
      <c r="C3575" t="s">
        <v>2033</v>
      </c>
      <c r="D3575">
        <v>143000</v>
      </c>
      <c r="E3575">
        <v>10000</v>
      </c>
      <c r="F3575">
        <v>143000</v>
      </c>
      <c r="H3575">
        <v>4</v>
      </c>
      <c r="I3575" t="s">
        <v>24</v>
      </c>
      <c r="J3575">
        <v>26.99</v>
      </c>
      <c r="K3575">
        <v>0</v>
      </c>
      <c r="L3575">
        <v>9</v>
      </c>
      <c r="M3575" t="s">
        <v>5596</v>
      </c>
      <c r="N3575">
        <v>9</v>
      </c>
      <c r="O3575">
        <v>13.33</v>
      </c>
      <c r="P3575">
        <v>122997.85</v>
      </c>
      <c r="Q3575">
        <v>123325.96</v>
      </c>
      <c r="R3575">
        <v>512</v>
      </c>
      <c r="S3575">
        <v>339</v>
      </c>
      <c r="T3575" t="s">
        <v>34</v>
      </c>
      <c r="U3575" t="s">
        <v>81</v>
      </c>
    </row>
    <row r="3576" spans="1:21">
      <c r="A3576" t="s">
        <v>5626</v>
      </c>
      <c r="B3576" t="s">
        <v>5627</v>
      </c>
      <c r="C3576" t="s">
        <v>5608</v>
      </c>
      <c r="D3576">
        <v>111000</v>
      </c>
      <c r="E3576">
        <v>15000</v>
      </c>
      <c r="H3576">
        <v>1</v>
      </c>
      <c r="I3576" t="s">
        <v>24</v>
      </c>
      <c r="J3576">
        <v>25.1</v>
      </c>
      <c r="K3576">
        <v>4</v>
      </c>
      <c r="L3576">
        <v>5</v>
      </c>
      <c r="M3576" t="s">
        <v>5596</v>
      </c>
      <c r="N3576">
        <v>5</v>
      </c>
      <c r="O3576">
        <v>12.33</v>
      </c>
      <c r="P3576">
        <v>122997.85</v>
      </c>
      <c r="Q3576">
        <v>123325.96</v>
      </c>
      <c r="R3576">
        <v>512</v>
      </c>
      <c r="S3576">
        <v>339</v>
      </c>
      <c r="T3576" t="s">
        <v>34</v>
      </c>
      <c r="U3576" t="s">
        <v>31</v>
      </c>
    </row>
    <row r="3577" spans="1:21">
      <c r="A3577" t="s">
        <v>5628</v>
      </c>
      <c r="B3577" t="s">
        <v>5627</v>
      </c>
      <c r="C3577" t="s">
        <v>5608</v>
      </c>
      <c r="D3577">
        <v>113000</v>
      </c>
      <c r="E3577">
        <v>15000</v>
      </c>
      <c r="H3577">
        <v>5</v>
      </c>
      <c r="I3577" t="s">
        <v>24</v>
      </c>
      <c r="J3577">
        <v>25.1</v>
      </c>
      <c r="K3577">
        <v>4</v>
      </c>
      <c r="L3577">
        <v>5</v>
      </c>
      <c r="M3577" t="s">
        <v>5596</v>
      </c>
      <c r="N3577">
        <v>5</v>
      </c>
      <c r="O3577">
        <v>12.33</v>
      </c>
      <c r="P3577">
        <v>122997.85</v>
      </c>
      <c r="Q3577">
        <v>123325.96</v>
      </c>
      <c r="R3577">
        <v>512</v>
      </c>
      <c r="S3577">
        <v>339</v>
      </c>
      <c r="T3577" t="s">
        <v>34</v>
      </c>
      <c r="U3577" t="s">
        <v>31</v>
      </c>
    </row>
    <row r="3578" spans="1:21">
      <c r="A3578" t="s">
        <v>5629</v>
      </c>
      <c r="B3578" t="s">
        <v>5630</v>
      </c>
      <c r="C3578" t="s">
        <v>2033</v>
      </c>
      <c r="D3578">
        <v>115000</v>
      </c>
      <c r="E3578">
        <v>15000</v>
      </c>
      <c r="H3578">
        <v>2</v>
      </c>
      <c r="I3578" t="s">
        <v>24</v>
      </c>
      <c r="J3578">
        <v>29.94</v>
      </c>
      <c r="K3578">
        <v>2</v>
      </c>
      <c r="L3578">
        <v>5</v>
      </c>
      <c r="M3578" t="s">
        <v>5596</v>
      </c>
      <c r="N3578">
        <v>9</v>
      </c>
      <c r="O3578">
        <v>13</v>
      </c>
      <c r="P3578">
        <v>122997.85</v>
      </c>
      <c r="Q3578">
        <v>123325.96</v>
      </c>
      <c r="R3578">
        <v>512</v>
      </c>
      <c r="S3578">
        <v>339</v>
      </c>
      <c r="T3578" t="s">
        <v>34</v>
      </c>
      <c r="U3578" t="s">
        <v>31</v>
      </c>
    </row>
    <row r="3579" spans="1:21">
      <c r="A3579" t="s">
        <v>5631</v>
      </c>
      <c r="B3579" t="s">
        <v>5632</v>
      </c>
      <c r="C3579" t="s">
        <v>4016</v>
      </c>
      <c r="D3579">
        <v>75000</v>
      </c>
      <c r="E3579">
        <v>4000</v>
      </c>
      <c r="F3579">
        <v>75000</v>
      </c>
      <c r="H3579">
        <v>1</v>
      </c>
      <c r="I3579" t="s">
        <v>24</v>
      </c>
      <c r="J3579">
        <v>26.5</v>
      </c>
      <c r="K3579">
        <v>35</v>
      </c>
      <c r="L3579">
        <v>3</v>
      </c>
      <c r="M3579" t="s">
        <v>5596</v>
      </c>
      <c r="N3579">
        <v>5</v>
      </c>
      <c r="O3579">
        <v>10</v>
      </c>
      <c r="P3579">
        <v>122997.85</v>
      </c>
      <c r="Q3579">
        <v>123325.96</v>
      </c>
      <c r="R3579">
        <v>512</v>
      </c>
      <c r="S3579">
        <v>339</v>
      </c>
      <c r="T3579" t="s">
        <v>34</v>
      </c>
      <c r="U3579" t="s">
        <v>49</v>
      </c>
    </row>
    <row r="3580" spans="1:21">
      <c r="A3580" t="s">
        <v>5633</v>
      </c>
      <c r="B3580" t="s">
        <v>5634</v>
      </c>
      <c r="C3580" t="s">
        <v>5601</v>
      </c>
      <c r="D3580">
        <v>100000</v>
      </c>
      <c r="E3580">
        <v>2000</v>
      </c>
      <c r="F3580">
        <v>100000</v>
      </c>
      <c r="G3580">
        <v>100000</v>
      </c>
      <c r="H3580">
        <v>2</v>
      </c>
      <c r="I3580" t="s">
        <v>24</v>
      </c>
      <c r="J3580">
        <v>34</v>
      </c>
      <c r="K3580">
        <v>33</v>
      </c>
      <c r="L3580">
        <v>2</v>
      </c>
      <c r="M3580" t="s">
        <v>5596</v>
      </c>
      <c r="N3580">
        <v>10</v>
      </c>
      <c r="O3580">
        <v>13</v>
      </c>
      <c r="P3580">
        <v>122997.85</v>
      </c>
      <c r="Q3580">
        <v>123325.96</v>
      </c>
      <c r="R3580">
        <v>512</v>
      </c>
      <c r="S3580">
        <v>339</v>
      </c>
      <c r="T3580" t="s">
        <v>26</v>
      </c>
      <c r="U3580" t="s">
        <v>49</v>
      </c>
    </row>
    <row r="3581" spans="1:21">
      <c r="A3581" t="s">
        <v>5635</v>
      </c>
      <c r="B3581" t="s">
        <v>5636</v>
      </c>
      <c r="C3581" t="s">
        <v>4547</v>
      </c>
      <c r="D3581">
        <v>116000</v>
      </c>
      <c r="E3581">
        <v>5000</v>
      </c>
      <c r="H3581">
        <v>2</v>
      </c>
      <c r="I3581" t="s">
        <v>24</v>
      </c>
      <c r="J3581">
        <v>35</v>
      </c>
      <c r="K3581">
        <v>8</v>
      </c>
      <c r="L3581">
        <v>3</v>
      </c>
      <c r="M3581" t="s">
        <v>5596</v>
      </c>
      <c r="N3581">
        <v>8</v>
      </c>
      <c r="O3581">
        <v>15.67</v>
      </c>
      <c r="P3581">
        <v>122997.85</v>
      </c>
      <c r="Q3581">
        <v>123325.96</v>
      </c>
      <c r="R3581">
        <v>512</v>
      </c>
      <c r="S3581">
        <v>339</v>
      </c>
      <c r="T3581" t="s">
        <v>26</v>
      </c>
      <c r="U3581" t="s">
        <v>31</v>
      </c>
    </row>
    <row r="3582" spans="1:21">
      <c r="A3582" t="s">
        <v>5637</v>
      </c>
      <c r="B3582" t="s">
        <v>5638</v>
      </c>
      <c r="C3582" t="s">
        <v>2033</v>
      </c>
      <c r="D3582">
        <v>70000</v>
      </c>
      <c r="E3582">
        <v>2000</v>
      </c>
      <c r="F3582">
        <v>70000</v>
      </c>
      <c r="G3582">
        <v>70000</v>
      </c>
      <c r="H3582">
        <v>3</v>
      </c>
      <c r="I3582" t="s">
        <v>24</v>
      </c>
      <c r="J3582">
        <v>28</v>
      </c>
      <c r="K3582">
        <v>47</v>
      </c>
      <c r="L3582">
        <v>3</v>
      </c>
      <c r="M3582" t="s">
        <v>5596</v>
      </c>
      <c r="N3582">
        <v>9</v>
      </c>
      <c r="O3582">
        <v>13.33</v>
      </c>
      <c r="P3582">
        <v>122997.85</v>
      </c>
      <c r="Q3582">
        <v>123325.96</v>
      </c>
      <c r="R3582">
        <v>512</v>
      </c>
      <c r="S3582">
        <v>339</v>
      </c>
      <c r="T3582" t="s">
        <v>34</v>
      </c>
      <c r="U3582" t="s">
        <v>42</v>
      </c>
    </row>
    <row r="3583" spans="1:21">
      <c r="A3583" t="s">
        <v>5639</v>
      </c>
      <c r="B3583" t="s">
        <v>5640</v>
      </c>
      <c r="C3583" t="s">
        <v>5601</v>
      </c>
      <c r="D3583">
        <v>100000</v>
      </c>
      <c r="E3583">
        <v>2000</v>
      </c>
      <c r="F3583">
        <v>100000</v>
      </c>
      <c r="G3583">
        <v>100000</v>
      </c>
      <c r="H3583">
        <v>2</v>
      </c>
      <c r="I3583" t="s">
        <v>24</v>
      </c>
      <c r="J3583">
        <v>34</v>
      </c>
      <c r="K3583">
        <v>33</v>
      </c>
      <c r="L3583">
        <v>2</v>
      </c>
      <c r="M3583" t="s">
        <v>5596</v>
      </c>
      <c r="N3583">
        <v>10</v>
      </c>
      <c r="O3583">
        <v>13.33</v>
      </c>
      <c r="P3583">
        <v>122997.85</v>
      </c>
      <c r="Q3583">
        <v>123325.96</v>
      </c>
      <c r="R3583">
        <v>512</v>
      </c>
      <c r="S3583">
        <v>339</v>
      </c>
      <c r="T3583" t="s">
        <v>26</v>
      </c>
      <c r="U3583" t="s">
        <v>49</v>
      </c>
    </row>
    <row r="3584" spans="1:21">
      <c r="A3584" t="s">
        <v>5641</v>
      </c>
      <c r="B3584" t="s">
        <v>5642</v>
      </c>
      <c r="C3584" t="s">
        <v>4547</v>
      </c>
      <c r="D3584">
        <v>170000</v>
      </c>
      <c r="E3584">
        <v>7000</v>
      </c>
      <c r="F3584">
        <v>170000</v>
      </c>
      <c r="H3584">
        <v>3</v>
      </c>
      <c r="I3584" t="s">
        <v>24</v>
      </c>
      <c r="J3584">
        <v>33.79</v>
      </c>
      <c r="K3584">
        <v>0</v>
      </c>
      <c r="L3584">
        <v>3</v>
      </c>
      <c r="M3584" t="s">
        <v>5596</v>
      </c>
      <c r="N3584">
        <v>9</v>
      </c>
      <c r="O3584">
        <v>11.33</v>
      </c>
      <c r="P3584">
        <v>122997.85</v>
      </c>
      <c r="Q3584">
        <v>123325.96</v>
      </c>
      <c r="R3584">
        <v>512</v>
      </c>
      <c r="S3584">
        <v>339</v>
      </c>
      <c r="T3584" t="s">
        <v>26</v>
      </c>
      <c r="U3584" t="s">
        <v>81</v>
      </c>
    </row>
    <row r="3585" spans="1:21">
      <c r="A3585" t="s">
        <v>5643</v>
      </c>
      <c r="B3585" t="s">
        <v>5644</v>
      </c>
      <c r="C3585" t="s">
        <v>2033</v>
      </c>
      <c r="D3585">
        <v>70000</v>
      </c>
      <c r="E3585">
        <v>2000</v>
      </c>
      <c r="F3585">
        <v>70000</v>
      </c>
      <c r="G3585">
        <v>70000</v>
      </c>
      <c r="H3585">
        <v>3</v>
      </c>
      <c r="I3585" t="s">
        <v>24</v>
      </c>
      <c r="J3585">
        <v>28</v>
      </c>
      <c r="K3585">
        <v>47</v>
      </c>
      <c r="L3585">
        <v>3</v>
      </c>
      <c r="M3585" t="s">
        <v>5596</v>
      </c>
      <c r="N3585">
        <v>9</v>
      </c>
      <c r="O3585">
        <v>13.33</v>
      </c>
      <c r="P3585">
        <v>122997.85</v>
      </c>
      <c r="Q3585">
        <v>123325.96</v>
      </c>
      <c r="R3585">
        <v>512</v>
      </c>
      <c r="S3585">
        <v>339</v>
      </c>
      <c r="T3585" t="s">
        <v>34</v>
      </c>
      <c r="U3585" t="s">
        <v>42</v>
      </c>
    </row>
    <row r="3586" spans="1:21">
      <c r="A3586" t="s">
        <v>5645</v>
      </c>
      <c r="B3586" t="s">
        <v>5646</v>
      </c>
      <c r="C3586" t="s">
        <v>5608</v>
      </c>
      <c r="D3586">
        <v>113000</v>
      </c>
      <c r="E3586">
        <v>15000</v>
      </c>
      <c r="H3586">
        <v>5</v>
      </c>
      <c r="I3586" t="s">
        <v>24</v>
      </c>
      <c r="J3586">
        <v>25.1</v>
      </c>
      <c r="K3586">
        <v>3</v>
      </c>
      <c r="L3586">
        <v>5</v>
      </c>
      <c r="M3586" t="s">
        <v>5596</v>
      </c>
      <c r="N3586">
        <v>3</v>
      </c>
      <c r="O3586">
        <v>11.67</v>
      </c>
      <c r="P3586">
        <v>122997.85</v>
      </c>
      <c r="Q3586">
        <v>123325.96</v>
      </c>
      <c r="R3586">
        <v>512</v>
      </c>
      <c r="S3586">
        <v>339</v>
      </c>
      <c r="T3586" t="s">
        <v>34</v>
      </c>
      <c r="U3586" t="s">
        <v>31</v>
      </c>
    </row>
    <row r="3587" spans="1:21">
      <c r="A3587" t="s">
        <v>5647</v>
      </c>
      <c r="B3587" t="s">
        <v>5648</v>
      </c>
      <c r="C3587" t="s">
        <v>2033</v>
      </c>
      <c r="D3587">
        <v>110000</v>
      </c>
      <c r="E3587">
        <v>13000</v>
      </c>
      <c r="F3587">
        <v>110000</v>
      </c>
      <c r="G3587">
        <v>110000</v>
      </c>
      <c r="H3587">
        <v>2</v>
      </c>
      <c r="I3587" t="s">
        <v>24</v>
      </c>
      <c r="J3587">
        <v>25.79</v>
      </c>
      <c r="K3587">
        <v>5</v>
      </c>
      <c r="L3587">
        <v>5</v>
      </c>
      <c r="M3587" t="s">
        <v>5596</v>
      </c>
      <c r="N3587">
        <v>12</v>
      </c>
      <c r="O3587">
        <v>14</v>
      </c>
      <c r="P3587">
        <v>122997.85</v>
      </c>
      <c r="Q3587">
        <v>123325.96</v>
      </c>
      <c r="R3587">
        <v>512</v>
      </c>
      <c r="S3587">
        <v>339</v>
      </c>
      <c r="T3587" t="s">
        <v>34</v>
      </c>
      <c r="U3587" t="s">
        <v>31</v>
      </c>
    </row>
    <row r="3588" spans="1:21">
      <c r="A3588" t="s">
        <v>5649</v>
      </c>
      <c r="B3588" t="s">
        <v>5650</v>
      </c>
      <c r="C3588" t="s">
        <v>712</v>
      </c>
      <c r="D3588">
        <v>123000</v>
      </c>
      <c r="E3588">
        <v>15000</v>
      </c>
      <c r="H3588">
        <v>4</v>
      </c>
      <c r="I3588" t="s">
        <v>24</v>
      </c>
      <c r="J3588">
        <v>25.51</v>
      </c>
      <c r="K3588">
        <v>6</v>
      </c>
      <c r="L3588">
        <v>5</v>
      </c>
      <c r="M3588" t="s">
        <v>5596</v>
      </c>
      <c r="N3588">
        <v>10</v>
      </c>
      <c r="O3588">
        <v>11</v>
      </c>
      <c r="P3588">
        <v>122997.85</v>
      </c>
      <c r="Q3588">
        <v>123325.96</v>
      </c>
      <c r="R3588">
        <v>512</v>
      </c>
      <c r="S3588">
        <v>339</v>
      </c>
      <c r="T3588" t="s">
        <v>34</v>
      </c>
      <c r="U3588" t="s">
        <v>31</v>
      </c>
    </row>
    <row r="3589" spans="1:21">
      <c r="A3589" t="s">
        <v>5651</v>
      </c>
      <c r="B3589" t="s">
        <v>5652</v>
      </c>
      <c r="C3589" t="s">
        <v>4356</v>
      </c>
      <c r="D3589">
        <v>120000</v>
      </c>
      <c r="F3589">
        <v>120000</v>
      </c>
      <c r="G3589">
        <v>120000</v>
      </c>
      <c r="H3589">
        <v>3</v>
      </c>
      <c r="I3589" t="s">
        <v>24</v>
      </c>
      <c r="J3589">
        <v>29.76</v>
      </c>
      <c r="K3589">
        <v>25</v>
      </c>
      <c r="L3589">
        <v>6</v>
      </c>
      <c r="M3589" t="s">
        <v>5596</v>
      </c>
      <c r="N3589">
        <v>6</v>
      </c>
      <c r="O3589">
        <v>9</v>
      </c>
      <c r="P3589">
        <v>122997.85</v>
      </c>
      <c r="Q3589">
        <v>123325.96</v>
      </c>
      <c r="R3589">
        <v>512</v>
      </c>
      <c r="S3589">
        <v>339</v>
      </c>
      <c r="T3589" t="s">
        <v>34</v>
      </c>
      <c r="U3589" t="s">
        <v>27</v>
      </c>
    </row>
    <row r="3590" spans="1:21">
      <c r="A3590" t="s">
        <v>5653</v>
      </c>
      <c r="B3590" t="s">
        <v>5652</v>
      </c>
      <c r="C3590" t="s">
        <v>4356</v>
      </c>
      <c r="D3590">
        <v>115000</v>
      </c>
      <c r="F3590">
        <v>115000</v>
      </c>
      <c r="G3590">
        <v>115000</v>
      </c>
      <c r="H3590">
        <v>4</v>
      </c>
      <c r="I3590" t="s">
        <v>24</v>
      </c>
      <c r="J3590">
        <v>29.7</v>
      </c>
      <c r="K3590">
        <v>25</v>
      </c>
      <c r="L3590">
        <v>6</v>
      </c>
      <c r="M3590" t="s">
        <v>5596</v>
      </c>
      <c r="N3590">
        <v>6</v>
      </c>
      <c r="O3590">
        <v>9</v>
      </c>
      <c r="P3590">
        <v>122997.85</v>
      </c>
      <c r="Q3590">
        <v>123325.96</v>
      </c>
      <c r="R3590">
        <v>512</v>
      </c>
      <c r="S3590">
        <v>339</v>
      </c>
      <c r="T3590" t="s">
        <v>34</v>
      </c>
      <c r="U3590" t="s">
        <v>27</v>
      </c>
    </row>
    <row r="3591" spans="1:21">
      <c r="A3591" t="s">
        <v>5654</v>
      </c>
      <c r="B3591" t="s">
        <v>5652</v>
      </c>
      <c r="C3591" t="s">
        <v>4356</v>
      </c>
      <c r="D3591">
        <v>120000</v>
      </c>
      <c r="F3591">
        <v>120000</v>
      </c>
      <c r="G3591">
        <v>120000</v>
      </c>
      <c r="H3591">
        <v>4</v>
      </c>
      <c r="I3591" t="s">
        <v>24</v>
      </c>
      <c r="J3591">
        <v>34</v>
      </c>
      <c r="K3591">
        <v>25</v>
      </c>
      <c r="L3591">
        <v>6</v>
      </c>
      <c r="M3591" t="s">
        <v>5596</v>
      </c>
      <c r="N3591">
        <v>6</v>
      </c>
      <c r="O3591">
        <v>9</v>
      </c>
      <c r="P3591">
        <v>122997.85</v>
      </c>
      <c r="Q3591">
        <v>123325.96</v>
      </c>
      <c r="R3591">
        <v>512</v>
      </c>
      <c r="S3591">
        <v>339</v>
      </c>
      <c r="T3591" t="s">
        <v>26</v>
      </c>
      <c r="U3591" t="s">
        <v>27</v>
      </c>
    </row>
    <row r="3592" spans="1:21">
      <c r="A3592" t="s">
        <v>5655</v>
      </c>
      <c r="B3592" t="s">
        <v>5656</v>
      </c>
      <c r="C3592" t="s">
        <v>2033</v>
      </c>
      <c r="D3592">
        <v>115000</v>
      </c>
      <c r="E3592">
        <v>15000</v>
      </c>
      <c r="H3592">
        <v>2</v>
      </c>
      <c r="I3592" t="s">
        <v>24</v>
      </c>
      <c r="J3592">
        <v>29.94</v>
      </c>
      <c r="K3592">
        <v>2</v>
      </c>
      <c r="L3592">
        <v>5</v>
      </c>
      <c r="M3592" t="s">
        <v>5596</v>
      </c>
      <c r="N3592">
        <v>9</v>
      </c>
      <c r="O3592">
        <v>13</v>
      </c>
      <c r="P3592">
        <v>122997.85</v>
      </c>
      <c r="Q3592">
        <v>123325.96</v>
      </c>
      <c r="R3592">
        <v>512</v>
      </c>
      <c r="S3592">
        <v>339</v>
      </c>
      <c r="T3592" t="s">
        <v>34</v>
      </c>
      <c r="U3592" t="s">
        <v>31</v>
      </c>
    </row>
    <row r="3593" spans="1:21">
      <c r="A3593" t="s">
        <v>5657</v>
      </c>
      <c r="B3593" t="s">
        <v>5656</v>
      </c>
      <c r="C3593" t="s">
        <v>2033</v>
      </c>
      <c r="D3593">
        <v>100000</v>
      </c>
      <c r="E3593">
        <v>15000</v>
      </c>
      <c r="H3593">
        <v>4</v>
      </c>
      <c r="I3593" t="s">
        <v>24</v>
      </c>
      <c r="J3593">
        <v>25.27</v>
      </c>
      <c r="K3593">
        <v>2</v>
      </c>
      <c r="L3593">
        <v>5</v>
      </c>
      <c r="M3593" t="s">
        <v>5596</v>
      </c>
      <c r="N3593">
        <v>9</v>
      </c>
      <c r="O3593">
        <v>13</v>
      </c>
      <c r="P3593">
        <v>122997.85</v>
      </c>
      <c r="Q3593">
        <v>123325.96</v>
      </c>
      <c r="R3593">
        <v>512</v>
      </c>
      <c r="S3593">
        <v>339</v>
      </c>
      <c r="T3593" t="s">
        <v>34</v>
      </c>
      <c r="U3593" t="s">
        <v>31</v>
      </c>
    </row>
    <row r="3594" spans="1:21">
      <c r="A3594" t="s">
        <v>5658</v>
      </c>
      <c r="B3594" t="s">
        <v>5659</v>
      </c>
      <c r="C3594" t="s">
        <v>5608</v>
      </c>
      <c r="D3594">
        <v>121000</v>
      </c>
      <c r="E3594">
        <v>5000</v>
      </c>
      <c r="G3594">
        <v>121000</v>
      </c>
      <c r="H3594">
        <v>4</v>
      </c>
      <c r="I3594" t="s">
        <v>24</v>
      </c>
      <c r="J3594">
        <v>30.83</v>
      </c>
      <c r="K3594">
        <v>4</v>
      </c>
      <c r="L3594">
        <v>5</v>
      </c>
      <c r="M3594" t="s">
        <v>5596</v>
      </c>
      <c r="N3594">
        <v>7</v>
      </c>
      <c r="O3594">
        <v>12</v>
      </c>
      <c r="P3594">
        <v>122997.85</v>
      </c>
      <c r="Q3594">
        <v>123325.96</v>
      </c>
      <c r="R3594">
        <v>512</v>
      </c>
      <c r="S3594">
        <v>339</v>
      </c>
      <c r="T3594" t="s">
        <v>26</v>
      </c>
      <c r="U3594" t="s">
        <v>31</v>
      </c>
    </row>
    <row r="3595" spans="1:21">
      <c r="A3595" t="s">
        <v>5660</v>
      </c>
      <c r="B3595" t="s">
        <v>5661</v>
      </c>
      <c r="C3595" t="s">
        <v>4356</v>
      </c>
      <c r="D3595">
        <v>55000</v>
      </c>
      <c r="F3595">
        <v>55000</v>
      </c>
      <c r="H3595">
        <v>3</v>
      </c>
      <c r="I3595" t="s">
        <v>24</v>
      </c>
      <c r="J3595">
        <v>19</v>
      </c>
      <c r="K3595">
        <v>54</v>
      </c>
      <c r="L3595">
        <v>4</v>
      </c>
      <c r="M3595" t="s">
        <v>5596</v>
      </c>
      <c r="N3595">
        <v>7</v>
      </c>
      <c r="O3595">
        <v>10</v>
      </c>
      <c r="P3595">
        <v>122997.85</v>
      </c>
      <c r="Q3595">
        <v>123325.96</v>
      </c>
      <c r="R3595">
        <v>512</v>
      </c>
      <c r="S3595">
        <v>339</v>
      </c>
      <c r="T3595" t="s">
        <v>108</v>
      </c>
      <c r="U3595" t="s">
        <v>57</v>
      </c>
    </row>
    <row r="3596" spans="1:21">
      <c r="A3596" t="s">
        <v>5662</v>
      </c>
      <c r="B3596" t="s">
        <v>5663</v>
      </c>
      <c r="C3596" t="s">
        <v>4027</v>
      </c>
      <c r="D3596">
        <v>126000</v>
      </c>
      <c r="E3596">
        <v>5000</v>
      </c>
      <c r="F3596">
        <v>126000</v>
      </c>
      <c r="G3596">
        <v>126000</v>
      </c>
      <c r="H3596">
        <v>1</v>
      </c>
      <c r="I3596" t="s">
        <v>24</v>
      </c>
      <c r="J3596">
        <v>37.68</v>
      </c>
      <c r="K3596">
        <v>19</v>
      </c>
      <c r="L3596">
        <v>2</v>
      </c>
      <c r="M3596" t="s">
        <v>5596</v>
      </c>
      <c r="N3596">
        <v>9</v>
      </c>
      <c r="O3596">
        <v>12.67</v>
      </c>
      <c r="P3596">
        <v>122997.85</v>
      </c>
      <c r="Q3596">
        <v>123325.96</v>
      </c>
      <c r="R3596">
        <v>512</v>
      </c>
      <c r="S3596">
        <v>339</v>
      </c>
      <c r="T3596" t="s">
        <v>26</v>
      </c>
      <c r="U3596" t="s">
        <v>90</v>
      </c>
    </row>
    <row r="3597" spans="1:21">
      <c r="A3597" t="s">
        <v>5664</v>
      </c>
      <c r="B3597" t="s">
        <v>5665</v>
      </c>
      <c r="C3597" t="s">
        <v>4027</v>
      </c>
      <c r="D3597">
        <v>92000</v>
      </c>
      <c r="E3597">
        <v>7000</v>
      </c>
      <c r="F3597">
        <v>92000</v>
      </c>
      <c r="H3597">
        <v>1</v>
      </c>
      <c r="I3597" t="s">
        <v>89</v>
      </c>
      <c r="J3597">
        <v>25.04</v>
      </c>
      <c r="K3597">
        <v>7</v>
      </c>
      <c r="L3597">
        <v>3</v>
      </c>
      <c r="M3597" t="s">
        <v>5596</v>
      </c>
      <c r="N3597">
        <v>12</v>
      </c>
      <c r="O3597">
        <v>13.33</v>
      </c>
      <c r="P3597">
        <v>122997.85</v>
      </c>
      <c r="Q3597">
        <v>95329.65</v>
      </c>
      <c r="R3597">
        <v>512</v>
      </c>
      <c r="S3597">
        <v>1622</v>
      </c>
      <c r="T3597" t="s">
        <v>34</v>
      </c>
      <c r="U3597" t="s">
        <v>31</v>
      </c>
    </row>
    <row r="3598" spans="1:21">
      <c r="A3598" t="s">
        <v>5666</v>
      </c>
      <c r="B3598" t="s">
        <v>5667</v>
      </c>
      <c r="C3598" t="s">
        <v>5608</v>
      </c>
      <c r="D3598">
        <v>105000</v>
      </c>
      <c r="E3598">
        <v>10000</v>
      </c>
      <c r="H3598">
        <v>1</v>
      </c>
      <c r="I3598" t="s">
        <v>89</v>
      </c>
      <c r="J3598">
        <v>25.52</v>
      </c>
      <c r="K3598">
        <v>6</v>
      </c>
      <c r="L3598">
        <v>4</v>
      </c>
      <c r="M3598" t="s">
        <v>5596</v>
      </c>
      <c r="N3598">
        <v>7</v>
      </c>
      <c r="O3598">
        <v>13.67</v>
      </c>
      <c r="P3598">
        <v>122997.85</v>
      </c>
      <c r="Q3598">
        <v>95329.65</v>
      </c>
      <c r="R3598">
        <v>512</v>
      </c>
      <c r="S3598">
        <v>1622</v>
      </c>
      <c r="T3598" t="s">
        <v>34</v>
      </c>
      <c r="U3598" t="s">
        <v>31</v>
      </c>
    </row>
    <row r="3599" spans="1:21">
      <c r="A3599" t="s">
        <v>5668</v>
      </c>
      <c r="B3599" t="s">
        <v>5667</v>
      </c>
      <c r="C3599" t="s">
        <v>5608</v>
      </c>
      <c r="D3599">
        <v>136000</v>
      </c>
      <c r="E3599">
        <v>11000</v>
      </c>
      <c r="G3599">
        <v>136000</v>
      </c>
      <c r="H3599">
        <v>2</v>
      </c>
      <c r="I3599" t="s">
        <v>89</v>
      </c>
      <c r="J3599">
        <v>25.33</v>
      </c>
      <c r="K3599">
        <v>6</v>
      </c>
      <c r="L3599">
        <v>4</v>
      </c>
      <c r="M3599" t="s">
        <v>5596</v>
      </c>
      <c r="N3599">
        <v>7</v>
      </c>
      <c r="O3599">
        <v>13.67</v>
      </c>
      <c r="P3599">
        <v>122997.85</v>
      </c>
      <c r="Q3599">
        <v>95329.65</v>
      </c>
      <c r="R3599">
        <v>512</v>
      </c>
      <c r="S3599">
        <v>1622</v>
      </c>
      <c r="T3599" t="s">
        <v>34</v>
      </c>
      <c r="U3599" t="s">
        <v>31</v>
      </c>
    </row>
    <row r="3600" spans="1:21">
      <c r="A3600" t="s">
        <v>5669</v>
      </c>
      <c r="B3600" t="s">
        <v>5670</v>
      </c>
      <c r="C3600" t="s">
        <v>4013</v>
      </c>
      <c r="D3600">
        <v>64000</v>
      </c>
      <c r="E3600">
        <v>2000</v>
      </c>
      <c r="F3600">
        <v>64000</v>
      </c>
      <c r="G3600">
        <v>64000</v>
      </c>
      <c r="H3600">
        <v>2</v>
      </c>
      <c r="I3600" t="s">
        <v>89</v>
      </c>
      <c r="J3600">
        <v>23.1</v>
      </c>
      <c r="K3600">
        <v>34</v>
      </c>
      <c r="L3600">
        <v>2</v>
      </c>
      <c r="M3600" t="s">
        <v>5596</v>
      </c>
      <c r="N3600">
        <v>3</v>
      </c>
      <c r="O3600">
        <v>8.67</v>
      </c>
      <c r="P3600">
        <v>122997.85</v>
      </c>
      <c r="Q3600">
        <v>95329.65</v>
      </c>
      <c r="R3600">
        <v>512</v>
      </c>
      <c r="S3600">
        <v>1622</v>
      </c>
      <c r="T3600" t="s">
        <v>34</v>
      </c>
      <c r="U3600" t="s">
        <v>49</v>
      </c>
    </row>
    <row r="3601" spans="1:21">
      <c r="A3601" t="s">
        <v>5671</v>
      </c>
      <c r="B3601" t="s">
        <v>5672</v>
      </c>
      <c r="C3601" t="s">
        <v>712</v>
      </c>
      <c r="D3601">
        <v>77000</v>
      </c>
      <c r="E3601">
        <v>3000</v>
      </c>
      <c r="G3601">
        <v>77000</v>
      </c>
      <c r="H3601">
        <v>2</v>
      </c>
      <c r="I3601" t="s">
        <v>89</v>
      </c>
      <c r="J3601">
        <v>16.84</v>
      </c>
      <c r="K3601">
        <v>13</v>
      </c>
      <c r="L3601">
        <v>3</v>
      </c>
      <c r="M3601" t="s">
        <v>5596</v>
      </c>
      <c r="N3601">
        <v>4</v>
      </c>
      <c r="O3601">
        <v>11</v>
      </c>
      <c r="P3601">
        <v>122997.85</v>
      </c>
      <c r="Q3601">
        <v>95329.65</v>
      </c>
      <c r="R3601">
        <v>512</v>
      </c>
      <c r="S3601">
        <v>1622</v>
      </c>
      <c r="T3601" t="s">
        <v>108</v>
      </c>
      <c r="U3601" t="s">
        <v>90</v>
      </c>
    </row>
    <row r="3602" spans="1:21">
      <c r="A3602" t="s">
        <v>5673</v>
      </c>
      <c r="B3602" t="s">
        <v>5672</v>
      </c>
      <c r="C3602" t="s">
        <v>712</v>
      </c>
      <c r="D3602">
        <v>77000</v>
      </c>
      <c r="E3602">
        <v>3000</v>
      </c>
      <c r="G3602">
        <v>77000</v>
      </c>
      <c r="H3602">
        <v>2</v>
      </c>
      <c r="I3602" t="s">
        <v>89</v>
      </c>
      <c r="J3602">
        <v>17.22</v>
      </c>
      <c r="K3602">
        <v>13</v>
      </c>
      <c r="L3602">
        <v>3</v>
      </c>
      <c r="M3602" t="s">
        <v>5596</v>
      </c>
      <c r="N3602">
        <v>4</v>
      </c>
      <c r="O3602">
        <v>11</v>
      </c>
      <c r="P3602">
        <v>122997.85</v>
      </c>
      <c r="Q3602">
        <v>95329.65</v>
      </c>
      <c r="R3602">
        <v>512</v>
      </c>
      <c r="S3602">
        <v>1622</v>
      </c>
      <c r="T3602" t="s">
        <v>108</v>
      </c>
      <c r="U3602" t="s">
        <v>90</v>
      </c>
    </row>
    <row r="3603" spans="1:21">
      <c r="A3603" t="s">
        <v>5674</v>
      </c>
      <c r="B3603" t="s">
        <v>5672</v>
      </c>
      <c r="C3603" t="s">
        <v>712</v>
      </c>
      <c r="D3603">
        <v>77000</v>
      </c>
      <c r="E3603">
        <v>3000</v>
      </c>
      <c r="G3603">
        <v>77000</v>
      </c>
      <c r="H3603">
        <v>2</v>
      </c>
      <c r="I3603" t="s">
        <v>89</v>
      </c>
      <c r="J3603">
        <v>17.760000000000002</v>
      </c>
      <c r="K3603">
        <v>13</v>
      </c>
      <c r="L3603">
        <v>3</v>
      </c>
      <c r="M3603" t="s">
        <v>5596</v>
      </c>
      <c r="N3603">
        <v>4</v>
      </c>
      <c r="O3603">
        <v>11</v>
      </c>
      <c r="P3603">
        <v>122997.85</v>
      </c>
      <c r="Q3603">
        <v>95329.65</v>
      </c>
      <c r="R3603">
        <v>512</v>
      </c>
      <c r="S3603">
        <v>1622</v>
      </c>
      <c r="T3603" t="s">
        <v>108</v>
      </c>
      <c r="U3603" t="s">
        <v>90</v>
      </c>
    </row>
    <row r="3604" spans="1:21">
      <c r="A3604" t="s">
        <v>5675</v>
      </c>
      <c r="B3604" t="s">
        <v>5676</v>
      </c>
      <c r="C3604" t="s">
        <v>4013</v>
      </c>
      <c r="D3604">
        <v>89000</v>
      </c>
      <c r="E3604">
        <v>5000</v>
      </c>
      <c r="G3604">
        <v>89000</v>
      </c>
      <c r="H3604">
        <v>1</v>
      </c>
      <c r="I3604" t="s">
        <v>89</v>
      </c>
      <c r="J3604">
        <v>22.15</v>
      </c>
      <c r="K3604">
        <v>22</v>
      </c>
      <c r="L3604">
        <v>2</v>
      </c>
      <c r="M3604" t="s">
        <v>5596</v>
      </c>
      <c r="N3604">
        <v>2</v>
      </c>
      <c r="O3604">
        <v>12.67</v>
      </c>
      <c r="P3604">
        <v>122997.85</v>
      </c>
      <c r="Q3604">
        <v>95329.65</v>
      </c>
      <c r="R3604">
        <v>512</v>
      </c>
      <c r="S3604">
        <v>1622</v>
      </c>
      <c r="T3604" t="s">
        <v>34</v>
      </c>
      <c r="U3604" t="s">
        <v>27</v>
      </c>
    </row>
    <row r="3605" spans="1:21">
      <c r="A3605" t="s">
        <v>5677</v>
      </c>
      <c r="B3605" t="s">
        <v>5678</v>
      </c>
      <c r="C3605" t="s">
        <v>2033</v>
      </c>
      <c r="D3605">
        <v>97000</v>
      </c>
      <c r="E3605">
        <v>3000</v>
      </c>
      <c r="G3605">
        <v>97000</v>
      </c>
      <c r="H3605">
        <v>3</v>
      </c>
      <c r="I3605" t="s">
        <v>89</v>
      </c>
      <c r="J3605">
        <v>28.98</v>
      </c>
      <c r="K3605">
        <v>10</v>
      </c>
      <c r="L3605">
        <v>3</v>
      </c>
      <c r="M3605" t="s">
        <v>5596</v>
      </c>
      <c r="N3605">
        <v>9</v>
      </c>
      <c r="O3605">
        <v>15.67</v>
      </c>
      <c r="P3605">
        <v>122997.85</v>
      </c>
      <c r="Q3605">
        <v>95329.65</v>
      </c>
      <c r="R3605">
        <v>512</v>
      </c>
      <c r="S3605">
        <v>1622</v>
      </c>
      <c r="T3605" t="s">
        <v>34</v>
      </c>
      <c r="U3605" t="s">
        <v>31</v>
      </c>
    </row>
    <row r="3606" spans="1:21">
      <c r="A3606" t="s">
        <v>5679</v>
      </c>
      <c r="B3606" t="s">
        <v>5680</v>
      </c>
      <c r="C3606" t="s">
        <v>5608</v>
      </c>
      <c r="D3606">
        <v>78000</v>
      </c>
      <c r="E3606">
        <v>7000</v>
      </c>
      <c r="F3606">
        <v>78000</v>
      </c>
      <c r="G3606">
        <v>78000</v>
      </c>
      <c r="H3606">
        <v>1</v>
      </c>
      <c r="I3606" t="s">
        <v>89</v>
      </c>
      <c r="J3606">
        <v>22.32</v>
      </c>
      <c r="K3606">
        <v>26</v>
      </c>
      <c r="L3606">
        <v>4</v>
      </c>
      <c r="M3606" t="s">
        <v>5596</v>
      </c>
      <c r="N3606">
        <v>6</v>
      </c>
      <c r="O3606">
        <v>12.67</v>
      </c>
      <c r="P3606">
        <v>122997.85</v>
      </c>
      <c r="Q3606">
        <v>95329.65</v>
      </c>
      <c r="R3606">
        <v>512</v>
      </c>
      <c r="S3606">
        <v>1622</v>
      </c>
      <c r="T3606" t="s">
        <v>34</v>
      </c>
      <c r="U3606" t="s">
        <v>27</v>
      </c>
    </row>
    <row r="3607" spans="1:21">
      <c r="A3607" t="s">
        <v>5681</v>
      </c>
      <c r="B3607" t="s">
        <v>5682</v>
      </c>
      <c r="C3607" t="s">
        <v>2033</v>
      </c>
      <c r="D3607">
        <v>98000</v>
      </c>
      <c r="E3607">
        <v>15000</v>
      </c>
      <c r="H3607">
        <v>3</v>
      </c>
      <c r="I3607" t="s">
        <v>89</v>
      </c>
      <c r="J3607">
        <v>30.5</v>
      </c>
      <c r="K3607">
        <v>21</v>
      </c>
      <c r="L3607">
        <v>4</v>
      </c>
      <c r="M3607" t="s">
        <v>5596</v>
      </c>
      <c r="N3607">
        <v>7</v>
      </c>
      <c r="O3607">
        <v>10.67</v>
      </c>
      <c r="P3607">
        <v>122997.85</v>
      </c>
      <c r="Q3607">
        <v>95329.65</v>
      </c>
      <c r="R3607">
        <v>512</v>
      </c>
      <c r="S3607">
        <v>1622</v>
      </c>
      <c r="T3607" t="s">
        <v>26</v>
      </c>
      <c r="U3607" t="s">
        <v>27</v>
      </c>
    </row>
    <row r="3608" spans="1:21">
      <c r="A3608" t="s">
        <v>5683</v>
      </c>
      <c r="B3608" t="s">
        <v>5684</v>
      </c>
      <c r="C3608" t="s">
        <v>2033</v>
      </c>
      <c r="D3608">
        <v>82000</v>
      </c>
      <c r="E3608">
        <v>3000</v>
      </c>
      <c r="F3608">
        <v>82000</v>
      </c>
      <c r="G3608">
        <v>82000</v>
      </c>
      <c r="H3608">
        <v>3</v>
      </c>
      <c r="I3608" t="s">
        <v>89</v>
      </c>
      <c r="J3608">
        <v>25.83</v>
      </c>
      <c r="K3608">
        <v>25</v>
      </c>
      <c r="L3608">
        <v>3</v>
      </c>
      <c r="M3608" t="s">
        <v>5596</v>
      </c>
      <c r="N3608">
        <v>10</v>
      </c>
      <c r="O3608">
        <v>13.67</v>
      </c>
      <c r="P3608">
        <v>122997.85</v>
      </c>
      <c r="Q3608">
        <v>95329.65</v>
      </c>
      <c r="R3608">
        <v>512</v>
      </c>
      <c r="S3608">
        <v>1622</v>
      </c>
      <c r="T3608" t="s">
        <v>34</v>
      </c>
      <c r="U3608" t="s">
        <v>27</v>
      </c>
    </row>
    <row r="3609" spans="1:21">
      <c r="A3609" t="s">
        <v>5685</v>
      </c>
      <c r="B3609" t="s">
        <v>5686</v>
      </c>
      <c r="C3609" t="s">
        <v>5608</v>
      </c>
      <c r="D3609">
        <v>112000</v>
      </c>
      <c r="E3609">
        <v>8000</v>
      </c>
      <c r="F3609">
        <v>112000</v>
      </c>
      <c r="G3609">
        <v>112000</v>
      </c>
      <c r="H3609">
        <v>4</v>
      </c>
      <c r="I3609" t="s">
        <v>89</v>
      </c>
      <c r="J3609">
        <v>25.25</v>
      </c>
      <c r="K3609">
        <v>4</v>
      </c>
      <c r="L3609">
        <v>5</v>
      </c>
      <c r="M3609" t="s">
        <v>5596</v>
      </c>
      <c r="N3609">
        <v>6</v>
      </c>
      <c r="O3609">
        <v>13</v>
      </c>
      <c r="P3609">
        <v>122997.85</v>
      </c>
      <c r="Q3609">
        <v>95329.65</v>
      </c>
      <c r="R3609">
        <v>512</v>
      </c>
      <c r="S3609">
        <v>1622</v>
      </c>
      <c r="T3609" t="s">
        <v>34</v>
      </c>
      <c r="U3609" t="s">
        <v>31</v>
      </c>
    </row>
    <row r="3610" spans="1:21">
      <c r="A3610" t="s">
        <v>5687</v>
      </c>
      <c r="B3610" t="s">
        <v>5688</v>
      </c>
      <c r="C3610" t="s">
        <v>5608</v>
      </c>
      <c r="D3610">
        <v>97000</v>
      </c>
      <c r="E3610">
        <v>3000</v>
      </c>
      <c r="F3610">
        <v>97000</v>
      </c>
      <c r="G3610">
        <v>97000</v>
      </c>
      <c r="H3610">
        <v>2</v>
      </c>
      <c r="I3610" t="s">
        <v>89</v>
      </c>
      <c r="J3610">
        <v>18.8</v>
      </c>
      <c r="K3610">
        <v>5</v>
      </c>
      <c r="L3610">
        <v>4</v>
      </c>
      <c r="M3610" t="s">
        <v>5596</v>
      </c>
      <c r="N3610">
        <v>7</v>
      </c>
      <c r="O3610">
        <v>12.33</v>
      </c>
      <c r="P3610">
        <v>122997.85</v>
      </c>
      <c r="Q3610">
        <v>95329.65</v>
      </c>
      <c r="R3610">
        <v>512</v>
      </c>
      <c r="S3610">
        <v>1622</v>
      </c>
      <c r="T3610" t="s">
        <v>108</v>
      </c>
      <c r="U3610" t="s">
        <v>31</v>
      </c>
    </row>
    <row r="3611" spans="1:21">
      <c r="A3611" t="s">
        <v>5689</v>
      </c>
      <c r="B3611" t="s">
        <v>5690</v>
      </c>
      <c r="C3611" t="s">
        <v>2033</v>
      </c>
      <c r="D3611">
        <v>93000</v>
      </c>
      <c r="E3611">
        <v>10000</v>
      </c>
      <c r="F3611">
        <v>93000</v>
      </c>
      <c r="G3611">
        <v>93000</v>
      </c>
      <c r="H3611">
        <v>2</v>
      </c>
      <c r="I3611" t="s">
        <v>89</v>
      </c>
      <c r="J3611">
        <v>25.87</v>
      </c>
      <c r="K3611">
        <v>11</v>
      </c>
      <c r="L3611">
        <v>6</v>
      </c>
      <c r="M3611" t="s">
        <v>5596</v>
      </c>
      <c r="N3611">
        <v>9</v>
      </c>
      <c r="O3611">
        <v>11.67</v>
      </c>
      <c r="P3611">
        <v>122997.85</v>
      </c>
      <c r="Q3611">
        <v>95329.65</v>
      </c>
      <c r="R3611">
        <v>512</v>
      </c>
      <c r="S3611">
        <v>1622</v>
      </c>
      <c r="T3611" t="s">
        <v>34</v>
      </c>
      <c r="U3611" t="s">
        <v>90</v>
      </c>
    </row>
    <row r="3612" spans="1:21">
      <c r="A3612" t="s">
        <v>5691</v>
      </c>
      <c r="B3612" t="s">
        <v>5690</v>
      </c>
      <c r="C3612" t="s">
        <v>2033</v>
      </c>
      <c r="D3612">
        <v>98000</v>
      </c>
      <c r="E3612">
        <v>10000</v>
      </c>
      <c r="F3612">
        <v>98000</v>
      </c>
      <c r="G3612">
        <v>98000</v>
      </c>
      <c r="H3612">
        <v>2</v>
      </c>
      <c r="I3612" t="s">
        <v>89</v>
      </c>
      <c r="J3612">
        <v>25.87</v>
      </c>
      <c r="K3612">
        <v>11</v>
      </c>
      <c r="L3612">
        <v>6</v>
      </c>
      <c r="M3612" t="s">
        <v>5596</v>
      </c>
      <c r="N3612">
        <v>9</v>
      </c>
      <c r="O3612">
        <v>11.67</v>
      </c>
      <c r="P3612">
        <v>122997.85</v>
      </c>
      <c r="Q3612">
        <v>95329.65</v>
      </c>
      <c r="R3612">
        <v>512</v>
      </c>
      <c r="S3612">
        <v>1622</v>
      </c>
      <c r="T3612" t="s">
        <v>34</v>
      </c>
      <c r="U3612" t="s">
        <v>90</v>
      </c>
    </row>
    <row r="3613" spans="1:21">
      <c r="A3613" t="s">
        <v>5692</v>
      </c>
      <c r="B3613" t="s">
        <v>5693</v>
      </c>
      <c r="C3613" t="s">
        <v>4027</v>
      </c>
      <c r="D3613">
        <v>89000</v>
      </c>
      <c r="E3613">
        <v>5000</v>
      </c>
      <c r="G3613">
        <v>89000</v>
      </c>
      <c r="H3613">
        <v>4</v>
      </c>
      <c r="I3613" t="s">
        <v>89</v>
      </c>
      <c r="J3613">
        <v>20.89</v>
      </c>
      <c r="K3613">
        <v>24</v>
      </c>
      <c r="L3613">
        <v>6</v>
      </c>
      <c r="M3613" t="s">
        <v>5596</v>
      </c>
      <c r="N3613">
        <v>5</v>
      </c>
      <c r="O3613">
        <v>11.33</v>
      </c>
      <c r="P3613">
        <v>122997.85</v>
      </c>
      <c r="Q3613">
        <v>95329.65</v>
      </c>
      <c r="R3613">
        <v>512</v>
      </c>
      <c r="S3613">
        <v>1622</v>
      </c>
      <c r="T3613" t="s">
        <v>34</v>
      </c>
      <c r="U3613" t="s">
        <v>27</v>
      </c>
    </row>
    <row r="3614" spans="1:21">
      <c r="A3614" t="s">
        <v>5694</v>
      </c>
      <c r="B3614" t="s">
        <v>5695</v>
      </c>
      <c r="C3614" t="s">
        <v>4356</v>
      </c>
      <c r="D3614">
        <v>58000</v>
      </c>
      <c r="G3614">
        <v>58000</v>
      </c>
      <c r="H3614">
        <v>3</v>
      </c>
      <c r="I3614" t="s">
        <v>89</v>
      </c>
      <c r="J3614">
        <v>22</v>
      </c>
      <c r="K3614">
        <v>40</v>
      </c>
      <c r="L3614">
        <v>3</v>
      </c>
      <c r="M3614" t="s">
        <v>5596</v>
      </c>
      <c r="N3614">
        <v>6</v>
      </c>
      <c r="O3614">
        <v>9.67</v>
      </c>
      <c r="P3614">
        <v>122997.85</v>
      </c>
      <c r="Q3614">
        <v>95329.65</v>
      </c>
      <c r="R3614">
        <v>512</v>
      </c>
      <c r="S3614">
        <v>1622</v>
      </c>
      <c r="T3614" t="s">
        <v>34</v>
      </c>
      <c r="U3614" t="s">
        <v>49</v>
      </c>
    </row>
    <row r="3615" spans="1:21">
      <c r="A3615" t="s">
        <v>5696</v>
      </c>
      <c r="B3615" t="s">
        <v>5697</v>
      </c>
      <c r="C3615" t="s">
        <v>5601</v>
      </c>
      <c r="D3615">
        <v>63000</v>
      </c>
      <c r="E3615">
        <v>15000</v>
      </c>
      <c r="H3615">
        <v>1</v>
      </c>
      <c r="I3615" t="s">
        <v>89</v>
      </c>
      <c r="J3615">
        <v>20.34</v>
      </c>
      <c r="K3615">
        <v>27</v>
      </c>
      <c r="L3615">
        <v>4</v>
      </c>
      <c r="M3615" t="s">
        <v>5596</v>
      </c>
      <c r="N3615">
        <v>5</v>
      </c>
      <c r="O3615">
        <v>11</v>
      </c>
      <c r="P3615">
        <v>122997.85</v>
      </c>
      <c r="Q3615">
        <v>95329.65</v>
      </c>
      <c r="R3615">
        <v>512</v>
      </c>
      <c r="S3615">
        <v>1622</v>
      </c>
      <c r="T3615" t="s">
        <v>34</v>
      </c>
      <c r="U3615" t="s">
        <v>27</v>
      </c>
    </row>
    <row r="3616" spans="1:21">
      <c r="A3616" t="s">
        <v>5698</v>
      </c>
      <c r="B3616" t="s">
        <v>5697</v>
      </c>
      <c r="C3616" t="s">
        <v>5601</v>
      </c>
      <c r="D3616">
        <v>64000</v>
      </c>
      <c r="E3616">
        <v>15000</v>
      </c>
      <c r="G3616">
        <v>64000</v>
      </c>
      <c r="H3616">
        <v>1</v>
      </c>
      <c r="I3616" t="s">
        <v>89</v>
      </c>
      <c r="J3616">
        <v>20.53</v>
      </c>
      <c r="K3616">
        <v>27</v>
      </c>
      <c r="L3616">
        <v>4</v>
      </c>
      <c r="M3616" t="s">
        <v>5596</v>
      </c>
      <c r="N3616">
        <v>5</v>
      </c>
      <c r="O3616">
        <v>11</v>
      </c>
      <c r="P3616">
        <v>122997.85</v>
      </c>
      <c r="Q3616">
        <v>95329.65</v>
      </c>
      <c r="R3616">
        <v>512</v>
      </c>
      <c r="S3616">
        <v>1622</v>
      </c>
      <c r="T3616" t="s">
        <v>34</v>
      </c>
      <c r="U3616" t="s">
        <v>27</v>
      </c>
    </row>
    <row r="3617" spans="1:21">
      <c r="A3617" t="s">
        <v>5699</v>
      </c>
      <c r="B3617" t="s">
        <v>5697</v>
      </c>
      <c r="C3617" t="s">
        <v>5601</v>
      </c>
      <c r="D3617">
        <v>65000</v>
      </c>
      <c r="E3617">
        <v>15000</v>
      </c>
      <c r="G3617">
        <v>65000</v>
      </c>
      <c r="H3617">
        <v>1</v>
      </c>
      <c r="I3617" t="s">
        <v>89</v>
      </c>
      <c r="J3617">
        <v>20.53</v>
      </c>
      <c r="K3617">
        <v>27</v>
      </c>
      <c r="L3617">
        <v>4</v>
      </c>
      <c r="M3617" t="s">
        <v>5596</v>
      </c>
      <c r="N3617">
        <v>5</v>
      </c>
      <c r="O3617">
        <v>11</v>
      </c>
      <c r="P3617">
        <v>122997.85</v>
      </c>
      <c r="Q3617">
        <v>95329.65</v>
      </c>
      <c r="R3617">
        <v>512</v>
      </c>
      <c r="S3617">
        <v>1622</v>
      </c>
      <c r="T3617" t="s">
        <v>34</v>
      </c>
      <c r="U3617" t="s">
        <v>27</v>
      </c>
    </row>
    <row r="3618" spans="1:21">
      <c r="A3618" t="s">
        <v>5700</v>
      </c>
      <c r="B3618" t="s">
        <v>5701</v>
      </c>
      <c r="C3618" t="s">
        <v>712</v>
      </c>
      <c r="D3618">
        <v>73000</v>
      </c>
      <c r="F3618">
        <v>73000</v>
      </c>
      <c r="H3618">
        <v>3</v>
      </c>
      <c r="I3618" t="s">
        <v>89</v>
      </c>
      <c r="J3618">
        <v>18.64</v>
      </c>
      <c r="K3618">
        <v>28</v>
      </c>
      <c r="L3618">
        <v>4</v>
      </c>
      <c r="M3618" t="s">
        <v>5596</v>
      </c>
      <c r="N3618">
        <v>11</v>
      </c>
      <c r="O3618">
        <v>13.67</v>
      </c>
      <c r="P3618">
        <v>122997.85</v>
      </c>
      <c r="Q3618">
        <v>95329.65</v>
      </c>
      <c r="R3618">
        <v>512</v>
      </c>
      <c r="S3618">
        <v>1622</v>
      </c>
      <c r="T3618" t="s">
        <v>108</v>
      </c>
      <c r="U3618" t="s">
        <v>27</v>
      </c>
    </row>
    <row r="3619" spans="1:21">
      <c r="A3619" t="s">
        <v>5702</v>
      </c>
      <c r="B3619" t="s">
        <v>5703</v>
      </c>
      <c r="C3619" t="s">
        <v>4016</v>
      </c>
      <c r="D3619">
        <v>53000</v>
      </c>
      <c r="F3619">
        <v>53000</v>
      </c>
      <c r="G3619">
        <v>53000</v>
      </c>
      <c r="H3619">
        <v>2</v>
      </c>
      <c r="I3619" t="s">
        <v>89</v>
      </c>
      <c r="J3619">
        <v>17.309999999999999</v>
      </c>
      <c r="K3619">
        <v>42</v>
      </c>
      <c r="L3619">
        <v>2</v>
      </c>
      <c r="M3619" t="s">
        <v>5596</v>
      </c>
      <c r="N3619">
        <v>5</v>
      </c>
      <c r="O3619">
        <v>5</v>
      </c>
      <c r="P3619">
        <v>122997.85</v>
      </c>
      <c r="Q3619">
        <v>95329.65</v>
      </c>
      <c r="R3619">
        <v>512</v>
      </c>
      <c r="S3619">
        <v>1622</v>
      </c>
      <c r="T3619" t="s">
        <v>108</v>
      </c>
      <c r="U3619" t="s">
        <v>42</v>
      </c>
    </row>
    <row r="3620" spans="1:21">
      <c r="A3620" t="s">
        <v>5704</v>
      </c>
      <c r="B3620" t="s">
        <v>5703</v>
      </c>
      <c r="C3620" t="s">
        <v>4016</v>
      </c>
      <c r="D3620">
        <v>53000</v>
      </c>
      <c r="F3620">
        <v>53000</v>
      </c>
      <c r="G3620">
        <v>53000</v>
      </c>
      <c r="H3620">
        <v>2</v>
      </c>
      <c r="I3620" t="s">
        <v>89</v>
      </c>
      <c r="J3620">
        <v>18.5</v>
      </c>
      <c r="K3620">
        <v>42</v>
      </c>
      <c r="L3620">
        <v>2</v>
      </c>
      <c r="M3620" t="s">
        <v>5596</v>
      </c>
      <c r="N3620">
        <v>5</v>
      </c>
      <c r="O3620">
        <v>5</v>
      </c>
      <c r="P3620">
        <v>122997.85</v>
      </c>
      <c r="Q3620">
        <v>95329.65</v>
      </c>
      <c r="R3620">
        <v>512</v>
      </c>
      <c r="S3620">
        <v>1622</v>
      </c>
      <c r="T3620" t="s">
        <v>108</v>
      </c>
      <c r="U3620" t="s">
        <v>42</v>
      </c>
    </row>
    <row r="3621" spans="1:21">
      <c r="A3621" t="s">
        <v>5705</v>
      </c>
      <c r="B3621" t="s">
        <v>5706</v>
      </c>
      <c r="C3621" t="s">
        <v>758</v>
      </c>
      <c r="D3621">
        <v>58000</v>
      </c>
      <c r="F3621">
        <v>58000</v>
      </c>
      <c r="H3621">
        <v>1</v>
      </c>
      <c r="I3621" t="s">
        <v>89</v>
      </c>
      <c r="J3621">
        <v>18</v>
      </c>
      <c r="K3621">
        <v>52</v>
      </c>
      <c r="L3621">
        <v>2</v>
      </c>
      <c r="M3621" t="s">
        <v>5596</v>
      </c>
      <c r="N3621">
        <v>7</v>
      </c>
      <c r="O3621">
        <v>10.33</v>
      </c>
      <c r="P3621">
        <v>122997.85</v>
      </c>
      <c r="Q3621">
        <v>95329.65</v>
      </c>
      <c r="R3621">
        <v>512</v>
      </c>
      <c r="S3621">
        <v>1622</v>
      </c>
      <c r="T3621" t="s">
        <v>108</v>
      </c>
      <c r="U3621" t="s">
        <v>57</v>
      </c>
    </row>
    <row r="3622" spans="1:21">
      <c r="A3622" t="s">
        <v>5707</v>
      </c>
      <c r="B3622" t="s">
        <v>5708</v>
      </c>
      <c r="C3622" t="s">
        <v>4547</v>
      </c>
      <c r="D3622">
        <v>65000</v>
      </c>
      <c r="H3622">
        <v>2</v>
      </c>
      <c r="I3622" t="s">
        <v>89</v>
      </c>
      <c r="J3622">
        <v>15.01</v>
      </c>
      <c r="K3622">
        <v>59</v>
      </c>
      <c r="L3622">
        <v>2</v>
      </c>
      <c r="M3622" t="s">
        <v>5596</v>
      </c>
      <c r="N3622">
        <v>10</v>
      </c>
      <c r="O3622">
        <v>11.67</v>
      </c>
      <c r="P3622">
        <v>122997.85</v>
      </c>
      <c r="Q3622">
        <v>95329.65</v>
      </c>
      <c r="R3622">
        <v>512</v>
      </c>
      <c r="S3622">
        <v>1622</v>
      </c>
      <c r="T3622" t="s">
        <v>108</v>
      </c>
      <c r="U3622" t="s">
        <v>57</v>
      </c>
    </row>
    <row r="3623" spans="1:21">
      <c r="A3623" t="s">
        <v>5709</v>
      </c>
      <c r="B3623" t="s">
        <v>5708</v>
      </c>
      <c r="C3623" t="s">
        <v>4547</v>
      </c>
      <c r="D3623">
        <v>70000</v>
      </c>
      <c r="H3623">
        <v>2</v>
      </c>
      <c r="I3623" t="s">
        <v>89</v>
      </c>
      <c r="J3623">
        <v>15.01</v>
      </c>
      <c r="K3623">
        <v>59</v>
      </c>
      <c r="L3623">
        <v>2</v>
      </c>
      <c r="M3623" t="s">
        <v>5596</v>
      </c>
      <c r="N3623">
        <v>10</v>
      </c>
      <c r="O3623">
        <v>11.67</v>
      </c>
      <c r="P3623">
        <v>122997.85</v>
      </c>
      <c r="Q3623">
        <v>95329.65</v>
      </c>
      <c r="R3623">
        <v>512</v>
      </c>
      <c r="S3623">
        <v>1622</v>
      </c>
      <c r="T3623" t="s">
        <v>108</v>
      </c>
      <c r="U3623" t="s">
        <v>57</v>
      </c>
    </row>
    <row r="3624" spans="1:21">
      <c r="A3624" t="s">
        <v>5710</v>
      </c>
      <c r="B3624" t="s">
        <v>5711</v>
      </c>
      <c r="C3624" t="s">
        <v>5608</v>
      </c>
      <c r="D3624">
        <v>57000</v>
      </c>
      <c r="E3624">
        <v>3000</v>
      </c>
      <c r="H3624">
        <v>2</v>
      </c>
      <c r="I3624" t="s">
        <v>89</v>
      </c>
      <c r="J3624">
        <v>17</v>
      </c>
      <c r="K3624">
        <v>53</v>
      </c>
      <c r="L3624">
        <v>2</v>
      </c>
      <c r="M3624" t="s">
        <v>5596</v>
      </c>
      <c r="N3624">
        <v>7</v>
      </c>
      <c r="O3624">
        <v>12</v>
      </c>
      <c r="P3624">
        <v>122997.85</v>
      </c>
      <c r="Q3624">
        <v>95329.65</v>
      </c>
      <c r="R3624">
        <v>512</v>
      </c>
      <c r="S3624">
        <v>1622</v>
      </c>
      <c r="T3624" t="s">
        <v>108</v>
      </c>
      <c r="U3624" t="s">
        <v>57</v>
      </c>
    </row>
    <row r="3625" spans="1:21">
      <c r="A3625" t="s">
        <v>5712</v>
      </c>
      <c r="B3625" t="s">
        <v>5713</v>
      </c>
      <c r="C3625" t="s">
        <v>4013</v>
      </c>
      <c r="D3625">
        <v>55000</v>
      </c>
      <c r="F3625">
        <v>55000</v>
      </c>
      <c r="H3625">
        <v>2</v>
      </c>
      <c r="I3625" t="s">
        <v>89</v>
      </c>
      <c r="J3625">
        <v>20</v>
      </c>
      <c r="K3625">
        <v>38</v>
      </c>
      <c r="L3625">
        <v>2</v>
      </c>
      <c r="M3625" t="s">
        <v>5596</v>
      </c>
      <c r="N3625">
        <v>2</v>
      </c>
      <c r="O3625">
        <v>8.67</v>
      </c>
      <c r="P3625">
        <v>122997.85</v>
      </c>
      <c r="Q3625">
        <v>95329.65</v>
      </c>
      <c r="R3625">
        <v>512</v>
      </c>
      <c r="S3625">
        <v>1622</v>
      </c>
      <c r="T3625" t="s">
        <v>34</v>
      </c>
      <c r="U3625" t="s">
        <v>49</v>
      </c>
    </row>
    <row r="3626" spans="1:21">
      <c r="A3626" t="s">
        <v>5714</v>
      </c>
      <c r="B3626" t="s">
        <v>5715</v>
      </c>
      <c r="C3626" t="s">
        <v>5601</v>
      </c>
      <c r="D3626">
        <v>55000</v>
      </c>
      <c r="E3626">
        <v>3000</v>
      </c>
      <c r="F3626">
        <v>55000</v>
      </c>
      <c r="G3626">
        <v>55000</v>
      </c>
      <c r="H3626">
        <v>1</v>
      </c>
      <c r="I3626" t="s">
        <v>89</v>
      </c>
      <c r="J3626">
        <v>23.18</v>
      </c>
      <c r="K3626">
        <v>42</v>
      </c>
      <c r="L3626">
        <v>2</v>
      </c>
      <c r="M3626" t="s">
        <v>5596</v>
      </c>
      <c r="N3626">
        <v>8</v>
      </c>
      <c r="O3626">
        <v>10.67</v>
      </c>
      <c r="P3626">
        <v>122997.85</v>
      </c>
      <c r="Q3626">
        <v>95329.65</v>
      </c>
      <c r="R3626">
        <v>512</v>
      </c>
      <c r="S3626">
        <v>1622</v>
      </c>
      <c r="T3626" t="s">
        <v>34</v>
      </c>
      <c r="U3626" t="s">
        <v>42</v>
      </c>
    </row>
    <row r="3627" spans="1:21">
      <c r="A3627" t="s">
        <v>5716</v>
      </c>
      <c r="B3627" t="s">
        <v>5717</v>
      </c>
      <c r="C3627" t="s">
        <v>2156</v>
      </c>
      <c r="D3627">
        <v>62000</v>
      </c>
      <c r="E3627">
        <v>2000</v>
      </c>
      <c r="H3627">
        <v>2</v>
      </c>
      <c r="I3627" t="s">
        <v>89</v>
      </c>
      <c r="J3627">
        <v>19.649999999999999</v>
      </c>
      <c r="K3627">
        <v>25</v>
      </c>
      <c r="L3627">
        <v>5</v>
      </c>
      <c r="M3627" t="s">
        <v>5596</v>
      </c>
      <c r="N3627">
        <v>12</v>
      </c>
      <c r="O3627">
        <v>14</v>
      </c>
      <c r="P3627">
        <v>122997.85</v>
      </c>
      <c r="Q3627">
        <v>95329.65</v>
      </c>
      <c r="R3627">
        <v>512</v>
      </c>
      <c r="S3627">
        <v>1622</v>
      </c>
      <c r="T3627" t="s">
        <v>108</v>
      </c>
      <c r="U3627" t="s">
        <v>27</v>
      </c>
    </row>
    <row r="3628" spans="1:21">
      <c r="A3628" t="s">
        <v>5718</v>
      </c>
      <c r="B3628" t="s">
        <v>5719</v>
      </c>
      <c r="C3628" t="s">
        <v>5601</v>
      </c>
      <c r="D3628">
        <v>80000</v>
      </c>
      <c r="E3628">
        <v>10000</v>
      </c>
      <c r="G3628">
        <v>80000</v>
      </c>
      <c r="H3628">
        <v>3</v>
      </c>
      <c r="I3628" t="s">
        <v>89</v>
      </c>
      <c r="J3628">
        <v>24.47</v>
      </c>
      <c r="K3628">
        <v>23</v>
      </c>
      <c r="L3628">
        <v>7</v>
      </c>
      <c r="M3628" t="s">
        <v>5596</v>
      </c>
      <c r="N3628">
        <v>3</v>
      </c>
      <c r="O3628">
        <v>10</v>
      </c>
      <c r="P3628">
        <v>122997.85</v>
      </c>
      <c r="Q3628">
        <v>95329.65</v>
      </c>
      <c r="R3628">
        <v>512</v>
      </c>
      <c r="S3628">
        <v>1622</v>
      </c>
      <c r="T3628" t="s">
        <v>34</v>
      </c>
      <c r="U3628" t="s">
        <v>27</v>
      </c>
    </row>
    <row r="3629" spans="1:21">
      <c r="A3629" t="s">
        <v>5720</v>
      </c>
      <c r="B3629" t="s">
        <v>5719</v>
      </c>
      <c r="C3629" t="s">
        <v>5601</v>
      </c>
      <c r="D3629">
        <v>78000</v>
      </c>
      <c r="E3629">
        <v>9000</v>
      </c>
      <c r="F3629">
        <v>78000</v>
      </c>
      <c r="G3629">
        <v>78000</v>
      </c>
      <c r="H3629">
        <v>7</v>
      </c>
      <c r="I3629" t="s">
        <v>89</v>
      </c>
      <c r="J3629">
        <v>19.82</v>
      </c>
      <c r="K3629">
        <v>23</v>
      </c>
      <c r="L3629">
        <v>7</v>
      </c>
      <c r="M3629" t="s">
        <v>5596</v>
      </c>
      <c r="N3629">
        <v>3</v>
      </c>
      <c r="O3629">
        <v>10</v>
      </c>
      <c r="P3629">
        <v>122997.85</v>
      </c>
      <c r="Q3629">
        <v>95329.65</v>
      </c>
      <c r="R3629">
        <v>512</v>
      </c>
      <c r="S3629">
        <v>1622</v>
      </c>
      <c r="T3629" t="s">
        <v>108</v>
      </c>
      <c r="U3629" t="s">
        <v>27</v>
      </c>
    </row>
    <row r="3630" spans="1:21">
      <c r="A3630" t="s">
        <v>5721</v>
      </c>
      <c r="B3630" t="s">
        <v>5722</v>
      </c>
      <c r="C3630" t="s">
        <v>5608</v>
      </c>
      <c r="D3630">
        <v>63000</v>
      </c>
      <c r="E3630">
        <v>2000</v>
      </c>
      <c r="F3630">
        <v>63000</v>
      </c>
      <c r="H3630">
        <v>1</v>
      </c>
      <c r="I3630" t="s">
        <v>89</v>
      </c>
      <c r="J3630">
        <v>19.87</v>
      </c>
      <c r="K3630">
        <v>23</v>
      </c>
      <c r="L3630">
        <v>3</v>
      </c>
      <c r="M3630" t="s">
        <v>5596</v>
      </c>
      <c r="N3630">
        <v>5</v>
      </c>
      <c r="O3630">
        <v>12.67</v>
      </c>
      <c r="P3630">
        <v>122997.85</v>
      </c>
      <c r="Q3630">
        <v>95329.65</v>
      </c>
      <c r="R3630">
        <v>512</v>
      </c>
      <c r="S3630">
        <v>1622</v>
      </c>
      <c r="T3630" t="s">
        <v>108</v>
      </c>
      <c r="U3630" t="s">
        <v>27</v>
      </c>
    </row>
    <row r="3631" spans="1:21">
      <c r="A3631" t="s">
        <v>5723</v>
      </c>
      <c r="B3631" t="s">
        <v>5724</v>
      </c>
      <c r="C3631" t="s">
        <v>758</v>
      </c>
      <c r="D3631">
        <v>90000</v>
      </c>
      <c r="E3631">
        <v>2000</v>
      </c>
      <c r="F3631">
        <v>90000</v>
      </c>
      <c r="G3631">
        <v>90000</v>
      </c>
      <c r="H3631">
        <v>3</v>
      </c>
      <c r="I3631" t="s">
        <v>89</v>
      </c>
      <c r="J3631">
        <v>30.64</v>
      </c>
      <c r="K3631">
        <v>8</v>
      </c>
      <c r="L3631">
        <v>3</v>
      </c>
      <c r="M3631" t="s">
        <v>5596</v>
      </c>
      <c r="N3631">
        <v>6</v>
      </c>
      <c r="O3631">
        <v>10</v>
      </c>
      <c r="P3631">
        <v>122997.85</v>
      </c>
      <c r="Q3631">
        <v>95329.65</v>
      </c>
      <c r="R3631">
        <v>512</v>
      </c>
      <c r="S3631">
        <v>1622</v>
      </c>
      <c r="T3631" t="s">
        <v>26</v>
      </c>
      <c r="U3631" t="s">
        <v>31</v>
      </c>
    </row>
    <row r="3632" spans="1:21">
      <c r="A3632" t="s">
        <v>5725</v>
      </c>
      <c r="B3632" t="s">
        <v>5726</v>
      </c>
      <c r="C3632" t="s">
        <v>4356</v>
      </c>
      <c r="D3632">
        <v>71000</v>
      </c>
      <c r="E3632">
        <v>10000</v>
      </c>
      <c r="H3632">
        <v>4</v>
      </c>
      <c r="I3632" t="s">
        <v>89</v>
      </c>
      <c r="J3632">
        <v>20.440000000000001</v>
      </c>
      <c r="K3632">
        <v>25</v>
      </c>
      <c r="L3632">
        <v>5</v>
      </c>
      <c r="M3632" t="s">
        <v>5596</v>
      </c>
      <c r="N3632">
        <v>5</v>
      </c>
      <c r="O3632">
        <v>11</v>
      </c>
      <c r="P3632">
        <v>122997.85</v>
      </c>
      <c r="Q3632">
        <v>95329.65</v>
      </c>
      <c r="R3632">
        <v>512</v>
      </c>
      <c r="S3632">
        <v>1622</v>
      </c>
      <c r="T3632" t="s">
        <v>34</v>
      </c>
      <c r="U3632" t="s">
        <v>27</v>
      </c>
    </row>
    <row r="3633" spans="1:21">
      <c r="A3633" t="s">
        <v>5727</v>
      </c>
      <c r="B3633" t="s">
        <v>5726</v>
      </c>
      <c r="C3633" t="s">
        <v>4356</v>
      </c>
      <c r="D3633">
        <v>89000</v>
      </c>
      <c r="E3633">
        <v>10000</v>
      </c>
      <c r="F3633">
        <v>89000</v>
      </c>
      <c r="G3633">
        <v>89000</v>
      </c>
      <c r="H3633">
        <v>4</v>
      </c>
      <c r="I3633" t="s">
        <v>89</v>
      </c>
      <c r="J3633">
        <v>24.95</v>
      </c>
      <c r="K3633">
        <v>25</v>
      </c>
      <c r="L3633">
        <v>5</v>
      </c>
      <c r="M3633" t="s">
        <v>5596</v>
      </c>
      <c r="N3633">
        <v>5</v>
      </c>
      <c r="O3633">
        <v>11</v>
      </c>
      <c r="P3633">
        <v>122997.85</v>
      </c>
      <c r="Q3633">
        <v>95329.65</v>
      </c>
      <c r="R3633">
        <v>512</v>
      </c>
      <c r="S3633">
        <v>1622</v>
      </c>
      <c r="T3633" t="s">
        <v>34</v>
      </c>
      <c r="U3633" t="s">
        <v>27</v>
      </c>
    </row>
    <row r="3634" spans="1:21">
      <c r="A3634" t="s">
        <v>5728</v>
      </c>
      <c r="B3634" t="s">
        <v>5726</v>
      </c>
      <c r="C3634" t="s">
        <v>4356</v>
      </c>
      <c r="D3634">
        <v>80000</v>
      </c>
      <c r="E3634">
        <v>7000</v>
      </c>
      <c r="F3634">
        <v>80000</v>
      </c>
      <c r="G3634">
        <v>80000</v>
      </c>
      <c r="H3634">
        <v>5</v>
      </c>
      <c r="I3634" t="s">
        <v>89</v>
      </c>
      <c r="J3634">
        <v>20.8</v>
      </c>
      <c r="K3634">
        <v>25</v>
      </c>
      <c r="L3634">
        <v>5</v>
      </c>
      <c r="M3634" t="s">
        <v>5596</v>
      </c>
      <c r="N3634">
        <v>5</v>
      </c>
      <c r="O3634">
        <v>11</v>
      </c>
      <c r="P3634">
        <v>122997.85</v>
      </c>
      <c r="Q3634">
        <v>95329.65</v>
      </c>
      <c r="R3634">
        <v>512</v>
      </c>
      <c r="S3634">
        <v>1622</v>
      </c>
      <c r="T3634" t="s">
        <v>34</v>
      </c>
      <c r="U3634" t="s">
        <v>27</v>
      </c>
    </row>
    <row r="3635" spans="1:21">
      <c r="A3635" t="s">
        <v>5729</v>
      </c>
      <c r="B3635" t="s">
        <v>5730</v>
      </c>
      <c r="C3635" t="s">
        <v>4356</v>
      </c>
      <c r="D3635">
        <v>82000</v>
      </c>
      <c r="E3635">
        <v>3000</v>
      </c>
      <c r="F3635">
        <v>82000</v>
      </c>
      <c r="G3635">
        <v>82000</v>
      </c>
      <c r="H3635">
        <v>2</v>
      </c>
      <c r="I3635" t="s">
        <v>89</v>
      </c>
      <c r="J3635">
        <v>21.15</v>
      </c>
      <c r="K3635">
        <v>8</v>
      </c>
      <c r="L3635">
        <v>2</v>
      </c>
      <c r="M3635" t="s">
        <v>5596</v>
      </c>
      <c r="N3635">
        <v>9</v>
      </c>
      <c r="O3635">
        <v>10.33</v>
      </c>
      <c r="P3635">
        <v>122997.85</v>
      </c>
      <c r="Q3635">
        <v>95329.65</v>
      </c>
      <c r="R3635">
        <v>512</v>
      </c>
      <c r="S3635">
        <v>1622</v>
      </c>
      <c r="T3635" t="s">
        <v>34</v>
      </c>
      <c r="U3635" t="s">
        <v>31</v>
      </c>
    </row>
    <row r="3636" spans="1:21">
      <c r="A3636" t="s">
        <v>5731</v>
      </c>
      <c r="B3636" t="s">
        <v>5732</v>
      </c>
      <c r="C3636" t="s">
        <v>5608</v>
      </c>
      <c r="D3636">
        <v>121000</v>
      </c>
      <c r="E3636">
        <v>11000</v>
      </c>
      <c r="G3636">
        <v>121000</v>
      </c>
      <c r="H3636">
        <v>2</v>
      </c>
      <c r="I3636" t="s">
        <v>89</v>
      </c>
      <c r="J3636">
        <v>25.82</v>
      </c>
      <c r="K3636">
        <v>8</v>
      </c>
      <c r="L3636">
        <v>7</v>
      </c>
      <c r="M3636" t="s">
        <v>5596</v>
      </c>
      <c r="N3636">
        <v>6</v>
      </c>
      <c r="O3636">
        <v>11.67</v>
      </c>
      <c r="P3636">
        <v>122997.85</v>
      </c>
      <c r="Q3636">
        <v>95329.65</v>
      </c>
      <c r="R3636">
        <v>512</v>
      </c>
      <c r="S3636">
        <v>1622</v>
      </c>
      <c r="T3636" t="s">
        <v>34</v>
      </c>
      <c r="U3636" t="s">
        <v>31</v>
      </c>
    </row>
    <row r="3637" spans="1:21">
      <c r="A3637" t="s">
        <v>5733</v>
      </c>
      <c r="B3637" t="s">
        <v>5732</v>
      </c>
      <c r="C3637" t="s">
        <v>5608</v>
      </c>
      <c r="D3637">
        <v>124000</v>
      </c>
      <c r="E3637">
        <v>11000</v>
      </c>
      <c r="G3637">
        <v>124000</v>
      </c>
      <c r="H3637">
        <v>2</v>
      </c>
      <c r="I3637" t="s">
        <v>89</v>
      </c>
      <c r="J3637">
        <v>25.84</v>
      </c>
      <c r="K3637">
        <v>8</v>
      </c>
      <c r="L3637">
        <v>7</v>
      </c>
      <c r="M3637" t="s">
        <v>5596</v>
      </c>
      <c r="N3637">
        <v>6</v>
      </c>
      <c r="O3637">
        <v>11.67</v>
      </c>
      <c r="P3637">
        <v>122997.85</v>
      </c>
      <c r="Q3637">
        <v>95329.65</v>
      </c>
      <c r="R3637">
        <v>512</v>
      </c>
      <c r="S3637">
        <v>1622</v>
      </c>
      <c r="T3637" t="s">
        <v>34</v>
      </c>
      <c r="U3637" t="s">
        <v>31</v>
      </c>
    </row>
    <row r="3638" spans="1:21">
      <c r="A3638" t="s">
        <v>5734</v>
      </c>
      <c r="B3638" t="s">
        <v>5732</v>
      </c>
      <c r="C3638" t="s">
        <v>5608</v>
      </c>
      <c r="D3638">
        <v>122000</v>
      </c>
      <c r="E3638">
        <v>11000</v>
      </c>
      <c r="G3638">
        <v>122000</v>
      </c>
      <c r="H3638">
        <v>3</v>
      </c>
      <c r="I3638" t="s">
        <v>89</v>
      </c>
      <c r="J3638">
        <v>25.82</v>
      </c>
      <c r="K3638">
        <v>8</v>
      </c>
      <c r="L3638">
        <v>7</v>
      </c>
      <c r="M3638" t="s">
        <v>5596</v>
      </c>
      <c r="N3638">
        <v>6</v>
      </c>
      <c r="O3638">
        <v>11.67</v>
      </c>
      <c r="P3638">
        <v>122997.85</v>
      </c>
      <c r="Q3638">
        <v>95329.65</v>
      </c>
      <c r="R3638">
        <v>512</v>
      </c>
      <c r="S3638">
        <v>1622</v>
      </c>
      <c r="T3638" t="s">
        <v>34</v>
      </c>
      <c r="U3638" t="s">
        <v>31</v>
      </c>
    </row>
    <row r="3639" spans="1:21">
      <c r="A3639" t="s">
        <v>5735</v>
      </c>
      <c r="B3639" t="s">
        <v>5732</v>
      </c>
      <c r="C3639" t="s">
        <v>5608</v>
      </c>
      <c r="D3639">
        <v>125000</v>
      </c>
      <c r="E3639">
        <v>11000</v>
      </c>
      <c r="G3639">
        <v>125000</v>
      </c>
      <c r="H3639">
        <v>3</v>
      </c>
      <c r="I3639" t="s">
        <v>89</v>
      </c>
      <c r="J3639">
        <v>25.84</v>
      </c>
      <c r="K3639">
        <v>8</v>
      </c>
      <c r="L3639">
        <v>7</v>
      </c>
      <c r="M3639" t="s">
        <v>5596</v>
      </c>
      <c r="N3639">
        <v>6</v>
      </c>
      <c r="O3639">
        <v>11.67</v>
      </c>
      <c r="P3639">
        <v>122997.85</v>
      </c>
      <c r="Q3639">
        <v>95329.65</v>
      </c>
      <c r="R3639">
        <v>512</v>
      </c>
      <c r="S3639">
        <v>1622</v>
      </c>
      <c r="T3639" t="s">
        <v>34</v>
      </c>
      <c r="U3639" t="s">
        <v>31</v>
      </c>
    </row>
    <row r="3640" spans="1:21">
      <c r="A3640" t="s">
        <v>5736</v>
      </c>
      <c r="B3640" t="s">
        <v>5732</v>
      </c>
      <c r="C3640" t="s">
        <v>5608</v>
      </c>
      <c r="D3640">
        <v>125000</v>
      </c>
      <c r="E3640">
        <v>11000</v>
      </c>
      <c r="G3640">
        <v>125000</v>
      </c>
      <c r="H3640">
        <v>4</v>
      </c>
      <c r="I3640" t="s">
        <v>89</v>
      </c>
      <c r="J3640">
        <v>25.52</v>
      </c>
      <c r="K3640">
        <v>8</v>
      </c>
      <c r="L3640">
        <v>7</v>
      </c>
      <c r="M3640" t="s">
        <v>5596</v>
      </c>
      <c r="N3640">
        <v>6</v>
      </c>
      <c r="O3640">
        <v>11.67</v>
      </c>
      <c r="P3640">
        <v>122997.85</v>
      </c>
      <c r="Q3640">
        <v>95329.65</v>
      </c>
      <c r="R3640">
        <v>512</v>
      </c>
      <c r="S3640">
        <v>1622</v>
      </c>
      <c r="T3640" t="s">
        <v>34</v>
      </c>
      <c r="U3640" t="s">
        <v>31</v>
      </c>
    </row>
    <row r="3641" spans="1:21">
      <c r="A3641" t="s">
        <v>5737</v>
      </c>
      <c r="B3641" t="s">
        <v>5732</v>
      </c>
      <c r="C3641" t="s">
        <v>5608</v>
      </c>
      <c r="D3641">
        <v>125000</v>
      </c>
      <c r="E3641">
        <v>11000</v>
      </c>
      <c r="G3641">
        <v>125000</v>
      </c>
      <c r="H3641">
        <v>4</v>
      </c>
      <c r="I3641" t="s">
        <v>89</v>
      </c>
      <c r="J3641">
        <v>25.56</v>
      </c>
      <c r="K3641">
        <v>8</v>
      </c>
      <c r="L3641">
        <v>7</v>
      </c>
      <c r="M3641" t="s">
        <v>5596</v>
      </c>
      <c r="N3641">
        <v>6</v>
      </c>
      <c r="O3641">
        <v>11.67</v>
      </c>
      <c r="P3641">
        <v>122997.85</v>
      </c>
      <c r="Q3641">
        <v>95329.65</v>
      </c>
      <c r="R3641">
        <v>512</v>
      </c>
      <c r="S3641">
        <v>1622</v>
      </c>
      <c r="T3641" t="s">
        <v>34</v>
      </c>
      <c r="U3641" t="s">
        <v>31</v>
      </c>
    </row>
    <row r="3642" spans="1:21">
      <c r="A3642" t="s">
        <v>5738</v>
      </c>
      <c r="B3642" t="s">
        <v>5732</v>
      </c>
      <c r="C3642" t="s">
        <v>5608</v>
      </c>
      <c r="D3642">
        <v>126000</v>
      </c>
      <c r="E3642">
        <v>11000</v>
      </c>
      <c r="G3642">
        <v>126000</v>
      </c>
      <c r="H3642">
        <v>4</v>
      </c>
      <c r="I3642" t="s">
        <v>89</v>
      </c>
      <c r="J3642">
        <v>25.82</v>
      </c>
      <c r="K3642">
        <v>8</v>
      </c>
      <c r="L3642">
        <v>7</v>
      </c>
      <c r="M3642" t="s">
        <v>5596</v>
      </c>
      <c r="N3642">
        <v>6</v>
      </c>
      <c r="O3642">
        <v>11.67</v>
      </c>
      <c r="P3642">
        <v>122997.85</v>
      </c>
      <c r="Q3642">
        <v>95329.65</v>
      </c>
      <c r="R3642">
        <v>512</v>
      </c>
      <c r="S3642">
        <v>1622</v>
      </c>
      <c r="T3642" t="s">
        <v>34</v>
      </c>
      <c r="U3642" t="s">
        <v>31</v>
      </c>
    </row>
    <row r="3643" spans="1:21">
      <c r="A3643" t="s">
        <v>5739</v>
      </c>
      <c r="B3643" t="s">
        <v>5732</v>
      </c>
      <c r="C3643" t="s">
        <v>5608</v>
      </c>
      <c r="D3643">
        <v>115000</v>
      </c>
      <c r="E3643">
        <v>10000</v>
      </c>
      <c r="G3643">
        <v>115000</v>
      </c>
      <c r="H3643">
        <v>6</v>
      </c>
      <c r="I3643" t="s">
        <v>89</v>
      </c>
      <c r="J3643">
        <v>25.52</v>
      </c>
      <c r="K3643">
        <v>8</v>
      </c>
      <c r="L3643">
        <v>7</v>
      </c>
      <c r="M3643" t="s">
        <v>5596</v>
      </c>
      <c r="N3643">
        <v>6</v>
      </c>
      <c r="O3643">
        <v>11.67</v>
      </c>
      <c r="P3643">
        <v>122997.85</v>
      </c>
      <c r="Q3643">
        <v>95329.65</v>
      </c>
      <c r="R3643">
        <v>512</v>
      </c>
      <c r="S3643">
        <v>1622</v>
      </c>
      <c r="T3643" t="s">
        <v>34</v>
      </c>
      <c r="U3643" t="s">
        <v>31</v>
      </c>
    </row>
    <row r="3644" spans="1:21">
      <c r="A3644" t="s">
        <v>5740</v>
      </c>
      <c r="B3644" t="s">
        <v>5732</v>
      </c>
      <c r="C3644" t="s">
        <v>5608</v>
      </c>
      <c r="D3644">
        <v>127000</v>
      </c>
      <c r="E3644">
        <v>11000</v>
      </c>
      <c r="G3644">
        <v>127000</v>
      </c>
      <c r="H3644">
        <v>6</v>
      </c>
      <c r="I3644" t="s">
        <v>89</v>
      </c>
      <c r="J3644">
        <v>25.52</v>
      </c>
      <c r="K3644">
        <v>8</v>
      </c>
      <c r="L3644">
        <v>7</v>
      </c>
      <c r="M3644" t="s">
        <v>5596</v>
      </c>
      <c r="N3644">
        <v>6</v>
      </c>
      <c r="O3644">
        <v>11.67</v>
      </c>
      <c r="P3644">
        <v>122997.85</v>
      </c>
      <c r="Q3644">
        <v>95329.65</v>
      </c>
      <c r="R3644">
        <v>512</v>
      </c>
      <c r="S3644">
        <v>1622</v>
      </c>
      <c r="T3644" t="s">
        <v>34</v>
      </c>
      <c r="U3644" t="s">
        <v>31</v>
      </c>
    </row>
    <row r="3645" spans="1:21">
      <c r="A3645" t="s">
        <v>5741</v>
      </c>
      <c r="B3645" t="s">
        <v>5732</v>
      </c>
      <c r="C3645" t="s">
        <v>5608</v>
      </c>
      <c r="D3645">
        <v>137000</v>
      </c>
      <c r="E3645">
        <v>11000</v>
      </c>
      <c r="G3645">
        <v>137000</v>
      </c>
      <c r="H3645">
        <v>7</v>
      </c>
      <c r="I3645" t="s">
        <v>89</v>
      </c>
      <c r="J3645">
        <v>25.56</v>
      </c>
      <c r="K3645">
        <v>8</v>
      </c>
      <c r="L3645">
        <v>7</v>
      </c>
      <c r="M3645" t="s">
        <v>5596</v>
      </c>
      <c r="N3645">
        <v>6</v>
      </c>
      <c r="O3645">
        <v>11.67</v>
      </c>
      <c r="P3645">
        <v>122997.85</v>
      </c>
      <c r="Q3645">
        <v>95329.65</v>
      </c>
      <c r="R3645">
        <v>512</v>
      </c>
      <c r="S3645">
        <v>1622</v>
      </c>
      <c r="T3645" t="s">
        <v>34</v>
      </c>
      <c r="U3645" t="s">
        <v>31</v>
      </c>
    </row>
    <row r="3646" spans="1:21">
      <c r="A3646" t="s">
        <v>5742</v>
      </c>
      <c r="B3646" t="s">
        <v>5732</v>
      </c>
      <c r="C3646" t="s">
        <v>5608</v>
      </c>
      <c r="D3646">
        <v>128000</v>
      </c>
      <c r="E3646">
        <v>11000</v>
      </c>
      <c r="G3646">
        <v>128000</v>
      </c>
      <c r="H3646">
        <v>7</v>
      </c>
      <c r="I3646" t="s">
        <v>89</v>
      </c>
      <c r="J3646">
        <v>25.82</v>
      </c>
      <c r="K3646">
        <v>8</v>
      </c>
      <c r="L3646">
        <v>7</v>
      </c>
      <c r="M3646" t="s">
        <v>5596</v>
      </c>
      <c r="N3646">
        <v>6</v>
      </c>
      <c r="O3646">
        <v>11.67</v>
      </c>
      <c r="P3646">
        <v>122997.85</v>
      </c>
      <c r="Q3646">
        <v>95329.65</v>
      </c>
      <c r="R3646">
        <v>512</v>
      </c>
      <c r="S3646">
        <v>1622</v>
      </c>
      <c r="T3646" t="s">
        <v>34</v>
      </c>
      <c r="U3646" t="s">
        <v>31</v>
      </c>
    </row>
    <row r="3647" spans="1:21">
      <c r="A3647" t="s">
        <v>5743</v>
      </c>
      <c r="B3647" t="s">
        <v>5744</v>
      </c>
      <c r="C3647" t="s">
        <v>5608</v>
      </c>
      <c r="D3647">
        <v>73000</v>
      </c>
      <c r="E3647">
        <v>5000</v>
      </c>
      <c r="F3647">
        <v>73000</v>
      </c>
      <c r="G3647">
        <v>146000</v>
      </c>
      <c r="H3647">
        <v>6</v>
      </c>
      <c r="I3647" t="s">
        <v>89</v>
      </c>
      <c r="J3647">
        <v>22.79</v>
      </c>
      <c r="K3647">
        <v>22</v>
      </c>
      <c r="L3647">
        <v>7</v>
      </c>
      <c r="M3647" t="s">
        <v>5596</v>
      </c>
      <c r="N3647">
        <v>4</v>
      </c>
      <c r="O3647">
        <v>10.67</v>
      </c>
      <c r="P3647">
        <v>122997.85</v>
      </c>
      <c r="Q3647">
        <v>95329.65</v>
      </c>
      <c r="R3647">
        <v>512</v>
      </c>
      <c r="S3647">
        <v>1622</v>
      </c>
      <c r="T3647" t="s">
        <v>34</v>
      </c>
      <c r="U3647" t="s">
        <v>27</v>
      </c>
    </row>
    <row r="3648" spans="1:21">
      <c r="A3648" t="s">
        <v>5745</v>
      </c>
      <c r="B3648" t="s">
        <v>5746</v>
      </c>
      <c r="C3648" t="s">
        <v>5608</v>
      </c>
      <c r="D3648">
        <v>74000</v>
      </c>
      <c r="E3648">
        <v>4000</v>
      </c>
      <c r="H3648">
        <v>2</v>
      </c>
      <c r="I3648" t="s">
        <v>89</v>
      </c>
      <c r="J3648">
        <v>20.440000000000001</v>
      </c>
      <c r="K3648">
        <v>14</v>
      </c>
      <c r="L3648">
        <v>2</v>
      </c>
      <c r="M3648" t="s">
        <v>5596</v>
      </c>
      <c r="N3648">
        <v>5</v>
      </c>
      <c r="O3648">
        <v>11.67</v>
      </c>
      <c r="P3648">
        <v>122997.85</v>
      </c>
      <c r="Q3648">
        <v>95329.65</v>
      </c>
      <c r="R3648">
        <v>512</v>
      </c>
      <c r="S3648">
        <v>1622</v>
      </c>
      <c r="T3648" t="s">
        <v>34</v>
      </c>
      <c r="U3648" t="s">
        <v>90</v>
      </c>
    </row>
    <row r="3649" spans="1:21">
      <c r="A3649" t="s">
        <v>5747</v>
      </c>
      <c r="B3649" t="s">
        <v>5748</v>
      </c>
      <c r="C3649" t="s">
        <v>712</v>
      </c>
      <c r="D3649">
        <v>90000</v>
      </c>
      <c r="E3649">
        <v>2000</v>
      </c>
      <c r="H3649">
        <v>1</v>
      </c>
      <c r="I3649" t="s">
        <v>89</v>
      </c>
      <c r="J3649">
        <v>28.15</v>
      </c>
      <c r="K3649">
        <v>17</v>
      </c>
      <c r="L3649">
        <v>2</v>
      </c>
      <c r="M3649" t="s">
        <v>5596</v>
      </c>
      <c r="N3649">
        <v>8</v>
      </c>
      <c r="O3649">
        <v>11</v>
      </c>
      <c r="P3649">
        <v>122997.85</v>
      </c>
      <c r="Q3649">
        <v>95329.65</v>
      </c>
      <c r="R3649">
        <v>512</v>
      </c>
      <c r="S3649">
        <v>1622</v>
      </c>
      <c r="T3649" t="s">
        <v>34</v>
      </c>
      <c r="U3649" t="s">
        <v>90</v>
      </c>
    </row>
    <row r="3650" spans="1:21">
      <c r="A3650" t="s">
        <v>5747</v>
      </c>
      <c r="B3650" t="s">
        <v>5748</v>
      </c>
      <c r="C3650" t="s">
        <v>712</v>
      </c>
      <c r="D3650">
        <v>90000</v>
      </c>
      <c r="E3650">
        <v>2000</v>
      </c>
      <c r="H3650">
        <v>2</v>
      </c>
      <c r="I3650" t="s">
        <v>89</v>
      </c>
      <c r="J3650">
        <v>28.15</v>
      </c>
      <c r="K3650">
        <v>17</v>
      </c>
      <c r="L3650">
        <v>2</v>
      </c>
      <c r="M3650" t="s">
        <v>5596</v>
      </c>
      <c r="N3650">
        <v>8</v>
      </c>
      <c r="O3650">
        <v>11</v>
      </c>
      <c r="P3650">
        <v>122997.85</v>
      </c>
      <c r="Q3650">
        <v>95329.65</v>
      </c>
      <c r="R3650">
        <v>512</v>
      </c>
      <c r="S3650">
        <v>1622</v>
      </c>
      <c r="T3650" t="s">
        <v>34</v>
      </c>
      <c r="U3650" t="s">
        <v>90</v>
      </c>
    </row>
    <row r="3651" spans="1:21">
      <c r="A3651" t="s">
        <v>5749</v>
      </c>
      <c r="B3651" t="s">
        <v>5750</v>
      </c>
      <c r="C3651" t="s">
        <v>5608</v>
      </c>
      <c r="D3651">
        <v>89000</v>
      </c>
      <c r="E3651">
        <v>4000</v>
      </c>
      <c r="G3651">
        <v>89000</v>
      </c>
      <c r="H3651">
        <v>1</v>
      </c>
      <c r="I3651" t="s">
        <v>89</v>
      </c>
      <c r="J3651">
        <v>26.27</v>
      </c>
      <c r="K3651">
        <v>22</v>
      </c>
      <c r="L3651">
        <v>2</v>
      </c>
      <c r="M3651" t="s">
        <v>5596</v>
      </c>
      <c r="N3651">
        <v>5</v>
      </c>
      <c r="O3651">
        <v>11</v>
      </c>
      <c r="P3651">
        <v>122997.85</v>
      </c>
      <c r="Q3651">
        <v>95329.65</v>
      </c>
      <c r="R3651">
        <v>512</v>
      </c>
      <c r="S3651">
        <v>1622</v>
      </c>
      <c r="T3651" t="s">
        <v>34</v>
      </c>
      <c r="U3651" t="s">
        <v>27</v>
      </c>
    </row>
    <row r="3652" spans="1:21">
      <c r="A3652" t="s">
        <v>5751</v>
      </c>
      <c r="B3652" t="s">
        <v>5750</v>
      </c>
      <c r="C3652" t="s">
        <v>5608</v>
      </c>
      <c r="D3652">
        <v>92000</v>
      </c>
      <c r="E3652">
        <v>4000</v>
      </c>
      <c r="G3652">
        <v>92000</v>
      </c>
      <c r="H3652">
        <v>2</v>
      </c>
      <c r="I3652" t="s">
        <v>89</v>
      </c>
      <c r="J3652">
        <v>26.27</v>
      </c>
      <c r="K3652">
        <v>22</v>
      </c>
      <c r="L3652">
        <v>2</v>
      </c>
      <c r="M3652" t="s">
        <v>5596</v>
      </c>
      <c r="N3652">
        <v>5</v>
      </c>
      <c r="O3652">
        <v>11</v>
      </c>
      <c r="P3652">
        <v>122997.85</v>
      </c>
      <c r="Q3652">
        <v>95329.65</v>
      </c>
      <c r="R3652">
        <v>512</v>
      </c>
      <c r="S3652">
        <v>1622</v>
      </c>
      <c r="T3652" t="s">
        <v>34</v>
      </c>
      <c r="U3652" t="s">
        <v>27</v>
      </c>
    </row>
    <row r="3653" spans="1:21">
      <c r="A3653" t="s">
        <v>5752</v>
      </c>
      <c r="B3653" t="s">
        <v>5753</v>
      </c>
      <c r="C3653" t="s">
        <v>712</v>
      </c>
      <c r="D3653">
        <v>67000</v>
      </c>
      <c r="E3653">
        <v>3000</v>
      </c>
      <c r="H3653">
        <v>2</v>
      </c>
      <c r="I3653" t="s">
        <v>89</v>
      </c>
      <c r="J3653">
        <v>24.84</v>
      </c>
      <c r="K3653">
        <v>36</v>
      </c>
      <c r="L3653">
        <v>2</v>
      </c>
      <c r="M3653" t="s">
        <v>5596</v>
      </c>
      <c r="N3653">
        <v>5</v>
      </c>
      <c r="O3653">
        <v>11</v>
      </c>
      <c r="P3653">
        <v>122997.85</v>
      </c>
      <c r="Q3653">
        <v>95329.65</v>
      </c>
      <c r="R3653">
        <v>512</v>
      </c>
      <c r="S3653">
        <v>1622</v>
      </c>
      <c r="T3653" t="s">
        <v>34</v>
      </c>
      <c r="U3653" t="s">
        <v>49</v>
      </c>
    </row>
    <row r="3654" spans="1:21">
      <c r="A3654" t="s">
        <v>5754</v>
      </c>
      <c r="B3654" t="s">
        <v>5755</v>
      </c>
      <c r="C3654" t="s">
        <v>2033</v>
      </c>
      <c r="D3654">
        <v>86000</v>
      </c>
      <c r="E3654">
        <v>6000</v>
      </c>
      <c r="F3654">
        <v>129000</v>
      </c>
      <c r="G3654">
        <v>86000</v>
      </c>
      <c r="H3654">
        <v>6</v>
      </c>
      <c r="I3654" t="s">
        <v>89</v>
      </c>
      <c r="J3654">
        <v>23.9</v>
      </c>
      <c r="K3654">
        <v>28</v>
      </c>
      <c r="L3654">
        <v>6</v>
      </c>
      <c r="M3654" t="s">
        <v>5596</v>
      </c>
      <c r="N3654">
        <v>8</v>
      </c>
      <c r="O3654">
        <v>11.33</v>
      </c>
      <c r="P3654">
        <v>122997.85</v>
      </c>
      <c r="Q3654">
        <v>95329.65</v>
      </c>
      <c r="R3654">
        <v>512</v>
      </c>
      <c r="S3654">
        <v>1622</v>
      </c>
      <c r="T3654" t="s">
        <v>34</v>
      </c>
      <c r="U3654" t="s">
        <v>27</v>
      </c>
    </row>
    <row r="3655" spans="1:21">
      <c r="A3655" t="s">
        <v>5756</v>
      </c>
      <c r="B3655" t="s">
        <v>5757</v>
      </c>
      <c r="C3655" t="s">
        <v>712</v>
      </c>
      <c r="D3655">
        <v>78000</v>
      </c>
      <c r="E3655">
        <v>20000</v>
      </c>
      <c r="G3655">
        <v>78000</v>
      </c>
      <c r="H3655">
        <v>3</v>
      </c>
      <c r="I3655" t="s">
        <v>89</v>
      </c>
      <c r="J3655">
        <v>21</v>
      </c>
      <c r="K3655">
        <v>23</v>
      </c>
      <c r="L3655">
        <v>10</v>
      </c>
      <c r="M3655" t="s">
        <v>5596</v>
      </c>
      <c r="N3655">
        <v>4</v>
      </c>
      <c r="O3655">
        <v>10.67</v>
      </c>
      <c r="P3655">
        <v>122997.85</v>
      </c>
      <c r="Q3655">
        <v>95329.65</v>
      </c>
      <c r="R3655">
        <v>512</v>
      </c>
      <c r="S3655">
        <v>1622</v>
      </c>
      <c r="T3655" t="s">
        <v>34</v>
      </c>
      <c r="U3655" t="s">
        <v>27</v>
      </c>
    </row>
    <row r="3656" spans="1:21">
      <c r="A3656" t="s">
        <v>5758</v>
      </c>
      <c r="B3656" t="s">
        <v>5757</v>
      </c>
      <c r="C3656" t="s">
        <v>712</v>
      </c>
      <c r="D3656">
        <v>79000</v>
      </c>
      <c r="E3656">
        <v>10000</v>
      </c>
      <c r="F3656">
        <v>79000</v>
      </c>
      <c r="G3656">
        <v>79000</v>
      </c>
      <c r="H3656">
        <v>5</v>
      </c>
      <c r="I3656" t="s">
        <v>89</v>
      </c>
      <c r="J3656">
        <v>21.45</v>
      </c>
      <c r="K3656">
        <v>23</v>
      </c>
      <c r="L3656">
        <v>10</v>
      </c>
      <c r="M3656" t="s">
        <v>5596</v>
      </c>
      <c r="N3656">
        <v>4</v>
      </c>
      <c r="O3656">
        <v>10.67</v>
      </c>
      <c r="P3656">
        <v>122997.85</v>
      </c>
      <c r="Q3656">
        <v>95329.65</v>
      </c>
      <c r="R3656">
        <v>512</v>
      </c>
      <c r="S3656">
        <v>1622</v>
      </c>
      <c r="T3656" t="s">
        <v>34</v>
      </c>
      <c r="U3656" t="s">
        <v>27</v>
      </c>
    </row>
    <row r="3657" spans="1:21">
      <c r="A3657" t="s">
        <v>5759</v>
      </c>
      <c r="B3657" t="s">
        <v>5760</v>
      </c>
      <c r="C3657" t="s">
        <v>4356</v>
      </c>
      <c r="D3657">
        <v>60000</v>
      </c>
      <c r="E3657">
        <v>7000</v>
      </c>
      <c r="F3657">
        <v>60000</v>
      </c>
      <c r="G3657">
        <v>60000</v>
      </c>
      <c r="H3657">
        <v>5</v>
      </c>
      <c r="I3657" t="s">
        <v>89</v>
      </c>
      <c r="J3657">
        <v>20.95</v>
      </c>
      <c r="K3657">
        <v>38</v>
      </c>
      <c r="L3657">
        <v>5</v>
      </c>
      <c r="M3657" t="s">
        <v>5596</v>
      </c>
      <c r="N3657">
        <v>8</v>
      </c>
      <c r="O3657">
        <v>11</v>
      </c>
      <c r="P3657">
        <v>122997.85</v>
      </c>
      <c r="Q3657">
        <v>95329.65</v>
      </c>
      <c r="R3657">
        <v>512</v>
      </c>
      <c r="S3657">
        <v>1622</v>
      </c>
      <c r="T3657" t="s">
        <v>34</v>
      </c>
      <c r="U3657" t="s">
        <v>49</v>
      </c>
    </row>
    <row r="3658" spans="1:21">
      <c r="A3658" t="s">
        <v>5761</v>
      </c>
      <c r="B3658" t="s">
        <v>5762</v>
      </c>
      <c r="C3658" t="s">
        <v>712</v>
      </c>
      <c r="D3658">
        <v>111000</v>
      </c>
      <c r="E3658">
        <v>15000</v>
      </c>
      <c r="G3658">
        <v>222000</v>
      </c>
      <c r="H3658">
        <v>5</v>
      </c>
      <c r="I3658" t="s">
        <v>89</v>
      </c>
      <c r="J3658">
        <v>25.74</v>
      </c>
      <c r="K3658">
        <v>7</v>
      </c>
      <c r="L3658">
        <v>9</v>
      </c>
      <c r="M3658" t="s">
        <v>5596</v>
      </c>
      <c r="N3658">
        <v>7</v>
      </c>
      <c r="O3658">
        <v>9.33</v>
      </c>
      <c r="P3658">
        <v>122997.85</v>
      </c>
      <c r="Q3658">
        <v>95329.65</v>
      </c>
      <c r="R3658">
        <v>512</v>
      </c>
      <c r="S3658">
        <v>1622</v>
      </c>
      <c r="T3658" t="s">
        <v>34</v>
      </c>
      <c r="U3658" t="s">
        <v>31</v>
      </c>
    </row>
    <row r="3659" spans="1:21">
      <c r="A3659" t="s">
        <v>5763</v>
      </c>
      <c r="B3659" t="s">
        <v>5762</v>
      </c>
      <c r="C3659" t="s">
        <v>712</v>
      </c>
      <c r="D3659">
        <v>110000</v>
      </c>
      <c r="E3659">
        <v>15000</v>
      </c>
      <c r="G3659">
        <v>222000</v>
      </c>
      <c r="H3659">
        <v>5</v>
      </c>
      <c r="I3659" t="s">
        <v>89</v>
      </c>
      <c r="J3659">
        <v>25.74</v>
      </c>
      <c r="K3659">
        <v>7</v>
      </c>
      <c r="L3659">
        <v>9</v>
      </c>
      <c r="M3659" t="s">
        <v>5596</v>
      </c>
      <c r="N3659">
        <v>7</v>
      </c>
      <c r="O3659">
        <v>9.33</v>
      </c>
      <c r="P3659">
        <v>122997.85</v>
      </c>
      <c r="Q3659">
        <v>95329.65</v>
      </c>
      <c r="R3659">
        <v>512</v>
      </c>
      <c r="S3659">
        <v>1622</v>
      </c>
      <c r="T3659" t="s">
        <v>34</v>
      </c>
      <c r="U3659" t="s">
        <v>31</v>
      </c>
    </row>
    <row r="3660" spans="1:21">
      <c r="A3660" t="s">
        <v>5764</v>
      </c>
      <c r="B3660" t="s">
        <v>5762</v>
      </c>
      <c r="C3660" t="s">
        <v>712</v>
      </c>
      <c r="D3660">
        <v>101000</v>
      </c>
      <c r="E3660">
        <v>12000</v>
      </c>
      <c r="F3660">
        <v>101000</v>
      </c>
      <c r="G3660">
        <v>101000</v>
      </c>
      <c r="H3660">
        <v>6</v>
      </c>
      <c r="I3660" t="s">
        <v>89</v>
      </c>
      <c r="J3660">
        <v>25.78</v>
      </c>
      <c r="K3660">
        <v>7</v>
      </c>
      <c r="L3660">
        <v>9</v>
      </c>
      <c r="M3660" t="s">
        <v>5596</v>
      </c>
      <c r="N3660">
        <v>7</v>
      </c>
      <c r="O3660">
        <v>9.33</v>
      </c>
      <c r="P3660">
        <v>122997.85</v>
      </c>
      <c r="Q3660">
        <v>95329.65</v>
      </c>
      <c r="R3660">
        <v>512</v>
      </c>
      <c r="S3660">
        <v>1622</v>
      </c>
      <c r="T3660" t="s">
        <v>34</v>
      </c>
      <c r="U3660" t="s">
        <v>31</v>
      </c>
    </row>
    <row r="3661" spans="1:21">
      <c r="A3661" t="s">
        <v>5765</v>
      </c>
      <c r="B3661" t="s">
        <v>5766</v>
      </c>
      <c r="C3661" t="s">
        <v>712</v>
      </c>
      <c r="D3661">
        <v>70000</v>
      </c>
      <c r="E3661">
        <v>8000</v>
      </c>
      <c r="H3661">
        <v>4</v>
      </c>
      <c r="I3661" t="s">
        <v>89</v>
      </c>
      <c r="J3661">
        <v>16.5</v>
      </c>
      <c r="K3661">
        <v>32</v>
      </c>
      <c r="L3661">
        <v>8</v>
      </c>
      <c r="M3661" t="s">
        <v>5596</v>
      </c>
      <c r="N3661">
        <v>2</v>
      </c>
      <c r="O3661">
        <v>8.67</v>
      </c>
      <c r="P3661">
        <v>122997.85</v>
      </c>
      <c r="Q3661">
        <v>95329.65</v>
      </c>
      <c r="R3661">
        <v>512</v>
      </c>
      <c r="S3661">
        <v>1622</v>
      </c>
      <c r="T3661" t="s">
        <v>108</v>
      </c>
      <c r="U3661" t="s">
        <v>49</v>
      </c>
    </row>
    <row r="3662" spans="1:21">
      <c r="A3662" t="s">
        <v>5767</v>
      </c>
      <c r="B3662" t="s">
        <v>5768</v>
      </c>
      <c r="C3662" t="s">
        <v>5608</v>
      </c>
      <c r="D3662">
        <v>89000</v>
      </c>
      <c r="E3662">
        <v>5000</v>
      </c>
      <c r="F3662">
        <v>89000</v>
      </c>
      <c r="G3662">
        <v>178000</v>
      </c>
      <c r="H3662">
        <v>1</v>
      </c>
      <c r="I3662" t="s">
        <v>89</v>
      </c>
      <c r="J3662">
        <v>25.47</v>
      </c>
      <c r="K3662">
        <v>16</v>
      </c>
      <c r="L3662">
        <v>7</v>
      </c>
      <c r="M3662" t="s">
        <v>5596</v>
      </c>
      <c r="N3662">
        <v>5</v>
      </c>
      <c r="O3662">
        <v>11.33</v>
      </c>
      <c r="P3662">
        <v>122997.85</v>
      </c>
      <c r="Q3662">
        <v>95329.65</v>
      </c>
      <c r="R3662">
        <v>512</v>
      </c>
      <c r="S3662">
        <v>1622</v>
      </c>
      <c r="T3662" t="s">
        <v>34</v>
      </c>
      <c r="U3662" t="s">
        <v>90</v>
      </c>
    </row>
    <row r="3663" spans="1:21">
      <c r="A3663" t="s">
        <v>5769</v>
      </c>
      <c r="B3663" t="s">
        <v>5768</v>
      </c>
      <c r="C3663" t="s">
        <v>5608</v>
      </c>
      <c r="D3663">
        <v>93000</v>
      </c>
      <c r="E3663">
        <v>5000</v>
      </c>
      <c r="F3663">
        <v>93000</v>
      </c>
      <c r="G3663">
        <v>186000</v>
      </c>
      <c r="H3663">
        <v>2</v>
      </c>
      <c r="I3663" t="s">
        <v>89</v>
      </c>
      <c r="J3663">
        <v>25.47</v>
      </c>
      <c r="K3663">
        <v>16</v>
      </c>
      <c r="L3663">
        <v>7</v>
      </c>
      <c r="M3663" t="s">
        <v>5596</v>
      </c>
      <c r="N3663">
        <v>5</v>
      </c>
      <c r="O3663">
        <v>11.33</v>
      </c>
      <c r="P3663">
        <v>122997.85</v>
      </c>
      <c r="Q3663">
        <v>95329.65</v>
      </c>
      <c r="R3663">
        <v>512</v>
      </c>
      <c r="S3663">
        <v>1622</v>
      </c>
      <c r="T3663" t="s">
        <v>34</v>
      </c>
      <c r="U3663" t="s">
        <v>90</v>
      </c>
    </row>
    <row r="3664" spans="1:21">
      <c r="A3664" t="s">
        <v>5770</v>
      </c>
      <c r="B3664" t="s">
        <v>5768</v>
      </c>
      <c r="C3664" t="s">
        <v>5608</v>
      </c>
      <c r="D3664">
        <v>98000</v>
      </c>
      <c r="E3664">
        <v>5000</v>
      </c>
      <c r="F3664">
        <v>98000</v>
      </c>
      <c r="G3664">
        <v>196000</v>
      </c>
      <c r="H3664">
        <v>3</v>
      </c>
      <c r="I3664" t="s">
        <v>89</v>
      </c>
      <c r="J3664">
        <v>25.47</v>
      </c>
      <c r="K3664">
        <v>16</v>
      </c>
      <c r="L3664">
        <v>7</v>
      </c>
      <c r="M3664" t="s">
        <v>5596</v>
      </c>
      <c r="N3664">
        <v>5</v>
      </c>
      <c r="O3664">
        <v>11.33</v>
      </c>
      <c r="P3664">
        <v>122997.85</v>
      </c>
      <c r="Q3664">
        <v>95329.65</v>
      </c>
      <c r="R3664">
        <v>512</v>
      </c>
      <c r="S3664">
        <v>1622</v>
      </c>
      <c r="T3664" t="s">
        <v>34</v>
      </c>
      <c r="U3664" t="s">
        <v>90</v>
      </c>
    </row>
    <row r="3665" spans="1:21">
      <c r="A3665" t="s">
        <v>5771</v>
      </c>
      <c r="B3665" t="s">
        <v>5772</v>
      </c>
      <c r="C3665" t="s">
        <v>5608</v>
      </c>
      <c r="D3665">
        <v>93000</v>
      </c>
      <c r="E3665">
        <v>5000</v>
      </c>
      <c r="F3665">
        <v>93000</v>
      </c>
      <c r="H3665">
        <v>3</v>
      </c>
      <c r="I3665" t="s">
        <v>89</v>
      </c>
      <c r="J3665">
        <v>21.4</v>
      </c>
      <c r="K3665">
        <v>5</v>
      </c>
      <c r="L3665">
        <v>4</v>
      </c>
      <c r="M3665" t="s">
        <v>5596</v>
      </c>
      <c r="N3665">
        <v>11</v>
      </c>
      <c r="O3665">
        <v>13</v>
      </c>
      <c r="P3665">
        <v>122997.85</v>
      </c>
      <c r="Q3665">
        <v>95329.65</v>
      </c>
      <c r="R3665">
        <v>512</v>
      </c>
      <c r="S3665">
        <v>1622</v>
      </c>
      <c r="T3665" t="s">
        <v>34</v>
      </c>
      <c r="U3665" t="s">
        <v>31</v>
      </c>
    </row>
    <row r="3666" spans="1:21">
      <c r="A3666" t="s">
        <v>5773</v>
      </c>
      <c r="B3666" t="s">
        <v>5774</v>
      </c>
      <c r="C3666" t="s">
        <v>5608</v>
      </c>
      <c r="D3666">
        <v>68000</v>
      </c>
      <c r="F3666">
        <v>68000</v>
      </c>
      <c r="G3666">
        <v>68000</v>
      </c>
      <c r="H3666">
        <v>5</v>
      </c>
      <c r="I3666" t="s">
        <v>89</v>
      </c>
      <c r="J3666">
        <v>17.55</v>
      </c>
      <c r="K3666">
        <v>38</v>
      </c>
      <c r="L3666">
        <v>6</v>
      </c>
      <c r="M3666" t="s">
        <v>5596</v>
      </c>
      <c r="N3666">
        <v>7</v>
      </c>
      <c r="O3666">
        <v>11.67</v>
      </c>
      <c r="P3666">
        <v>122997.85</v>
      </c>
      <c r="Q3666">
        <v>95329.65</v>
      </c>
      <c r="R3666">
        <v>512</v>
      </c>
      <c r="S3666">
        <v>1622</v>
      </c>
      <c r="T3666" t="s">
        <v>108</v>
      </c>
      <c r="U3666" t="s">
        <v>49</v>
      </c>
    </row>
    <row r="3667" spans="1:21">
      <c r="A3667" t="s">
        <v>5775</v>
      </c>
      <c r="B3667" t="s">
        <v>5776</v>
      </c>
      <c r="C3667" t="s">
        <v>4547</v>
      </c>
      <c r="D3667">
        <v>80000</v>
      </c>
      <c r="E3667">
        <v>3000</v>
      </c>
      <c r="F3667">
        <v>80000</v>
      </c>
      <c r="G3667">
        <v>80000</v>
      </c>
      <c r="H3667">
        <v>1</v>
      </c>
      <c r="I3667" t="s">
        <v>89</v>
      </c>
      <c r="J3667">
        <v>26.24</v>
      </c>
      <c r="K3667">
        <v>16</v>
      </c>
      <c r="L3667">
        <v>3</v>
      </c>
      <c r="M3667" t="s">
        <v>5596</v>
      </c>
      <c r="N3667">
        <v>8</v>
      </c>
      <c r="O3667">
        <v>11</v>
      </c>
      <c r="P3667">
        <v>122997.85</v>
      </c>
      <c r="Q3667">
        <v>95329.65</v>
      </c>
      <c r="R3667">
        <v>512</v>
      </c>
      <c r="S3667">
        <v>1622</v>
      </c>
      <c r="T3667" t="s">
        <v>34</v>
      </c>
      <c r="U3667" t="s">
        <v>90</v>
      </c>
    </row>
    <row r="3668" spans="1:21">
      <c r="A3668" t="s">
        <v>5777</v>
      </c>
      <c r="B3668" t="s">
        <v>5776</v>
      </c>
      <c r="C3668" t="s">
        <v>4547</v>
      </c>
      <c r="D3668">
        <v>85000</v>
      </c>
      <c r="E3668">
        <v>3000</v>
      </c>
      <c r="F3668">
        <v>85000</v>
      </c>
      <c r="G3668">
        <v>85000</v>
      </c>
      <c r="H3668">
        <v>3</v>
      </c>
      <c r="I3668" t="s">
        <v>89</v>
      </c>
      <c r="J3668">
        <v>26.24</v>
      </c>
      <c r="K3668">
        <v>16</v>
      </c>
      <c r="L3668">
        <v>3</v>
      </c>
      <c r="M3668" t="s">
        <v>5596</v>
      </c>
      <c r="N3668">
        <v>8</v>
      </c>
      <c r="O3668">
        <v>11</v>
      </c>
      <c r="P3668">
        <v>122997.85</v>
      </c>
      <c r="Q3668">
        <v>95329.65</v>
      </c>
      <c r="R3668">
        <v>512</v>
      </c>
      <c r="S3668">
        <v>1622</v>
      </c>
      <c r="T3668" t="s">
        <v>34</v>
      </c>
      <c r="U3668" t="s">
        <v>90</v>
      </c>
    </row>
    <row r="3669" spans="1:21">
      <c r="A3669" t="s">
        <v>5778</v>
      </c>
      <c r="B3669" t="s">
        <v>5779</v>
      </c>
      <c r="C3669" t="s">
        <v>5601</v>
      </c>
      <c r="D3669">
        <v>62000</v>
      </c>
      <c r="E3669">
        <v>4000</v>
      </c>
      <c r="F3669">
        <v>62000</v>
      </c>
      <c r="G3669">
        <v>62000</v>
      </c>
      <c r="H3669">
        <v>3</v>
      </c>
      <c r="I3669" t="s">
        <v>89</v>
      </c>
      <c r="J3669">
        <v>18</v>
      </c>
      <c r="K3669">
        <v>37</v>
      </c>
      <c r="L3669">
        <v>4</v>
      </c>
      <c r="M3669" t="s">
        <v>5596</v>
      </c>
      <c r="N3669">
        <v>4</v>
      </c>
      <c r="O3669">
        <v>13.33</v>
      </c>
      <c r="P3669">
        <v>122997.85</v>
      </c>
      <c r="Q3669">
        <v>95329.65</v>
      </c>
      <c r="R3669">
        <v>512</v>
      </c>
      <c r="S3669">
        <v>1622</v>
      </c>
      <c r="T3669" t="s">
        <v>108</v>
      </c>
      <c r="U3669" t="s">
        <v>49</v>
      </c>
    </row>
    <row r="3670" spans="1:21">
      <c r="A3670" t="s">
        <v>5780</v>
      </c>
      <c r="B3670" t="s">
        <v>5630</v>
      </c>
      <c r="C3670" t="s">
        <v>2033</v>
      </c>
      <c r="D3670">
        <v>107500</v>
      </c>
      <c r="E3670">
        <v>15000</v>
      </c>
      <c r="H3670">
        <v>2</v>
      </c>
      <c r="I3670" t="s">
        <v>89</v>
      </c>
      <c r="J3670">
        <v>30.2</v>
      </c>
      <c r="K3670">
        <v>2</v>
      </c>
      <c r="L3670">
        <v>5</v>
      </c>
      <c r="M3670" t="s">
        <v>5596</v>
      </c>
      <c r="N3670">
        <v>9</v>
      </c>
      <c r="O3670">
        <v>13</v>
      </c>
      <c r="P3670">
        <v>122997.85</v>
      </c>
      <c r="Q3670">
        <v>95329.65</v>
      </c>
      <c r="R3670">
        <v>512</v>
      </c>
      <c r="S3670">
        <v>1622</v>
      </c>
      <c r="T3670" t="s">
        <v>26</v>
      </c>
      <c r="U3670" t="s">
        <v>31</v>
      </c>
    </row>
    <row r="3671" spans="1:21">
      <c r="A3671" t="s">
        <v>5781</v>
      </c>
      <c r="B3671" t="s">
        <v>5630</v>
      </c>
      <c r="C3671" t="s">
        <v>2033</v>
      </c>
      <c r="D3671">
        <v>100000</v>
      </c>
      <c r="E3671">
        <v>15000</v>
      </c>
      <c r="H3671">
        <v>4</v>
      </c>
      <c r="I3671" t="s">
        <v>89</v>
      </c>
      <c r="J3671">
        <v>25.27</v>
      </c>
      <c r="K3671">
        <v>2</v>
      </c>
      <c r="L3671">
        <v>5</v>
      </c>
      <c r="M3671" t="s">
        <v>5596</v>
      </c>
      <c r="N3671">
        <v>9</v>
      </c>
      <c r="O3671">
        <v>13</v>
      </c>
      <c r="P3671">
        <v>122997.85</v>
      </c>
      <c r="Q3671">
        <v>95329.65</v>
      </c>
      <c r="R3671">
        <v>512</v>
      </c>
      <c r="S3671">
        <v>1622</v>
      </c>
      <c r="T3671" t="s">
        <v>34</v>
      </c>
      <c r="U3671" t="s">
        <v>31</v>
      </c>
    </row>
    <row r="3672" spans="1:21">
      <c r="A3672" t="s">
        <v>5782</v>
      </c>
      <c r="B3672" t="s">
        <v>5783</v>
      </c>
      <c r="C3672" t="s">
        <v>5608</v>
      </c>
      <c r="D3672">
        <v>136000</v>
      </c>
      <c r="E3672">
        <v>11000</v>
      </c>
      <c r="G3672">
        <v>136000</v>
      </c>
      <c r="H3672">
        <v>2</v>
      </c>
      <c r="I3672" t="s">
        <v>89</v>
      </c>
      <c r="J3672">
        <v>26.1</v>
      </c>
      <c r="K3672">
        <v>9</v>
      </c>
      <c r="L3672">
        <v>9</v>
      </c>
      <c r="M3672" t="s">
        <v>5596</v>
      </c>
      <c r="N3672">
        <v>1</v>
      </c>
      <c r="O3672">
        <v>9.33</v>
      </c>
      <c r="P3672">
        <v>122997.85</v>
      </c>
      <c r="Q3672">
        <v>95329.65</v>
      </c>
      <c r="R3672">
        <v>512</v>
      </c>
      <c r="S3672">
        <v>1622</v>
      </c>
      <c r="T3672" t="s">
        <v>34</v>
      </c>
      <c r="U3672" t="s">
        <v>31</v>
      </c>
    </row>
    <row r="3673" spans="1:21">
      <c r="A3673" t="s">
        <v>5784</v>
      </c>
      <c r="B3673" t="s">
        <v>5783</v>
      </c>
      <c r="C3673" t="s">
        <v>5608</v>
      </c>
      <c r="D3673">
        <v>137000</v>
      </c>
      <c r="E3673">
        <v>11000</v>
      </c>
      <c r="G3673">
        <v>137000</v>
      </c>
      <c r="H3673">
        <v>8</v>
      </c>
      <c r="I3673" t="s">
        <v>89</v>
      </c>
      <c r="J3673">
        <v>26.1</v>
      </c>
      <c r="K3673">
        <v>9</v>
      </c>
      <c r="L3673">
        <v>9</v>
      </c>
      <c r="M3673" t="s">
        <v>5596</v>
      </c>
      <c r="N3673">
        <v>1</v>
      </c>
      <c r="O3673">
        <v>9.33</v>
      </c>
      <c r="P3673">
        <v>122997.85</v>
      </c>
      <c r="Q3673">
        <v>95329.65</v>
      </c>
      <c r="R3673">
        <v>512</v>
      </c>
      <c r="S3673">
        <v>1622</v>
      </c>
      <c r="T3673" t="s">
        <v>34</v>
      </c>
      <c r="U3673" t="s">
        <v>31</v>
      </c>
    </row>
    <row r="3674" spans="1:21">
      <c r="A3674" t="s">
        <v>5785</v>
      </c>
      <c r="B3674" t="s">
        <v>5786</v>
      </c>
      <c r="C3674" t="s">
        <v>2033</v>
      </c>
      <c r="D3674">
        <v>75000</v>
      </c>
      <c r="E3674">
        <v>6500</v>
      </c>
      <c r="G3674">
        <v>75000</v>
      </c>
      <c r="H3674">
        <v>1</v>
      </c>
      <c r="I3674" t="s">
        <v>89</v>
      </c>
      <c r="J3674">
        <v>18</v>
      </c>
      <c r="K3674">
        <v>38</v>
      </c>
      <c r="L3674">
        <v>2</v>
      </c>
      <c r="M3674" t="s">
        <v>5596</v>
      </c>
      <c r="N3674">
        <v>7</v>
      </c>
      <c r="O3674">
        <v>12.67</v>
      </c>
      <c r="P3674">
        <v>122997.85</v>
      </c>
      <c r="Q3674">
        <v>95329.65</v>
      </c>
      <c r="R3674">
        <v>512</v>
      </c>
      <c r="S3674">
        <v>1622</v>
      </c>
      <c r="T3674" t="s">
        <v>108</v>
      </c>
      <c r="U3674" t="s">
        <v>49</v>
      </c>
    </row>
    <row r="3675" spans="1:21">
      <c r="A3675" t="s">
        <v>5787</v>
      </c>
      <c r="B3675" t="s">
        <v>5788</v>
      </c>
      <c r="C3675" t="s">
        <v>4027</v>
      </c>
      <c r="D3675">
        <v>117000</v>
      </c>
      <c r="F3675">
        <v>117000</v>
      </c>
      <c r="G3675">
        <v>117000</v>
      </c>
      <c r="H3675">
        <v>1</v>
      </c>
      <c r="I3675" t="s">
        <v>89</v>
      </c>
      <c r="J3675">
        <v>33.29</v>
      </c>
      <c r="K3675">
        <v>0</v>
      </c>
      <c r="L3675">
        <v>2</v>
      </c>
      <c r="M3675" t="s">
        <v>5596</v>
      </c>
      <c r="N3675">
        <v>9</v>
      </c>
      <c r="O3675">
        <v>11</v>
      </c>
      <c r="P3675">
        <v>122997.85</v>
      </c>
      <c r="Q3675">
        <v>95329.65</v>
      </c>
      <c r="R3675">
        <v>512</v>
      </c>
      <c r="S3675">
        <v>1622</v>
      </c>
      <c r="T3675" t="s">
        <v>26</v>
      </c>
      <c r="U3675" t="s">
        <v>81</v>
      </c>
    </row>
    <row r="3676" spans="1:21">
      <c r="A3676" t="s">
        <v>5789</v>
      </c>
      <c r="B3676" t="s">
        <v>5788</v>
      </c>
      <c r="C3676" t="s">
        <v>4027</v>
      </c>
      <c r="D3676">
        <v>103000</v>
      </c>
      <c r="F3676">
        <v>103000</v>
      </c>
      <c r="G3676">
        <v>103000</v>
      </c>
      <c r="H3676">
        <v>2</v>
      </c>
      <c r="I3676" t="s">
        <v>89</v>
      </c>
      <c r="J3676">
        <v>33.369999999999997</v>
      </c>
      <c r="K3676">
        <v>0</v>
      </c>
      <c r="L3676">
        <v>2</v>
      </c>
      <c r="M3676" t="s">
        <v>5596</v>
      </c>
      <c r="N3676">
        <v>9</v>
      </c>
      <c r="O3676">
        <v>11</v>
      </c>
      <c r="P3676">
        <v>122997.85</v>
      </c>
      <c r="Q3676">
        <v>95329.65</v>
      </c>
      <c r="R3676">
        <v>512</v>
      </c>
      <c r="S3676">
        <v>1622</v>
      </c>
      <c r="T3676" t="s">
        <v>26</v>
      </c>
      <c r="U3676" t="s">
        <v>81</v>
      </c>
    </row>
    <row r="3677" spans="1:21">
      <c r="A3677" t="s">
        <v>5790</v>
      </c>
      <c r="B3677" t="s">
        <v>5791</v>
      </c>
      <c r="C3677" t="s">
        <v>4356</v>
      </c>
      <c r="D3677">
        <v>64000</v>
      </c>
      <c r="E3677">
        <v>2000</v>
      </c>
      <c r="H3677">
        <v>2</v>
      </c>
      <c r="I3677" t="s">
        <v>89</v>
      </c>
      <c r="J3677">
        <v>23.8</v>
      </c>
      <c r="K3677">
        <v>40</v>
      </c>
      <c r="L3677">
        <v>2</v>
      </c>
      <c r="M3677" t="s">
        <v>5596</v>
      </c>
      <c r="N3677">
        <v>9</v>
      </c>
      <c r="O3677">
        <v>11</v>
      </c>
      <c r="P3677">
        <v>122997.85</v>
      </c>
      <c r="Q3677">
        <v>95329.65</v>
      </c>
      <c r="R3677">
        <v>512</v>
      </c>
      <c r="S3677">
        <v>1622</v>
      </c>
      <c r="T3677" t="s">
        <v>34</v>
      </c>
      <c r="U3677" t="s">
        <v>49</v>
      </c>
    </row>
    <row r="3678" spans="1:21">
      <c r="A3678" t="s">
        <v>5792</v>
      </c>
      <c r="B3678" t="s">
        <v>5793</v>
      </c>
      <c r="C3678" t="s">
        <v>5608</v>
      </c>
      <c r="D3678">
        <v>70000</v>
      </c>
      <c r="E3678">
        <v>7000</v>
      </c>
      <c r="H3678">
        <v>1</v>
      </c>
      <c r="I3678" t="s">
        <v>89</v>
      </c>
      <c r="J3678">
        <v>21.08</v>
      </c>
      <c r="K3678">
        <v>22</v>
      </c>
      <c r="L3678">
        <v>5</v>
      </c>
      <c r="M3678" t="s">
        <v>5596</v>
      </c>
      <c r="N3678">
        <v>7</v>
      </c>
      <c r="O3678">
        <v>12.67</v>
      </c>
      <c r="P3678">
        <v>122997.85</v>
      </c>
      <c r="Q3678">
        <v>95329.65</v>
      </c>
      <c r="R3678">
        <v>512</v>
      </c>
      <c r="S3678">
        <v>1622</v>
      </c>
      <c r="T3678" t="s">
        <v>34</v>
      </c>
      <c r="U3678" t="s">
        <v>27</v>
      </c>
    </row>
    <row r="3679" spans="1:21">
      <c r="A3679" t="s">
        <v>5794</v>
      </c>
      <c r="B3679" t="s">
        <v>5795</v>
      </c>
      <c r="C3679" t="s">
        <v>5608</v>
      </c>
      <c r="D3679">
        <v>93000</v>
      </c>
      <c r="E3679">
        <v>8000</v>
      </c>
      <c r="F3679">
        <v>93000</v>
      </c>
      <c r="G3679">
        <v>139500</v>
      </c>
      <c r="H3679">
        <v>1</v>
      </c>
      <c r="I3679" t="s">
        <v>89</v>
      </c>
      <c r="J3679">
        <v>29.04</v>
      </c>
      <c r="K3679">
        <v>11</v>
      </c>
      <c r="L3679">
        <v>3</v>
      </c>
      <c r="M3679" t="s">
        <v>5596</v>
      </c>
      <c r="N3679">
        <v>6</v>
      </c>
      <c r="O3679">
        <v>11.33</v>
      </c>
      <c r="P3679">
        <v>122997.85</v>
      </c>
      <c r="Q3679">
        <v>95329.65</v>
      </c>
      <c r="R3679">
        <v>512</v>
      </c>
      <c r="S3679">
        <v>1622</v>
      </c>
      <c r="T3679" t="s">
        <v>34</v>
      </c>
      <c r="U3679" t="s">
        <v>90</v>
      </c>
    </row>
    <row r="3680" spans="1:21">
      <c r="A3680" t="s">
        <v>5796</v>
      </c>
      <c r="B3680" t="s">
        <v>5795</v>
      </c>
      <c r="C3680" t="s">
        <v>5608</v>
      </c>
      <c r="D3680">
        <v>93000</v>
      </c>
      <c r="E3680">
        <v>8000</v>
      </c>
      <c r="F3680">
        <v>93000</v>
      </c>
      <c r="G3680">
        <v>139500</v>
      </c>
      <c r="H3680">
        <v>1</v>
      </c>
      <c r="I3680" t="s">
        <v>89</v>
      </c>
      <c r="J3680">
        <v>29.65</v>
      </c>
      <c r="K3680">
        <v>11</v>
      </c>
      <c r="L3680">
        <v>3</v>
      </c>
      <c r="M3680" t="s">
        <v>5596</v>
      </c>
      <c r="N3680">
        <v>6</v>
      </c>
      <c r="O3680">
        <v>11.33</v>
      </c>
      <c r="P3680">
        <v>122997.85</v>
      </c>
      <c r="Q3680">
        <v>95329.65</v>
      </c>
      <c r="R3680">
        <v>512</v>
      </c>
      <c r="S3680">
        <v>1622</v>
      </c>
      <c r="T3680" t="s">
        <v>34</v>
      </c>
      <c r="U3680" t="s">
        <v>90</v>
      </c>
    </row>
    <row r="3681" spans="1:21">
      <c r="A3681" t="s">
        <v>5797</v>
      </c>
      <c r="B3681" t="s">
        <v>5634</v>
      </c>
      <c r="C3681" t="s">
        <v>5601</v>
      </c>
      <c r="D3681">
        <v>55000</v>
      </c>
      <c r="E3681">
        <v>2000</v>
      </c>
      <c r="F3681">
        <v>55000</v>
      </c>
      <c r="H3681">
        <v>1</v>
      </c>
      <c r="I3681" t="s">
        <v>89</v>
      </c>
      <c r="J3681">
        <v>20.46</v>
      </c>
      <c r="K3681">
        <v>33</v>
      </c>
      <c r="L3681">
        <v>2</v>
      </c>
      <c r="M3681" t="s">
        <v>5596</v>
      </c>
      <c r="N3681">
        <v>10</v>
      </c>
      <c r="O3681">
        <v>13</v>
      </c>
      <c r="P3681">
        <v>122997.85</v>
      </c>
      <c r="Q3681">
        <v>95329.65</v>
      </c>
      <c r="R3681">
        <v>512</v>
      </c>
      <c r="S3681">
        <v>1622</v>
      </c>
      <c r="T3681" t="s">
        <v>34</v>
      </c>
      <c r="U3681" t="s">
        <v>49</v>
      </c>
    </row>
    <row r="3682" spans="1:21">
      <c r="A3682" t="s">
        <v>5798</v>
      </c>
      <c r="B3682" t="s">
        <v>5799</v>
      </c>
      <c r="C3682" t="s">
        <v>712</v>
      </c>
      <c r="D3682">
        <v>79000</v>
      </c>
      <c r="E3682">
        <v>6000</v>
      </c>
      <c r="F3682">
        <v>79000</v>
      </c>
      <c r="G3682">
        <v>79000</v>
      </c>
      <c r="H3682">
        <v>4</v>
      </c>
      <c r="I3682" t="s">
        <v>89</v>
      </c>
      <c r="J3682">
        <v>20.07</v>
      </c>
      <c r="K3682">
        <v>20</v>
      </c>
      <c r="L3682">
        <v>9</v>
      </c>
      <c r="M3682" t="s">
        <v>5596</v>
      </c>
      <c r="N3682">
        <v>4</v>
      </c>
      <c r="O3682">
        <v>11.33</v>
      </c>
      <c r="P3682">
        <v>122997.85</v>
      </c>
      <c r="Q3682">
        <v>95329.65</v>
      </c>
      <c r="R3682">
        <v>512</v>
      </c>
      <c r="S3682">
        <v>1622</v>
      </c>
      <c r="T3682" t="s">
        <v>34</v>
      </c>
      <c r="U3682" t="s">
        <v>90</v>
      </c>
    </row>
    <row r="3683" spans="1:21">
      <c r="A3683" t="s">
        <v>5800</v>
      </c>
      <c r="B3683" t="s">
        <v>5799</v>
      </c>
      <c r="C3683" t="s">
        <v>712</v>
      </c>
      <c r="D3683">
        <v>84000</v>
      </c>
      <c r="E3683">
        <v>5000</v>
      </c>
      <c r="G3683">
        <v>84000</v>
      </c>
      <c r="H3683">
        <v>4</v>
      </c>
      <c r="I3683" t="s">
        <v>89</v>
      </c>
      <c r="J3683">
        <v>20.07</v>
      </c>
      <c r="K3683">
        <v>20</v>
      </c>
      <c r="L3683">
        <v>9</v>
      </c>
      <c r="M3683" t="s">
        <v>5596</v>
      </c>
      <c r="N3683">
        <v>4</v>
      </c>
      <c r="O3683">
        <v>11.33</v>
      </c>
      <c r="P3683">
        <v>122997.85</v>
      </c>
      <c r="Q3683">
        <v>95329.65</v>
      </c>
      <c r="R3683">
        <v>512</v>
      </c>
      <c r="S3683">
        <v>1622</v>
      </c>
      <c r="T3683" t="s">
        <v>34</v>
      </c>
      <c r="U3683" t="s">
        <v>90</v>
      </c>
    </row>
    <row r="3684" spans="1:21">
      <c r="A3684" t="s">
        <v>5801</v>
      </c>
      <c r="B3684" t="s">
        <v>5799</v>
      </c>
      <c r="C3684" t="s">
        <v>712</v>
      </c>
      <c r="D3684">
        <v>79000</v>
      </c>
      <c r="E3684">
        <v>7000</v>
      </c>
      <c r="F3684">
        <v>79000</v>
      </c>
      <c r="G3684">
        <v>79000</v>
      </c>
      <c r="H3684">
        <v>6</v>
      </c>
      <c r="I3684" t="s">
        <v>89</v>
      </c>
      <c r="J3684">
        <v>20.07</v>
      </c>
      <c r="K3684">
        <v>20</v>
      </c>
      <c r="L3684">
        <v>9</v>
      </c>
      <c r="M3684" t="s">
        <v>5596</v>
      </c>
      <c r="N3684">
        <v>4</v>
      </c>
      <c r="O3684">
        <v>11.33</v>
      </c>
      <c r="P3684">
        <v>122997.85</v>
      </c>
      <c r="Q3684">
        <v>95329.65</v>
      </c>
      <c r="R3684">
        <v>512</v>
      </c>
      <c r="S3684">
        <v>1622</v>
      </c>
      <c r="T3684" t="s">
        <v>34</v>
      </c>
      <c r="U3684" t="s">
        <v>90</v>
      </c>
    </row>
    <row r="3685" spans="1:21">
      <c r="A3685" t="s">
        <v>5802</v>
      </c>
      <c r="B3685" t="s">
        <v>5799</v>
      </c>
      <c r="C3685" t="s">
        <v>712</v>
      </c>
      <c r="D3685">
        <v>84000</v>
      </c>
      <c r="E3685">
        <v>5000</v>
      </c>
      <c r="G3685">
        <v>84000</v>
      </c>
      <c r="H3685">
        <v>8</v>
      </c>
      <c r="I3685" t="s">
        <v>89</v>
      </c>
      <c r="J3685">
        <v>20.07</v>
      </c>
      <c r="K3685">
        <v>20</v>
      </c>
      <c r="L3685">
        <v>9</v>
      </c>
      <c r="M3685" t="s">
        <v>5596</v>
      </c>
      <c r="N3685">
        <v>4</v>
      </c>
      <c r="O3685">
        <v>11.33</v>
      </c>
      <c r="P3685">
        <v>122997.85</v>
      </c>
      <c r="Q3685">
        <v>95329.65</v>
      </c>
      <c r="R3685">
        <v>512</v>
      </c>
      <c r="S3685">
        <v>1622</v>
      </c>
      <c r="T3685" t="s">
        <v>34</v>
      </c>
      <c r="U3685" t="s">
        <v>90</v>
      </c>
    </row>
    <row r="3686" spans="1:21">
      <c r="A3686" t="s">
        <v>5803</v>
      </c>
      <c r="B3686" t="s">
        <v>5804</v>
      </c>
      <c r="C3686" t="s">
        <v>4016</v>
      </c>
      <c r="D3686">
        <v>87000</v>
      </c>
      <c r="G3686">
        <v>87000</v>
      </c>
      <c r="H3686">
        <v>2</v>
      </c>
      <c r="I3686" t="s">
        <v>89</v>
      </c>
      <c r="J3686">
        <v>20.65</v>
      </c>
      <c r="K3686">
        <v>28</v>
      </c>
      <c r="L3686">
        <v>5</v>
      </c>
      <c r="M3686" t="s">
        <v>5596</v>
      </c>
      <c r="N3686">
        <v>5</v>
      </c>
      <c r="O3686">
        <v>10.33</v>
      </c>
      <c r="P3686">
        <v>122997.85</v>
      </c>
      <c r="Q3686">
        <v>95329.65</v>
      </c>
      <c r="R3686">
        <v>512</v>
      </c>
      <c r="S3686">
        <v>1622</v>
      </c>
      <c r="T3686" t="s">
        <v>34</v>
      </c>
      <c r="U3686" t="s">
        <v>27</v>
      </c>
    </row>
    <row r="3687" spans="1:21">
      <c r="A3687" t="s">
        <v>5805</v>
      </c>
      <c r="B3687" t="s">
        <v>5806</v>
      </c>
      <c r="C3687" t="s">
        <v>2033</v>
      </c>
      <c r="D3687">
        <v>64000</v>
      </c>
      <c r="E3687">
        <v>6000</v>
      </c>
      <c r="F3687">
        <v>64000</v>
      </c>
      <c r="G3687">
        <v>64000</v>
      </c>
      <c r="H3687">
        <v>1</v>
      </c>
      <c r="I3687" t="s">
        <v>89</v>
      </c>
      <c r="J3687">
        <v>17.7</v>
      </c>
      <c r="K3687">
        <v>28</v>
      </c>
      <c r="L3687">
        <v>4</v>
      </c>
      <c r="M3687" t="s">
        <v>5596</v>
      </c>
      <c r="N3687">
        <v>9</v>
      </c>
      <c r="O3687">
        <v>12.33</v>
      </c>
      <c r="P3687">
        <v>122997.85</v>
      </c>
      <c r="Q3687">
        <v>95329.65</v>
      </c>
      <c r="R3687">
        <v>512</v>
      </c>
      <c r="S3687">
        <v>1622</v>
      </c>
      <c r="T3687" t="s">
        <v>108</v>
      </c>
      <c r="U3687" t="s">
        <v>27</v>
      </c>
    </row>
    <row r="3688" spans="1:21">
      <c r="A3688" t="s">
        <v>5807</v>
      </c>
      <c r="B3688" t="s">
        <v>5808</v>
      </c>
      <c r="C3688" t="s">
        <v>2033</v>
      </c>
      <c r="D3688">
        <v>90000</v>
      </c>
      <c r="E3688">
        <v>10000</v>
      </c>
      <c r="G3688">
        <v>90000</v>
      </c>
      <c r="H3688">
        <v>4</v>
      </c>
      <c r="I3688" t="s">
        <v>89</v>
      </c>
      <c r="J3688">
        <v>25.74</v>
      </c>
      <c r="K3688">
        <v>12</v>
      </c>
      <c r="L3688">
        <v>5</v>
      </c>
      <c r="M3688" t="s">
        <v>5596</v>
      </c>
      <c r="N3688">
        <v>9</v>
      </c>
      <c r="O3688">
        <v>12.33</v>
      </c>
      <c r="P3688">
        <v>122997.85</v>
      </c>
      <c r="Q3688">
        <v>95329.65</v>
      </c>
      <c r="R3688">
        <v>512</v>
      </c>
      <c r="S3688">
        <v>1622</v>
      </c>
      <c r="T3688" t="s">
        <v>34</v>
      </c>
      <c r="U3688" t="s">
        <v>90</v>
      </c>
    </row>
    <row r="3689" spans="1:21">
      <c r="A3689" t="s">
        <v>5809</v>
      </c>
      <c r="B3689" t="s">
        <v>5810</v>
      </c>
      <c r="C3689" t="s">
        <v>5608</v>
      </c>
      <c r="D3689">
        <v>90000</v>
      </c>
      <c r="E3689">
        <v>10000</v>
      </c>
      <c r="G3689">
        <v>90000</v>
      </c>
      <c r="H3689">
        <v>4</v>
      </c>
      <c r="I3689" t="s">
        <v>89</v>
      </c>
      <c r="J3689">
        <v>20.25</v>
      </c>
      <c r="K3689">
        <v>22</v>
      </c>
      <c r="L3689">
        <v>5</v>
      </c>
      <c r="M3689" t="s">
        <v>5596</v>
      </c>
      <c r="N3689">
        <v>7</v>
      </c>
      <c r="O3689">
        <v>8.67</v>
      </c>
      <c r="P3689">
        <v>122997.85</v>
      </c>
      <c r="Q3689">
        <v>95329.65</v>
      </c>
      <c r="R3689">
        <v>512</v>
      </c>
      <c r="S3689">
        <v>1622</v>
      </c>
      <c r="T3689" t="s">
        <v>34</v>
      </c>
      <c r="U3689" t="s">
        <v>27</v>
      </c>
    </row>
    <row r="3690" spans="1:21">
      <c r="A3690" t="s">
        <v>5811</v>
      </c>
      <c r="B3690" t="s">
        <v>5812</v>
      </c>
      <c r="C3690" t="s">
        <v>5608</v>
      </c>
      <c r="D3690">
        <v>98000</v>
      </c>
      <c r="E3690">
        <v>5500</v>
      </c>
      <c r="G3690">
        <v>98000</v>
      </c>
      <c r="H3690">
        <v>2</v>
      </c>
      <c r="I3690" t="s">
        <v>89</v>
      </c>
      <c r="J3690">
        <v>19.87</v>
      </c>
      <c r="K3690">
        <v>21</v>
      </c>
      <c r="L3690">
        <v>3</v>
      </c>
      <c r="M3690" t="s">
        <v>5596</v>
      </c>
      <c r="N3690">
        <v>3</v>
      </c>
      <c r="O3690">
        <v>10.33</v>
      </c>
      <c r="P3690">
        <v>122997.85</v>
      </c>
      <c r="Q3690">
        <v>95329.65</v>
      </c>
      <c r="R3690">
        <v>512</v>
      </c>
      <c r="S3690">
        <v>1622</v>
      </c>
      <c r="T3690" t="s">
        <v>108</v>
      </c>
      <c r="U3690" t="s">
        <v>27</v>
      </c>
    </row>
    <row r="3691" spans="1:21">
      <c r="A3691" t="s">
        <v>5813</v>
      </c>
      <c r="B3691" t="s">
        <v>5814</v>
      </c>
      <c r="C3691" t="s">
        <v>758</v>
      </c>
      <c r="D3691">
        <v>104000</v>
      </c>
      <c r="E3691">
        <v>7000</v>
      </c>
      <c r="H3691">
        <v>3</v>
      </c>
      <c r="I3691" t="s">
        <v>89</v>
      </c>
      <c r="J3691">
        <v>20.16</v>
      </c>
      <c r="K3691">
        <v>20</v>
      </c>
      <c r="L3691">
        <v>5</v>
      </c>
      <c r="M3691" t="s">
        <v>5596</v>
      </c>
      <c r="N3691">
        <v>7</v>
      </c>
      <c r="O3691">
        <v>7</v>
      </c>
      <c r="P3691">
        <v>122997.85</v>
      </c>
      <c r="Q3691">
        <v>95329.65</v>
      </c>
      <c r="R3691">
        <v>512</v>
      </c>
      <c r="S3691">
        <v>1622</v>
      </c>
      <c r="T3691" t="s">
        <v>34</v>
      </c>
      <c r="U3691" t="s">
        <v>90</v>
      </c>
    </row>
    <row r="3692" spans="1:21">
      <c r="A3692" t="s">
        <v>5815</v>
      </c>
      <c r="B3692" t="s">
        <v>5814</v>
      </c>
      <c r="C3692" t="s">
        <v>758</v>
      </c>
      <c r="D3692">
        <v>105000</v>
      </c>
      <c r="E3692">
        <v>7000</v>
      </c>
      <c r="H3692">
        <v>3</v>
      </c>
      <c r="I3692" t="s">
        <v>89</v>
      </c>
      <c r="J3692">
        <v>20.63</v>
      </c>
      <c r="K3692">
        <v>20</v>
      </c>
      <c r="L3692">
        <v>5</v>
      </c>
      <c r="M3692" t="s">
        <v>5596</v>
      </c>
      <c r="N3692">
        <v>7</v>
      </c>
      <c r="O3692">
        <v>7</v>
      </c>
      <c r="P3692">
        <v>122997.85</v>
      </c>
      <c r="Q3692">
        <v>95329.65</v>
      </c>
      <c r="R3692">
        <v>512</v>
      </c>
      <c r="S3692">
        <v>1622</v>
      </c>
      <c r="T3692" t="s">
        <v>34</v>
      </c>
      <c r="U3692" t="s">
        <v>90</v>
      </c>
    </row>
    <row r="3693" spans="1:21">
      <c r="A3693" t="s">
        <v>5816</v>
      </c>
      <c r="B3693" t="s">
        <v>5817</v>
      </c>
      <c r="C3693" t="s">
        <v>712</v>
      </c>
      <c r="D3693">
        <v>125000</v>
      </c>
      <c r="E3693">
        <v>15000</v>
      </c>
      <c r="H3693">
        <v>5</v>
      </c>
      <c r="I3693" t="s">
        <v>89</v>
      </c>
      <c r="J3693">
        <v>25.51</v>
      </c>
      <c r="K3693">
        <v>6</v>
      </c>
      <c r="L3693">
        <v>5</v>
      </c>
      <c r="M3693" t="s">
        <v>5596</v>
      </c>
      <c r="N3693">
        <v>10</v>
      </c>
      <c r="O3693">
        <v>11.67</v>
      </c>
      <c r="P3693">
        <v>122997.85</v>
      </c>
      <c r="Q3693">
        <v>95329.65</v>
      </c>
      <c r="R3693">
        <v>512</v>
      </c>
      <c r="S3693">
        <v>1622</v>
      </c>
      <c r="T3693" t="s">
        <v>34</v>
      </c>
      <c r="U3693" t="s">
        <v>31</v>
      </c>
    </row>
    <row r="3694" spans="1:21">
      <c r="A3694" t="s">
        <v>5818</v>
      </c>
      <c r="B3694" t="s">
        <v>5819</v>
      </c>
      <c r="C3694" t="s">
        <v>5608</v>
      </c>
      <c r="D3694">
        <v>123000</v>
      </c>
      <c r="E3694">
        <v>12000</v>
      </c>
      <c r="H3694">
        <v>1</v>
      </c>
      <c r="I3694" t="s">
        <v>89</v>
      </c>
      <c r="J3694">
        <v>20.329999999999998</v>
      </c>
      <c r="K3694">
        <v>2</v>
      </c>
      <c r="L3694">
        <v>5</v>
      </c>
      <c r="M3694" t="s">
        <v>5596</v>
      </c>
      <c r="N3694">
        <v>5</v>
      </c>
      <c r="O3694">
        <v>12</v>
      </c>
      <c r="P3694">
        <v>122997.85</v>
      </c>
      <c r="Q3694">
        <v>95329.65</v>
      </c>
      <c r="R3694">
        <v>512</v>
      </c>
      <c r="S3694">
        <v>1622</v>
      </c>
      <c r="T3694" t="s">
        <v>34</v>
      </c>
      <c r="U3694" t="s">
        <v>31</v>
      </c>
    </row>
    <row r="3695" spans="1:21">
      <c r="A3695" t="s">
        <v>5820</v>
      </c>
      <c r="B3695" t="s">
        <v>5819</v>
      </c>
      <c r="C3695" t="s">
        <v>5608</v>
      </c>
      <c r="D3695">
        <v>122000</v>
      </c>
      <c r="E3695">
        <v>12000</v>
      </c>
      <c r="H3695">
        <v>1</v>
      </c>
      <c r="I3695" t="s">
        <v>89</v>
      </c>
      <c r="J3695">
        <v>21.55</v>
      </c>
      <c r="K3695">
        <v>2</v>
      </c>
      <c r="L3695">
        <v>5</v>
      </c>
      <c r="M3695" t="s">
        <v>5596</v>
      </c>
      <c r="N3695">
        <v>5</v>
      </c>
      <c r="O3695">
        <v>12</v>
      </c>
      <c r="P3695">
        <v>122997.85</v>
      </c>
      <c r="Q3695">
        <v>95329.65</v>
      </c>
      <c r="R3695">
        <v>512</v>
      </c>
      <c r="S3695">
        <v>1622</v>
      </c>
      <c r="T3695" t="s">
        <v>34</v>
      </c>
      <c r="U3695" t="s">
        <v>31</v>
      </c>
    </row>
    <row r="3696" spans="1:21">
      <c r="A3696" t="s">
        <v>5821</v>
      </c>
      <c r="B3696" t="s">
        <v>5819</v>
      </c>
      <c r="C3696" t="s">
        <v>5608</v>
      </c>
      <c r="D3696">
        <v>123000</v>
      </c>
      <c r="E3696">
        <v>12000</v>
      </c>
      <c r="H3696">
        <v>3</v>
      </c>
      <c r="I3696" t="s">
        <v>89</v>
      </c>
      <c r="J3696">
        <v>20.329999999999998</v>
      </c>
      <c r="K3696">
        <v>2</v>
      </c>
      <c r="L3696">
        <v>5</v>
      </c>
      <c r="M3696" t="s">
        <v>5596</v>
      </c>
      <c r="N3696">
        <v>5</v>
      </c>
      <c r="O3696">
        <v>12</v>
      </c>
      <c r="P3696">
        <v>122997.85</v>
      </c>
      <c r="Q3696">
        <v>95329.65</v>
      </c>
      <c r="R3696">
        <v>512</v>
      </c>
      <c r="S3696">
        <v>1622</v>
      </c>
      <c r="T3696" t="s">
        <v>34</v>
      </c>
      <c r="U3696" t="s">
        <v>31</v>
      </c>
    </row>
    <row r="3697" spans="1:21">
      <c r="A3697" t="s">
        <v>5822</v>
      </c>
      <c r="B3697" t="s">
        <v>5819</v>
      </c>
      <c r="C3697" t="s">
        <v>5608</v>
      </c>
      <c r="D3697">
        <v>123000</v>
      </c>
      <c r="E3697">
        <v>12000</v>
      </c>
      <c r="H3697">
        <v>4</v>
      </c>
      <c r="I3697" t="s">
        <v>89</v>
      </c>
      <c r="J3697">
        <v>20.329999999999998</v>
      </c>
      <c r="K3697">
        <v>2</v>
      </c>
      <c r="L3697">
        <v>5</v>
      </c>
      <c r="M3697" t="s">
        <v>5596</v>
      </c>
      <c r="N3697">
        <v>5</v>
      </c>
      <c r="O3697">
        <v>12</v>
      </c>
      <c r="P3697">
        <v>122997.85</v>
      </c>
      <c r="Q3697">
        <v>95329.65</v>
      </c>
      <c r="R3697">
        <v>512</v>
      </c>
      <c r="S3697">
        <v>1622</v>
      </c>
      <c r="T3697" t="s">
        <v>34</v>
      </c>
      <c r="U3697" t="s">
        <v>31</v>
      </c>
    </row>
    <row r="3698" spans="1:21">
      <c r="A3698" t="s">
        <v>5823</v>
      </c>
      <c r="B3698" t="s">
        <v>5819</v>
      </c>
      <c r="C3698" t="s">
        <v>5608</v>
      </c>
      <c r="D3698">
        <v>123000</v>
      </c>
      <c r="E3698">
        <v>12000</v>
      </c>
      <c r="H3698">
        <v>5</v>
      </c>
      <c r="I3698" t="s">
        <v>89</v>
      </c>
      <c r="J3698">
        <v>20.329999999999998</v>
      </c>
      <c r="K3698">
        <v>2</v>
      </c>
      <c r="L3698">
        <v>5</v>
      </c>
      <c r="M3698" t="s">
        <v>5596</v>
      </c>
      <c r="N3698">
        <v>5</v>
      </c>
      <c r="O3698">
        <v>12</v>
      </c>
      <c r="P3698">
        <v>122997.85</v>
      </c>
      <c r="Q3698">
        <v>95329.65</v>
      </c>
      <c r="R3698">
        <v>512</v>
      </c>
      <c r="S3698">
        <v>1622</v>
      </c>
      <c r="T3698" t="s">
        <v>34</v>
      </c>
      <c r="U3698" t="s">
        <v>31</v>
      </c>
    </row>
    <row r="3699" spans="1:21">
      <c r="A3699" t="s">
        <v>5824</v>
      </c>
      <c r="B3699" t="s">
        <v>5825</v>
      </c>
      <c r="C3699" t="s">
        <v>4013</v>
      </c>
      <c r="D3699">
        <v>80000</v>
      </c>
      <c r="F3699">
        <v>80000</v>
      </c>
      <c r="G3699">
        <v>80000</v>
      </c>
      <c r="H3699">
        <v>3</v>
      </c>
      <c r="I3699" t="s">
        <v>89</v>
      </c>
      <c r="J3699">
        <v>22.2</v>
      </c>
      <c r="K3699">
        <v>29</v>
      </c>
      <c r="L3699">
        <v>5</v>
      </c>
      <c r="M3699" t="s">
        <v>5596</v>
      </c>
      <c r="N3699">
        <v>1</v>
      </c>
      <c r="O3699">
        <v>7.67</v>
      </c>
      <c r="P3699">
        <v>122997.85</v>
      </c>
      <c r="Q3699">
        <v>95329.65</v>
      </c>
      <c r="R3699">
        <v>512</v>
      </c>
      <c r="S3699">
        <v>1622</v>
      </c>
      <c r="T3699" t="s">
        <v>34</v>
      </c>
      <c r="U3699" t="s">
        <v>27</v>
      </c>
    </row>
    <row r="3700" spans="1:21">
      <c r="A3700" t="s">
        <v>5826</v>
      </c>
      <c r="B3700" t="s">
        <v>5827</v>
      </c>
      <c r="C3700" t="s">
        <v>4013</v>
      </c>
      <c r="D3700">
        <v>58000</v>
      </c>
      <c r="F3700">
        <v>58000</v>
      </c>
      <c r="H3700">
        <v>1</v>
      </c>
      <c r="I3700" t="s">
        <v>89</v>
      </c>
      <c r="J3700">
        <v>16.5</v>
      </c>
      <c r="K3700">
        <v>32</v>
      </c>
      <c r="L3700">
        <v>2</v>
      </c>
      <c r="M3700" t="s">
        <v>5596</v>
      </c>
      <c r="N3700">
        <v>4</v>
      </c>
      <c r="O3700">
        <v>10.67</v>
      </c>
      <c r="P3700">
        <v>122997.85</v>
      </c>
      <c r="Q3700">
        <v>95329.65</v>
      </c>
      <c r="R3700">
        <v>512</v>
      </c>
      <c r="S3700">
        <v>1622</v>
      </c>
      <c r="T3700" t="s">
        <v>108</v>
      </c>
      <c r="U3700" t="s">
        <v>49</v>
      </c>
    </row>
    <row r="3701" spans="1:21">
      <c r="A3701" t="s">
        <v>5828</v>
      </c>
      <c r="B3701" t="s">
        <v>5829</v>
      </c>
      <c r="C3701" t="s">
        <v>712</v>
      </c>
      <c r="D3701">
        <v>76000</v>
      </c>
      <c r="E3701">
        <v>3000</v>
      </c>
      <c r="F3701">
        <v>152000</v>
      </c>
      <c r="H3701">
        <v>1</v>
      </c>
      <c r="I3701" t="s">
        <v>89</v>
      </c>
      <c r="J3701">
        <v>17.11</v>
      </c>
      <c r="K3701">
        <v>0</v>
      </c>
      <c r="L3701">
        <v>2</v>
      </c>
      <c r="M3701" t="s">
        <v>5596</v>
      </c>
      <c r="N3701">
        <v>8</v>
      </c>
      <c r="O3701">
        <v>11</v>
      </c>
      <c r="P3701">
        <v>122997.85</v>
      </c>
      <c r="Q3701">
        <v>95329.65</v>
      </c>
      <c r="R3701">
        <v>512</v>
      </c>
      <c r="S3701">
        <v>1622</v>
      </c>
      <c r="T3701" t="s">
        <v>108</v>
      </c>
      <c r="U3701" t="s">
        <v>81</v>
      </c>
    </row>
    <row r="3702" spans="1:21">
      <c r="A3702" t="s">
        <v>5830</v>
      </c>
      <c r="B3702" t="s">
        <v>5829</v>
      </c>
      <c r="C3702" t="s">
        <v>712</v>
      </c>
      <c r="D3702">
        <v>79000</v>
      </c>
      <c r="E3702">
        <v>3000</v>
      </c>
      <c r="F3702">
        <v>158000</v>
      </c>
      <c r="H3702">
        <v>2</v>
      </c>
      <c r="I3702" t="s">
        <v>89</v>
      </c>
      <c r="J3702">
        <v>17.11</v>
      </c>
      <c r="K3702">
        <v>0</v>
      </c>
      <c r="L3702">
        <v>2</v>
      </c>
      <c r="M3702" t="s">
        <v>5596</v>
      </c>
      <c r="N3702">
        <v>8</v>
      </c>
      <c r="O3702">
        <v>11</v>
      </c>
      <c r="P3702">
        <v>122997.85</v>
      </c>
      <c r="Q3702">
        <v>95329.65</v>
      </c>
      <c r="R3702">
        <v>512</v>
      </c>
      <c r="S3702">
        <v>1622</v>
      </c>
      <c r="T3702" t="s">
        <v>108</v>
      </c>
      <c r="U3702" t="s">
        <v>81</v>
      </c>
    </row>
    <row r="3703" spans="1:21">
      <c r="A3703" t="s">
        <v>5831</v>
      </c>
      <c r="B3703" t="s">
        <v>5829</v>
      </c>
      <c r="C3703" t="s">
        <v>712</v>
      </c>
      <c r="D3703">
        <v>80000</v>
      </c>
      <c r="E3703">
        <v>3000</v>
      </c>
      <c r="F3703">
        <v>160000</v>
      </c>
      <c r="H3703">
        <v>2</v>
      </c>
      <c r="I3703" t="s">
        <v>89</v>
      </c>
      <c r="J3703">
        <v>17.32</v>
      </c>
      <c r="K3703">
        <v>0</v>
      </c>
      <c r="L3703">
        <v>2</v>
      </c>
      <c r="M3703" t="s">
        <v>5596</v>
      </c>
      <c r="N3703">
        <v>8</v>
      </c>
      <c r="O3703">
        <v>11</v>
      </c>
      <c r="P3703">
        <v>122997.85</v>
      </c>
      <c r="Q3703">
        <v>95329.65</v>
      </c>
      <c r="R3703">
        <v>512</v>
      </c>
      <c r="S3703">
        <v>1622</v>
      </c>
      <c r="T3703" t="s">
        <v>108</v>
      </c>
      <c r="U3703" t="s">
        <v>81</v>
      </c>
    </row>
    <row r="3704" spans="1:21">
      <c r="A3704" t="s">
        <v>5832</v>
      </c>
      <c r="B3704" t="s">
        <v>5833</v>
      </c>
      <c r="C3704" t="s">
        <v>2033</v>
      </c>
      <c r="D3704">
        <v>70000</v>
      </c>
      <c r="E3704">
        <v>3000</v>
      </c>
      <c r="F3704">
        <v>70000</v>
      </c>
      <c r="G3704">
        <v>70000</v>
      </c>
      <c r="H3704">
        <v>2</v>
      </c>
      <c r="I3704" t="s">
        <v>89</v>
      </c>
      <c r="J3704">
        <v>19.87</v>
      </c>
      <c r="K3704">
        <v>38</v>
      </c>
      <c r="L3704">
        <v>4</v>
      </c>
      <c r="M3704" t="s">
        <v>5596</v>
      </c>
      <c r="N3704">
        <v>9</v>
      </c>
      <c r="O3704">
        <v>13.33</v>
      </c>
      <c r="P3704">
        <v>122997.85</v>
      </c>
      <c r="Q3704">
        <v>95329.65</v>
      </c>
      <c r="R3704">
        <v>512</v>
      </c>
      <c r="S3704">
        <v>1622</v>
      </c>
      <c r="T3704" t="s">
        <v>108</v>
      </c>
      <c r="U3704" t="s">
        <v>49</v>
      </c>
    </row>
    <row r="3705" spans="1:21">
      <c r="A3705" t="s">
        <v>5834</v>
      </c>
      <c r="B3705" t="s">
        <v>5835</v>
      </c>
      <c r="C3705" t="s">
        <v>5608</v>
      </c>
      <c r="D3705">
        <v>105000</v>
      </c>
      <c r="E3705">
        <v>6000</v>
      </c>
      <c r="F3705">
        <v>105000</v>
      </c>
      <c r="G3705">
        <v>210000</v>
      </c>
      <c r="H3705">
        <v>1</v>
      </c>
      <c r="I3705" t="s">
        <v>89</v>
      </c>
      <c r="J3705">
        <v>28.99</v>
      </c>
      <c r="K3705">
        <v>0</v>
      </c>
      <c r="L3705">
        <v>3</v>
      </c>
      <c r="M3705" t="s">
        <v>5596</v>
      </c>
      <c r="N3705">
        <v>4</v>
      </c>
      <c r="O3705">
        <v>11.67</v>
      </c>
      <c r="P3705">
        <v>122997.85</v>
      </c>
      <c r="Q3705">
        <v>95329.65</v>
      </c>
      <c r="R3705">
        <v>512</v>
      </c>
      <c r="S3705">
        <v>1622</v>
      </c>
      <c r="T3705" t="s">
        <v>34</v>
      </c>
      <c r="U3705" t="s">
        <v>81</v>
      </c>
    </row>
    <row r="3706" spans="1:21">
      <c r="A3706" t="s">
        <v>5836</v>
      </c>
      <c r="B3706" t="s">
        <v>5835</v>
      </c>
      <c r="C3706" t="s">
        <v>5608</v>
      </c>
      <c r="D3706">
        <v>110000</v>
      </c>
      <c r="E3706">
        <v>6000</v>
      </c>
      <c r="F3706">
        <v>110000</v>
      </c>
      <c r="G3706">
        <v>220000</v>
      </c>
      <c r="H3706">
        <v>2</v>
      </c>
      <c r="I3706" t="s">
        <v>89</v>
      </c>
      <c r="J3706">
        <v>29.27</v>
      </c>
      <c r="K3706">
        <v>0</v>
      </c>
      <c r="L3706">
        <v>3</v>
      </c>
      <c r="M3706" t="s">
        <v>5596</v>
      </c>
      <c r="N3706">
        <v>4</v>
      </c>
      <c r="O3706">
        <v>11.67</v>
      </c>
      <c r="P3706">
        <v>122997.85</v>
      </c>
      <c r="Q3706">
        <v>95329.65</v>
      </c>
      <c r="R3706">
        <v>512</v>
      </c>
      <c r="S3706">
        <v>1622</v>
      </c>
      <c r="T3706" t="s">
        <v>34</v>
      </c>
      <c r="U3706" t="s">
        <v>81</v>
      </c>
    </row>
    <row r="3707" spans="1:21">
      <c r="A3707" t="s">
        <v>5837</v>
      </c>
      <c r="B3707" t="s">
        <v>5838</v>
      </c>
      <c r="C3707" t="s">
        <v>4356</v>
      </c>
      <c r="D3707">
        <v>67000</v>
      </c>
      <c r="F3707">
        <v>67000</v>
      </c>
      <c r="G3707">
        <v>67000</v>
      </c>
      <c r="H3707">
        <v>1</v>
      </c>
      <c r="I3707" t="s">
        <v>89</v>
      </c>
      <c r="J3707">
        <v>22</v>
      </c>
      <c r="K3707">
        <v>37</v>
      </c>
      <c r="L3707">
        <v>2</v>
      </c>
      <c r="M3707" t="s">
        <v>5596</v>
      </c>
      <c r="N3707">
        <v>5</v>
      </c>
      <c r="O3707">
        <v>9</v>
      </c>
      <c r="P3707">
        <v>122997.85</v>
      </c>
      <c r="Q3707">
        <v>95329.65</v>
      </c>
      <c r="R3707">
        <v>512</v>
      </c>
      <c r="S3707">
        <v>1622</v>
      </c>
      <c r="T3707" t="s">
        <v>34</v>
      </c>
      <c r="U3707" t="s">
        <v>49</v>
      </c>
    </row>
    <row r="3708" spans="1:21">
      <c r="A3708" t="s">
        <v>5839</v>
      </c>
      <c r="B3708" t="s">
        <v>5840</v>
      </c>
      <c r="C3708" t="s">
        <v>5601</v>
      </c>
      <c r="D3708">
        <v>57000</v>
      </c>
      <c r="E3708">
        <v>2000</v>
      </c>
      <c r="F3708">
        <v>57000</v>
      </c>
      <c r="H3708">
        <v>2</v>
      </c>
      <c r="I3708" t="s">
        <v>89</v>
      </c>
      <c r="J3708">
        <v>16.5</v>
      </c>
      <c r="K3708">
        <v>33</v>
      </c>
      <c r="L3708">
        <v>2</v>
      </c>
      <c r="M3708" t="s">
        <v>5596</v>
      </c>
      <c r="N3708">
        <v>10</v>
      </c>
      <c r="O3708">
        <v>13</v>
      </c>
      <c r="P3708">
        <v>122997.85</v>
      </c>
      <c r="Q3708">
        <v>95329.65</v>
      </c>
      <c r="R3708">
        <v>512</v>
      </c>
      <c r="S3708">
        <v>1622</v>
      </c>
      <c r="T3708" t="s">
        <v>108</v>
      </c>
      <c r="U3708" t="s">
        <v>49</v>
      </c>
    </row>
    <row r="3709" spans="1:21">
      <c r="A3709" t="s">
        <v>5841</v>
      </c>
      <c r="B3709" t="s">
        <v>5842</v>
      </c>
      <c r="C3709" t="s">
        <v>4356</v>
      </c>
      <c r="D3709">
        <v>84000</v>
      </c>
      <c r="E3709">
        <v>6000</v>
      </c>
      <c r="F3709">
        <v>84000</v>
      </c>
      <c r="H3709">
        <v>3</v>
      </c>
      <c r="I3709" t="s">
        <v>89</v>
      </c>
      <c r="J3709">
        <v>30.94</v>
      </c>
      <c r="K3709">
        <v>20</v>
      </c>
      <c r="L3709">
        <v>3</v>
      </c>
      <c r="M3709" t="s">
        <v>5596</v>
      </c>
      <c r="N3709">
        <v>7</v>
      </c>
      <c r="O3709">
        <v>13.33</v>
      </c>
      <c r="P3709">
        <v>122997.85</v>
      </c>
      <c r="Q3709">
        <v>95329.65</v>
      </c>
      <c r="R3709">
        <v>512</v>
      </c>
      <c r="S3709">
        <v>1622</v>
      </c>
      <c r="T3709" t="s">
        <v>26</v>
      </c>
      <c r="U3709" t="s">
        <v>90</v>
      </c>
    </row>
    <row r="3710" spans="1:21">
      <c r="A3710" t="s">
        <v>5843</v>
      </c>
      <c r="B3710" t="s">
        <v>5844</v>
      </c>
      <c r="C3710" t="s">
        <v>4356</v>
      </c>
      <c r="D3710">
        <v>63000</v>
      </c>
      <c r="H3710">
        <v>2</v>
      </c>
      <c r="I3710" t="s">
        <v>89</v>
      </c>
      <c r="J3710">
        <v>25.08</v>
      </c>
      <c r="K3710">
        <v>53</v>
      </c>
      <c r="L3710">
        <v>5</v>
      </c>
      <c r="M3710" t="s">
        <v>5596</v>
      </c>
      <c r="N3710">
        <v>9</v>
      </c>
      <c r="O3710">
        <v>12.67</v>
      </c>
      <c r="P3710">
        <v>122997.85</v>
      </c>
      <c r="Q3710">
        <v>95329.65</v>
      </c>
      <c r="R3710">
        <v>512</v>
      </c>
      <c r="S3710">
        <v>1622</v>
      </c>
      <c r="T3710" t="s">
        <v>34</v>
      </c>
      <c r="U3710" t="s">
        <v>57</v>
      </c>
    </row>
    <row r="3711" spans="1:21">
      <c r="A3711" t="s">
        <v>5845</v>
      </c>
      <c r="B3711" t="s">
        <v>5846</v>
      </c>
      <c r="C3711" t="s">
        <v>712</v>
      </c>
      <c r="D3711">
        <v>80500</v>
      </c>
      <c r="E3711">
        <v>15000</v>
      </c>
      <c r="H3711">
        <v>5</v>
      </c>
      <c r="I3711" t="s">
        <v>89</v>
      </c>
      <c r="J3711">
        <v>21.65</v>
      </c>
      <c r="K3711">
        <v>17</v>
      </c>
      <c r="L3711">
        <v>10</v>
      </c>
      <c r="M3711" t="s">
        <v>5596</v>
      </c>
      <c r="N3711">
        <v>5</v>
      </c>
      <c r="O3711">
        <v>10.33</v>
      </c>
      <c r="P3711">
        <v>122997.85</v>
      </c>
      <c r="Q3711">
        <v>95329.65</v>
      </c>
      <c r="R3711">
        <v>512</v>
      </c>
      <c r="S3711">
        <v>1622</v>
      </c>
      <c r="T3711" t="s">
        <v>34</v>
      </c>
      <c r="U3711" t="s">
        <v>90</v>
      </c>
    </row>
    <row r="3712" spans="1:21">
      <c r="A3712" t="s">
        <v>5847</v>
      </c>
      <c r="B3712" t="s">
        <v>5848</v>
      </c>
      <c r="C3712" t="s">
        <v>712</v>
      </c>
      <c r="D3712">
        <v>78000</v>
      </c>
      <c r="E3712">
        <v>20000</v>
      </c>
      <c r="G3712">
        <v>78000</v>
      </c>
      <c r="H3712">
        <v>3</v>
      </c>
      <c r="I3712" t="s">
        <v>89</v>
      </c>
      <c r="J3712">
        <v>21</v>
      </c>
      <c r="K3712">
        <v>23</v>
      </c>
      <c r="L3712">
        <v>10</v>
      </c>
      <c r="M3712" t="s">
        <v>5596</v>
      </c>
      <c r="N3712">
        <v>4</v>
      </c>
      <c r="O3712">
        <v>10.67</v>
      </c>
      <c r="P3712">
        <v>122997.85</v>
      </c>
      <c r="Q3712">
        <v>95329.65</v>
      </c>
      <c r="R3712">
        <v>512</v>
      </c>
      <c r="S3712">
        <v>1622</v>
      </c>
      <c r="T3712" t="s">
        <v>34</v>
      </c>
      <c r="U3712" t="s">
        <v>27</v>
      </c>
    </row>
    <row r="3713" spans="1:21">
      <c r="A3713" t="s">
        <v>5849</v>
      </c>
      <c r="B3713" t="s">
        <v>5848</v>
      </c>
      <c r="C3713" t="s">
        <v>712</v>
      </c>
      <c r="D3713">
        <v>79000</v>
      </c>
      <c r="E3713">
        <v>10000</v>
      </c>
      <c r="F3713">
        <v>79000</v>
      </c>
      <c r="G3713">
        <v>79000</v>
      </c>
      <c r="H3713">
        <v>5</v>
      </c>
      <c r="I3713" t="s">
        <v>89</v>
      </c>
      <c r="J3713">
        <v>21.45</v>
      </c>
      <c r="K3713">
        <v>23</v>
      </c>
      <c r="L3713">
        <v>10</v>
      </c>
      <c r="M3713" t="s">
        <v>5596</v>
      </c>
      <c r="N3713">
        <v>4</v>
      </c>
      <c r="O3713">
        <v>10.67</v>
      </c>
      <c r="P3713">
        <v>122997.85</v>
      </c>
      <c r="Q3713">
        <v>95329.65</v>
      </c>
      <c r="R3713">
        <v>512</v>
      </c>
      <c r="S3713">
        <v>1622</v>
      </c>
      <c r="T3713" t="s">
        <v>34</v>
      </c>
      <c r="U3713" t="s">
        <v>27</v>
      </c>
    </row>
    <row r="3714" spans="1:21">
      <c r="A3714" t="s">
        <v>5850</v>
      </c>
      <c r="B3714" t="s">
        <v>5851</v>
      </c>
      <c r="C3714" t="s">
        <v>4027</v>
      </c>
      <c r="D3714">
        <v>101000</v>
      </c>
      <c r="F3714">
        <v>101000</v>
      </c>
      <c r="G3714">
        <v>101000</v>
      </c>
      <c r="H3714">
        <v>2</v>
      </c>
      <c r="I3714" t="s">
        <v>89</v>
      </c>
      <c r="J3714">
        <v>33.369999999999997</v>
      </c>
      <c r="K3714">
        <v>0</v>
      </c>
      <c r="L3714">
        <v>2</v>
      </c>
      <c r="M3714" t="s">
        <v>5596</v>
      </c>
      <c r="N3714">
        <v>9</v>
      </c>
      <c r="O3714">
        <v>11</v>
      </c>
      <c r="P3714">
        <v>122997.85</v>
      </c>
      <c r="Q3714">
        <v>95329.65</v>
      </c>
      <c r="R3714">
        <v>512</v>
      </c>
      <c r="S3714">
        <v>1622</v>
      </c>
      <c r="T3714" t="s">
        <v>26</v>
      </c>
      <c r="U3714" t="s">
        <v>81</v>
      </c>
    </row>
    <row r="3715" spans="1:21">
      <c r="A3715" t="s">
        <v>5852</v>
      </c>
      <c r="B3715" t="s">
        <v>5853</v>
      </c>
      <c r="C3715" t="s">
        <v>5608</v>
      </c>
      <c r="D3715">
        <v>74000</v>
      </c>
      <c r="E3715">
        <v>4000</v>
      </c>
      <c r="H3715">
        <v>2</v>
      </c>
      <c r="I3715" t="s">
        <v>89</v>
      </c>
      <c r="J3715">
        <v>20.440000000000001</v>
      </c>
      <c r="K3715">
        <v>14</v>
      </c>
      <c r="L3715">
        <v>2</v>
      </c>
      <c r="M3715" t="s">
        <v>5596</v>
      </c>
      <c r="N3715">
        <v>6</v>
      </c>
      <c r="O3715">
        <v>12.33</v>
      </c>
      <c r="P3715">
        <v>122997.85</v>
      </c>
      <c r="Q3715">
        <v>95329.65</v>
      </c>
      <c r="R3715">
        <v>512</v>
      </c>
      <c r="S3715">
        <v>1622</v>
      </c>
      <c r="T3715" t="s">
        <v>34</v>
      </c>
      <c r="U3715" t="s">
        <v>90</v>
      </c>
    </row>
    <row r="3716" spans="1:21">
      <c r="A3716" t="s">
        <v>5854</v>
      </c>
      <c r="B3716" t="s">
        <v>5855</v>
      </c>
      <c r="C3716" t="s">
        <v>712</v>
      </c>
      <c r="D3716">
        <v>90000</v>
      </c>
      <c r="E3716">
        <v>2000</v>
      </c>
      <c r="H3716">
        <v>2</v>
      </c>
      <c r="I3716" t="s">
        <v>89</v>
      </c>
      <c r="J3716">
        <v>28.15</v>
      </c>
      <c r="K3716">
        <v>17</v>
      </c>
      <c r="L3716">
        <v>2</v>
      </c>
      <c r="M3716" t="s">
        <v>5596</v>
      </c>
      <c r="N3716">
        <v>8</v>
      </c>
      <c r="O3716">
        <v>11.33</v>
      </c>
      <c r="P3716">
        <v>122997.85</v>
      </c>
      <c r="Q3716">
        <v>95329.65</v>
      </c>
      <c r="R3716">
        <v>512</v>
      </c>
      <c r="S3716">
        <v>1622</v>
      </c>
      <c r="T3716" t="s">
        <v>34</v>
      </c>
      <c r="U3716" t="s">
        <v>90</v>
      </c>
    </row>
    <row r="3717" spans="1:21">
      <c r="A3717" t="s">
        <v>5856</v>
      </c>
      <c r="B3717" t="s">
        <v>5857</v>
      </c>
      <c r="C3717" t="s">
        <v>5608</v>
      </c>
      <c r="D3717">
        <v>85000</v>
      </c>
      <c r="E3717">
        <v>2000</v>
      </c>
      <c r="F3717">
        <v>85000</v>
      </c>
      <c r="G3717">
        <v>85000</v>
      </c>
      <c r="H3717">
        <v>1</v>
      </c>
      <c r="I3717" t="s">
        <v>89</v>
      </c>
      <c r="J3717">
        <v>28.15</v>
      </c>
      <c r="K3717">
        <v>21</v>
      </c>
      <c r="L3717">
        <v>2</v>
      </c>
      <c r="M3717" t="s">
        <v>5596</v>
      </c>
      <c r="N3717">
        <v>5</v>
      </c>
      <c r="O3717">
        <v>11.67</v>
      </c>
      <c r="P3717">
        <v>122997.85</v>
      </c>
      <c r="Q3717">
        <v>95329.65</v>
      </c>
      <c r="R3717">
        <v>512</v>
      </c>
      <c r="S3717">
        <v>1622</v>
      </c>
      <c r="T3717" t="s">
        <v>34</v>
      </c>
      <c r="U3717" t="s">
        <v>27</v>
      </c>
    </row>
    <row r="3718" spans="1:21">
      <c r="A3718" t="s">
        <v>5858</v>
      </c>
      <c r="B3718" t="s">
        <v>5859</v>
      </c>
      <c r="C3718" t="s">
        <v>5608</v>
      </c>
      <c r="D3718">
        <v>89000</v>
      </c>
      <c r="E3718">
        <v>4000</v>
      </c>
      <c r="G3718">
        <v>89000</v>
      </c>
      <c r="H3718">
        <v>1</v>
      </c>
      <c r="I3718" t="s">
        <v>89</v>
      </c>
      <c r="J3718">
        <v>26.27</v>
      </c>
      <c r="K3718">
        <v>24</v>
      </c>
      <c r="L3718">
        <v>2</v>
      </c>
      <c r="M3718" t="s">
        <v>5596</v>
      </c>
      <c r="N3718">
        <v>5</v>
      </c>
      <c r="O3718">
        <v>10.67</v>
      </c>
      <c r="P3718">
        <v>122997.85</v>
      </c>
      <c r="Q3718">
        <v>95329.65</v>
      </c>
      <c r="R3718">
        <v>512</v>
      </c>
      <c r="S3718">
        <v>1622</v>
      </c>
      <c r="T3718" t="s">
        <v>34</v>
      </c>
      <c r="U3718" t="s">
        <v>27</v>
      </c>
    </row>
    <row r="3719" spans="1:21">
      <c r="A3719" t="s">
        <v>5860</v>
      </c>
      <c r="B3719" t="s">
        <v>5859</v>
      </c>
      <c r="C3719" t="s">
        <v>5608</v>
      </c>
      <c r="D3719">
        <v>92000</v>
      </c>
      <c r="E3719">
        <v>4000</v>
      </c>
      <c r="G3719">
        <v>92000</v>
      </c>
      <c r="H3719">
        <v>2</v>
      </c>
      <c r="I3719" t="s">
        <v>89</v>
      </c>
      <c r="J3719">
        <v>26.27</v>
      </c>
      <c r="K3719">
        <v>24</v>
      </c>
      <c r="L3719">
        <v>2</v>
      </c>
      <c r="M3719" t="s">
        <v>5596</v>
      </c>
      <c r="N3719">
        <v>5</v>
      </c>
      <c r="O3719">
        <v>10.67</v>
      </c>
      <c r="P3719">
        <v>122997.85</v>
      </c>
      <c r="Q3719">
        <v>95329.65</v>
      </c>
      <c r="R3719">
        <v>512</v>
      </c>
      <c r="S3719">
        <v>1622</v>
      </c>
      <c r="T3719" t="s">
        <v>34</v>
      </c>
      <c r="U3719" t="s">
        <v>27</v>
      </c>
    </row>
    <row r="3720" spans="1:21">
      <c r="A3720" t="s">
        <v>5861</v>
      </c>
      <c r="B3720" t="s">
        <v>5862</v>
      </c>
      <c r="C3720" t="s">
        <v>4013</v>
      </c>
      <c r="D3720">
        <v>58000</v>
      </c>
      <c r="F3720">
        <v>58000</v>
      </c>
      <c r="H3720">
        <v>1</v>
      </c>
      <c r="I3720" t="s">
        <v>89</v>
      </c>
      <c r="J3720">
        <v>17</v>
      </c>
      <c r="K3720">
        <v>32</v>
      </c>
      <c r="L3720">
        <v>2</v>
      </c>
      <c r="M3720" t="s">
        <v>5596</v>
      </c>
      <c r="N3720">
        <v>3</v>
      </c>
      <c r="O3720">
        <v>9.67</v>
      </c>
      <c r="P3720">
        <v>122997.85</v>
      </c>
      <c r="Q3720">
        <v>95329.65</v>
      </c>
      <c r="R3720">
        <v>512</v>
      </c>
      <c r="S3720">
        <v>1622</v>
      </c>
      <c r="T3720" t="s">
        <v>108</v>
      </c>
      <c r="U3720" t="s">
        <v>49</v>
      </c>
    </row>
    <row r="3721" spans="1:21">
      <c r="A3721" t="s">
        <v>5863</v>
      </c>
      <c r="B3721" t="s">
        <v>5640</v>
      </c>
      <c r="C3721" t="s">
        <v>5601</v>
      </c>
      <c r="D3721">
        <v>55000</v>
      </c>
      <c r="E3721">
        <v>2000</v>
      </c>
      <c r="F3721">
        <v>55000</v>
      </c>
      <c r="H3721">
        <v>1</v>
      </c>
      <c r="I3721" t="s">
        <v>89</v>
      </c>
      <c r="J3721">
        <v>20.46</v>
      </c>
      <c r="K3721">
        <v>33</v>
      </c>
      <c r="L3721">
        <v>2</v>
      </c>
      <c r="M3721" t="s">
        <v>5596</v>
      </c>
      <c r="N3721">
        <v>10</v>
      </c>
      <c r="O3721">
        <v>13.33</v>
      </c>
      <c r="P3721">
        <v>122997.85</v>
      </c>
      <c r="Q3721">
        <v>95329.65</v>
      </c>
      <c r="R3721">
        <v>512</v>
      </c>
      <c r="S3721">
        <v>1622</v>
      </c>
      <c r="T3721" t="s">
        <v>34</v>
      </c>
      <c r="U3721" t="s">
        <v>49</v>
      </c>
    </row>
    <row r="3722" spans="1:21">
      <c r="A3722" t="s">
        <v>5864</v>
      </c>
      <c r="B3722" t="s">
        <v>5865</v>
      </c>
      <c r="C3722" t="s">
        <v>4356</v>
      </c>
      <c r="D3722">
        <v>82000</v>
      </c>
      <c r="E3722">
        <v>3000</v>
      </c>
      <c r="F3722">
        <v>82000</v>
      </c>
      <c r="G3722">
        <v>82000</v>
      </c>
      <c r="H3722">
        <v>2</v>
      </c>
      <c r="I3722" t="s">
        <v>89</v>
      </c>
      <c r="J3722">
        <v>21.15</v>
      </c>
      <c r="K3722">
        <v>8</v>
      </c>
      <c r="L3722">
        <v>2</v>
      </c>
      <c r="M3722" t="s">
        <v>5596</v>
      </c>
      <c r="N3722">
        <v>9</v>
      </c>
      <c r="O3722">
        <v>10.33</v>
      </c>
      <c r="P3722">
        <v>122997.85</v>
      </c>
      <c r="Q3722">
        <v>95329.65</v>
      </c>
      <c r="R3722">
        <v>512</v>
      </c>
      <c r="S3722">
        <v>1622</v>
      </c>
      <c r="T3722" t="s">
        <v>34</v>
      </c>
      <c r="U3722" t="s">
        <v>31</v>
      </c>
    </row>
    <row r="3723" spans="1:21">
      <c r="A3723" t="s">
        <v>5866</v>
      </c>
      <c r="B3723" t="s">
        <v>5867</v>
      </c>
      <c r="C3723" t="s">
        <v>2033</v>
      </c>
      <c r="D3723">
        <v>97000</v>
      </c>
      <c r="E3723">
        <v>3000</v>
      </c>
      <c r="G3723">
        <v>97000</v>
      </c>
      <c r="H3723">
        <v>3</v>
      </c>
      <c r="I3723" t="s">
        <v>89</v>
      </c>
      <c r="J3723">
        <v>28.98</v>
      </c>
      <c r="K3723">
        <v>10</v>
      </c>
      <c r="L3723">
        <v>3</v>
      </c>
      <c r="M3723" t="s">
        <v>5596</v>
      </c>
      <c r="N3723">
        <v>9</v>
      </c>
      <c r="O3723">
        <v>12.33</v>
      </c>
      <c r="P3723">
        <v>122997.85</v>
      </c>
      <c r="Q3723">
        <v>95329.65</v>
      </c>
      <c r="R3723">
        <v>512</v>
      </c>
      <c r="S3723">
        <v>1622</v>
      </c>
      <c r="T3723" t="s">
        <v>34</v>
      </c>
      <c r="U3723" t="s">
        <v>31</v>
      </c>
    </row>
    <row r="3724" spans="1:21">
      <c r="A3724" t="s">
        <v>5868</v>
      </c>
      <c r="B3724" t="s">
        <v>5869</v>
      </c>
      <c r="C3724" t="s">
        <v>5608</v>
      </c>
      <c r="D3724">
        <v>93000</v>
      </c>
      <c r="E3724">
        <v>8000</v>
      </c>
      <c r="F3724">
        <v>93000</v>
      </c>
      <c r="G3724">
        <v>139500</v>
      </c>
      <c r="H3724">
        <v>1</v>
      </c>
      <c r="I3724" t="s">
        <v>89</v>
      </c>
      <c r="J3724">
        <v>29.04</v>
      </c>
      <c r="K3724">
        <v>11</v>
      </c>
      <c r="L3724">
        <v>3</v>
      </c>
      <c r="M3724" t="s">
        <v>5596</v>
      </c>
      <c r="N3724">
        <v>6</v>
      </c>
      <c r="O3724">
        <v>11.33</v>
      </c>
      <c r="P3724">
        <v>122997.85</v>
      </c>
      <c r="Q3724">
        <v>95329.65</v>
      </c>
      <c r="R3724">
        <v>512</v>
      </c>
      <c r="S3724">
        <v>1622</v>
      </c>
      <c r="T3724" t="s">
        <v>34</v>
      </c>
      <c r="U3724" t="s">
        <v>90</v>
      </c>
    </row>
    <row r="3725" spans="1:21">
      <c r="A3725" t="s">
        <v>5870</v>
      </c>
      <c r="B3725" t="s">
        <v>5869</v>
      </c>
      <c r="C3725" t="s">
        <v>5608</v>
      </c>
      <c r="D3725">
        <v>93000</v>
      </c>
      <c r="E3725">
        <v>8000</v>
      </c>
      <c r="F3725">
        <v>93000</v>
      </c>
      <c r="G3725">
        <v>139500</v>
      </c>
      <c r="H3725">
        <v>1</v>
      </c>
      <c r="I3725" t="s">
        <v>89</v>
      </c>
      <c r="J3725">
        <v>29.65</v>
      </c>
      <c r="K3725">
        <v>11</v>
      </c>
      <c r="L3725">
        <v>3</v>
      </c>
      <c r="M3725" t="s">
        <v>5596</v>
      </c>
      <c r="N3725">
        <v>6</v>
      </c>
      <c r="O3725">
        <v>11.33</v>
      </c>
      <c r="P3725">
        <v>122997.85</v>
      </c>
      <c r="Q3725">
        <v>95329.65</v>
      </c>
      <c r="R3725">
        <v>512</v>
      </c>
      <c r="S3725">
        <v>1622</v>
      </c>
      <c r="T3725" t="s">
        <v>34</v>
      </c>
      <c r="U3725" t="s">
        <v>90</v>
      </c>
    </row>
    <row r="3726" spans="1:21">
      <c r="A3726" t="s">
        <v>5871</v>
      </c>
      <c r="B3726" t="s">
        <v>5872</v>
      </c>
      <c r="C3726" t="s">
        <v>712</v>
      </c>
      <c r="D3726">
        <v>77000</v>
      </c>
      <c r="E3726">
        <v>3000</v>
      </c>
      <c r="G3726">
        <v>77000</v>
      </c>
      <c r="H3726">
        <v>2</v>
      </c>
      <c r="I3726" t="s">
        <v>89</v>
      </c>
      <c r="J3726">
        <v>16.84</v>
      </c>
      <c r="K3726">
        <v>13</v>
      </c>
      <c r="L3726">
        <v>3</v>
      </c>
      <c r="M3726" t="s">
        <v>5596</v>
      </c>
      <c r="N3726">
        <v>4</v>
      </c>
      <c r="O3726">
        <v>10.67</v>
      </c>
      <c r="P3726">
        <v>122997.85</v>
      </c>
      <c r="Q3726">
        <v>95329.65</v>
      </c>
      <c r="R3726">
        <v>512</v>
      </c>
      <c r="S3726">
        <v>1622</v>
      </c>
      <c r="T3726" t="s">
        <v>108</v>
      </c>
      <c r="U3726" t="s">
        <v>90</v>
      </c>
    </row>
    <row r="3727" spans="1:21">
      <c r="A3727" t="s">
        <v>5873</v>
      </c>
      <c r="B3727" t="s">
        <v>5872</v>
      </c>
      <c r="C3727" t="s">
        <v>712</v>
      </c>
      <c r="D3727">
        <v>77000</v>
      </c>
      <c r="E3727">
        <v>3000</v>
      </c>
      <c r="G3727">
        <v>77000</v>
      </c>
      <c r="H3727">
        <v>2</v>
      </c>
      <c r="I3727" t="s">
        <v>89</v>
      </c>
      <c r="J3727">
        <v>17.22</v>
      </c>
      <c r="K3727">
        <v>13</v>
      </c>
      <c r="L3727">
        <v>3</v>
      </c>
      <c r="M3727" t="s">
        <v>5596</v>
      </c>
      <c r="N3727">
        <v>4</v>
      </c>
      <c r="O3727">
        <v>10.67</v>
      </c>
      <c r="P3727">
        <v>122997.85</v>
      </c>
      <c r="Q3727">
        <v>95329.65</v>
      </c>
      <c r="R3727">
        <v>512</v>
      </c>
      <c r="S3727">
        <v>1622</v>
      </c>
      <c r="T3727" t="s">
        <v>108</v>
      </c>
      <c r="U3727" t="s">
        <v>90</v>
      </c>
    </row>
    <row r="3728" spans="1:21">
      <c r="A3728" t="s">
        <v>5874</v>
      </c>
      <c r="B3728" t="s">
        <v>5872</v>
      </c>
      <c r="C3728" t="s">
        <v>712</v>
      </c>
      <c r="D3728">
        <v>77000</v>
      </c>
      <c r="E3728">
        <v>3000</v>
      </c>
      <c r="G3728">
        <v>77000</v>
      </c>
      <c r="H3728">
        <v>2</v>
      </c>
      <c r="I3728" t="s">
        <v>89</v>
      </c>
      <c r="J3728">
        <v>17.760000000000002</v>
      </c>
      <c r="K3728">
        <v>13</v>
      </c>
      <c r="L3728">
        <v>3</v>
      </c>
      <c r="M3728" t="s">
        <v>5596</v>
      </c>
      <c r="N3728">
        <v>4</v>
      </c>
      <c r="O3728">
        <v>10.67</v>
      </c>
      <c r="P3728">
        <v>122997.85</v>
      </c>
      <c r="Q3728">
        <v>95329.65</v>
      </c>
      <c r="R3728">
        <v>512</v>
      </c>
      <c r="S3728">
        <v>1622</v>
      </c>
      <c r="T3728" t="s">
        <v>108</v>
      </c>
      <c r="U3728" t="s">
        <v>90</v>
      </c>
    </row>
    <row r="3729" spans="1:21">
      <c r="A3729" t="s">
        <v>5875</v>
      </c>
      <c r="B3729" t="s">
        <v>5876</v>
      </c>
      <c r="C3729" t="s">
        <v>4547</v>
      </c>
      <c r="D3729">
        <v>80000</v>
      </c>
      <c r="E3729">
        <v>3000</v>
      </c>
      <c r="F3729">
        <v>80000</v>
      </c>
      <c r="G3729">
        <v>80000</v>
      </c>
      <c r="H3729">
        <v>1</v>
      </c>
      <c r="I3729" t="s">
        <v>89</v>
      </c>
      <c r="J3729">
        <v>26.24</v>
      </c>
      <c r="K3729">
        <v>16</v>
      </c>
      <c r="L3729">
        <v>3</v>
      </c>
      <c r="M3729" t="s">
        <v>5596</v>
      </c>
      <c r="N3729">
        <v>8</v>
      </c>
      <c r="O3729">
        <v>11</v>
      </c>
      <c r="P3729">
        <v>122997.85</v>
      </c>
      <c r="Q3729">
        <v>95329.65</v>
      </c>
      <c r="R3729">
        <v>512</v>
      </c>
      <c r="S3729">
        <v>1622</v>
      </c>
      <c r="T3729" t="s">
        <v>34</v>
      </c>
      <c r="U3729" t="s">
        <v>90</v>
      </c>
    </row>
    <row r="3730" spans="1:21">
      <c r="A3730" t="s">
        <v>5877</v>
      </c>
      <c r="B3730" t="s">
        <v>5876</v>
      </c>
      <c r="C3730" t="s">
        <v>4547</v>
      </c>
      <c r="D3730">
        <v>85000</v>
      </c>
      <c r="E3730">
        <v>3000</v>
      </c>
      <c r="F3730">
        <v>85000</v>
      </c>
      <c r="G3730">
        <v>85000</v>
      </c>
      <c r="H3730">
        <v>3</v>
      </c>
      <c r="I3730" t="s">
        <v>89</v>
      </c>
      <c r="J3730">
        <v>26.24</v>
      </c>
      <c r="K3730">
        <v>16</v>
      </c>
      <c r="L3730">
        <v>3</v>
      </c>
      <c r="M3730" t="s">
        <v>5596</v>
      </c>
      <c r="N3730">
        <v>8</v>
      </c>
      <c r="O3730">
        <v>11</v>
      </c>
      <c r="P3730">
        <v>122997.85</v>
      </c>
      <c r="Q3730">
        <v>95329.65</v>
      </c>
      <c r="R3730">
        <v>512</v>
      </c>
      <c r="S3730">
        <v>1622</v>
      </c>
      <c r="T3730" t="s">
        <v>34</v>
      </c>
      <c r="U3730" t="s">
        <v>90</v>
      </c>
    </row>
    <row r="3731" spans="1:21">
      <c r="A3731" t="s">
        <v>5878</v>
      </c>
      <c r="B3731" t="s">
        <v>5876</v>
      </c>
      <c r="C3731" t="s">
        <v>4547</v>
      </c>
      <c r="D3731">
        <v>84000</v>
      </c>
      <c r="E3731">
        <v>3000</v>
      </c>
      <c r="F3731">
        <v>84000</v>
      </c>
      <c r="G3731">
        <v>84000</v>
      </c>
      <c r="H3731">
        <v>3</v>
      </c>
      <c r="I3731" t="s">
        <v>89</v>
      </c>
      <c r="J3731">
        <v>29.31</v>
      </c>
      <c r="K3731">
        <v>16</v>
      </c>
      <c r="L3731">
        <v>3</v>
      </c>
      <c r="M3731" t="s">
        <v>5596</v>
      </c>
      <c r="N3731">
        <v>8</v>
      </c>
      <c r="O3731">
        <v>11</v>
      </c>
      <c r="P3731">
        <v>122997.85</v>
      </c>
      <c r="Q3731">
        <v>95329.65</v>
      </c>
      <c r="R3731">
        <v>512</v>
      </c>
      <c r="S3731">
        <v>1622</v>
      </c>
      <c r="T3731" t="s">
        <v>34</v>
      </c>
      <c r="U3731" t="s">
        <v>90</v>
      </c>
    </row>
    <row r="3732" spans="1:21">
      <c r="A3732" t="s">
        <v>5879</v>
      </c>
      <c r="B3732" t="s">
        <v>5880</v>
      </c>
      <c r="C3732" t="s">
        <v>758</v>
      </c>
      <c r="D3732">
        <v>90000</v>
      </c>
      <c r="E3732">
        <v>2000</v>
      </c>
      <c r="F3732">
        <v>90000</v>
      </c>
      <c r="G3732">
        <v>90000</v>
      </c>
      <c r="H3732">
        <v>3</v>
      </c>
      <c r="I3732" t="s">
        <v>89</v>
      </c>
      <c r="J3732">
        <v>30.64</v>
      </c>
      <c r="K3732">
        <v>8</v>
      </c>
      <c r="L3732">
        <v>3</v>
      </c>
      <c r="M3732" t="s">
        <v>5596</v>
      </c>
      <c r="N3732">
        <v>6</v>
      </c>
      <c r="O3732">
        <v>11</v>
      </c>
      <c r="P3732">
        <v>122997.85</v>
      </c>
      <c r="Q3732">
        <v>95329.65</v>
      </c>
      <c r="R3732">
        <v>512</v>
      </c>
      <c r="S3732">
        <v>1622</v>
      </c>
      <c r="T3732" t="s">
        <v>26</v>
      </c>
      <c r="U3732" t="s">
        <v>31</v>
      </c>
    </row>
    <row r="3733" spans="1:21">
      <c r="A3733" t="s">
        <v>5881</v>
      </c>
      <c r="B3733" t="s">
        <v>5882</v>
      </c>
      <c r="C3733" t="s">
        <v>5608</v>
      </c>
      <c r="D3733">
        <v>78000</v>
      </c>
      <c r="E3733">
        <v>7000</v>
      </c>
      <c r="F3733">
        <v>78000</v>
      </c>
      <c r="G3733">
        <v>78000</v>
      </c>
      <c r="H3733">
        <v>1</v>
      </c>
      <c r="I3733" t="s">
        <v>89</v>
      </c>
      <c r="J3733">
        <v>22.32</v>
      </c>
      <c r="K3733">
        <v>26</v>
      </c>
      <c r="L3733">
        <v>4</v>
      </c>
      <c r="M3733" t="s">
        <v>5596</v>
      </c>
      <c r="N3733">
        <v>6</v>
      </c>
      <c r="O3733">
        <v>12</v>
      </c>
      <c r="P3733">
        <v>122997.85</v>
      </c>
      <c r="Q3733">
        <v>95329.65</v>
      </c>
      <c r="R3733">
        <v>512</v>
      </c>
      <c r="S3733">
        <v>1622</v>
      </c>
      <c r="T3733" t="s">
        <v>34</v>
      </c>
      <c r="U3733" t="s">
        <v>27</v>
      </c>
    </row>
    <row r="3734" spans="1:21">
      <c r="A3734" t="s">
        <v>5883</v>
      </c>
      <c r="B3734" t="s">
        <v>5884</v>
      </c>
      <c r="C3734" t="s">
        <v>5601</v>
      </c>
      <c r="D3734">
        <v>64000</v>
      </c>
      <c r="E3734">
        <v>15000</v>
      </c>
      <c r="G3734">
        <v>64000</v>
      </c>
      <c r="H3734">
        <v>1</v>
      </c>
      <c r="I3734" t="s">
        <v>89</v>
      </c>
      <c r="J3734">
        <v>20.53</v>
      </c>
      <c r="K3734">
        <v>27</v>
      </c>
      <c r="L3734">
        <v>4</v>
      </c>
      <c r="M3734" t="s">
        <v>5596</v>
      </c>
      <c r="N3734">
        <v>5</v>
      </c>
      <c r="O3734">
        <v>8.5</v>
      </c>
      <c r="P3734">
        <v>122997.85</v>
      </c>
      <c r="Q3734">
        <v>95329.65</v>
      </c>
      <c r="R3734">
        <v>512</v>
      </c>
      <c r="S3734">
        <v>1622</v>
      </c>
      <c r="T3734" t="s">
        <v>34</v>
      </c>
      <c r="U3734" t="s">
        <v>27</v>
      </c>
    </row>
    <row r="3735" spans="1:21">
      <c r="A3735" t="s">
        <v>5885</v>
      </c>
      <c r="B3735" t="s">
        <v>5884</v>
      </c>
      <c r="C3735" t="s">
        <v>5601</v>
      </c>
      <c r="D3735">
        <v>65000</v>
      </c>
      <c r="E3735">
        <v>15000</v>
      </c>
      <c r="G3735">
        <v>65000</v>
      </c>
      <c r="H3735">
        <v>1</v>
      </c>
      <c r="I3735" t="s">
        <v>89</v>
      </c>
      <c r="J3735">
        <v>20.53</v>
      </c>
      <c r="K3735">
        <v>27</v>
      </c>
      <c r="L3735">
        <v>4</v>
      </c>
      <c r="M3735" t="s">
        <v>5596</v>
      </c>
      <c r="N3735">
        <v>5</v>
      </c>
      <c r="O3735">
        <v>8.5</v>
      </c>
      <c r="P3735">
        <v>122997.85</v>
      </c>
      <c r="Q3735">
        <v>95329.65</v>
      </c>
      <c r="R3735">
        <v>512</v>
      </c>
      <c r="S3735">
        <v>1622</v>
      </c>
      <c r="T3735" t="s">
        <v>34</v>
      </c>
      <c r="U3735" t="s">
        <v>27</v>
      </c>
    </row>
    <row r="3736" spans="1:21">
      <c r="A3736" t="s">
        <v>5886</v>
      </c>
      <c r="B3736" t="s">
        <v>5887</v>
      </c>
      <c r="C3736" t="s">
        <v>2033</v>
      </c>
      <c r="D3736">
        <v>64000</v>
      </c>
      <c r="E3736">
        <v>6000</v>
      </c>
      <c r="F3736">
        <v>64000</v>
      </c>
      <c r="G3736">
        <v>64000</v>
      </c>
      <c r="H3736">
        <v>1</v>
      </c>
      <c r="I3736" t="s">
        <v>89</v>
      </c>
      <c r="J3736">
        <v>17.7</v>
      </c>
      <c r="K3736">
        <v>28</v>
      </c>
      <c r="L3736">
        <v>4</v>
      </c>
      <c r="M3736" t="s">
        <v>5596</v>
      </c>
      <c r="N3736">
        <v>10</v>
      </c>
      <c r="O3736">
        <v>12.67</v>
      </c>
      <c r="P3736">
        <v>122997.85</v>
      </c>
      <c r="Q3736">
        <v>95329.65</v>
      </c>
      <c r="R3736">
        <v>512</v>
      </c>
      <c r="S3736">
        <v>1622</v>
      </c>
      <c r="T3736" t="s">
        <v>108</v>
      </c>
      <c r="U3736" t="s">
        <v>27</v>
      </c>
    </row>
    <row r="3737" spans="1:21">
      <c r="A3737" t="s">
        <v>5888</v>
      </c>
      <c r="B3737" t="s">
        <v>5889</v>
      </c>
      <c r="C3737" t="s">
        <v>5608</v>
      </c>
      <c r="D3737">
        <v>97000</v>
      </c>
      <c r="E3737">
        <v>3000</v>
      </c>
      <c r="F3737">
        <v>97000</v>
      </c>
      <c r="G3737">
        <v>97000</v>
      </c>
      <c r="H3737">
        <v>2</v>
      </c>
      <c r="I3737" t="s">
        <v>89</v>
      </c>
      <c r="J3737">
        <v>18.8</v>
      </c>
      <c r="K3737">
        <v>5</v>
      </c>
      <c r="L3737">
        <v>4</v>
      </c>
      <c r="M3737" t="s">
        <v>5596</v>
      </c>
      <c r="N3737">
        <v>7</v>
      </c>
      <c r="O3737">
        <v>12</v>
      </c>
      <c r="P3737">
        <v>122997.85</v>
      </c>
      <c r="Q3737">
        <v>95329.65</v>
      </c>
      <c r="R3737">
        <v>512</v>
      </c>
      <c r="S3737">
        <v>1622</v>
      </c>
      <c r="T3737" t="s">
        <v>108</v>
      </c>
      <c r="U3737" t="s">
        <v>31</v>
      </c>
    </row>
    <row r="3738" spans="1:21">
      <c r="A3738" t="s">
        <v>5890</v>
      </c>
      <c r="B3738" t="s">
        <v>5889</v>
      </c>
      <c r="C3738" t="s">
        <v>5608</v>
      </c>
      <c r="D3738">
        <v>93000</v>
      </c>
      <c r="E3738">
        <v>5000</v>
      </c>
      <c r="F3738">
        <v>93000</v>
      </c>
      <c r="H3738">
        <v>3</v>
      </c>
      <c r="I3738" t="s">
        <v>89</v>
      </c>
      <c r="J3738">
        <v>21.4</v>
      </c>
      <c r="K3738">
        <v>5</v>
      </c>
      <c r="L3738">
        <v>4</v>
      </c>
      <c r="M3738" t="s">
        <v>5596</v>
      </c>
      <c r="N3738">
        <v>11</v>
      </c>
      <c r="O3738">
        <v>14.67</v>
      </c>
      <c r="P3738">
        <v>122997.85</v>
      </c>
      <c r="Q3738">
        <v>95329.65</v>
      </c>
      <c r="R3738">
        <v>512</v>
      </c>
      <c r="S3738">
        <v>1622</v>
      </c>
      <c r="T3738" t="s">
        <v>34</v>
      </c>
      <c r="U3738" t="s">
        <v>31</v>
      </c>
    </row>
    <row r="3739" spans="1:21">
      <c r="A3739" t="s">
        <v>5891</v>
      </c>
      <c r="B3739" t="s">
        <v>5892</v>
      </c>
      <c r="C3739" t="s">
        <v>5608</v>
      </c>
      <c r="D3739">
        <v>136000</v>
      </c>
      <c r="E3739">
        <v>11000</v>
      </c>
      <c r="G3739">
        <v>136000</v>
      </c>
      <c r="H3739">
        <v>2</v>
      </c>
      <c r="I3739" t="s">
        <v>89</v>
      </c>
      <c r="J3739">
        <v>25.33</v>
      </c>
      <c r="K3739">
        <v>6</v>
      </c>
      <c r="L3739">
        <v>4</v>
      </c>
      <c r="M3739" t="s">
        <v>5596</v>
      </c>
      <c r="N3739">
        <v>7</v>
      </c>
      <c r="O3739">
        <v>13.67</v>
      </c>
      <c r="P3739">
        <v>122997.85</v>
      </c>
      <c r="Q3739">
        <v>95329.65</v>
      </c>
      <c r="R3739">
        <v>512</v>
      </c>
      <c r="S3739">
        <v>1622</v>
      </c>
      <c r="T3739" t="s">
        <v>34</v>
      </c>
      <c r="U3739" t="s">
        <v>31</v>
      </c>
    </row>
    <row r="3740" spans="1:21">
      <c r="A3740" t="s">
        <v>5893</v>
      </c>
      <c r="B3740" t="s">
        <v>5894</v>
      </c>
      <c r="C3740" t="s">
        <v>2033</v>
      </c>
      <c r="D3740">
        <v>90000</v>
      </c>
      <c r="E3740">
        <v>10000</v>
      </c>
      <c r="G3740">
        <v>90000</v>
      </c>
      <c r="H3740">
        <v>4</v>
      </c>
      <c r="I3740" t="s">
        <v>89</v>
      </c>
      <c r="J3740">
        <v>25.74</v>
      </c>
      <c r="K3740">
        <v>12</v>
      </c>
      <c r="L3740">
        <v>5</v>
      </c>
      <c r="M3740" t="s">
        <v>5596</v>
      </c>
      <c r="N3740">
        <v>9</v>
      </c>
      <c r="O3740">
        <v>12.67</v>
      </c>
      <c r="P3740">
        <v>122997.85</v>
      </c>
      <c r="Q3740">
        <v>95329.65</v>
      </c>
      <c r="R3740">
        <v>512</v>
      </c>
      <c r="S3740">
        <v>1622</v>
      </c>
      <c r="T3740" t="s">
        <v>34</v>
      </c>
      <c r="U3740" t="s">
        <v>90</v>
      </c>
    </row>
    <row r="3741" spans="1:21">
      <c r="A3741" t="s">
        <v>5895</v>
      </c>
      <c r="B3741" t="s">
        <v>5896</v>
      </c>
      <c r="C3741" t="s">
        <v>758</v>
      </c>
      <c r="D3741">
        <v>104000</v>
      </c>
      <c r="E3741">
        <v>7000</v>
      </c>
      <c r="H3741">
        <v>3</v>
      </c>
      <c r="I3741" t="s">
        <v>89</v>
      </c>
      <c r="J3741">
        <v>20.16</v>
      </c>
      <c r="K3741">
        <v>20</v>
      </c>
      <c r="L3741">
        <v>5</v>
      </c>
      <c r="M3741" t="s">
        <v>5596</v>
      </c>
      <c r="N3741">
        <v>8</v>
      </c>
      <c r="O3741">
        <v>9.67</v>
      </c>
      <c r="P3741">
        <v>122997.85</v>
      </c>
      <c r="Q3741">
        <v>95329.65</v>
      </c>
      <c r="R3741">
        <v>512</v>
      </c>
      <c r="S3741">
        <v>1622</v>
      </c>
      <c r="T3741" t="s">
        <v>34</v>
      </c>
      <c r="U3741" t="s">
        <v>90</v>
      </c>
    </row>
    <row r="3742" spans="1:21">
      <c r="A3742" t="s">
        <v>5897</v>
      </c>
      <c r="B3742" t="s">
        <v>5898</v>
      </c>
      <c r="C3742" t="s">
        <v>5608</v>
      </c>
      <c r="D3742">
        <v>70000</v>
      </c>
      <c r="E3742">
        <v>7000</v>
      </c>
      <c r="H3742">
        <v>1</v>
      </c>
      <c r="I3742" t="s">
        <v>89</v>
      </c>
      <c r="J3742">
        <v>21.08</v>
      </c>
      <c r="K3742">
        <v>22</v>
      </c>
      <c r="L3742">
        <v>5</v>
      </c>
      <c r="M3742" t="s">
        <v>5596</v>
      </c>
      <c r="N3742">
        <v>7</v>
      </c>
      <c r="O3742">
        <v>12.67</v>
      </c>
      <c r="P3742">
        <v>122997.85</v>
      </c>
      <c r="Q3742">
        <v>95329.65</v>
      </c>
      <c r="R3742">
        <v>512</v>
      </c>
      <c r="S3742">
        <v>1622</v>
      </c>
      <c r="T3742" t="s">
        <v>34</v>
      </c>
      <c r="U3742" t="s">
        <v>27</v>
      </c>
    </row>
    <row r="3743" spans="1:21">
      <c r="A3743" t="s">
        <v>5899</v>
      </c>
      <c r="B3743" t="s">
        <v>5900</v>
      </c>
      <c r="C3743" t="s">
        <v>4356</v>
      </c>
      <c r="D3743">
        <v>89000</v>
      </c>
      <c r="E3743">
        <v>10000</v>
      </c>
      <c r="F3743">
        <v>89000</v>
      </c>
      <c r="G3743">
        <v>89000</v>
      </c>
      <c r="H3743">
        <v>4</v>
      </c>
      <c r="I3743" t="s">
        <v>89</v>
      </c>
      <c r="J3743">
        <v>24.95</v>
      </c>
      <c r="K3743">
        <v>25</v>
      </c>
      <c r="L3743">
        <v>5</v>
      </c>
      <c r="M3743" t="s">
        <v>5596</v>
      </c>
      <c r="N3743">
        <v>5</v>
      </c>
      <c r="O3743">
        <v>10.33</v>
      </c>
      <c r="P3743">
        <v>122997.85</v>
      </c>
      <c r="Q3743">
        <v>95329.65</v>
      </c>
      <c r="R3743">
        <v>512</v>
      </c>
      <c r="S3743">
        <v>1622</v>
      </c>
      <c r="T3743" t="s">
        <v>34</v>
      </c>
      <c r="U3743" t="s">
        <v>27</v>
      </c>
    </row>
    <row r="3744" spans="1:21">
      <c r="A3744" t="s">
        <v>5901</v>
      </c>
      <c r="B3744" t="s">
        <v>5902</v>
      </c>
      <c r="C3744" t="s">
        <v>4016</v>
      </c>
      <c r="D3744">
        <v>87000</v>
      </c>
      <c r="G3744">
        <v>87000</v>
      </c>
      <c r="H3744">
        <v>2</v>
      </c>
      <c r="I3744" t="s">
        <v>89</v>
      </c>
      <c r="J3744">
        <v>20.65</v>
      </c>
      <c r="K3744">
        <v>28</v>
      </c>
      <c r="L3744">
        <v>5</v>
      </c>
      <c r="M3744" t="s">
        <v>5596</v>
      </c>
      <c r="N3744">
        <v>5</v>
      </c>
      <c r="O3744">
        <v>10.33</v>
      </c>
      <c r="P3744">
        <v>122997.85</v>
      </c>
      <c r="Q3744">
        <v>95329.65</v>
      </c>
      <c r="R3744">
        <v>512</v>
      </c>
      <c r="S3744">
        <v>1622</v>
      </c>
      <c r="T3744" t="s">
        <v>34</v>
      </c>
      <c r="U3744" t="s">
        <v>27</v>
      </c>
    </row>
    <row r="3745" spans="1:21">
      <c r="A3745" t="s">
        <v>5903</v>
      </c>
      <c r="B3745" t="s">
        <v>5904</v>
      </c>
      <c r="C3745" t="s">
        <v>5608</v>
      </c>
      <c r="D3745">
        <v>123000</v>
      </c>
      <c r="E3745">
        <v>12000</v>
      </c>
      <c r="H3745">
        <v>1</v>
      </c>
      <c r="I3745" t="s">
        <v>89</v>
      </c>
      <c r="J3745">
        <v>20.329999999999998</v>
      </c>
      <c r="K3745">
        <v>2</v>
      </c>
      <c r="L3745">
        <v>5</v>
      </c>
      <c r="M3745" t="s">
        <v>5596</v>
      </c>
      <c r="N3745">
        <v>4</v>
      </c>
      <c r="O3745">
        <v>11</v>
      </c>
      <c r="P3745">
        <v>122997.85</v>
      </c>
      <c r="Q3745">
        <v>95329.65</v>
      </c>
      <c r="R3745">
        <v>512</v>
      </c>
      <c r="S3745">
        <v>1622</v>
      </c>
      <c r="T3745" t="s">
        <v>34</v>
      </c>
      <c r="U3745" t="s">
        <v>31</v>
      </c>
    </row>
    <row r="3746" spans="1:21">
      <c r="A3746" t="s">
        <v>5905</v>
      </c>
      <c r="B3746" t="s">
        <v>5904</v>
      </c>
      <c r="C3746" t="s">
        <v>5608</v>
      </c>
      <c r="D3746">
        <v>122000</v>
      </c>
      <c r="E3746">
        <v>12000</v>
      </c>
      <c r="H3746">
        <v>1</v>
      </c>
      <c r="I3746" t="s">
        <v>89</v>
      </c>
      <c r="J3746">
        <v>21.55</v>
      </c>
      <c r="K3746">
        <v>2</v>
      </c>
      <c r="L3746">
        <v>5</v>
      </c>
      <c r="M3746" t="s">
        <v>5596</v>
      </c>
      <c r="N3746">
        <v>4</v>
      </c>
      <c r="O3746">
        <v>11</v>
      </c>
      <c r="P3746">
        <v>122997.85</v>
      </c>
      <c r="Q3746">
        <v>95329.65</v>
      </c>
      <c r="R3746">
        <v>512</v>
      </c>
      <c r="S3746">
        <v>1622</v>
      </c>
      <c r="T3746" t="s">
        <v>34</v>
      </c>
      <c r="U3746" t="s">
        <v>31</v>
      </c>
    </row>
    <row r="3747" spans="1:21">
      <c r="A3747" t="s">
        <v>5906</v>
      </c>
      <c r="B3747" t="s">
        <v>5648</v>
      </c>
      <c r="C3747" t="s">
        <v>5608</v>
      </c>
      <c r="D3747">
        <v>109000</v>
      </c>
      <c r="E3747">
        <v>12000</v>
      </c>
      <c r="G3747">
        <v>109000</v>
      </c>
      <c r="H3747">
        <v>2</v>
      </c>
      <c r="I3747" t="s">
        <v>89</v>
      </c>
      <c r="J3747">
        <v>25.51</v>
      </c>
      <c r="K3747">
        <v>5</v>
      </c>
      <c r="L3747">
        <v>5</v>
      </c>
      <c r="M3747" t="s">
        <v>5596</v>
      </c>
      <c r="N3747">
        <v>7</v>
      </c>
      <c r="O3747">
        <v>11.33</v>
      </c>
      <c r="P3747">
        <v>122997.85</v>
      </c>
      <c r="Q3747">
        <v>95329.65</v>
      </c>
      <c r="R3747">
        <v>512</v>
      </c>
      <c r="S3747">
        <v>1622</v>
      </c>
      <c r="T3747" t="s">
        <v>34</v>
      </c>
      <c r="U3747" t="s">
        <v>31</v>
      </c>
    </row>
    <row r="3748" spans="1:21">
      <c r="A3748" t="s">
        <v>5907</v>
      </c>
      <c r="B3748" t="s">
        <v>5650</v>
      </c>
      <c r="C3748" t="s">
        <v>712</v>
      </c>
      <c r="D3748">
        <v>125000</v>
      </c>
      <c r="E3748">
        <v>15000</v>
      </c>
      <c r="H3748">
        <v>5</v>
      </c>
      <c r="I3748" t="s">
        <v>89</v>
      </c>
      <c r="J3748">
        <v>25.51</v>
      </c>
      <c r="K3748">
        <v>6</v>
      </c>
      <c r="L3748">
        <v>5</v>
      </c>
      <c r="M3748" t="s">
        <v>5596</v>
      </c>
      <c r="N3748">
        <v>10</v>
      </c>
      <c r="O3748">
        <v>11</v>
      </c>
      <c r="P3748">
        <v>122997.85</v>
      </c>
      <c r="Q3748">
        <v>95329.65</v>
      </c>
      <c r="R3748">
        <v>512</v>
      </c>
      <c r="S3748">
        <v>1622</v>
      </c>
      <c r="T3748" t="s">
        <v>34</v>
      </c>
      <c r="U3748" t="s">
        <v>31</v>
      </c>
    </row>
    <row r="3749" spans="1:21">
      <c r="A3749" t="s">
        <v>5908</v>
      </c>
      <c r="B3749" t="s">
        <v>5909</v>
      </c>
      <c r="C3749" t="s">
        <v>2033</v>
      </c>
      <c r="D3749">
        <v>99000</v>
      </c>
      <c r="E3749">
        <v>6000</v>
      </c>
      <c r="F3749">
        <v>99000</v>
      </c>
      <c r="G3749">
        <v>99000</v>
      </c>
      <c r="H3749">
        <v>1</v>
      </c>
      <c r="I3749" t="s">
        <v>89</v>
      </c>
      <c r="J3749">
        <v>25.18</v>
      </c>
      <c r="K3749">
        <v>7</v>
      </c>
      <c r="L3749">
        <v>5</v>
      </c>
      <c r="M3749" t="s">
        <v>5596</v>
      </c>
      <c r="N3749">
        <v>8</v>
      </c>
      <c r="O3749">
        <v>12</v>
      </c>
      <c r="P3749">
        <v>122997.85</v>
      </c>
      <c r="Q3749">
        <v>95329.65</v>
      </c>
      <c r="R3749">
        <v>512</v>
      </c>
      <c r="S3749">
        <v>1622</v>
      </c>
      <c r="T3749" t="s">
        <v>34</v>
      </c>
      <c r="U3749" t="s">
        <v>31</v>
      </c>
    </row>
    <row r="3750" spans="1:21">
      <c r="A3750" t="s">
        <v>5910</v>
      </c>
      <c r="B3750" t="s">
        <v>5909</v>
      </c>
      <c r="C3750" t="s">
        <v>2033</v>
      </c>
      <c r="D3750">
        <v>105000</v>
      </c>
      <c r="E3750">
        <v>7000</v>
      </c>
      <c r="F3750">
        <v>105000</v>
      </c>
      <c r="G3750">
        <v>105000</v>
      </c>
      <c r="H3750">
        <v>2</v>
      </c>
      <c r="I3750" t="s">
        <v>89</v>
      </c>
      <c r="J3750">
        <v>25.18</v>
      </c>
      <c r="K3750">
        <v>7</v>
      </c>
      <c r="L3750">
        <v>5</v>
      </c>
      <c r="M3750" t="s">
        <v>5596</v>
      </c>
      <c r="N3750">
        <v>8</v>
      </c>
      <c r="O3750">
        <v>12</v>
      </c>
      <c r="P3750">
        <v>122997.85</v>
      </c>
      <c r="Q3750">
        <v>95329.65</v>
      </c>
      <c r="R3750">
        <v>512</v>
      </c>
      <c r="S3750">
        <v>1622</v>
      </c>
      <c r="T3750" t="s">
        <v>34</v>
      </c>
      <c r="U3750" t="s">
        <v>31</v>
      </c>
    </row>
    <row r="3751" spans="1:21">
      <c r="A3751" t="s">
        <v>5911</v>
      </c>
      <c r="B3751" t="s">
        <v>5912</v>
      </c>
      <c r="C3751" t="s">
        <v>2033</v>
      </c>
      <c r="D3751">
        <v>98000</v>
      </c>
      <c r="E3751">
        <v>8000</v>
      </c>
      <c r="G3751">
        <v>98000</v>
      </c>
      <c r="H3751">
        <v>2</v>
      </c>
      <c r="I3751" t="s">
        <v>89</v>
      </c>
      <c r="J3751">
        <v>25.41</v>
      </c>
      <c r="K3751">
        <v>9</v>
      </c>
      <c r="L3751">
        <v>5</v>
      </c>
      <c r="M3751" t="s">
        <v>5596</v>
      </c>
      <c r="N3751">
        <v>9</v>
      </c>
      <c r="O3751">
        <v>13</v>
      </c>
      <c r="P3751">
        <v>122997.85</v>
      </c>
      <c r="Q3751">
        <v>95329.65</v>
      </c>
      <c r="R3751">
        <v>512</v>
      </c>
      <c r="S3751">
        <v>1622</v>
      </c>
      <c r="T3751" t="s">
        <v>34</v>
      </c>
      <c r="U3751" t="s">
        <v>31</v>
      </c>
    </row>
    <row r="3752" spans="1:21">
      <c r="A3752" t="s">
        <v>5913</v>
      </c>
      <c r="B3752" t="s">
        <v>5914</v>
      </c>
      <c r="C3752" t="s">
        <v>2033</v>
      </c>
      <c r="D3752">
        <v>93000</v>
      </c>
      <c r="E3752">
        <v>10000</v>
      </c>
      <c r="F3752">
        <v>93000</v>
      </c>
      <c r="G3752">
        <v>93000</v>
      </c>
      <c r="H3752">
        <v>2</v>
      </c>
      <c r="I3752" t="s">
        <v>89</v>
      </c>
      <c r="J3752">
        <v>25.87</v>
      </c>
      <c r="K3752">
        <v>11</v>
      </c>
      <c r="L3752">
        <v>6</v>
      </c>
      <c r="M3752" t="s">
        <v>5596</v>
      </c>
      <c r="N3752">
        <v>9</v>
      </c>
      <c r="O3752">
        <v>11.67</v>
      </c>
      <c r="P3752">
        <v>122997.85</v>
      </c>
      <c r="Q3752">
        <v>95329.65</v>
      </c>
      <c r="R3752">
        <v>512</v>
      </c>
      <c r="S3752">
        <v>1622</v>
      </c>
      <c r="T3752" t="s">
        <v>34</v>
      </c>
      <c r="U3752" t="s">
        <v>90</v>
      </c>
    </row>
    <row r="3753" spans="1:21">
      <c r="A3753" t="s">
        <v>5915</v>
      </c>
      <c r="B3753" t="s">
        <v>5914</v>
      </c>
      <c r="C3753" t="s">
        <v>2033</v>
      </c>
      <c r="D3753">
        <v>98000</v>
      </c>
      <c r="E3753">
        <v>10000</v>
      </c>
      <c r="F3753">
        <v>98000</v>
      </c>
      <c r="G3753">
        <v>98000</v>
      </c>
      <c r="H3753">
        <v>2</v>
      </c>
      <c r="I3753" t="s">
        <v>89</v>
      </c>
      <c r="J3753">
        <v>25.87</v>
      </c>
      <c r="K3753">
        <v>11</v>
      </c>
      <c r="L3753">
        <v>6</v>
      </c>
      <c r="M3753" t="s">
        <v>5596</v>
      </c>
      <c r="N3753">
        <v>9</v>
      </c>
      <c r="O3753">
        <v>11.67</v>
      </c>
      <c r="P3753">
        <v>122997.85</v>
      </c>
      <c r="Q3753">
        <v>95329.65</v>
      </c>
      <c r="R3753">
        <v>512</v>
      </c>
      <c r="S3753">
        <v>1622</v>
      </c>
      <c r="T3753" t="s">
        <v>34</v>
      </c>
      <c r="U3753" t="s">
        <v>90</v>
      </c>
    </row>
    <row r="3754" spans="1:21">
      <c r="A3754" t="s">
        <v>5916</v>
      </c>
      <c r="B3754" t="s">
        <v>5917</v>
      </c>
      <c r="C3754" t="s">
        <v>5601</v>
      </c>
      <c r="D3754">
        <v>71000</v>
      </c>
      <c r="E3754">
        <v>10000</v>
      </c>
      <c r="F3754">
        <v>71000</v>
      </c>
      <c r="H3754">
        <v>2</v>
      </c>
      <c r="I3754" t="s">
        <v>89</v>
      </c>
      <c r="J3754">
        <v>24.09</v>
      </c>
      <c r="K3754">
        <v>19</v>
      </c>
      <c r="L3754">
        <v>6</v>
      </c>
      <c r="M3754" t="s">
        <v>5596</v>
      </c>
      <c r="N3754">
        <v>1</v>
      </c>
      <c r="O3754">
        <v>9</v>
      </c>
      <c r="P3754">
        <v>122997.85</v>
      </c>
      <c r="Q3754">
        <v>95329.65</v>
      </c>
      <c r="R3754">
        <v>512</v>
      </c>
      <c r="S3754">
        <v>1622</v>
      </c>
      <c r="T3754" t="s">
        <v>34</v>
      </c>
      <c r="U3754" t="s">
        <v>90</v>
      </c>
    </row>
    <row r="3755" spans="1:21">
      <c r="A3755" t="s">
        <v>5918</v>
      </c>
      <c r="B3755" t="s">
        <v>5919</v>
      </c>
      <c r="C3755" t="s">
        <v>4027</v>
      </c>
      <c r="D3755">
        <v>89000</v>
      </c>
      <c r="E3755">
        <v>5000</v>
      </c>
      <c r="G3755">
        <v>89000</v>
      </c>
      <c r="H3755">
        <v>4</v>
      </c>
      <c r="I3755" t="s">
        <v>89</v>
      </c>
      <c r="J3755">
        <v>20.89</v>
      </c>
      <c r="K3755">
        <v>24</v>
      </c>
      <c r="L3755">
        <v>6</v>
      </c>
      <c r="M3755" t="s">
        <v>5596</v>
      </c>
      <c r="N3755">
        <v>5</v>
      </c>
      <c r="O3755">
        <v>11.33</v>
      </c>
      <c r="P3755">
        <v>122997.85</v>
      </c>
      <c r="Q3755">
        <v>95329.65</v>
      </c>
      <c r="R3755">
        <v>512</v>
      </c>
      <c r="S3755">
        <v>1622</v>
      </c>
      <c r="T3755" t="s">
        <v>34</v>
      </c>
      <c r="U3755" t="s">
        <v>27</v>
      </c>
    </row>
    <row r="3756" spans="1:21">
      <c r="A3756" t="s">
        <v>5920</v>
      </c>
      <c r="B3756" t="s">
        <v>5921</v>
      </c>
      <c r="C3756" t="s">
        <v>2033</v>
      </c>
      <c r="D3756">
        <v>80000</v>
      </c>
      <c r="E3756">
        <v>6000</v>
      </c>
      <c r="F3756">
        <v>80000</v>
      </c>
      <c r="G3756">
        <v>80000</v>
      </c>
      <c r="H3756">
        <v>3</v>
      </c>
      <c r="I3756" t="s">
        <v>89</v>
      </c>
      <c r="J3756">
        <v>23.9</v>
      </c>
      <c r="K3756">
        <v>28</v>
      </c>
      <c r="L3756">
        <v>6</v>
      </c>
      <c r="M3756" t="s">
        <v>5596</v>
      </c>
      <c r="N3756">
        <v>6</v>
      </c>
      <c r="O3756">
        <v>9.67</v>
      </c>
      <c r="P3756">
        <v>122997.85</v>
      </c>
      <c r="Q3756">
        <v>95329.65</v>
      </c>
      <c r="R3756">
        <v>512</v>
      </c>
      <c r="S3756">
        <v>1622</v>
      </c>
      <c r="T3756" t="s">
        <v>34</v>
      </c>
      <c r="U3756" t="s">
        <v>27</v>
      </c>
    </row>
    <row r="3757" spans="1:21">
      <c r="A3757" t="s">
        <v>5922</v>
      </c>
      <c r="B3757" t="s">
        <v>5923</v>
      </c>
      <c r="C3757" t="s">
        <v>5608</v>
      </c>
      <c r="D3757">
        <v>92000</v>
      </c>
      <c r="E3757">
        <v>5000</v>
      </c>
      <c r="F3757">
        <v>92000</v>
      </c>
      <c r="G3757">
        <v>184000</v>
      </c>
      <c r="H3757">
        <v>1</v>
      </c>
      <c r="I3757" t="s">
        <v>89</v>
      </c>
      <c r="J3757">
        <v>25.47</v>
      </c>
      <c r="K3757">
        <v>16</v>
      </c>
      <c r="L3757">
        <v>7</v>
      </c>
      <c r="M3757" t="s">
        <v>5596</v>
      </c>
      <c r="N3757">
        <v>3</v>
      </c>
      <c r="O3757">
        <v>10.67</v>
      </c>
      <c r="P3757">
        <v>122997.85</v>
      </c>
      <c r="Q3757">
        <v>95329.65</v>
      </c>
      <c r="R3757">
        <v>512</v>
      </c>
      <c r="S3757">
        <v>1622</v>
      </c>
      <c r="T3757" t="s">
        <v>34</v>
      </c>
      <c r="U3757" t="s">
        <v>90</v>
      </c>
    </row>
    <row r="3758" spans="1:21">
      <c r="A3758" t="s">
        <v>5924</v>
      </c>
      <c r="B3758" t="s">
        <v>5923</v>
      </c>
      <c r="C3758" t="s">
        <v>5608</v>
      </c>
      <c r="D3758">
        <v>93000</v>
      </c>
      <c r="E3758">
        <v>5000</v>
      </c>
      <c r="F3758">
        <v>93000</v>
      </c>
      <c r="G3758">
        <v>186000</v>
      </c>
      <c r="H3758">
        <v>2</v>
      </c>
      <c r="I3758" t="s">
        <v>89</v>
      </c>
      <c r="J3758">
        <v>25.47</v>
      </c>
      <c r="K3758">
        <v>16</v>
      </c>
      <c r="L3758">
        <v>7</v>
      </c>
      <c r="M3758" t="s">
        <v>5596</v>
      </c>
      <c r="N3758">
        <v>3</v>
      </c>
      <c r="O3758">
        <v>10.67</v>
      </c>
      <c r="P3758">
        <v>122997.85</v>
      </c>
      <c r="Q3758">
        <v>95329.65</v>
      </c>
      <c r="R3758">
        <v>512</v>
      </c>
      <c r="S3758">
        <v>1622</v>
      </c>
      <c r="T3758" t="s">
        <v>34</v>
      </c>
      <c r="U3758" t="s">
        <v>90</v>
      </c>
    </row>
    <row r="3759" spans="1:21">
      <c r="A3759" t="s">
        <v>5925</v>
      </c>
      <c r="B3759" t="s">
        <v>5923</v>
      </c>
      <c r="C3759" t="s">
        <v>5608</v>
      </c>
      <c r="D3759">
        <v>98000</v>
      </c>
      <c r="E3759">
        <v>5000</v>
      </c>
      <c r="F3759">
        <v>98000</v>
      </c>
      <c r="G3759">
        <v>196000</v>
      </c>
      <c r="H3759">
        <v>3</v>
      </c>
      <c r="I3759" t="s">
        <v>89</v>
      </c>
      <c r="J3759">
        <v>25.47</v>
      </c>
      <c r="K3759">
        <v>16</v>
      </c>
      <c r="L3759">
        <v>7</v>
      </c>
      <c r="M3759" t="s">
        <v>5596</v>
      </c>
      <c r="N3759">
        <v>3</v>
      </c>
      <c r="O3759">
        <v>10.67</v>
      </c>
      <c r="P3759">
        <v>122997.85</v>
      </c>
      <c r="Q3759">
        <v>95329.65</v>
      </c>
      <c r="R3759">
        <v>512</v>
      </c>
      <c r="S3759">
        <v>1622</v>
      </c>
      <c r="T3759" t="s">
        <v>34</v>
      </c>
      <c r="U3759" t="s">
        <v>90</v>
      </c>
    </row>
    <row r="3760" spans="1:21">
      <c r="A3760" t="s">
        <v>5926</v>
      </c>
      <c r="B3760" t="s">
        <v>5927</v>
      </c>
      <c r="C3760" t="s">
        <v>5608</v>
      </c>
      <c r="D3760">
        <v>84000</v>
      </c>
      <c r="E3760">
        <v>5000</v>
      </c>
      <c r="F3760">
        <v>84000</v>
      </c>
      <c r="G3760">
        <v>168000</v>
      </c>
      <c r="H3760">
        <v>4</v>
      </c>
      <c r="I3760" t="s">
        <v>89</v>
      </c>
      <c r="J3760">
        <v>23.72</v>
      </c>
      <c r="K3760">
        <v>22</v>
      </c>
      <c r="L3760">
        <v>7</v>
      </c>
      <c r="M3760" t="s">
        <v>5596</v>
      </c>
      <c r="N3760">
        <v>4</v>
      </c>
      <c r="O3760">
        <v>10.67</v>
      </c>
      <c r="P3760">
        <v>122997.85</v>
      </c>
      <c r="Q3760">
        <v>95329.65</v>
      </c>
      <c r="R3760">
        <v>512</v>
      </c>
      <c r="S3760">
        <v>1622</v>
      </c>
      <c r="T3760" t="s">
        <v>34</v>
      </c>
      <c r="U3760" t="s">
        <v>27</v>
      </c>
    </row>
    <row r="3761" spans="1:21">
      <c r="A3761" t="s">
        <v>5928</v>
      </c>
      <c r="B3761" t="s">
        <v>5927</v>
      </c>
      <c r="C3761" t="s">
        <v>5608</v>
      </c>
      <c r="D3761">
        <v>73000</v>
      </c>
      <c r="E3761">
        <v>5000</v>
      </c>
      <c r="F3761">
        <v>73000</v>
      </c>
      <c r="G3761">
        <v>146000</v>
      </c>
      <c r="H3761">
        <v>6</v>
      </c>
      <c r="I3761" t="s">
        <v>89</v>
      </c>
      <c r="J3761">
        <v>22.79</v>
      </c>
      <c r="K3761">
        <v>22</v>
      </c>
      <c r="L3761">
        <v>7</v>
      </c>
      <c r="M3761" t="s">
        <v>5596</v>
      </c>
      <c r="N3761">
        <v>4</v>
      </c>
      <c r="O3761">
        <v>10.67</v>
      </c>
      <c r="P3761">
        <v>122997.85</v>
      </c>
      <c r="Q3761">
        <v>95329.65</v>
      </c>
      <c r="R3761">
        <v>512</v>
      </c>
      <c r="S3761">
        <v>1622</v>
      </c>
      <c r="T3761" t="s">
        <v>34</v>
      </c>
      <c r="U3761" t="s">
        <v>27</v>
      </c>
    </row>
    <row r="3762" spans="1:21">
      <c r="A3762" t="s">
        <v>5929</v>
      </c>
      <c r="B3762" t="s">
        <v>5930</v>
      </c>
      <c r="C3762" t="s">
        <v>5601</v>
      </c>
      <c r="D3762">
        <v>80000</v>
      </c>
      <c r="E3762">
        <v>10000</v>
      </c>
      <c r="G3762">
        <v>80000</v>
      </c>
      <c r="H3762">
        <v>3</v>
      </c>
      <c r="I3762" t="s">
        <v>89</v>
      </c>
      <c r="J3762">
        <v>24.47</v>
      </c>
      <c r="K3762">
        <v>23</v>
      </c>
      <c r="L3762">
        <v>7</v>
      </c>
      <c r="M3762" t="s">
        <v>5596</v>
      </c>
      <c r="N3762">
        <v>3</v>
      </c>
      <c r="O3762">
        <v>10</v>
      </c>
      <c r="P3762">
        <v>122997.85</v>
      </c>
      <c r="Q3762">
        <v>95329.65</v>
      </c>
      <c r="R3762">
        <v>512</v>
      </c>
      <c r="S3762">
        <v>1622</v>
      </c>
      <c r="T3762" t="s">
        <v>34</v>
      </c>
      <c r="U3762" t="s">
        <v>27</v>
      </c>
    </row>
    <row r="3763" spans="1:21">
      <c r="A3763" t="s">
        <v>5931</v>
      </c>
      <c r="B3763" t="s">
        <v>5930</v>
      </c>
      <c r="C3763" t="s">
        <v>5601</v>
      </c>
      <c r="D3763">
        <v>78000</v>
      </c>
      <c r="E3763">
        <v>9000</v>
      </c>
      <c r="F3763">
        <v>78000</v>
      </c>
      <c r="G3763">
        <v>78000</v>
      </c>
      <c r="H3763">
        <v>7</v>
      </c>
      <c r="I3763" t="s">
        <v>89</v>
      </c>
      <c r="J3763">
        <v>19.82</v>
      </c>
      <c r="K3763">
        <v>23</v>
      </c>
      <c r="L3763">
        <v>7</v>
      </c>
      <c r="M3763" t="s">
        <v>5596</v>
      </c>
      <c r="N3763">
        <v>3</v>
      </c>
      <c r="O3763">
        <v>10</v>
      </c>
      <c r="P3763">
        <v>122997.85</v>
      </c>
      <c r="Q3763">
        <v>95329.65</v>
      </c>
      <c r="R3763">
        <v>512</v>
      </c>
      <c r="S3763">
        <v>1622</v>
      </c>
      <c r="T3763" t="s">
        <v>108</v>
      </c>
      <c r="U3763" t="s">
        <v>27</v>
      </c>
    </row>
    <row r="3764" spans="1:21">
      <c r="A3764" t="s">
        <v>5932</v>
      </c>
      <c r="B3764" t="s">
        <v>5933</v>
      </c>
      <c r="C3764" t="s">
        <v>712</v>
      </c>
      <c r="D3764">
        <v>82000</v>
      </c>
      <c r="H3764">
        <v>3</v>
      </c>
      <c r="I3764" t="s">
        <v>89</v>
      </c>
      <c r="J3764">
        <v>20.07</v>
      </c>
      <c r="K3764">
        <v>20</v>
      </c>
      <c r="L3764">
        <v>9</v>
      </c>
      <c r="M3764" t="s">
        <v>5596</v>
      </c>
      <c r="N3764">
        <v>3</v>
      </c>
      <c r="O3764">
        <v>11.67</v>
      </c>
      <c r="P3764">
        <v>122997.85</v>
      </c>
      <c r="Q3764">
        <v>95329.65</v>
      </c>
      <c r="R3764">
        <v>512</v>
      </c>
      <c r="S3764">
        <v>1622</v>
      </c>
      <c r="T3764" t="s">
        <v>34</v>
      </c>
      <c r="U3764" t="s">
        <v>90</v>
      </c>
    </row>
    <row r="3765" spans="1:21">
      <c r="A3765" t="s">
        <v>5934</v>
      </c>
      <c r="B3765" t="s">
        <v>5933</v>
      </c>
      <c r="C3765" t="s">
        <v>712</v>
      </c>
      <c r="D3765">
        <v>79000</v>
      </c>
      <c r="E3765">
        <v>6000</v>
      </c>
      <c r="F3765">
        <v>79000</v>
      </c>
      <c r="G3765">
        <v>79000</v>
      </c>
      <c r="H3765">
        <v>4</v>
      </c>
      <c r="I3765" t="s">
        <v>89</v>
      </c>
      <c r="J3765">
        <v>20.07</v>
      </c>
      <c r="K3765">
        <v>20</v>
      </c>
      <c r="L3765">
        <v>9</v>
      </c>
      <c r="M3765" t="s">
        <v>5596</v>
      </c>
      <c r="N3765">
        <v>3</v>
      </c>
      <c r="O3765">
        <v>11.67</v>
      </c>
      <c r="P3765">
        <v>122997.85</v>
      </c>
      <c r="Q3765">
        <v>95329.65</v>
      </c>
      <c r="R3765">
        <v>512</v>
      </c>
      <c r="S3765">
        <v>1622</v>
      </c>
      <c r="T3765" t="s">
        <v>34</v>
      </c>
      <c r="U3765" t="s">
        <v>90</v>
      </c>
    </row>
    <row r="3766" spans="1:21">
      <c r="A3766" t="s">
        <v>5935</v>
      </c>
      <c r="B3766" t="s">
        <v>5933</v>
      </c>
      <c r="C3766" t="s">
        <v>712</v>
      </c>
      <c r="D3766">
        <v>84000</v>
      </c>
      <c r="E3766">
        <v>5000</v>
      </c>
      <c r="G3766">
        <v>84000</v>
      </c>
      <c r="H3766">
        <v>4</v>
      </c>
      <c r="I3766" t="s">
        <v>89</v>
      </c>
      <c r="J3766">
        <v>20.07</v>
      </c>
      <c r="K3766">
        <v>20</v>
      </c>
      <c r="L3766">
        <v>9</v>
      </c>
      <c r="M3766" t="s">
        <v>5596</v>
      </c>
      <c r="N3766">
        <v>3</v>
      </c>
      <c r="O3766">
        <v>11.67</v>
      </c>
      <c r="P3766">
        <v>122997.85</v>
      </c>
      <c r="Q3766">
        <v>95329.65</v>
      </c>
      <c r="R3766">
        <v>512</v>
      </c>
      <c r="S3766">
        <v>1622</v>
      </c>
      <c r="T3766" t="s">
        <v>34</v>
      </c>
      <c r="U3766" t="s">
        <v>90</v>
      </c>
    </row>
    <row r="3767" spans="1:21">
      <c r="A3767" t="s">
        <v>5936</v>
      </c>
      <c r="B3767" t="s">
        <v>5933</v>
      </c>
      <c r="C3767" t="s">
        <v>712</v>
      </c>
      <c r="D3767">
        <v>79000</v>
      </c>
      <c r="E3767">
        <v>7000</v>
      </c>
      <c r="F3767">
        <v>79000</v>
      </c>
      <c r="G3767">
        <v>79000</v>
      </c>
      <c r="H3767">
        <v>6</v>
      </c>
      <c r="I3767" t="s">
        <v>89</v>
      </c>
      <c r="J3767">
        <v>20.07</v>
      </c>
      <c r="K3767">
        <v>20</v>
      </c>
      <c r="L3767">
        <v>9</v>
      </c>
      <c r="M3767" t="s">
        <v>5596</v>
      </c>
      <c r="N3767">
        <v>3</v>
      </c>
      <c r="O3767">
        <v>11.67</v>
      </c>
      <c r="P3767">
        <v>122997.85</v>
      </c>
      <c r="Q3767">
        <v>95329.65</v>
      </c>
      <c r="R3767">
        <v>512</v>
      </c>
      <c r="S3767">
        <v>1622</v>
      </c>
      <c r="T3767" t="s">
        <v>34</v>
      </c>
      <c r="U3767" t="s">
        <v>90</v>
      </c>
    </row>
    <row r="3768" spans="1:21">
      <c r="A3768" t="s">
        <v>5937</v>
      </c>
      <c r="B3768" t="s">
        <v>5938</v>
      </c>
      <c r="C3768" t="s">
        <v>4016</v>
      </c>
      <c r="D3768">
        <v>83000</v>
      </c>
      <c r="E3768">
        <v>9000</v>
      </c>
      <c r="F3768">
        <v>83000</v>
      </c>
      <c r="G3768">
        <v>166000</v>
      </c>
      <c r="H3768">
        <v>7</v>
      </c>
      <c r="I3768" t="s">
        <v>89</v>
      </c>
      <c r="J3768">
        <v>22.84</v>
      </c>
      <c r="K3768">
        <v>21</v>
      </c>
      <c r="L3768">
        <v>9</v>
      </c>
      <c r="M3768" t="s">
        <v>5596</v>
      </c>
      <c r="N3768">
        <v>3</v>
      </c>
      <c r="O3768">
        <v>10.67</v>
      </c>
      <c r="P3768">
        <v>122997.85</v>
      </c>
      <c r="Q3768">
        <v>95329.65</v>
      </c>
      <c r="R3768">
        <v>512</v>
      </c>
      <c r="S3768">
        <v>1622</v>
      </c>
      <c r="T3768" t="s">
        <v>34</v>
      </c>
      <c r="U3768" t="s">
        <v>27</v>
      </c>
    </row>
    <row r="3769" spans="1:21">
      <c r="A3769" t="s">
        <v>5939</v>
      </c>
      <c r="B3769" t="s">
        <v>5940</v>
      </c>
      <c r="C3769" t="s">
        <v>712</v>
      </c>
      <c r="D3769">
        <v>111000</v>
      </c>
      <c r="E3769">
        <v>15000</v>
      </c>
      <c r="G3769">
        <v>222000</v>
      </c>
      <c r="H3769">
        <v>5</v>
      </c>
      <c r="I3769" t="s">
        <v>89</v>
      </c>
      <c r="J3769">
        <v>25.74</v>
      </c>
      <c r="K3769">
        <v>7</v>
      </c>
      <c r="L3769">
        <v>9</v>
      </c>
      <c r="M3769" t="s">
        <v>5596</v>
      </c>
      <c r="N3769">
        <v>8</v>
      </c>
      <c r="O3769">
        <v>11</v>
      </c>
      <c r="P3769">
        <v>122997.85</v>
      </c>
      <c r="Q3769">
        <v>95329.65</v>
      </c>
      <c r="R3769">
        <v>512</v>
      </c>
      <c r="S3769">
        <v>1622</v>
      </c>
      <c r="T3769" t="s">
        <v>34</v>
      </c>
      <c r="U3769" t="s">
        <v>31</v>
      </c>
    </row>
    <row r="3770" spans="1:21">
      <c r="A3770" t="s">
        <v>5941</v>
      </c>
      <c r="B3770" t="s">
        <v>5942</v>
      </c>
      <c r="C3770" t="s">
        <v>5608</v>
      </c>
      <c r="D3770">
        <v>137000</v>
      </c>
      <c r="E3770">
        <v>11000</v>
      </c>
      <c r="G3770">
        <v>137000</v>
      </c>
      <c r="H3770">
        <v>8</v>
      </c>
      <c r="I3770" t="s">
        <v>89</v>
      </c>
      <c r="J3770">
        <v>26.1</v>
      </c>
      <c r="K3770">
        <v>9</v>
      </c>
      <c r="L3770">
        <v>9</v>
      </c>
      <c r="M3770" t="s">
        <v>5596</v>
      </c>
      <c r="N3770">
        <v>3</v>
      </c>
      <c r="O3770">
        <v>10</v>
      </c>
      <c r="P3770">
        <v>122997.85</v>
      </c>
      <c r="Q3770">
        <v>95329.65</v>
      </c>
      <c r="R3770">
        <v>512</v>
      </c>
      <c r="S3770">
        <v>1622</v>
      </c>
      <c r="T3770" t="s">
        <v>34</v>
      </c>
      <c r="U3770" t="s">
        <v>31</v>
      </c>
    </row>
    <row r="3771" spans="1:21">
      <c r="A3771" t="s">
        <v>5943</v>
      </c>
      <c r="B3771" t="s">
        <v>5656</v>
      </c>
      <c r="C3771" t="s">
        <v>2033</v>
      </c>
      <c r="D3771">
        <v>107500</v>
      </c>
      <c r="E3771">
        <v>15000</v>
      </c>
      <c r="H3771">
        <v>2</v>
      </c>
      <c r="I3771" t="s">
        <v>89</v>
      </c>
      <c r="J3771">
        <v>30.2</v>
      </c>
      <c r="K3771">
        <v>2</v>
      </c>
      <c r="L3771">
        <v>5</v>
      </c>
      <c r="M3771" t="s">
        <v>5596</v>
      </c>
      <c r="N3771">
        <v>9</v>
      </c>
      <c r="O3771">
        <v>13</v>
      </c>
      <c r="P3771">
        <v>122997.85</v>
      </c>
      <c r="Q3771">
        <v>95329.65</v>
      </c>
      <c r="R3771">
        <v>512</v>
      </c>
      <c r="S3771">
        <v>1622</v>
      </c>
      <c r="T3771" t="s">
        <v>26</v>
      </c>
      <c r="U3771" t="s">
        <v>31</v>
      </c>
    </row>
    <row r="3772" spans="1:21">
      <c r="A3772" t="s">
        <v>5944</v>
      </c>
      <c r="B3772" t="s">
        <v>5945</v>
      </c>
      <c r="C3772" t="s">
        <v>2033</v>
      </c>
      <c r="D3772">
        <v>105000</v>
      </c>
      <c r="E3772">
        <v>7000</v>
      </c>
      <c r="F3772">
        <v>105000</v>
      </c>
      <c r="G3772">
        <v>105000</v>
      </c>
      <c r="H3772">
        <v>2</v>
      </c>
      <c r="I3772" t="s">
        <v>89</v>
      </c>
      <c r="J3772">
        <v>25.18</v>
      </c>
      <c r="K3772">
        <v>7</v>
      </c>
      <c r="L3772">
        <v>5</v>
      </c>
      <c r="M3772" t="s">
        <v>5596</v>
      </c>
      <c r="N3772">
        <v>8</v>
      </c>
      <c r="O3772">
        <v>12</v>
      </c>
      <c r="P3772">
        <v>122997.85</v>
      </c>
      <c r="Q3772">
        <v>95329.65</v>
      </c>
      <c r="R3772">
        <v>512</v>
      </c>
      <c r="S3772">
        <v>1622</v>
      </c>
      <c r="T3772" t="s">
        <v>34</v>
      </c>
      <c r="U3772" t="s">
        <v>31</v>
      </c>
    </row>
    <row r="3773" spans="1:21">
      <c r="A3773" t="s">
        <v>5946</v>
      </c>
      <c r="B3773" t="s">
        <v>5947</v>
      </c>
      <c r="C3773" t="s">
        <v>712</v>
      </c>
      <c r="D3773">
        <v>80500</v>
      </c>
      <c r="E3773">
        <v>15000</v>
      </c>
      <c r="H3773">
        <v>5</v>
      </c>
      <c r="I3773" t="s">
        <v>89</v>
      </c>
      <c r="J3773">
        <v>21.65</v>
      </c>
      <c r="K3773">
        <v>17</v>
      </c>
      <c r="L3773">
        <v>12</v>
      </c>
      <c r="M3773" t="s">
        <v>5596</v>
      </c>
      <c r="N3773">
        <v>6</v>
      </c>
      <c r="O3773">
        <v>9</v>
      </c>
      <c r="P3773">
        <v>122997.85</v>
      </c>
      <c r="Q3773">
        <v>95329.65</v>
      </c>
      <c r="R3773">
        <v>512</v>
      </c>
      <c r="S3773">
        <v>1622</v>
      </c>
      <c r="T3773" t="s">
        <v>34</v>
      </c>
      <c r="U3773" t="s">
        <v>90</v>
      </c>
    </row>
    <row r="3774" spans="1:21">
      <c r="A3774" t="s">
        <v>5948</v>
      </c>
      <c r="B3774" t="s">
        <v>5947</v>
      </c>
      <c r="C3774" t="s">
        <v>712</v>
      </c>
      <c r="D3774">
        <v>85000</v>
      </c>
      <c r="E3774">
        <v>20000</v>
      </c>
      <c r="H3774">
        <v>8</v>
      </c>
      <c r="I3774" t="s">
        <v>89</v>
      </c>
      <c r="J3774">
        <v>21.65</v>
      </c>
      <c r="K3774">
        <v>17</v>
      </c>
      <c r="L3774">
        <v>12</v>
      </c>
      <c r="M3774" t="s">
        <v>5596</v>
      </c>
      <c r="N3774">
        <v>6</v>
      </c>
      <c r="O3774">
        <v>9</v>
      </c>
      <c r="P3774">
        <v>122997.85</v>
      </c>
      <c r="Q3774">
        <v>95329.65</v>
      </c>
      <c r="R3774">
        <v>512</v>
      </c>
      <c r="S3774">
        <v>1622</v>
      </c>
      <c r="T3774" t="s">
        <v>34</v>
      </c>
      <c r="U3774" t="s">
        <v>90</v>
      </c>
    </row>
    <row r="3775" spans="1:21">
      <c r="A3775" t="s">
        <v>5949</v>
      </c>
      <c r="B3775" t="s">
        <v>5950</v>
      </c>
      <c r="C3775" t="s">
        <v>5608</v>
      </c>
      <c r="D3775">
        <v>109000</v>
      </c>
      <c r="E3775">
        <v>12000</v>
      </c>
      <c r="G3775">
        <v>109000</v>
      </c>
      <c r="H3775">
        <v>2</v>
      </c>
      <c r="I3775" t="s">
        <v>89</v>
      </c>
      <c r="J3775">
        <v>25.51</v>
      </c>
      <c r="K3775">
        <v>5</v>
      </c>
      <c r="L3775">
        <v>5</v>
      </c>
      <c r="M3775" t="s">
        <v>5596</v>
      </c>
      <c r="N3775">
        <v>7</v>
      </c>
      <c r="O3775">
        <v>11.33</v>
      </c>
      <c r="P3775">
        <v>122997.85</v>
      </c>
      <c r="Q3775">
        <v>95329.65</v>
      </c>
      <c r="R3775">
        <v>512</v>
      </c>
      <c r="S3775">
        <v>1622</v>
      </c>
      <c r="T3775" t="s">
        <v>34</v>
      </c>
      <c r="U3775" t="s">
        <v>31</v>
      </c>
    </row>
    <row r="3776" spans="1:21">
      <c r="A3776" t="s">
        <v>5951</v>
      </c>
      <c r="B3776" t="s">
        <v>5952</v>
      </c>
      <c r="C3776" t="s">
        <v>5608</v>
      </c>
      <c r="D3776">
        <v>85000</v>
      </c>
      <c r="E3776">
        <v>2000</v>
      </c>
      <c r="F3776">
        <v>85000</v>
      </c>
      <c r="G3776">
        <v>85000</v>
      </c>
      <c r="H3776">
        <v>1</v>
      </c>
      <c r="I3776" t="s">
        <v>89</v>
      </c>
      <c r="J3776">
        <v>28.15</v>
      </c>
      <c r="K3776">
        <v>21</v>
      </c>
      <c r="L3776">
        <v>2</v>
      </c>
      <c r="M3776" t="s">
        <v>5596</v>
      </c>
      <c r="N3776">
        <v>5</v>
      </c>
      <c r="O3776">
        <v>11.67</v>
      </c>
      <c r="P3776">
        <v>122997.85</v>
      </c>
      <c r="Q3776">
        <v>95329.65</v>
      </c>
      <c r="R3776">
        <v>512</v>
      </c>
      <c r="S3776">
        <v>1622</v>
      </c>
      <c r="T3776" t="s">
        <v>34</v>
      </c>
      <c r="U3776" t="s">
        <v>27</v>
      </c>
    </row>
    <row r="3777" spans="1:21">
      <c r="A3777" t="s">
        <v>5953</v>
      </c>
      <c r="B3777" t="s">
        <v>5954</v>
      </c>
      <c r="C3777" t="s">
        <v>4013</v>
      </c>
      <c r="D3777">
        <v>83000</v>
      </c>
      <c r="E3777">
        <v>10000</v>
      </c>
      <c r="G3777">
        <v>83000</v>
      </c>
      <c r="H3777">
        <v>4</v>
      </c>
      <c r="I3777" t="s">
        <v>89</v>
      </c>
      <c r="J3777">
        <v>21.9</v>
      </c>
      <c r="K3777">
        <v>27</v>
      </c>
      <c r="L3777">
        <v>9</v>
      </c>
      <c r="M3777" t="s">
        <v>5596</v>
      </c>
      <c r="N3777">
        <v>1</v>
      </c>
      <c r="O3777">
        <v>8.33</v>
      </c>
      <c r="P3777">
        <v>122997.85</v>
      </c>
      <c r="Q3777">
        <v>95329.65</v>
      </c>
      <c r="R3777">
        <v>512</v>
      </c>
      <c r="S3777">
        <v>1622</v>
      </c>
      <c r="T3777" t="s">
        <v>34</v>
      </c>
      <c r="U3777" t="s">
        <v>27</v>
      </c>
    </row>
    <row r="3778" spans="1:21">
      <c r="A3778" t="s">
        <v>5955</v>
      </c>
      <c r="B3778" t="s">
        <v>5956</v>
      </c>
      <c r="C3778" t="s">
        <v>758</v>
      </c>
      <c r="D3778">
        <v>75000</v>
      </c>
      <c r="E3778">
        <v>6000</v>
      </c>
      <c r="H3778">
        <v>1</v>
      </c>
      <c r="I3778" t="s">
        <v>89</v>
      </c>
      <c r="J3778">
        <v>22.66</v>
      </c>
      <c r="K3778">
        <v>26</v>
      </c>
      <c r="L3778">
        <v>3</v>
      </c>
      <c r="M3778" t="s">
        <v>5596</v>
      </c>
      <c r="N3778">
        <v>5</v>
      </c>
      <c r="O3778">
        <v>9.33</v>
      </c>
      <c r="P3778">
        <v>122997.85</v>
      </c>
      <c r="Q3778">
        <v>95329.65</v>
      </c>
      <c r="R3778">
        <v>512</v>
      </c>
      <c r="S3778">
        <v>1622</v>
      </c>
      <c r="T3778" t="s">
        <v>34</v>
      </c>
      <c r="U3778" t="s">
        <v>27</v>
      </c>
    </row>
    <row r="3779" spans="1:21">
      <c r="A3779" t="s">
        <v>5957</v>
      </c>
      <c r="B3779" t="s">
        <v>5956</v>
      </c>
      <c r="C3779" t="s">
        <v>758</v>
      </c>
      <c r="D3779">
        <v>76000</v>
      </c>
      <c r="E3779">
        <v>6000</v>
      </c>
      <c r="H3779">
        <v>2</v>
      </c>
      <c r="I3779" t="s">
        <v>89</v>
      </c>
      <c r="J3779">
        <v>22.94</v>
      </c>
      <c r="K3779">
        <v>26</v>
      </c>
      <c r="L3779">
        <v>3</v>
      </c>
      <c r="M3779" t="s">
        <v>5596</v>
      </c>
      <c r="N3779">
        <v>5</v>
      </c>
      <c r="O3779">
        <v>9.33</v>
      </c>
      <c r="P3779">
        <v>122997.85</v>
      </c>
      <c r="Q3779">
        <v>95329.65</v>
      </c>
      <c r="R3779">
        <v>512</v>
      </c>
      <c r="S3779">
        <v>1622</v>
      </c>
      <c r="T3779" t="s">
        <v>34</v>
      </c>
      <c r="U3779" t="s">
        <v>27</v>
      </c>
    </row>
    <row r="3780" spans="1:21">
      <c r="A3780" t="s">
        <v>5958</v>
      </c>
      <c r="B3780" t="s">
        <v>5959</v>
      </c>
      <c r="C3780" t="s">
        <v>5608</v>
      </c>
      <c r="D3780">
        <v>76000</v>
      </c>
      <c r="E3780">
        <v>4000</v>
      </c>
      <c r="F3780">
        <v>76000</v>
      </c>
      <c r="G3780">
        <v>76000</v>
      </c>
      <c r="H3780">
        <v>2</v>
      </c>
      <c r="I3780" t="s">
        <v>89</v>
      </c>
      <c r="J3780">
        <v>20.5</v>
      </c>
      <c r="K3780">
        <v>22</v>
      </c>
      <c r="L3780">
        <v>3</v>
      </c>
      <c r="M3780" t="s">
        <v>5596</v>
      </c>
      <c r="N3780">
        <v>8</v>
      </c>
      <c r="O3780">
        <v>13.33</v>
      </c>
      <c r="P3780">
        <v>122997.85</v>
      </c>
      <c r="Q3780">
        <v>95329.65</v>
      </c>
      <c r="R3780">
        <v>512</v>
      </c>
      <c r="S3780">
        <v>1622</v>
      </c>
      <c r="T3780" t="s">
        <v>34</v>
      </c>
      <c r="U3780" t="s">
        <v>27</v>
      </c>
    </row>
    <row r="3781" spans="1:21">
      <c r="A3781" t="s">
        <v>5960</v>
      </c>
      <c r="B3781" t="s">
        <v>5595</v>
      </c>
      <c r="C3781" t="s">
        <v>2033</v>
      </c>
      <c r="D3781">
        <v>197000</v>
      </c>
      <c r="E3781">
        <v>18000</v>
      </c>
      <c r="F3781">
        <v>197000</v>
      </c>
      <c r="G3781">
        <v>197000</v>
      </c>
      <c r="H3781">
        <v>4</v>
      </c>
      <c r="I3781" t="s">
        <v>325</v>
      </c>
      <c r="J3781">
        <v>40.29</v>
      </c>
      <c r="K3781">
        <v>2</v>
      </c>
      <c r="L3781">
        <v>6</v>
      </c>
      <c r="M3781" t="s">
        <v>5596</v>
      </c>
      <c r="N3781">
        <v>9</v>
      </c>
      <c r="O3781">
        <v>13</v>
      </c>
      <c r="P3781">
        <v>122997.85</v>
      </c>
      <c r="Q3781">
        <v>168453.81</v>
      </c>
      <c r="R3781">
        <v>512</v>
      </c>
      <c r="S3781">
        <v>788</v>
      </c>
      <c r="T3781" t="s">
        <v>326</v>
      </c>
      <c r="U3781" t="s">
        <v>31</v>
      </c>
    </row>
    <row r="3782" spans="1:21">
      <c r="A3782" t="s">
        <v>5961</v>
      </c>
      <c r="B3782" t="s">
        <v>5610</v>
      </c>
      <c r="C3782" t="s">
        <v>712</v>
      </c>
      <c r="D3782">
        <v>140000</v>
      </c>
      <c r="E3782">
        <v>10000</v>
      </c>
      <c r="F3782">
        <v>140000</v>
      </c>
      <c r="G3782">
        <v>140000</v>
      </c>
      <c r="H3782">
        <v>8</v>
      </c>
      <c r="I3782" t="s">
        <v>325</v>
      </c>
      <c r="J3782">
        <v>41.94</v>
      </c>
      <c r="K3782">
        <v>21</v>
      </c>
      <c r="L3782">
        <v>15</v>
      </c>
      <c r="M3782" t="s">
        <v>5596</v>
      </c>
      <c r="N3782">
        <v>8</v>
      </c>
      <c r="O3782">
        <v>10.33</v>
      </c>
      <c r="P3782">
        <v>122997.85</v>
      </c>
      <c r="Q3782">
        <v>168453.81</v>
      </c>
      <c r="R3782">
        <v>512</v>
      </c>
      <c r="S3782">
        <v>788</v>
      </c>
      <c r="T3782" t="s">
        <v>326</v>
      </c>
      <c r="U3782" t="s">
        <v>27</v>
      </c>
    </row>
    <row r="3783" spans="1:21">
      <c r="A3783" t="s">
        <v>5962</v>
      </c>
      <c r="B3783" t="s">
        <v>5963</v>
      </c>
      <c r="C3783" t="s">
        <v>5601</v>
      </c>
      <c r="D3783">
        <v>159000</v>
      </c>
      <c r="E3783">
        <v>4000</v>
      </c>
      <c r="G3783">
        <v>159000</v>
      </c>
      <c r="H3783">
        <v>2</v>
      </c>
      <c r="I3783" t="s">
        <v>325</v>
      </c>
      <c r="J3783">
        <v>38.21</v>
      </c>
      <c r="K3783">
        <v>4</v>
      </c>
      <c r="L3783">
        <v>2</v>
      </c>
      <c r="M3783" t="s">
        <v>5596</v>
      </c>
      <c r="N3783">
        <v>5</v>
      </c>
      <c r="O3783">
        <v>12.33</v>
      </c>
      <c r="P3783">
        <v>122997.85</v>
      </c>
      <c r="Q3783">
        <v>168453.81</v>
      </c>
      <c r="R3783">
        <v>512</v>
      </c>
      <c r="S3783">
        <v>788</v>
      </c>
      <c r="T3783" t="s">
        <v>26</v>
      </c>
      <c r="U3783" t="s">
        <v>31</v>
      </c>
    </row>
    <row r="3784" spans="1:21">
      <c r="A3784" t="s">
        <v>5964</v>
      </c>
      <c r="B3784" t="s">
        <v>5965</v>
      </c>
      <c r="C3784" t="s">
        <v>1850</v>
      </c>
      <c r="D3784">
        <v>154000</v>
      </c>
      <c r="E3784">
        <v>14000</v>
      </c>
      <c r="G3784">
        <v>308000</v>
      </c>
      <c r="H3784">
        <v>1</v>
      </c>
      <c r="I3784" t="s">
        <v>325</v>
      </c>
      <c r="J3784">
        <v>36.659999999999997</v>
      </c>
      <c r="K3784">
        <v>0</v>
      </c>
      <c r="L3784">
        <v>3</v>
      </c>
      <c r="M3784" t="s">
        <v>5596</v>
      </c>
      <c r="N3784">
        <v>11</v>
      </c>
      <c r="O3784">
        <v>12.67</v>
      </c>
      <c r="P3784">
        <v>122997.85</v>
      </c>
      <c r="Q3784">
        <v>168453.81</v>
      </c>
      <c r="R3784">
        <v>512</v>
      </c>
      <c r="S3784">
        <v>788</v>
      </c>
      <c r="T3784" t="s">
        <v>26</v>
      </c>
      <c r="U3784" t="s">
        <v>81</v>
      </c>
    </row>
    <row r="3785" spans="1:21">
      <c r="A3785" t="s">
        <v>5966</v>
      </c>
      <c r="B3785" t="s">
        <v>5965</v>
      </c>
      <c r="C3785" t="s">
        <v>1850</v>
      </c>
      <c r="D3785">
        <v>151000</v>
      </c>
      <c r="E3785">
        <v>14000</v>
      </c>
      <c r="G3785">
        <v>302000</v>
      </c>
      <c r="H3785">
        <v>1</v>
      </c>
      <c r="I3785" t="s">
        <v>325</v>
      </c>
      <c r="J3785">
        <v>36.72</v>
      </c>
      <c r="K3785">
        <v>0</v>
      </c>
      <c r="L3785">
        <v>3</v>
      </c>
      <c r="M3785" t="s">
        <v>5596</v>
      </c>
      <c r="N3785">
        <v>11</v>
      </c>
      <c r="O3785">
        <v>12.67</v>
      </c>
      <c r="P3785">
        <v>122997.85</v>
      </c>
      <c r="Q3785">
        <v>168453.81</v>
      </c>
      <c r="R3785">
        <v>512</v>
      </c>
      <c r="S3785">
        <v>788</v>
      </c>
      <c r="T3785" t="s">
        <v>26</v>
      </c>
      <c r="U3785" t="s">
        <v>81</v>
      </c>
    </row>
    <row r="3786" spans="1:21">
      <c r="A3786" t="s">
        <v>5967</v>
      </c>
      <c r="B3786" t="s">
        <v>5965</v>
      </c>
      <c r="C3786" t="s">
        <v>1850</v>
      </c>
      <c r="D3786">
        <v>155000</v>
      </c>
      <c r="E3786">
        <v>14000</v>
      </c>
      <c r="G3786">
        <v>310000</v>
      </c>
      <c r="H3786">
        <v>1</v>
      </c>
      <c r="I3786" t="s">
        <v>325</v>
      </c>
      <c r="J3786">
        <v>39.49</v>
      </c>
      <c r="K3786">
        <v>0</v>
      </c>
      <c r="L3786">
        <v>3</v>
      </c>
      <c r="M3786" t="s">
        <v>5596</v>
      </c>
      <c r="N3786">
        <v>11</v>
      </c>
      <c r="O3786">
        <v>12.67</v>
      </c>
      <c r="P3786">
        <v>122997.85</v>
      </c>
      <c r="Q3786">
        <v>168453.81</v>
      </c>
      <c r="R3786">
        <v>512</v>
      </c>
      <c r="S3786">
        <v>788</v>
      </c>
      <c r="T3786" t="s">
        <v>26</v>
      </c>
      <c r="U3786" t="s">
        <v>81</v>
      </c>
    </row>
    <row r="3787" spans="1:21">
      <c r="A3787" t="s">
        <v>5968</v>
      </c>
      <c r="B3787" t="s">
        <v>5965</v>
      </c>
      <c r="C3787" t="s">
        <v>1850</v>
      </c>
      <c r="D3787">
        <v>159000</v>
      </c>
      <c r="E3787">
        <v>14000</v>
      </c>
      <c r="G3787">
        <v>318000</v>
      </c>
      <c r="H3787">
        <v>1</v>
      </c>
      <c r="I3787" t="s">
        <v>325</v>
      </c>
      <c r="J3787">
        <v>43.3</v>
      </c>
      <c r="K3787">
        <v>0</v>
      </c>
      <c r="L3787">
        <v>3</v>
      </c>
      <c r="M3787" t="s">
        <v>5596</v>
      </c>
      <c r="N3787">
        <v>11</v>
      </c>
      <c r="O3787">
        <v>12.67</v>
      </c>
      <c r="P3787">
        <v>122997.85</v>
      </c>
      <c r="Q3787">
        <v>168453.81</v>
      </c>
      <c r="R3787">
        <v>512</v>
      </c>
      <c r="S3787">
        <v>788</v>
      </c>
      <c r="T3787" t="s">
        <v>326</v>
      </c>
      <c r="U3787" t="s">
        <v>81</v>
      </c>
    </row>
    <row r="3788" spans="1:21">
      <c r="A3788" t="s">
        <v>5969</v>
      </c>
      <c r="B3788" t="s">
        <v>5965</v>
      </c>
      <c r="C3788" t="s">
        <v>1850</v>
      </c>
      <c r="D3788">
        <v>159000</v>
      </c>
      <c r="E3788">
        <v>14000</v>
      </c>
      <c r="G3788">
        <v>318000</v>
      </c>
      <c r="H3788">
        <v>1</v>
      </c>
      <c r="I3788" t="s">
        <v>325</v>
      </c>
      <c r="J3788">
        <v>43.73</v>
      </c>
      <c r="K3788">
        <v>0</v>
      </c>
      <c r="L3788">
        <v>3</v>
      </c>
      <c r="M3788" t="s">
        <v>5596</v>
      </c>
      <c r="N3788">
        <v>11</v>
      </c>
      <c r="O3788">
        <v>12.67</v>
      </c>
      <c r="P3788">
        <v>122997.85</v>
      </c>
      <c r="Q3788">
        <v>168453.81</v>
      </c>
      <c r="R3788">
        <v>512</v>
      </c>
      <c r="S3788">
        <v>788</v>
      </c>
      <c r="T3788" t="s">
        <v>326</v>
      </c>
      <c r="U3788" t="s">
        <v>81</v>
      </c>
    </row>
    <row r="3789" spans="1:21">
      <c r="A3789" t="s">
        <v>5970</v>
      </c>
      <c r="B3789" t="s">
        <v>5965</v>
      </c>
      <c r="C3789" t="s">
        <v>1850</v>
      </c>
      <c r="D3789">
        <v>163000</v>
      </c>
      <c r="E3789">
        <v>14000</v>
      </c>
      <c r="G3789">
        <v>326000</v>
      </c>
      <c r="H3789">
        <v>1</v>
      </c>
      <c r="I3789" t="s">
        <v>325</v>
      </c>
      <c r="J3789">
        <v>48.51</v>
      </c>
      <c r="K3789">
        <v>0</v>
      </c>
      <c r="L3789">
        <v>3</v>
      </c>
      <c r="M3789" t="s">
        <v>5596</v>
      </c>
      <c r="N3789">
        <v>11</v>
      </c>
      <c r="O3789">
        <v>12.67</v>
      </c>
      <c r="P3789">
        <v>122997.85</v>
      </c>
      <c r="Q3789">
        <v>168453.81</v>
      </c>
      <c r="R3789">
        <v>512</v>
      </c>
      <c r="S3789">
        <v>788</v>
      </c>
      <c r="T3789" t="s">
        <v>326</v>
      </c>
      <c r="U3789" t="s">
        <v>81</v>
      </c>
    </row>
    <row r="3790" spans="1:21">
      <c r="A3790" t="s">
        <v>5971</v>
      </c>
      <c r="B3790" t="s">
        <v>5965</v>
      </c>
      <c r="C3790" t="s">
        <v>1850</v>
      </c>
      <c r="D3790">
        <v>168000</v>
      </c>
      <c r="E3790">
        <v>14000</v>
      </c>
      <c r="G3790">
        <v>336000</v>
      </c>
      <c r="H3790">
        <v>1</v>
      </c>
      <c r="I3790" t="s">
        <v>325</v>
      </c>
      <c r="J3790">
        <v>49.67</v>
      </c>
      <c r="K3790">
        <v>0</v>
      </c>
      <c r="L3790">
        <v>3</v>
      </c>
      <c r="M3790" t="s">
        <v>5596</v>
      </c>
      <c r="N3790">
        <v>11</v>
      </c>
      <c r="O3790">
        <v>12.67</v>
      </c>
      <c r="P3790">
        <v>122997.85</v>
      </c>
      <c r="Q3790">
        <v>168453.81</v>
      </c>
      <c r="R3790">
        <v>512</v>
      </c>
      <c r="S3790">
        <v>788</v>
      </c>
      <c r="T3790" t="s">
        <v>326</v>
      </c>
      <c r="U3790" t="s">
        <v>81</v>
      </c>
    </row>
    <row r="3791" spans="1:21">
      <c r="A3791" t="s">
        <v>5972</v>
      </c>
      <c r="B3791" t="s">
        <v>5965</v>
      </c>
      <c r="C3791" t="s">
        <v>1850</v>
      </c>
      <c r="D3791">
        <v>159000</v>
      </c>
      <c r="E3791">
        <v>14000</v>
      </c>
      <c r="G3791">
        <v>318000</v>
      </c>
      <c r="H3791">
        <v>2</v>
      </c>
      <c r="I3791" t="s">
        <v>325</v>
      </c>
      <c r="J3791">
        <v>36.659999999999997</v>
      </c>
      <c r="K3791">
        <v>0</v>
      </c>
      <c r="L3791">
        <v>3</v>
      </c>
      <c r="M3791" t="s">
        <v>5596</v>
      </c>
      <c r="N3791">
        <v>11</v>
      </c>
      <c r="O3791">
        <v>12.67</v>
      </c>
      <c r="P3791">
        <v>122997.85</v>
      </c>
      <c r="Q3791">
        <v>168453.81</v>
      </c>
      <c r="R3791">
        <v>512</v>
      </c>
      <c r="S3791">
        <v>788</v>
      </c>
      <c r="T3791" t="s">
        <v>26</v>
      </c>
      <c r="U3791" t="s">
        <v>81</v>
      </c>
    </row>
    <row r="3792" spans="1:21">
      <c r="A3792" t="s">
        <v>5973</v>
      </c>
      <c r="B3792" t="s">
        <v>5965</v>
      </c>
      <c r="C3792" t="s">
        <v>1850</v>
      </c>
      <c r="D3792">
        <v>156000</v>
      </c>
      <c r="E3792">
        <v>14000</v>
      </c>
      <c r="G3792">
        <v>312000</v>
      </c>
      <c r="H3792">
        <v>2</v>
      </c>
      <c r="I3792" t="s">
        <v>325</v>
      </c>
      <c r="J3792">
        <v>36.72</v>
      </c>
      <c r="K3792">
        <v>0</v>
      </c>
      <c r="L3792">
        <v>3</v>
      </c>
      <c r="M3792" t="s">
        <v>5596</v>
      </c>
      <c r="N3792">
        <v>11</v>
      </c>
      <c r="O3792">
        <v>12.67</v>
      </c>
      <c r="P3792">
        <v>122997.85</v>
      </c>
      <c r="Q3792">
        <v>168453.81</v>
      </c>
      <c r="R3792">
        <v>512</v>
      </c>
      <c r="S3792">
        <v>788</v>
      </c>
      <c r="T3792" t="s">
        <v>26</v>
      </c>
      <c r="U3792" t="s">
        <v>81</v>
      </c>
    </row>
    <row r="3793" spans="1:21">
      <c r="A3793" t="s">
        <v>5974</v>
      </c>
      <c r="B3793" t="s">
        <v>5965</v>
      </c>
      <c r="C3793" t="s">
        <v>1850</v>
      </c>
      <c r="D3793">
        <v>160000</v>
      </c>
      <c r="E3793">
        <v>14000</v>
      </c>
      <c r="G3793">
        <v>320000</v>
      </c>
      <c r="H3793">
        <v>2</v>
      </c>
      <c r="I3793" t="s">
        <v>325</v>
      </c>
      <c r="J3793">
        <v>39.49</v>
      </c>
      <c r="K3793">
        <v>0</v>
      </c>
      <c r="L3793">
        <v>3</v>
      </c>
      <c r="M3793" t="s">
        <v>5596</v>
      </c>
      <c r="N3793">
        <v>11</v>
      </c>
      <c r="O3793">
        <v>12.67</v>
      </c>
      <c r="P3793">
        <v>122997.85</v>
      </c>
      <c r="Q3793">
        <v>168453.81</v>
      </c>
      <c r="R3793">
        <v>512</v>
      </c>
      <c r="S3793">
        <v>788</v>
      </c>
      <c r="T3793" t="s">
        <v>26</v>
      </c>
      <c r="U3793" t="s">
        <v>81</v>
      </c>
    </row>
    <row r="3794" spans="1:21">
      <c r="A3794" t="s">
        <v>5975</v>
      </c>
      <c r="B3794" t="s">
        <v>5965</v>
      </c>
      <c r="C3794" t="s">
        <v>1850</v>
      </c>
      <c r="D3794">
        <v>164000</v>
      </c>
      <c r="E3794">
        <v>14000</v>
      </c>
      <c r="G3794">
        <v>328000</v>
      </c>
      <c r="H3794">
        <v>2</v>
      </c>
      <c r="I3794" t="s">
        <v>325</v>
      </c>
      <c r="J3794">
        <v>43.3</v>
      </c>
      <c r="K3794">
        <v>0</v>
      </c>
      <c r="L3794">
        <v>3</v>
      </c>
      <c r="M3794" t="s">
        <v>5596</v>
      </c>
      <c r="N3794">
        <v>11</v>
      </c>
      <c r="O3794">
        <v>12.67</v>
      </c>
      <c r="P3794">
        <v>122997.85</v>
      </c>
      <c r="Q3794">
        <v>168453.81</v>
      </c>
      <c r="R3794">
        <v>512</v>
      </c>
      <c r="S3794">
        <v>788</v>
      </c>
      <c r="T3794" t="s">
        <v>326</v>
      </c>
      <c r="U3794" t="s">
        <v>81</v>
      </c>
    </row>
    <row r="3795" spans="1:21">
      <c r="A3795" t="s">
        <v>5976</v>
      </c>
      <c r="B3795" t="s">
        <v>5965</v>
      </c>
      <c r="C3795" t="s">
        <v>1850</v>
      </c>
      <c r="D3795">
        <v>164000</v>
      </c>
      <c r="E3795">
        <v>14000</v>
      </c>
      <c r="G3795">
        <v>328000</v>
      </c>
      <c r="H3795">
        <v>2</v>
      </c>
      <c r="I3795" t="s">
        <v>325</v>
      </c>
      <c r="J3795">
        <v>43.73</v>
      </c>
      <c r="K3795">
        <v>0</v>
      </c>
      <c r="L3795">
        <v>3</v>
      </c>
      <c r="M3795" t="s">
        <v>5596</v>
      </c>
      <c r="N3795">
        <v>11</v>
      </c>
      <c r="O3795">
        <v>12.67</v>
      </c>
      <c r="P3795">
        <v>122997.85</v>
      </c>
      <c r="Q3795">
        <v>168453.81</v>
      </c>
      <c r="R3795">
        <v>512</v>
      </c>
      <c r="S3795">
        <v>788</v>
      </c>
      <c r="T3795" t="s">
        <v>326</v>
      </c>
      <c r="U3795" t="s">
        <v>81</v>
      </c>
    </row>
    <row r="3796" spans="1:21">
      <c r="A3796" t="s">
        <v>5977</v>
      </c>
      <c r="B3796" t="s">
        <v>5965</v>
      </c>
      <c r="C3796" t="s">
        <v>1850</v>
      </c>
      <c r="D3796">
        <v>173000</v>
      </c>
      <c r="E3796">
        <v>14000</v>
      </c>
      <c r="G3796">
        <v>346000</v>
      </c>
      <c r="H3796">
        <v>2</v>
      </c>
      <c r="I3796" t="s">
        <v>325</v>
      </c>
      <c r="J3796">
        <v>49.67</v>
      </c>
      <c r="K3796">
        <v>0</v>
      </c>
      <c r="L3796">
        <v>3</v>
      </c>
      <c r="M3796" t="s">
        <v>5596</v>
      </c>
      <c r="N3796">
        <v>11</v>
      </c>
      <c r="O3796">
        <v>12.67</v>
      </c>
      <c r="P3796">
        <v>122997.85</v>
      </c>
      <c r="Q3796">
        <v>168453.81</v>
      </c>
      <c r="R3796">
        <v>512</v>
      </c>
      <c r="S3796">
        <v>788</v>
      </c>
      <c r="T3796" t="s">
        <v>326</v>
      </c>
      <c r="U3796" t="s">
        <v>81</v>
      </c>
    </row>
    <row r="3797" spans="1:21">
      <c r="A3797" t="s">
        <v>5978</v>
      </c>
      <c r="B3797" t="s">
        <v>5965</v>
      </c>
      <c r="C3797" t="s">
        <v>1850</v>
      </c>
      <c r="D3797">
        <v>238000</v>
      </c>
      <c r="E3797">
        <v>14000</v>
      </c>
      <c r="G3797">
        <v>476000</v>
      </c>
      <c r="H3797">
        <v>2</v>
      </c>
      <c r="I3797" t="s">
        <v>325</v>
      </c>
      <c r="J3797">
        <v>55.66</v>
      </c>
      <c r="K3797">
        <v>0</v>
      </c>
      <c r="L3797">
        <v>3</v>
      </c>
      <c r="M3797" t="s">
        <v>5596</v>
      </c>
      <c r="N3797">
        <v>11</v>
      </c>
      <c r="O3797">
        <v>12.67</v>
      </c>
      <c r="P3797">
        <v>122997.85</v>
      </c>
      <c r="Q3797">
        <v>168453.81</v>
      </c>
      <c r="R3797">
        <v>512</v>
      </c>
      <c r="S3797">
        <v>788</v>
      </c>
      <c r="T3797" t="s">
        <v>332</v>
      </c>
      <c r="U3797" t="s">
        <v>81</v>
      </c>
    </row>
    <row r="3798" spans="1:21">
      <c r="A3798" t="s">
        <v>5979</v>
      </c>
      <c r="B3798" t="s">
        <v>5965</v>
      </c>
      <c r="C3798" t="s">
        <v>1850</v>
      </c>
      <c r="D3798">
        <v>164000</v>
      </c>
      <c r="E3798">
        <v>14000</v>
      </c>
      <c r="G3798">
        <v>164000</v>
      </c>
      <c r="H3798">
        <v>3</v>
      </c>
      <c r="I3798" t="s">
        <v>325</v>
      </c>
      <c r="J3798">
        <v>36.659999999999997</v>
      </c>
      <c r="K3798">
        <v>0</v>
      </c>
      <c r="L3798">
        <v>3</v>
      </c>
      <c r="M3798" t="s">
        <v>5596</v>
      </c>
      <c r="N3798">
        <v>11</v>
      </c>
      <c r="O3798">
        <v>12.67</v>
      </c>
      <c r="P3798">
        <v>122997.85</v>
      </c>
      <c r="Q3798">
        <v>168453.81</v>
      </c>
      <c r="R3798">
        <v>512</v>
      </c>
      <c r="S3798">
        <v>788</v>
      </c>
      <c r="T3798" t="s">
        <v>26</v>
      </c>
      <c r="U3798" t="s">
        <v>81</v>
      </c>
    </row>
    <row r="3799" spans="1:21">
      <c r="A3799" t="s">
        <v>5980</v>
      </c>
      <c r="B3799" t="s">
        <v>5965</v>
      </c>
      <c r="C3799" t="s">
        <v>1850</v>
      </c>
      <c r="D3799">
        <v>161000</v>
      </c>
      <c r="E3799">
        <v>14000</v>
      </c>
      <c r="G3799">
        <v>161000</v>
      </c>
      <c r="H3799">
        <v>3</v>
      </c>
      <c r="I3799" t="s">
        <v>325</v>
      </c>
      <c r="J3799">
        <v>36.72</v>
      </c>
      <c r="K3799">
        <v>0</v>
      </c>
      <c r="L3799">
        <v>3</v>
      </c>
      <c r="M3799" t="s">
        <v>5596</v>
      </c>
      <c r="N3799">
        <v>11</v>
      </c>
      <c r="O3799">
        <v>12.67</v>
      </c>
      <c r="P3799">
        <v>122997.85</v>
      </c>
      <c r="Q3799">
        <v>168453.81</v>
      </c>
      <c r="R3799">
        <v>512</v>
      </c>
      <c r="S3799">
        <v>788</v>
      </c>
      <c r="T3799" t="s">
        <v>26</v>
      </c>
      <c r="U3799" t="s">
        <v>81</v>
      </c>
    </row>
    <row r="3800" spans="1:21">
      <c r="A3800" t="s">
        <v>5981</v>
      </c>
      <c r="B3800" t="s">
        <v>5965</v>
      </c>
      <c r="C3800" t="s">
        <v>1850</v>
      </c>
      <c r="D3800">
        <v>165000</v>
      </c>
      <c r="E3800">
        <v>14000</v>
      </c>
      <c r="G3800">
        <v>165000</v>
      </c>
      <c r="H3800">
        <v>3</v>
      </c>
      <c r="I3800" t="s">
        <v>325</v>
      </c>
      <c r="J3800">
        <v>39.49</v>
      </c>
      <c r="K3800">
        <v>0</v>
      </c>
      <c r="L3800">
        <v>3</v>
      </c>
      <c r="M3800" t="s">
        <v>5596</v>
      </c>
      <c r="N3800">
        <v>11</v>
      </c>
      <c r="O3800">
        <v>12.67</v>
      </c>
      <c r="P3800">
        <v>122997.85</v>
      </c>
      <c r="Q3800">
        <v>168453.81</v>
      </c>
      <c r="R3800">
        <v>512</v>
      </c>
      <c r="S3800">
        <v>788</v>
      </c>
      <c r="T3800" t="s">
        <v>26</v>
      </c>
      <c r="U3800" t="s">
        <v>81</v>
      </c>
    </row>
    <row r="3801" spans="1:21">
      <c r="A3801" t="s">
        <v>5982</v>
      </c>
      <c r="B3801" t="s">
        <v>5965</v>
      </c>
      <c r="C3801" t="s">
        <v>1850</v>
      </c>
      <c r="D3801">
        <v>169000</v>
      </c>
      <c r="E3801">
        <v>14000</v>
      </c>
      <c r="G3801">
        <v>169000</v>
      </c>
      <c r="H3801">
        <v>3</v>
      </c>
      <c r="I3801" t="s">
        <v>325</v>
      </c>
      <c r="J3801">
        <v>43.3</v>
      </c>
      <c r="K3801">
        <v>0</v>
      </c>
      <c r="L3801">
        <v>3</v>
      </c>
      <c r="M3801" t="s">
        <v>5596</v>
      </c>
      <c r="N3801">
        <v>11</v>
      </c>
      <c r="O3801">
        <v>12.67</v>
      </c>
      <c r="P3801">
        <v>122997.85</v>
      </c>
      <c r="Q3801">
        <v>168453.81</v>
      </c>
      <c r="R3801">
        <v>512</v>
      </c>
      <c r="S3801">
        <v>788</v>
      </c>
      <c r="T3801" t="s">
        <v>326</v>
      </c>
      <c r="U3801" t="s">
        <v>81</v>
      </c>
    </row>
    <row r="3802" spans="1:21">
      <c r="A3802" t="s">
        <v>5983</v>
      </c>
      <c r="B3802" t="s">
        <v>5965</v>
      </c>
      <c r="C3802" t="s">
        <v>1850</v>
      </c>
      <c r="D3802">
        <v>169000</v>
      </c>
      <c r="E3802">
        <v>14000</v>
      </c>
      <c r="G3802">
        <v>169000</v>
      </c>
      <c r="H3802">
        <v>3</v>
      </c>
      <c r="I3802" t="s">
        <v>325</v>
      </c>
      <c r="J3802">
        <v>43.73</v>
      </c>
      <c r="K3802">
        <v>0</v>
      </c>
      <c r="L3802">
        <v>3</v>
      </c>
      <c r="M3802" t="s">
        <v>5596</v>
      </c>
      <c r="N3802">
        <v>11</v>
      </c>
      <c r="O3802">
        <v>12.67</v>
      </c>
      <c r="P3802">
        <v>122997.85</v>
      </c>
      <c r="Q3802">
        <v>168453.81</v>
      </c>
      <c r="R3802">
        <v>512</v>
      </c>
      <c r="S3802">
        <v>788</v>
      </c>
      <c r="T3802" t="s">
        <v>326</v>
      </c>
      <c r="U3802" t="s">
        <v>81</v>
      </c>
    </row>
    <row r="3803" spans="1:21">
      <c r="A3803" t="s">
        <v>5984</v>
      </c>
      <c r="B3803" t="s">
        <v>5965</v>
      </c>
      <c r="C3803" t="s">
        <v>1850</v>
      </c>
      <c r="D3803">
        <v>178000</v>
      </c>
      <c r="E3803">
        <v>14000</v>
      </c>
      <c r="G3803">
        <v>178000</v>
      </c>
      <c r="H3803">
        <v>3</v>
      </c>
      <c r="I3803" t="s">
        <v>325</v>
      </c>
      <c r="J3803">
        <v>49.67</v>
      </c>
      <c r="K3803">
        <v>0</v>
      </c>
      <c r="L3803">
        <v>3</v>
      </c>
      <c r="M3803" t="s">
        <v>5596</v>
      </c>
      <c r="N3803">
        <v>11</v>
      </c>
      <c r="O3803">
        <v>12.67</v>
      </c>
      <c r="P3803">
        <v>122997.85</v>
      </c>
      <c r="Q3803">
        <v>168453.81</v>
      </c>
      <c r="R3803">
        <v>512</v>
      </c>
      <c r="S3803">
        <v>788</v>
      </c>
      <c r="T3803" t="s">
        <v>326</v>
      </c>
      <c r="U3803" t="s">
        <v>81</v>
      </c>
    </row>
    <row r="3804" spans="1:21">
      <c r="A3804" t="s">
        <v>5985</v>
      </c>
      <c r="B3804" t="s">
        <v>5986</v>
      </c>
      <c r="C3804" t="s">
        <v>2033</v>
      </c>
      <c r="D3804">
        <v>158000</v>
      </c>
      <c r="E3804">
        <v>10000</v>
      </c>
      <c r="F3804">
        <v>158000</v>
      </c>
      <c r="G3804">
        <v>158000</v>
      </c>
      <c r="H3804">
        <v>2</v>
      </c>
      <c r="I3804" t="s">
        <v>325</v>
      </c>
      <c r="J3804">
        <v>40.54</v>
      </c>
      <c r="K3804">
        <v>13</v>
      </c>
      <c r="L3804">
        <v>5</v>
      </c>
      <c r="M3804" t="s">
        <v>5596</v>
      </c>
      <c r="N3804">
        <v>10</v>
      </c>
      <c r="O3804">
        <v>13</v>
      </c>
      <c r="P3804">
        <v>122997.85</v>
      </c>
      <c r="Q3804">
        <v>168453.81</v>
      </c>
      <c r="R3804">
        <v>512</v>
      </c>
      <c r="S3804">
        <v>788</v>
      </c>
      <c r="T3804" t="s">
        <v>326</v>
      </c>
      <c r="U3804" t="s">
        <v>90</v>
      </c>
    </row>
    <row r="3805" spans="1:21">
      <c r="A3805" t="s">
        <v>5987</v>
      </c>
      <c r="B3805" t="s">
        <v>5732</v>
      </c>
      <c r="C3805" t="s">
        <v>5608</v>
      </c>
      <c r="D3805">
        <v>188000</v>
      </c>
      <c r="E3805">
        <v>11000</v>
      </c>
      <c r="G3805">
        <v>188000</v>
      </c>
      <c r="H3805">
        <v>6</v>
      </c>
      <c r="I3805" t="s">
        <v>325</v>
      </c>
      <c r="J3805">
        <v>42.49</v>
      </c>
      <c r="K3805">
        <v>8</v>
      </c>
      <c r="L3805">
        <v>7</v>
      </c>
      <c r="M3805" t="s">
        <v>5596</v>
      </c>
      <c r="N3805">
        <v>6</v>
      </c>
      <c r="O3805">
        <v>11.67</v>
      </c>
      <c r="P3805">
        <v>122997.85</v>
      </c>
      <c r="Q3805">
        <v>168453.81</v>
      </c>
      <c r="R3805">
        <v>512</v>
      </c>
      <c r="S3805">
        <v>788</v>
      </c>
      <c r="T3805" t="s">
        <v>326</v>
      </c>
      <c r="U3805" t="s">
        <v>31</v>
      </c>
    </row>
    <row r="3806" spans="1:21">
      <c r="A3806" t="s">
        <v>5988</v>
      </c>
      <c r="B3806" t="s">
        <v>5989</v>
      </c>
      <c r="C3806" t="s">
        <v>5608</v>
      </c>
      <c r="D3806">
        <v>136000</v>
      </c>
      <c r="E3806">
        <v>5000</v>
      </c>
      <c r="F3806">
        <v>136000</v>
      </c>
      <c r="G3806">
        <v>163200</v>
      </c>
      <c r="H3806">
        <v>1</v>
      </c>
      <c r="I3806" t="s">
        <v>325</v>
      </c>
      <c r="J3806">
        <v>43.35</v>
      </c>
      <c r="K3806">
        <v>47</v>
      </c>
      <c r="L3806">
        <v>7</v>
      </c>
      <c r="M3806" t="s">
        <v>5596</v>
      </c>
      <c r="N3806">
        <v>5</v>
      </c>
      <c r="O3806">
        <v>13</v>
      </c>
      <c r="P3806">
        <v>122997.85</v>
      </c>
      <c r="Q3806">
        <v>168453.81</v>
      </c>
      <c r="R3806">
        <v>512</v>
      </c>
      <c r="S3806">
        <v>788</v>
      </c>
      <c r="T3806" t="s">
        <v>326</v>
      </c>
      <c r="U3806" t="s">
        <v>42</v>
      </c>
    </row>
    <row r="3807" spans="1:21">
      <c r="A3807" t="s">
        <v>5990</v>
      </c>
      <c r="B3807" t="s">
        <v>5989</v>
      </c>
      <c r="C3807" t="s">
        <v>5608</v>
      </c>
      <c r="D3807">
        <v>150000</v>
      </c>
      <c r="E3807">
        <v>5000</v>
      </c>
      <c r="F3807">
        <v>150000</v>
      </c>
      <c r="G3807">
        <v>225000</v>
      </c>
      <c r="H3807">
        <v>4</v>
      </c>
      <c r="I3807" t="s">
        <v>325</v>
      </c>
      <c r="J3807">
        <v>46.75</v>
      </c>
      <c r="K3807">
        <v>47</v>
      </c>
      <c r="L3807">
        <v>7</v>
      </c>
      <c r="M3807" t="s">
        <v>5596</v>
      </c>
      <c r="N3807">
        <v>5</v>
      </c>
      <c r="O3807">
        <v>13</v>
      </c>
      <c r="P3807">
        <v>122997.85</v>
      </c>
      <c r="Q3807">
        <v>168453.81</v>
      </c>
      <c r="R3807">
        <v>512</v>
      </c>
      <c r="S3807">
        <v>788</v>
      </c>
      <c r="T3807" t="s">
        <v>326</v>
      </c>
      <c r="U3807" t="s">
        <v>42</v>
      </c>
    </row>
    <row r="3808" spans="1:21">
      <c r="A3808" t="s">
        <v>5991</v>
      </c>
      <c r="B3808" t="s">
        <v>5625</v>
      </c>
      <c r="C3808" t="s">
        <v>2033</v>
      </c>
      <c r="D3808">
        <v>191000</v>
      </c>
      <c r="E3808">
        <v>15000</v>
      </c>
      <c r="F3808">
        <v>191000</v>
      </c>
      <c r="H3808">
        <v>4</v>
      </c>
      <c r="I3808" t="s">
        <v>325</v>
      </c>
      <c r="J3808">
        <v>37.67</v>
      </c>
      <c r="K3808">
        <v>0</v>
      </c>
      <c r="L3808">
        <v>9</v>
      </c>
      <c r="M3808" t="s">
        <v>5596</v>
      </c>
      <c r="N3808">
        <v>9</v>
      </c>
      <c r="O3808">
        <v>13.33</v>
      </c>
      <c r="P3808">
        <v>122997.85</v>
      </c>
      <c r="Q3808">
        <v>168453.81</v>
      </c>
      <c r="R3808">
        <v>512</v>
      </c>
      <c r="S3808">
        <v>788</v>
      </c>
      <c r="T3808" t="s">
        <v>26</v>
      </c>
      <c r="U3808" t="s">
        <v>81</v>
      </c>
    </row>
    <row r="3809" spans="1:21">
      <c r="A3809" t="s">
        <v>5992</v>
      </c>
      <c r="B3809" t="s">
        <v>5625</v>
      </c>
      <c r="C3809" t="s">
        <v>2033</v>
      </c>
      <c r="D3809">
        <v>190000</v>
      </c>
      <c r="E3809">
        <v>15000</v>
      </c>
      <c r="F3809">
        <v>190000</v>
      </c>
      <c r="H3809">
        <v>4</v>
      </c>
      <c r="I3809" t="s">
        <v>325</v>
      </c>
      <c r="J3809">
        <v>37.67</v>
      </c>
      <c r="K3809">
        <v>0</v>
      </c>
      <c r="L3809">
        <v>9</v>
      </c>
      <c r="M3809" t="s">
        <v>5596</v>
      </c>
      <c r="N3809">
        <v>9</v>
      </c>
      <c r="O3809">
        <v>13.33</v>
      </c>
      <c r="P3809">
        <v>122997.85</v>
      </c>
      <c r="Q3809">
        <v>168453.81</v>
      </c>
      <c r="R3809">
        <v>512</v>
      </c>
      <c r="S3809">
        <v>788</v>
      </c>
      <c r="T3809" t="s">
        <v>26</v>
      </c>
      <c r="U3809" t="s">
        <v>81</v>
      </c>
    </row>
    <row r="3810" spans="1:21">
      <c r="A3810" t="s">
        <v>5993</v>
      </c>
      <c r="B3810" t="s">
        <v>5994</v>
      </c>
      <c r="C3810" t="s">
        <v>5601</v>
      </c>
      <c r="D3810">
        <v>155000</v>
      </c>
      <c r="E3810">
        <v>5000</v>
      </c>
      <c r="F3810">
        <v>75000</v>
      </c>
      <c r="G3810">
        <v>310000</v>
      </c>
      <c r="H3810">
        <v>1</v>
      </c>
      <c r="I3810" t="s">
        <v>325</v>
      </c>
      <c r="J3810">
        <v>48.23</v>
      </c>
      <c r="K3810">
        <v>20</v>
      </c>
      <c r="L3810">
        <v>2</v>
      </c>
      <c r="M3810" t="s">
        <v>5596</v>
      </c>
      <c r="N3810">
        <v>8</v>
      </c>
      <c r="O3810">
        <v>12</v>
      </c>
      <c r="P3810">
        <v>122997.85</v>
      </c>
      <c r="Q3810">
        <v>168453.81</v>
      </c>
      <c r="R3810">
        <v>512</v>
      </c>
      <c r="S3810">
        <v>788</v>
      </c>
      <c r="T3810" t="s">
        <v>326</v>
      </c>
      <c r="U3810" t="s">
        <v>90</v>
      </c>
    </row>
    <row r="3811" spans="1:21">
      <c r="A3811" t="s">
        <v>5995</v>
      </c>
      <c r="B3811" t="s">
        <v>5996</v>
      </c>
      <c r="C3811" t="s">
        <v>5608</v>
      </c>
      <c r="D3811">
        <v>138000</v>
      </c>
      <c r="E3811">
        <v>9000</v>
      </c>
      <c r="F3811">
        <v>138000</v>
      </c>
      <c r="G3811">
        <v>138000</v>
      </c>
      <c r="H3811">
        <v>1</v>
      </c>
      <c r="I3811" t="s">
        <v>325</v>
      </c>
      <c r="J3811">
        <v>42.05</v>
      </c>
      <c r="K3811">
        <v>10</v>
      </c>
      <c r="L3811">
        <v>5</v>
      </c>
      <c r="M3811" t="s">
        <v>5596</v>
      </c>
      <c r="N3811">
        <v>2</v>
      </c>
      <c r="O3811">
        <v>9</v>
      </c>
      <c r="P3811">
        <v>122997.85</v>
      </c>
      <c r="Q3811">
        <v>168453.81</v>
      </c>
      <c r="R3811">
        <v>512</v>
      </c>
      <c r="S3811">
        <v>788</v>
      </c>
      <c r="T3811" t="s">
        <v>326</v>
      </c>
      <c r="U3811" t="s">
        <v>31</v>
      </c>
    </row>
    <row r="3812" spans="1:21">
      <c r="A3812" t="s">
        <v>5997</v>
      </c>
      <c r="B3812" t="s">
        <v>5627</v>
      </c>
      <c r="C3812" t="s">
        <v>5608</v>
      </c>
      <c r="D3812">
        <v>137000</v>
      </c>
      <c r="E3812">
        <v>15000</v>
      </c>
      <c r="H3812">
        <v>4</v>
      </c>
      <c r="I3812" t="s">
        <v>325</v>
      </c>
      <c r="J3812">
        <v>30.1</v>
      </c>
      <c r="K3812">
        <v>4</v>
      </c>
      <c r="L3812">
        <v>5</v>
      </c>
      <c r="M3812" t="s">
        <v>5596</v>
      </c>
      <c r="N3812">
        <v>5</v>
      </c>
      <c r="O3812">
        <v>12.33</v>
      </c>
      <c r="P3812">
        <v>122997.85</v>
      </c>
      <c r="Q3812">
        <v>168453.81</v>
      </c>
      <c r="R3812">
        <v>512</v>
      </c>
      <c r="S3812">
        <v>788</v>
      </c>
      <c r="T3812" t="s">
        <v>26</v>
      </c>
      <c r="U3812" t="s">
        <v>31</v>
      </c>
    </row>
    <row r="3813" spans="1:21">
      <c r="A3813" t="s">
        <v>5998</v>
      </c>
      <c r="B3813" t="s">
        <v>5999</v>
      </c>
      <c r="C3813" t="s">
        <v>2033</v>
      </c>
      <c r="D3813">
        <v>145000</v>
      </c>
      <c r="E3813">
        <v>4600</v>
      </c>
      <c r="G3813">
        <v>290000</v>
      </c>
      <c r="H3813">
        <v>3</v>
      </c>
      <c r="I3813" t="s">
        <v>325</v>
      </c>
      <c r="J3813">
        <v>38.47</v>
      </c>
      <c r="K3813">
        <v>9</v>
      </c>
      <c r="L3813">
        <v>4</v>
      </c>
      <c r="M3813" t="s">
        <v>5596</v>
      </c>
      <c r="N3813">
        <v>8</v>
      </c>
      <c r="O3813">
        <v>13.67</v>
      </c>
      <c r="P3813">
        <v>122997.85</v>
      </c>
      <c r="Q3813">
        <v>168453.81</v>
      </c>
      <c r="R3813">
        <v>512</v>
      </c>
      <c r="S3813">
        <v>788</v>
      </c>
      <c r="T3813" t="s">
        <v>26</v>
      </c>
      <c r="U3813" t="s">
        <v>31</v>
      </c>
    </row>
    <row r="3814" spans="1:21">
      <c r="A3814" t="s">
        <v>6000</v>
      </c>
      <c r="B3814" t="s">
        <v>6001</v>
      </c>
      <c r="C3814" t="s">
        <v>4027</v>
      </c>
      <c r="D3814">
        <v>144000</v>
      </c>
      <c r="E3814">
        <v>4000</v>
      </c>
      <c r="F3814">
        <v>144000</v>
      </c>
      <c r="G3814">
        <v>144000</v>
      </c>
      <c r="H3814">
        <v>2</v>
      </c>
      <c r="I3814" t="s">
        <v>325</v>
      </c>
      <c r="J3814">
        <v>53.5</v>
      </c>
      <c r="K3814">
        <v>9</v>
      </c>
      <c r="L3814">
        <v>2</v>
      </c>
      <c r="M3814" t="s">
        <v>5596</v>
      </c>
      <c r="N3814">
        <v>8</v>
      </c>
      <c r="O3814">
        <v>12</v>
      </c>
      <c r="P3814">
        <v>122997.85</v>
      </c>
      <c r="Q3814">
        <v>168453.81</v>
      </c>
      <c r="R3814">
        <v>512</v>
      </c>
      <c r="S3814">
        <v>788</v>
      </c>
      <c r="T3814" t="s">
        <v>332</v>
      </c>
      <c r="U3814" t="s">
        <v>31</v>
      </c>
    </row>
    <row r="3815" spans="1:21">
      <c r="A3815" t="s">
        <v>6002</v>
      </c>
      <c r="B3815" t="s">
        <v>6003</v>
      </c>
      <c r="C3815" t="s">
        <v>4027</v>
      </c>
      <c r="D3815">
        <v>129000</v>
      </c>
      <c r="E3815">
        <v>4000</v>
      </c>
      <c r="F3815">
        <v>129000</v>
      </c>
      <c r="G3815">
        <v>129000</v>
      </c>
      <c r="H3815">
        <v>1</v>
      </c>
      <c r="I3815" t="s">
        <v>325</v>
      </c>
      <c r="J3815">
        <v>44</v>
      </c>
      <c r="K3815">
        <v>9</v>
      </c>
      <c r="L3815">
        <v>2</v>
      </c>
      <c r="M3815" t="s">
        <v>5596</v>
      </c>
      <c r="N3815">
        <v>8</v>
      </c>
      <c r="O3815">
        <v>12</v>
      </c>
      <c r="P3815">
        <v>122997.85</v>
      </c>
      <c r="Q3815">
        <v>168453.81</v>
      </c>
      <c r="R3815">
        <v>512</v>
      </c>
      <c r="S3815">
        <v>788</v>
      </c>
      <c r="T3815" t="s">
        <v>326</v>
      </c>
      <c r="U3815" t="s">
        <v>31</v>
      </c>
    </row>
    <row r="3816" spans="1:21">
      <c r="A3816" t="s">
        <v>6004</v>
      </c>
      <c r="B3816" t="s">
        <v>6005</v>
      </c>
      <c r="C3816" t="s">
        <v>2033</v>
      </c>
      <c r="D3816">
        <v>145000</v>
      </c>
      <c r="E3816">
        <v>7000</v>
      </c>
      <c r="F3816">
        <v>145000</v>
      </c>
      <c r="G3816">
        <v>290000</v>
      </c>
      <c r="H3816">
        <v>1</v>
      </c>
      <c r="I3816" t="s">
        <v>325</v>
      </c>
      <c r="J3816">
        <v>45.6</v>
      </c>
      <c r="K3816">
        <v>11</v>
      </c>
      <c r="L3816">
        <v>3</v>
      </c>
      <c r="M3816" t="s">
        <v>5596</v>
      </c>
      <c r="N3816">
        <v>8</v>
      </c>
      <c r="O3816">
        <v>12</v>
      </c>
      <c r="P3816">
        <v>122997.85</v>
      </c>
      <c r="Q3816">
        <v>168453.81</v>
      </c>
      <c r="R3816">
        <v>512</v>
      </c>
      <c r="S3816">
        <v>788</v>
      </c>
      <c r="T3816" t="s">
        <v>326</v>
      </c>
      <c r="U3816" t="s">
        <v>90</v>
      </c>
    </row>
    <row r="3817" spans="1:21">
      <c r="A3817" t="s">
        <v>6006</v>
      </c>
      <c r="B3817" t="s">
        <v>6007</v>
      </c>
      <c r="C3817" t="s">
        <v>5601</v>
      </c>
      <c r="D3817">
        <v>160000</v>
      </c>
      <c r="E3817">
        <v>5000</v>
      </c>
      <c r="F3817">
        <v>160000</v>
      </c>
      <c r="H3817">
        <v>1</v>
      </c>
      <c r="I3817" t="s">
        <v>325</v>
      </c>
      <c r="J3817">
        <v>59.34</v>
      </c>
      <c r="K3817">
        <v>12</v>
      </c>
      <c r="L3817">
        <v>2</v>
      </c>
      <c r="M3817" t="s">
        <v>5596</v>
      </c>
      <c r="N3817">
        <v>4</v>
      </c>
      <c r="O3817">
        <v>7</v>
      </c>
      <c r="P3817">
        <v>122997.85</v>
      </c>
      <c r="Q3817">
        <v>168453.81</v>
      </c>
      <c r="R3817">
        <v>512</v>
      </c>
      <c r="S3817">
        <v>788</v>
      </c>
      <c r="T3817" t="s">
        <v>332</v>
      </c>
      <c r="U3817" t="s">
        <v>90</v>
      </c>
    </row>
    <row r="3818" spans="1:21">
      <c r="A3818" t="s">
        <v>6006</v>
      </c>
      <c r="B3818" t="s">
        <v>6007</v>
      </c>
      <c r="C3818" t="s">
        <v>5601</v>
      </c>
      <c r="D3818">
        <v>160000</v>
      </c>
      <c r="E3818">
        <v>5000</v>
      </c>
      <c r="F3818">
        <v>160000</v>
      </c>
      <c r="H3818">
        <v>2</v>
      </c>
      <c r="I3818" t="s">
        <v>325</v>
      </c>
      <c r="J3818">
        <v>59.34</v>
      </c>
      <c r="K3818">
        <v>12</v>
      </c>
      <c r="L3818">
        <v>2</v>
      </c>
      <c r="M3818" t="s">
        <v>5596</v>
      </c>
      <c r="N3818">
        <v>4</v>
      </c>
      <c r="O3818">
        <v>7</v>
      </c>
      <c r="P3818">
        <v>122997.85</v>
      </c>
      <c r="Q3818">
        <v>168453.81</v>
      </c>
      <c r="R3818">
        <v>512</v>
      </c>
      <c r="S3818">
        <v>788</v>
      </c>
      <c r="T3818" t="s">
        <v>332</v>
      </c>
      <c r="U3818" t="s">
        <v>90</v>
      </c>
    </row>
    <row r="3819" spans="1:21">
      <c r="A3819" t="s">
        <v>6008</v>
      </c>
      <c r="B3819" t="s">
        <v>6009</v>
      </c>
      <c r="C3819" t="s">
        <v>4013</v>
      </c>
      <c r="D3819">
        <v>120000</v>
      </c>
      <c r="F3819">
        <v>120000</v>
      </c>
      <c r="G3819">
        <v>120000</v>
      </c>
      <c r="H3819">
        <v>1</v>
      </c>
      <c r="I3819" t="s">
        <v>325</v>
      </c>
      <c r="J3819">
        <v>30</v>
      </c>
      <c r="K3819">
        <v>24</v>
      </c>
      <c r="L3819">
        <v>2</v>
      </c>
      <c r="M3819" t="s">
        <v>5596</v>
      </c>
      <c r="N3819">
        <v>6</v>
      </c>
      <c r="O3819">
        <v>9.33</v>
      </c>
      <c r="P3819">
        <v>122997.85</v>
      </c>
      <c r="Q3819">
        <v>168453.81</v>
      </c>
      <c r="R3819">
        <v>512</v>
      </c>
      <c r="S3819">
        <v>788</v>
      </c>
      <c r="T3819" t="s">
        <v>26</v>
      </c>
      <c r="U3819" t="s">
        <v>27</v>
      </c>
    </row>
    <row r="3820" spans="1:21">
      <c r="A3820" t="s">
        <v>6010</v>
      </c>
      <c r="B3820" t="s">
        <v>6011</v>
      </c>
      <c r="C3820" t="s">
        <v>758</v>
      </c>
      <c r="D3820">
        <v>150000</v>
      </c>
      <c r="E3820">
        <v>8000</v>
      </c>
      <c r="G3820">
        <v>300000</v>
      </c>
      <c r="H3820">
        <v>2</v>
      </c>
      <c r="I3820" t="s">
        <v>325</v>
      </c>
      <c r="J3820">
        <v>41.4</v>
      </c>
      <c r="K3820">
        <v>11</v>
      </c>
      <c r="L3820">
        <v>4</v>
      </c>
      <c r="M3820" t="s">
        <v>5596</v>
      </c>
      <c r="N3820">
        <v>6</v>
      </c>
      <c r="O3820">
        <v>11.33</v>
      </c>
      <c r="P3820">
        <v>122997.85</v>
      </c>
      <c r="Q3820">
        <v>168453.81</v>
      </c>
      <c r="R3820">
        <v>512</v>
      </c>
      <c r="S3820">
        <v>788</v>
      </c>
      <c r="T3820" t="s">
        <v>326</v>
      </c>
      <c r="U3820" t="s">
        <v>90</v>
      </c>
    </row>
    <row r="3821" spans="1:21">
      <c r="A3821" t="s">
        <v>6012</v>
      </c>
      <c r="B3821" t="s">
        <v>6013</v>
      </c>
      <c r="C3821" t="s">
        <v>758</v>
      </c>
      <c r="D3821">
        <v>115000</v>
      </c>
      <c r="E3821">
        <v>5000</v>
      </c>
      <c r="F3821">
        <v>115000</v>
      </c>
      <c r="G3821">
        <v>115000</v>
      </c>
      <c r="H3821">
        <v>1</v>
      </c>
      <c r="I3821" t="s">
        <v>325</v>
      </c>
      <c r="J3821">
        <v>37.6</v>
      </c>
      <c r="K3821">
        <v>48</v>
      </c>
      <c r="L3821">
        <v>2</v>
      </c>
      <c r="M3821" t="s">
        <v>5596</v>
      </c>
      <c r="N3821">
        <v>4</v>
      </c>
      <c r="O3821">
        <v>9.33</v>
      </c>
      <c r="P3821">
        <v>122997.85</v>
      </c>
      <c r="Q3821">
        <v>168453.81</v>
      </c>
      <c r="R3821">
        <v>512</v>
      </c>
      <c r="S3821">
        <v>788</v>
      </c>
      <c r="T3821" t="s">
        <v>26</v>
      </c>
      <c r="U3821" t="s">
        <v>42</v>
      </c>
    </row>
    <row r="3822" spans="1:21">
      <c r="A3822" t="s">
        <v>6014</v>
      </c>
      <c r="B3822" t="s">
        <v>5835</v>
      </c>
      <c r="C3822" t="s">
        <v>5608</v>
      </c>
      <c r="D3822">
        <v>160000</v>
      </c>
      <c r="E3822">
        <v>6000</v>
      </c>
      <c r="F3822">
        <v>160000</v>
      </c>
      <c r="G3822">
        <v>320000</v>
      </c>
      <c r="H3822">
        <v>1</v>
      </c>
      <c r="I3822" t="s">
        <v>325</v>
      </c>
      <c r="J3822">
        <v>42.67</v>
      </c>
      <c r="K3822">
        <v>0</v>
      </c>
      <c r="L3822">
        <v>3</v>
      </c>
      <c r="M3822" t="s">
        <v>5596</v>
      </c>
      <c r="N3822">
        <v>4</v>
      </c>
      <c r="O3822">
        <v>11.67</v>
      </c>
      <c r="P3822">
        <v>122997.85</v>
      </c>
      <c r="Q3822">
        <v>168453.81</v>
      </c>
      <c r="R3822">
        <v>512</v>
      </c>
      <c r="S3822">
        <v>788</v>
      </c>
      <c r="T3822" t="s">
        <v>326</v>
      </c>
      <c r="U3822" t="s">
        <v>81</v>
      </c>
    </row>
    <row r="3823" spans="1:21">
      <c r="A3823" t="s">
        <v>6015</v>
      </c>
      <c r="B3823" t="s">
        <v>6016</v>
      </c>
      <c r="C3823" t="s">
        <v>5601</v>
      </c>
      <c r="D3823">
        <v>160000</v>
      </c>
      <c r="E3823">
        <v>5000</v>
      </c>
      <c r="F3823">
        <v>160000</v>
      </c>
      <c r="H3823">
        <v>2</v>
      </c>
      <c r="I3823" t="s">
        <v>325</v>
      </c>
      <c r="J3823">
        <v>59.34</v>
      </c>
      <c r="K3823">
        <v>12</v>
      </c>
      <c r="L3823">
        <v>2</v>
      </c>
      <c r="M3823" t="s">
        <v>5596</v>
      </c>
      <c r="N3823">
        <v>4</v>
      </c>
      <c r="O3823">
        <v>12</v>
      </c>
      <c r="P3823">
        <v>122997.85</v>
      </c>
      <c r="Q3823">
        <v>168453.81</v>
      </c>
      <c r="R3823">
        <v>512</v>
      </c>
      <c r="S3823">
        <v>788</v>
      </c>
      <c r="T3823" t="s">
        <v>332</v>
      </c>
      <c r="U3823" t="s">
        <v>90</v>
      </c>
    </row>
    <row r="3824" spans="1:21">
      <c r="A3824" t="s">
        <v>6017</v>
      </c>
      <c r="B3824" t="s">
        <v>6018</v>
      </c>
      <c r="C3824" t="s">
        <v>4027</v>
      </c>
      <c r="D3824">
        <v>126000</v>
      </c>
      <c r="E3824">
        <v>5000</v>
      </c>
      <c r="F3824">
        <v>126000</v>
      </c>
      <c r="G3824">
        <v>126000</v>
      </c>
      <c r="H3824">
        <v>1</v>
      </c>
      <c r="I3824" t="s">
        <v>325</v>
      </c>
      <c r="J3824">
        <v>37.68</v>
      </c>
      <c r="K3824">
        <v>19</v>
      </c>
      <c r="L3824">
        <v>2</v>
      </c>
      <c r="M3824" t="s">
        <v>5596</v>
      </c>
      <c r="N3824">
        <v>9</v>
      </c>
      <c r="O3824">
        <v>12.67</v>
      </c>
      <c r="P3824">
        <v>122997.85</v>
      </c>
      <c r="Q3824">
        <v>168453.81</v>
      </c>
      <c r="R3824">
        <v>512</v>
      </c>
      <c r="S3824">
        <v>788</v>
      </c>
      <c r="T3824" t="s">
        <v>26</v>
      </c>
      <c r="U3824" t="s">
        <v>90</v>
      </c>
    </row>
    <row r="3825" spans="1:21">
      <c r="A3825" t="s">
        <v>6019</v>
      </c>
      <c r="B3825" t="s">
        <v>5857</v>
      </c>
      <c r="C3825" t="s">
        <v>5601</v>
      </c>
      <c r="D3825">
        <v>155000</v>
      </c>
      <c r="E3825">
        <v>5000</v>
      </c>
      <c r="F3825">
        <v>75000</v>
      </c>
      <c r="G3825">
        <v>310000</v>
      </c>
      <c r="H3825">
        <v>1</v>
      </c>
      <c r="I3825" t="s">
        <v>325</v>
      </c>
      <c r="J3825">
        <v>48.23</v>
      </c>
      <c r="K3825">
        <v>21</v>
      </c>
      <c r="L3825">
        <v>2</v>
      </c>
      <c r="M3825" t="s">
        <v>5596</v>
      </c>
      <c r="N3825">
        <v>8</v>
      </c>
      <c r="O3825">
        <v>12</v>
      </c>
      <c r="P3825">
        <v>122997.85</v>
      </c>
      <c r="Q3825">
        <v>168453.81</v>
      </c>
      <c r="R3825">
        <v>512</v>
      </c>
      <c r="S3825">
        <v>788</v>
      </c>
      <c r="T3825" t="s">
        <v>326</v>
      </c>
      <c r="U3825" t="s">
        <v>27</v>
      </c>
    </row>
    <row r="3826" spans="1:21">
      <c r="A3826" t="s">
        <v>6020</v>
      </c>
      <c r="B3826" t="s">
        <v>6021</v>
      </c>
      <c r="C3826" t="s">
        <v>5601</v>
      </c>
      <c r="D3826">
        <v>159000</v>
      </c>
      <c r="E3826">
        <v>4000</v>
      </c>
      <c r="G3826">
        <v>159000</v>
      </c>
      <c r="H3826">
        <v>2</v>
      </c>
      <c r="I3826" t="s">
        <v>325</v>
      </c>
      <c r="J3826">
        <v>38.21</v>
      </c>
      <c r="K3826">
        <v>4</v>
      </c>
      <c r="L3826">
        <v>2</v>
      </c>
      <c r="M3826" t="s">
        <v>5596</v>
      </c>
      <c r="N3826">
        <v>6</v>
      </c>
      <c r="O3826">
        <v>12</v>
      </c>
      <c r="P3826">
        <v>122997.85</v>
      </c>
      <c r="Q3826">
        <v>168453.81</v>
      </c>
      <c r="R3826">
        <v>512</v>
      </c>
      <c r="S3826">
        <v>788</v>
      </c>
      <c r="T3826" t="s">
        <v>26</v>
      </c>
      <c r="U3826" t="s">
        <v>31</v>
      </c>
    </row>
    <row r="3827" spans="1:21">
      <c r="A3827" t="s">
        <v>6022</v>
      </c>
      <c r="B3827" t="s">
        <v>6023</v>
      </c>
      <c r="C3827" t="s">
        <v>4027</v>
      </c>
      <c r="D3827">
        <v>144000</v>
      </c>
      <c r="E3827">
        <v>4000</v>
      </c>
      <c r="F3827">
        <v>144000</v>
      </c>
      <c r="G3827">
        <v>144000</v>
      </c>
      <c r="H3827">
        <v>2</v>
      </c>
      <c r="I3827" t="s">
        <v>325</v>
      </c>
      <c r="J3827">
        <v>44</v>
      </c>
      <c r="K3827">
        <v>9</v>
      </c>
      <c r="L3827">
        <v>2</v>
      </c>
      <c r="M3827" t="s">
        <v>5596</v>
      </c>
      <c r="N3827">
        <v>8</v>
      </c>
      <c r="O3827">
        <v>12.33</v>
      </c>
      <c r="P3827">
        <v>122997.85</v>
      </c>
      <c r="Q3827">
        <v>168453.81</v>
      </c>
      <c r="R3827">
        <v>512</v>
      </c>
      <c r="S3827">
        <v>788</v>
      </c>
      <c r="T3827" t="s">
        <v>326</v>
      </c>
      <c r="U3827" t="s">
        <v>31</v>
      </c>
    </row>
    <row r="3828" spans="1:21">
      <c r="A3828" t="s">
        <v>6024</v>
      </c>
      <c r="B3828" t="s">
        <v>5869</v>
      </c>
      <c r="C3828" t="s">
        <v>2033</v>
      </c>
      <c r="D3828">
        <v>145000</v>
      </c>
      <c r="E3828">
        <v>7000</v>
      </c>
      <c r="F3828">
        <v>145000</v>
      </c>
      <c r="G3828">
        <v>290000</v>
      </c>
      <c r="H3828">
        <v>1</v>
      </c>
      <c r="I3828" t="s">
        <v>325</v>
      </c>
      <c r="J3828">
        <v>45.6</v>
      </c>
      <c r="K3828">
        <v>11</v>
      </c>
      <c r="L3828">
        <v>3</v>
      </c>
      <c r="M3828" t="s">
        <v>5596</v>
      </c>
      <c r="N3828">
        <v>8</v>
      </c>
      <c r="O3828">
        <v>12</v>
      </c>
      <c r="P3828">
        <v>122997.85</v>
      </c>
      <c r="Q3828">
        <v>168453.81</v>
      </c>
      <c r="R3828">
        <v>512</v>
      </c>
      <c r="S3828">
        <v>788</v>
      </c>
      <c r="T3828" t="s">
        <v>326</v>
      </c>
      <c r="U3828" t="s">
        <v>90</v>
      </c>
    </row>
    <row r="3829" spans="1:21">
      <c r="A3829" t="s">
        <v>6025</v>
      </c>
      <c r="B3829" t="s">
        <v>5869</v>
      </c>
      <c r="C3829" t="s">
        <v>5608</v>
      </c>
      <c r="D3829">
        <v>168000</v>
      </c>
      <c r="E3829">
        <v>8000</v>
      </c>
      <c r="F3829">
        <v>168000</v>
      </c>
      <c r="G3829">
        <v>252000</v>
      </c>
      <c r="H3829">
        <v>2</v>
      </c>
      <c r="I3829" t="s">
        <v>325</v>
      </c>
      <c r="J3829">
        <v>49.98</v>
      </c>
      <c r="K3829">
        <v>11</v>
      </c>
      <c r="L3829">
        <v>3</v>
      </c>
      <c r="M3829" t="s">
        <v>5596</v>
      </c>
      <c r="N3829">
        <v>5</v>
      </c>
      <c r="O3829">
        <v>11.33</v>
      </c>
      <c r="P3829">
        <v>122997.85</v>
      </c>
      <c r="Q3829">
        <v>168453.81</v>
      </c>
      <c r="R3829">
        <v>512</v>
      </c>
      <c r="S3829">
        <v>788</v>
      </c>
      <c r="T3829" t="s">
        <v>326</v>
      </c>
      <c r="U3829" t="s">
        <v>90</v>
      </c>
    </row>
    <row r="3830" spans="1:21">
      <c r="A3830" t="s">
        <v>6026</v>
      </c>
      <c r="B3830" t="s">
        <v>6027</v>
      </c>
      <c r="C3830" t="s">
        <v>1850</v>
      </c>
      <c r="D3830">
        <v>154000</v>
      </c>
      <c r="E3830">
        <v>14000</v>
      </c>
      <c r="G3830">
        <v>154000</v>
      </c>
      <c r="H3830">
        <v>1</v>
      </c>
      <c r="I3830" t="s">
        <v>325</v>
      </c>
      <c r="J3830">
        <v>36.659999999999997</v>
      </c>
      <c r="K3830">
        <v>1</v>
      </c>
      <c r="L3830">
        <v>3</v>
      </c>
      <c r="M3830" t="s">
        <v>5596</v>
      </c>
      <c r="N3830">
        <v>11</v>
      </c>
      <c r="O3830">
        <v>16</v>
      </c>
      <c r="P3830">
        <v>122997.85</v>
      </c>
      <c r="Q3830">
        <v>168453.81</v>
      </c>
      <c r="R3830">
        <v>512</v>
      </c>
      <c r="S3830">
        <v>788</v>
      </c>
      <c r="T3830" t="s">
        <v>26</v>
      </c>
      <c r="U3830" t="s">
        <v>31</v>
      </c>
    </row>
    <row r="3831" spans="1:21">
      <c r="A3831" t="s">
        <v>6028</v>
      </c>
      <c r="B3831" t="s">
        <v>6027</v>
      </c>
      <c r="C3831" t="s">
        <v>1850</v>
      </c>
      <c r="D3831">
        <v>151000</v>
      </c>
      <c r="E3831">
        <v>14000</v>
      </c>
      <c r="G3831">
        <v>151000</v>
      </c>
      <c r="H3831">
        <v>1</v>
      </c>
      <c r="I3831" t="s">
        <v>325</v>
      </c>
      <c r="J3831">
        <v>36.72</v>
      </c>
      <c r="K3831">
        <v>1</v>
      </c>
      <c r="L3831">
        <v>3</v>
      </c>
      <c r="M3831" t="s">
        <v>5596</v>
      </c>
      <c r="N3831">
        <v>11</v>
      </c>
      <c r="O3831">
        <v>16</v>
      </c>
      <c r="P3831">
        <v>122997.85</v>
      </c>
      <c r="Q3831">
        <v>168453.81</v>
      </c>
      <c r="R3831">
        <v>512</v>
      </c>
      <c r="S3831">
        <v>788</v>
      </c>
      <c r="T3831" t="s">
        <v>26</v>
      </c>
      <c r="U3831" t="s">
        <v>31</v>
      </c>
    </row>
    <row r="3832" spans="1:21">
      <c r="A3832" t="s">
        <v>6029</v>
      </c>
      <c r="B3832" t="s">
        <v>6027</v>
      </c>
      <c r="C3832" t="s">
        <v>1850</v>
      </c>
      <c r="D3832">
        <v>155000</v>
      </c>
      <c r="E3832">
        <v>14000</v>
      </c>
      <c r="G3832">
        <v>155000</v>
      </c>
      <c r="H3832">
        <v>1</v>
      </c>
      <c r="I3832" t="s">
        <v>325</v>
      </c>
      <c r="J3832">
        <v>39.49</v>
      </c>
      <c r="K3832">
        <v>1</v>
      </c>
      <c r="L3832">
        <v>3</v>
      </c>
      <c r="M3832" t="s">
        <v>5596</v>
      </c>
      <c r="N3832">
        <v>11</v>
      </c>
      <c r="O3832">
        <v>16</v>
      </c>
      <c r="P3832">
        <v>122997.85</v>
      </c>
      <c r="Q3832">
        <v>168453.81</v>
      </c>
      <c r="R3832">
        <v>512</v>
      </c>
      <c r="S3832">
        <v>788</v>
      </c>
      <c r="T3832" t="s">
        <v>26</v>
      </c>
      <c r="U3832" t="s">
        <v>31</v>
      </c>
    </row>
    <row r="3833" spans="1:21">
      <c r="A3833" t="s">
        <v>6030</v>
      </c>
      <c r="B3833" t="s">
        <v>6027</v>
      </c>
      <c r="C3833" t="s">
        <v>1850</v>
      </c>
      <c r="D3833">
        <v>159000</v>
      </c>
      <c r="E3833">
        <v>14000</v>
      </c>
      <c r="G3833">
        <v>159000</v>
      </c>
      <c r="H3833">
        <v>1</v>
      </c>
      <c r="I3833" t="s">
        <v>325</v>
      </c>
      <c r="J3833">
        <v>43.3</v>
      </c>
      <c r="K3833">
        <v>1</v>
      </c>
      <c r="L3833">
        <v>3</v>
      </c>
      <c r="M3833" t="s">
        <v>5596</v>
      </c>
      <c r="N3833">
        <v>11</v>
      </c>
      <c r="O3833">
        <v>16</v>
      </c>
      <c r="P3833">
        <v>122997.85</v>
      </c>
      <c r="Q3833">
        <v>168453.81</v>
      </c>
      <c r="R3833">
        <v>512</v>
      </c>
      <c r="S3833">
        <v>788</v>
      </c>
      <c r="T3833" t="s">
        <v>326</v>
      </c>
      <c r="U3833" t="s">
        <v>31</v>
      </c>
    </row>
    <row r="3834" spans="1:21">
      <c r="A3834" t="s">
        <v>6031</v>
      </c>
      <c r="B3834" t="s">
        <v>6027</v>
      </c>
      <c r="C3834" t="s">
        <v>1850</v>
      </c>
      <c r="D3834">
        <v>159000</v>
      </c>
      <c r="E3834">
        <v>14000</v>
      </c>
      <c r="G3834">
        <v>159000</v>
      </c>
      <c r="H3834">
        <v>1</v>
      </c>
      <c r="I3834" t="s">
        <v>325</v>
      </c>
      <c r="J3834">
        <v>43.73</v>
      </c>
      <c r="K3834">
        <v>1</v>
      </c>
      <c r="L3834">
        <v>3</v>
      </c>
      <c r="M3834" t="s">
        <v>5596</v>
      </c>
      <c r="N3834">
        <v>11</v>
      </c>
      <c r="O3834">
        <v>16</v>
      </c>
      <c r="P3834">
        <v>122997.85</v>
      </c>
      <c r="Q3834">
        <v>168453.81</v>
      </c>
      <c r="R3834">
        <v>512</v>
      </c>
      <c r="S3834">
        <v>788</v>
      </c>
      <c r="T3834" t="s">
        <v>326</v>
      </c>
      <c r="U3834" t="s">
        <v>31</v>
      </c>
    </row>
    <row r="3835" spans="1:21">
      <c r="A3835" t="s">
        <v>6032</v>
      </c>
      <c r="B3835" t="s">
        <v>6027</v>
      </c>
      <c r="C3835" t="s">
        <v>1850</v>
      </c>
      <c r="D3835">
        <v>163000</v>
      </c>
      <c r="E3835">
        <v>14000</v>
      </c>
      <c r="G3835">
        <v>326000</v>
      </c>
      <c r="H3835">
        <v>1</v>
      </c>
      <c r="I3835" t="s">
        <v>325</v>
      </c>
      <c r="J3835">
        <v>48.51</v>
      </c>
      <c r="K3835">
        <v>1</v>
      </c>
      <c r="L3835">
        <v>3</v>
      </c>
      <c r="M3835" t="s">
        <v>5596</v>
      </c>
      <c r="N3835">
        <v>11</v>
      </c>
      <c r="O3835">
        <v>16</v>
      </c>
      <c r="P3835">
        <v>122997.85</v>
      </c>
      <c r="Q3835">
        <v>168453.81</v>
      </c>
      <c r="R3835">
        <v>512</v>
      </c>
      <c r="S3835">
        <v>788</v>
      </c>
      <c r="T3835" t="s">
        <v>326</v>
      </c>
      <c r="U3835" t="s">
        <v>31</v>
      </c>
    </row>
    <row r="3836" spans="1:21">
      <c r="A3836" t="s">
        <v>6033</v>
      </c>
      <c r="B3836" t="s">
        <v>6027</v>
      </c>
      <c r="C3836" t="s">
        <v>1850</v>
      </c>
      <c r="D3836">
        <v>168000</v>
      </c>
      <c r="E3836">
        <v>14000</v>
      </c>
      <c r="G3836">
        <v>168000</v>
      </c>
      <c r="H3836">
        <v>1</v>
      </c>
      <c r="I3836" t="s">
        <v>325</v>
      </c>
      <c r="J3836">
        <v>49.67</v>
      </c>
      <c r="K3836">
        <v>1</v>
      </c>
      <c r="L3836">
        <v>3</v>
      </c>
      <c r="M3836" t="s">
        <v>5596</v>
      </c>
      <c r="N3836">
        <v>11</v>
      </c>
      <c r="O3836">
        <v>16</v>
      </c>
      <c r="P3836">
        <v>122997.85</v>
      </c>
      <c r="Q3836">
        <v>168453.81</v>
      </c>
      <c r="R3836">
        <v>512</v>
      </c>
      <c r="S3836">
        <v>788</v>
      </c>
      <c r="T3836" t="s">
        <v>326</v>
      </c>
      <c r="U3836" t="s">
        <v>31</v>
      </c>
    </row>
    <row r="3837" spans="1:21">
      <c r="A3837" t="s">
        <v>6034</v>
      </c>
      <c r="B3837" t="s">
        <v>6027</v>
      </c>
      <c r="C3837" t="s">
        <v>1850</v>
      </c>
      <c r="D3837">
        <v>159000</v>
      </c>
      <c r="E3837">
        <v>14000</v>
      </c>
      <c r="G3837">
        <v>159000</v>
      </c>
      <c r="H3837">
        <v>2</v>
      </c>
      <c r="I3837" t="s">
        <v>325</v>
      </c>
      <c r="J3837">
        <v>36.659999999999997</v>
      </c>
      <c r="K3837">
        <v>1</v>
      </c>
      <c r="L3837">
        <v>3</v>
      </c>
      <c r="M3837" t="s">
        <v>5596</v>
      </c>
      <c r="N3837">
        <v>11</v>
      </c>
      <c r="O3837">
        <v>16</v>
      </c>
      <c r="P3837">
        <v>122997.85</v>
      </c>
      <c r="Q3837">
        <v>168453.81</v>
      </c>
      <c r="R3837">
        <v>512</v>
      </c>
      <c r="S3837">
        <v>788</v>
      </c>
      <c r="T3837" t="s">
        <v>26</v>
      </c>
      <c r="U3837" t="s">
        <v>31</v>
      </c>
    </row>
    <row r="3838" spans="1:21">
      <c r="A3838" t="s">
        <v>6035</v>
      </c>
      <c r="B3838" t="s">
        <v>6027</v>
      </c>
      <c r="C3838" t="s">
        <v>1850</v>
      </c>
      <c r="D3838">
        <v>156000</v>
      </c>
      <c r="E3838">
        <v>14000</v>
      </c>
      <c r="G3838">
        <v>312000</v>
      </c>
      <c r="H3838">
        <v>2</v>
      </c>
      <c r="I3838" t="s">
        <v>325</v>
      </c>
      <c r="J3838">
        <v>36.72</v>
      </c>
      <c r="K3838">
        <v>1</v>
      </c>
      <c r="L3838">
        <v>3</v>
      </c>
      <c r="M3838" t="s">
        <v>5596</v>
      </c>
      <c r="N3838">
        <v>11</v>
      </c>
      <c r="O3838">
        <v>16</v>
      </c>
      <c r="P3838">
        <v>122997.85</v>
      </c>
      <c r="Q3838">
        <v>168453.81</v>
      </c>
      <c r="R3838">
        <v>512</v>
      </c>
      <c r="S3838">
        <v>788</v>
      </c>
      <c r="T3838" t="s">
        <v>26</v>
      </c>
      <c r="U3838" t="s">
        <v>31</v>
      </c>
    </row>
    <row r="3839" spans="1:21">
      <c r="A3839" t="s">
        <v>6036</v>
      </c>
      <c r="B3839" t="s">
        <v>6027</v>
      </c>
      <c r="C3839" t="s">
        <v>1850</v>
      </c>
      <c r="D3839">
        <v>160000</v>
      </c>
      <c r="E3839">
        <v>14000</v>
      </c>
      <c r="G3839">
        <v>160000</v>
      </c>
      <c r="H3839">
        <v>2</v>
      </c>
      <c r="I3839" t="s">
        <v>325</v>
      </c>
      <c r="J3839">
        <v>39.49</v>
      </c>
      <c r="K3839">
        <v>1</v>
      </c>
      <c r="L3839">
        <v>3</v>
      </c>
      <c r="M3839" t="s">
        <v>5596</v>
      </c>
      <c r="N3839">
        <v>11</v>
      </c>
      <c r="O3839">
        <v>16</v>
      </c>
      <c r="P3839">
        <v>122997.85</v>
      </c>
      <c r="Q3839">
        <v>168453.81</v>
      </c>
      <c r="R3839">
        <v>512</v>
      </c>
      <c r="S3839">
        <v>788</v>
      </c>
      <c r="T3839" t="s">
        <v>26</v>
      </c>
      <c r="U3839" t="s">
        <v>31</v>
      </c>
    </row>
    <row r="3840" spans="1:21">
      <c r="A3840" t="s">
        <v>6037</v>
      </c>
      <c r="B3840" t="s">
        <v>6027</v>
      </c>
      <c r="C3840" t="s">
        <v>1850</v>
      </c>
      <c r="D3840">
        <v>164000</v>
      </c>
      <c r="E3840">
        <v>14000</v>
      </c>
      <c r="G3840">
        <v>328000</v>
      </c>
      <c r="H3840">
        <v>2</v>
      </c>
      <c r="I3840" t="s">
        <v>325</v>
      </c>
      <c r="J3840">
        <v>43.3</v>
      </c>
      <c r="K3840">
        <v>1</v>
      </c>
      <c r="L3840">
        <v>3</v>
      </c>
      <c r="M3840" t="s">
        <v>5596</v>
      </c>
      <c r="N3840">
        <v>11</v>
      </c>
      <c r="O3840">
        <v>16</v>
      </c>
      <c r="P3840">
        <v>122997.85</v>
      </c>
      <c r="Q3840">
        <v>168453.81</v>
      </c>
      <c r="R3840">
        <v>512</v>
      </c>
      <c r="S3840">
        <v>788</v>
      </c>
      <c r="T3840" t="s">
        <v>326</v>
      </c>
      <c r="U3840" t="s">
        <v>31</v>
      </c>
    </row>
    <row r="3841" spans="1:21">
      <c r="A3841" t="s">
        <v>6038</v>
      </c>
      <c r="B3841" t="s">
        <v>6027</v>
      </c>
      <c r="C3841" t="s">
        <v>1850</v>
      </c>
      <c r="D3841">
        <v>164000</v>
      </c>
      <c r="E3841">
        <v>14000</v>
      </c>
      <c r="G3841">
        <v>164000</v>
      </c>
      <c r="H3841">
        <v>2</v>
      </c>
      <c r="I3841" t="s">
        <v>325</v>
      </c>
      <c r="J3841">
        <v>43.73</v>
      </c>
      <c r="K3841">
        <v>1</v>
      </c>
      <c r="L3841">
        <v>3</v>
      </c>
      <c r="M3841" t="s">
        <v>5596</v>
      </c>
      <c r="N3841">
        <v>11</v>
      </c>
      <c r="O3841">
        <v>16</v>
      </c>
      <c r="P3841">
        <v>122997.85</v>
      </c>
      <c r="Q3841">
        <v>168453.81</v>
      </c>
      <c r="R3841">
        <v>512</v>
      </c>
      <c r="S3841">
        <v>788</v>
      </c>
      <c r="T3841" t="s">
        <v>326</v>
      </c>
      <c r="U3841" t="s">
        <v>31</v>
      </c>
    </row>
    <row r="3842" spans="1:21">
      <c r="A3842" t="s">
        <v>6039</v>
      </c>
      <c r="B3842" t="s">
        <v>6027</v>
      </c>
      <c r="C3842" t="s">
        <v>1850</v>
      </c>
      <c r="D3842">
        <v>173000</v>
      </c>
      <c r="E3842">
        <v>14000</v>
      </c>
      <c r="G3842">
        <v>346000</v>
      </c>
      <c r="H3842">
        <v>2</v>
      </c>
      <c r="I3842" t="s">
        <v>325</v>
      </c>
      <c r="J3842">
        <v>49.67</v>
      </c>
      <c r="K3842">
        <v>1</v>
      </c>
      <c r="L3842">
        <v>3</v>
      </c>
      <c r="M3842" t="s">
        <v>5596</v>
      </c>
      <c r="N3842">
        <v>11</v>
      </c>
      <c r="O3842">
        <v>16</v>
      </c>
      <c r="P3842">
        <v>122997.85</v>
      </c>
      <c r="Q3842">
        <v>168453.81</v>
      </c>
      <c r="R3842">
        <v>512</v>
      </c>
      <c r="S3842">
        <v>788</v>
      </c>
      <c r="T3842" t="s">
        <v>326</v>
      </c>
      <c r="U3842" t="s">
        <v>31</v>
      </c>
    </row>
    <row r="3843" spans="1:21">
      <c r="A3843" t="s">
        <v>6040</v>
      </c>
      <c r="B3843" t="s">
        <v>6027</v>
      </c>
      <c r="C3843" t="s">
        <v>1850</v>
      </c>
      <c r="D3843">
        <v>164000</v>
      </c>
      <c r="E3843">
        <v>14000</v>
      </c>
      <c r="G3843">
        <v>164000</v>
      </c>
      <c r="H3843">
        <v>3</v>
      </c>
      <c r="I3843" t="s">
        <v>325</v>
      </c>
      <c r="J3843">
        <v>36.659999999999997</v>
      </c>
      <c r="K3843">
        <v>1</v>
      </c>
      <c r="L3843">
        <v>3</v>
      </c>
      <c r="M3843" t="s">
        <v>5596</v>
      </c>
      <c r="N3843">
        <v>11</v>
      </c>
      <c r="O3843">
        <v>16</v>
      </c>
      <c r="P3843">
        <v>122997.85</v>
      </c>
      <c r="Q3843">
        <v>168453.81</v>
      </c>
      <c r="R3843">
        <v>512</v>
      </c>
      <c r="S3843">
        <v>788</v>
      </c>
      <c r="T3843" t="s">
        <v>26</v>
      </c>
      <c r="U3843" t="s">
        <v>31</v>
      </c>
    </row>
    <row r="3844" spans="1:21">
      <c r="A3844" t="s">
        <v>6041</v>
      </c>
      <c r="B3844" t="s">
        <v>6027</v>
      </c>
      <c r="C3844" t="s">
        <v>1850</v>
      </c>
      <c r="D3844">
        <v>161000</v>
      </c>
      <c r="E3844">
        <v>14000</v>
      </c>
      <c r="G3844">
        <v>161000</v>
      </c>
      <c r="H3844">
        <v>3</v>
      </c>
      <c r="I3844" t="s">
        <v>325</v>
      </c>
      <c r="J3844">
        <v>36.72</v>
      </c>
      <c r="K3844">
        <v>1</v>
      </c>
      <c r="L3844">
        <v>3</v>
      </c>
      <c r="M3844" t="s">
        <v>5596</v>
      </c>
      <c r="N3844">
        <v>11</v>
      </c>
      <c r="O3844">
        <v>16</v>
      </c>
      <c r="P3844">
        <v>122997.85</v>
      </c>
      <c r="Q3844">
        <v>168453.81</v>
      </c>
      <c r="R3844">
        <v>512</v>
      </c>
      <c r="S3844">
        <v>788</v>
      </c>
      <c r="T3844" t="s">
        <v>26</v>
      </c>
      <c r="U3844" t="s">
        <v>31</v>
      </c>
    </row>
    <row r="3845" spans="1:21">
      <c r="A3845" t="s">
        <v>6042</v>
      </c>
      <c r="B3845" t="s">
        <v>6027</v>
      </c>
      <c r="C3845" t="s">
        <v>1850</v>
      </c>
      <c r="D3845">
        <v>165000</v>
      </c>
      <c r="E3845">
        <v>14000</v>
      </c>
      <c r="G3845">
        <v>165000</v>
      </c>
      <c r="H3845">
        <v>3</v>
      </c>
      <c r="I3845" t="s">
        <v>325</v>
      </c>
      <c r="J3845">
        <v>39.49</v>
      </c>
      <c r="K3845">
        <v>1</v>
      </c>
      <c r="L3845">
        <v>3</v>
      </c>
      <c r="M3845" t="s">
        <v>5596</v>
      </c>
      <c r="N3845">
        <v>11</v>
      </c>
      <c r="O3845">
        <v>16</v>
      </c>
      <c r="P3845">
        <v>122997.85</v>
      </c>
      <c r="Q3845">
        <v>168453.81</v>
      </c>
      <c r="R3845">
        <v>512</v>
      </c>
      <c r="S3845">
        <v>788</v>
      </c>
      <c r="T3845" t="s">
        <v>26</v>
      </c>
      <c r="U3845" t="s">
        <v>31</v>
      </c>
    </row>
    <row r="3846" spans="1:21">
      <c r="A3846" t="s">
        <v>6043</v>
      </c>
      <c r="B3846" t="s">
        <v>6027</v>
      </c>
      <c r="C3846" t="s">
        <v>1850</v>
      </c>
      <c r="D3846">
        <v>169000</v>
      </c>
      <c r="E3846">
        <v>14000</v>
      </c>
      <c r="G3846">
        <v>169000</v>
      </c>
      <c r="H3846">
        <v>3</v>
      </c>
      <c r="I3846" t="s">
        <v>325</v>
      </c>
      <c r="J3846">
        <v>43.3</v>
      </c>
      <c r="K3846">
        <v>1</v>
      </c>
      <c r="L3846">
        <v>3</v>
      </c>
      <c r="M3846" t="s">
        <v>5596</v>
      </c>
      <c r="N3846">
        <v>11</v>
      </c>
      <c r="O3846">
        <v>16</v>
      </c>
      <c r="P3846">
        <v>122997.85</v>
      </c>
      <c r="Q3846">
        <v>168453.81</v>
      </c>
      <c r="R3846">
        <v>512</v>
      </c>
      <c r="S3846">
        <v>788</v>
      </c>
      <c r="T3846" t="s">
        <v>326</v>
      </c>
      <c r="U3846" t="s">
        <v>31</v>
      </c>
    </row>
    <row r="3847" spans="1:21">
      <c r="A3847" t="s">
        <v>6044</v>
      </c>
      <c r="B3847" t="s">
        <v>6027</v>
      </c>
      <c r="C3847" t="s">
        <v>1850</v>
      </c>
      <c r="D3847">
        <v>169000</v>
      </c>
      <c r="E3847">
        <v>14000</v>
      </c>
      <c r="G3847">
        <v>169000</v>
      </c>
      <c r="H3847">
        <v>3</v>
      </c>
      <c r="I3847" t="s">
        <v>325</v>
      </c>
      <c r="J3847">
        <v>43.73</v>
      </c>
      <c r="K3847">
        <v>1</v>
      </c>
      <c r="L3847">
        <v>3</v>
      </c>
      <c r="M3847" t="s">
        <v>5596</v>
      </c>
      <c r="N3847">
        <v>11</v>
      </c>
      <c r="O3847">
        <v>16</v>
      </c>
      <c r="P3847">
        <v>122997.85</v>
      </c>
      <c r="Q3847">
        <v>168453.81</v>
      </c>
      <c r="R3847">
        <v>512</v>
      </c>
      <c r="S3847">
        <v>788</v>
      </c>
      <c r="T3847" t="s">
        <v>326</v>
      </c>
      <c r="U3847" t="s">
        <v>31</v>
      </c>
    </row>
    <row r="3848" spans="1:21">
      <c r="A3848" t="s">
        <v>6045</v>
      </c>
      <c r="B3848" t="s">
        <v>6027</v>
      </c>
      <c r="C3848" t="s">
        <v>1850</v>
      </c>
      <c r="D3848">
        <v>178000</v>
      </c>
      <c r="E3848">
        <v>14000</v>
      </c>
      <c r="G3848">
        <v>178000</v>
      </c>
      <c r="H3848">
        <v>3</v>
      </c>
      <c r="I3848" t="s">
        <v>325</v>
      </c>
      <c r="J3848">
        <v>49.67</v>
      </c>
      <c r="K3848">
        <v>1</v>
      </c>
      <c r="L3848">
        <v>3</v>
      </c>
      <c r="M3848" t="s">
        <v>5596</v>
      </c>
      <c r="N3848">
        <v>11</v>
      </c>
      <c r="O3848">
        <v>16</v>
      </c>
      <c r="P3848">
        <v>122997.85</v>
      </c>
      <c r="Q3848">
        <v>168453.81</v>
      </c>
      <c r="R3848">
        <v>512</v>
      </c>
      <c r="S3848">
        <v>788</v>
      </c>
      <c r="T3848" t="s">
        <v>326</v>
      </c>
      <c r="U3848" t="s">
        <v>31</v>
      </c>
    </row>
    <row r="3849" spans="1:21">
      <c r="A3849" t="s">
        <v>6046</v>
      </c>
      <c r="B3849" t="s">
        <v>6047</v>
      </c>
      <c r="C3849" t="s">
        <v>4027</v>
      </c>
      <c r="D3849">
        <v>135000</v>
      </c>
      <c r="E3849">
        <v>5000</v>
      </c>
      <c r="F3849">
        <v>135000</v>
      </c>
      <c r="G3849">
        <v>135000</v>
      </c>
      <c r="H3849">
        <v>2</v>
      </c>
      <c r="I3849" t="s">
        <v>325</v>
      </c>
      <c r="J3849">
        <v>35.270000000000003</v>
      </c>
      <c r="K3849">
        <v>10</v>
      </c>
      <c r="L3849">
        <v>4</v>
      </c>
      <c r="M3849" t="s">
        <v>5596</v>
      </c>
      <c r="N3849">
        <v>12</v>
      </c>
      <c r="O3849">
        <v>13.67</v>
      </c>
      <c r="P3849">
        <v>122997.85</v>
      </c>
      <c r="Q3849">
        <v>168453.81</v>
      </c>
      <c r="R3849">
        <v>512</v>
      </c>
      <c r="S3849">
        <v>788</v>
      </c>
      <c r="T3849" t="s">
        <v>26</v>
      </c>
      <c r="U3849" t="s">
        <v>31</v>
      </c>
    </row>
    <row r="3850" spans="1:21">
      <c r="A3850" t="s">
        <v>6048</v>
      </c>
      <c r="B3850" t="s">
        <v>6049</v>
      </c>
      <c r="C3850" t="s">
        <v>2033</v>
      </c>
      <c r="D3850">
        <v>158000</v>
      </c>
      <c r="E3850">
        <v>10000</v>
      </c>
      <c r="F3850">
        <v>158000</v>
      </c>
      <c r="G3850">
        <v>158000</v>
      </c>
      <c r="H3850">
        <v>2</v>
      </c>
      <c r="I3850" t="s">
        <v>325</v>
      </c>
      <c r="J3850">
        <v>40.54</v>
      </c>
      <c r="K3850">
        <v>13</v>
      </c>
      <c r="L3850">
        <v>5</v>
      </c>
      <c r="M3850" t="s">
        <v>5596</v>
      </c>
      <c r="N3850">
        <v>10</v>
      </c>
      <c r="O3850">
        <v>13</v>
      </c>
      <c r="P3850">
        <v>122997.85</v>
      </c>
      <c r="Q3850">
        <v>168453.81</v>
      </c>
      <c r="R3850">
        <v>512</v>
      </c>
      <c r="S3850">
        <v>788</v>
      </c>
      <c r="T3850" t="s">
        <v>326</v>
      </c>
      <c r="U3850" t="s">
        <v>90</v>
      </c>
    </row>
    <row r="3851" spans="1:21">
      <c r="A3851" t="s">
        <v>6050</v>
      </c>
      <c r="B3851" t="s">
        <v>5646</v>
      </c>
      <c r="C3851" t="s">
        <v>2033</v>
      </c>
      <c r="D3851">
        <v>160000</v>
      </c>
      <c r="E3851">
        <v>10500</v>
      </c>
      <c r="G3851">
        <v>160000</v>
      </c>
      <c r="H3851">
        <v>3</v>
      </c>
      <c r="I3851" t="s">
        <v>325</v>
      </c>
      <c r="J3851">
        <v>39.33</v>
      </c>
      <c r="K3851">
        <v>3</v>
      </c>
      <c r="L3851">
        <v>5</v>
      </c>
      <c r="M3851" t="s">
        <v>5596</v>
      </c>
      <c r="N3851">
        <v>9</v>
      </c>
      <c r="O3851">
        <v>13</v>
      </c>
      <c r="P3851">
        <v>122997.85</v>
      </c>
      <c r="Q3851">
        <v>168453.81</v>
      </c>
      <c r="R3851">
        <v>512</v>
      </c>
      <c r="S3851">
        <v>788</v>
      </c>
      <c r="T3851" t="s">
        <v>26</v>
      </c>
      <c r="U3851" t="s">
        <v>31</v>
      </c>
    </row>
    <row r="3852" spans="1:21">
      <c r="A3852" t="s">
        <v>6051</v>
      </c>
      <c r="B3852" t="s">
        <v>5912</v>
      </c>
      <c r="C3852" t="s">
        <v>5608</v>
      </c>
      <c r="D3852">
        <v>138000</v>
      </c>
      <c r="E3852">
        <v>9000</v>
      </c>
      <c r="F3852">
        <v>138000</v>
      </c>
      <c r="G3852">
        <v>138000</v>
      </c>
      <c r="H3852">
        <v>1</v>
      </c>
      <c r="I3852" t="s">
        <v>325</v>
      </c>
      <c r="J3852">
        <v>42.05</v>
      </c>
      <c r="K3852">
        <v>9</v>
      </c>
      <c r="L3852">
        <v>5</v>
      </c>
      <c r="M3852" t="s">
        <v>5596</v>
      </c>
      <c r="N3852">
        <v>2</v>
      </c>
      <c r="O3852">
        <v>9</v>
      </c>
      <c r="P3852">
        <v>122997.85</v>
      </c>
      <c r="Q3852">
        <v>168453.81</v>
      </c>
      <c r="R3852">
        <v>512</v>
      </c>
      <c r="S3852">
        <v>788</v>
      </c>
      <c r="T3852" t="s">
        <v>326</v>
      </c>
      <c r="U3852" t="s">
        <v>31</v>
      </c>
    </row>
    <row r="3853" spans="1:21">
      <c r="A3853" t="s">
        <v>6052</v>
      </c>
      <c r="B3853" t="s">
        <v>6053</v>
      </c>
      <c r="C3853" t="s">
        <v>2033</v>
      </c>
      <c r="D3853">
        <v>197000</v>
      </c>
      <c r="E3853">
        <v>18000</v>
      </c>
      <c r="F3853">
        <v>197000</v>
      </c>
      <c r="G3853">
        <v>197000</v>
      </c>
      <c r="H3853">
        <v>4</v>
      </c>
      <c r="I3853" t="s">
        <v>325</v>
      </c>
      <c r="J3853">
        <v>40.29</v>
      </c>
      <c r="K3853">
        <v>2</v>
      </c>
      <c r="L3853">
        <v>6</v>
      </c>
      <c r="M3853" t="s">
        <v>5596</v>
      </c>
      <c r="N3853">
        <v>9</v>
      </c>
      <c r="O3853">
        <v>12.67</v>
      </c>
      <c r="P3853">
        <v>122997.85</v>
      </c>
      <c r="Q3853">
        <v>168453.81</v>
      </c>
      <c r="R3853">
        <v>512</v>
      </c>
      <c r="S3853">
        <v>788</v>
      </c>
      <c r="T3853" t="s">
        <v>326</v>
      </c>
      <c r="U3853" t="s">
        <v>31</v>
      </c>
    </row>
    <row r="3854" spans="1:21">
      <c r="A3854" t="s">
        <v>6054</v>
      </c>
      <c r="B3854" t="s">
        <v>6055</v>
      </c>
      <c r="C3854" t="s">
        <v>4016</v>
      </c>
      <c r="D3854">
        <v>110000</v>
      </c>
      <c r="E3854">
        <v>10000</v>
      </c>
      <c r="F3854">
        <v>110000</v>
      </c>
      <c r="G3854">
        <v>110000</v>
      </c>
      <c r="H3854">
        <v>4</v>
      </c>
      <c r="I3854" t="s">
        <v>325</v>
      </c>
      <c r="J3854">
        <v>41.18</v>
      </c>
      <c r="K3854">
        <v>33</v>
      </c>
      <c r="L3854">
        <v>6</v>
      </c>
      <c r="M3854" t="s">
        <v>5596</v>
      </c>
      <c r="N3854">
        <v>5</v>
      </c>
      <c r="O3854">
        <v>6</v>
      </c>
      <c r="P3854">
        <v>122997.85</v>
      </c>
      <c r="Q3854">
        <v>168453.81</v>
      </c>
      <c r="R3854">
        <v>512</v>
      </c>
      <c r="S3854">
        <v>788</v>
      </c>
      <c r="T3854" t="s">
        <v>326</v>
      </c>
      <c r="U3854" t="s">
        <v>49</v>
      </c>
    </row>
    <row r="3855" spans="1:21">
      <c r="A3855" t="s">
        <v>6056</v>
      </c>
      <c r="B3855" t="s">
        <v>6057</v>
      </c>
      <c r="C3855" t="s">
        <v>2033</v>
      </c>
      <c r="D3855">
        <v>191000</v>
      </c>
      <c r="E3855">
        <v>15000</v>
      </c>
      <c r="F3855">
        <v>191000</v>
      </c>
      <c r="H3855">
        <v>4</v>
      </c>
      <c r="I3855" t="s">
        <v>325</v>
      </c>
      <c r="J3855">
        <v>37.67</v>
      </c>
      <c r="K3855">
        <v>1</v>
      </c>
      <c r="L3855">
        <v>9</v>
      </c>
      <c r="M3855" t="s">
        <v>5596</v>
      </c>
      <c r="N3855">
        <v>9</v>
      </c>
      <c r="O3855">
        <v>11.67</v>
      </c>
      <c r="P3855">
        <v>122997.85</v>
      </c>
      <c r="Q3855">
        <v>168453.81</v>
      </c>
      <c r="R3855">
        <v>512</v>
      </c>
      <c r="S3855">
        <v>788</v>
      </c>
      <c r="T3855" t="s">
        <v>26</v>
      </c>
      <c r="U3855" t="s">
        <v>31</v>
      </c>
    </row>
    <row r="3856" spans="1:21">
      <c r="A3856" t="s">
        <v>6058</v>
      </c>
      <c r="B3856" t="s">
        <v>6057</v>
      </c>
      <c r="C3856" t="s">
        <v>2033</v>
      </c>
      <c r="D3856">
        <v>190000</v>
      </c>
      <c r="E3856">
        <v>15000</v>
      </c>
      <c r="F3856">
        <v>190000</v>
      </c>
      <c r="H3856">
        <v>4</v>
      </c>
      <c r="I3856" t="s">
        <v>325</v>
      </c>
      <c r="J3856">
        <v>37.67</v>
      </c>
      <c r="K3856">
        <v>1</v>
      </c>
      <c r="L3856">
        <v>9</v>
      </c>
      <c r="M3856" t="s">
        <v>5596</v>
      </c>
      <c r="N3856">
        <v>9</v>
      </c>
      <c r="O3856">
        <v>11.67</v>
      </c>
      <c r="P3856">
        <v>122997.85</v>
      </c>
      <c r="Q3856">
        <v>168453.81</v>
      </c>
      <c r="R3856">
        <v>512</v>
      </c>
      <c r="S3856">
        <v>788</v>
      </c>
      <c r="T3856" t="s">
        <v>26</v>
      </c>
      <c r="U3856" t="s">
        <v>31</v>
      </c>
    </row>
    <row r="3857" spans="1:21">
      <c r="A3857" t="s">
        <v>6059</v>
      </c>
      <c r="B3857" t="s">
        <v>6060</v>
      </c>
      <c r="C3857" t="s">
        <v>5608</v>
      </c>
      <c r="D3857">
        <v>136000</v>
      </c>
      <c r="E3857">
        <v>5000</v>
      </c>
      <c r="F3857">
        <v>136000</v>
      </c>
      <c r="G3857">
        <v>163200</v>
      </c>
      <c r="H3857">
        <v>1</v>
      </c>
      <c r="I3857" t="s">
        <v>325</v>
      </c>
      <c r="J3857">
        <v>43.35</v>
      </c>
      <c r="K3857">
        <v>47</v>
      </c>
      <c r="L3857">
        <v>7</v>
      </c>
      <c r="M3857" t="s">
        <v>5596</v>
      </c>
      <c r="N3857">
        <v>5</v>
      </c>
      <c r="O3857">
        <v>12</v>
      </c>
      <c r="P3857">
        <v>122997.85</v>
      </c>
      <c r="Q3857">
        <v>168453.81</v>
      </c>
      <c r="R3857">
        <v>512</v>
      </c>
      <c r="S3857">
        <v>788</v>
      </c>
      <c r="T3857" t="s">
        <v>326</v>
      </c>
      <c r="U3857" t="s">
        <v>42</v>
      </c>
    </row>
    <row r="3858" spans="1:21">
      <c r="A3858" t="s">
        <v>6061</v>
      </c>
      <c r="B3858" t="s">
        <v>6060</v>
      </c>
      <c r="C3858" t="s">
        <v>5608</v>
      </c>
      <c r="D3858">
        <v>150000</v>
      </c>
      <c r="E3858">
        <v>5000</v>
      </c>
      <c r="F3858">
        <v>150000</v>
      </c>
      <c r="G3858">
        <v>180000</v>
      </c>
      <c r="H3858">
        <v>4</v>
      </c>
      <c r="I3858" t="s">
        <v>325</v>
      </c>
      <c r="J3858">
        <v>46.75</v>
      </c>
      <c r="K3858">
        <v>47</v>
      </c>
      <c r="L3858">
        <v>7</v>
      </c>
      <c r="M3858" t="s">
        <v>5596</v>
      </c>
      <c r="N3858">
        <v>5</v>
      </c>
      <c r="O3858">
        <v>12</v>
      </c>
      <c r="P3858">
        <v>122997.85</v>
      </c>
      <c r="Q3858">
        <v>168453.81</v>
      </c>
      <c r="R3858">
        <v>512</v>
      </c>
      <c r="S3858">
        <v>788</v>
      </c>
      <c r="T3858" t="s">
        <v>326</v>
      </c>
      <c r="U3858" t="s">
        <v>42</v>
      </c>
    </row>
    <row r="3859" spans="1:21">
      <c r="A3859" t="s">
        <v>6062</v>
      </c>
      <c r="B3859" t="s">
        <v>6063</v>
      </c>
      <c r="C3859" t="s">
        <v>5608</v>
      </c>
      <c r="D3859">
        <v>155000</v>
      </c>
      <c r="E3859">
        <v>10000</v>
      </c>
      <c r="F3859">
        <v>155000</v>
      </c>
      <c r="H3859">
        <v>1</v>
      </c>
      <c r="I3859" t="s">
        <v>325</v>
      </c>
      <c r="J3859">
        <v>30.02</v>
      </c>
      <c r="K3859">
        <v>0</v>
      </c>
      <c r="L3859">
        <v>3</v>
      </c>
      <c r="M3859" t="s">
        <v>5596</v>
      </c>
      <c r="N3859">
        <v>4</v>
      </c>
      <c r="O3859">
        <v>11.67</v>
      </c>
      <c r="P3859">
        <v>122997.85</v>
      </c>
      <c r="Q3859">
        <v>168453.81</v>
      </c>
      <c r="R3859">
        <v>512</v>
      </c>
      <c r="S3859">
        <v>788</v>
      </c>
      <c r="T3859" t="s">
        <v>26</v>
      </c>
      <c r="U3859" t="s">
        <v>81</v>
      </c>
    </row>
    <row r="3860" spans="1:21">
      <c r="A3860" t="s">
        <v>6064</v>
      </c>
      <c r="B3860" t="s">
        <v>6063</v>
      </c>
      <c r="C3860" t="s">
        <v>5608</v>
      </c>
      <c r="D3860">
        <v>156000</v>
      </c>
      <c r="E3860">
        <v>10000</v>
      </c>
      <c r="F3860">
        <v>156000</v>
      </c>
      <c r="H3860">
        <v>1</v>
      </c>
      <c r="I3860" t="s">
        <v>325</v>
      </c>
      <c r="J3860">
        <v>30.02</v>
      </c>
      <c r="K3860">
        <v>0</v>
      </c>
      <c r="L3860">
        <v>3</v>
      </c>
      <c r="M3860" t="s">
        <v>5596</v>
      </c>
      <c r="N3860">
        <v>4</v>
      </c>
      <c r="O3860">
        <v>11.67</v>
      </c>
      <c r="P3860">
        <v>122997.85</v>
      </c>
      <c r="Q3860">
        <v>168453.81</v>
      </c>
      <c r="R3860">
        <v>512</v>
      </c>
      <c r="S3860">
        <v>788</v>
      </c>
      <c r="T3860" t="s">
        <v>26</v>
      </c>
      <c r="U3860" t="s">
        <v>81</v>
      </c>
    </row>
    <row r="3861" spans="1:21">
      <c r="A3861" t="s">
        <v>6065</v>
      </c>
      <c r="B3861" t="s">
        <v>6063</v>
      </c>
      <c r="C3861" t="s">
        <v>5608</v>
      </c>
      <c r="D3861">
        <v>156000</v>
      </c>
      <c r="E3861">
        <v>10000</v>
      </c>
      <c r="F3861">
        <v>156000</v>
      </c>
      <c r="H3861">
        <v>1</v>
      </c>
      <c r="I3861" t="s">
        <v>325</v>
      </c>
      <c r="J3861">
        <v>30.6</v>
      </c>
      <c r="K3861">
        <v>0</v>
      </c>
      <c r="L3861">
        <v>3</v>
      </c>
      <c r="M3861" t="s">
        <v>5596</v>
      </c>
      <c r="N3861">
        <v>4</v>
      </c>
      <c r="O3861">
        <v>11.67</v>
      </c>
      <c r="P3861">
        <v>122997.85</v>
      </c>
      <c r="Q3861">
        <v>168453.81</v>
      </c>
      <c r="R3861">
        <v>512</v>
      </c>
      <c r="S3861">
        <v>788</v>
      </c>
      <c r="T3861" t="s">
        <v>26</v>
      </c>
      <c r="U3861" t="s">
        <v>81</v>
      </c>
    </row>
    <row r="3862" spans="1:21">
      <c r="A3862" t="s">
        <v>6066</v>
      </c>
      <c r="B3862" t="s">
        <v>6063</v>
      </c>
      <c r="C3862" t="s">
        <v>5608</v>
      </c>
      <c r="D3862">
        <v>157000</v>
      </c>
      <c r="E3862">
        <v>10000</v>
      </c>
      <c r="F3862">
        <v>157000</v>
      </c>
      <c r="H3862">
        <v>1</v>
      </c>
      <c r="I3862" t="s">
        <v>325</v>
      </c>
      <c r="J3862">
        <v>31.45</v>
      </c>
      <c r="K3862">
        <v>0</v>
      </c>
      <c r="L3862">
        <v>3</v>
      </c>
      <c r="M3862" t="s">
        <v>5596</v>
      </c>
      <c r="N3862">
        <v>4</v>
      </c>
      <c r="O3862">
        <v>11.67</v>
      </c>
      <c r="P3862">
        <v>122997.85</v>
      </c>
      <c r="Q3862">
        <v>168453.81</v>
      </c>
      <c r="R3862">
        <v>512</v>
      </c>
      <c r="S3862">
        <v>788</v>
      </c>
      <c r="T3862" t="s">
        <v>26</v>
      </c>
      <c r="U3862" t="s">
        <v>81</v>
      </c>
    </row>
    <row r="3863" spans="1:21">
      <c r="A3863" t="s">
        <v>6067</v>
      </c>
      <c r="B3863" t="s">
        <v>6063</v>
      </c>
      <c r="C3863" t="s">
        <v>5608</v>
      </c>
      <c r="D3863">
        <v>157000</v>
      </c>
      <c r="E3863">
        <v>10000</v>
      </c>
      <c r="F3863">
        <v>157000</v>
      </c>
      <c r="H3863">
        <v>2</v>
      </c>
      <c r="I3863" t="s">
        <v>325</v>
      </c>
      <c r="J3863">
        <v>30.02</v>
      </c>
      <c r="K3863">
        <v>0</v>
      </c>
      <c r="L3863">
        <v>3</v>
      </c>
      <c r="M3863" t="s">
        <v>5596</v>
      </c>
      <c r="N3863">
        <v>4</v>
      </c>
      <c r="O3863">
        <v>11.67</v>
      </c>
      <c r="P3863">
        <v>122997.85</v>
      </c>
      <c r="Q3863">
        <v>168453.81</v>
      </c>
      <c r="R3863">
        <v>512</v>
      </c>
      <c r="S3863">
        <v>788</v>
      </c>
      <c r="T3863" t="s">
        <v>26</v>
      </c>
      <c r="U3863" t="s">
        <v>81</v>
      </c>
    </row>
    <row r="3864" spans="1:21">
      <c r="A3864" t="s">
        <v>6068</v>
      </c>
      <c r="B3864" t="s">
        <v>6063</v>
      </c>
      <c r="C3864" t="s">
        <v>5608</v>
      </c>
      <c r="D3864">
        <v>158000</v>
      </c>
      <c r="E3864">
        <v>10000</v>
      </c>
      <c r="F3864">
        <v>158000</v>
      </c>
      <c r="H3864">
        <v>2</v>
      </c>
      <c r="I3864" t="s">
        <v>325</v>
      </c>
      <c r="J3864">
        <v>30.02</v>
      </c>
      <c r="K3864">
        <v>0</v>
      </c>
      <c r="L3864">
        <v>3</v>
      </c>
      <c r="M3864" t="s">
        <v>5596</v>
      </c>
      <c r="N3864">
        <v>4</v>
      </c>
      <c r="O3864">
        <v>11.67</v>
      </c>
      <c r="P3864">
        <v>122997.85</v>
      </c>
      <c r="Q3864">
        <v>168453.81</v>
      </c>
      <c r="R3864">
        <v>512</v>
      </c>
      <c r="S3864">
        <v>788</v>
      </c>
      <c r="T3864" t="s">
        <v>26</v>
      </c>
      <c r="U3864" t="s">
        <v>81</v>
      </c>
    </row>
    <row r="3865" spans="1:21">
      <c r="A3865" t="s">
        <v>6069</v>
      </c>
      <c r="B3865" t="s">
        <v>6063</v>
      </c>
      <c r="C3865" t="s">
        <v>5608</v>
      </c>
      <c r="D3865">
        <v>158000</v>
      </c>
      <c r="E3865">
        <v>10000</v>
      </c>
      <c r="F3865">
        <v>158000</v>
      </c>
      <c r="H3865">
        <v>2</v>
      </c>
      <c r="I3865" t="s">
        <v>325</v>
      </c>
      <c r="J3865">
        <v>30.6</v>
      </c>
      <c r="K3865">
        <v>0</v>
      </c>
      <c r="L3865">
        <v>3</v>
      </c>
      <c r="M3865" t="s">
        <v>5596</v>
      </c>
      <c r="N3865">
        <v>4</v>
      </c>
      <c r="O3865">
        <v>11.67</v>
      </c>
      <c r="P3865">
        <v>122997.85</v>
      </c>
      <c r="Q3865">
        <v>168453.81</v>
      </c>
      <c r="R3865">
        <v>512</v>
      </c>
      <c r="S3865">
        <v>788</v>
      </c>
      <c r="T3865" t="s">
        <v>26</v>
      </c>
      <c r="U3865" t="s">
        <v>81</v>
      </c>
    </row>
    <row r="3866" spans="1:21">
      <c r="A3866" t="s">
        <v>6070</v>
      </c>
      <c r="B3866" t="s">
        <v>6063</v>
      </c>
      <c r="C3866" t="s">
        <v>5608</v>
      </c>
      <c r="D3866">
        <v>159000</v>
      </c>
      <c r="E3866">
        <v>10000</v>
      </c>
      <c r="F3866">
        <v>159000</v>
      </c>
      <c r="H3866">
        <v>2</v>
      </c>
      <c r="I3866" t="s">
        <v>325</v>
      </c>
      <c r="J3866">
        <v>31.45</v>
      </c>
      <c r="K3866">
        <v>0</v>
      </c>
      <c r="L3866">
        <v>3</v>
      </c>
      <c r="M3866" t="s">
        <v>5596</v>
      </c>
      <c r="N3866">
        <v>4</v>
      </c>
      <c r="O3866">
        <v>11.67</v>
      </c>
      <c r="P3866">
        <v>122997.85</v>
      </c>
      <c r="Q3866">
        <v>168453.81</v>
      </c>
      <c r="R3866">
        <v>512</v>
      </c>
      <c r="S3866">
        <v>788</v>
      </c>
      <c r="T3866" t="s">
        <v>26</v>
      </c>
      <c r="U3866" t="s">
        <v>81</v>
      </c>
    </row>
    <row r="3867" spans="1:21">
      <c r="A3867" t="s">
        <v>6071</v>
      </c>
      <c r="B3867" t="s">
        <v>6063</v>
      </c>
      <c r="C3867" t="s">
        <v>5608</v>
      </c>
      <c r="D3867">
        <v>158000</v>
      </c>
      <c r="E3867">
        <v>10000</v>
      </c>
      <c r="F3867">
        <v>158000</v>
      </c>
      <c r="H3867">
        <v>3</v>
      </c>
      <c r="I3867" t="s">
        <v>325</v>
      </c>
      <c r="J3867">
        <v>30.02</v>
      </c>
      <c r="K3867">
        <v>0</v>
      </c>
      <c r="L3867">
        <v>3</v>
      </c>
      <c r="M3867" t="s">
        <v>5596</v>
      </c>
      <c r="N3867">
        <v>4</v>
      </c>
      <c r="O3867">
        <v>11.67</v>
      </c>
      <c r="P3867">
        <v>122997.85</v>
      </c>
      <c r="Q3867">
        <v>168453.81</v>
      </c>
      <c r="R3867">
        <v>512</v>
      </c>
      <c r="S3867">
        <v>788</v>
      </c>
      <c r="T3867" t="s">
        <v>26</v>
      </c>
      <c r="U3867" t="s">
        <v>81</v>
      </c>
    </row>
    <row r="3868" spans="1:21">
      <c r="A3868" t="s">
        <v>6072</v>
      </c>
      <c r="B3868" t="s">
        <v>6063</v>
      </c>
      <c r="C3868" t="s">
        <v>5608</v>
      </c>
      <c r="D3868">
        <v>159000</v>
      </c>
      <c r="E3868">
        <v>10000</v>
      </c>
      <c r="F3868">
        <v>159000</v>
      </c>
      <c r="H3868">
        <v>3</v>
      </c>
      <c r="I3868" t="s">
        <v>325</v>
      </c>
      <c r="J3868">
        <v>30.02</v>
      </c>
      <c r="K3868">
        <v>0</v>
      </c>
      <c r="L3868">
        <v>3</v>
      </c>
      <c r="M3868" t="s">
        <v>5596</v>
      </c>
      <c r="N3868">
        <v>4</v>
      </c>
      <c r="O3868">
        <v>11.67</v>
      </c>
      <c r="P3868">
        <v>122997.85</v>
      </c>
      <c r="Q3868">
        <v>168453.81</v>
      </c>
      <c r="R3868">
        <v>512</v>
      </c>
      <c r="S3868">
        <v>788</v>
      </c>
      <c r="T3868" t="s">
        <v>26</v>
      </c>
      <c r="U3868" t="s">
        <v>81</v>
      </c>
    </row>
    <row r="3869" spans="1:21">
      <c r="A3869" t="s">
        <v>6073</v>
      </c>
      <c r="B3869" t="s">
        <v>6063</v>
      </c>
      <c r="C3869" t="s">
        <v>5608</v>
      </c>
      <c r="D3869">
        <v>160000</v>
      </c>
      <c r="E3869">
        <v>10000</v>
      </c>
      <c r="F3869">
        <v>160000</v>
      </c>
      <c r="H3869">
        <v>3</v>
      </c>
      <c r="I3869" t="s">
        <v>325</v>
      </c>
      <c r="J3869">
        <v>31.45</v>
      </c>
      <c r="K3869">
        <v>0</v>
      </c>
      <c r="L3869">
        <v>3</v>
      </c>
      <c r="M3869" t="s">
        <v>5596</v>
      </c>
      <c r="N3869">
        <v>4</v>
      </c>
      <c r="O3869">
        <v>11.67</v>
      </c>
      <c r="P3869">
        <v>122997.85</v>
      </c>
      <c r="Q3869">
        <v>168453.81</v>
      </c>
      <c r="R3869">
        <v>512</v>
      </c>
      <c r="S3869">
        <v>788</v>
      </c>
      <c r="T3869" t="s">
        <v>26</v>
      </c>
      <c r="U3869" t="s">
        <v>81</v>
      </c>
    </row>
    <row r="3870" spans="1:21">
      <c r="A3870" t="s">
        <v>6074</v>
      </c>
      <c r="B3870" t="s">
        <v>6063</v>
      </c>
      <c r="C3870" t="s">
        <v>5608</v>
      </c>
      <c r="D3870">
        <v>145000</v>
      </c>
      <c r="E3870">
        <v>10000</v>
      </c>
      <c r="F3870">
        <v>145000</v>
      </c>
      <c r="H3870">
        <v>-1</v>
      </c>
      <c r="I3870" t="s">
        <v>325</v>
      </c>
      <c r="J3870">
        <v>27.26</v>
      </c>
      <c r="K3870">
        <v>0</v>
      </c>
      <c r="L3870">
        <v>3</v>
      </c>
      <c r="M3870" t="s">
        <v>5596</v>
      </c>
      <c r="N3870">
        <v>4</v>
      </c>
      <c r="O3870">
        <v>11.67</v>
      </c>
      <c r="P3870">
        <v>122997.85</v>
      </c>
      <c r="Q3870">
        <v>168453.81</v>
      </c>
      <c r="R3870">
        <v>512</v>
      </c>
      <c r="S3870">
        <v>788</v>
      </c>
      <c r="T3870" t="s">
        <v>34</v>
      </c>
      <c r="U3870" t="s">
        <v>81</v>
      </c>
    </row>
    <row r="3871" spans="1:21">
      <c r="A3871" t="s">
        <v>6075</v>
      </c>
      <c r="B3871" t="s">
        <v>6063</v>
      </c>
      <c r="C3871" t="s">
        <v>5608</v>
      </c>
      <c r="D3871">
        <v>149000</v>
      </c>
      <c r="E3871">
        <v>10000</v>
      </c>
      <c r="F3871">
        <v>149000</v>
      </c>
      <c r="H3871">
        <v>-1</v>
      </c>
      <c r="I3871" t="s">
        <v>325</v>
      </c>
      <c r="J3871">
        <v>30.02</v>
      </c>
      <c r="K3871">
        <v>0</v>
      </c>
      <c r="L3871">
        <v>3</v>
      </c>
      <c r="M3871" t="s">
        <v>5596</v>
      </c>
      <c r="N3871">
        <v>4</v>
      </c>
      <c r="O3871">
        <v>11.67</v>
      </c>
      <c r="P3871">
        <v>122997.85</v>
      </c>
      <c r="Q3871">
        <v>168453.81</v>
      </c>
      <c r="R3871">
        <v>512</v>
      </c>
      <c r="S3871">
        <v>788</v>
      </c>
      <c r="T3871" t="s">
        <v>26</v>
      </c>
      <c r="U3871" t="s">
        <v>81</v>
      </c>
    </row>
    <row r="3872" spans="1:21">
      <c r="A3872" t="s">
        <v>6076</v>
      </c>
      <c r="B3872" t="s">
        <v>6063</v>
      </c>
      <c r="C3872" t="s">
        <v>5608</v>
      </c>
      <c r="D3872">
        <v>151000</v>
      </c>
      <c r="E3872">
        <v>10000</v>
      </c>
      <c r="F3872">
        <v>151000</v>
      </c>
      <c r="H3872">
        <v>-1</v>
      </c>
      <c r="I3872" t="s">
        <v>325</v>
      </c>
      <c r="J3872">
        <v>31.45</v>
      </c>
      <c r="K3872">
        <v>0</v>
      </c>
      <c r="L3872">
        <v>3</v>
      </c>
      <c r="M3872" t="s">
        <v>5596</v>
      </c>
      <c r="N3872">
        <v>4</v>
      </c>
      <c r="O3872">
        <v>11.67</v>
      </c>
      <c r="P3872">
        <v>122997.85</v>
      </c>
      <c r="Q3872">
        <v>168453.81</v>
      </c>
      <c r="R3872">
        <v>512</v>
      </c>
      <c r="S3872">
        <v>788</v>
      </c>
      <c r="T3872" t="s">
        <v>26</v>
      </c>
      <c r="U3872" t="s">
        <v>81</v>
      </c>
    </row>
    <row r="3873" spans="1:21">
      <c r="A3873" t="s">
        <v>6077</v>
      </c>
      <c r="B3873" t="s">
        <v>6078</v>
      </c>
      <c r="C3873" t="s">
        <v>2033</v>
      </c>
      <c r="D3873">
        <v>165000</v>
      </c>
      <c r="E3873">
        <v>10500</v>
      </c>
      <c r="F3873">
        <v>165000</v>
      </c>
      <c r="G3873">
        <v>165000</v>
      </c>
      <c r="H3873">
        <v>2</v>
      </c>
      <c r="I3873" t="s">
        <v>325</v>
      </c>
      <c r="J3873">
        <v>43.43</v>
      </c>
      <c r="K3873">
        <v>3</v>
      </c>
      <c r="L3873">
        <v>5</v>
      </c>
      <c r="M3873" t="s">
        <v>5596</v>
      </c>
      <c r="N3873">
        <v>9</v>
      </c>
      <c r="O3873">
        <v>13</v>
      </c>
      <c r="P3873">
        <v>122997.85</v>
      </c>
      <c r="Q3873">
        <v>168453.81</v>
      </c>
      <c r="R3873">
        <v>512</v>
      </c>
      <c r="S3873">
        <v>788</v>
      </c>
      <c r="T3873" t="s">
        <v>326</v>
      </c>
      <c r="U3873" t="s">
        <v>31</v>
      </c>
    </row>
    <row r="3874" spans="1:21">
      <c r="A3874" t="s">
        <v>6079</v>
      </c>
      <c r="B3874" t="s">
        <v>6078</v>
      </c>
      <c r="C3874" t="s">
        <v>2033</v>
      </c>
      <c r="D3874">
        <v>165000</v>
      </c>
      <c r="E3874">
        <v>10500</v>
      </c>
      <c r="G3874">
        <v>165000</v>
      </c>
      <c r="H3874">
        <v>3</v>
      </c>
      <c r="I3874" t="s">
        <v>325</v>
      </c>
      <c r="J3874">
        <v>39.33</v>
      </c>
      <c r="K3874">
        <v>3</v>
      </c>
      <c r="L3874">
        <v>5</v>
      </c>
      <c r="M3874" t="s">
        <v>5596</v>
      </c>
      <c r="N3874">
        <v>9</v>
      </c>
      <c r="O3874">
        <v>13</v>
      </c>
      <c r="P3874">
        <v>122997.85</v>
      </c>
      <c r="Q3874">
        <v>168453.81</v>
      </c>
      <c r="R3874">
        <v>512</v>
      </c>
      <c r="S3874">
        <v>788</v>
      </c>
      <c r="T3874" t="s">
        <v>26</v>
      </c>
      <c r="U3874" t="s">
        <v>31</v>
      </c>
    </row>
    <row r="3875" spans="1:21">
      <c r="A3875" t="s">
        <v>6080</v>
      </c>
      <c r="B3875" t="s">
        <v>6078</v>
      </c>
      <c r="C3875" t="s">
        <v>2033</v>
      </c>
      <c r="D3875">
        <v>160000</v>
      </c>
      <c r="E3875">
        <v>10500</v>
      </c>
      <c r="G3875">
        <v>160000</v>
      </c>
      <c r="H3875">
        <v>3</v>
      </c>
      <c r="I3875" t="s">
        <v>325</v>
      </c>
      <c r="J3875">
        <v>39.33</v>
      </c>
      <c r="K3875">
        <v>3</v>
      </c>
      <c r="L3875">
        <v>5</v>
      </c>
      <c r="M3875" t="s">
        <v>5596</v>
      </c>
      <c r="N3875">
        <v>9</v>
      </c>
      <c r="O3875">
        <v>13</v>
      </c>
      <c r="P3875">
        <v>122997.85</v>
      </c>
      <c r="Q3875">
        <v>168453.81</v>
      </c>
      <c r="R3875">
        <v>512</v>
      </c>
      <c r="S3875">
        <v>788</v>
      </c>
      <c r="T3875" t="s">
        <v>26</v>
      </c>
      <c r="U3875" t="s">
        <v>31</v>
      </c>
    </row>
    <row r="3876" spans="1:21">
      <c r="A3876" t="s">
        <v>6081</v>
      </c>
      <c r="B3876" t="s">
        <v>6082</v>
      </c>
      <c r="C3876" t="s">
        <v>5608</v>
      </c>
      <c r="D3876">
        <v>168000</v>
      </c>
      <c r="E3876">
        <v>8000</v>
      </c>
      <c r="F3876">
        <v>168000</v>
      </c>
      <c r="G3876">
        <v>252000</v>
      </c>
      <c r="H3876">
        <v>2</v>
      </c>
      <c r="I3876" t="s">
        <v>325</v>
      </c>
      <c r="J3876">
        <v>49.98</v>
      </c>
      <c r="K3876">
        <v>11</v>
      </c>
      <c r="L3876">
        <v>3</v>
      </c>
      <c r="M3876" t="s">
        <v>5596</v>
      </c>
      <c r="N3876">
        <v>5</v>
      </c>
      <c r="O3876">
        <v>11.33</v>
      </c>
      <c r="P3876">
        <v>122997.85</v>
      </c>
      <c r="Q3876">
        <v>168453.81</v>
      </c>
      <c r="R3876">
        <v>512</v>
      </c>
      <c r="S3876">
        <v>788</v>
      </c>
      <c r="T3876" t="s">
        <v>326</v>
      </c>
      <c r="U3876" t="s">
        <v>90</v>
      </c>
    </row>
    <row r="3877" spans="1:21">
      <c r="A3877" t="s">
        <v>6083</v>
      </c>
      <c r="B3877" t="s">
        <v>6084</v>
      </c>
      <c r="C3877" t="s">
        <v>5608</v>
      </c>
      <c r="D3877">
        <v>130000</v>
      </c>
      <c r="E3877">
        <v>15000</v>
      </c>
      <c r="H3877">
        <v>2</v>
      </c>
      <c r="I3877" t="s">
        <v>325</v>
      </c>
      <c r="J3877">
        <v>30.69</v>
      </c>
      <c r="K3877">
        <v>5</v>
      </c>
      <c r="L3877">
        <v>4</v>
      </c>
      <c r="M3877" t="s">
        <v>5596</v>
      </c>
      <c r="N3877">
        <v>4</v>
      </c>
      <c r="O3877">
        <v>11.33</v>
      </c>
      <c r="P3877">
        <v>122997.85</v>
      </c>
      <c r="Q3877">
        <v>168453.81</v>
      </c>
      <c r="R3877">
        <v>512</v>
      </c>
      <c r="S3877">
        <v>788</v>
      </c>
      <c r="T3877" t="s">
        <v>26</v>
      </c>
      <c r="U3877" t="s">
        <v>31</v>
      </c>
    </row>
    <row r="3878" spans="1:21">
      <c r="A3878" t="s">
        <v>6085</v>
      </c>
      <c r="B3878" t="s">
        <v>6086</v>
      </c>
      <c r="C3878" t="s">
        <v>5608</v>
      </c>
      <c r="D3878">
        <v>100000</v>
      </c>
      <c r="E3878">
        <v>12000</v>
      </c>
      <c r="G3878">
        <v>100000</v>
      </c>
      <c r="H3878">
        <v>1</v>
      </c>
      <c r="I3878" t="s">
        <v>432</v>
      </c>
      <c r="J3878">
        <v>26.38</v>
      </c>
      <c r="K3878">
        <v>9</v>
      </c>
      <c r="L3878">
        <v>5</v>
      </c>
      <c r="M3878" t="s">
        <v>5596</v>
      </c>
      <c r="N3878">
        <v>4</v>
      </c>
      <c r="O3878">
        <v>11</v>
      </c>
      <c r="P3878">
        <v>122997.85</v>
      </c>
      <c r="Q3878">
        <v>77692.34</v>
      </c>
      <c r="R3878">
        <v>512</v>
      </c>
      <c r="S3878">
        <v>1071</v>
      </c>
      <c r="T3878" t="s">
        <v>34</v>
      </c>
      <c r="U3878" t="s">
        <v>31</v>
      </c>
    </row>
    <row r="3879" spans="1:21">
      <c r="A3879" t="s">
        <v>6087</v>
      </c>
      <c r="B3879" t="s">
        <v>6086</v>
      </c>
      <c r="C3879" t="s">
        <v>5608</v>
      </c>
      <c r="D3879">
        <v>110000</v>
      </c>
      <c r="E3879">
        <v>15000</v>
      </c>
      <c r="F3879">
        <v>110000</v>
      </c>
      <c r="G3879">
        <v>110000</v>
      </c>
      <c r="H3879">
        <v>3</v>
      </c>
      <c r="I3879" t="s">
        <v>432</v>
      </c>
      <c r="J3879">
        <v>25.68</v>
      </c>
      <c r="K3879">
        <v>9</v>
      </c>
      <c r="L3879">
        <v>5</v>
      </c>
      <c r="M3879" t="s">
        <v>5596</v>
      </c>
      <c r="N3879">
        <v>4</v>
      </c>
      <c r="O3879">
        <v>11</v>
      </c>
      <c r="P3879">
        <v>122997.85</v>
      </c>
      <c r="Q3879">
        <v>77692.34</v>
      </c>
      <c r="R3879">
        <v>512</v>
      </c>
      <c r="S3879">
        <v>1071</v>
      </c>
      <c r="T3879" t="s">
        <v>34</v>
      </c>
      <c r="U3879" t="s">
        <v>31</v>
      </c>
    </row>
    <row r="3880" spans="1:21">
      <c r="A3880" t="s">
        <v>6088</v>
      </c>
      <c r="B3880" t="s">
        <v>6089</v>
      </c>
      <c r="C3880" t="s">
        <v>2033</v>
      </c>
      <c r="D3880">
        <v>95000</v>
      </c>
      <c r="E3880">
        <v>8000</v>
      </c>
      <c r="F3880">
        <v>95000</v>
      </c>
      <c r="H3880">
        <v>3</v>
      </c>
      <c r="I3880" t="s">
        <v>432</v>
      </c>
      <c r="J3880">
        <v>25.7</v>
      </c>
      <c r="K3880">
        <v>10</v>
      </c>
      <c r="L3880">
        <v>5</v>
      </c>
      <c r="M3880" t="s">
        <v>5596</v>
      </c>
      <c r="N3880">
        <v>9</v>
      </c>
      <c r="O3880">
        <v>14</v>
      </c>
      <c r="P3880">
        <v>122997.85</v>
      </c>
      <c r="Q3880">
        <v>77692.34</v>
      </c>
      <c r="R3880">
        <v>512</v>
      </c>
      <c r="S3880">
        <v>1071</v>
      </c>
      <c r="T3880" t="s">
        <v>34</v>
      </c>
      <c r="U3880" t="s">
        <v>31</v>
      </c>
    </row>
    <row r="3881" spans="1:21">
      <c r="A3881" t="s">
        <v>6090</v>
      </c>
      <c r="B3881" t="s">
        <v>6091</v>
      </c>
      <c r="C3881" t="s">
        <v>758</v>
      </c>
      <c r="D3881">
        <v>70000</v>
      </c>
      <c r="E3881">
        <v>2000</v>
      </c>
      <c r="F3881">
        <v>70000</v>
      </c>
      <c r="G3881">
        <v>70000</v>
      </c>
      <c r="H3881">
        <v>2</v>
      </c>
      <c r="I3881" t="s">
        <v>432</v>
      </c>
      <c r="J3881">
        <v>18.809999999999999</v>
      </c>
      <c r="K3881">
        <v>9</v>
      </c>
      <c r="L3881">
        <v>2</v>
      </c>
      <c r="M3881" t="s">
        <v>5596</v>
      </c>
      <c r="N3881">
        <v>8</v>
      </c>
      <c r="O3881">
        <v>8.33</v>
      </c>
      <c r="P3881">
        <v>122997.85</v>
      </c>
      <c r="Q3881">
        <v>77692.34</v>
      </c>
      <c r="R3881">
        <v>512</v>
      </c>
      <c r="S3881">
        <v>1071</v>
      </c>
      <c r="T3881" t="s">
        <v>108</v>
      </c>
      <c r="U3881" t="s">
        <v>31</v>
      </c>
    </row>
    <row r="3882" spans="1:21">
      <c r="A3882" t="s">
        <v>6092</v>
      </c>
      <c r="B3882" t="s">
        <v>6093</v>
      </c>
      <c r="C3882" t="s">
        <v>5608</v>
      </c>
      <c r="D3882">
        <v>105000</v>
      </c>
      <c r="E3882">
        <v>10000</v>
      </c>
      <c r="F3882">
        <v>105000</v>
      </c>
      <c r="G3882">
        <v>105000</v>
      </c>
      <c r="H3882">
        <v>1</v>
      </c>
      <c r="I3882" t="s">
        <v>432</v>
      </c>
      <c r="J3882">
        <v>27.18</v>
      </c>
      <c r="K3882">
        <v>9</v>
      </c>
      <c r="L3882">
        <v>4</v>
      </c>
      <c r="M3882" t="s">
        <v>5596</v>
      </c>
      <c r="N3882">
        <v>8</v>
      </c>
      <c r="O3882">
        <v>12.67</v>
      </c>
      <c r="P3882">
        <v>122997.85</v>
      </c>
      <c r="Q3882">
        <v>77692.34</v>
      </c>
      <c r="R3882">
        <v>512</v>
      </c>
      <c r="S3882">
        <v>1071</v>
      </c>
      <c r="T3882" t="s">
        <v>34</v>
      </c>
      <c r="U3882" t="s">
        <v>31</v>
      </c>
    </row>
    <row r="3883" spans="1:21">
      <c r="A3883" t="s">
        <v>6094</v>
      </c>
      <c r="B3883" t="s">
        <v>6095</v>
      </c>
      <c r="C3883" t="s">
        <v>2033</v>
      </c>
      <c r="D3883">
        <v>64000</v>
      </c>
      <c r="E3883">
        <v>4000</v>
      </c>
      <c r="G3883">
        <v>64000</v>
      </c>
      <c r="H3883">
        <v>1</v>
      </c>
      <c r="I3883" t="s">
        <v>432</v>
      </c>
      <c r="J3883">
        <v>10.15</v>
      </c>
      <c r="K3883">
        <v>10</v>
      </c>
      <c r="L3883">
        <v>2</v>
      </c>
      <c r="M3883" t="s">
        <v>5596</v>
      </c>
      <c r="N3883">
        <v>10</v>
      </c>
      <c r="O3883">
        <v>13.33</v>
      </c>
      <c r="P3883">
        <v>122997.85</v>
      </c>
      <c r="Q3883">
        <v>77692.34</v>
      </c>
      <c r="R3883">
        <v>512</v>
      </c>
      <c r="S3883">
        <v>1071</v>
      </c>
      <c r="T3883" t="s">
        <v>108</v>
      </c>
      <c r="U3883" t="s">
        <v>31</v>
      </c>
    </row>
    <row r="3884" spans="1:21">
      <c r="A3884" t="s">
        <v>6096</v>
      </c>
      <c r="B3884" t="s">
        <v>6097</v>
      </c>
      <c r="C3884" t="s">
        <v>712</v>
      </c>
      <c r="D3884">
        <v>67000</v>
      </c>
      <c r="H3884">
        <v>2</v>
      </c>
      <c r="I3884" t="s">
        <v>432</v>
      </c>
      <c r="J3884">
        <v>11.58</v>
      </c>
      <c r="K3884">
        <v>5</v>
      </c>
      <c r="L3884">
        <v>2</v>
      </c>
      <c r="M3884" t="s">
        <v>5596</v>
      </c>
      <c r="N3884">
        <v>7</v>
      </c>
      <c r="O3884">
        <v>11.33</v>
      </c>
      <c r="P3884">
        <v>122997.85</v>
      </c>
      <c r="Q3884">
        <v>77692.34</v>
      </c>
      <c r="R3884">
        <v>512</v>
      </c>
      <c r="S3884">
        <v>1071</v>
      </c>
      <c r="T3884" t="s">
        <v>108</v>
      </c>
      <c r="U3884" t="s">
        <v>31</v>
      </c>
    </row>
    <row r="3885" spans="1:21">
      <c r="A3885" t="s">
        <v>6098</v>
      </c>
      <c r="B3885" t="s">
        <v>6097</v>
      </c>
      <c r="C3885" t="s">
        <v>712</v>
      </c>
      <c r="D3885">
        <v>65000</v>
      </c>
      <c r="E3885">
        <v>3000</v>
      </c>
      <c r="H3885">
        <v>2</v>
      </c>
      <c r="I3885" t="s">
        <v>432</v>
      </c>
      <c r="J3885">
        <v>15.92</v>
      </c>
      <c r="K3885">
        <v>5</v>
      </c>
      <c r="L3885">
        <v>2</v>
      </c>
      <c r="M3885" t="s">
        <v>5596</v>
      </c>
      <c r="N3885">
        <v>7</v>
      </c>
      <c r="O3885">
        <v>11.33</v>
      </c>
      <c r="P3885">
        <v>122997.85</v>
      </c>
      <c r="Q3885">
        <v>77692.34</v>
      </c>
      <c r="R3885">
        <v>512</v>
      </c>
      <c r="S3885">
        <v>1071</v>
      </c>
      <c r="T3885" t="s">
        <v>108</v>
      </c>
      <c r="U3885" t="s">
        <v>31</v>
      </c>
    </row>
    <row r="3886" spans="1:21">
      <c r="A3886" t="s">
        <v>6099</v>
      </c>
      <c r="B3886" t="s">
        <v>5603</v>
      </c>
      <c r="C3886" t="s">
        <v>4547</v>
      </c>
      <c r="D3886">
        <v>140000</v>
      </c>
      <c r="E3886">
        <v>7000</v>
      </c>
      <c r="F3886">
        <v>140000</v>
      </c>
      <c r="H3886">
        <v>1</v>
      </c>
      <c r="I3886" t="s">
        <v>432</v>
      </c>
      <c r="J3886">
        <v>28.11</v>
      </c>
      <c r="K3886">
        <v>1</v>
      </c>
      <c r="L3886">
        <v>3</v>
      </c>
      <c r="M3886" t="s">
        <v>5596</v>
      </c>
      <c r="N3886">
        <v>9</v>
      </c>
      <c r="O3886">
        <v>11.67</v>
      </c>
      <c r="P3886">
        <v>122997.85</v>
      </c>
      <c r="Q3886">
        <v>77692.34</v>
      </c>
      <c r="R3886">
        <v>512</v>
      </c>
      <c r="S3886">
        <v>1071</v>
      </c>
      <c r="T3886" t="s">
        <v>34</v>
      </c>
      <c r="U3886" t="s">
        <v>31</v>
      </c>
    </row>
    <row r="3887" spans="1:21">
      <c r="A3887" t="s">
        <v>6100</v>
      </c>
      <c r="B3887" t="s">
        <v>5603</v>
      </c>
      <c r="C3887" t="s">
        <v>4547</v>
      </c>
      <c r="D3887">
        <v>146000</v>
      </c>
      <c r="E3887">
        <v>7000</v>
      </c>
      <c r="F3887">
        <v>146000</v>
      </c>
      <c r="H3887">
        <v>1</v>
      </c>
      <c r="I3887" t="s">
        <v>432</v>
      </c>
      <c r="J3887">
        <v>30.52</v>
      </c>
      <c r="K3887">
        <v>1</v>
      </c>
      <c r="L3887">
        <v>3</v>
      </c>
      <c r="M3887" t="s">
        <v>5596</v>
      </c>
      <c r="N3887">
        <v>9</v>
      </c>
      <c r="O3887">
        <v>11.67</v>
      </c>
      <c r="P3887">
        <v>122997.85</v>
      </c>
      <c r="Q3887">
        <v>77692.34</v>
      </c>
      <c r="R3887">
        <v>512</v>
      </c>
      <c r="S3887">
        <v>1071</v>
      </c>
      <c r="T3887" t="s">
        <v>26</v>
      </c>
      <c r="U3887" t="s">
        <v>31</v>
      </c>
    </row>
    <row r="3888" spans="1:21">
      <c r="A3888" t="s">
        <v>6101</v>
      </c>
      <c r="B3888" t="s">
        <v>5603</v>
      </c>
      <c r="C3888" t="s">
        <v>4547</v>
      </c>
      <c r="D3888">
        <v>145000</v>
      </c>
      <c r="E3888">
        <v>7000</v>
      </c>
      <c r="F3888">
        <v>145000</v>
      </c>
      <c r="H3888">
        <v>2</v>
      </c>
      <c r="I3888" t="s">
        <v>432</v>
      </c>
      <c r="J3888">
        <v>28.11</v>
      </c>
      <c r="K3888">
        <v>1</v>
      </c>
      <c r="L3888">
        <v>3</v>
      </c>
      <c r="M3888" t="s">
        <v>5596</v>
      </c>
      <c r="N3888">
        <v>9</v>
      </c>
      <c r="O3888">
        <v>11.67</v>
      </c>
      <c r="P3888">
        <v>122997.85</v>
      </c>
      <c r="Q3888">
        <v>77692.34</v>
      </c>
      <c r="R3888">
        <v>512</v>
      </c>
      <c r="S3888">
        <v>1071</v>
      </c>
      <c r="T3888" t="s">
        <v>34</v>
      </c>
      <c r="U3888" t="s">
        <v>31</v>
      </c>
    </row>
    <row r="3889" spans="1:21">
      <c r="A3889" t="s">
        <v>6102</v>
      </c>
      <c r="B3889" t="s">
        <v>5603</v>
      </c>
      <c r="C3889" t="s">
        <v>4547</v>
      </c>
      <c r="D3889">
        <v>151000</v>
      </c>
      <c r="E3889">
        <v>7000</v>
      </c>
      <c r="F3889">
        <v>151000</v>
      </c>
      <c r="H3889">
        <v>2</v>
      </c>
      <c r="I3889" t="s">
        <v>432</v>
      </c>
      <c r="J3889">
        <v>30.52</v>
      </c>
      <c r="K3889">
        <v>1</v>
      </c>
      <c r="L3889">
        <v>3</v>
      </c>
      <c r="M3889" t="s">
        <v>5596</v>
      </c>
      <c r="N3889">
        <v>9</v>
      </c>
      <c r="O3889">
        <v>11.67</v>
      </c>
      <c r="P3889">
        <v>122997.85</v>
      </c>
      <c r="Q3889">
        <v>77692.34</v>
      </c>
      <c r="R3889">
        <v>512</v>
      </c>
      <c r="S3889">
        <v>1071</v>
      </c>
      <c r="T3889" t="s">
        <v>26</v>
      </c>
      <c r="U3889" t="s">
        <v>31</v>
      </c>
    </row>
    <row r="3890" spans="1:21">
      <c r="A3890" t="s">
        <v>6103</v>
      </c>
      <c r="B3890" t="s">
        <v>5603</v>
      </c>
      <c r="C3890" t="s">
        <v>4547</v>
      </c>
      <c r="D3890">
        <v>145000</v>
      </c>
      <c r="E3890">
        <v>7000</v>
      </c>
      <c r="F3890">
        <v>145000</v>
      </c>
      <c r="H3890">
        <v>3</v>
      </c>
      <c r="I3890" t="s">
        <v>432</v>
      </c>
      <c r="J3890">
        <v>28.11</v>
      </c>
      <c r="K3890">
        <v>1</v>
      </c>
      <c r="L3890">
        <v>3</v>
      </c>
      <c r="M3890" t="s">
        <v>5596</v>
      </c>
      <c r="N3890">
        <v>9</v>
      </c>
      <c r="O3890">
        <v>11.67</v>
      </c>
      <c r="P3890">
        <v>122997.85</v>
      </c>
      <c r="Q3890">
        <v>77692.34</v>
      </c>
      <c r="R3890">
        <v>512</v>
      </c>
      <c r="S3890">
        <v>1071</v>
      </c>
      <c r="T3890" t="s">
        <v>34</v>
      </c>
      <c r="U3890" t="s">
        <v>31</v>
      </c>
    </row>
    <row r="3891" spans="1:21">
      <c r="A3891" t="s">
        <v>6104</v>
      </c>
      <c r="B3891" t="s">
        <v>5603</v>
      </c>
      <c r="C3891" t="s">
        <v>4547</v>
      </c>
      <c r="D3891">
        <v>152000</v>
      </c>
      <c r="E3891">
        <v>7000</v>
      </c>
      <c r="F3891">
        <v>152000</v>
      </c>
      <c r="H3891">
        <v>3</v>
      </c>
      <c r="I3891" t="s">
        <v>432</v>
      </c>
      <c r="J3891">
        <v>30.52</v>
      </c>
      <c r="K3891">
        <v>1</v>
      </c>
      <c r="L3891">
        <v>3</v>
      </c>
      <c r="M3891" t="s">
        <v>5596</v>
      </c>
      <c r="N3891">
        <v>9</v>
      </c>
      <c r="O3891">
        <v>11.67</v>
      </c>
      <c r="P3891">
        <v>122997.85</v>
      </c>
      <c r="Q3891">
        <v>77692.34</v>
      </c>
      <c r="R3891">
        <v>512</v>
      </c>
      <c r="S3891">
        <v>1071</v>
      </c>
      <c r="T3891" t="s">
        <v>26</v>
      </c>
      <c r="U3891" t="s">
        <v>31</v>
      </c>
    </row>
    <row r="3892" spans="1:21">
      <c r="A3892" t="s">
        <v>6105</v>
      </c>
      <c r="B3892" t="s">
        <v>6106</v>
      </c>
      <c r="C3892" t="s">
        <v>4013</v>
      </c>
      <c r="D3892">
        <v>25000</v>
      </c>
      <c r="E3892">
        <v>5000</v>
      </c>
      <c r="H3892">
        <v>2</v>
      </c>
      <c r="I3892" t="s">
        <v>432</v>
      </c>
      <c r="J3892">
        <v>11.5</v>
      </c>
      <c r="K3892">
        <v>51</v>
      </c>
      <c r="L3892">
        <v>2</v>
      </c>
      <c r="M3892" t="s">
        <v>5596</v>
      </c>
      <c r="N3892">
        <v>2</v>
      </c>
      <c r="O3892">
        <v>13.33</v>
      </c>
      <c r="P3892">
        <v>122997.85</v>
      </c>
      <c r="Q3892">
        <v>77692.34</v>
      </c>
      <c r="R3892">
        <v>512</v>
      </c>
      <c r="S3892">
        <v>1071</v>
      </c>
      <c r="T3892" t="s">
        <v>108</v>
      </c>
      <c r="U3892" t="s">
        <v>57</v>
      </c>
    </row>
    <row r="3893" spans="1:21">
      <c r="A3893" t="s">
        <v>6107</v>
      </c>
      <c r="B3893" t="s">
        <v>5676</v>
      </c>
      <c r="C3893" t="s">
        <v>4013</v>
      </c>
      <c r="D3893">
        <v>92000</v>
      </c>
      <c r="E3893">
        <v>5000</v>
      </c>
      <c r="H3893">
        <v>2</v>
      </c>
      <c r="I3893" t="s">
        <v>432</v>
      </c>
      <c r="J3893">
        <v>22.15</v>
      </c>
      <c r="K3893">
        <v>22</v>
      </c>
      <c r="L3893">
        <v>2</v>
      </c>
      <c r="M3893" t="s">
        <v>5596</v>
      </c>
      <c r="N3893">
        <v>2</v>
      </c>
      <c r="O3893">
        <v>12.67</v>
      </c>
      <c r="P3893">
        <v>122997.85</v>
      </c>
      <c r="Q3893">
        <v>77692.34</v>
      </c>
      <c r="R3893">
        <v>512</v>
      </c>
      <c r="S3893">
        <v>1071</v>
      </c>
      <c r="T3893" t="s">
        <v>34</v>
      </c>
      <c r="U3893" t="s">
        <v>27</v>
      </c>
    </row>
    <row r="3894" spans="1:21">
      <c r="A3894" t="s">
        <v>6108</v>
      </c>
      <c r="B3894" t="s">
        <v>6109</v>
      </c>
      <c r="C3894" t="s">
        <v>4547</v>
      </c>
      <c r="D3894">
        <v>50000</v>
      </c>
      <c r="E3894">
        <v>3000</v>
      </c>
      <c r="F3894">
        <v>50000</v>
      </c>
      <c r="G3894">
        <v>50000</v>
      </c>
      <c r="H3894">
        <v>1</v>
      </c>
      <c r="I3894" t="s">
        <v>432</v>
      </c>
      <c r="J3894">
        <v>10.59</v>
      </c>
      <c r="K3894">
        <v>14</v>
      </c>
      <c r="L3894">
        <v>2</v>
      </c>
      <c r="M3894" t="s">
        <v>5596</v>
      </c>
      <c r="N3894">
        <v>7</v>
      </c>
      <c r="O3894">
        <v>10</v>
      </c>
      <c r="P3894">
        <v>122997.85</v>
      </c>
      <c r="Q3894">
        <v>77692.34</v>
      </c>
      <c r="R3894">
        <v>512</v>
      </c>
      <c r="S3894">
        <v>1071</v>
      </c>
      <c r="T3894" t="s">
        <v>108</v>
      </c>
      <c r="U3894" t="s">
        <v>90</v>
      </c>
    </row>
    <row r="3895" spans="1:21">
      <c r="A3895" t="s">
        <v>6110</v>
      </c>
      <c r="B3895" t="s">
        <v>6109</v>
      </c>
      <c r="C3895" t="s">
        <v>4547</v>
      </c>
      <c r="D3895">
        <v>55000</v>
      </c>
      <c r="E3895">
        <v>3000</v>
      </c>
      <c r="F3895">
        <v>55000</v>
      </c>
      <c r="G3895">
        <v>55000</v>
      </c>
      <c r="H3895">
        <v>2</v>
      </c>
      <c r="I3895" t="s">
        <v>432</v>
      </c>
      <c r="J3895">
        <v>10.59</v>
      </c>
      <c r="K3895">
        <v>14</v>
      </c>
      <c r="L3895">
        <v>2</v>
      </c>
      <c r="M3895" t="s">
        <v>5596</v>
      </c>
      <c r="N3895">
        <v>7</v>
      </c>
      <c r="O3895">
        <v>10</v>
      </c>
      <c r="P3895">
        <v>122997.85</v>
      </c>
      <c r="Q3895">
        <v>77692.34</v>
      </c>
      <c r="R3895">
        <v>512</v>
      </c>
      <c r="S3895">
        <v>1071</v>
      </c>
      <c r="T3895" t="s">
        <v>108</v>
      </c>
      <c r="U3895" t="s">
        <v>90</v>
      </c>
    </row>
    <row r="3896" spans="1:21">
      <c r="A3896" t="s">
        <v>6111</v>
      </c>
      <c r="B3896" t="s">
        <v>6109</v>
      </c>
      <c r="C3896" t="s">
        <v>4547</v>
      </c>
      <c r="D3896">
        <v>62000</v>
      </c>
      <c r="E3896">
        <v>3000</v>
      </c>
      <c r="H3896">
        <v>2</v>
      </c>
      <c r="I3896" t="s">
        <v>432</v>
      </c>
      <c r="J3896">
        <v>9.32</v>
      </c>
      <c r="K3896">
        <v>14</v>
      </c>
      <c r="L3896">
        <v>2</v>
      </c>
      <c r="M3896" t="s">
        <v>5596</v>
      </c>
      <c r="N3896">
        <v>7</v>
      </c>
      <c r="O3896">
        <v>10</v>
      </c>
      <c r="P3896">
        <v>122997.85</v>
      </c>
      <c r="Q3896">
        <v>77692.34</v>
      </c>
      <c r="R3896">
        <v>512</v>
      </c>
      <c r="S3896">
        <v>1071</v>
      </c>
      <c r="T3896" t="s">
        <v>231</v>
      </c>
      <c r="U3896" t="s">
        <v>90</v>
      </c>
    </row>
    <row r="3897" spans="1:21">
      <c r="A3897" t="s">
        <v>6112</v>
      </c>
      <c r="B3897" t="s">
        <v>6113</v>
      </c>
      <c r="C3897" t="s">
        <v>4547</v>
      </c>
      <c r="D3897">
        <v>60000</v>
      </c>
      <c r="E3897">
        <v>3000</v>
      </c>
      <c r="F3897">
        <v>60000</v>
      </c>
      <c r="G3897">
        <v>60000</v>
      </c>
      <c r="H3897">
        <v>2</v>
      </c>
      <c r="I3897" t="s">
        <v>432</v>
      </c>
      <c r="J3897">
        <v>12</v>
      </c>
      <c r="K3897">
        <v>14</v>
      </c>
      <c r="L3897">
        <v>2</v>
      </c>
      <c r="M3897" t="s">
        <v>5596</v>
      </c>
      <c r="N3897">
        <v>7</v>
      </c>
      <c r="O3897">
        <v>10.33</v>
      </c>
      <c r="P3897">
        <v>122997.85</v>
      </c>
      <c r="Q3897">
        <v>77692.34</v>
      </c>
      <c r="R3897">
        <v>512</v>
      </c>
      <c r="S3897">
        <v>1071</v>
      </c>
      <c r="T3897" t="s">
        <v>108</v>
      </c>
      <c r="U3897" t="s">
        <v>90</v>
      </c>
    </row>
    <row r="3898" spans="1:21">
      <c r="A3898" t="s">
        <v>6114</v>
      </c>
      <c r="B3898" t="s">
        <v>6115</v>
      </c>
      <c r="C3898" t="s">
        <v>5608</v>
      </c>
      <c r="D3898">
        <v>65000</v>
      </c>
      <c r="E3898">
        <v>4000</v>
      </c>
      <c r="F3898">
        <v>65000</v>
      </c>
      <c r="H3898">
        <v>2</v>
      </c>
      <c r="I3898" t="s">
        <v>432</v>
      </c>
      <c r="J3898">
        <v>10.85</v>
      </c>
      <c r="K3898">
        <v>7</v>
      </c>
      <c r="L3898">
        <v>2</v>
      </c>
      <c r="M3898" t="s">
        <v>5596</v>
      </c>
      <c r="N3898">
        <v>1</v>
      </c>
      <c r="O3898">
        <v>8.33</v>
      </c>
      <c r="P3898">
        <v>122997.85</v>
      </c>
      <c r="Q3898">
        <v>77692.34</v>
      </c>
      <c r="R3898">
        <v>512</v>
      </c>
      <c r="S3898">
        <v>1071</v>
      </c>
      <c r="T3898" t="s">
        <v>108</v>
      </c>
      <c r="U3898" t="s">
        <v>31</v>
      </c>
    </row>
    <row r="3899" spans="1:21">
      <c r="A3899" t="s">
        <v>6116</v>
      </c>
      <c r="B3899" t="s">
        <v>6117</v>
      </c>
      <c r="C3899" t="s">
        <v>758</v>
      </c>
      <c r="D3899">
        <v>45000</v>
      </c>
      <c r="F3899">
        <v>45000</v>
      </c>
      <c r="G3899">
        <v>45000</v>
      </c>
      <c r="H3899">
        <v>2</v>
      </c>
      <c r="I3899" t="s">
        <v>432</v>
      </c>
      <c r="J3899">
        <v>12</v>
      </c>
      <c r="K3899">
        <v>35</v>
      </c>
      <c r="L3899">
        <v>3</v>
      </c>
      <c r="M3899" t="s">
        <v>5596</v>
      </c>
      <c r="N3899">
        <v>4</v>
      </c>
      <c r="O3899">
        <v>10</v>
      </c>
      <c r="P3899">
        <v>122997.85</v>
      </c>
      <c r="Q3899">
        <v>77692.34</v>
      </c>
      <c r="R3899">
        <v>512</v>
      </c>
      <c r="S3899">
        <v>1071</v>
      </c>
      <c r="T3899" t="s">
        <v>108</v>
      </c>
      <c r="U3899" t="s">
        <v>49</v>
      </c>
    </row>
    <row r="3900" spans="1:21">
      <c r="A3900" t="s">
        <v>6118</v>
      </c>
      <c r="B3900" t="s">
        <v>6117</v>
      </c>
      <c r="C3900" t="s">
        <v>758</v>
      </c>
      <c r="D3900">
        <v>43000</v>
      </c>
      <c r="F3900">
        <v>43000</v>
      </c>
      <c r="G3900">
        <v>43000</v>
      </c>
      <c r="H3900">
        <v>3</v>
      </c>
      <c r="I3900" t="s">
        <v>432</v>
      </c>
      <c r="J3900">
        <v>12</v>
      </c>
      <c r="K3900">
        <v>35</v>
      </c>
      <c r="L3900">
        <v>3</v>
      </c>
      <c r="M3900" t="s">
        <v>5596</v>
      </c>
      <c r="N3900">
        <v>4</v>
      </c>
      <c r="O3900">
        <v>10</v>
      </c>
      <c r="P3900">
        <v>122997.85</v>
      </c>
      <c r="Q3900">
        <v>77692.34</v>
      </c>
      <c r="R3900">
        <v>512</v>
      </c>
      <c r="S3900">
        <v>1071</v>
      </c>
      <c r="T3900" t="s">
        <v>108</v>
      </c>
      <c r="U3900" t="s">
        <v>49</v>
      </c>
    </row>
    <row r="3901" spans="1:21">
      <c r="A3901" t="s">
        <v>6119</v>
      </c>
      <c r="B3901" t="s">
        <v>6120</v>
      </c>
      <c r="C3901" t="s">
        <v>4356</v>
      </c>
      <c r="D3901">
        <v>71000</v>
      </c>
      <c r="E3901">
        <v>4000</v>
      </c>
      <c r="G3901">
        <v>71000</v>
      </c>
      <c r="H3901">
        <v>1</v>
      </c>
      <c r="I3901" t="s">
        <v>432</v>
      </c>
      <c r="J3901">
        <v>11.76</v>
      </c>
      <c r="K3901">
        <v>8</v>
      </c>
      <c r="L3901">
        <v>2</v>
      </c>
      <c r="M3901" t="s">
        <v>5596</v>
      </c>
      <c r="N3901">
        <v>10</v>
      </c>
      <c r="O3901">
        <v>18.329999999999998</v>
      </c>
      <c r="P3901">
        <v>122997.85</v>
      </c>
      <c r="Q3901">
        <v>77692.34</v>
      </c>
      <c r="R3901">
        <v>512</v>
      </c>
      <c r="S3901">
        <v>1071</v>
      </c>
      <c r="T3901" t="s">
        <v>108</v>
      </c>
      <c r="U3901" t="s">
        <v>31</v>
      </c>
    </row>
    <row r="3902" spans="1:21">
      <c r="A3902" t="s">
        <v>6121</v>
      </c>
      <c r="B3902" t="s">
        <v>6120</v>
      </c>
      <c r="C3902" t="s">
        <v>4356</v>
      </c>
      <c r="D3902">
        <v>70000</v>
      </c>
      <c r="E3902">
        <v>4000</v>
      </c>
      <c r="G3902">
        <v>70000</v>
      </c>
      <c r="H3902">
        <v>1</v>
      </c>
      <c r="I3902" t="s">
        <v>432</v>
      </c>
      <c r="J3902">
        <v>11.76</v>
      </c>
      <c r="K3902">
        <v>8</v>
      </c>
      <c r="L3902">
        <v>2</v>
      </c>
      <c r="M3902" t="s">
        <v>5596</v>
      </c>
      <c r="N3902">
        <v>10</v>
      </c>
      <c r="O3902">
        <v>18.329999999999998</v>
      </c>
      <c r="P3902">
        <v>122997.85</v>
      </c>
      <c r="Q3902">
        <v>77692.34</v>
      </c>
      <c r="R3902">
        <v>512</v>
      </c>
      <c r="S3902">
        <v>1071</v>
      </c>
      <c r="T3902" t="s">
        <v>108</v>
      </c>
      <c r="U3902" t="s">
        <v>31</v>
      </c>
    </row>
    <row r="3903" spans="1:21">
      <c r="A3903" t="s">
        <v>6122</v>
      </c>
      <c r="B3903" t="s">
        <v>6120</v>
      </c>
      <c r="C3903" t="s">
        <v>4356</v>
      </c>
      <c r="D3903">
        <v>70000</v>
      </c>
      <c r="E3903">
        <v>4000</v>
      </c>
      <c r="H3903">
        <v>2</v>
      </c>
      <c r="I3903" t="s">
        <v>432</v>
      </c>
      <c r="J3903">
        <v>14.67</v>
      </c>
      <c r="K3903">
        <v>8</v>
      </c>
      <c r="L3903">
        <v>2</v>
      </c>
      <c r="M3903" t="s">
        <v>5596</v>
      </c>
      <c r="N3903">
        <v>10</v>
      </c>
      <c r="O3903">
        <v>18.329999999999998</v>
      </c>
      <c r="P3903">
        <v>122997.85</v>
      </c>
      <c r="Q3903">
        <v>77692.34</v>
      </c>
      <c r="R3903">
        <v>512</v>
      </c>
      <c r="S3903">
        <v>1071</v>
      </c>
      <c r="T3903" t="s">
        <v>108</v>
      </c>
      <c r="U3903" t="s">
        <v>31</v>
      </c>
    </row>
    <row r="3904" spans="1:21">
      <c r="A3904" t="s">
        <v>6123</v>
      </c>
      <c r="B3904" t="s">
        <v>5688</v>
      </c>
      <c r="C3904" t="s">
        <v>5608</v>
      </c>
      <c r="D3904">
        <v>97000</v>
      </c>
      <c r="E3904">
        <v>3000</v>
      </c>
      <c r="F3904">
        <v>97000</v>
      </c>
      <c r="G3904">
        <v>97000</v>
      </c>
      <c r="H3904">
        <v>2</v>
      </c>
      <c r="I3904" t="s">
        <v>432</v>
      </c>
      <c r="J3904">
        <v>18.8</v>
      </c>
      <c r="K3904">
        <v>5</v>
      </c>
      <c r="L3904">
        <v>4</v>
      </c>
      <c r="M3904" t="s">
        <v>5596</v>
      </c>
      <c r="N3904">
        <v>7</v>
      </c>
      <c r="O3904">
        <v>12.33</v>
      </c>
      <c r="P3904">
        <v>122997.85</v>
      </c>
      <c r="Q3904">
        <v>77692.34</v>
      </c>
      <c r="R3904">
        <v>512</v>
      </c>
      <c r="S3904">
        <v>1071</v>
      </c>
      <c r="T3904" t="s">
        <v>108</v>
      </c>
      <c r="U3904" t="s">
        <v>31</v>
      </c>
    </row>
    <row r="3905" spans="1:21">
      <c r="A3905" t="s">
        <v>6124</v>
      </c>
      <c r="B3905" t="s">
        <v>6125</v>
      </c>
      <c r="C3905" t="s">
        <v>4356</v>
      </c>
      <c r="D3905">
        <v>97000</v>
      </c>
      <c r="E3905">
        <v>10000</v>
      </c>
      <c r="H3905">
        <v>-1</v>
      </c>
      <c r="I3905" t="s">
        <v>432</v>
      </c>
      <c r="J3905">
        <v>17.079999999999998</v>
      </c>
      <c r="K3905">
        <v>0</v>
      </c>
      <c r="L3905">
        <v>5</v>
      </c>
      <c r="M3905" t="s">
        <v>5596</v>
      </c>
      <c r="N3905">
        <v>8</v>
      </c>
      <c r="O3905">
        <v>11</v>
      </c>
      <c r="P3905">
        <v>122997.85</v>
      </c>
      <c r="Q3905">
        <v>77692.34</v>
      </c>
      <c r="R3905">
        <v>512</v>
      </c>
      <c r="S3905">
        <v>1071</v>
      </c>
      <c r="T3905" t="s">
        <v>108</v>
      </c>
      <c r="U3905" t="s">
        <v>81</v>
      </c>
    </row>
    <row r="3906" spans="1:21">
      <c r="A3906" t="s">
        <v>6126</v>
      </c>
      <c r="B3906" t="s">
        <v>6125</v>
      </c>
      <c r="C3906" t="s">
        <v>4356</v>
      </c>
      <c r="D3906">
        <v>97000</v>
      </c>
      <c r="E3906">
        <v>10000</v>
      </c>
      <c r="H3906">
        <v>-1</v>
      </c>
      <c r="I3906" t="s">
        <v>432</v>
      </c>
      <c r="J3906">
        <v>18.12</v>
      </c>
      <c r="K3906">
        <v>0</v>
      </c>
      <c r="L3906">
        <v>5</v>
      </c>
      <c r="M3906" t="s">
        <v>5596</v>
      </c>
      <c r="N3906">
        <v>8</v>
      </c>
      <c r="O3906">
        <v>11</v>
      </c>
      <c r="P3906">
        <v>122997.85</v>
      </c>
      <c r="Q3906">
        <v>77692.34</v>
      </c>
      <c r="R3906">
        <v>512</v>
      </c>
      <c r="S3906">
        <v>1071</v>
      </c>
      <c r="T3906" t="s">
        <v>108</v>
      </c>
      <c r="U3906" t="s">
        <v>81</v>
      </c>
    </row>
    <row r="3907" spans="1:21">
      <c r="A3907" t="s">
        <v>6127</v>
      </c>
      <c r="B3907" t="s">
        <v>6125</v>
      </c>
      <c r="C3907" t="s">
        <v>4356</v>
      </c>
      <c r="D3907">
        <v>97000</v>
      </c>
      <c r="E3907">
        <v>10000</v>
      </c>
      <c r="H3907">
        <v>-1</v>
      </c>
      <c r="I3907" t="s">
        <v>432</v>
      </c>
      <c r="J3907">
        <v>18.2</v>
      </c>
      <c r="K3907">
        <v>0</v>
      </c>
      <c r="L3907">
        <v>5</v>
      </c>
      <c r="M3907" t="s">
        <v>5596</v>
      </c>
      <c r="N3907">
        <v>8</v>
      </c>
      <c r="O3907">
        <v>11</v>
      </c>
      <c r="P3907">
        <v>122997.85</v>
      </c>
      <c r="Q3907">
        <v>77692.34</v>
      </c>
      <c r="R3907">
        <v>512</v>
      </c>
      <c r="S3907">
        <v>1071</v>
      </c>
      <c r="T3907" t="s">
        <v>108</v>
      </c>
      <c r="U3907" t="s">
        <v>81</v>
      </c>
    </row>
    <row r="3908" spans="1:21">
      <c r="A3908" t="s">
        <v>6128</v>
      </c>
      <c r="B3908" t="s">
        <v>6129</v>
      </c>
      <c r="C3908" t="s">
        <v>5601</v>
      </c>
      <c r="D3908">
        <v>64000</v>
      </c>
      <c r="E3908">
        <v>4000</v>
      </c>
      <c r="G3908">
        <v>64000</v>
      </c>
      <c r="H3908">
        <v>2</v>
      </c>
      <c r="I3908" t="s">
        <v>432</v>
      </c>
      <c r="J3908">
        <v>10.32</v>
      </c>
      <c r="K3908">
        <v>7</v>
      </c>
      <c r="L3908">
        <v>2</v>
      </c>
      <c r="M3908" t="s">
        <v>5596</v>
      </c>
      <c r="N3908">
        <v>8</v>
      </c>
      <c r="O3908">
        <v>13</v>
      </c>
      <c r="P3908">
        <v>122997.85</v>
      </c>
      <c r="Q3908">
        <v>77692.34</v>
      </c>
      <c r="R3908">
        <v>512</v>
      </c>
      <c r="S3908">
        <v>1071</v>
      </c>
      <c r="T3908" t="s">
        <v>108</v>
      </c>
      <c r="U3908" t="s">
        <v>31</v>
      </c>
    </row>
    <row r="3909" spans="1:21">
      <c r="A3909" t="s">
        <v>6130</v>
      </c>
      <c r="B3909" t="s">
        <v>6129</v>
      </c>
      <c r="C3909" t="s">
        <v>5601</v>
      </c>
      <c r="D3909">
        <v>62000</v>
      </c>
      <c r="E3909">
        <v>4000</v>
      </c>
      <c r="G3909">
        <v>62000</v>
      </c>
      <c r="H3909">
        <v>2</v>
      </c>
      <c r="I3909" t="s">
        <v>432</v>
      </c>
      <c r="J3909">
        <v>11.04</v>
      </c>
      <c r="K3909">
        <v>7</v>
      </c>
      <c r="L3909">
        <v>2</v>
      </c>
      <c r="M3909" t="s">
        <v>5596</v>
      </c>
      <c r="N3909">
        <v>8</v>
      </c>
      <c r="O3909">
        <v>13</v>
      </c>
      <c r="P3909">
        <v>122997.85</v>
      </c>
      <c r="Q3909">
        <v>77692.34</v>
      </c>
      <c r="R3909">
        <v>512</v>
      </c>
      <c r="S3909">
        <v>1071</v>
      </c>
      <c r="T3909" t="s">
        <v>108</v>
      </c>
      <c r="U3909" t="s">
        <v>31</v>
      </c>
    </row>
    <row r="3910" spans="1:21">
      <c r="A3910" t="s">
        <v>6131</v>
      </c>
      <c r="B3910" t="s">
        <v>6132</v>
      </c>
      <c r="C3910" t="s">
        <v>5601</v>
      </c>
      <c r="D3910">
        <v>64000</v>
      </c>
      <c r="E3910">
        <v>3000</v>
      </c>
      <c r="H3910">
        <v>1</v>
      </c>
      <c r="I3910" t="s">
        <v>432</v>
      </c>
      <c r="J3910">
        <v>10.56</v>
      </c>
      <c r="K3910">
        <v>6</v>
      </c>
      <c r="L3910">
        <v>2</v>
      </c>
      <c r="M3910" t="s">
        <v>5596</v>
      </c>
      <c r="N3910">
        <v>4</v>
      </c>
      <c r="O3910">
        <v>11</v>
      </c>
      <c r="P3910">
        <v>122997.85</v>
      </c>
      <c r="Q3910">
        <v>77692.34</v>
      </c>
      <c r="R3910">
        <v>512</v>
      </c>
      <c r="S3910">
        <v>1071</v>
      </c>
      <c r="T3910" t="s">
        <v>108</v>
      </c>
      <c r="U3910" t="s">
        <v>31</v>
      </c>
    </row>
    <row r="3911" spans="1:21">
      <c r="A3911" t="s">
        <v>6133</v>
      </c>
      <c r="B3911" t="s">
        <v>6134</v>
      </c>
      <c r="C3911" t="s">
        <v>5601</v>
      </c>
      <c r="D3911">
        <v>64000</v>
      </c>
      <c r="E3911">
        <v>3000</v>
      </c>
      <c r="H3911">
        <v>1</v>
      </c>
      <c r="I3911" t="s">
        <v>432</v>
      </c>
      <c r="J3911">
        <v>10.56</v>
      </c>
      <c r="K3911">
        <v>6</v>
      </c>
      <c r="L3911">
        <v>2</v>
      </c>
      <c r="M3911" t="s">
        <v>5596</v>
      </c>
      <c r="N3911">
        <v>4</v>
      </c>
      <c r="O3911">
        <v>12</v>
      </c>
      <c r="P3911">
        <v>122997.85</v>
      </c>
      <c r="Q3911">
        <v>77692.34</v>
      </c>
      <c r="R3911">
        <v>512</v>
      </c>
      <c r="S3911">
        <v>1071</v>
      </c>
      <c r="T3911" t="s">
        <v>108</v>
      </c>
      <c r="U3911" t="s">
        <v>31</v>
      </c>
    </row>
    <row r="3912" spans="1:21">
      <c r="A3912" t="s">
        <v>6135</v>
      </c>
      <c r="B3912" t="s">
        <v>6136</v>
      </c>
      <c r="C3912" t="s">
        <v>712</v>
      </c>
      <c r="D3912">
        <v>65000</v>
      </c>
      <c r="E3912">
        <v>3000</v>
      </c>
      <c r="H3912">
        <v>2</v>
      </c>
      <c r="I3912" t="s">
        <v>432</v>
      </c>
      <c r="J3912">
        <v>10.29</v>
      </c>
      <c r="K3912">
        <v>6</v>
      </c>
      <c r="L3912">
        <v>2</v>
      </c>
      <c r="M3912" t="s">
        <v>5596</v>
      </c>
      <c r="N3912">
        <v>6</v>
      </c>
      <c r="O3912">
        <v>10.67</v>
      </c>
      <c r="P3912">
        <v>122997.85</v>
      </c>
      <c r="Q3912">
        <v>77692.34</v>
      </c>
      <c r="R3912">
        <v>512</v>
      </c>
      <c r="S3912">
        <v>1071</v>
      </c>
      <c r="T3912" t="s">
        <v>108</v>
      </c>
      <c r="U3912" t="s">
        <v>31</v>
      </c>
    </row>
    <row r="3913" spans="1:21">
      <c r="A3913" t="s">
        <v>6137</v>
      </c>
      <c r="B3913" t="s">
        <v>6136</v>
      </c>
      <c r="C3913" t="s">
        <v>712</v>
      </c>
      <c r="D3913">
        <v>69000</v>
      </c>
      <c r="E3913">
        <v>3000</v>
      </c>
      <c r="H3913">
        <v>2</v>
      </c>
      <c r="I3913" t="s">
        <v>432</v>
      </c>
      <c r="J3913">
        <v>10.29</v>
      </c>
      <c r="K3913">
        <v>6</v>
      </c>
      <c r="L3913">
        <v>2</v>
      </c>
      <c r="M3913" t="s">
        <v>5596</v>
      </c>
      <c r="N3913">
        <v>6</v>
      </c>
      <c r="O3913">
        <v>10.67</v>
      </c>
      <c r="P3913">
        <v>122997.85</v>
      </c>
      <c r="Q3913">
        <v>77692.34</v>
      </c>
      <c r="R3913">
        <v>512</v>
      </c>
      <c r="S3913">
        <v>1071</v>
      </c>
      <c r="T3913" t="s">
        <v>108</v>
      </c>
      <c r="U3913" t="s">
        <v>31</v>
      </c>
    </row>
    <row r="3914" spans="1:21">
      <c r="A3914" t="s">
        <v>6138</v>
      </c>
      <c r="B3914" t="s">
        <v>6139</v>
      </c>
      <c r="C3914" t="s">
        <v>2033</v>
      </c>
      <c r="D3914">
        <v>53700</v>
      </c>
      <c r="F3914">
        <v>107400</v>
      </c>
      <c r="G3914">
        <v>53700</v>
      </c>
      <c r="H3914">
        <v>1</v>
      </c>
      <c r="I3914" t="s">
        <v>432</v>
      </c>
      <c r="J3914">
        <v>15.1</v>
      </c>
      <c r="K3914">
        <v>44</v>
      </c>
      <c r="L3914">
        <v>2</v>
      </c>
      <c r="M3914" t="s">
        <v>5596</v>
      </c>
      <c r="N3914">
        <v>9</v>
      </c>
      <c r="O3914">
        <v>13.33</v>
      </c>
      <c r="P3914">
        <v>122997.85</v>
      </c>
      <c r="Q3914">
        <v>77692.34</v>
      </c>
      <c r="R3914">
        <v>512</v>
      </c>
      <c r="S3914">
        <v>1071</v>
      </c>
      <c r="T3914" t="s">
        <v>108</v>
      </c>
      <c r="U3914" t="s">
        <v>42</v>
      </c>
    </row>
    <row r="3915" spans="1:21">
      <c r="A3915" t="s">
        <v>6140</v>
      </c>
      <c r="B3915" t="s">
        <v>6141</v>
      </c>
      <c r="C3915" t="s">
        <v>4356</v>
      </c>
      <c r="D3915">
        <v>78000</v>
      </c>
      <c r="E3915">
        <v>5000</v>
      </c>
      <c r="F3915">
        <v>78000</v>
      </c>
      <c r="G3915">
        <v>78000</v>
      </c>
      <c r="H3915">
        <v>1</v>
      </c>
      <c r="I3915" t="s">
        <v>432</v>
      </c>
      <c r="J3915">
        <v>18.34</v>
      </c>
      <c r="K3915">
        <v>8</v>
      </c>
      <c r="L3915">
        <v>3</v>
      </c>
      <c r="M3915" t="s">
        <v>5596</v>
      </c>
      <c r="N3915">
        <v>7</v>
      </c>
      <c r="O3915">
        <v>10.33</v>
      </c>
      <c r="P3915">
        <v>122997.85</v>
      </c>
      <c r="Q3915">
        <v>77692.34</v>
      </c>
      <c r="R3915">
        <v>512</v>
      </c>
      <c r="S3915">
        <v>1071</v>
      </c>
      <c r="T3915" t="s">
        <v>108</v>
      </c>
      <c r="U3915" t="s">
        <v>31</v>
      </c>
    </row>
    <row r="3916" spans="1:21">
      <c r="A3916" t="s">
        <v>6142</v>
      </c>
      <c r="B3916" t="s">
        <v>6141</v>
      </c>
      <c r="C3916" t="s">
        <v>4356</v>
      </c>
      <c r="D3916">
        <v>80000</v>
      </c>
      <c r="E3916">
        <v>5000</v>
      </c>
      <c r="F3916">
        <v>80000</v>
      </c>
      <c r="G3916">
        <v>80000</v>
      </c>
      <c r="H3916">
        <v>3</v>
      </c>
      <c r="I3916" t="s">
        <v>432</v>
      </c>
      <c r="J3916">
        <v>18.32</v>
      </c>
      <c r="K3916">
        <v>8</v>
      </c>
      <c r="L3916">
        <v>3</v>
      </c>
      <c r="M3916" t="s">
        <v>5596</v>
      </c>
      <c r="N3916">
        <v>7</v>
      </c>
      <c r="O3916">
        <v>10.33</v>
      </c>
      <c r="P3916">
        <v>122997.85</v>
      </c>
      <c r="Q3916">
        <v>77692.34</v>
      </c>
      <c r="R3916">
        <v>512</v>
      </c>
      <c r="S3916">
        <v>1071</v>
      </c>
      <c r="T3916" t="s">
        <v>108</v>
      </c>
      <c r="U3916" t="s">
        <v>31</v>
      </c>
    </row>
    <row r="3917" spans="1:21">
      <c r="A3917" t="s">
        <v>6143</v>
      </c>
      <c r="B3917" t="s">
        <v>6144</v>
      </c>
      <c r="C3917" t="s">
        <v>5608</v>
      </c>
      <c r="D3917">
        <v>68000</v>
      </c>
      <c r="E3917">
        <v>3000</v>
      </c>
      <c r="G3917">
        <v>68000</v>
      </c>
      <c r="H3917">
        <v>3</v>
      </c>
      <c r="I3917" t="s">
        <v>432</v>
      </c>
      <c r="J3917">
        <v>18.12</v>
      </c>
      <c r="K3917">
        <v>37</v>
      </c>
      <c r="L3917">
        <v>3</v>
      </c>
      <c r="M3917" t="s">
        <v>5596</v>
      </c>
      <c r="N3917">
        <v>4</v>
      </c>
      <c r="O3917">
        <v>10.33</v>
      </c>
      <c r="P3917">
        <v>122997.85</v>
      </c>
      <c r="Q3917">
        <v>77692.34</v>
      </c>
      <c r="R3917">
        <v>512</v>
      </c>
      <c r="S3917">
        <v>1071</v>
      </c>
      <c r="T3917" t="s">
        <v>108</v>
      </c>
      <c r="U3917" t="s">
        <v>49</v>
      </c>
    </row>
    <row r="3918" spans="1:21">
      <c r="A3918" t="s">
        <v>6145</v>
      </c>
      <c r="B3918" t="s">
        <v>6146</v>
      </c>
      <c r="C3918" t="s">
        <v>4016</v>
      </c>
      <c r="D3918">
        <v>68000</v>
      </c>
      <c r="E3918">
        <v>4000</v>
      </c>
      <c r="G3918">
        <v>68000</v>
      </c>
      <c r="H3918">
        <v>2</v>
      </c>
      <c r="I3918" t="s">
        <v>432</v>
      </c>
      <c r="J3918">
        <v>10.65</v>
      </c>
      <c r="K3918">
        <v>8</v>
      </c>
      <c r="L3918">
        <v>2</v>
      </c>
      <c r="M3918" t="s">
        <v>5596</v>
      </c>
      <c r="N3918">
        <v>5</v>
      </c>
      <c r="O3918">
        <v>9.33</v>
      </c>
      <c r="P3918">
        <v>122997.85</v>
      </c>
      <c r="Q3918">
        <v>77692.34</v>
      </c>
      <c r="R3918">
        <v>512</v>
      </c>
      <c r="S3918">
        <v>1071</v>
      </c>
      <c r="T3918" t="s">
        <v>108</v>
      </c>
      <c r="U3918" t="s">
        <v>31</v>
      </c>
    </row>
    <row r="3919" spans="1:21">
      <c r="A3919" t="s">
        <v>6147</v>
      </c>
      <c r="B3919" t="s">
        <v>6148</v>
      </c>
      <c r="C3919" t="s">
        <v>5601</v>
      </c>
      <c r="D3919">
        <v>60000</v>
      </c>
      <c r="E3919">
        <v>5000</v>
      </c>
      <c r="F3919">
        <v>60000</v>
      </c>
      <c r="H3919">
        <v>2</v>
      </c>
      <c r="I3919" t="s">
        <v>432</v>
      </c>
      <c r="J3919">
        <v>15.65</v>
      </c>
      <c r="K3919">
        <v>10</v>
      </c>
      <c r="L3919">
        <v>2</v>
      </c>
      <c r="M3919" t="s">
        <v>5596</v>
      </c>
      <c r="N3919">
        <v>4</v>
      </c>
      <c r="O3919">
        <v>10.33</v>
      </c>
      <c r="P3919">
        <v>122997.85</v>
      </c>
      <c r="Q3919">
        <v>77692.34</v>
      </c>
      <c r="R3919">
        <v>512</v>
      </c>
      <c r="S3919">
        <v>1071</v>
      </c>
      <c r="T3919" t="s">
        <v>108</v>
      </c>
      <c r="U3919" t="s">
        <v>31</v>
      </c>
    </row>
    <row r="3920" spans="1:21">
      <c r="A3920" t="s">
        <v>6149</v>
      </c>
      <c r="B3920" t="s">
        <v>6150</v>
      </c>
      <c r="C3920" t="s">
        <v>5608</v>
      </c>
      <c r="D3920">
        <v>85000</v>
      </c>
      <c r="E3920">
        <v>5000</v>
      </c>
      <c r="F3920">
        <v>85000</v>
      </c>
      <c r="G3920">
        <v>85000</v>
      </c>
      <c r="H3920">
        <v>4</v>
      </c>
      <c r="I3920" t="s">
        <v>432</v>
      </c>
      <c r="J3920">
        <v>25.68</v>
      </c>
      <c r="K3920">
        <v>24</v>
      </c>
      <c r="L3920">
        <v>4</v>
      </c>
      <c r="M3920" t="s">
        <v>5596</v>
      </c>
      <c r="N3920">
        <v>7</v>
      </c>
      <c r="O3920">
        <v>11.33</v>
      </c>
      <c r="P3920">
        <v>122997.85</v>
      </c>
      <c r="Q3920">
        <v>77692.34</v>
      </c>
      <c r="R3920">
        <v>512</v>
      </c>
      <c r="S3920">
        <v>1071</v>
      </c>
      <c r="T3920" t="s">
        <v>34</v>
      </c>
      <c r="U3920" t="s">
        <v>27</v>
      </c>
    </row>
    <row r="3921" spans="1:21">
      <c r="A3921" t="s">
        <v>6151</v>
      </c>
      <c r="B3921" t="s">
        <v>5760</v>
      </c>
      <c r="C3921" t="s">
        <v>4356</v>
      </c>
      <c r="D3921">
        <v>55000</v>
      </c>
      <c r="E3921">
        <v>10000</v>
      </c>
      <c r="G3921">
        <v>55000</v>
      </c>
      <c r="H3921">
        <v>5</v>
      </c>
      <c r="I3921" t="s">
        <v>432</v>
      </c>
      <c r="J3921">
        <v>20.95</v>
      </c>
      <c r="K3921">
        <v>38</v>
      </c>
      <c r="L3921">
        <v>5</v>
      </c>
      <c r="M3921" t="s">
        <v>5596</v>
      </c>
      <c r="N3921">
        <v>8</v>
      </c>
      <c r="O3921">
        <v>11</v>
      </c>
      <c r="P3921">
        <v>122997.85</v>
      </c>
      <c r="Q3921">
        <v>77692.34</v>
      </c>
      <c r="R3921">
        <v>512</v>
      </c>
      <c r="S3921">
        <v>1071</v>
      </c>
      <c r="T3921" t="s">
        <v>34</v>
      </c>
      <c r="U3921" t="s">
        <v>49</v>
      </c>
    </row>
    <row r="3922" spans="1:21">
      <c r="A3922" t="s">
        <v>6152</v>
      </c>
      <c r="B3922" t="s">
        <v>5760</v>
      </c>
      <c r="C3922" t="s">
        <v>4356</v>
      </c>
      <c r="D3922">
        <v>60000</v>
      </c>
      <c r="E3922">
        <v>7000</v>
      </c>
      <c r="F3922">
        <v>60000</v>
      </c>
      <c r="G3922">
        <v>60000</v>
      </c>
      <c r="H3922">
        <v>5</v>
      </c>
      <c r="I3922" t="s">
        <v>432</v>
      </c>
      <c r="J3922">
        <v>20.95</v>
      </c>
      <c r="K3922">
        <v>38</v>
      </c>
      <c r="L3922">
        <v>5</v>
      </c>
      <c r="M3922" t="s">
        <v>5596</v>
      </c>
      <c r="N3922">
        <v>8</v>
      </c>
      <c r="O3922">
        <v>11</v>
      </c>
      <c r="P3922">
        <v>122997.85</v>
      </c>
      <c r="Q3922">
        <v>77692.34</v>
      </c>
      <c r="R3922">
        <v>512</v>
      </c>
      <c r="S3922">
        <v>1071</v>
      </c>
      <c r="T3922" t="s">
        <v>34</v>
      </c>
      <c r="U3922" t="s">
        <v>49</v>
      </c>
    </row>
    <row r="3923" spans="1:21">
      <c r="A3923" t="s">
        <v>6153</v>
      </c>
      <c r="B3923" t="s">
        <v>5774</v>
      </c>
      <c r="C3923" t="s">
        <v>5608</v>
      </c>
      <c r="D3923">
        <v>59000</v>
      </c>
      <c r="E3923">
        <v>5000</v>
      </c>
      <c r="H3923">
        <v>4</v>
      </c>
      <c r="I3923" t="s">
        <v>432</v>
      </c>
      <c r="J3923">
        <v>16.2</v>
      </c>
      <c r="K3923">
        <v>38</v>
      </c>
      <c r="L3923">
        <v>6</v>
      </c>
      <c r="M3923" t="s">
        <v>5596</v>
      </c>
      <c r="N3923">
        <v>7</v>
      </c>
      <c r="O3923">
        <v>11.67</v>
      </c>
      <c r="P3923">
        <v>122997.85</v>
      </c>
      <c r="Q3923">
        <v>77692.34</v>
      </c>
      <c r="R3923">
        <v>512</v>
      </c>
      <c r="S3923">
        <v>1071</v>
      </c>
      <c r="T3923" t="s">
        <v>108</v>
      </c>
      <c r="U3923" t="s">
        <v>49</v>
      </c>
    </row>
    <row r="3924" spans="1:21">
      <c r="A3924" t="s">
        <v>6154</v>
      </c>
      <c r="B3924" t="s">
        <v>6155</v>
      </c>
      <c r="C3924" t="s">
        <v>712</v>
      </c>
      <c r="D3924">
        <v>85000</v>
      </c>
      <c r="E3924">
        <v>10000</v>
      </c>
      <c r="F3924">
        <v>85000</v>
      </c>
      <c r="G3924">
        <v>85000</v>
      </c>
      <c r="H3924">
        <v>4</v>
      </c>
      <c r="I3924" t="s">
        <v>432</v>
      </c>
      <c r="J3924">
        <v>25.73</v>
      </c>
      <c r="K3924">
        <v>27</v>
      </c>
      <c r="L3924">
        <v>8</v>
      </c>
      <c r="M3924" t="s">
        <v>5596</v>
      </c>
      <c r="N3924">
        <v>3</v>
      </c>
      <c r="O3924">
        <v>10</v>
      </c>
      <c r="P3924">
        <v>122997.85</v>
      </c>
      <c r="Q3924">
        <v>77692.34</v>
      </c>
      <c r="R3924">
        <v>512</v>
      </c>
      <c r="S3924">
        <v>1071</v>
      </c>
      <c r="T3924" t="s">
        <v>34</v>
      </c>
      <c r="U3924" t="s">
        <v>27</v>
      </c>
    </row>
    <row r="3925" spans="1:21">
      <c r="A3925" t="s">
        <v>6156</v>
      </c>
      <c r="B3925" t="s">
        <v>6155</v>
      </c>
      <c r="C3925" t="s">
        <v>712</v>
      </c>
      <c r="D3925">
        <v>80000</v>
      </c>
      <c r="E3925">
        <v>15000</v>
      </c>
      <c r="G3925">
        <v>80000</v>
      </c>
      <c r="H3925">
        <v>5</v>
      </c>
      <c r="I3925" t="s">
        <v>432</v>
      </c>
      <c r="J3925">
        <v>26.07</v>
      </c>
      <c r="K3925">
        <v>27</v>
      </c>
      <c r="L3925">
        <v>8</v>
      </c>
      <c r="M3925" t="s">
        <v>5596</v>
      </c>
      <c r="N3925">
        <v>3</v>
      </c>
      <c r="O3925">
        <v>10</v>
      </c>
      <c r="P3925">
        <v>122997.85</v>
      </c>
      <c r="Q3925">
        <v>77692.34</v>
      </c>
      <c r="R3925">
        <v>512</v>
      </c>
      <c r="S3925">
        <v>1071</v>
      </c>
      <c r="T3925" t="s">
        <v>34</v>
      </c>
      <c r="U3925" t="s">
        <v>27</v>
      </c>
    </row>
    <row r="3926" spans="1:21">
      <c r="A3926" t="s">
        <v>6157</v>
      </c>
      <c r="B3926" t="s">
        <v>5783</v>
      </c>
      <c r="C3926" t="s">
        <v>5608</v>
      </c>
      <c r="D3926">
        <v>139000</v>
      </c>
      <c r="E3926">
        <v>11000</v>
      </c>
      <c r="G3926">
        <v>139000</v>
      </c>
      <c r="H3926">
        <v>4</v>
      </c>
      <c r="I3926" t="s">
        <v>432</v>
      </c>
      <c r="J3926">
        <v>26.44</v>
      </c>
      <c r="K3926">
        <v>9</v>
      </c>
      <c r="L3926">
        <v>9</v>
      </c>
      <c r="M3926" t="s">
        <v>5596</v>
      </c>
      <c r="N3926">
        <v>1</v>
      </c>
      <c r="O3926">
        <v>9.33</v>
      </c>
      <c r="P3926">
        <v>122997.85</v>
      </c>
      <c r="Q3926">
        <v>77692.34</v>
      </c>
      <c r="R3926">
        <v>512</v>
      </c>
      <c r="S3926">
        <v>1071</v>
      </c>
      <c r="T3926" t="s">
        <v>34</v>
      </c>
      <c r="U3926" t="s">
        <v>31</v>
      </c>
    </row>
    <row r="3927" spans="1:21">
      <c r="A3927" t="s">
        <v>6158</v>
      </c>
      <c r="B3927" t="s">
        <v>6159</v>
      </c>
      <c r="C3927" t="s">
        <v>758</v>
      </c>
      <c r="D3927">
        <v>60000</v>
      </c>
      <c r="E3927">
        <v>3000</v>
      </c>
      <c r="F3927">
        <v>60000</v>
      </c>
      <c r="H3927">
        <v>1</v>
      </c>
      <c r="I3927" t="s">
        <v>432</v>
      </c>
      <c r="J3927">
        <v>15.38</v>
      </c>
      <c r="K3927">
        <v>43</v>
      </c>
      <c r="L3927">
        <v>4</v>
      </c>
      <c r="M3927" t="s">
        <v>5596</v>
      </c>
      <c r="N3927">
        <v>5</v>
      </c>
      <c r="O3927">
        <v>11.33</v>
      </c>
      <c r="P3927">
        <v>122997.85</v>
      </c>
      <c r="Q3927">
        <v>77692.34</v>
      </c>
      <c r="R3927">
        <v>512</v>
      </c>
      <c r="S3927">
        <v>1071</v>
      </c>
      <c r="T3927" t="s">
        <v>108</v>
      </c>
      <c r="U3927" t="s">
        <v>42</v>
      </c>
    </row>
    <row r="3928" spans="1:21">
      <c r="A3928" t="s">
        <v>6160</v>
      </c>
      <c r="B3928" t="s">
        <v>6161</v>
      </c>
      <c r="C3928" t="s">
        <v>4013</v>
      </c>
      <c r="D3928">
        <v>58000</v>
      </c>
      <c r="E3928">
        <v>3000</v>
      </c>
      <c r="H3928">
        <v>1</v>
      </c>
      <c r="I3928" t="s">
        <v>432</v>
      </c>
      <c r="J3928">
        <v>18.5</v>
      </c>
      <c r="K3928">
        <v>28</v>
      </c>
      <c r="L3928">
        <v>2</v>
      </c>
      <c r="M3928" t="s">
        <v>5596</v>
      </c>
      <c r="N3928">
        <v>5</v>
      </c>
      <c r="O3928">
        <v>9.67</v>
      </c>
      <c r="P3928">
        <v>122997.85</v>
      </c>
      <c r="Q3928">
        <v>77692.34</v>
      </c>
      <c r="R3928">
        <v>512</v>
      </c>
      <c r="S3928">
        <v>1071</v>
      </c>
      <c r="T3928" t="s">
        <v>108</v>
      </c>
      <c r="U3928" t="s">
        <v>27</v>
      </c>
    </row>
    <row r="3929" spans="1:21">
      <c r="A3929" t="s">
        <v>6162</v>
      </c>
      <c r="B3929" t="s">
        <v>6163</v>
      </c>
      <c r="C3929" t="s">
        <v>4013</v>
      </c>
      <c r="D3929">
        <v>70000</v>
      </c>
      <c r="E3929">
        <v>3000</v>
      </c>
      <c r="H3929">
        <v>1</v>
      </c>
      <c r="I3929" t="s">
        <v>432</v>
      </c>
      <c r="J3929">
        <v>22</v>
      </c>
      <c r="K3929">
        <v>25</v>
      </c>
      <c r="L3929">
        <v>2</v>
      </c>
      <c r="M3929" t="s">
        <v>5596</v>
      </c>
      <c r="N3929">
        <v>6</v>
      </c>
      <c r="O3929">
        <v>10.67</v>
      </c>
      <c r="P3929">
        <v>122997.85</v>
      </c>
      <c r="Q3929">
        <v>77692.34</v>
      </c>
      <c r="R3929">
        <v>512</v>
      </c>
      <c r="S3929">
        <v>1071</v>
      </c>
      <c r="T3929" t="s">
        <v>34</v>
      </c>
      <c r="U3929" t="s">
        <v>27</v>
      </c>
    </row>
    <row r="3930" spans="1:21">
      <c r="A3930" t="s">
        <v>6164</v>
      </c>
      <c r="B3930" t="s">
        <v>6165</v>
      </c>
      <c r="C3930" t="s">
        <v>5608</v>
      </c>
      <c r="D3930">
        <v>77000</v>
      </c>
      <c r="E3930">
        <v>3000</v>
      </c>
      <c r="H3930">
        <v>1</v>
      </c>
      <c r="I3930" t="s">
        <v>432</v>
      </c>
      <c r="J3930">
        <v>22.32</v>
      </c>
      <c r="K3930">
        <v>19</v>
      </c>
      <c r="L3930">
        <v>2</v>
      </c>
      <c r="M3930" t="s">
        <v>5596</v>
      </c>
      <c r="N3930">
        <v>4</v>
      </c>
      <c r="O3930">
        <v>9.67</v>
      </c>
      <c r="P3930">
        <v>122997.85</v>
      </c>
      <c r="Q3930">
        <v>77692.34</v>
      </c>
      <c r="R3930">
        <v>512</v>
      </c>
      <c r="S3930">
        <v>1071</v>
      </c>
      <c r="T3930" t="s">
        <v>34</v>
      </c>
      <c r="U3930" t="s">
        <v>90</v>
      </c>
    </row>
    <row r="3931" spans="1:21">
      <c r="A3931" t="s">
        <v>6166</v>
      </c>
      <c r="B3931" t="s">
        <v>6167</v>
      </c>
      <c r="C3931" t="s">
        <v>5601</v>
      </c>
      <c r="D3931">
        <v>61000</v>
      </c>
      <c r="E3931">
        <v>3000</v>
      </c>
      <c r="H3931">
        <v>2</v>
      </c>
      <c r="I3931" t="s">
        <v>432</v>
      </c>
      <c r="J3931">
        <v>10.029999999999999</v>
      </c>
      <c r="K3931">
        <v>10</v>
      </c>
      <c r="L3931">
        <v>2</v>
      </c>
      <c r="M3931" t="s">
        <v>5596</v>
      </c>
      <c r="N3931">
        <v>4</v>
      </c>
      <c r="O3931">
        <v>10.33</v>
      </c>
      <c r="P3931">
        <v>122997.85</v>
      </c>
      <c r="Q3931">
        <v>77692.34</v>
      </c>
      <c r="R3931">
        <v>512</v>
      </c>
      <c r="S3931">
        <v>1071</v>
      </c>
      <c r="T3931" t="s">
        <v>108</v>
      </c>
      <c r="U3931" t="s">
        <v>31</v>
      </c>
    </row>
    <row r="3932" spans="1:21">
      <c r="A3932" t="s">
        <v>6168</v>
      </c>
      <c r="B3932" t="s">
        <v>6167</v>
      </c>
      <c r="C3932" t="s">
        <v>5601</v>
      </c>
      <c r="D3932">
        <v>62000</v>
      </c>
      <c r="E3932">
        <v>3000</v>
      </c>
      <c r="H3932">
        <v>2</v>
      </c>
      <c r="I3932" t="s">
        <v>432</v>
      </c>
      <c r="J3932">
        <v>12.93</v>
      </c>
      <c r="K3932">
        <v>10</v>
      </c>
      <c r="L3932">
        <v>2</v>
      </c>
      <c r="M3932" t="s">
        <v>5596</v>
      </c>
      <c r="N3932">
        <v>4</v>
      </c>
      <c r="O3932">
        <v>10.33</v>
      </c>
      <c r="P3932">
        <v>122997.85</v>
      </c>
      <c r="Q3932">
        <v>77692.34</v>
      </c>
      <c r="R3932">
        <v>512</v>
      </c>
      <c r="S3932">
        <v>1071</v>
      </c>
      <c r="T3932" t="s">
        <v>108</v>
      </c>
      <c r="U3932" t="s">
        <v>31</v>
      </c>
    </row>
    <row r="3933" spans="1:21">
      <c r="A3933" t="s">
        <v>6169</v>
      </c>
      <c r="B3933" t="s">
        <v>5833</v>
      </c>
      <c r="C3933" t="s">
        <v>2033</v>
      </c>
      <c r="D3933">
        <v>72000</v>
      </c>
      <c r="E3933">
        <v>3000</v>
      </c>
      <c r="F3933">
        <v>72000</v>
      </c>
      <c r="G3933">
        <v>72000</v>
      </c>
      <c r="H3933">
        <v>2</v>
      </c>
      <c r="I3933" t="s">
        <v>432</v>
      </c>
      <c r="J3933">
        <v>20</v>
      </c>
      <c r="K3933">
        <v>38</v>
      </c>
      <c r="L3933">
        <v>4</v>
      </c>
      <c r="M3933" t="s">
        <v>5596</v>
      </c>
      <c r="N3933">
        <v>9</v>
      </c>
      <c r="O3933">
        <v>13.33</v>
      </c>
      <c r="P3933">
        <v>122997.85</v>
      </c>
      <c r="Q3933">
        <v>77692.34</v>
      </c>
      <c r="R3933">
        <v>512</v>
      </c>
      <c r="S3933">
        <v>1071</v>
      </c>
      <c r="T3933" t="s">
        <v>34</v>
      </c>
      <c r="U3933" t="s">
        <v>49</v>
      </c>
    </row>
    <row r="3934" spans="1:21">
      <c r="A3934" t="s">
        <v>6170</v>
      </c>
      <c r="B3934" t="s">
        <v>6171</v>
      </c>
      <c r="C3934" t="s">
        <v>4356</v>
      </c>
      <c r="D3934">
        <v>95000</v>
      </c>
      <c r="F3934">
        <v>95000</v>
      </c>
      <c r="G3934">
        <v>95000</v>
      </c>
      <c r="H3934">
        <v>3</v>
      </c>
      <c r="I3934" t="s">
        <v>432</v>
      </c>
      <c r="J3934">
        <v>25</v>
      </c>
      <c r="K3934">
        <v>43</v>
      </c>
      <c r="L3934">
        <v>3</v>
      </c>
      <c r="M3934" t="s">
        <v>5596</v>
      </c>
      <c r="N3934">
        <v>7</v>
      </c>
      <c r="O3934">
        <v>7.67</v>
      </c>
      <c r="P3934">
        <v>122997.85</v>
      </c>
      <c r="Q3934">
        <v>77692.34</v>
      </c>
      <c r="R3934">
        <v>512</v>
      </c>
      <c r="S3934">
        <v>1071</v>
      </c>
      <c r="T3934" t="s">
        <v>34</v>
      </c>
      <c r="U3934" t="s">
        <v>42</v>
      </c>
    </row>
    <row r="3935" spans="1:21">
      <c r="A3935" t="s">
        <v>6172</v>
      </c>
      <c r="B3935" t="s">
        <v>6173</v>
      </c>
      <c r="C3935" t="s">
        <v>712</v>
      </c>
      <c r="D3935">
        <v>68000</v>
      </c>
      <c r="E3935">
        <v>7000</v>
      </c>
      <c r="F3935">
        <v>68000</v>
      </c>
      <c r="H3935">
        <v>2</v>
      </c>
      <c r="I3935" t="s">
        <v>432</v>
      </c>
      <c r="J3935">
        <v>32.799999999999997</v>
      </c>
      <c r="K3935">
        <v>55</v>
      </c>
      <c r="L3935">
        <v>8</v>
      </c>
      <c r="M3935" t="s">
        <v>5596</v>
      </c>
      <c r="N3935">
        <v>8</v>
      </c>
      <c r="O3935">
        <v>9.33</v>
      </c>
      <c r="P3935">
        <v>122997.85</v>
      </c>
      <c r="Q3935">
        <v>77692.34</v>
      </c>
      <c r="R3935">
        <v>512</v>
      </c>
      <c r="S3935">
        <v>1071</v>
      </c>
      <c r="T3935" t="s">
        <v>26</v>
      </c>
      <c r="U3935" t="s">
        <v>57</v>
      </c>
    </row>
    <row r="3936" spans="1:21">
      <c r="A3936" t="s">
        <v>6174</v>
      </c>
      <c r="B3936" t="s">
        <v>6173</v>
      </c>
      <c r="C3936" t="s">
        <v>712</v>
      </c>
      <c r="D3936">
        <v>68000</v>
      </c>
      <c r="E3936">
        <v>7000</v>
      </c>
      <c r="F3936">
        <v>68000</v>
      </c>
      <c r="H3936">
        <v>3</v>
      </c>
      <c r="I3936" t="s">
        <v>432</v>
      </c>
      <c r="J3936">
        <v>25.24</v>
      </c>
      <c r="K3936">
        <v>55</v>
      </c>
      <c r="L3936">
        <v>8</v>
      </c>
      <c r="M3936" t="s">
        <v>5596</v>
      </c>
      <c r="N3936">
        <v>8</v>
      </c>
      <c r="O3936">
        <v>9.33</v>
      </c>
      <c r="P3936">
        <v>122997.85</v>
      </c>
      <c r="Q3936">
        <v>77692.34</v>
      </c>
      <c r="R3936">
        <v>512</v>
      </c>
      <c r="S3936">
        <v>1071</v>
      </c>
      <c r="T3936" t="s">
        <v>34</v>
      </c>
      <c r="U3936" t="s">
        <v>57</v>
      </c>
    </row>
    <row r="3937" spans="1:21">
      <c r="A3937" t="s">
        <v>6175</v>
      </c>
      <c r="B3937" t="s">
        <v>6176</v>
      </c>
      <c r="C3937" t="s">
        <v>4013</v>
      </c>
      <c r="D3937">
        <v>56000</v>
      </c>
      <c r="E3937">
        <v>2000</v>
      </c>
      <c r="H3937">
        <v>3</v>
      </c>
      <c r="I3937" t="s">
        <v>432</v>
      </c>
      <c r="J3937">
        <v>18</v>
      </c>
      <c r="K3937">
        <v>38</v>
      </c>
      <c r="L3937">
        <v>5</v>
      </c>
      <c r="M3937" t="s">
        <v>5596</v>
      </c>
      <c r="N3937">
        <v>3</v>
      </c>
      <c r="O3937">
        <v>9</v>
      </c>
      <c r="P3937">
        <v>122997.85</v>
      </c>
      <c r="Q3937">
        <v>77692.34</v>
      </c>
      <c r="R3937">
        <v>512</v>
      </c>
      <c r="S3937">
        <v>1071</v>
      </c>
      <c r="T3937" t="s">
        <v>108</v>
      </c>
      <c r="U3937" t="s">
        <v>49</v>
      </c>
    </row>
    <row r="3938" spans="1:21">
      <c r="A3938" t="s">
        <v>6177</v>
      </c>
      <c r="B3938" t="s">
        <v>6178</v>
      </c>
      <c r="C3938" t="s">
        <v>712</v>
      </c>
      <c r="D3938">
        <v>32000</v>
      </c>
      <c r="E3938">
        <v>2000</v>
      </c>
      <c r="H3938">
        <v>2</v>
      </c>
      <c r="I3938" t="s">
        <v>432</v>
      </c>
      <c r="J3938">
        <v>10</v>
      </c>
      <c r="K3938">
        <v>70</v>
      </c>
      <c r="L3938">
        <v>2</v>
      </c>
      <c r="M3938" t="s">
        <v>5596</v>
      </c>
      <c r="N3938">
        <v>5</v>
      </c>
      <c r="O3938">
        <v>8.67</v>
      </c>
      <c r="P3938">
        <v>122997.85</v>
      </c>
      <c r="Q3938">
        <v>77692.34</v>
      </c>
      <c r="R3938">
        <v>512</v>
      </c>
      <c r="S3938">
        <v>1071</v>
      </c>
      <c r="T3938" t="s">
        <v>108</v>
      </c>
      <c r="U3938" t="s">
        <v>38</v>
      </c>
    </row>
    <row r="3939" spans="1:21">
      <c r="A3939" t="s">
        <v>6179</v>
      </c>
      <c r="B3939" t="s">
        <v>6180</v>
      </c>
      <c r="C3939" t="s">
        <v>2033</v>
      </c>
      <c r="D3939">
        <v>95000</v>
      </c>
      <c r="E3939">
        <v>8000</v>
      </c>
      <c r="F3939">
        <v>95000</v>
      </c>
      <c r="H3939">
        <v>3</v>
      </c>
      <c r="I3939" t="s">
        <v>432</v>
      </c>
      <c r="J3939">
        <v>25.7</v>
      </c>
      <c r="K3939">
        <v>10</v>
      </c>
      <c r="L3939">
        <v>5</v>
      </c>
      <c r="M3939" t="s">
        <v>5596</v>
      </c>
      <c r="N3939">
        <v>9</v>
      </c>
      <c r="O3939">
        <v>14</v>
      </c>
      <c r="P3939">
        <v>122997.85</v>
      </c>
      <c r="Q3939">
        <v>77692.34</v>
      </c>
      <c r="R3939">
        <v>512</v>
      </c>
      <c r="S3939">
        <v>1071</v>
      </c>
      <c r="T3939" t="s">
        <v>34</v>
      </c>
      <c r="U3939" t="s">
        <v>31</v>
      </c>
    </row>
    <row r="3940" spans="1:21">
      <c r="A3940" t="s">
        <v>6181</v>
      </c>
      <c r="B3940" t="s">
        <v>6182</v>
      </c>
      <c r="C3940" t="s">
        <v>2033</v>
      </c>
      <c r="D3940">
        <v>64000</v>
      </c>
      <c r="E3940">
        <v>4000</v>
      </c>
      <c r="G3940">
        <v>64000</v>
      </c>
      <c r="H3940">
        <v>1</v>
      </c>
      <c r="I3940" t="s">
        <v>432</v>
      </c>
      <c r="J3940">
        <v>10.15</v>
      </c>
      <c r="K3940">
        <v>10</v>
      </c>
      <c r="L3940">
        <v>2</v>
      </c>
      <c r="M3940" t="s">
        <v>5596</v>
      </c>
      <c r="N3940">
        <v>12</v>
      </c>
      <c r="O3940">
        <v>14</v>
      </c>
      <c r="P3940">
        <v>122997.85</v>
      </c>
      <c r="Q3940">
        <v>77692.34</v>
      </c>
      <c r="R3940">
        <v>512</v>
      </c>
      <c r="S3940">
        <v>1071</v>
      </c>
      <c r="T3940" t="s">
        <v>108</v>
      </c>
      <c r="U3940" t="s">
        <v>31</v>
      </c>
    </row>
    <row r="3941" spans="1:21">
      <c r="A3941" t="s">
        <v>6183</v>
      </c>
      <c r="B3941" t="s">
        <v>6182</v>
      </c>
      <c r="C3941" t="s">
        <v>5601</v>
      </c>
      <c r="D3941">
        <v>61000</v>
      </c>
      <c r="E3941">
        <v>3000</v>
      </c>
      <c r="H3941">
        <v>2</v>
      </c>
      <c r="I3941" t="s">
        <v>432</v>
      </c>
      <c r="J3941">
        <v>10.029999999999999</v>
      </c>
      <c r="K3941">
        <v>10</v>
      </c>
      <c r="L3941">
        <v>2</v>
      </c>
      <c r="M3941" t="s">
        <v>5596</v>
      </c>
      <c r="N3941">
        <v>4</v>
      </c>
      <c r="O3941">
        <v>10.33</v>
      </c>
      <c r="P3941">
        <v>122997.85</v>
      </c>
      <c r="Q3941">
        <v>77692.34</v>
      </c>
      <c r="R3941">
        <v>512</v>
      </c>
      <c r="S3941">
        <v>1071</v>
      </c>
      <c r="T3941" t="s">
        <v>108</v>
      </c>
      <c r="U3941" t="s">
        <v>31</v>
      </c>
    </row>
    <row r="3942" spans="1:21">
      <c r="A3942" t="s">
        <v>6184</v>
      </c>
      <c r="B3942" t="s">
        <v>6185</v>
      </c>
      <c r="C3942" t="s">
        <v>758</v>
      </c>
      <c r="D3942">
        <v>82000</v>
      </c>
      <c r="E3942">
        <v>3000</v>
      </c>
      <c r="F3942">
        <v>82000</v>
      </c>
      <c r="G3942">
        <v>82000</v>
      </c>
      <c r="H3942">
        <v>1</v>
      </c>
      <c r="I3942" t="s">
        <v>432</v>
      </c>
      <c r="J3942">
        <v>18.89</v>
      </c>
      <c r="K3942">
        <v>22</v>
      </c>
      <c r="L3942">
        <v>2</v>
      </c>
      <c r="M3942" t="s">
        <v>5596</v>
      </c>
      <c r="N3942">
        <v>8</v>
      </c>
      <c r="O3942">
        <v>13.67</v>
      </c>
      <c r="P3942">
        <v>122997.85</v>
      </c>
      <c r="Q3942">
        <v>77692.34</v>
      </c>
      <c r="R3942">
        <v>512</v>
      </c>
      <c r="S3942">
        <v>1071</v>
      </c>
      <c r="T3942" t="s">
        <v>108</v>
      </c>
      <c r="U3942" t="s">
        <v>27</v>
      </c>
    </row>
    <row r="3943" spans="1:21">
      <c r="A3943" t="s">
        <v>6186</v>
      </c>
      <c r="B3943" t="s">
        <v>6185</v>
      </c>
      <c r="C3943" t="s">
        <v>4013</v>
      </c>
      <c r="D3943">
        <v>89000</v>
      </c>
      <c r="E3943">
        <v>5000</v>
      </c>
      <c r="G3943">
        <v>89000</v>
      </c>
      <c r="H3943">
        <v>1</v>
      </c>
      <c r="I3943" t="s">
        <v>432</v>
      </c>
      <c r="J3943">
        <v>22.15</v>
      </c>
      <c r="K3943">
        <v>22</v>
      </c>
      <c r="L3943">
        <v>2</v>
      </c>
      <c r="M3943" t="s">
        <v>5596</v>
      </c>
      <c r="N3943">
        <v>1</v>
      </c>
      <c r="O3943">
        <v>9.33</v>
      </c>
      <c r="P3943">
        <v>122997.85</v>
      </c>
      <c r="Q3943">
        <v>77692.34</v>
      </c>
      <c r="R3943">
        <v>512</v>
      </c>
      <c r="S3943">
        <v>1071</v>
      </c>
      <c r="T3943" t="s">
        <v>34</v>
      </c>
      <c r="U3943" t="s">
        <v>27</v>
      </c>
    </row>
    <row r="3944" spans="1:21">
      <c r="A3944" t="s">
        <v>6187</v>
      </c>
      <c r="B3944" t="s">
        <v>6185</v>
      </c>
      <c r="C3944" t="s">
        <v>4013</v>
      </c>
      <c r="D3944">
        <v>92000</v>
      </c>
      <c r="E3944">
        <v>5000</v>
      </c>
      <c r="H3944">
        <v>2</v>
      </c>
      <c r="I3944" t="s">
        <v>432</v>
      </c>
      <c r="J3944">
        <v>22.15</v>
      </c>
      <c r="K3944">
        <v>22</v>
      </c>
      <c r="L3944">
        <v>2</v>
      </c>
      <c r="M3944" t="s">
        <v>5596</v>
      </c>
      <c r="N3944">
        <v>1</v>
      </c>
      <c r="O3944">
        <v>9.33</v>
      </c>
      <c r="P3944">
        <v>122997.85</v>
      </c>
      <c r="Q3944">
        <v>77692.34</v>
      </c>
      <c r="R3944">
        <v>512</v>
      </c>
      <c r="S3944">
        <v>1071</v>
      </c>
      <c r="T3944" t="s">
        <v>34</v>
      </c>
      <c r="U3944" t="s">
        <v>27</v>
      </c>
    </row>
    <row r="3945" spans="1:21">
      <c r="A3945" t="s">
        <v>6188</v>
      </c>
      <c r="B3945" t="s">
        <v>6021</v>
      </c>
      <c r="C3945" t="s">
        <v>712</v>
      </c>
      <c r="D3945">
        <v>65000</v>
      </c>
      <c r="E3945">
        <v>3000</v>
      </c>
      <c r="H3945">
        <v>2</v>
      </c>
      <c r="I3945" t="s">
        <v>432</v>
      </c>
      <c r="J3945">
        <v>10.66</v>
      </c>
      <c r="K3945">
        <v>4</v>
      </c>
      <c r="L3945">
        <v>2</v>
      </c>
      <c r="M3945" t="s">
        <v>5596</v>
      </c>
      <c r="N3945">
        <v>7</v>
      </c>
      <c r="O3945">
        <v>11.67</v>
      </c>
      <c r="P3945">
        <v>122997.85</v>
      </c>
      <c r="Q3945">
        <v>77692.34</v>
      </c>
      <c r="R3945">
        <v>512</v>
      </c>
      <c r="S3945">
        <v>1071</v>
      </c>
      <c r="T3945" t="s">
        <v>108</v>
      </c>
      <c r="U3945" t="s">
        <v>31</v>
      </c>
    </row>
    <row r="3946" spans="1:21">
      <c r="A3946" t="s">
        <v>6189</v>
      </c>
      <c r="B3946" t="s">
        <v>6021</v>
      </c>
      <c r="C3946" t="s">
        <v>712</v>
      </c>
      <c r="D3946">
        <v>67000</v>
      </c>
      <c r="H3946">
        <v>2</v>
      </c>
      <c r="I3946" t="s">
        <v>432</v>
      </c>
      <c r="J3946">
        <v>11.58</v>
      </c>
      <c r="K3946">
        <v>4</v>
      </c>
      <c r="L3946">
        <v>2</v>
      </c>
      <c r="M3946" t="s">
        <v>5596</v>
      </c>
      <c r="N3946">
        <v>7</v>
      </c>
      <c r="O3946">
        <v>11.67</v>
      </c>
      <c r="P3946">
        <v>122997.85</v>
      </c>
      <c r="Q3946">
        <v>77692.34</v>
      </c>
      <c r="R3946">
        <v>512</v>
      </c>
      <c r="S3946">
        <v>1071</v>
      </c>
      <c r="T3946" t="s">
        <v>108</v>
      </c>
      <c r="U3946" t="s">
        <v>31</v>
      </c>
    </row>
    <row r="3947" spans="1:21">
      <c r="A3947" t="s">
        <v>6190</v>
      </c>
      <c r="B3947" t="s">
        <v>6021</v>
      </c>
      <c r="C3947" t="s">
        <v>712</v>
      </c>
      <c r="D3947">
        <v>69000</v>
      </c>
      <c r="E3947">
        <v>3000</v>
      </c>
      <c r="H3947">
        <v>2</v>
      </c>
      <c r="I3947" t="s">
        <v>432</v>
      </c>
      <c r="J3947">
        <v>15.99</v>
      </c>
      <c r="K3947">
        <v>4</v>
      </c>
      <c r="L3947">
        <v>2</v>
      </c>
      <c r="M3947" t="s">
        <v>5596</v>
      </c>
      <c r="N3947">
        <v>7</v>
      </c>
      <c r="O3947">
        <v>11.67</v>
      </c>
      <c r="P3947">
        <v>122997.85</v>
      </c>
      <c r="Q3947">
        <v>77692.34</v>
      </c>
      <c r="R3947">
        <v>512</v>
      </c>
      <c r="S3947">
        <v>1071</v>
      </c>
      <c r="T3947" t="s">
        <v>108</v>
      </c>
      <c r="U3947" t="s">
        <v>31</v>
      </c>
    </row>
    <row r="3948" spans="1:21">
      <c r="A3948" t="s">
        <v>6191</v>
      </c>
      <c r="B3948" t="s">
        <v>6192</v>
      </c>
      <c r="C3948" t="s">
        <v>2033</v>
      </c>
      <c r="D3948">
        <v>53700</v>
      </c>
      <c r="E3948">
        <v>4300</v>
      </c>
      <c r="F3948">
        <v>53700</v>
      </c>
      <c r="G3948">
        <v>53700</v>
      </c>
      <c r="H3948">
        <v>1</v>
      </c>
      <c r="I3948" t="s">
        <v>432</v>
      </c>
      <c r="J3948">
        <v>16.5</v>
      </c>
      <c r="K3948">
        <v>65</v>
      </c>
      <c r="L3948">
        <v>2</v>
      </c>
      <c r="M3948" t="s">
        <v>5596</v>
      </c>
      <c r="N3948">
        <v>10</v>
      </c>
      <c r="O3948">
        <v>11.67</v>
      </c>
      <c r="P3948">
        <v>122997.85</v>
      </c>
      <c r="Q3948">
        <v>77692.34</v>
      </c>
      <c r="R3948">
        <v>512</v>
      </c>
      <c r="S3948">
        <v>1071</v>
      </c>
      <c r="T3948" t="s">
        <v>108</v>
      </c>
      <c r="U3948" t="s">
        <v>38</v>
      </c>
    </row>
    <row r="3949" spans="1:21">
      <c r="A3949" t="s">
        <v>6193</v>
      </c>
      <c r="B3949" t="s">
        <v>6194</v>
      </c>
      <c r="C3949" t="s">
        <v>5601</v>
      </c>
      <c r="D3949">
        <v>64000</v>
      </c>
      <c r="E3949">
        <v>3000</v>
      </c>
      <c r="H3949">
        <v>1</v>
      </c>
      <c r="I3949" t="s">
        <v>432</v>
      </c>
      <c r="J3949">
        <v>10.56</v>
      </c>
      <c r="K3949">
        <v>6</v>
      </c>
      <c r="L3949">
        <v>2</v>
      </c>
      <c r="M3949" t="s">
        <v>5596</v>
      </c>
      <c r="N3949">
        <v>4</v>
      </c>
      <c r="O3949">
        <v>8.33</v>
      </c>
      <c r="P3949">
        <v>122997.85</v>
      </c>
      <c r="Q3949">
        <v>77692.34</v>
      </c>
      <c r="R3949">
        <v>512</v>
      </c>
      <c r="S3949">
        <v>1071</v>
      </c>
      <c r="T3949" t="s">
        <v>108</v>
      </c>
      <c r="U3949" t="s">
        <v>31</v>
      </c>
    </row>
    <row r="3950" spans="1:21">
      <c r="A3950" t="s">
        <v>6195</v>
      </c>
      <c r="B3950" t="s">
        <v>6194</v>
      </c>
      <c r="C3950" t="s">
        <v>712</v>
      </c>
      <c r="D3950">
        <v>69000</v>
      </c>
      <c r="E3950">
        <v>3000</v>
      </c>
      <c r="H3950">
        <v>2</v>
      </c>
      <c r="I3950" t="s">
        <v>432</v>
      </c>
      <c r="J3950">
        <v>10.29</v>
      </c>
      <c r="K3950">
        <v>6</v>
      </c>
      <c r="L3950">
        <v>2</v>
      </c>
      <c r="M3950" t="s">
        <v>5596</v>
      </c>
      <c r="N3950">
        <v>6</v>
      </c>
      <c r="O3950">
        <v>10.33</v>
      </c>
      <c r="P3950">
        <v>122997.85</v>
      </c>
      <c r="Q3950">
        <v>77692.34</v>
      </c>
      <c r="R3950">
        <v>512</v>
      </c>
      <c r="S3950">
        <v>1071</v>
      </c>
      <c r="T3950" t="s">
        <v>108</v>
      </c>
      <c r="U3950" t="s">
        <v>31</v>
      </c>
    </row>
    <row r="3951" spans="1:21">
      <c r="A3951" t="s">
        <v>6196</v>
      </c>
      <c r="B3951" t="s">
        <v>6197</v>
      </c>
      <c r="C3951" t="s">
        <v>5601</v>
      </c>
      <c r="D3951">
        <v>62000</v>
      </c>
      <c r="E3951">
        <v>4000</v>
      </c>
      <c r="G3951">
        <v>62000</v>
      </c>
      <c r="H3951">
        <v>1</v>
      </c>
      <c r="I3951" t="s">
        <v>432</v>
      </c>
      <c r="J3951">
        <v>11.04</v>
      </c>
      <c r="K3951">
        <v>7</v>
      </c>
      <c r="L3951">
        <v>2</v>
      </c>
      <c r="M3951" t="s">
        <v>5596</v>
      </c>
      <c r="N3951">
        <v>8</v>
      </c>
      <c r="O3951">
        <v>13</v>
      </c>
      <c r="P3951">
        <v>122997.85</v>
      </c>
      <c r="Q3951">
        <v>77692.34</v>
      </c>
      <c r="R3951">
        <v>512</v>
      </c>
      <c r="S3951">
        <v>1071</v>
      </c>
      <c r="T3951" t="s">
        <v>108</v>
      </c>
      <c r="U3951" t="s">
        <v>31</v>
      </c>
    </row>
    <row r="3952" spans="1:21">
      <c r="A3952" t="s">
        <v>6198</v>
      </c>
      <c r="B3952" t="s">
        <v>6197</v>
      </c>
      <c r="C3952" t="s">
        <v>5601</v>
      </c>
      <c r="D3952">
        <v>64000</v>
      </c>
      <c r="E3952">
        <v>4000</v>
      </c>
      <c r="G3952">
        <v>64000</v>
      </c>
      <c r="H3952">
        <v>2</v>
      </c>
      <c r="I3952" t="s">
        <v>432</v>
      </c>
      <c r="J3952">
        <v>10.32</v>
      </c>
      <c r="K3952">
        <v>7</v>
      </c>
      <c r="L3952">
        <v>2</v>
      </c>
      <c r="M3952" t="s">
        <v>5596</v>
      </c>
      <c r="N3952">
        <v>8</v>
      </c>
      <c r="O3952">
        <v>13</v>
      </c>
      <c r="P3952">
        <v>122997.85</v>
      </c>
      <c r="Q3952">
        <v>77692.34</v>
      </c>
      <c r="R3952">
        <v>512</v>
      </c>
      <c r="S3952">
        <v>1071</v>
      </c>
      <c r="T3952" t="s">
        <v>108</v>
      </c>
      <c r="U3952" t="s">
        <v>31</v>
      </c>
    </row>
    <row r="3953" spans="1:21">
      <c r="A3953" t="s">
        <v>6199</v>
      </c>
      <c r="B3953" t="s">
        <v>6197</v>
      </c>
      <c r="C3953" t="s">
        <v>4016</v>
      </c>
      <c r="D3953">
        <v>69500</v>
      </c>
      <c r="E3953">
        <v>4000</v>
      </c>
      <c r="G3953">
        <v>69500</v>
      </c>
      <c r="H3953">
        <v>2</v>
      </c>
      <c r="I3953" t="s">
        <v>432</v>
      </c>
      <c r="J3953">
        <v>10.65</v>
      </c>
      <c r="K3953">
        <v>7</v>
      </c>
      <c r="L3953">
        <v>2</v>
      </c>
      <c r="M3953" t="s">
        <v>5596</v>
      </c>
      <c r="N3953">
        <v>5</v>
      </c>
      <c r="O3953">
        <v>9.33</v>
      </c>
      <c r="P3953">
        <v>122997.85</v>
      </c>
      <c r="Q3953">
        <v>77692.34</v>
      </c>
      <c r="R3953">
        <v>512</v>
      </c>
      <c r="S3953">
        <v>1071</v>
      </c>
      <c r="T3953" t="s">
        <v>108</v>
      </c>
      <c r="U3953" t="s">
        <v>31</v>
      </c>
    </row>
    <row r="3954" spans="1:21">
      <c r="A3954" t="s">
        <v>6200</v>
      </c>
      <c r="B3954" t="s">
        <v>6197</v>
      </c>
      <c r="C3954" t="s">
        <v>4016</v>
      </c>
      <c r="D3954">
        <v>69000</v>
      </c>
      <c r="E3954">
        <v>4000</v>
      </c>
      <c r="G3954">
        <v>69000</v>
      </c>
      <c r="H3954">
        <v>2</v>
      </c>
      <c r="I3954" t="s">
        <v>432</v>
      </c>
      <c r="J3954">
        <v>10.65</v>
      </c>
      <c r="K3954">
        <v>7</v>
      </c>
      <c r="L3954">
        <v>2</v>
      </c>
      <c r="M3954" t="s">
        <v>5596</v>
      </c>
      <c r="N3954">
        <v>5</v>
      </c>
      <c r="O3954">
        <v>9.33</v>
      </c>
      <c r="P3954">
        <v>122997.85</v>
      </c>
      <c r="Q3954">
        <v>77692.34</v>
      </c>
      <c r="R3954">
        <v>512</v>
      </c>
      <c r="S3954">
        <v>1071</v>
      </c>
      <c r="T3954" t="s">
        <v>108</v>
      </c>
      <c r="U3954" t="s">
        <v>31</v>
      </c>
    </row>
    <row r="3955" spans="1:21">
      <c r="A3955" t="s">
        <v>6201</v>
      </c>
      <c r="B3955" t="s">
        <v>6197</v>
      </c>
      <c r="C3955" t="s">
        <v>5601</v>
      </c>
      <c r="D3955">
        <v>62000</v>
      </c>
      <c r="E3955">
        <v>4000</v>
      </c>
      <c r="G3955">
        <v>62000</v>
      </c>
      <c r="H3955">
        <v>2</v>
      </c>
      <c r="I3955" t="s">
        <v>432</v>
      </c>
      <c r="J3955">
        <v>11.04</v>
      </c>
      <c r="K3955">
        <v>7</v>
      </c>
      <c r="L3955">
        <v>2</v>
      </c>
      <c r="M3955" t="s">
        <v>5596</v>
      </c>
      <c r="N3955">
        <v>8</v>
      </c>
      <c r="O3955">
        <v>13</v>
      </c>
      <c r="P3955">
        <v>122997.85</v>
      </c>
      <c r="Q3955">
        <v>77692.34</v>
      </c>
      <c r="R3955">
        <v>512</v>
      </c>
      <c r="S3955">
        <v>1071</v>
      </c>
      <c r="T3955" t="s">
        <v>108</v>
      </c>
      <c r="U3955" t="s">
        <v>31</v>
      </c>
    </row>
    <row r="3956" spans="1:21">
      <c r="A3956" t="s">
        <v>6202</v>
      </c>
      <c r="B3956" t="s">
        <v>5865</v>
      </c>
      <c r="C3956" t="s">
        <v>6203</v>
      </c>
      <c r="D3956">
        <v>72000</v>
      </c>
      <c r="E3956">
        <v>4000</v>
      </c>
      <c r="G3956">
        <v>72000</v>
      </c>
      <c r="H3956">
        <v>2</v>
      </c>
      <c r="I3956" t="s">
        <v>432</v>
      </c>
      <c r="J3956">
        <v>14.67</v>
      </c>
      <c r="K3956">
        <v>8</v>
      </c>
      <c r="L3956">
        <v>2</v>
      </c>
      <c r="M3956" t="s">
        <v>5596</v>
      </c>
      <c r="N3956">
        <v>10</v>
      </c>
      <c r="O3956">
        <v>18.329999999999998</v>
      </c>
      <c r="P3956">
        <v>122997.85</v>
      </c>
      <c r="Q3956">
        <v>77692.34</v>
      </c>
      <c r="R3956">
        <v>512</v>
      </c>
      <c r="S3956">
        <v>1071</v>
      </c>
      <c r="T3956" t="s">
        <v>108</v>
      </c>
      <c r="U3956" t="s">
        <v>31</v>
      </c>
    </row>
    <row r="3957" spans="1:21">
      <c r="A3957" t="s">
        <v>6204</v>
      </c>
      <c r="B3957" t="s">
        <v>5865</v>
      </c>
      <c r="C3957" t="s">
        <v>4356</v>
      </c>
      <c r="D3957">
        <v>93000</v>
      </c>
      <c r="E3957">
        <v>4000</v>
      </c>
      <c r="F3957">
        <v>93000</v>
      </c>
      <c r="G3957">
        <v>93000</v>
      </c>
      <c r="H3957">
        <v>2</v>
      </c>
      <c r="I3957" t="s">
        <v>432</v>
      </c>
      <c r="J3957">
        <v>34.229999999999997</v>
      </c>
      <c r="K3957">
        <v>8</v>
      </c>
      <c r="L3957">
        <v>2</v>
      </c>
      <c r="M3957" t="s">
        <v>5596</v>
      </c>
      <c r="N3957">
        <v>7</v>
      </c>
      <c r="O3957">
        <v>8</v>
      </c>
      <c r="P3957">
        <v>122997.85</v>
      </c>
      <c r="Q3957">
        <v>77692.34</v>
      </c>
      <c r="R3957">
        <v>512</v>
      </c>
      <c r="S3957">
        <v>1071</v>
      </c>
      <c r="T3957" t="s">
        <v>26</v>
      </c>
      <c r="U3957" t="s">
        <v>31</v>
      </c>
    </row>
    <row r="3958" spans="1:21">
      <c r="A3958" t="s">
        <v>6205</v>
      </c>
      <c r="B3958" t="s">
        <v>5642</v>
      </c>
      <c r="C3958" t="s">
        <v>4547</v>
      </c>
      <c r="D3958">
        <v>140000</v>
      </c>
      <c r="E3958">
        <v>7000</v>
      </c>
      <c r="F3958">
        <v>140000</v>
      </c>
      <c r="H3958">
        <v>1</v>
      </c>
      <c r="I3958" t="s">
        <v>432</v>
      </c>
      <c r="J3958">
        <v>28.11</v>
      </c>
      <c r="K3958">
        <v>0</v>
      </c>
      <c r="L3958">
        <v>3</v>
      </c>
      <c r="M3958" t="s">
        <v>5596</v>
      </c>
      <c r="N3958">
        <v>9</v>
      </c>
      <c r="O3958">
        <v>11.33</v>
      </c>
      <c r="P3958">
        <v>122997.85</v>
      </c>
      <c r="Q3958">
        <v>77692.34</v>
      </c>
      <c r="R3958">
        <v>512</v>
      </c>
      <c r="S3958">
        <v>1071</v>
      </c>
      <c r="T3958" t="s">
        <v>34</v>
      </c>
      <c r="U3958" t="s">
        <v>81</v>
      </c>
    </row>
    <row r="3959" spans="1:21">
      <c r="A3959" t="s">
        <v>6206</v>
      </c>
      <c r="B3959" t="s">
        <v>5642</v>
      </c>
      <c r="C3959" t="s">
        <v>4547</v>
      </c>
      <c r="D3959">
        <v>146000</v>
      </c>
      <c r="E3959">
        <v>7000</v>
      </c>
      <c r="F3959">
        <v>146000</v>
      </c>
      <c r="H3959">
        <v>1</v>
      </c>
      <c r="I3959" t="s">
        <v>432</v>
      </c>
      <c r="J3959">
        <v>30.52</v>
      </c>
      <c r="K3959">
        <v>0</v>
      </c>
      <c r="L3959">
        <v>3</v>
      </c>
      <c r="M3959" t="s">
        <v>5596</v>
      </c>
      <c r="N3959">
        <v>9</v>
      </c>
      <c r="O3959">
        <v>11.33</v>
      </c>
      <c r="P3959">
        <v>122997.85</v>
      </c>
      <c r="Q3959">
        <v>77692.34</v>
      </c>
      <c r="R3959">
        <v>512</v>
      </c>
      <c r="S3959">
        <v>1071</v>
      </c>
      <c r="T3959" t="s">
        <v>26</v>
      </c>
      <c r="U3959" t="s">
        <v>81</v>
      </c>
    </row>
    <row r="3960" spans="1:21">
      <c r="A3960" t="s">
        <v>6207</v>
      </c>
      <c r="B3960" t="s">
        <v>5642</v>
      </c>
      <c r="C3960" t="s">
        <v>4547</v>
      </c>
      <c r="D3960">
        <v>145000</v>
      </c>
      <c r="E3960">
        <v>7000</v>
      </c>
      <c r="F3960">
        <v>145000</v>
      </c>
      <c r="H3960">
        <v>2</v>
      </c>
      <c r="I3960" t="s">
        <v>432</v>
      </c>
      <c r="J3960">
        <v>28.11</v>
      </c>
      <c r="K3960">
        <v>0</v>
      </c>
      <c r="L3960">
        <v>3</v>
      </c>
      <c r="M3960" t="s">
        <v>5596</v>
      </c>
      <c r="N3960">
        <v>9</v>
      </c>
      <c r="O3960">
        <v>11.33</v>
      </c>
      <c r="P3960">
        <v>122997.85</v>
      </c>
      <c r="Q3960">
        <v>77692.34</v>
      </c>
      <c r="R3960">
        <v>512</v>
      </c>
      <c r="S3960">
        <v>1071</v>
      </c>
      <c r="T3960" t="s">
        <v>34</v>
      </c>
      <c r="U3960" t="s">
        <v>81</v>
      </c>
    </row>
    <row r="3961" spans="1:21">
      <c r="A3961" t="s">
        <v>6208</v>
      </c>
      <c r="B3961" t="s">
        <v>5642</v>
      </c>
      <c r="C3961" t="s">
        <v>4547</v>
      </c>
      <c r="D3961">
        <v>151000</v>
      </c>
      <c r="E3961">
        <v>7000</v>
      </c>
      <c r="F3961">
        <v>151000</v>
      </c>
      <c r="H3961">
        <v>2</v>
      </c>
      <c r="I3961" t="s">
        <v>432</v>
      </c>
      <c r="J3961">
        <v>30.52</v>
      </c>
      <c r="K3961">
        <v>0</v>
      </c>
      <c r="L3961">
        <v>3</v>
      </c>
      <c r="M3961" t="s">
        <v>5596</v>
      </c>
      <c r="N3961">
        <v>9</v>
      </c>
      <c r="O3961">
        <v>11.33</v>
      </c>
      <c r="P3961">
        <v>122997.85</v>
      </c>
      <c r="Q3961">
        <v>77692.34</v>
      </c>
      <c r="R3961">
        <v>512</v>
      </c>
      <c r="S3961">
        <v>1071</v>
      </c>
      <c r="T3961" t="s">
        <v>26</v>
      </c>
      <c r="U3961" t="s">
        <v>81</v>
      </c>
    </row>
    <row r="3962" spans="1:21">
      <c r="A3962" t="s">
        <v>6209</v>
      </c>
      <c r="B3962" t="s">
        <v>5642</v>
      </c>
      <c r="C3962" t="s">
        <v>4547</v>
      </c>
      <c r="D3962">
        <v>145000</v>
      </c>
      <c r="E3962">
        <v>7000</v>
      </c>
      <c r="F3962">
        <v>145000</v>
      </c>
      <c r="H3962">
        <v>3</v>
      </c>
      <c r="I3962" t="s">
        <v>432</v>
      </c>
      <c r="J3962">
        <v>28.11</v>
      </c>
      <c r="K3962">
        <v>0</v>
      </c>
      <c r="L3962">
        <v>3</v>
      </c>
      <c r="M3962" t="s">
        <v>5596</v>
      </c>
      <c r="N3962">
        <v>9</v>
      </c>
      <c r="O3962">
        <v>11.33</v>
      </c>
      <c r="P3962">
        <v>122997.85</v>
      </c>
      <c r="Q3962">
        <v>77692.34</v>
      </c>
      <c r="R3962">
        <v>512</v>
      </c>
      <c r="S3962">
        <v>1071</v>
      </c>
      <c r="T3962" t="s">
        <v>34</v>
      </c>
      <c r="U3962" t="s">
        <v>81</v>
      </c>
    </row>
    <row r="3963" spans="1:21">
      <c r="A3963" t="s">
        <v>6210</v>
      </c>
      <c r="B3963" t="s">
        <v>5642</v>
      </c>
      <c r="C3963" t="s">
        <v>4547</v>
      </c>
      <c r="D3963">
        <v>152000</v>
      </c>
      <c r="E3963">
        <v>7000</v>
      </c>
      <c r="F3963">
        <v>152000</v>
      </c>
      <c r="H3963">
        <v>3</v>
      </c>
      <c r="I3963" t="s">
        <v>432</v>
      </c>
      <c r="J3963">
        <v>30.52</v>
      </c>
      <c r="K3963">
        <v>0</v>
      </c>
      <c r="L3963">
        <v>3</v>
      </c>
      <c r="M3963" t="s">
        <v>5596</v>
      </c>
      <c r="N3963">
        <v>9</v>
      </c>
      <c r="O3963">
        <v>11.33</v>
      </c>
      <c r="P3963">
        <v>122997.85</v>
      </c>
      <c r="Q3963">
        <v>77692.34</v>
      </c>
      <c r="R3963">
        <v>512</v>
      </c>
      <c r="S3963">
        <v>1071</v>
      </c>
      <c r="T3963" t="s">
        <v>26</v>
      </c>
      <c r="U3963" t="s">
        <v>81</v>
      </c>
    </row>
    <row r="3964" spans="1:21">
      <c r="A3964" t="s">
        <v>6211</v>
      </c>
      <c r="B3964" t="s">
        <v>4042</v>
      </c>
      <c r="C3964" t="s">
        <v>758</v>
      </c>
      <c r="D3964">
        <v>45000</v>
      </c>
      <c r="F3964">
        <v>45000</v>
      </c>
      <c r="G3964">
        <v>45000</v>
      </c>
      <c r="H3964">
        <v>3</v>
      </c>
      <c r="I3964" t="s">
        <v>432</v>
      </c>
      <c r="J3964">
        <v>12</v>
      </c>
      <c r="K3964">
        <v>35</v>
      </c>
      <c r="L3964">
        <v>3</v>
      </c>
      <c r="M3964" t="s">
        <v>5596</v>
      </c>
      <c r="N3964">
        <v>4</v>
      </c>
      <c r="O3964">
        <v>9.67</v>
      </c>
      <c r="P3964">
        <v>122997.85</v>
      </c>
      <c r="Q3964">
        <v>77692.34</v>
      </c>
      <c r="R3964">
        <v>512</v>
      </c>
      <c r="S3964">
        <v>1071</v>
      </c>
      <c r="T3964" t="s">
        <v>108</v>
      </c>
      <c r="U3964" t="s">
        <v>49</v>
      </c>
    </row>
    <row r="3965" spans="1:21">
      <c r="A3965" t="s">
        <v>6212</v>
      </c>
      <c r="B3965" t="s">
        <v>5880</v>
      </c>
      <c r="C3965" t="s">
        <v>4356</v>
      </c>
      <c r="D3965">
        <v>78000</v>
      </c>
      <c r="E3965">
        <v>5000</v>
      </c>
      <c r="F3965">
        <v>78000</v>
      </c>
      <c r="G3965">
        <v>78000</v>
      </c>
      <c r="H3965">
        <v>1</v>
      </c>
      <c r="I3965" t="s">
        <v>432</v>
      </c>
      <c r="J3965">
        <v>18.34</v>
      </c>
      <c r="K3965">
        <v>8</v>
      </c>
      <c r="L3965">
        <v>3</v>
      </c>
      <c r="M3965" t="s">
        <v>5596</v>
      </c>
      <c r="N3965">
        <v>7</v>
      </c>
      <c r="O3965">
        <v>10.33</v>
      </c>
      <c r="P3965">
        <v>122997.85</v>
      </c>
      <c r="Q3965">
        <v>77692.34</v>
      </c>
      <c r="R3965">
        <v>512</v>
      </c>
      <c r="S3965">
        <v>1071</v>
      </c>
      <c r="T3965" t="s">
        <v>108</v>
      </c>
      <c r="U3965" t="s">
        <v>31</v>
      </c>
    </row>
    <row r="3966" spans="1:21">
      <c r="A3966" t="s">
        <v>6213</v>
      </c>
      <c r="B3966" t="s">
        <v>5880</v>
      </c>
      <c r="C3966" t="s">
        <v>4356</v>
      </c>
      <c r="D3966">
        <v>80000</v>
      </c>
      <c r="E3966">
        <v>5000</v>
      </c>
      <c r="F3966">
        <v>80000</v>
      </c>
      <c r="G3966">
        <v>80000</v>
      </c>
      <c r="H3966">
        <v>3</v>
      </c>
      <c r="I3966" t="s">
        <v>432</v>
      </c>
      <c r="J3966">
        <v>18.32</v>
      </c>
      <c r="K3966">
        <v>8</v>
      </c>
      <c r="L3966">
        <v>3</v>
      </c>
      <c r="M3966" t="s">
        <v>5596</v>
      </c>
      <c r="N3966">
        <v>7</v>
      </c>
      <c r="O3966">
        <v>10.33</v>
      </c>
      <c r="P3966">
        <v>122997.85</v>
      </c>
      <c r="Q3966">
        <v>77692.34</v>
      </c>
      <c r="R3966">
        <v>512</v>
      </c>
      <c r="S3966">
        <v>1071</v>
      </c>
      <c r="T3966" t="s">
        <v>108</v>
      </c>
      <c r="U3966" t="s">
        <v>31</v>
      </c>
    </row>
    <row r="3967" spans="1:21">
      <c r="A3967" t="s">
        <v>6214</v>
      </c>
      <c r="B3967" t="s">
        <v>6215</v>
      </c>
      <c r="C3967" t="s">
        <v>5601</v>
      </c>
      <c r="D3967">
        <v>62000</v>
      </c>
      <c r="E3967">
        <v>4000</v>
      </c>
      <c r="F3967">
        <v>62000</v>
      </c>
      <c r="G3967">
        <v>62000</v>
      </c>
      <c r="H3967">
        <v>3</v>
      </c>
      <c r="I3967" t="s">
        <v>432</v>
      </c>
      <c r="J3967">
        <v>18</v>
      </c>
      <c r="K3967">
        <v>37</v>
      </c>
      <c r="L3967">
        <v>4</v>
      </c>
      <c r="M3967" t="s">
        <v>5596</v>
      </c>
      <c r="N3967">
        <v>4</v>
      </c>
      <c r="O3967">
        <v>11</v>
      </c>
      <c r="P3967">
        <v>122997.85</v>
      </c>
      <c r="Q3967">
        <v>77692.34</v>
      </c>
      <c r="R3967">
        <v>512</v>
      </c>
      <c r="S3967">
        <v>1071</v>
      </c>
      <c r="T3967" t="s">
        <v>108</v>
      </c>
      <c r="U3967" t="s">
        <v>49</v>
      </c>
    </row>
    <row r="3968" spans="1:21">
      <c r="A3968" t="s">
        <v>6216</v>
      </c>
      <c r="B3968" t="s">
        <v>6217</v>
      </c>
      <c r="C3968" t="s">
        <v>758</v>
      </c>
      <c r="D3968">
        <v>60000</v>
      </c>
      <c r="E3968">
        <v>3000</v>
      </c>
      <c r="F3968">
        <v>60000</v>
      </c>
      <c r="H3968">
        <v>1</v>
      </c>
      <c r="I3968" t="s">
        <v>432</v>
      </c>
      <c r="J3968">
        <v>15.38</v>
      </c>
      <c r="K3968">
        <v>43</v>
      </c>
      <c r="L3968">
        <v>4</v>
      </c>
      <c r="M3968" t="s">
        <v>5596</v>
      </c>
      <c r="N3968">
        <v>5</v>
      </c>
      <c r="O3968">
        <v>11.33</v>
      </c>
      <c r="P3968">
        <v>122997.85</v>
      </c>
      <c r="Q3968">
        <v>77692.34</v>
      </c>
      <c r="R3968">
        <v>512</v>
      </c>
      <c r="S3968">
        <v>1071</v>
      </c>
      <c r="T3968" t="s">
        <v>108</v>
      </c>
      <c r="U3968" t="s">
        <v>42</v>
      </c>
    </row>
    <row r="3969" spans="1:21">
      <c r="A3969" t="s">
        <v>6218</v>
      </c>
      <c r="B3969" t="s">
        <v>6219</v>
      </c>
      <c r="C3969" t="s">
        <v>5608</v>
      </c>
      <c r="D3969">
        <v>105000</v>
      </c>
      <c r="E3969">
        <v>10000</v>
      </c>
      <c r="F3969">
        <v>105000</v>
      </c>
      <c r="G3969">
        <v>105000</v>
      </c>
      <c r="H3969">
        <v>1</v>
      </c>
      <c r="I3969" t="s">
        <v>432</v>
      </c>
      <c r="J3969">
        <v>27.18</v>
      </c>
      <c r="K3969">
        <v>9</v>
      </c>
      <c r="L3969">
        <v>4</v>
      </c>
      <c r="M3969" t="s">
        <v>5596</v>
      </c>
      <c r="N3969">
        <v>8</v>
      </c>
      <c r="O3969">
        <v>12.67</v>
      </c>
      <c r="P3969">
        <v>122997.85</v>
      </c>
      <c r="Q3969">
        <v>77692.34</v>
      </c>
      <c r="R3969">
        <v>512</v>
      </c>
      <c r="S3969">
        <v>1071</v>
      </c>
      <c r="T3969" t="s">
        <v>34</v>
      </c>
      <c r="U3969" t="s">
        <v>31</v>
      </c>
    </row>
    <row r="3970" spans="1:21">
      <c r="A3970" t="s">
        <v>6220</v>
      </c>
      <c r="B3970" t="s">
        <v>6221</v>
      </c>
      <c r="C3970" t="s">
        <v>5601</v>
      </c>
      <c r="D3970">
        <v>80000</v>
      </c>
      <c r="E3970">
        <v>5000</v>
      </c>
      <c r="F3970">
        <v>80000</v>
      </c>
      <c r="G3970">
        <v>80000</v>
      </c>
      <c r="H3970">
        <v>3</v>
      </c>
      <c r="I3970" t="s">
        <v>432</v>
      </c>
      <c r="J3970">
        <v>18.09</v>
      </c>
      <c r="K3970">
        <v>11</v>
      </c>
      <c r="L3970">
        <v>5</v>
      </c>
      <c r="M3970" t="s">
        <v>5596</v>
      </c>
      <c r="N3970">
        <v>2</v>
      </c>
      <c r="O3970">
        <v>9.33</v>
      </c>
      <c r="P3970">
        <v>122997.85</v>
      </c>
      <c r="Q3970">
        <v>77692.34</v>
      </c>
      <c r="R3970">
        <v>512</v>
      </c>
      <c r="S3970">
        <v>1071</v>
      </c>
      <c r="T3970" t="s">
        <v>108</v>
      </c>
      <c r="U3970" t="s">
        <v>90</v>
      </c>
    </row>
    <row r="3971" spans="1:21">
      <c r="A3971" t="s">
        <v>6222</v>
      </c>
      <c r="B3971" t="s">
        <v>5904</v>
      </c>
      <c r="C3971" t="s">
        <v>5608</v>
      </c>
      <c r="D3971">
        <v>123000</v>
      </c>
      <c r="E3971">
        <v>12000</v>
      </c>
      <c r="H3971">
        <v>4</v>
      </c>
      <c r="I3971" t="s">
        <v>432</v>
      </c>
      <c r="J3971">
        <v>20.329999999999998</v>
      </c>
      <c r="K3971">
        <v>2</v>
      </c>
      <c r="L3971">
        <v>5</v>
      </c>
      <c r="M3971" t="s">
        <v>5596</v>
      </c>
      <c r="N3971">
        <v>4</v>
      </c>
      <c r="O3971">
        <v>11</v>
      </c>
      <c r="P3971">
        <v>122997.85</v>
      </c>
      <c r="Q3971">
        <v>77692.34</v>
      </c>
      <c r="R3971">
        <v>512</v>
      </c>
      <c r="S3971">
        <v>1071</v>
      </c>
      <c r="T3971" t="s">
        <v>34</v>
      </c>
      <c r="U3971" t="s">
        <v>31</v>
      </c>
    </row>
    <row r="3972" spans="1:21">
      <c r="A3972" t="s">
        <v>6223</v>
      </c>
      <c r="B3972" t="s">
        <v>5904</v>
      </c>
      <c r="C3972" t="s">
        <v>5608</v>
      </c>
      <c r="D3972">
        <v>123000</v>
      </c>
      <c r="E3972">
        <v>12000</v>
      </c>
      <c r="H3972">
        <v>5</v>
      </c>
      <c r="I3972" t="s">
        <v>432</v>
      </c>
      <c r="J3972">
        <v>20.329999999999998</v>
      </c>
      <c r="K3972">
        <v>2</v>
      </c>
      <c r="L3972">
        <v>5</v>
      </c>
      <c r="M3972" t="s">
        <v>5596</v>
      </c>
      <c r="N3972">
        <v>4</v>
      </c>
      <c r="O3972">
        <v>11</v>
      </c>
      <c r="P3972">
        <v>122997.85</v>
      </c>
      <c r="Q3972">
        <v>77692.34</v>
      </c>
      <c r="R3972">
        <v>512</v>
      </c>
      <c r="S3972">
        <v>1071</v>
      </c>
      <c r="T3972" t="s">
        <v>34</v>
      </c>
      <c r="U3972" t="s">
        <v>31</v>
      </c>
    </row>
    <row r="3973" spans="1:21">
      <c r="A3973" t="s">
        <v>6224</v>
      </c>
      <c r="B3973" t="s">
        <v>6225</v>
      </c>
      <c r="C3973" t="s">
        <v>4356</v>
      </c>
      <c r="D3973">
        <v>55000</v>
      </c>
      <c r="E3973">
        <v>10000</v>
      </c>
      <c r="G3973">
        <v>55000</v>
      </c>
      <c r="H3973">
        <v>5</v>
      </c>
      <c r="I3973" t="s">
        <v>432</v>
      </c>
      <c r="J3973">
        <v>20.95</v>
      </c>
      <c r="K3973">
        <v>38</v>
      </c>
      <c r="L3973">
        <v>5</v>
      </c>
      <c r="M3973" t="s">
        <v>5596</v>
      </c>
      <c r="N3973">
        <v>8</v>
      </c>
      <c r="O3973">
        <v>11</v>
      </c>
      <c r="P3973">
        <v>122997.85</v>
      </c>
      <c r="Q3973">
        <v>77692.34</v>
      </c>
      <c r="R3973">
        <v>512</v>
      </c>
      <c r="S3973">
        <v>1071</v>
      </c>
      <c r="T3973" t="s">
        <v>34</v>
      </c>
      <c r="U3973" t="s">
        <v>49</v>
      </c>
    </row>
    <row r="3974" spans="1:21">
      <c r="A3974" t="s">
        <v>6226</v>
      </c>
      <c r="B3974" t="s">
        <v>5912</v>
      </c>
      <c r="C3974" t="s">
        <v>5608</v>
      </c>
      <c r="D3974">
        <v>100000</v>
      </c>
      <c r="E3974">
        <v>12000</v>
      </c>
      <c r="G3974">
        <v>100000</v>
      </c>
      <c r="H3974">
        <v>1</v>
      </c>
      <c r="I3974" t="s">
        <v>432</v>
      </c>
      <c r="J3974">
        <v>26.38</v>
      </c>
      <c r="K3974">
        <v>9</v>
      </c>
      <c r="L3974">
        <v>5</v>
      </c>
      <c r="M3974" t="s">
        <v>5596</v>
      </c>
      <c r="N3974">
        <v>4</v>
      </c>
      <c r="O3974">
        <v>11.67</v>
      </c>
      <c r="P3974">
        <v>122997.85</v>
      </c>
      <c r="Q3974">
        <v>77692.34</v>
      </c>
      <c r="R3974">
        <v>512</v>
      </c>
      <c r="S3974">
        <v>1071</v>
      </c>
      <c r="T3974" t="s">
        <v>34</v>
      </c>
      <c r="U3974" t="s">
        <v>31</v>
      </c>
    </row>
    <row r="3975" spans="1:21">
      <c r="A3975" t="s">
        <v>6227</v>
      </c>
      <c r="B3975" t="s">
        <v>5912</v>
      </c>
      <c r="C3975" t="s">
        <v>5608</v>
      </c>
      <c r="D3975">
        <v>110000</v>
      </c>
      <c r="E3975">
        <v>15000</v>
      </c>
      <c r="F3975">
        <v>110000</v>
      </c>
      <c r="G3975">
        <v>110000</v>
      </c>
      <c r="H3975">
        <v>3</v>
      </c>
      <c r="I3975" t="s">
        <v>432</v>
      </c>
      <c r="J3975">
        <v>25.68</v>
      </c>
      <c r="K3975">
        <v>9</v>
      </c>
      <c r="L3975">
        <v>5</v>
      </c>
      <c r="M3975" t="s">
        <v>5596</v>
      </c>
      <c r="N3975">
        <v>4</v>
      </c>
      <c r="O3975">
        <v>11.67</v>
      </c>
      <c r="P3975">
        <v>122997.85</v>
      </c>
      <c r="Q3975">
        <v>77692.34</v>
      </c>
      <c r="R3975">
        <v>512</v>
      </c>
      <c r="S3975">
        <v>1071</v>
      </c>
      <c r="T3975" t="s">
        <v>34</v>
      </c>
      <c r="U3975" t="s">
        <v>31</v>
      </c>
    </row>
    <row r="3976" spans="1:21">
      <c r="A3976" t="s">
        <v>6228</v>
      </c>
      <c r="B3976" t="s">
        <v>5912</v>
      </c>
      <c r="C3976" t="s">
        <v>5608</v>
      </c>
      <c r="D3976">
        <v>115000</v>
      </c>
      <c r="F3976">
        <v>115000</v>
      </c>
      <c r="G3976">
        <v>115000</v>
      </c>
      <c r="H3976">
        <v>4</v>
      </c>
      <c r="I3976" t="s">
        <v>432</v>
      </c>
      <c r="J3976">
        <v>26.01</v>
      </c>
      <c r="K3976">
        <v>9</v>
      </c>
      <c r="L3976">
        <v>5</v>
      </c>
      <c r="M3976" t="s">
        <v>5596</v>
      </c>
      <c r="N3976">
        <v>4</v>
      </c>
      <c r="O3976">
        <v>11.67</v>
      </c>
      <c r="P3976">
        <v>122997.85</v>
      </c>
      <c r="Q3976">
        <v>77692.34</v>
      </c>
      <c r="R3976">
        <v>512</v>
      </c>
      <c r="S3976">
        <v>1071</v>
      </c>
      <c r="T3976" t="s">
        <v>34</v>
      </c>
      <c r="U3976" t="s">
        <v>31</v>
      </c>
    </row>
    <row r="3977" spans="1:21">
      <c r="A3977" t="s">
        <v>6229</v>
      </c>
      <c r="B3977" t="s">
        <v>5914</v>
      </c>
      <c r="C3977" t="s">
        <v>2033</v>
      </c>
      <c r="D3977">
        <v>100000</v>
      </c>
      <c r="E3977">
        <v>10000</v>
      </c>
      <c r="G3977">
        <v>100000</v>
      </c>
      <c r="H3977">
        <v>2</v>
      </c>
      <c r="I3977" t="s">
        <v>432</v>
      </c>
      <c r="J3977">
        <v>28.77</v>
      </c>
      <c r="K3977">
        <v>11</v>
      </c>
      <c r="L3977">
        <v>6</v>
      </c>
      <c r="M3977" t="s">
        <v>5596</v>
      </c>
      <c r="N3977">
        <v>9</v>
      </c>
      <c r="O3977">
        <v>11.67</v>
      </c>
      <c r="P3977">
        <v>122997.85</v>
      </c>
      <c r="Q3977">
        <v>77692.34</v>
      </c>
      <c r="R3977">
        <v>512</v>
      </c>
      <c r="S3977">
        <v>1071</v>
      </c>
      <c r="T3977" t="s">
        <v>34</v>
      </c>
      <c r="U3977" t="s">
        <v>90</v>
      </c>
    </row>
    <row r="3978" spans="1:21">
      <c r="A3978" t="s">
        <v>6230</v>
      </c>
      <c r="B3978" t="s">
        <v>6231</v>
      </c>
      <c r="C3978" t="s">
        <v>5608</v>
      </c>
      <c r="D3978">
        <v>59000</v>
      </c>
      <c r="E3978">
        <v>5000</v>
      </c>
      <c r="H3978">
        <v>4</v>
      </c>
      <c r="I3978" t="s">
        <v>432</v>
      </c>
      <c r="J3978">
        <v>16.2</v>
      </c>
      <c r="K3978">
        <v>38</v>
      </c>
      <c r="L3978">
        <v>6</v>
      </c>
      <c r="M3978" t="s">
        <v>5596</v>
      </c>
      <c r="N3978">
        <v>7</v>
      </c>
      <c r="O3978">
        <v>11.67</v>
      </c>
      <c r="P3978">
        <v>122997.85</v>
      </c>
      <c r="Q3978">
        <v>77692.34</v>
      </c>
      <c r="R3978">
        <v>512</v>
      </c>
      <c r="S3978">
        <v>1071</v>
      </c>
      <c r="T3978" t="s">
        <v>108</v>
      </c>
      <c r="U3978" t="s">
        <v>49</v>
      </c>
    </row>
    <row r="3979" spans="1:21">
      <c r="A3979" t="s">
        <v>6232</v>
      </c>
      <c r="B3979" t="s">
        <v>5942</v>
      </c>
      <c r="C3979" t="s">
        <v>5608</v>
      </c>
      <c r="D3979">
        <v>139000</v>
      </c>
      <c r="E3979">
        <v>11000</v>
      </c>
      <c r="G3979">
        <v>139000</v>
      </c>
      <c r="H3979">
        <v>4</v>
      </c>
      <c r="I3979" t="s">
        <v>432</v>
      </c>
      <c r="J3979">
        <v>26.44</v>
      </c>
      <c r="K3979">
        <v>9</v>
      </c>
      <c r="L3979">
        <v>9</v>
      </c>
      <c r="M3979" t="s">
        <v>5596</v>
      </c>
      <c r="N3979">
        <v>3</v>
      </c>
      <c r="O3979">
        <v>10</v>
      </c>
      <c r="P3979">
        <v>122997.85</v>
      </c>
      <c r="Q3979">
        <v>77692.34</v>
      </c>
      <c r="R3979">
        <v>512</v>
      </c>
      <c r="S3979">
        <v>1071</v>
      </c>
      <c r="T3979" t="s">
        <v>34</v>
      </c>
      <c r="U3979" t="s">
        <v>31</v>
      </c>
    </row>
    <row r="3980" spans="1:21">
      <c r="A3980" t="s">
        <v>6233</v>
      </c>
      <c r="B3980" t="s">
        <v>6063</v>
      </c>
      <c r="C3980" t="s">
        <v>5608</v>
      </c>
      <c r="D3980">
        <v>125000</v>
      </c>
      <c r="E3980">
        <v>10000</v>
      </c>
      <c r="F3980">
        <v>125000</v>
      </c>
      <c r="H3980">
        <v>1</v>
      </c>
      <c r="I3980" t="s">
        <v>432</v>
      </c>
      <c r="J3980">
        <v>20.45</v>
      </c>
      <c r="K3980">
        <v>0</v>
      </c>
      <c r="L3980">
        <v>3</v>
      </c>
      <c r="M3980" t="s">
        <v>5596</v>
      </c>
      <c r="N3980">
        <v>4</v>
      </c>
      <c r="O3980">
        <v>11.67</v>
      </c>
      <c r="P3980">
        <v>122997.85</v>
      </c>
      <c r="Q3980">
        <v>77692.34</v>
      </c>
      <c r="R3980">
        <v>512</v>
      </c>
      <c r="S3980">
        <v>1071</v>
      </c>
      <c r="T3980" t="s">
        <v>34</v>
      </c>
      <c r="U3980" t="s">
        <v>81</v>
      </c>
    </row>
    <row r="3981" spans="1:21">
      <c r="A3981" t="s">
        <v>6234</v>
      </c>
      <c r="B3981" t="s">
        <v>6063</v>
      </c>
      <c r="C3981" t="s">
        <v>5608</v>
      </c>
      <c r="D3981">
        <v>126000</v>
      </c>
      <c r="E3981">
        <v>10000</v>
      </c>
      <c r="F3981">
        <v>126000</v>
      </c>
      <c r="H3981">
        <v>1</v>
      </c>
      <c r="I3981" t="s">
        <v>432</v>
      </c>
      <c r="J3981">
        <v>20.45</v>
      </c>
      <c r="K3981">
        <v>0</v>
      </c>
      <c r="L3981">
        <v>3</v>
      </c>
      <c r="M3981" t="s">
        <v>5596</v>
      </c>
      <c r="N3981">
        <v>4</v>
      </c>
      <c r="O3981">
        <v>11.67</v>
      </c>
      <c r="P3981">
        <v>122997.85</v>
      </c>
      <c r="Q3981">
        <v>77692.34</v>
      </c>
      <c r="R3981">
        <v>512</v>
      </c>
      <c r="S3981">
        <v>1071</v>
      </c>
      <c r="T3981" t="s">
        <v>34</v>
      </c>
      <c r="U3981" t="s">
        <v>81</v>
      </c>
    </row>
    <row r="3982" spans="1:21">
      <c r="A3982" t="s">
        <v>6235</v>
      </c>
      <c r="B3982" t="s">
        <v>6063</v>
      </c>
      <c r="C3982" t="s">
        <v>5608</v>
      </c>
      <c r="D3982">
        <v>126000</v>
      </c>
      <c r="E3982">
        <v>10000</v>
      </c>
      <c r="F3982">
        <v>126000</v>
      </c>
      <c r="H3982">
        <v>2</v>
      </c>
      <c r="I3982" t="s">
        <v>432</v>
      </c>
      <c r="J3982">
        <v>20.45</v>
      </c>
      <c r="K3982">
        <v>0</v>
      </c>
      <c r="L3982">
        <v>3</v>
      </c>
      <c r="M3982" t="s">
        <v>5596</v>
      </c>
      <c r="N3982">
        <v>4</v>
      </c>
      <c r="O3982">
        <v>11.67</v>
      </c>
      <c r="P3982">
        <v>122997.85</v>
      </c>
      <c r="Q3982">
        <v>77692.34</v>
      </c>
      <c r="R3982">
        <v>512</v>
      </c>
      <c r="S3982">
        <v>1071</v>
      </c>
      <c r="T3982" t="s">
        <v>34</v>
      </c>
      <c r="U3982" t="s">
        <v>81</v>
      </c>
    </row>
    <row r="3983" spans="1:21">
      <c r="A3983" t="s">
        <v>6236</v>
      </c>
      <c r="B3983" t="s">
        <v>6063</v>
      </c>
      <c r="C3983" t="s">
        <v>5608</v>
      </c>
      <c r="D3983">
        <v>127000</v>
      </c>
      <c r="E3983">
        <v>10000</v>
      </c>
      <c r="F3983">
        <v>127000</v>
      </c>
      <c r="H3983">
        <v>2</v>
      </c>
      <c r="I3983" t="s">
        <v>432</v>
      </c>
      <c r="J3983">
        <v>20.45</v>
      </c>
      <c r="K3983">
        <v>0</v>
      </c>
      <c r="L3983">
        <v>3</v>
      </c>
      <c r="M3983" t="s">
        <v>5596</v>
      </c>
      <c r="N3983">
        <v>4</v>
      </c>
      <c r="O3983">
        <v>11.67</v>
      </c>
      <c r="P3983">
        <v>122997.85</v>
      </c>
      <c r="Q3983">
        <v>77692.34</v>
      </c>
      <c r="R3983">
        <v>512</v>
      </c>
      <c r="S3983">
        <v>1071</v>
      </c>
      <c r="T3983" t="s">
        <v>34</v>
      </c>
      <c r="U3983" t="s">
        <v>81</v>
      </c>
    </row>
    <row r="3984" spans="1:21">
      <c r="A3984" t="s">
        <v>6237</v>
      </c>
      <c r="B3984" t="s">
        <v>6063</v>
      </c>
      <c r="C3984" t="s">
        <v>5608</v>
      </c>
      <c r="D3984">
        <v>128000</v>
      </c>
      <c r="E3984">
        <v>10000</v>
      </c>
      <c r="F3984">
        <v>128000</v>
      </c>
      <c r="H3984">
        <v>3</v>
      </c>
      <c r="I3984" t="s">
        <v>432</v>
      </c>
      <c r="J3984">
        <v>20.45</v>
      </c>
      <c r="K3984">
        <v>0</v>
      </c>
      <c r="L3984">
        <v>3</v>
      </c>
      <c r="M3984" t="s">
        <v>5596</v>
      </c>
      <c r="N3984">
        <v>4</v>
      </c>
      <c r="O3984">
        <v>11.67</v>
      </c>
      <c r="P3984">
        <v>122997.85</v>
      </c>
      <c r="Q3984">
        <v>77692.34</v>
      </c>
      <c r="R3984">
        <v>512</v>
      </c>
      <c r="S3984">
        <v>1071</v>
      </c>
      <c r="T3984" t="s">
        <v>34</v>
      </c>
      <c r="U3984" t="s">
        <v>81</v>
      </c>
    </row>
    <row r="3985" spans="1:21">
      <c r="A3985" t="s">
        <v>6238</v>
      </c>
      <c r="B3985" t="s">
        <v>6063</v>
      </c>
      <c r="C3985" t="s">
        <v>5608</v>
      </c>
      <c r="D3985">
        <v>116000</v>
      </c>
      <c r="E3985">
        <v>10000</v>
      </c>
      <c r="F3985">
        <v>116000</v>
      </c>
      <c r="H3985">
        <v>-1</v>
      </c>
      <c r="I3985" t="s">
        <v>432</v>
      </c>
      <c r="J3985">
        <v>20.45</v>
      </c>
      <c r="K3985">
        <v>0</v>
      </c>
      <c r="L3985">
        <v>3</v>
      </c>
      <c r="M3985" t="s">
        <v>5596</v>
      </c>
      <c r="N3985">
        <v>4</v>
      </c>
      <c r="O3985">
        <v>11.67</v>
      </c>
      <c r="P3985">
        <v>122997.85</v>
      </c>
      <c r="Q3985">
        <v>77692.34</v>
      </c>
      <c r="R3985">
        <v>512</v>
      </c>
      <c r="S3985">
        <v>1071</v>
      </c>
      <c r="T3985" t="s">
        <v>34</v>
      </c>
      <c r="U3985" t="s">
        <v>81</v>
      </c>
    </row>
    <row r="3986" spans="1:21">
      <c r="A3986" t="s">
        <v>6239</v>
      </c>
      <c r="B3986" t="s">
        <v>6063</v>
      </c>
      <c r="C3986" t="s">
        <v>5608</v>
      </c>
      <c r="D3986">
        <v>117000</v>
      </c>
      <c r="E3986">
        <v>10000</v>
      </c>
      <c r="F3986">
        <v>117000</v>
      </c>
      <c r="H3986">
        <v>-1</v>
      </c>
      <c r="I3986" t="s">
        <v>432</v>
      </c>
      <c r="J3986">
        <v>20.45</v>
      </c>
      <c r="K3986">
        <v>0</v>
      </c>
      <c r="L3986">
        <v>3</v>
      </c>
      <c r="M3986" t="s">
        <v>5596</v>
      </c>
      <c r="N3986">
        <v>4</v>
      </c>
      <c r="O3986">
        <v>11.67</v>
      </c>
      <c r="P3986">
        <v>122997.85</v>
      </c>
      <c r="Q3986">
        <v>77692.34</v>
      </c>
      <c r="R3986">
        <v>512</v>
      </c>
      <c r="S3986">
        <v>1071</v>
      </c>
      <c r="T3986" t="s">
        <v>34</v>
      </c>
      <c r="U3986" t="s">
        <v>81</v>
      </c>
    </row>
    <row r="3987" spans="1:21">
      <c r="A3987" t="s">
        <v>6240</v>
      </c>
      <c r="B3987" t="s">
        <v>5642</v>
      </c>
      <c r="C3987" t="s">
        <v>4547</v>
      </c>
      <c r="D3987">
        <v>165000</v>
      </c>
      <c r="E3987">
        <v>7000</v>
      </c>
      <c r="F3987">
        <v>165000</v>
      </c>
      <c r="H3987">
        <v>1</v>
      </c>
      <c r="I3987" t="s">
        <v>6241</v>
      </c>
      <c r="J3987">
        <v>33.79</v>
      </c>
      <c r="K3987">
        <v>0</v>
      </c>
      <c r="L3987">
        <v>3</v>
      </c>
      <c r="M3987" t="s">
        <v>5596</v>
      </c>
      <c r="N3987">
        <v>9</v>
      </c>
      <c r="O3987">
        <v>11.33</v>
      </c>
      <c r="P3987">
        <v>122997.85</v>
      </c>
      <c r="Q3987">
        <v>167500</v>
      </c>
      <c r="R3987">
        <v>512</v>
      </c>
      <c r="S3987">
        <v>2</v>
      </c>
      <c r="T3987" t="s">
        <v>26</v>
      </c>
      <c r="U3987" t="s">
        <v>81</v>
      </c>
    </row>
    <row r="3988" spans="1:21">
      <c r="A3988" t="s">
        <v>6242</v>
      </c>
      <c r="B3988" t="s">
        <v>5642</v>
      </c>
      <c r="C3988" t="s">
        <v>4547</v>
      </c>
      <c r="D3988">
        <v>170000</v>
      </c>
      <c r="E3988">
        <v>7000</v>
      </c>
      <c r="F3988">
        <v>170000</v>
      </c>
      <c r="H3988">
        <v>2</v>
      </c>
      <c r="I3988" t="s">
        <v>6241</v>
      </c>
      <c r="J3988">
        <v>33.79</v>
      </c>
      <c r="K3988">
        <v>0</v>
      </c>
      <c r="L3988">
        <v>3</v>
      </c>
      <c r="M3988" t="s">
        <v>5596</v>
      </c>
      <c r="N3988">
        <v>9</v>
      </c>
      <c r="O3988">
        <v>11.33</v>
      </c>
      <c r="P3988">
        <v>122997.85</v>
      </c>
      <c r="Q3988">
        <v>167500</v>
      </c>
      <c r="R3988">
        <v>512</v>
      </c>
      <c r="S3988">
        <v>2</v>
      </c>
      <c r="T3988" t="s">
        <v>26</v>
      </c>
      <c r="U3988" t="s">
        <v>81</v>
      </c>
    </row>
    <row r="3989" spans="1:21">
      <c r="A3989" t="s">
        <v>6243</v>
      </c>
      <c r="B3989" t="s">
        <v>6244</v>
      </c>
      <c r="C3989" t="s">
        <v>5601</v>
      </c>
      <c r="D3989">
        <v>181000</v>
      </c>
      <c r="E3989">
        <v>9200</v>
      </c>
      <c r="F3989">
        <v>181000</v>
      </c>
      <c r="G3989">
        <v>181000</v>
      </c>
      <c r="H3989">
        <v>7</v>
      </c>
      <c r="I3989" t="s">
        <v>555</v>
      </c>
      <c r="J3989">
        <v>53.34</v>
      </c>
      <c r="K3989">
        <v>26</v>
      </c>
      <c r="L3989">
        <v>8</v>
      </c>
      <c r="M3989" t="s">
        <v>5596</v>
      </c>
      <c r="N3989">
        <v>1</v>
      </c>
      <c r="O3989">
        <v>8.67</v>
      </c>
      <c r="P3989">
        <v>122997.85</v>
      </c>
      <c r="Q3989">
        <v>207063.41</v>
      </c>
      <c r="R3989">
        <v>512</v>
      </c>
      <c r="S3989">
        <v>41</v>
      </c>
      <c r="T3989" t="s">
        <v>332</v>
      </c>
      <c r="U3989" t="s">
        <v>27</v>
      </c>
    </row>
    <row r="3990" spans="1:21">
      <c r="A3990" t="s">
        <v>6245</v>
      </c>
      <c r="B3990" t="s">
        <v>6246</v>
      </c>
      <c r="C3990" t="s">
        <v>758</v>
      </c>
      <c r="D3990">
        <v>110000</v>
      </c>
      <c r="E3990">
        <v>5000</v>
      </c>
      <c r="F3990">
        <v>110000</v>
      </c>
      <c r="G3990">
        <v>110000</v>
      </c>
      <c r="H3990">
        <v>2</v>
      </c>
      <c r="I3990" t="s">
        <v>559</v>
      </c>
      <c r="J3990">
        <v>42</v>
      </c>
      <c r="K3990">
        <v>39</v>
      </c>
      <c r="L3990">
        <v>4</v>
      </c>
      <c r="M3990" t="s">
        <v>5596</v>
      </c>
      <c r="N3990">
        <v>10</v>
      </c>
      <c r="O3990">
        <v>14</v>
      </c>
      <c r="P3990">
        <v>122997.85</v>
      </c>
      <c r="Q3990">
        <v>141491.45000000001</v>
      </c>
      <c r="R3990">
        <v>512</v>
      </c>
      <c r="S3990">
        <v>117</v>
      </c>
      <c r="T3990" t="s">
        <v>326</v>
      </c>
      <c r="U3990" t="s">
        <v>49</v>
      </c>
    </row>
    <row r="3991" spans="1:21">
      <c r="A3991" t="s">
        <v>6247</v>
      </c>
      <c r="B3991" t="s">
        <v>6248</v>
      </c>
      <c r="C3991" t="s">
        <v>4013</v>
      </c>
      <c r="D3991">
        <v>142000</v>
      </c>
      <c r="E3991">
        <v>5000</v>
      </c>
      <c r="F3991">
        <v>142000</v>
      </c>
      <c r="G3991">
        <v>142000</v>
      </c>
      <c r="H3991">
        <v>4</v>
      </c>
      <c r="I3991" t="s">
        <v>559</v>
      </c>
      <c r="J3991">
        <v>44.38</v>
      </c>
      <c r="K3991">
        <v>31</v>
      </c>
      <c r="L3991">
        <v>6</v>
      </c>
      <c r="M3991" t="s">
        <v>5596</v>
      </c>
      <c r="N3991">
        <v>5</v>
      </c>
      <c r="O3991">
        <v>6.5</v>
      </c>
      <c r="P3991">
        <v>122997.85</v>
      </c>
      <c r="Q3991">
        <v>141491.45000000001</v>
      </c>
      <c r="R3991">
        <v>512</v>
      </c>
      <c r="S3991">
        <v>117</v>
      </c>
      <c r="T3991" t="s">
        <v>326</v>
      </c>
      <c r="U3991" t="s">
        <v>49</v>
      </c>
    </row>
    <row r="3992" spans="1:21">
      <c r="A3992" t="s">
        <v>6249</v>
      </c>
      <c r="B3992" t="s">
        <v>6250</v>
      </c>
      <c r="C3992" t="s">
        <v>5608</v>
      </c>
      <c r="D3992">
        <v>97000</v>
      </c>
      <c r="E3992">
        <v>8000</v>
      </c>
      <c r="F3992">
        <v>97000</v>
      </c>
      <c r="H3992">
        <v>3</v>
      </c>
      <c r="I3992" t="s">
        <v>559</v>
      </c>
      <c r="J3992">
        <v>40</v>
      </c>
      <c r="K3992">
        <v>48</v>
      </c>
      <c r="L3992">
        <v>4</v>
      </c>
      <c r="M3992" t="s">
        <v>5596</v>
      </c>
      <c r="N3992">
        <v>7</v>
      </c>
      <c r="O3992">
        <v>12.33</v>
      </c>
      <c r="P3992">
        <v>122997.85</v>
      </c>
      <c r="Q3992">
        <v>141491.45000000001</v>
      </c>
      <c r="R3992">
        <v>512</v>
      </c>
      <c r="S3992">
        <v>117</v>
      </c>
      <c r="T3992" t="s">
        <v>326</v>
      </c>
      <c r="U3992" t="s">
        <v>42</v>
      </c>
    </row>
    <row r="3993" spans="1:21">
      <c r="A3993" t="s">
        <v>6251</v>
      </c>
      <c r="B3993" t="s">
        <v>6252</v>
      </c>
      <c r="C3993" t="s">
        <v>758</v>
      </c>
      <c r="D3993">
        <v>120000</v>
      </c>
      <c r="E3993">
        <v>5000</v>
      </c>
      <c r="F3993">
        <v>120000</v>
      </c>
      <c r="G3993">
        <v>120000</v>
      </c>
      <c r="H3993">
        <v>1</v>
      </c>
      <c r="I3993" t="s">
        <v>559</v>
      </c>
      <c r="J3993">
        <v>36.409999999999997</v>
      </c>
      <c r="K3993">
        <v>34</v>
      </c>
      <c r="L3993">
        <v>2</v>
      </c>
      <c r="M3993" t="s">
        <v>5596</v>
      </c>
      <c r="N3993">
        <v>6</v>
      </c>
      <c r="O3993">
        <v>10</v>
      </c>
      <c r="P3993">
        <v>122997.85</v>
      </c>
      <c r="Q3993">
        <v>141491.45000000001</v>
      </c>
      <c r="R3993">
        <v>512</v>
      </c>
      <c r="S3993">
        <v>117</v>
      </c>
      <c r="T3993" t="s">
        <v>26</v>
      </c>
      <c r="U3993" t="s">
        <v>49</v>
      </c>
    </row>
    <row r="3994" spans="1:21">
      <c r="A3994" t="s">
        <v>6253</v>
      </c>
      <c r="B3994" t="s">
        <v>6254</v>
      </c>
      <c r="C3994" t="s">
        <v>712</v>
      </c>
      <c r="D3994">
        <v>140000</v>
      </c>
      <c r="E3994">
        <v>8000</v>
      </c>
      <c r="F3994">
        <v>140000</v>
      </c>
      <c r="G3994">
        <v>140000</v>
      </c>
      <c r="H3994">
        <v>8</v>
      </c>
      <c r="I3994" t="s">
        <v>559</v>
      </c>
      <c r="J3994">
        <v>47.26</v>
      </c>
      <c r="K3994">
        <v>31</v>
      </c>
      <c r="L3994">
        <v>8</v>
      </c>
      <c r="M3994" t="s">
        <v>5596</v>
      </c>
      <c r="N3994">
        <v>3</v>
      </c>
      <c r="O3994">
        <v>8.33</v>
      </c>
      <c r="P3994">
        <v>122997.85</v>
      </c>
      <c r="Q3994">
        <v>141491.45000000001</v>
      </c>
      <c r="R3994">
        <v>512</v>
      </c>
      <c r="S3994">
        <v>117</v>
      </c>
      <c r="T3994" t="s">
        <v>326</v>
      </c>
      <c r="U3994" t="s">
        <v>49</v>
      </c>
    </row>
    <row r="3995" spans="1:21">
      <c r="A3995" t="s">
        <v>6255</v>
      </c>
      <c r="B3995" t="s">
        <v>6256</v>
      </c>
      <c r="C3995" t="s">
        <v>5601</v>
      </c>
      <c r="D3995">
        <v>140000</v>
      </c>
      <c r="F3995">
        <v>140000</v>
      </c>
      <c r="G3995">
        <v>140000</v>
      </c>
      <c r="H3995">
        <v>2</v>
      </c>
      <c r="I3995" t="s">
        <v>559</v>
      </c>
      <c r="J3995">
        <v>37.29</v>
      </c>
      <c r="K3995">
        <v>53</v>
      </c>
      <c r="L3995">
        <v>10</v>
      </c>
      <c r="M3995" t="s">
        <v>5596</v>
      </c>
      <c r="N3995">
        <v>4</v>
      </c>
      <c r="O3995">
        <v>8.5</v>
      </c>
      <c r="P3995">
        <v>122997.85</v>
      </c>
      <c r="Q3995">
        <v>141491.45000000001</v>
      </c>
      <c r="R3995">
        <v>512</v>
      </c>
      <c r="S3995">
        <v>117</v>
      </c>
      <c r="T3995" t="s">
        <v>26</v>
      </c>
      <c r="U3995" t="s">
        <v>57</v>
      </c>
    </row>
    <row r="3996" spans="1:21">
      <c r="A3996" t="s">
        <v>6257</v>
      </c>
      <c r="B3996" t="s">
        <v>6258</v>
      </c>
      <c r="C3996" t="s">
        <v>4027</v>
      </c>
      <c r="D3996">
        <v>80000</v>
      </c>
      <c r="E3996">
        <v>3000</v>
      </c>
      <c r="F3996">
        <v>80000</v>
      </c>
      <c r="H3996">
        <v>2</v>
      </c>
      <c r="I3996" t="s">
        <v>559</v>
      </c>
      <c r="J3996">
        <v>36.36</v>
      </c>
      <c r="K3996">
        <v>45</v>
      </c>
      <c r="L3996">
        <v>2</v>
      </c>
      <c r="M3996" t="s">
        <v>5596</v>
      </c>
      <c r="N3996">
        <v>10</v>
      </c>
      <c r="O3996">
        <v>11</v>
      </c>
      <c r="P3996">
        <v>122997.85</v>
      </c>
      <c r="Q3996">
        <v>141491.45000000001</v>
      </c>
      <c r="R3996">
        <v>512</v>
      </c>
      <c r="S3996">
        <v>117</v>
      </c>
      <c r="T3996" t="s">
        <v>26</v>
      </c>
      <c r="U3996" t="s">
        <v>42</v>
      </c>
    </row>
    <row r="3997" spans="1:21">
      <c r="A3997" t="s">
        <v>6259</v>
      </c>
      <c r="B3997" t="s">
        <v>5894</v>
      </c>
      <c r="C3997" t="s">
        <v>2033</v>
      </c>
      <c r="D3997">
        <v>159000</v>
      </c>
      <c r="E3997">
        <v>10000</v>
      </c>
      <c r="F3997">
        <v>159000</v>
      </c>
      <c r="G3997">
        <v>159000</v>
      </c>
      <c r="H3997">
        <v>4</v>
      </c>
      <c r="I3997" t="s">
        <v>559</v>
      </c>
      <c r="J3997">
        <v>41.93</v>
      </c>
      <c r="K3997">
        <v>12</v>
      </c>
      <c r="L3997">
        <v>5</v>
      </c>
      <c r="M3997" t="s">
        <v>5596</v>
      </c>
      <c r="N3997">
        <v>9</v>
      </c>
      <c r="O3997">
        <v>12.67</v>
      </c>
      <c r="P3997">
        <v>122997.85</v>
      </c>
      <c r="Q3997">
        <v>141491.45000000001</v>
      </c>
      <c r="R3997">
        <v>512</v>
      </c>
      <c r="S3997">
        <v>117</v>
      </c>
      <c r="T3997" t="s">
        <v>326</v>
      </c>
      <c r="U3997" t="s">
        <v>90</v>
      </c>
    </row>
    <row r="3998" spans="1:21">
      <c r="A3998" t="s">
        <v>6260</v>
      </c>
      <c r="B3998" t="s">
        <v>6261</v>
      </c>
      <c r="C3998" t="s">
        <v>4013</v>
      </c>
      <c r="D3998">
        <v>142000</v>
      </c>
      <c r="E3998">
        <v>5000</v>
      </c>
      <c r="F3998">
        <v>142000</v>
      </c>
      <c r="G3998">
        <v>142000</v>
      </c>
      <c r="H3998">
        <v>4</v>
      </c>
      <c r="I3998" t="s">
        <v>559</v>
      </c>
      <c r="J3998">
        <v>44.38</v>
      </c>
      <c r="K3998">
        <v>31</v>
      </c>
      <c r="L3998">
        <v>5</v>
      </c>
      <c r="M3998" t="s">
        <v>5596</v>
      </c>
      <c r="N3998">
        <v>5</v>
      </c>
      <c r="O3998">
        <v>9</v>
      </c>
      <c r="P3998">
        <v>122997.85</v>
      </c>
      <c r="Q3998">
        <v>141491.45000000001</v>
      </c>
      <c r="R3998">
        <v>512</v>
      </c>
      <c r="S3998">
        <v>117</v>
      </c>
      <c r="T3998" t="s">
        <v>326</v>
      </c>
      <c r="U3998" t="s">
        <v>49</v>
      </c>
    </row>
    <row r="3999" spans="1:21">
      <c r="A3999" t="s">
        <v>6262</v>
      </c>
      <c r="B3999" t="s">
        <v>5607</v>
      </c>
      <c r="C3999" t="s">
        <v>5608</v>
      </c>
      <c r="D3999">
        <v>117000</v>
      </c>
      <c r="E3999">
        <v>8000</v>
      </c>
      <c r="F3999">
        <v>117000</v>
      </c>
      <c r="G3999">
        <v>117000</v>
      </c>
      <c r="H3999">
        <v>2</v>
      </c>
      <c r="I3999" t="s">
        <v>573</v>
      </c>
      <c r="J3999">
        <v>30.42</v>
      </c>
      <c r="K3999">
        <v>7</v>
      </c>
      <c r="L3999">
        <v>7</v>
      </c>
      <c r="M3999" t="s">
        <v>5596</v>
      </c>
      <c r="N3999">
        <v>6</v>
      </c>
      <c r="O3999">
        <v>11.67</v>
      </c>
      <c r="P3999">
        <v>122997.85</v>
      </c>
      <c r="Q3999">
        <v>117441.44</v>
      </c>
      <c r="R3999">
        <v>512</v>
      </c>
      <c r="S3999">
        <v>111</v>
      </c>
      <c r="T3999" t="s">
        <v>26</v>
      </c>
      <c r="U3999" t="s">
        <v>31</v>
      </c>
    </row>
    <row r="4000" spans="1:21">
      <c r="A4000" t="s">
        <v>6263</v>
      </c>
      <c r="B4000" t="s">
        <v>5607</v>
      </c>
      <c r="C4000" t="s">
        <v>5608</v>
      </c>
      <c r="D4000">
        <v>130000</v>
      </c>
      <c r="E4000">
        <v>8000</v>
      </c>
      <c r="F4000">
        <v>130000</v>
      </c>
      <c r="G4000">
        <v>130000</v>
      </c>
      <c r="H4000">
        <v>6</v>
      </c>
      <c r="I4000" t="s">
        <v>573</v>
      </c>
      <c r="J4000">
        <v>30.42</v>
      </c>
      <c r="K4000">
        <v>7</v>
      </c>
      <c r="L4000">
        <v>7</v>
      </c>
      <c r="M4000" t="s">
        <v>5596</v>
      </c>
      <c r="N4000">
        <v>6</v>
      </c>
      <c r="O4000">
        <v>11.67</v>
      </c>
      <c r="P4000">
        <v>122997.85</v>
      </c>
      <c r="Q4000">
        <v>117441.44</v>
      </c>
      <c r="R4000">
        <v>512</v>
      </c>
      <c r="S4000">
        <v>111</v>
      </c>
      <c r="T4000" t="s">
        <v>26</v>
      </c>
      <c r="U4000" t="s">
        <v>31</v>
      </c>
    </row>
    <row r="4001" spans="1:21">
      <c r="A4001" t="s">
        <v>6264</v>
      </c>
      <c r="B4001" t="s">
        <v>6265</v>
      </c>
      <c r="C4001" t="s">
        <v>5601</v>
      </c>
      <c r="D4001">
        <v>70000</v>
      </c>
      <c r="E4001">
        <v>2000</v>
      </c>
      <c r="F4001">
        <v>70000</v>
      </c>
      <c r="G4001">
        <v>70000</v>
      </c>
      <c r="H4001">
        <v>2</v>
      </c>
      <c r="I4001" t="s">
        <v>573</v>
      </c>
      <c r="J4001">
        <v>29.7</v>
      </c>
      <c r="K4001">
        <v>48</v>
      </c>
      <c r="L4001">
        <v>2</v>
      </c>
      <c r="M4001" t="s">
        <v>5596</v>
      </c>
      <c r="N4001">
        <v>5</v>
      </c>
      <c r="O4001">
        <v>10.67</v>
      </c>
      <c r="P4001">
        <v>122997.85</v>
      </c>
      <c r="Q4001">
        <v>117441.44</v>
      </c>
      <c r="R4001">
        <v>512</v>
      </c>
      <c r="S4001">
        <v>111</v>
      </c>
      <c r="T4001" t="s">
        <v>34</v>
      </c>
      <c r="U4001" t="s">
        <v>42</v>
      </c>
    </row>
    <row r="4002" spans="1:21">
      <c r="A4002" t="s">
        <v>6266</v>
      </c>
      <c r="B4002" t="s">
        <v>6267</v>
      </c>
      <c r="C4002" t="s">
        <v>2979</v>
      </c>
      <c r="D4002">
        <v>70000</v>
      </c>
      <c r="F4002">
        <v>70000</v>
      </c>
      <c r="H4002">
        <v>1</v>
      </c>
      <c r="I4002" t="s">
        <v>573</v>
      </c>
      <c r="J4002">
        <v>32.4</v>
      </c>
      <c r="K4002">
        <v>50</v>
      </c>
      <c r="L4002">
        <v>2</v>
      </c>
      <c r="M4002" t="s">
        <v>5596</v>
      </c>
      <c r="N4002">
        <v>10</v>
      </c>
      <c r="O4002">
        <v>10.33</v>
      </c>
      <c r="P4002">
        <v>122997.85</v>
      </c>
      <c r="Q4002">
        <v>117441.44</v>
      </c>
      <c r="R4002">
        <v>512</v>
      </c>
      <c r="S4002">
        <v>111</v>
      </c>
      <c r="T4002" t="s">
        <v>26</v>
      </c>
      <c r="U4002" t="s">
        <v>42</v>
      </c>
    </row>
    <row r="4003" spans="1:21">
      <c r="A4003" t="s">
        <v>6268</v>
      </c>
      <c r="B4003" t="s">
        <v>6252</v>
      </c>
      <c r="C4003" t="s">
        <v>758</v>
      </c>
      <c r="D4003">
        <v>115000</v>
      </c>
      <c r="E4003">
        <v>5000</v>
      </c>
      <c r="F4003">
        <v>115000</v>
      </c>
      <c r="G4003">
        <v>115000</v>
      </c>
      <c r="H4003">
        <v>2</v>
      </c>
      <c r="I4003" t="s">
        <v>573</v>
      </c>
      <c r="J4003">
        <v>35.18</v>
      </c>
      <c r="K4003">
        <v>34</v>
      </c>
      <c r="L4003">
        <v>2</v>
      </c>
      <c r="M4003" t="s">
        <v>5596</v>
      </c>
      <c r="N4003">
        <v>6</v>
      </c>
      <c r="O4003">
        <v>10</v>
      </c>
      <c r="P4003">
        <v>122997.85</v>
      </c>
      <c r="Q4003">
        <v>117441.44</v>
      </c>
      <c r="R4003">
        <v>512</v>
      </c>
      <c r="S4003">
        <v>111</v>
      </c>
      <c r="T4003" t="s">
        <v>26</v>
      </c>
      <c r="U4003" t="s">
        <v>49</v>
      </c>
    </row>
    <row r="4004" spans="1:21">
      <c r="A4004" t="s">
        <v>6269</v>
      </c>
      <c r="B4004" t="s">
        <v>5817</v>
      </c>
      <c r="C4004" t="s">
        <v>712</v>
      </c>
      <c r="D4004">
        <v>121000</v>
      </c>
      <c r="E4004">
        <v>15000</v>
      </c>
      <c r="H4004">
        <v>1</v>
      </c>
      <c r="I4004" t="s">
        <v>573</v>
      </c>
      <c r="J4004">
        <v>25.72</v>
      </c>
      <c r="K4004">
        <v>6</v>
      </c>
      <c r="L4004">
        <v>5</v>
      </c>
      <c r="M4004" t="s">
        <v>5596</v>
      </c>
      <c r="N4004">
        <v>10</v>
      </c>
      <c r="O4004">
        <v>11.67</v>
      </c>
      <c r="P4004">
        <v>122997.85</v>
      </c>
      <c r="Q4004">
        <v>117441.44</v>
      </c>
      <c r="R4004">
        <v>512</v>
      </c>
      <c r="S4004">
        <v>111</v>
      </c>
      <c r="T4004" t="s">
        <v>34</v>
      </c>
      <c r="U4004" t="s">
        <v>31</v>
      </c>
    </row>
    <row r="4005" spans="1:21">
      <c r="A4005" t="s">
        <v>6270</v>
      </c>
      <c r="B4005" t="s">
        <v>5817</v>
      </c>
      <c r="C4005" t="s">
        <v>712</v>
      </c>
      <c r="D4005">
        <v>123000</v>
      </c>
      <c r="E4005">
        <v>15000</v>
      </c>
      <c r="H4005">
        <v>4</v>
      </c>
      <c r="I4005" t="s">
        <v>573</v>
      </c>
      <c r="J4005">
        <v>25.51</v>
      </c>
      <c r="K4005">
        <v>6</v>
      </c>
      <c r="L4005">
        <v>5</v>
      </c>
      <c r="M4005" t="s">
        <v>5596</v>
      </c>
      <c r="N4005">
        <v>10</v>
      </c>
      <c r="O4005">
        <v>11.67</v>
      </c>
      <c r="P4005">
        <v>122997.85</v>
      </c>
      <c r="Q4005">
        <v>117441.44</v>
      </c>
      <c r="R4005">
        <v>512</v>
      </c>
      <c r="S4005">
        <v>111</v>
      </c>
      <c r="T4005" t="s">
        <v>34</v>
      </c>
      <c r="U4005" t="s">
        <v>31</v>
      </c>
    </row>
    <row r="4006" spans="1:21">
      <c r="A4006" t="s">
        <v>6271</v>
      </c>
      <c r="B4006" t="s">
        <v>6272</v>
      </c>
      <c r="C4006" t="s">
        <v>2033</v>
      </c>
      <c r="D4006">
        <v>50000</v>
      </c>
      <c r="E4006">
        <v>4000</v>
      </c>
      <c r="F4006">
        <v>50000</v>
      </c>
      <c r="H4006">
        <v>2</v>
      </c>
      <c r="I4006" t="s">
        <v>573</v>
      </c>
      <c r="J4006">
        <v>26</v>
      </c>
      <c r="K4006">
        <v>57</v>
      </c>
      <c r="L4006">
        <v>2</v>
      </c>
      <c r="M4006" t="s">
        <v>5596</v>
      </c>
      <c r="N4006">
        <v>10</v>
      </c>
      <c r="O4006">
        <v>13.33</v>
      </c>
      <c r="P4006">
        <v>122997.85</v>
      </c>
      <c r="Q4006">
        <v>117441.44</v>
      </c>
      <c r="R4006">
        <v>512</v>
      </c>
      <c r="S4006">
        <v>111</v>
      </c>
      <c r="T4006" t="s">
        <v>34</v>
      </c>
      <c r="U4006" t="s">
        <v>57</v>
      </c>
    </row>
    <row r="4007" spans="1:21">
      <c r="A4007" t="s">
        <v>6273</v>
      </c>
      <c r="B4007" t="s">
        <v>6274</v>
      </c>
      <c r="C4007" t="s">
        <v>2033</v>
      </c>
      <c r="D4007">
        <v>75000</v>
      </c>
      <c r="E4007">
        <v>5000</v>
      </c>
      <c r="F4007">
        <v>75000</v>
      </c>
      <c r="G4007">
        <v>75000</v>
      </c>
      <c r="H4007">
        <v>1</v>
      </c>
      <c r="I4007" t="s">
        <v>573</v>
      </c>
      <c r="J4007">
        <v>29.04</v>
      </c>
      <c r="K4007">
        <v>53</v>
      </c>
      <c r="L4007">
        <v>2</v>
      </c>
      <c r="M4007" t="s">
        <v>5596</v>
      </c>
      <c r="N4007">
        <v>10</v>
      </c>
      <c r="O4007">
        <v>12</v>
      </c>
      <c r="P4007">
        <v>122997.85</v>
      </c>
      <c r="Q4007">
        <v>117441.44</v>
      </c>
      <c r="R4007">
        <v>512</v>
      </c>
      <c r="S4007">
        <v>111</v>
      </c>
      <c r="T4007" t="s">
        <v>34</v>
      </c>
      <c r="U4007" t="s">
        <v>57</v>
      </c>
    </row>
    <row r="4008" spans="1:21">
      <c r="A4008" t="s">
        <v>6275</v>
      </c>
      <c r="B4008" t="s">
        <v>5650</v>
      </c>
      <c r="C4008" t="s">
        <v>712</v>
      </c>
      <c r="D4008">
        <v>121000</v>
      </c>
      <c r="E4008">
        <v>15000</v>
      </c>
      <c r="H4008">
        <v>1</v>
      </c>
      <c r="I4008" t="s">
        <v>573</v>
      </c>
      <c r="J4008">
        <v>25.72</v>
      </c>
      <c r="K4008">
        <v>6</v>
      </c>
      <c r="L4008">
        <v>5</v>
      </c>
      <c r="M4008" t="s">
        <v>5596</v>
      </c>
      <c r="N4008">
        <v>10</v>
      </c>
      <c r="O4008">
        <v>11</v>
      </c>
      <c r="P4008">
        <v>122997.85</v>
      </c>
      <c r="Q4008">
        <v>117441.44</v>
      </c>
      <c r="R4008">
        <v>512</v>
      </c>
      <c r="S4008">
        <v>111</v>
      </c>
      <c r="T4008" t="s">
        <v>34</v>
      </c>
      <c r="U4008" t="s">
        <v>31</v>
      </c>
    </row>
    <row r="4009" spans="1:21">
      <c r="A4009" t="s">
        <v>6276</v>
      </c>
      <c r="B4009" t="s">
        <v>5650</v>
      </c>
      <c r="C4009" t="s">
        <v>712</v>
      </c>
      <c r="D4009">
        <v>125000</v>
      </c>
      <c r="E4009">
        <v>15000</v>
      </c>
      <c r="H4009">
        <v>5</v>
      </c>
      <c r="I4009" t="s">
        <v>573</v>
      </c>
      <c r="J4009">
        <v>25.51</v>
      </c>
      <c r="K4009">
        <v>6</v>
      </c>
      <c r="L4009">
        <v>5</v>
      </c>
      <c r="M4009" t="s">
        <v>5596</v>
      </c>
      <c r="N4009">
        <v>10</v>
      </c>
      <c r="O4009">
        <v>11</v>
      </c>
      <c r="P4009">
        <v>122997.85</v>
      </c>
      <c r="Q4009">
        <v>117441.44</v>
      </c>
      <c r="R4009">
        <v>512</v>
      </c>
      <c r="S4009">
        <v>111</v>
      </c>
      <c r="T4009" t="s">
        <v>34</v>
      </c>
      <c r="U4009" t="s">
        <v>31</v>
      </c>
    </row>
    <row r="4010" spans="1:21">
      <c r="A4010" t="s">
        <v>6277</v>
      </c>
      <c r="B4010" t="s">
        <v>6278</v>
      </c>
      <c r="C4010" t="s">
        <v>5608</v>
      </c>
      <c r="D4010">
        <v>117000</v>
      </c>
      <c r="E4010">
        <v>8000</v>
      </c>
      <c r="F4010">
        <v>117000</v>
      </c>
      <c r="G4010">
        <v>117000</v>
      </c>
      <c r="H4010">
        <v>2</v>
      </c>
      <c r="I4010" t="s">
        <v>573</v>
      </c>
      <c r="J4010">
        <v>30.42</v>
      </c>
      <c r="K4010">
        <v>7</v>
      </c>
      <c r="L4010">
        <v>7</v>
      </c>
      <c r="M4010" t="s">
        <v>5596</v>
      </c>
      <c r="N4010">
        <v>6</v>
      </c>
      <c r="O4010">
        <v>13.33</v>
      </c>
      <c r="P4010">
        <v>122997.85</v>
      </c>
      <c r="Q4010">
        <v>117441.44</v>
      </c>
      <c r="R4010">
        <v>512</v>
      </c>
      <c r="S4010">
        <v>111</v>
      </c>
      <c r="T4010" t="s">
        <v>26</v>
      </c>
      <c r="U4010" t="s">
        <v>31</v>
      </c>
    </row>
    <row r="4011" spans="1:21">
      <c r="A4011" t="s">
        <v>6279</v>
      </c>
      <c r="B4011" t="s">
        <v>6278</v>
      </c>
      <c r="C4011" t="s">
        <v>5608</v>
      </c>
      <c r="D4011">
        <v>125000</v>
      </c>
      <c r="E4011">
        <v>8000</v>
      </c>
      <c r="F4011">
        <v>125000</v>
      </c>
      <c r="G4011">
        <v>125000</v>
      </c>
      <c r="H4011">
        <v>2</v>
      </c>
      <c r="I4011" t="s">
        <v>573</v>
      </c>
      <c r="J4011">
        <v>30.42</v>
      </c>
      <c r="K4011">
        <v>7</v>
      </c>
      <c r="L4011">
        <v>7</v>
      </c>
      <c r="M4011" t="s">
        <v>5596</v>
      </c>
      <c r="N4011">
        <v>6</v>
      </c>
      <c r="O4011">
        <v>13.33</v>
      </c>
      <c r="P4011">
        <v>122997.85</v>
      </c>
      <c r="Q4011">
        <v>117441.44</v>
      </c>
      <c r="R4011">
        <v>512</v>
      </c>
      <c r="S4011">
        <v>111</v>
      </c>
      <c r="T4011" t="s">
        <v>26</v>
      </c>
      <c r="U4011" t="s">
        <v>31</v>
      </c>
    </row>
    <row r="4012" spans="1:21">
      <c r="A4012" t="s">
        <v>6280</v>
      </c>
      <c r="B4012" t="s">
        <v>5950</v>
      </c>
      <c r="C4012" t="s">
        <v>5608</v>
      </c>
      <c r="D4012">
        <v>114000</v>
      </c>
      <c r="E4012">
        <v>12000</v>
      </c>
      <c r="G4012">
        <v>114000</v>
      </c>
      <c r="H4012">
        <v>2</v>
      </c>
      <c r="I4012" t="s">
        <v>573</v>
      </c>
      <c r="J4012">
        <v>25.67</v>
      </c>
      <c r="K4012">
        <v>5</v>
      </c>
      <c r="L4012">
        <v>5</v>
      </c>
      <c r="M4012" t="s">
        <v>5596</v>
      </c>
      <c r="N4012">
        <v>7</v>
      </c>
      <c r="O4012">
        <v>11.33</v>
      </c>
      <c r="P4012">
        <v>122997.85</v>
      </c>
      <c r="Q4012">
        <v>117441.44</v>
      </c>
      <c r="R4012">
        <v>512</v>
      </c>
      <c r="S4012">
        <v>111</v>
      </c>
      <c r="T4012" t="s">
        <v>34</v>
      </c>
      <c r="U4012" t="s">
        <v>31</v>
      </c>
    </row>
    <row r="4013" spans="1:21">
      <c r="A4013" t="s">
        <v>6281</v>
      </c>
      <c r="B4013" t="s">
        <v>6282</v>
      </c>
      <c r="C4013" t="s">
        <v>712</v>
      </c>
      <c r="D4013">
        <v>245000</v>
      </c>
      <c r="E4013">
        <v>10000</v>
      </c>
      <c r="F4013">
        <v>245000</v>
      </c>
      <c r="G4013">
        <v>245000</v>
      </c>
      <c r="H4013">
        <v>1</v>
      </c>
      <c r="I4013" t="s">
        <v>585</v>
      </c>
      <c r="J4013">
        <v>56</v>
      </c>
      <c r="K4013">
        <v>0</v>
      </c>
      <c r="L4013">
        <v>3</v>
      </c>
      <c r="M4013" t="s">
        <v>5596</v>
      </c>
      <c r="N4013">
        <v>9</v>
      </c>
      <c r="O4013">
        <v>10.67</v>
      </c>
      <c r="P4013">
        <v>122997.85</v>
      </c>
      <c r="Q4013">
        <v>232352.65</v>
      </c>
      <c r="R4013">
        <v>512</v>
      </c>
      <c r="S4013">
        <v>359</v>
      </c>
      <c r="T4013" t="s">
        <v>332</v>
      </c>
      <c r="U4013" t="s">
        <v>81</v>
      </c>
    </row>
    <row r="4014" spans="1:21">
      <c r="A4014" t="s">
        <v>6283</v>
      </c>
      <c r="B4014" t="s">
        <v>6282</v>
      </c>
      <c r="C4014" t="s">
        <v>712</v>
      </c>
      <c r="D4014">
        <v>235000</v>
      </c>
      <c r="E4014">
        <v>10000</v>
      </c>
      <c r="F4014">
        <v>235000</v>
      </c>
      <c r="G4014">
        <v>235000</v>
      </c>
      <c r="H4014">
        <v>1</v>
      </c>
      <c r="I4014" t="s">
        <v>585</v>
      </c>
      <c r="J4014">
        <v>57.62</v>
      </c>
      <c r="K4014">
        <v>0</v>
      </c>
      <c r="L4014">
        <v>3</v>
      </c>
      <c r="M4014" t="s">
        <v>5596</v>
      </c>
      <c r="N4014">
        <v>9</v>
      </c>
      <c r="O4014">
        <v>10.67</v>
      </c>
      <c r="P4014">
        <v>122997.85</v>
      </c>
      <c r="Q4014">
        <v>232352.65</v>
      </c>
      <c r="R4014">
        <v>512</v>
      </c>
      <c r="S4014">
        <v>359</v>
      </c>
      <c r="T4014" t="s">
        <v>332</v>
      </c>
      <c r="U4014" t="s">
        <v>81</v>
      </c>
    </row>
    <row r="4015" spans="1:21">
      <c r="A4015" t="s">
        <v>6284</v>
      </c>
      <c r="B4015" t="s">
        <v>6282</v>
      </c>
      <c r="C4015" t="s">
        <v>712</v>
      </c>
      <c r="D4015">
        <v>213000</v>
      </c>
      <c r="E4015">
        <v>10000</v>
      </c>
      <c r="F4015">
        <v>213000</v>
      </c>
      <c r="G4015">
        <v>213000</v>
      </c>
      <c r="H4015">
        <v>2</v>
      </c>
      <c r="I4015" t="s">
        <v>585</v>
      </c>
      <c r="J4015">
        <v>51.38</v>
      </c>
      <c r="K4015">
        <v>0</v>
      </c>
      <c r="L4015">
        <v>3</v>
      </c>
      <c r="M4015" t="s">
        <v>5596</v>
      </c>
      <c r="N4015">
        <v>9</v>
      </c>
      <c r="O4015">
        <v>10.67</v>
      </c>
      <c r="P4015">
        <v>122997.85</v>
      </c>
      <c r="Q4015">
        <v>232352.65</v>
      </c>
      <c r="R4015">
        <v>512</v>
      </c>
      <c r="S4015">
        <v>359</v>
      </c>
      <c r="T4015" t="s">
        <v>332</v>
      </c>
      <c r="U4015" t="s">
        <v>81</v>
      </c>
    </row>
    <row r="4016" spans="1:21">
      <c r="A4016" t="s">
        <v>6285</v>
      </c>
      <c r="B4016" t="s">
        <v>6282</v>
      </c>
      <c r="C4016" t="s">
        <v>712</v>
      </c>
      <c r="D4016">
        <v>233000</v>
      </c>
      <c r="E4016">
        <v>10000</v>
      </c>
      <c r="F4016">
        <v>233000</v>
      </c>
      <c r="G4016">
        <v>233000</v>
      </c>
      <c r="H4016">
        <v>2</v>
      </c>
      <c r="I4016" t="s">
        <v>585</v>
      </c>
      <c r="J4016">
        <v>58.5</v>
      </c>
      <c r="K4016">
        <v>0</v>
      </c>
      <c r="L4016">
        <v>3</v>
      </c>
      <c r="M4016" t="s">
        <v>5596</v>
      </c>
      <c r="N4016">
        <v>9</v>
      </c>
      <c r="O4016">
        <v>10.67</v>
      </c>
      <c r="P4016">
        <v>122997.85</v>
      </c>
      <c r="Q4016">
        <v>232352.65</v>
      </c>
      <c r="R4016">
        <v>512</v>
      </c>
      <c r="S4016">
        <v>359</v>
      </c>
      <c r="T4016" t="s">
        <v>332</v>
      </c>
      <c r="U4016" t="s">
        <v>81</v>
      </c>
    </row>
    <row r="4017" spans="1:21">
      <c r="A4017" t="s">
        <v>6286</v>
      </c>
      <c r="B4017" t="s">
        <v>6282</v>
      </c>
      <c r="C4017" t="s">
        <v>712</v>
      </c>
      <c r="D4017">
        <v>245000</v>
      </c>
      <c r="E4017">
        <v>10000</v>
      </c>
      <c r="F4017">
        <v>245000</v>
      </c>
      <c r="G4017">
        <v>245000</v>
      </c>
      <c r="H4017">
        <v>2</v>
      </c>
      <c r="I4017" t="s">
        <v>585</v>
      </c>
      <c r="J4017">
        <v>59.75</v>
      </c>
      <c r="K4017">
        <v>0</v>
      </c>
      <c r="L4017">
        <v>3</v>
      </c>
      <c r="M4017" t="s">
        <v>5596</v>
      </c>
      <c r="N4017">
        <v>9</v>
      </c>
      <c r="O4017">
        <v>10.67</v>
      </c>
      <c r="P4017">
        <v>122997.85</v>
      </c>
      <c r="Q4017">
        <v>232352.65</v>
      </c>
      <c r="R4017">
        <v>512</v>
      </c>
      <c r="S4017">
        <v>359</v>
      </c>
      <c r="T4017" t="s">
        <v>332</v>
      </c>
      <c r="U4017" t="s">
        <v>81</v>
      </c>
    </row>
    <row r="4018" spans="1:21">
      <c r="A4018" t="s">
        <v>6287</v>
      </c>
      <c r="B4018" t="s">
        <v>6288</v>
      </c>
      <c r="C4018" t="s">
        <v>5601</v>
      </c>
      <c r="D4018">
        <v>135000</v>
      </c>
      <c r="E4018">
        <v>3000</v>
      </c>
      <c r="F4018">
        <v>135000</v>
      </c>
      <c r="G4018">
        <v>135000</v>
      </c>
      <c r="H4018">
        <v>2</v>
      </c>
      <c r="I4018" t="s">
        <v>585</v>
      </c>
      <c r="J4018">
        <v>51.9</v>
      </c>
      <c r="K4018">
        <v>51</v>
      </c>
      <c r="L4018">
        <v>6</v>
      </c>
      <c r="M4018" t="s">
        <v>5596</v>
      </c>
      <c r="N4018">
        <v>1</v>
      </c>
      <c r="O4018">
        <v>9.33</v>
      </c>
      <c r="P4018">
        <v>122997.85</v>
      </c>
      <c r="Q4018">
        <v>232352.65</v>
      </c>
      <c r="R4018">
        <v>512</v>
      </c>
      <c r="S4018">
        <v>359</v>
      </c>
      <c r="T4018" t="s">
        <v>332</v>
      </c>
      <c r="U4018" t="s">
        <v>57</v>
      </c>
    </row>
    <row r="4019" spans="1:21">
      <c r="A4019" t="s">
        <v>6289</v>
      </c>
      <c r="B4019" t="s">
        <v>5686</v>
      </c>
      <c r="C4019" t="s">
        <v>5608</v>
      </c>
      <c r="D4019">
        <v>240000</v>
      </c>
      <c r="E4019">
        <v>12000</v>
      </c>
      <c r="F4019">
        <v>240000</v>
      </c>
      <c r="G4019">
        <v>480000</v>
      </c>
      <c r="H4019">
        <v>4</v>
      </c>
      <c r="I4019" t="s">
        <v>585</v>
      </c>
      <c r="J4019">
        <v>51.71</v>
      </c>
      <c r="K4019">
        <v>4</v>
      </c>
      <c r="L4019">
        <v>5</v>
      </c>
      <c r="M4019" t="s">
        <v>5596</v>
      </c>
      <c r="N4019">
        <v>6</v>
      </c>
      <c r="O4019">
        <v>13</v>
      </c>
      <c r="P4019">
        <v>122997.85</v>
      </c>
      <c r="Q4019">
        <v>232352.65</v>
      </c>
      <c r="R4019">
        <v>512</v>
      </c>
      <c r="S4019">
        <v>359</v>
      </c>
      <c r="T4019" t="s">
        <v>332</v>
      </c>
      <c r="U4019" t="s">
        <v>31</v>
      </c>
    </row>
    <row r="4020" spans="1:21">
      <c r="A4020" t="s">
        <v>6290</v>
      </c>
      <c r="B4020" t="s">
        <v>5686</v>
      </c>
      <c r="C4020" t="s">
        <v>5608</v>
      </c>
      <c r="D4020">
        <v>199000</v>
      </c>
      <c r="E4020">
        <v>12000</v>
      </c>
      <c r="F4020">
        <v>199000</v>
      </c>
      <c r="G4020">
        <v>398000</v>
      </c>
      <c r="H4020">
        <v>5</v>
      </c>
      <c r="I4020" t="s">
        <v>585</v>
      </c>
      <c r="J4020">
        <v>43.52</v>
      </c>
      <c r="K4020">
        <v>4</v>
      </c>
      <c r="L4020">
        <v>5</v>
      </c>
      <c r="M4020" t="s">
        <v>5596</v>
      </c>
      <c r="N4020">
        <v>6</v>
      </c>
      <c r="O4020">
        <v>13</v>
      </c>
      <c r="P4020">
        <v>122997.85</v>
      </c>
      <c r="Q4020">
        <v>232352.65</v>
      </c>
      <c r="R4020">
        <v>512</v>
      </c>
      <c r="S4020">
        <v>359</v>
      </c>
      <c r="T4020" t="s">
        <v>326</v>
      </c>
      <c r="U4020" t="s">
        <v>31</v>
      </c>
    </row>
    <row r="4021" spans="1:21">
      <c r="A4021" t="s">
        <v>6291</v>
      </c>
      <c r="B4021" t="s">
        <v>5965</v>
      </c>
      <c r="C4021" t="s">
        <v>1850</v>
      </c>
      <c r="D4021">
        <v>240000</v>
      </c>
      <c r="E4021">
        <v>15000</v>
      </c>
      <c r="G4021">
        <v>480000</v>
      </c>
      <c r="H4021">
        <v>1</v>
      </c>
      <c r="I4021" t="s">
        <v>585</v>
      </c>
      <c r="J4021">
        <v>58.87</v>
      </c>
      <c r="K4021">
        <v>0</v>
      </c>
      <c r="L4021">
        <v>3</v>
      </c>
      <c r="M4021" t="s">
        <v>5596</v>
      </c>
      <c r="N4021">
        <v>11</v>
      </c>
      <c r="O4021">
        <v>12.67</v>
      </c>
      <c r="P4021">
        <v>122997.85</v>
      </c>
      <c r="Q4021">
        <v>232352.65</v>
      </c>
      <c r="R4021">
        <v>512</v>
      </c>
      <c r="S4021">
        <v>359</v>
      </c>
      <c r="T4021" t="s">
        <v>332</v>
      </c>
      <c r="U4021" t="s">
        <v>81</v>
      </c>
    </row>
    <row r="4022" spans="1:21">
      <c r="A4022" t="s">
        <v>6292</v>
      </c>
      <c r="B4022" t="s">
        <v>5965</v>
      </c>
      <c r="C4022" t="s">
        <v>1850</v>
      </c>
      <c r="D4022">
        <v>238000</v>
      </c>
      <c r="E4022">
        <v>15000</v>
      </c>
      <c r="G4022">
        <v>238000</v>
      </c>
      <c r="H4022">
        <v>2</v>
      </c>
      <c r="I4022" t="s">
        <v>585</v>
      </c>
      <c r="J4022">
        <v>55.66</v>
      </c>
      <c r="K4022">
        <v>0</v>
      </c>
      <c r="L4022">
        <v>3</v>
      </c>
      <c r="M4022" t="s">
        <v>5596</v>
      </c>
      <c r="N4022">
        <v>11</v>
      </c>
      <c r="O4022">
        <v>12.67</v>
      </c>
      <c r="P4022">
        <v>122997.85</v>
      </c>
      <c r="Q4022">
        <v>232352.65</v>
      </c>
      <c r="R4022">
        <v>512</v>
      </c>
      <c r="S4022">
        <v>359</v>
      </c>
      <c r="T4022" t="s">
        <v>332</v>
      </c>
      <c r="U4022" t="s">
        <v>81</v>
      </c>
    </row>
    <row r="4023" spans="1:21">
      <c r="A4023" t="s">
        <v>6293</v>
      </c>
      <c r="B4023" t="s">
        <v>5965</v>
      </c>
      <c r="C4023" t="s">
        <v>1850</v>
      </c>
      <c r="D4023">
        <v>255000</v>
      </c>
      <c r="E4023">
        <v>15000</v>
      </c>
      <c r="G4023">
        <v>510000</v>
      </c>
      <c r="H4023">
        <v>2</v>
      </c>
      <c r="I4023" t="s">
        <v>585</v>
      </c>
      <c r="J4023">
        <v>62.65</v>
      </c>
      <c r="K4023">
        <v>0</v>
      </c>
      <c r="L4023">
        <v>3</v>
      </c>
      <c r="M4023" t="s">
        <v>5596</v>
      </c>
      <c r="N4023">
        <v>11</v>
      </c>
      <c r="O4023">
        <v>12.67</v>
      </c>
      <c r="P4023">
        <v>122997.85</v>
      </c>
      <c r="Q4023">
        <v>232352.65</v>
      </c>
      <c r="R4023">
        <v>512</v>
      </c>
      <c r="S4023">
        <v>359</v>
      </c>
      <c r="T4023" t="s">
        <v>593</v>
      </c>
      <c r="U4023" t="s">
        <v>81</v>
      </c>
    </row>
    <row r="4024" spans="1:21">
      <c r="A4024" t="s">
        <v>6294</v>
      </c>
      <c r="B4024" t="s">
        <v>6295</v>
      </c>
      <c r="C4024" t="s">
        <v>712</v>
      </c>
      <c r="D4024">
        <v>240000</v>
      </c>
      <c r="E4024">
        <v>15000</v>
      </c>
      <c r="F4024">
        <v>240000</v>
      </c>
      <c r="G4024">
        <v>240000</v>
      </c>
      <c r="H4024">
        <v>1</v>
      </c>
      <c r="I4024" t="s">
        <v>585</v>
      </c>
      <c r="J4024">
        <v>70.400000000000006</v>
      </c>
      <c r="K4024">
        <v>33</v>
      </c>
      <c r="L4024">
        <v>3</v>
      </c>
      <c r="M4024" t="s">
        <v>5596</v>
      </c>
      <c r="N4024">
        <v>7</v>
      </c>
      <c r="O4024">
        <v>12.33</v>
      </c>
      <c r="P4024">
        <v>122997.85</v>
      </c>
      <c r="Q4024">
        <v>232352.65</v>
      </c>
      <c r="R4024">
        <v>512</v>
      </c>
      <c r="S4024">
        <v>359</v>
      </c>
      <c r="T4024" t="s">
        <v>596</v>
      </c>
      <c r="U4024" t="s">
        <v>49</v>
      </c>
    </row>
    <row r="4025" spans="1:21">
      <c r="A4025" t="s">
        <v>6296</v>
      </c>
      <c r="B4025" t="s">
        <v>6254</v>
      </c>
      <c r="C4025" t="s">
        <v>712</v>
      </c>
      <c r="D4025">
        <v>132000</v>
      </c>
      <c r="E4025">
        <v>8000</v>
      </c>
      <c r="F4025">
        <v>132000</v>
      </c>
      <c r="G4025">
        <v>132000</v>
      </c>
      <c r="H4025">
        <v>2</v>
      </c>
      <c r="I4025" t="s">
        <v>585</v>
      </c>
      <c r="J4025">
        <v>47.18</v>
      </c>
      <c r="K4025">
        <v>31</v>
      </c>
      <c r="L4025">
        <v>8</v>
      </c>
      <c r="M4025" t="s">
        <v>5596</v>
      </c>
      <c r="N4025">
        <v>3</v>
      </c>
      <c r="O4025">
        <v>8.33</v>
      </c>
      <c r="P4025">
        <v>122997.85</v>
      </c>
      <c r="Q4025">
        <v>232352.65</v>
      </c>
      <c r="R4025">
        <v>512</v>
      </c>
      <c r="S4025">
        <v>359</v>
      </c>
      <c r="T4025" t="s">
        <v>326</v>
      </c>
      <c r="U4025" t="s">
        <v>49</v>
      </c>
    </row>
    <row r="4026" spans="1:21">
      <c r="A4026" t="s">
        <v>6297</v>
      </c>
      <c r="B4026" t="s">
        <v>5625</v>
      </c>
      <c r="C4026" t="s">
        <v>2033</v>
      </c>
      <c r="D4026">
        <v>296000</v>
      </c>
      <c r="E4026">
        <v>20000</v>
      </c>
      <c r="F4026">
        <v>296000</v>
      </c>
      <c r="H4026">
        <v>8</v>
      </c>
      <c r="I4026" t="s">
        <v>585</v>
      </c>
      <c r="J4026">
        <v>53.2</v>
      </c>
      <c r="K4026">
        <v>0</v>
      </c>
      <c r="L4026">
        <v>9</v>
      </c>
      <c r="M4026" t="s">
        <v>5596</v>
      </c>
      <c r="N4026">
        <v>9</v>
      </c>
      <c r="O4026">
        <v>13.33</v>
      </c>
      <c r="P4026">
        <v>122997.85</v>
      </c>
      <c r="Q4026">
        <v>232352.65</v>
      </c>
      <c r="R4026">
        <v>512</v>
      </c>
      <c r="S4026">
        <v>359</v>
      </c>
      <c r="T4026" t="s">
        <v>332</v>
      </c>
      <c r="U4026" t="s">
        <v>81</v>
      </c>
    </row>
    <row r="4027" spans="1:21">
      <c r="A4027" t="s">
        <v>6298</v>
      </c>
      <c r="B4027" t="s">
        <v>5625</v>
      </c>
      <c r="C4027" t="s">
        <v>2033</v>
      </c>
      <c r="D4027">
        <v>300000</v>
      </c>
      <c r="E4027">
        <v>20000</v>
      </c>
      <c r="F4027">
        <v>300000</v>
      </c>
      <c r="H4027">
        <v>8</v>
      </c>
      <c r="I4027" t="s">
        <v>585</v>
      </c>
      <c r="J4027">
        <v>53.2</v>
      </c>
      <c r="K4027">
        <v>0</v>
      </c>
      <c r="L4027">
        <v>9</v>
      </c>
      <c r="M4027" t="s">
        <v>5596</v>
      </c>
      <c r="N4027">
        <v>9</v>
      </c>
      <c r="O4027">
        <v>13.33</v>
      </c>
      <c r="P4027">
        <v>122997.85</v>
      </c>
      <c r="Q4027">
        <v>232352.65</v>
      </c>
      <c r="R4027">
        <v>512</v>
      </c>
      <c r="S4027">
        <v>359</v>
      </c>
      <c r="T4027" t="s">
        <v>332</v>
      </c>
      <c r="U4027" t="s">
        <v>81</v>
      </c>
    </row>
    <row r="4028" spans="1:21">
      <c r="A4028" t="s">
        <v>6299</v>
      </c>
      <c r="B4028" t="s">
        <v>6300</v>
      </c>
      <c r="C4028" t="s">
        <v>4356</v>
      </c>
      <c r="D4028">
        <v>120000</v>
      </c>
      <c r="E4028">
        <v>3000</v>
      </c>
      <c r="F4028">
        <v>120000</v>
      </c>
      <c r="G4028">
        <v>120000</v>
      </c>
      <c r="H4028">
        <v>1</v>
      </c>
      <c r="I4028" t="s">
        <v>585</v>
      </c>
      <c r="J4028">
        <v>48</v>
      </c>
      <c r="K4028">
        <v>37</v>
      </c>
      <c r="L4028">
        <v>3</v>
      </c>
      <c r="M4028" t="s">
        <v>5596</v>
      </c>
      <c r="N4028">
        <v>5</v>
      </c>
      <c r="O4028">
        <v>9</v>
      </c>
      <c r="P4028">
        <v>122997.85</v>
      </c>
      <c r="Q4028">
        <v>232352.65</v>
      </c>
      <c r="R4028">
        <v>512</v>
      </c>
      <c r="S4028">
        <v>359</v>
      </c>
      <c r="T4028" t="s">
        <v>326</v>
      </c>
      <c r="U4028" t="s">
        <v>49</v>
      </c>
    </row>
    <row r="4029" spans="1:21">
      <c r="A4029" t="s">
        <v>6301</v>
      </c>
      <c r="B4029" t="s">
        <v>6302</v>
      </c>
      <c r="C4029" t="s">
        <v>2033</v>
      </c>
      <c r="D4029">
        <v>195000</v>
      </c>
      <c r="E4029">
        <v>5000</v>
      </c>
      <c r="F4029">
        <v>195000</v>
      </c>
      <c r="G4029">
        <v>195000</v>
      </c>
      <c r="H4029">
        <v>1</v>
      </c>
      <c r="I4029" t="s">
        <v>585</v>
      </c>
      <c r="J4029">
        <v>55.13</v>
      </c>
      <c r="K4029">
        <v>14</v>
      </c>
      <c r="L4029">
        <v>2</v>
      </c>
      <c r="M4029" t="s">
        <v>5596</v>
      </c>
      <c r="N4029">
        <v>8</v>
      </c>
      <c r="O4029">
        <v>12.67</v>
      </c>
      <c r="P4029">
        <v>122997.85</v>
      </c>
      <c r="Q4029">
        <v>232352.65</v>
      </c>
      <c r="R4029">
        <v>512</v>
      </c>
      <c r="S4029">
        <v>359</v>
      </c>
      <c r="T4029" t="s">
        <v>332</v>
      </c>
      <c r="U4029" t="s">
        <v>90</v>
      </c>
    </row>
    <row r="4030" spans="1:21">
      <c r="A4030" t="s">
        <v>6303</v>
      </c>
      <c r="B4030" t="s">
        <v>6304</v>
      </c>
      <c r="C4030" t="s">
        <v>712</v>
      </c>
      <c r="D4030">
        <v>318000</v>
      </c>
      <c r="E4030">
        <v>8000</v>
      </c>
      <c r="F4030">
        <v>636000</v>
      </c>
      <c r="G4030">
        <v>318000</v>
      </c>
      <c r="H4030">
        <v>6</v>
      </c>
      <c r="I4030" t="s">
        <v>585</v>
      </c>
      <c r="J4030">
        <v>88.81</v>
      </c>
      <c r="K4030">
        <v>25</v>
      </c>
      <c r="L4030">
        <v>15</v>
      </c>
      <c r="M4030" t="s">
        <v>5596</v>
      </c>
      <c r="N4030">
        <v>8</v>
      </c>
      <c r="O4030">
        <v>8.5</v>
      </c>
      <c r="P4030">
        <v>122997.85</v>
      </c>
      <c r="Q4030">
        <v>232352.65</v>
      </c>
      <c r="R4030">
        <v>512</v>
      </c>
      <c r="S4030">
        <v>359</v>
      </c>
      <c r="T4030" t="s">
        <v>413</v>
      </c>
      <c r="U4030" t="s">
        <v>27</v>
      </c>
    </row>
    <row r="4031" spans="1:21">
      <c r="A4031" t="s">
        <v>6305</v>
      </c>
      <c r="B4031" t="s">
        <v>6306</v>
      </c>
      <c r="C4031" t="s">
        <v>712</v>
      </c>
      <c r="D4031">
        <v>175000</v>
      </c>
      <c r="F4031">
        <v>175000</v>
      </c>
      <c r="H4031">
        <v>1</v>
      </c>
      <c r="I4031" t="s">
        <v>585</v>
      </c>
      <c r="J4031">
        <v>47.1</v>
      </c>
      <c r="K4031">
        <v>62</v>
      </c>
      <c r="L4031">
        <v>2</v>
      </c>
      <c r="M4031" t="s">
        <v>5596</v>
      </c>
      <c r="N4031">
        <v>7</v>
      </c>
      <c r="O4031">
        <v>10.67</v>
      </c>
      <c r="P4031">
        <v>122997.85</v>
      </c>
      <c r="Q4031">
        <v>232352.65</v>
      </c>
      <c r="R4031">
        <v>512</v>
      </c>
      <c r="S4031">
        <v>359</v>
      </c>
      <c r="T4031" t="s">
        <v>326</v>
      </c>
      <c r="U4031" t="s">
        <v>38</v>
      </c>
    </row>
    <row r="4032" spans="1:21">
      <c r="A4032" t="s">
        <v>6307</v>
      </c>
      <c r="B4032" t="s">
        <v>5835</v>
      </c>
      <c r="C4032" t="s">
        <v>5608</v>
      </c>
      <c r="D4032">
        <v>218000</v>
      </c>
      <c r="E4032">
        <v>6000</v>
      </c>
      <c r="F4032">
        <v>218000</v>
      </c>
      <c r="G4032">
        <v>436000</v>
      </c>
      <c r="H4032">
        <v>2</v>
      </c>
      <c r="I4032" t="s">
        <v>585</v>
      </c>
      <c r="J4032">
        <v>55.27</v>
      </c>
      <c r="K4032">
        <v>0</v>
      </c>
      <c r="L4032">
        <v>3</v>
      </c>
      <c r="M4032" t="s">
        <v>5596</v>
      </c>
      <c r="N4032">
        <v>4</v>
      </c>
      <c r="O4032">
        <v>11.67</v>
      </c>
      <c r="P4032">
        <v>122997.85</v>
      </c>
      <c r="Q4032">
        <v>232352.65</v>
      </c>
      <c r="R4032">
        <v>512</v>
      </c>
      <c r="S4032">
        <v>359</v>
      </c>
      <c r="T4032" t="s">
        <v>332</v>
      </c>
      <c r="U4032" t="s">
        <v>81</v>
      </c>
    </row>
    <row r="4033" spans="1:21">
      <c r="A4033" t="s">
        <v>6308</v>
      </c>
      <c r="B4033" t="s">
        <v>6309</v>
      </c>
      <c r="C4033" t="s">
        <v>5601</v>
      </c>
      <c r="D4033">
        <v>270000</v>
      </c>
      <c r="F4033">
        <v>270000</v>
      </c>
      <c r="G4033">
        <v>270000</v>
      </c>
      <c r="H4033">
        <v>1</v>
      </c>
      <c r="I4033" t="s">
        <v>585</v>
      </c>
      <c r="J4033">
        <v>98.31</v>
      </c>
      <c r="K4033">
        <v>20</v>
      </c>
      <c r="L4033">
        <v>2</v>
      </c>
      <c r="M4033" t="s">
        <v>5596</v>
      </c>
      <c r="N4033">
        <v>5</v>
      </c>
      <c r="O4033">
        <v>9.67</v>
      </c>
      <c r="P4033">
        <v>122997.85</v>
      </c>
      <c r="Q4033">
        <v>232352.65</v>
      </c>
      <c r="R4033">
        <v>512</v>
      </c>
      <c r="S4033">
        <v>359</v>
      </c>
      <c r="T4033" t="s">
        <v>1835</v>
      </c>
      <c r="U4033" t="s">
        <v>90</v>
      </c>
    </row>
    <row r="4034" spans="1:21">
      <c r="A4034" t="s">
        <v>6308</v>
      </c>
      <c r="B4034" t="s">
        <v>6309</v>
      </c>
      <c r="C4034" t="s">
        <v>5601</v>
      </c>
      <c r="D4034">
        <v>270000</v>
      </c>
      <c r="F4034">
        <v>270000</v>
      </c>
      <c r="G4034">
        <v>270000</v>
      </c>
      <c r="H4034">
        <v>2</v>
      </c>
      <c r="I4034" t="s">
        <v>585</v>
      </c>
      <c r="J4034">
        <v>98.31</v>
      </c>
      <c r="K4034">
        <v>20</v>
      </c>
      <c r="L4034">
        <v>2</v>
      </c>
      <c r="M4034" t="s">
        <v>5596</v>
      </c>
      <c r="N4034">
        <v>5</v>
      </c>
      <c r="O4034">
        <v>9.67</v>
      </c>
      <c r="P4034">
        <v>122997.85</v>
      </c>
      <c r="Q4034">
        <v>232352.65</v>
      </c>
      <c r="R4034">
        <v>512</v>
      </c>
      <c r="S4034">
        <v>359</v>
      </c>
      <c r="T4034" t="s">
        <v>1835</v>
      </c>
      <c r="U4034" t="s">
        <v>90</v>
      </c>
    </row>
    <row r="4035" spans="1:21">
      <c r="A4035" t="s">
        <v>6310</v>
      </c>
      <c r="B4035" t="s">
        <v>6311</v>
      </c>
      <c r="C4035" t="s">
        <v>712</v>
      </c>
      <c r="D4035">
        <v>318000</v>
      </c>
      <c r="E4035">
        <v>8000</v>
      </c>
      <c r="F4035">
        <v>636000</v>
      </c>
      <c r="G4035">
        <v>318000</v>
      </c>
      <c r="H4035">
        <v>6</v>
      </c>
      <c r="I4035" t="s">
        <v>585</v>
      </c>
      <c r="J4035">
        <v>88.81</v>
      </c>
      <c r="K4035">
        <v>25</v>
      </c>
      <c r="L4035">
        <v>15</v>
      </c>
      <c r="M4035" t="s">
        <v>5596</v>
      </c>
      <c r="N4035">
        <v>9</v>
      </c>
      <c r="O4035">
        <v>9.67</v>
      </c>
      <c r="P4035">
        <v>122997.85</v>
      </c>
      <c r="Q4035">
        <v>232352.65</v>
      </c>
      <c r="R4035">
        <v>512</v>
      </c>
      <c r="S4035">
        <v>359</v>
      </c>
      <c r="T4035" t="s">
        <v>413</v>
      </c>
      <c r="U4035" t="s">
        <v>27</v>
      </c>
    </row>
    <row r="4036" spans="1:21">
      <c r="A4036" t="s">
        <v>6312</v>
      </c>
      <c r="B4036" t="s">
        <v>5853</v>
      </c>
      <c r="C4036" t="s">
        <v>2033</v>
      </c>
      <c r="D4036">
        <v>195000</v>
      </c>
      <c r="E4036">
        <v>5000</v>
      </c>
      <c r="F4036">
        <v>195000</v>
      </c>
      <c r="G4036">
        <v>195000</v>
      </c>
      <c r="H4036">
        <v>1</v>
      </c>
      <c r="I4036" t="s">
        <v>585</v>
      </c>
      <c r="J4036">
        <v>55.13</v>
      </c>
      <c r="K4036">
        <v>14</v>
      </c>
      <c r="L4036">
        <v>2</v>
      </c>
      <c r="M4036" t="s">
        <v>5596</v>
      </c>
      <c r="N4036">
        <v>8</v>
      </c>
      <c r="O4036">
        <v>12.67</v>
      </c>
      <c r="P4036">
        <v>122997.85</v>
      </c>
      <c r="Q4036">
        <v>232352.65</v>
      </c>
      <c r="R4036">
        <v>512</v>
      </c>
      <c r="S4036">
        <v>359</v>
      </c>
      <c r="T4036" t="s">
        <v>332</v>
      </c>
      <c r="U4036" t="s">
        <v>90</v>
      </c>
    </row>
    <row r="4037" spans="1:21">
      <c r="A4037" t="s">
        <v>6313</v>
      </c>
      <c r="B4037" t="s">
        <v>5642</v>
      </c>
      <c r="C4037" t="s">
        <v>1850</v>
      </c>
      <c r="D4037">
        <v>240000</v>
      </c>
      <c r="E4037">
        <v>15000</v>
      </c>
      <c r="G4037">
        <v>240000</v>
      </c>
      <c r="H4037">
        <v>1</v>
      </c>
      <c r="I4037" t="s">
        <v>585</v>
      </c>
      <c r="J4037">
        <v>58.87</v>
      </c>
      <c r="K4037">
        <v>0</v>
      </c>
      <c r="L4037">
        <v>3</v>
      </c>
      <c r="M4037" t="s">
        <v>5596</v>
      </c>
      <c r="N4037">
        <v>11</v>
      </c>
      <c r="O4037">
        <v>11.5</v>
      </c>
      <c r="P4037">
        <v>122997.85</v>
      </c>
      <c r="Q4037">
        <v>232352.65</v>
      </c>
      <c r="R4037">
        <v>512</v>
      </c>
      <c r="S4037">
        <v>359</v>
      </c>
      <c r="T4037" t="s">
        <v>332</v>
      </c>
      <c r="U4037" t="s">
        <v>81</v>
      </c>
    </row>
    <row r="4038" spans="1:21">
      <c r="A4038" t="s">
        <v>6314</v>
      </c>
      <c r="B4038" t="s">
        <v>5642</v>
      </c>
      <c r="C4038" t="s">
        <v>1850</v>
      </c>
      <c r="D4038">
        <v>238000</v>
      </c>
      <c r="E4038">
        <v>15000</v>
      </c>
      <c r="G4038">
        <v>476000</v>
      </c>
      <c r="H4038">
        <v>2</v>
      </c>
      <c r="I4038" t="s">
        <v>585</v>
      </c>
      <c r="J4038">
        <v>55.66</v>
      </c>
      <c r="K4038">
        <v>0</v>
      </c>
      <c r="L4038">
        <v>3</v>
      </c>
      <c r="M4038" t="s">
        <v>5596</v>
      </c>
      <c r="N4038">
        <v>11</v>
      </c>
      <c r="O4038">
        <v>11.5</v>
      </c>
      <c r="P4038">
        <v>122997.85</v>
      </c>
      <c r="Q4038">
        <v>232352.65</v>
      </c>
      <c r="R4038">
        <v>512</v>
      </c>
      <c r="S4038">
        <v>359</v>
      </c>
      <c r="T4038" t="s">
        <v>332</v>
      </c>
      <c r="U4038" t="s">
        <v>81</v>
      </c>
    </row>
    <row r="4039" spans="1:21">
      <c r="A4039" t="s">
        <v>6315</v>
      </c>
      <c r="B4039" t="s">
        <v>5642</v>
      </c>
      <c r="C4039" t="s">
        <v>1850</v>
      </c>
      <c r="D4039">
        <v>255000</v>
      </c>
      <c r="E4039">
        <v>15000</v>
      </c>
      <c r="G4039">
        <v>510000</v>
      </c>
      <c r="H4039">
        <v>2</v>
      </c>
      <c r="I4039" t="s">
        <v>585</v>
      </c>
      <c r="J4039">
        <v>62.65</v>
      </c>
      <c r="K4039">
        <v>0</v>
      </c>
      <c r="L4039">
        <v>3</v>
      </c>
      <c r="M4039" t="s">
        <v>5596</v>
      </c>
      <c r="N4039">
        <v>11</v>
      </c>
      <c r="O4039">
        <v>11.5</v>
      </c>
      <c r="P4039">
        <v>122997.85</v>
      </c>
      <c r="Q4039">
        <v>232352.65</v>
      </c>
      <c r="R4039">
        <v>512</v>
      </c>
      <c r="S4039">
        <v>359</v>
      </c>
      <c r="T4039" t="s">
        <v>593</v>
      </c>
      <c r="U4039" t="s">
        <v>81</v>
      </c>
    </row>
    <row r="4040" spans="1:21">
      <c r="A4040" t="s">
        <v>6316</v>
      </c>
      <c r="B4040" t="s">
        <v>5642</v>
      </c>
      <c r="C4040" t="s">
        <v>1850</v>
      </c>
      <c r="D4040">
        <v>250000</v>
      </c>
      <c r="E4040">
        <v>15000</v>
      </c>
      <c r="G4040">
        <v>500000</v>
      </c>
      <c r="H4040">
        <v>3</v>
      </c>
      <c r="I4040" t="s">
        <v>585</v>
      </c>
      <c r="J4040">
        <v>55.66</v>
      </c>
      <c r="K4040">
        <v>0</v>
      </c>
      <c r="L4040">
        <v>3</v>
      </c>
      <c r="M4040" t="s">
        <v>5596</v>
      </c>
      <c r="N4040">
        <v>11</v>
      </c>
      <c r="O4040">
        <v>11.5</v>
      </c>
      <c r="P4040">
        <v>122997.85</v>
      </c>
      <c r="Q4040">
        <v>232352.65</v>
      </c>
      <c r="R4040">
        <v>512</v>
      </c>
      <c r="S4040">
        <v>359</v>
      </c>
      <c r="T4040" t="s">
        <v>332</v>
      </c>
      <c r="U4040" t="s">
        <v>81</v>
      </c>
    </row>
    <row r="4041" spans="1:21">
      <c r="A4041" t="s">
        <v>6317</v>
      </c>
      <c r="B4041" t="s">
        <v>6027</v>
      </c>
      <c r="C4041" t="s">
        <v>1850</v>
      </c>
      <c r="D4041">
        <v>240000</v>
      </c>
      <c r="E4041">
        <v>15000</v>
      </c>
      <c r="G4041">
        <v>240000</v>
      </c>
      <c r="H4041">
        <v>1</v>
      </c>
      <c r="I4041" t="s">
        <v>585</v>
      </c>
      <c r="J4041">
        <v>58.87</v>
      </c>
      <c r="K4041">
        <v>1</v>
      </c>
      <c r="L4041">
        <v>3</v>
      </c>
      <c r="M4041" t="s">
        <v>5596</v>
      </c>
      <c r="N4041">
        <v>11</v>
      </c>
      <c r="O4041">
        <v>16</v>
      </c>
      <c r="P4041">
        <v>122997.85</v>
      </c>
      <c r="Q4041">
        <v>232352.65</v>
      </c>
      <c r="R4041">
        <v>512</v>
      </c>
      <c r="S4041">
        <v>359</v>
      </c>
      <c r="T4041" t="s">
        <v>332</v>
      </c>
      <c r="U4041" t="s">
        <v>31</v>
      </c>
    </row>
    <row r="4042" spans="1:21">
      <c r="A4042" t="s">
        <v>6318</v>
      </c>
      <c r="B4042" t="s">
        <v>6027</v>
      </c>
      <c r="C4042" t="s">
        <v>1850</v>
      </c>
      <c r="D4042">
        <v>238000</v>
      </c>
      <c r="E4042">
        <v>15000</v>
      </c>
      <c r="G4042">
        <v>476000</v>
      </c>
      <c r="H4042">
        <v>2</v>
      </c>
      <c r="I4042" t="s">
        <v>585</v>
      </c>
      <c r="J4042">
        <v>55.66</v>
      </c>
      <c r="K4042">
        <v>1</v>
      </c>
      <c r="L4042">
        <v>3</v>
      </c>
      <c r="M4042" t="s">
        <v>5596</v>
      </c>
      <c r="N4042">
        <v>11</v>
      </c>
      <c r="O4042">
        <v>16</v>
      </c>
      <c r="P4042">
        <v>122997.85</v>
      </c>
      <c r="Q4042">
        <v>232352.65</v>
      </c>
      <c r="R4042">
        <v>512</v>
      </c>
      <c r="S4042">
        <v>359</v>
      </c>
      <c r="T4042" t="s">
        <v>332</v>
      </c>
      <c r="U4042" t="s">
        <v>31</v>
      </c>
    </row>
    <row r="4043" spans="1:21">
      <c r="A4043" t="s">
        <v>6319</v>
      </c>
      <c r="B4043" t="s">
        <v>6320</v>
      </c>
      <c r="C4043" t="s">
        <v>712</v>
      </c>
      <c r="D4043">
        <v>240000</v>
      </c>
      <c r="E4043">
        <v>15000</v>
      </c>
      <c r="F4043">
        <v>240000</v>
      </c>
      <c r="G4043">
        <v>240000</v>
      </c>
      <c r="H4043">
        <v>1</v>
      </c>
      <c r="I4043" t="s">
        <v>585</v>
      </c>
      <c r="J4043">
        <v>70.400000000000006</v>
      </c>
      <c r="K4043">
        <v>33</v>
      </c>
      <c r="L4043">
        <v>3</v>
      </c>
      <c r="M4043" t="s">
        <v>5596</v>
      </c>
      <c r="N4043">
        <v>7</v>
      </c>
      <c r="O4043">
        <v>12</v>
      </c>
      <c r="P4043">
        <v>122997.85</v>
      </c>
      <c r="Q4043">
        <v>232352.65</v>
      </c>
      <c r="R4043">
        <v>512</v>
      </c>
      <c r="S4043">
        <v>359</v>
      </c>
      <c r="T4043" t="s">
        <v>596</v>
      </c>
      <c r="U4043" t="s">
        <v>49</v>
      </c>
    </row>
    <row r="4044" spans="1:21">
      <c r="A4044" t="s">
        <v>6321</v>
      </c>
      <c r="B4044" t="s">
        <v>6322</v>
      </c>
      <c r="C4044" t="s">
        <v>5608</v>
      </c>
      <c r="D4044">
        <v>240000</v>
      </c>
      <c r="E4044">
        <v>12000</v>
      </c>
      <c r="F4044">
        <v>240000</v>
      </c>
      <c r="G4044">
        <v>480000</v>
      </c>
      <c r="H4044">
        <v>4</v>
      </c>
      <c r="I4044" t="s">
        <v>585</v>
      </c>
      <c r="J4044">
        <v>51.71</v>
      </c>
      <c r="K4044">
        <v>4</v>
      </c>
      <c r="L4044">
        <v>5</v>
      </c>
      <c r="M4044" t="s">
        <v>5596</v>
      </c>
      <c r="N4044">
        <v>6</v>
      </c>
      <c r="O4044">
        <v>12.33</v>
      </c>
      <c r="P4044">
        <v>122997.85</v>
      </c>
      <c r="Q4044">
        <v>232352.65</v>
      </c>
      <c r="R4044">
        <v>512</v>
      </c>
      <c r="S4044">
        <v>359</v>
      </c>
      <c r="T4044" t="s">
        <v>332</v>
      </c>
      <c r="U4044" t="s">
        <v>31</v>
      </c>
    </row>
    <row r="4045" spans="1:21">
      <c r="A4045" t="s">
        <v>6323</v>
      </c>
      <c r="B4045" t="s">
        <v>6322</v>
      </c>
      <c r="C4045" t="s">
        <v>5608</v>
      </c>
      <c r="D4045">
        <v>199000</v>
      </c>
      <c r="E4045">
        <v>10000</v>
      </c>
      <c r="F4045">
        <v>199000</v>
      </c>
      <c r="G4045">
        <v>398000</v>
      </c>
      <c r="H4045">
        <v>5</v>
      </c>
      <c r="I4045" t="s">
        <v>585</v>
      </c>
      <c r="J4045">
        <v>43.52</v>
      </c>
      <c r="K4045">
        <v>4</v>
      </c>
      <c r="L4045">
        <v>5</v>
      </c>
      <c r="M4045" t="s">
        <v>5596</v>
      </c>
      <c r="N4045">
        <v>6</v>
      </c>
      <c r="O4045">
        <v>12.33</v>
      </c>
      <c r="P4045">
        <v>122997.85</v>
      </c>
      <c r="Q4045">
        <v>232352.65</v>
      </c>
      <c r="R4045">
        <v>512</v>
      </c>
      <c r="S4045">
        <v>359</v>
      </c>
      <c r="T4045" t="s">
        <v>326</v>
      </c>
      <c r="U4045" t="s">
        <v>31</v>
      </c>
    </row>
    <row r="4046" spans="1:21">
      <c r="A4046" t="s">
        <v>6324</v>
      </c>
      <c r="B4046" t="s">
        <v>6325</v>
      </c>
      <c r="C4046" t="s">
        <v>5601</v>
      </c>
      <c r="D4046">
        <v>135000</v>
      </c>
      <c r="E4046">
        <v>3000</v>
      </c>
      <c r="F4046">
        <v>135000</v>
      </c>
      <c r="G4046">
        <v>135000</v>
      </c>
      <c r="H4046">
        <v>2</v>
      </c>
      <c r="I4046" t="s">
        <v>585</v>
      </c>
      <c r="J4046">
        <v>51.9</v>
      </c>
      <c r="K4046">
        <v>51</v>
      </c>
      <c r="L4046">
        <v>6</v>
      </c>
      <c r="M4046" t="s">
        <v>5596</v>
      </c>
      <c r="N4046">
        <v>1</v>
      </c>
      <c r="O4046">
        <v>9.33</v>
      </c>
      <c r="P4046">
        <v>122997.85</v>
      </c>
      <c r="Q4046">
        <v>232352.65</v>
      </c>
      <c r="R4046">
        <v>512</v>
      </c>
      <c r="S4046">
        <v>359</v>
      </c>
      <c r="T4046" t="s">
        <v>332</v>
      </c>
      <c r="U4046" t="s">
        <v>57</v>
      </c>
    </row>
    <row r="4047" spans="1:21">
      <c r="A4047" t="s">
        <v>6326</v>
      </c>
      <c r="B4047" t="s">
        <v>6327</v>
      </c>
      <c r="C4047" t="s">
        <v>712</v>
      </c>
      <c r="D4047">
        <v>132000</v>
      </c>
      <c r="E4047">
        <v>8000</v>
      </c>
      <c r="F4047">
        <v>132000</v>
      </c>
      <c r="G4047">
        <v>132000</v>
      </c>
      <c r="H4047">
        <v>2</v>
      </c>
      <c r="I4047" t="s">
        <v>585</v>
      </c>
      <c r="J4047">
        <v>47.18</v>
      </c>
      <c r="K4047">
        <v>31</v>
      </c>
      <c r="L4047">
        <v>8</v>
      </c>
      <c r="M4047" t="s">
        <v>5596</v>
      </c>
      <c r="N4047">
        <v>3</v>
      </c>
      <c r="O4047">
        <v>8.33</v>
      </c>
      <c r="P4047">
        <v>122997.85</v>
      </c>
      <c r="Q4047">
        <v>232352.65</v>
      </c>
      <c r="R4047">
        <v>512</v>
      </c>
      <c r="S4047">
        <v>359</v>
      </c>
      <c r="T4047" t="s">
        <v>326</v>
      </c>
      <c r="U4047" t="s">
        <v>49</v>
      </c>
    </row>
    <row r="4048" spans="1:21">
      <c r="A4048" t="s">
        <v>6328</v>
      </c>
      <c r="B4048" t="s">
        <v>6057</v>
      </c>
      <c r="C4048" t="s">
        <v>2033</v>
      </c>
      <c r="D4048">
        <v>300000</v>
      </c>
      <c r="E4048">
        <v>20000</v>
      </c>
      <c r="F4048">
        <v>300000</v>
      </c>
      <c r="H4048">
        <v>8</v>
      </c>
      <c r="I4048" t="s">
        <v>585</v>
      </c>
      <c r="J4048">
        <v>53.2</v>
      </c>
      <c r="K4048">
        <v>1</v>
      </c>
      <c r="L4048">
        <v>9</v>
      </c>
      <c r="M4048" t="s">
        <v>5596</v>
      </c>
      <c r="N4048">
        <v>9</v>
      </c>
      <c r="O4048">
        <v>11.67</v>
      </c>
      <c r="P4048">
        <v>122997.85</v>
      </c>
      <c r="Q4048">
        <v>232352.65</v>
      </c>
      <c r="R4048">
        <v>512</v>
      </c>
      <c r="S4048">
        <v>359</v>
      </c>
      <c r="T4048" t="s">
        <v>332</v>
      </c>
      <c r="U4048" t="s">
        <v>31</v>
      </c>
    </row>
    <row r="4049" spans="1:21">
      <c r="A4049" t="s">
        <v>6329</v>
      </c>
      <c r="B4049" t="s">
        <v>6330</v>
      </c>
      <c r="C4049" t="s">
        <v>2033</v>
      </c>
      <c r="D4049">
        <v>275000</v>
      </c>
      <c r="E4049">
        <v>10000</v>
      </c>
      <c r="F4049">
        <v>275000</v>
      </c>
      <c r="G4049">
        <v>275000</v>
      </c>
      <c r="H4049">
        <v>1</v>
      </c>
      <c r="I4049" t="s">
        <v>585</v>
      </c>
      <c r="J4049">
        <v>88.44</v>
      </c>
      <c r="K4049">
        <v>6</v>
      </c>
      <c r="L4049">
        <v>3</v>
      </c>
      <c r="M4049" t="s">
        <v>5596</v>
      </c>
      <c r="N4049">
        <v>11</v>
      </c>
      <c r="O4049">
        <v>15.33</v>
      </c>
      <c r="P4049">
        <v>122997.85</v>
      </c>
      <c r="Q4049">
        <v>232352.65</v>
      </c>
      <c r="R4049">
        <v>512</v>
      </c>
      <c r="S4049">
        <v>359</v>
      </c>
      <c r="T4049" t="s">
        <v>413</v>
      </c>
      <c r="U4049" t="s">
        <v>31</v>
      </c>
    </row>
    <row r="4050" spans="1:21">
      <c r="A4050" t="s">
        <v>6329</v>
      </c>
      <c r="B4050" t="s">
        <v>6330</v>
      </c>
      <c r="C4050" t="s">
        <v>2033</v>
      </c>
      <c r="D4050">
        <v>275000</v>
      </c>
      <c r="E4050">
        <v>10000</v>
      </c>
      <c r="F4050">
        <v>275000</v>
      </c>
      <c r="G4050">
        <v>275000</v>
      </c>
      <c r="H4050">
        <v>2</v>
      </c>
      <c r="I4050" t="s">
        <v>585</v>
      </c>
      <c r="J4050">
        <v>88.44</v>
      </c>
      <c r="K4050">
        <v>6</v>
      </c>
      <c r="L4050">
        <v>3</v>
      </c>
      <c r="M4050" t="s">
        <v>5596</v>
      </c>
      <c r="N4050">
        <v>11</v>
      </c>
      <c r="O4050">
        <v>15.33</v>
      </c>
      <c r="P4050">
        <v>122997.85</v>
      </c>
      <c r="Q4050">
        <v>232352.65</v>
      </c>
      <c r="R4050">
        <v>512</v>
      </c>
      <c r="S4050">
        <v>359</v>
      </c>
      <c r="T4050" t="s">
        <v>413</v>
      </c>
      <c r="U4050" t="s">
        <v>31</v>
      </c>
    </row>
    <row r="4051" spans="1:21">
      <c r="A4051" t="s">
        <v>6329</v>
      </c>
      <c r="B4051" t="s">
        <v>6330</v>
      </c>
      <c r="C4051" t="s">
        <v>2033</v>
      </c>
      <c r="D4051">
        <v>275000</v>
      </c>
      <c r="E4051">
        <v>10000</v>
      </c>
      <c r="F4051">
        <v>275000</v>
      </c>
      <c r="G4051">
        <v>275000</v>
      </c>
      <c r="H4051">
        <v>3</v>
      </c>
      <c r="I4051" t="s">
        <v>585</v>
      </c>
      <c r="J4051">
        <v>88.44</v>
      </c>
      <c r="K4051">
        <v>6</v>
      </c>
      <c r="L4051">
        <v>3</v>
      </c>
      <c r="M4051" t="s">
        <v>5596</v>
      </c>
      <c r="N4051">
        <v>11</v>
      </c>
      <c r="O4051">
        <v>15.33</v>
      </c>
      <c r="P4051">
        <v>122997.85</v>
      </c>
      <c r="Q4051">
        <v>232352.65</v>
      </c>
      <c r="R4051">
        <v>512</v>
      </c>
      <c r="S4051">
        <v>359</v>
      </c>
      <c r="T4051" t="s">
        <v>413</v>
      </c>
      <c r="U4051" t="s">
        <v>31</v>
      </c>
    </row>
    <row r="4052" spans="1:21">
      <c r="A4052" t="s">
        <v>6331</v>
      </c>
      <c r="B4052" t="s">
        <v>6309</v>
      </c>
      <c r="C4052" t="s">
        <v>5601</v>
      </c>
      <c r="D4052">
        <v>270000</v>
      </c>
      <c r="F4052">
        <v>270000</v>
      </c>
      <c r="G4052">
        <v>270000</v>
      </c>
      <c r="H4052">
        <v>1</v>
      </c>
      <c r="I4052" t="s">
        <v>642</v>
      </c>
      <c r="J4052">
        <v>97.43</v>
      </c>
      <c r="K4052">
        <v>20</v>
      </c>
      <c r="L4052">
        <v>2</v>
      </c>
      <c r="M4052" t="s">
        <v>5596</v>
      </c>
      <c r="N4052">
        <v>5</v>
      </c>
      <c r="O4052">
        <v>9.67</v>
      </c>
      <c r="P4052">
        <v>122997.85</v>
      </c>
      <c r="Q4052">
        <v>282153.84999999998</v>
      </c>
      <c r="R4052">
        <v>512</v>
      </c>
      <c r="S4052">
        <v>26</v>
      </c>
      <c r="T4052" t="s">
        <v>1835</v>
      </c>
      <c r="U4052" t="s">
        <v>90</v>
      </c>
    </row>
    <row r="4053" spans="1:21">
      <c r="A4053" t="s">
        <v>6331</v>
      </c>
      <c r="B4053" t="s">
        <v>6309</v>
      </c>
      <c r="C4053" t="s">
        <v>5601</v>
      </c>
      <c r="D4053">
        <v>270000</v>
      </c>
      <c r="F4053">
        <v>270000</v>
      </c>
      <c r="G4053">
        <v>270000</v>
      </c>
      <c r="H4053">
        <v>2</v>
      </c>
      <c r="I4053" t="s">
        <v>642</v>
      </c>
      <c r="J4053">
        <v>97.43</v>
      </c>
      <c r="K4053">
        <v>20</v>
      </c>
      <c r="L4053">
        <v>2</v>
      </c>
      <c r="M4053" t="s">
        <v>5596</v>
      </c>
      <c r="N4053">
        <v>5</v>
      </c>
      <c r="O4053">
        <v>9.67</v>
      </c>
      <c r="P4053">
        <v>122997.85</v>
      </c>
      <c r="Q4053">
        <v>282153.84999999998</v>
      </c>
      <c r="R4053">
        <v>512</v>
      </c>
      <c r="S4053">
        <v>26</v>
      </c>
      <c r="T4053" t="s">
        <v>1835</v>
      </c>
      <c r="U4053" t="s">
        <v>90</v>
      </c>
    </row>
    <row r="4054" spans="1:21">
      <c r="A4054" t="s">
        <v>6332</v>
      </c>
      <c r="B4054" t="s">
        <v>6333</v>
      </c>
      <c r="C4054" t="s">
        <v>5608</v>
      </c>
      <c r="D4054">
        <v>172000</v>
      </c>
      <c r="E4054">
        <v>6000</v>
      </c>
      <c r="F4054">
        <v>172000</v>
      </c>
      <c r="G4054">
        <v>172000</v>
      </c>
      <c r="H4054">
        <v>2</v>
      </c>
      <c r="I4054" t="s">
        <v>647</v>
      </c>
      <c r="J4054">
        <v>62.29</v>
      </c>
      <c r="K4054">
        <v>37</v>
      </c>
      <c r="L4054">
        <v>3</v>
      </c>
      <c r="M4054" t="s">
        <v>5596</v>
      </c>
      <c r="N4054">
        <v>5</v>
      </c>
      <c r="O4054">
        <v>11.33</v>
      </c>
      <c r="P4054">
        <v>122997.85</v>
      </c>
      <c r="Q4054">
        <v>184333.33</v>
      </c>
      <c r="R4054">
        <v>512</v>
      </c>
      <c r="S4054">
        <v>18</v>
      </c>
      <c r="T4054" t="s">
        <v>593</v>
      </c>
      <c r="U4054" t="s">
        <v>49</v>
      </c>
    </row>
    <row r="4055" spans="1:21">
      <c r="A4055" t="s">
        <v>6334</v>
      </c>
      <c r="B4055" t="s">
        <v>6335</v>
      </c>
      <c r="C4055" t="s">
        <v>2033</v>
      </c>
      <c r="D4055">
        <v>110000</v>
      </c>
      <c r="F4055">
        <v>110000</v>
      </c>
      <c r="G4055">
        <v>110000</v>
      </c>
      <c r="H4055">
        <v>3</v>
      </c>
      <c r="I4055" t="s">
        <v>647</v>
      </c>
      <c r="J4055">
        <v>49.5</v>
      </c>
      <c r="K4055">
        <v>62</v>
      </c>
      <c r="L4055">
        <v>7</v>
      </c>
      <c r="M4055" t="s">
        <v>5596</v>
      </c>
      <c r="N4055">
        <v>7</v>
      </c>
      <c r="O4055">
        <v>8.33</v>
      </c>
      <c r="P4055">
        <v>122997.85</v>
      </c>
      <c r="Q4055">
        <v>184333.33</v>
      </c>
      <c r="R4055">
        <v>512</v>
      </c>
      <c r="S4055">
        <v>18</v>
      </c>
      <c r="T4055" t="s">
        <v>326</v>
      </c>
      <c r="U4055" t="s">
        <v>38</v>
      </c>
    </row>
    <row r="4056" spans="1:21">
      <c r="A4056" t="s">
        <v>6336</v>
      </c>
      <c r="B4056" t="s">
        <v>6337</v>
      </c>
      <c r="C4056" t="s">
        <v>5608</v>
      </c>
      <c r="D4056">
        <v>172000</v>
      </c>
      <c r="E4056">
        <v>6000</v>
      </c>
      <c r="F4056">
        <v>172000</v>
      </c>
      <c r="G4056">
        <v>172000</v>
      </c>
      <c r="H4056">
        <v>2</v>
      </c>
      <c r="I4056" t="s">
        <v>647</v>
      </c>
      <c r="J4056">
        <v>62.29</v>
      </c>
      <c r="K4056">
        <v>37</v>
      </c>
      <c r="L4056">
        <v>3</v>
      </c>
      <c r="M4056" t="s">
        <v>5596</v>
      </c>
      <c r="N4056">
        <v>5</v>
      </c>
      <c r="O4056">
        <v>11.33</v>
      </c>
      <c r="P4056">
        <v>122997.85</v>
      </c>
      <c r="Q4056">
        <v>184333.33</v>
      </c>
      <c r="R4056">
        <v>512</v>
      </c>
      <c r="S4056">
        <v>18</v>
      </c>
      <c r="T4056" t="s">
        <v>593</v>
      </c>
      <c r="U4056" t="s">
        <v>49</v>
      </c>
    </row>
    <row r="4057" spans="1:21">
      <c r="A4057" t="s">
        <v>6338</v>
      </c>
      <c r="B4057" t="s">
        <v>6339</v>
      </c>
      <c r="C4057" t="s">
        <v>5608</v>
      </c>
      <c r="D4057">
        <v>200000</v>
      </c>
      <c r="F4057">
        <v>200000</v>
      </c>
      <c r="G4057">
        <v>200000</v>
      </c>
      <c r="H4057">
        <v>3</v>
      </c>
      <c r="I4057" t="s">
        <v>654</v>
      </c>
      <c r="J4057">
        <v>71.66</v>
      </c>
      <c r="K4057">
        <v>42</v>
      </c>
      <c r="L4057">
        <v>5</v>
      </c>
      <c r="M4057" t="s">
        <v>5596</v>
      </c>
      <c r="N4057">
        <v>3</v>
      </c>
      <c r="O4057">
        <v>10</v>
      </c>
      <c r="P4057">
        <v>122997.85</v>
      </c>
      <c r="Q4057">
        <v>288705.81</v>
      </c>
      <c r="R4057">
        <v>512</v>
      </c>
      <c r="S4057">
        <v>155</v>
      </c>
      <c r="T4057" t="s">
        <v>596</v>
      </c>
      <c r="U4057" t="s">
        <v>42</v>
      </c>
    </row>
    <row r="4058" spans="1:21">
      <c r="A4058" t="s">
        <v>6340</v>
      </c>
      <c r="B4058" t="s">
        <v>6341</v>
      </c>
      <c r="C4058" t="s">
        <v>5601</v>
      </c>
      <c r="D4058">
        <v>350000</v>
      </c>
      <c r="F4058">
        <v>700000</v>
      </c>
      <c r="G4058">
        <v>350000</v>
      </c>
      <c r="H4058">
        <v>1</v>
      </c>
      <c r="I4058" t="s">
        <v>654</v>
      </c>
      <c r="J4058">
        <v>104.03</v>
      </c>
      <c r="K4058">
        <v>2</v>
      </c>
      <c r="L4058">
        <v>2</v>
      </c>
      <c r="M4058" t="s">
        <v>5596</v>
      </c>
      <c r="N4058">
        <v>9</v>
      </c>
      <c r="O4058">
        <v>11.67</v>
      </c>
      <c r="P4058">
        <v>122997.85</v>
      </c>
      <c r="Q4058">
        <v>288705.81</v>
      </c>
      <c r="R4058">
        <v>512</v>
      </c>
      <c r="S4058">
        <v>155</v>
      </c>
      <c r="T4058" t="s">
        <v>658</v>
      </c>
      <c r="U4058" t="s">
        <v>31</v>
      </c>
    </row>
    <row r="4059" spans="1:21">
      <c r="A4059" t="s">
        <v>6340</v>
      </c>
      <c r="B4059" t="s">
        <v>6341</v>
      </c>
      <c r="C4059" t="s">
        <v>5601</v>
      </c>
      <c r="D4059">
        <v>350000</v>
      </c>
      <c r="F4059">
        <v>700000</v>
      </c>
      <c r="G4059">
        <v>350000</v>
      </c>
      <c r="H4059">
        <v>2</v>
      </c>
      <c r="I4059" t="s">
        <v>654</v>
      </c>
      <c r="J4059">
        <v>104.03</v>
      </c>
      <c r="K4059">
        <v>2</v>
      </c>
      <c r="L4059">
        <v>2</v>
      </c>
      <c r="M4059" t="s">
        <v>5596</v>
      </c>
      <c r="N4059">
        <v>9</v>
      </c>
      <c r="O4059">
        <v>11.67</v>
      </c>
      <c r="P4059">
        <v>122997.85</v>
      </c>
      <c r="Q4059">
        <v>288705.81</v>
      </c>
      <c r="R4059">
        <v>512</v>
      </c>
      <c r="S4059">
        <v>155</v>
      </c>
      <c r="T4059" t="s">
        <v>658</v>
      </c>
      <c r="U4059" t="s">
        <v>31</v>
      </c>
    </row>
    <row r="4060" spans="1:21">
      <c r="A4060" t="s">
        <v>6342</v>
      </c>
      <c r="B4060" t="s">
        <v>6244</v>
      </c>
      <c r="C4060" t="s">
        <v>5601</v>
      </c>
      <c r="D4060">
        <v>200000</v>
      </c>
      <c r="E4060">
        <v>38000</v>
      </c>
      <c r="F4060">
        <v>400000</v>
      </c>
      <c r="G4060">
        <v>400000</v>
      </c>
      <c r="H4060">
        <v>5</v>
      </c>
      <c r="I4060" t="s">
        <v>654</v>
      </c>
      <c r="J4060">
        <v>64.349999999999994</v>
      </c>
      <c r="K4060">
        <v>26</v>
      </c>
      <c r="L4060">
        <v>8</v>
      </c>
      <c r="M4060" t="s">
        <v>5596</v>
      </c>
      <c r="N4060">
        <v>1</v>
      </c>
      <c r="O4060">
        <v>8.67</v>
      </c>
      <c r="P4060">
        <v>122997.85</v>
      </c>
      <c r="Q4060">
        <v>288705.81</v>
      </c>
      <c r="R4060">
        <v>512</v>
      </c>
      <c r="S4060">
        <v>155</v>
      </c>
      <c r="T4060" t="s">
        <v>593</v>
      </c>
      <c r="U4060" t="s">
        <v>27</v>
      </c>
    </row>
    <row r="4061" spans="1:21">
      <c r="A4061" t="s">
        <v>6343</v>
      </c>
      <c r="B4061" t="s">
        <v>6306</v>
      </c>
      <c r="C4061" t="s">
        <v>712</v>
      </c>
      <c r="D4061">
        <v>298000</v>
      </c>
      <c r="F4061">
        <v>596000</v>
      </c>
      <c r="G4061">
        <v>298000</v>
      </c>
      <c r="H4061">
        <v>1</v>
      </c>
      <c r="I4061" t="s">
        <v>654</v>
      </c>
      <c r="J4061">
        <v>91.91</v>
      </c>
      <c r="K4061">
        <v>3</v>
      </c>
      <c r="L4061">
        <v>3</v>
      </c>
      <c r="M4061" t="s">
        <v>5596</v>
      </c>
      <c r="N4061">
        <v>7</v>
      </c>
      <c r="O4061">
        <v>10</v>
      </c>
      <c r="P4061">
        <v>122997.85</v>
      </c>
      <c r="Q4061">
        <v>288705.81</v>
      </c>
      <c r="R4061">
        <v>512</v>
      </c>
      <c r="S4061">
        <v>155</v>
      </c>
      <c r="T4061" t="s">
        <v>1835</v>
      </c>
      <c r="U4061" t="s">
        <v>31</v>
      </c>
    </row>
    <row r="4062" spans="1:21">
      <c r="A4062" t="s">
        <v>6343</v>
      </c>
      <c r="B4062" t="s">
        <v>6306</v>
      </c>
      <c r="C4062" t="s">
        <v>712</v>
      </c>
      <c r="D4062">
        <v>298000</v>
      </c>
      <c r="F4062">
        <v>596000</v>
      </c>
      <c r="G4062">
        <v>298000</v>
      </c>
      <c r="H4062">
        <v>2</v>
      </c>
      <c r="I4062" t="s">
        <v>654</v>
      </c>
      <c r="J4062">
        <v>91.91</v>
      </c>
      <c r="K4062">
        <v>3</v>
      </c>
      <c r="L4062">
        <v>3</v>
      </c>
      <c r="M4062" t="s">
        <v>5596</v>
      </c>
      <c r="N4062">
        <v>7</v>
      </c>
      <c r="O4062">
        <v>10</v>
      </c>
      <c r="P4062">
        <v>122997.85</v>
      </c>
      <c r="Q4062">
        <v>288705.81</v>
      </c>
      <c r="R4062">
        <v>512</v>
      </c>
      <c r="S4062">
        <v>155</v>
      </c>
      <c r="T4062" t="s">
        <v>1835</v>
      </c>
      <c r="U4062" t="s">
        <v>31</v>
      </c>
    </row>
    <row r="4063" spans="1:21">
      <c r="A4063" t="s">
        <v>6343</v>
      </c>
      <c r="B4063" t="s">
        <v>6306</v>
      </c>
      <c r="C4063" t="s">
        <v>712</v>
      </c>
      <c r="D4063">
        <v>298000</v>
      </c>
      <c r="F4063">
        <v>596000</v>
      </c>
      <c r="G4063">
        <v>298000</v>
      </c>
      <c r="H4063">
        <v>3</v>
      </c>
      <c r="I4063" t="s">
        <v>654</v>
      </c>
      <c r="J4063">
        <v>91.91</v>
      </c>
      <c r="K4063">
        <v>3</v>
      </c>
      <c r="L4063">
        <v>3</v>
      </c>
      <c r="M4063" t="s">
        <v>5596</v>
      </c>
      <c r="N4063">
        <v>7</v>
      </c>
      <c r="O4063">
        <v>10</v>
      </c>
      <c r="P4063">
        <v>122997.85</v>
      </c>
      <c r="Q4063">
        <v>288705.81</v>
      </c>
      <c r="R4063">
        <v>512</v>
      </c>
      <c r="S4063">
        <v>155</v>
      </c>
      <c r="T4063" t="s">
        <v>1835</v>
      </c>
      <c r="U4063" t="s">
        <v>31</v>
      </c>
    </row>
    <row r="4064" spans="1:21">
      <c r="A4064" t="s">
        <v>6344</v>
      </c>
      <c r="B4064" t="s">
        <v>6306</v>
      </c>
      <c r="C4064" t="s">
        <v>712</v>
      </c>
      <c r="D4064">
        <v>298000</v>
      </c>
      <c r="F4064">
        <v>596000</v>
      </c>
      <c r="G4064">
        <v>298000</v>
      </c>
      <c r="H4064">
        <v>1</v>
      </c>
      <c r="I4064" t="s">
        <v>654</v>
      </c>
      <c r="J4064">
        <v>91.91</v>
      </c>
      <c r="K4064">
        <v>3</v>
      </c>
      <c r="L4064">
        <v>3</v>
      </c>
      <c r="M4064" t="s">
        <v>5596</v>
      </c>
      <c r="N4064">
        <v>7</v>
      </c>
      <c r="O4064">
        <v>10</v>
      </c>
      <c r="P4064">
        <v>122997.85</v>
      </c>
      <c r="Q4064">
        <v>288705.81</v>
      </c>
      <c r="R4064">
        <v>512</v>
      </c>
      <c r="S4064">
        <v>155</v>
      </c>
      <c r="T4064" t="s">
        <v>1835</v>
      </c>
      <c r="U4064" t="s">
        <v>31</v>
      </c>
    </row>
    <row r="4065" spans="1:21">
      <c r="A4065" t="s">
        <v>6345</v>
      </c>
      <c r="B4065" t="s">
        <v>6346</v>
      </c>
      <c r="C4065" t="s">
        <v>712</v>
      </c>
      <c r="D4065">
        <v>250000</v>
      </c>
      <c r="F4065">
        <v>250000</v>
      </c>
      <c r="G4065">
        <v>250000</v>
      </c>
      <c r="H4065">
        <v>1</v>
      </c>
      <c r="I4065" t="s">
        <v>654</v>
      </c>
      <c r="J4065">
        <v>60.45</v>
      </c>
      <c r="K4065">
        <v>53</v>
      </c>
      <c r="L4065">
        <v>2</v>
      </c>
      <c r="M4065" t="s">
        <v>5596</v>
      </c>
      <c r="N4065">
        <v>3</v>
      </c>
      <c r="O4065">
        <v>9.67</v>
      </c>
      <c r="P4065">
        <v>122997.85</v>
      </c>
      <c r="Q4065">
        <v>288705.81</v>
      </c>
      <c r="R4065">
        <v>512</v>
      </c>
      <c r="S4065">
        <v>155</v>
      </c>
      <c r="T4065" t="s">
        <v>593</v>
      </c>
      <c r="U4065" t="s">
        <v>57</v>
      </c>
    </row>
    <row r="4066" spans="1:21">
      <c r="A4066" t="s">
        <v>6345</v>
      </c>
      <c r="B4066" t="s">
        <v>6346</v>
      </c>
      <c r="C4066" t="s">
        <v>712</v>
      </c>
      <c r="D4066">
        <v>250000</v>
      </c>
      <c r="F4066">
        <v>250000</v>
      </c>
      <c r="G4066">
        <v>250000</v>
      </c>
      <c r="H4066">
        <v>2</v>
      </c>
      <c r="I4066" t="s">
        <v>654</v>
      </c>
      <c r="J4066">
        <v>60.45</v>
      </c>
      <c r="K4066">
        <v>53</v>
      </c>
      <c r="L4066">
        <v>2</v>
      </c>
      <c r="M4066" t="s">
        <v>5596</v>
      </c>
      <c r="N4066">
        <v>3</v>
      </c>
      <c r="O4066">
        <v>9.67</v>
      </c>
      <c r="P4066">
        <v>122997.85</v>
      </c>
      <c r="Q4066">
        <v>288705.81</v>
      </c>
      <c r="R4066">
        <v>512</v>
      </c>
      <c r="S4066">
        <v>155</v>
      </c>
      <c r="T4066" t="s">
        <v>593</v>
      </c>
      <c r="U4066" t="s">
        <v>57</v>
      </c>
    </row>
    <row r="4067" spans="1:21">
      <c r="A4067" t="s">
        <v>6347</v>
      </c>
      <c r="B4067" t="s">
        <v>6348</v>
      </c>
      <c r="C4067" t="s">
        <v>758</v>
      </c>
      <c r="D4067">
        <v>278000</v>
      </c>
      <c r="F4067">
        <v>278000</v>
      </c>
      <c r="G4067">
        <v>278000</v>
      </c>
      <c r="H4067">
        <v>1</v>
      </c>
      <c r="I4067" t="s">
        <v>654</v>
      </c>
      <c r="J4067">
        <v>67.95</v>
      </c>
      <c r="K4067">
        <v>10</v>
      </c>
      <c r="L4067">
        <v>3</v>
      </c>
      <c r="M4067" t="s">
        <v>5596</v>
      </c>
      <c r="N4067">
        <v>5</v>
      </c>
      <c r="O4067">
        <v>6</v>
      </c>
      <c r="P4067">
        <v>122997.85</v>
      </c>
      <c r="Q4067">
        <v>288705.81</v>
      </c>
      <c r="R4067">
        <v>512</v>
      </c>
      <c r="S4067">
        <v>155</v>
      </c>
      <c r="T4067" t="s">
        <v>593</v>
      </c>
      <c r="U4067" t="s">
        <v>31</v>
      </c>
    </row>
    <row r="4068" spans="1:21">
      <c r="A4068" t="s">
        <v>6349</v>
      </c>
      <c r="B4068" t="s">
        <v>6350</v>
      </c>
      <c r="C4068" t="s">
        <v>5601</v>
      </c>
      <c r="D4068">
        <v>188000</v>
      </c>
      <c r="F4068">
        <v>188000</v>
      </c>
      <c r="G4068">
        <v>188000</v>
      </c>
      <c r="H4068">
        <v>2</v>
      </c>
      <c r="I4068" t="s">
        <v>654</v>
      </c>
      <c r="J4068">
        <v>63.09</v>
      </c>
      <c r="K4068">
        <v>27</v>
      </c>
      <c r="L4068">
        <v>2</v>
      </c>
      <c r="M4068" t="s">
        <v>5596</v>
      </c>
      <c r="N4068">
        <v>3</v>
      </c>
      <c r="O4068">
        <v>10.33</v>
      </c>
      <c r="P4068">
        <v>122997.85</v>
      </c>
      <c r="Q4068">
        <v>288705.81</v>
      </c>
      <c r="R4068">
        <v>512</v>
      </c>
      <c r="S4068">
        <v>155</v>
      </c>
      <c r="T4068" t="s">
        <v>593</v>
      </c>
      <c r="U4068" t="s">
        <v>27</v>
      </c>
    </row>
    <row r="4069" spans="1:21">
      <c r="A4069" t="s">
        <v>6351</v>
      </c>
      <c r="B4069" t="s">
        <v>6352</v>
      </c>
      <c r="C4069" t="s">
        <v>5608</v>
      </c>
      <c r="D4069">
        <v>200000</v>
      </c>
      <c r="F4069">
        <v>200000</v>
      </c>
      <c r="G4069">
        <v>200000</v>
      </c>
      <c r="H4069">
        <v>3</v>
      </c>
      <c r="I4069" t="s">
        <v>654</v>
      </c>
      <c r="J4069">
        <v>71.66</v>
      </c>
      <c r="K4069">
        <v>42</v>
      </c>
      <c r="L4069">
        <v>5</v>
      </c>
      <c r="M4069" t="s">
        <v>5596</v>
      </c>
      <c r="N4069">
        <v>2</v>
      </c>
      <c r="O4069">
        <v>11</v>
      </c>
      <c r="P4069">
        <v>122997.85</v>
      </c>
      <c r="Q4069">
        <v>288705.81</v>
      </c>
      <c r="R4069">
        <v>512</v>
      </c>
      <c r="S4069">
        <v>155</v>
      </c>
      <c r="T4069" t="s">
        <v>596</v>
      </c>
      <c r="U4069" t="s">
        <v>42</v>
      </c>
    </row>
    <row r="4070" spans="1:21">
      <c r="A4070" t="s">
        <v>6353</v>
      </c>
      <c r="B4070" t="s">
        <v>5912</v>
      </c>
      <c r="C4070" t="s">
        <v>4547</v>
      </c>
      <c r="D4070">
        <v>328000</v>
      </c>
      <c r="E4070">
        <v>19890</v>
      </c>
      <c r="F4070">
        <v>656000</v>
      </c>
      <c r="G4070">
        <v>492000</v>
      </c>
      <c r="H4070">
        <v>2</v>
      </c>
      <c r="I4070" t="s">
        <v>654</v>
      </c>
      <c r="J4070">
        <v>68.98</v>
      </c>
      <c r="K4070">
        <v>9</v>
      </c>
      <c r="L4070">
        <v>5</v>
      </c>
      <c r="M4070" t="s">
        <v>5596</v>
      </c>
      <c r="N4070">
        <v>9</v>
      </c>
      <c r="O4070">
        <v>10</v>
      </c>
      <c r="P4070">
        <v>122997.85</v>
      </c>
      <c r="Q4070">
        <v>288705.81</v>
      </c>
      <c r="R4070">
        <v>512</v>
      </c>
      <c r="S4070">
        <v>155</v>
      </c>
      <c r="T4070" t="s">
        <v>593</v>
      </c>
      <c r="U4070" t="s">
        <v>31</v>
      </c>
    </row>
    <row r="4071" spans="1:21">
      <c r="A4071" t="s">
        <v>6354</v>
      </c>
      <c r="B4071" t="s">
        <v>6355</v>
      </c>
      <c r="C4071" t="s">
        <v>5601</v>
      </c>
      <c r="D4071">
        <v>188000</v>
      </c>
      <c r="F4071">
        <v>188000</v>
      </c>
      <c r="G4071">
        <v>188000</v>
      </c>
      <c r="H4071">
        <v>2</v>
      </c>
      <c r="I4071" t="s">
        <v>654</v>
      </c>
      <c r="J4071">
        <v>63.09</v>
      </c>
      <c r="K4071">
        <v>27</v>
      </c>
      <c r="L4071">
        <v>2</v>
      </c>
      <c r="M4071" t="s">
        <v>5596</v>
      </c>
      <c r="N4071">
        <v>3</v>
      </c>
      <c r="O4071">
        <v>11</v>
      </c>
      <c r="P4071">
        <v>122997.85</v>
      </c>
      <c r="Q4071">
        <v>288705.81</v>
      </c>
      <c r="R4071">
        <v>512</v>
      </c>
      <c r="S4071">
        <v>155</v>
      </c>
      <c r="T4071" t="s">
        <v>593</v>
      </c>
      <c r="U4071" t="s">
        <v>27</v>
      </c>
    </row>
    <row r="4072" spans="1:21">
      <c r="A4072" t="s">
        <v>6356</v>
      </c>
      <c r="B4072" t="s">
        <v>6357</v>
      </c>
      <c r="C4072" t="s">
        <v>712</v>
      </c>
      <c r="D4072">
        <v>298000</v>
      </c>
      <c r="F4072">
        <v>596000</v>
      </c>
      <c r="G4072">
        <v>298000</v>
      </c>
      <c r="H4072">
        <v>1</v>
      </c>
      <c r="I4072" t="s">
        <v>654</v>
      </c>
      <c r="J4072">
        <v>91.91</v>
      </c>
      <c r="K4072">
        <v>3</v>
      </c>
      <c r="L4072">
        <v>3</v>
      </c>
      <c r="M4072" t="s">
        <v>5596</v>
      </c>
      <c r="N4072">
        <v>7</v>
      </c>
      <c r="O4072">
        <v>11.33</v>
      </c>
      <c r="P4072">
        <v>122997.85</v>
      </c>
      <c r="Q4072">
        <v>288705.81</v>
      </c>
      <c r="R4072">
        <v>512</v>
      </c>
      <c r="S4072">
        <v>155</v>
      </c>
      <c r="T4072" t="s">
        <v>1835</v>
      </c>
      <c r="U4072" t="s">
        <v>31</v>
      </c>
    </row>
    <row r="4073" spans="1:21">
      <c r="A4073" t="s">
        <v>6358</v>
      </c>
      <c r="B4073" t="s">
        <v>6359</v>
      </c>
      <c r="C4073" t="s">
        <v>2033</v>
      </c>
      <c r="D4073">
        <v>384000</v>
      </c>
      <c r="E4073">
        <v>15000</v>
      </c>
      <c r="F4073">
        <v>384000</v>
      </c>
      <c r="H4073">
        <v>2</v>
      </c>
      <c r="I4073" t="s">
        <v>681</v>
      </c>
      <c r="J4073">
        <v>136</v>
      </c>
      <c r="K4073">
        <v>40</v>
      </c>
      <c r="L4073">
        <v>4</v>
      </c>
      <c r="M4073" t="s">
        <v>5596</v>
      </c>
      <c r="N4073">
        <v>8</v>
      </c>
      <c r="O4073">
        <v>14</v>
      </c>
      <c r="P4073">
        <v>122997.85</v>
      </c>
      <c r="Q4073">
        <v>388200</v>
      </c>
      <c r="R4073">
        <v>512</v>
      </c>
      <c r="S4073">
        <v>20</v>
      </c>
      <c r="T4073" t="s">
        <v>658</v>
      </c>
      <c r="U4073" t="s">
        <v>49</v>
      </c>
    </row>
    <row r="4074" spans="1:21">
      <c r="A4074" t="s">
        <v>6360</v>
      </c>
      <c r="B4074" t="s">
        <v>6361</v>
      </c>
      <c r="C4074" t="s">
        <v>3195</v>
      </c>
      <c r="D4074">
        <v>128000</v>
      </c>
      <c r="E4074">
        <v>6000</v>
      </c>
      <c r="F4074">
        <v>128000</v>
      </c>
      <c r="G4074">
        <v>128000</v>
      </c>
      <c r="H4074">
        <v>7</v>
      </c>
      <c r="I4074" t="s">
        <v>24</v>
      </c>
      <c r="J4074">
        <v>30.42</v>
      </c>
      <c r="K4074">
        <v>29</v>
      </c>
      <c r="L4074">
        <v>12</v>
      </c>
      <c r="M4074" t="s">
        <v>6362</v>
      </c>
      <c r="N4074">
        <v>1</v>
      </c>
      <c r="O4074">
        <v>3.67</v>
      </c>
      <c r="P4074">
        <v>139800.48000000001</v>
      </c>
      <c r="Q4074">
        <v>123325.96</v>
      </c>
      <c r="R4074">
        <v>420</v>
      </c>
      <c r="S4074">
        <v>339</v>
      </c>
      <c r="T4074" t="s">
        <v>26</v>
      </c>
      <c r="U4074" t="s">
        <v>27</v>
      </c>
    </row>
    <row r="4075" spans="1:21">
      <c r="A4075" t="s">
        <v>6363</v>
      </c>
      <c r="B4075" t="s">
        <v>6364</v>
      </c>
      <c r="C4075" t="s">
        <v>1294</v>
      </c>
      <c r="D4075">
        <v>102000</v>
      </c>
      <c r="E4075">
        <v>5000</v>
      </c>
      <c r="F4075">
        <v>102000</v>
      </c>
      <c r="G4075">
        <v>102000</v>
      </c>
      <c r="H4075">
        <v>1</v>
      </c>
      <c r="I4075" t="s">
        <v>24</v>
      </c>
      <c r="J4075">
        <v>32.76</v>
      </c>
      <c r="K4075">
        <v>31</v>
      </c>
      <c r="L4075">
        <v>4</v>
      </c>
      <c r="M4075" t="s">
        <v>6362</v>
      </c>
      <c r="N4075">
        <v>9</v>
      </c>
      <c r="O4075">
        <v>11</v>
      </c>
      <c r="P4075">
        <v>139800.48000000001</v>
      </c>
      <c r="Q4075">
        <v>123325.96</v>
      </c>
      <c r="R4075">
        <v>420</v>
      </c>
      <c r="S4075">
        <v>339</v>
      </c>
      <c r="T4075" t="s">
        <v>26</v>
      </c>
      <c r="U4075" t="s">
        <v>49</v>
      </c>
    </row>
    <row r="4076" spans="1:21">
      <c r="A4076" t="s">
        <v>6365</v>
      </c>
      <c r="B4076" t="s">
        <v>6364</v>
      </c>
      <c r="C4076" t="s">
        <v>1294</v>
      </c>
      <c r="D4076">
        <v>114000</v>
      </c>
      <c r="E4076">
        <v>5000</v>
      </c>
      <c r="F4076">
        <v>114000</v>
      </c>
      <c r="G4076">
        <v>114000</v>
      </c>
      <c r="H4076">
        <v>3</v>
      </c>
      <c r="I4076" t="s">
        <v>24</v>
      </c>
      <c r="J4076">
        <v>32.729999999999997</v>
      </c>
      <c r="K4076">
        <v>31</v>
      </c>
      <c r="L4076">
        <v>4</v>
      </c>
      <c r="M4076" t="s">
        <v>6362</v>
      </c>
      <c r="N4076">
        <v>9</v>
      </c>
      <c r="O4076">
        <v>11</v>
      </c>
      <c r="P4076">
        <v>139800.48000000001</v>
      </c>
      <c r="Q4076">
        <v>123325.96</v>
      </c>
      <c r="R4076">
        <v>420</v>
      </c>
      <c r="S4076">
        <v>339</v>
      </c>
      <c r="T4076" t="s">
        <v>26</v>
      </c>
      <c r="U4076" t="s">
        <v>49</v>
      </c>
    </row>
    <row r="4077" spans="1:21">
      <c r="A4077" t="s">
        <v>6366</v>
      </c>
      <c r="B4077" t="s">
        <v>6367</v>
      </c>
      <c r="C4077" t="s">
        <v>3195</v>
      </c>
      <c r="D4077">
        <v>107000</v>
      </c>
      <c r="E4077">
        <v>10000</v>
      </c>
      <c r="F4077">
        <v>107000</v>
      </c>
      <c r="G4077">
        <v>107000</v>
      </c>
      <c r="H4077">
        <v>3</v>
      </c>
      <c r="I4077" t="s">
        <v>24</v>
      </c>
      <c r="J4077">
        <v>28.37</v>
      </c>
      <c r="K4077">
        <v>28</v>
      </c>
      <c r="L4077">
        <v>4</v>
      </c>
      <c r="M4077" t="s">
        <v>6362</v>
      </c>
      <c r="N4077">
        <v>1</v>
      </c>
      <c r="O4077">
        <v>4.67</v>
      </c>
      <c r="P4077">
        <v>139800.48000000001</v>
      </c>
      <c r="Q4077">
        <v>123325.96</v>
      </c>
      <c r="R4077">
        <v>420</v>
      </c>
      <c r="S4077">
        <v>339</v>
      </c>
      <c r="T4077" t="s">
        <v>34</v>
      </c>
      <c r="U4077" t="s">
        <v>27</v>
      </c>
    </row>
    <row r="4078" spans="1:21">
      <c r="A4078" t="s">
        <v>6368</v>
      </c>
      <c r="B4078" t="s">
        <v>6369</v>
      </c>
      <c r="C4078" t="s">
        <v>1890</v>
      </c>
      <c r="D4078">
        <v>68000</v>
      </c>
      <c r="E4078">
        <v>2000</v>
      </c>
      <c r="F4078">
        <v>68000</v>
      </c>
      <c r="H4078">
        <v>1</v>
      </c>
      <c r="I4078" t="s">
        <v>24</v>
      </c>
      <c r="J4078">
        <v>23.7</v>
      </c>
      <c r="K4078">
        <v>28</v>
      </c>
      <c r="L4078">
        <v>2</v>
      </c>
      <c r="M4078" t="s">
        <v>6362</v>
      </c>
      <c r="N4078">
        <v>9</v>
      </c>
      <c r="O4078">
        <v>9.67</v>
      </c>
      <c r="P4078">
        <v>139800.48000000001</v>
      </c>
      <c r="Q4078">
        <v>123325.96</v>
      </c>
      <c r="R4078">
        <v>420</v>
      </c>
      <c r="S4078">
        <v>339</v>
      </c>
      <c r="T4078" t="s">
        <v>34</v>
      </c>
      <c r="U4078" t="s">
        <v>27</v>
      </c>
    </row>
    <row r="4079" spans="1:21">
      <c r="A4079" t="s">
        <v>6370</v>
      </c>
      <c r="B4079" t="s">
        <v>6371</v>
      </c>
      <c r="C4079" t="s">
        <v>688</v>
      </c>
      <c r="D4079">
        <v>103000</v>
      </c>
      <c r="E4079">
        <v>5000</v>
      </c>
      <c r="F4079">
        <v>103000</v>
      </c>
      <c r="G4079">
        <v>103000</v>
      </c>
      <c r="H4079">
        <v>1</v>
      </c>
      <c r="I4079" t="s">
        <v>24</v>
      </c>
      <c r="J4079">
        <v>25.67</v>
      </c>
      <c r="K4079">
        <v>0</v>
      </c>
      <c r="L4079">
        <v>3</v>
      </c>
      <c r="M4079" t="s">
        <v>6362</v>
      </c>
      <c r="N4079">
        <v>8</v>
      </c>
      <c r="O4079">
        <v>10.33</v>
      </c>
      <c r="P4079">
        <v>139800.48000000001</v>
      </c>
      <c r="Q4079">
        <v>123325.96</v>
      </c>
      <c r="R4079">
        <v>420</v>
      </c>
      <c r="S4079">
        <v>339</v>
      </c>
      <c r="T4079" t="s">
        <v>34</v>
      </c>
      <c r="U4079" t="s">
        <v>81</v>
      </c>
    </row>
    <row r="4080" spans="1:21">
      <c r="A4080" t="s">
        <v>6372</v>
      </c>
      <c r="B4080" t="s">
        <v>6371</v>
      </c>
      <c r="C4080" t="s">
        <v>688</v>
      </c>
      <c r="D4080">
        <v>115000</v>
      </c>
      <c r="E4080">
        <v>5000</v>
      </c>
      <c r="F4080">
        <v>115000</v>
      </c>
      <c r="G4080">
        <v>115000</v>
      </c>
      <c r="H4080">
        <v>1</v>
      </c>
      <c r="I4080" t="s">
        <v>24</v>
      </c>
      <c r="J4080">
        <v>28.35</v>
      </c>
      <c r="K4080">
        <v>0</v>
      </c>
      <c r="L4080">
        <v>3</v>
      </c>
      <c r="M4080" t="s">
        <v>6362</v>
      </c>
      <c r="N4080">
        <v>8</v>
      </c>
      <c r="O4080">
        <v>10.33</v>
      </c>
      <c r="P4080">
        <v>139800.48000000001</v>
      </c>
      <c r="Q4080">
        <v>123325.96</v>
      </c>
      <c r="R4080">
        <v>420</v>
      </c>
      <c r="S4080">
        <v>339</v>
      </c>
      <c r="T4080" t="s">
        <v>34</v>
      </c>
      <c r="U4080" t="s">
        <v>81</v>
      </c>
    </row>
    <row r="4081" spans="1:21">
      <c r="A4081" t="s">
        <v>6373</v>
      </c>
      <c r="B4081" t="s">
        <v>6371</v>
      </c>
      <c r="C4081" t="s">
        <v>688</v>
      </c>
      <c r="D4081">
        <v>121000</v>
      </c>
      <c r="E4081">
        <v>5000</v>
      </c>
      <c r="F4081">
        <v>121000</v>
      </c>
      <c r="G4081">
        <v>121000</v>
      </c>
      <c r="H4081">
        <v>2</v>
      </c>
      <c r="I4081" t="s">
        <v>24</v>
      </c>
      <c r="J4081">
        <v>29.87</v>
      </c>
      <c r="K4081">
        <v>0</v>
      </c>
      <c r="L4081">
        <v>3</v>
      </c>
      <c r="M4081" t="s">
        <v>6362</v>
      </c>
      <c r="N4081">
        <v>8</v>
      </c>
      <c r="O4081">
        <v>10.33</v>
      </c>
      <c r="P4081">
        <v>139800.48000000001</v>
      </c>
      <c r="Q4081">
        <v>123325.96</v>
      </c>
      <c r="R4081">
        <v>420</v>
      </c>
      <c r="S4081">
        <v>339</v>
      </c>
      <c r="T4081" t="s">
        <v>34</v>
      </c>
      <c r="U4081" t="s">
        <v>81</v>
      </c>
    </row>
    <row r="4082" spans="1:21">
      <c r="A4082" t="s">
        <v>6374</v>
      </c>
      <c r="B4082" t="s">
        <v>6371</v>
      </c>
      <c r="C4082" t="s">
        <v>688</v>
      </c>
      <c r="D4082">
        <v>141000</v>
      </c>
      <c r="E4082">
        <v>5000</v>
      </c>
      <c r="F4082">
        <v>141000</v>
      </c>
      <c r="G4082">
        <v>141000</v>
      </c>
      <c r="H4082">
        <v>3</v>
      </c>
      <c r="I4082" t="s">
        <v>24</v>
      </c>
      <c r="J4082">
        <v>33.78</v>
      </c>
      <c r="K4082">
        <v>0</v>
      </c>
      <c r="L4082">
        <v>3</v>
      </c>
      <c r="M4082" t="s">
        <v>6362</v>
      </c>
      <c r="N4082">
        <v>8</v>
      </c>
      <c r="O4082">
        <v>10.33</v>
      </c>
      <c r="P4082">
        <v>139800.48000000001</v>
      </c>
      <c r="Q4082">
        <v>123325.96</v>
      </c>
      <c r="R4082">
        <v>420</v>
      </c>
      <c r="S4082">
        <v>339</v>
      </c>
      <c r="T4082" t="s">
        <v>26</v>
      </c>
      <c r="U4082" t="s">
        <v>81</v>
      </c>
    </row>
    <row r="4083" spans="1:21">
      <c r="A4083" t="s">
        <v>6375</v>
      </c>
      <c r="B4083" t="s">
        <v>6371</v>
      </c>
      <c r="C4083" t="s">
        <v>688</v>
      </c>
      <c r="D4083">
        <v>152000</v>
      </c>
      <c r="E4083">
        <v>5000</v>
      </c>
      <c r="F4083">
        <v>152000</v>
      </c>
      <c r="G4083">
        <v>152000</v>
      </c>
      <c r="H4083">
        <v>3</v>
      </c>
      <c r="I4083" t="s">
        <v>24</v>
      </c>
      <c r="J4083">
        <v>36.33</v>
      </c>
      <c r="K4083">
        <v>0</v>
      </c>
      <c r="L4083">
        <v>3</v>
      </c>
      <c r="M4083" t="s">
        <v>6362</v>
      </c>
      <c r="N4083">
        <v>8</v>
      </c>
      <c r="O4083">
        <v>10.33</v>
      </c>
      <c r="P4083">
        <v>139800.48000000001</v>
      </c>
      <c r="Q4083">
        <v>123325.96</v>
      </c>
      <c r="R4083">
        <v>420</v>
      </c>
      <c r="S4083">
        <v>339</v>
      </c>
      <c r="T4083" t="s">
        <v>26</v>
      </c>
      <c r="U4083" t="s">
        <v>81</v>
      </c>
    </row>
    <row r="4084" spans="1:21">
      <c r="A4084" t="s">
        <v>6376</v>
      </c>
      <c r="B4084" t="s">
        <v>6377</v>
      </c>
      <c r="C4084" t="s">
        <v>3059</v>
      </c>
      <c r="D4084">
        <v>80000</v>
      </c>
      <c r="E4084">
        <v>4000</v>
      </c>
      <c r="F4084">
        <v>80000</v>
      </c>
      <c r="G4084">
        <v>80000</v>
      </c>
      <c r="H4084">
        <v>3</v>
      </c>
      <c r="I4084" t="s">
        <v>24</v>
      </c>
      <c r="J4084">
        <v>32</v>
      </c>
      <c r="K4084">
        <v>55</v>
      </c>
      <c r="L4084">
        <v>4</v>
      </c>
      <c r="M4084" t="s">
        <v>6362</v>
      </c>
      <c r="N4084">
        <v>1</v>
      </c>
      <c r="O4084">
        <v>4.33</v>
      </c>
      <c r="P4084">
        <v>139800.48000000001</v>
      </c>
      <c r="Q4084">
        <v>123325.96</v>
      </c>
      <c r="R4084">
        <v>420</v>
      </c>
      <c r="S4084">
        <v>339</v>
      </c>
      <c r="T4084" t="s">
        <v>26</v>
      </c>
      <c r="U4084" t="s">
        <v>57</v>
      </c>
    </row>
    <row r="4085" spans="1:21">
      <c r="A4085" t="s">
        <v>6378</v>
      </c>
      <c r="B4085" t="s">
        <v>6379</v>
      </c>
      <c r="C4085" t="s">
        <v>1768</v>
      </c>
      <c r="D4085">
        <v>148000</v>
      </c>
      <c r="F4085">
        <v>148000</v>
      </c>
      <c r="G4085">
        <v>148000</v>
      </c>
      <c r="H4085">
        <v>6</v>
      </c>
      <c r="I4085" t="s">
        <v>24</v>
      </c>
      <c r="J4085">
        <v>39.130000000000003</v>
      </c>
      <c r="K4085">
        <v>19</v>
      </c>
      <c r="L4085">
        <v>8</v>
      </c>
      <c r="M4085" t="s">
        <v>6362</v>
      </c>
      <c r="N4085">
        <v>10</v>
      </c>
      <c r="O4085">
        <v>12</v>
      </c>
      <c r="P4085">
        <v>139800.48000000001</v>
      </c>
      <c r="Q4085">
        <v>123325.96</v>
      </c>
      <c r="R4085">
        <v>420</v>
      </c>
      <c r="S4085">
        <v>339</v>
      </c>
      <c r="T4085" t="s">
        <v>26</v>
      </c>
      <c r="U4085" t="s">
        <v>90</v>
      </c>
    </row>
    <row r="4086" spans="1:21">
      <c r="A4086" t="s">
        <v>6380</v>
      </c>
      <c r="B4086" t="s">
        <v>6381</v>
      </c>
      <c r="C4086" t="s">
        <v>1890</v>
      </c>
      <c r="D4086">
        <v>100000</v>
      </c>
      <c r="E4086">
        <v>5000</v>
      </c>
      <c r="F4086">
        <v>100000</v>
      </c>
      <c r="G4086">
        <v>100000</v>
      </c>
      <c r="H4086">
        <v>1</v>
      </c>
      <c r="I4086" t="s">
        <v>24</v>
      </c>
      <c r="J4086">
        <v>30.48</v>
      </c>
      <c r="K4086">
        <v>9</v>
      </c>
      <c r="L4086">
        <v>2</v>
      </c>
      <c r="M4086" t="s">
        <v>6362</v>
      </c>
      <c r="N4086">
        <v>9</v>
      </c>
      <c r="O4086">
        <v>11</v>
      </c>
      <c r="P4086">
        <v>139800.48000000001</v>
      </c>
      <c r="Q4086">
        <v>123325.96</v>
      </c>
      <c r="R4086">
        <v>420</v>
      </c>
      <c r="S4086">
        <v>339</v>
      </c>
      <c r="T4086" t="s">
        <v>26</v>
      </c>
      <c r="U4086" t="s">
        <v>31</v>
      </c>
    </row>
    <row r="4087" spans="1:21">
      <c r="A4087" t="s">
        <v>6382</v>
      </c>
      <c r="B4087" t="s">
        <v>6383</v>
      </c>
      <c r="C4087" t="s">
        <v>104</v>
      </c>
      <c r="D4087">
        <v>147000</v>
      </c>
      <c r="F4087">
        <v>147000</v>
      </c>
      <c r="G4087">
        <v>176400</v>
      </c>
      <c r="H4087">
        <v>1</v>
      </c>
      <c r="I4087" t="s">
        <v>24</v>
      </c>
      <c r="J4087">
        <v>33.32</v>
      </c>
      <c r="K4087">
        <v>12</v>
      </c>
      <c r="L4087">
        <v>3</v>
      </c>
      <c r="M4087" t="s">
        <v>6362</v>
      </c>
      <c r="N4087">
        <v>3</v>
      </c>
      <c r="O4087">
        <v>6.67</v>
      </c>
      <c r="P4087">
        <v>139800.48000000001</v>
      </c>
      <c r="Q4087">
        <v>123325.96</v>
      </c>
      <c r="R4087">
        <v>420</v>
      </c>
      <c r="S4087">
        <v>339</v>
      </c>
      <c r="T4087" t="s">
        <v>26</v>
      </c>
      <c r="U4087" t="s">
        <v>90</v>
      </c>
    </row>
    <row r="4088" spans="1:21">
      <c r="A4088" t="s">
        <v>6384</v>
      </c>
      <c r="B4088" t="s">
        <v>6385</v>
      </c>
      <c r="C4088" t="s">
        <v>104</v>
      </c>
      <c r="D4088">
        <v>68000</v>
      </c>
      <c r="E4088">
        <v>2000</v>
      </c>
      <c r="F4088">
        <v>68000</v>
      </c>
      <c r="G4088">
        <v>68000</v>
      </c>
      <c r="H4088">
        <v>1</v>
      </c>
      <c r="I4088" t="s">
        <v>24</v>
      </c>
      <c r="J4088">
        <v>23</v>
      </c>
      <c r="K4088">
        <v>49</v>
      </c>
      <c r="L4088">
        <v>3</v>
      </c>
      <c r="M4088" t="s">
        <v>6362</v>
      </c>
      <c r="N4088">
        <v>2</v>
      </c>
      <c r="O4088">
        <v>5.33</v>
      </c>
      <c r="P4088">
        <v>139800.48000000001</v>
      </c>
      <c r="Q4088">
        <v>123325.96</v>
      </c>
      <c r="R4088">
        <v>420</v>
      </c>
      <c r="S4088">
        <v>339</v>
      </c>
      <c r="T4088" t="s">
        <v>34</v>
      </c>
      <c r="U4088" t="s">
        <v>42</v>
      </c>
    </row>
    <row r="4089" spans="1:21">
      <c r="A4089" t="s">
        <v>6386</v>
      </c>
      <c r="B4089" t="s">
        <v>6387</v>
      </c>
      <c r="C4089" t="s">
        <v>3195</v>
      </c>
      <c r="D4089">
        <v>107000</v>
      </c>
      <c r="E4089">
        <v>10000</v>
      </c>
      <c r="F4089">
        <v>107000</v>
      </c>
      <c r="G4089">
        <v>107000</v>
      </c>
      <c r="H4089">
        <v>3</v>
      </c>
      <c r="I4089" t="s">
        <v>24</v>
      </c>
      <c r="J4089">
        <v>28.37</v>
      </c>
      <c r="K4089">
        <v>28</v>
      </c>
      <c r="L4089">
        <v>4</v>
      </c>
      <c r="M4089" t="s">
        <v>6362</v>
      </c>
      <c r="N4089">
        <v>1</v>
      </c>
      <c r="O4089">
        <v>4.67</v>
      </c>
      <c r="P4089">
        <v>139800.48000000001</v>
      </c>
      <c r="Q4089">
        <v>123325.96</v>
      </c>
      <c r="R4089">
        <v>420</v>
      </c>
      <c r="S4089">
        <v>339</v>
      </c>
      <c r="T4089" t="s">
        <v>34</v>
      </c>
      <c r="U4089" t="s">
        <v>27</v>
      </c>
    </row>
    <row r="4090" spans="1:21">
      <c r="A4090" t="s">
        <v>6388</v>
      </c>
      <c r="B4090" t="s">
        <v>6389</v>
      </c>
      <c r="C4090" t="s">
        <v>3025</v>
      </c>
      <c r="D4090">
        <v>140000</v>
      </c>
      <c r="E4090">
        <v>15000</v>
      </c>
      <c r="F4090">
        <v>140000</v>
      </c>
      <c r="G4090">
        <v>140000</v>
      </c>
      <c r="H4090">
        <v>2</v>
      </c>
      <c r="I4090" t="s">
        <v>24</v>
      </c>
      <c r="J4090">
        <v>25.98</v>
      </c>
      <c r="K4090">
        <v>3</v>
      </c>
      <c r="L4090">
        <v>5</v>
      </c>
      <c r="M4090" t="s">
        <v>6362</v>
      </c>
      <c r="N4090">
        <v>7</v>
      </c>
      <c r="O4090">
        <v>11</v>
      </c>
      <c r="P4090">
        <v>139800.48000000001</v>
      </c>
      <c r="Q4090">
        <v>123325.96</v>
      </c>
      <c r="R4090">
        <v>420</v>
      </c>
      <c r="S4090">
        <v>339</v>
      </c>
      <c r="T4090" t="s">
        <v>34</v>
      </c>
      <c r="U4090" t="s">
        <v>31</v>
      </c>
    </row>
    <row r="4091" spans="1:21">
      <c r="A4091" t="s">
        <v>6390</v>
      </c>
      <c r="B4091" t="s">
        <v>6389</v>
      </c>
      <c r="C4091" t="s">
        <v>3025</v>
      </c>
      <c r="D4091">
        <v>140000</v>
      </c>
      <c r="E4091">
        <v>15000</v>
      </c>
      <c r="F4091">
        <v>140000</v>
      </c>
      <c r="G4091">
        <v>140000</v>
      </c>
      <c r="H4091">
        <v>2</v>
      </c>
      <c r="I4091" t="s">
        <v>24</v>
      </c>
      <c r="J4091">
        <v>27.91</v>
      </c>
      <c r="K4091">
        <v>3</v>
      </c>
      <c r="L4091">
        <v>5</v>
      </c>
      <c r="M4091" t="s">
        <v>6362</v>
      </c>
      <c r="N4091">
        <v>7</v>
      </c>
      <c r="O4091">
        <v>11</v>
      </c>
      <c r="P4091">
        <v>139800.48000000001</v>
      </c>
      <c r="Q4091">
        <v>123325.96</v>
      </c>
      <c r="R4091">
        <v>420</v>
      </c>
      <c r="S4091">
        <v>339</v>
      </c>
      <c r="T4091" t="s">
        <v>34</v>
      </c>
      <c r="U4091" t="s">
        <v>31</v>
      </c>
    </row>
    <row r="4092" spans="1:21">
      <c r="A4092" t="s">
        <v>6391</v>
      </c>
      <c r="B4092" t="s">
        <v>6389</v>
      </c>
      <c r="C4092" t="s">
        <v>3025</v>
      </c>
      <c r="D4092">
        <v>140500</v>
      </c>
      <c r="E4092">
        <v>15000</v>
      </c>
      <c r="F4092">
        <v>140500</v>
      </c>
      <c r="G4092">
        <v>140500</v>
      </c>
      <c r="H4092">
        <v>3</v>
      </c>
      <c r="I4092" t="s">
        <v>24</v>
      </c>
      <c r="J4092">
        <v>26.32</v>
      </c>
      <c r="K4092">
        <v>3</v>
      </c>
      <c r="L4092">
        <v>5</v>
      </c>
      <c r="M4092" t="s">
        <v>6362</v>
      </c>
      <c r="N4092">
        <v>7</v>
      </c>
      <c r="O4092">
        <v>11</v>
      </c>
      <c r="P4092">
        <v>139800.48000000001</v>
      </c>
      <c r="Q4092">
        <v>123325.96</v>
      </c>
      <c r="R4092">
        <v>420</v>
      </c>
      <c r="S4092">
        <v>339</v>
      </c>
      <c r="T4092" t="s">
        <v>34</v>
      </c>
      <c r="U4092" t="s">
        <v>31</v>
      </c>
    </row>
    <row r="4093" spans="1:21">
      <c r="A4093" t="s">
        <v>6392</v>
      </c>
      <c r="B4093" t="s">
        <v>6393</v>
      </c>
      <c r="C4093" t="s">
        <v>3059</v>
      </c>
      <c r="D4093">
        <v>140000</v>
      </c>
      <c r="E4093">
        <v>10000</v>
      </c>
      <c r="F4093">
        <v>140000</v>
      </c>
      <c r="G4093">
        <v>168000</v>
      </c>
      <c r="H4093">
        <v>6</v>
      </c>
      <c r="I4093" t="s">
        <v>24</v>
      </c>
      <c r="J4093">
        <v>25.12</v>
      </c>
      <c r="K4093">
        <v>5</v>
      </c>
      <c r="L4093">
        <v>6</v>
      </c>
      <c r="M4093" t="s">
        <v>6362</v>
      </c>
      <c r="N4093">
        <v>4</v>
      </c>
      <c r="O4093">
        <v>5.33</v>
      </c>
      <c r="P4093">
        <v>139800.48000000001</v>
      </c>
      <c r="Q4093">
        <v>123325.96</v>
      </c>
      <c r="R4093">
        <v>420</v>
      </c>
      <c r="S4093">
        <v>339</v>
      </c>
      <c r="T4093" t="s">
        <v>34</v>
      </c>
      <c r="U4093" t="s">
        <v>31</v>
      </c>
    </row>
    <row r="4094" spans="1:21">
      <c r="A4094" t="s">
        <v>6394</v>
      </c>
      <c r="B4094" t="s">
        <v>6395</v>
      </c>
      <c r="C4094" t="s">
        <v>1294</v>
      </c>
      <c r="D4094">
        <v>102000</v>
      </c>
      <c r="E4094">
        <v>5000</v>
      </c>
      <c r="F4094">
        <v>102000</v>
      </c>
      <c r="G4094">
        <v>102000</v>
      </c>
      <c r="H4094">
        <v>1</v>
      </c>
      <c r="I4094" t="s">
        <v>24</v>
      </c>
      <c r="J4094">
        <v>32.76</v>
      </c>
      <c r="K4094">
        <v>31</v>
      </c>
      <c r="L4094">
        <v>4</v>
      </c>
      <c r="M4094" t="s">
        <v>6362</v>
      </c>
      <c r="N4094">
        <v>9</v>
      </c>
      <c r="O4094">
        <v>11</v>
      </c>
      <c r="P4094">
        <v>139800.48000000001</v>
      </c>
      <c r="Q4094">
        <v>123325.96</v>
      </c>
      <c r="R4094">
        <v>420</v>
      </c>
      <c r="S4094">
        <v>339</v>
      </c>
      <c r="T4094" t="s">
        <v>26</v>
      </c>
      <c r="U4094" t="s">
        <v>49</v>
      </c>
    </row>
    <row r="4095" spans="1:21">
      <c r="A4095" t="s">
        <v>6396</v>
      </c>
      <c r="B4095" t="s">
        <v>6395</v>
      </c>
      <c r="C4095" t="s">
        <v>1294</v>
      </c>
      <c r="D4095">
        <v>114000</v>
      </c>
      <c r="E4095">
        <v>5000</v>
      </c>
      <c r="F4095">
        <v>114000</v>
      </c>
      <c r="G4095">
        <v>114000</v>
      </c>
      <c r="H4095">
        <v>3</v>
      </c>
      <c r="I4095" t="s">
        <v>24</v>
      </c>
      <c r="J4095">
        <v>28</v>
      </c>
      <c r="K4095">
        <v>31</v>
      </c>
      <c r="L4095">
        <v>4</v>
      </c>
      <c r="M4095" t="s">
        <v>6362</v>
      </c>
      <c r="N4095">
        <v>9</v>
      </c>
      <c r="O4095">
        <v>11</v>
      </c>
      <c r="P4095">
        <v>139800.48000000001</v>
      </c>
      <c r="Q4095">
        <v>123325.96</v>
      </c>
      <c r="R4095">
        <v>420</v>
      </c>
      <c r="S4095">
        <v>339</v>
      </c>
      <c r="T4095" t="s">
        <v>34</v>
      </c>
      <c r="U4095" t="s">
        <v>49</v>
      </c>
    </row>
    <row r="4096" spans="1:21">
      <c r="A4096" t="s">
        <v>6397</v>
      </c>
      <c r="B4096" t="s">
        <v>6398</v>
      </c>
      <c r="C4096" t="s">
        <v>3059</v>
      </c>
      <c r="D4096">
        <v>125000</v>
      </c>
      <c r="F4096">
        <v>125000</v>
      </c>
      <c r="G4096">
        <v>125000</v>
      </c>
      <c r="H4096">
        <v>7</v>
      </c>
      <c r="I4096" t="s">
        <v>24</v>
      </c>
      <c r="J4096">
        <v>30</v>
      </c>
      <c r="K4096">
        <v>30</v>
      </c>
      <c r="L4096">
        <v>10</v>
      </c>
      <c r="M4096" t="s">
        <v>6362</v>
      </c>
      <c r="N4096">
        <v>3</v>
      </c>
      <c r="O4096">
        <v>6</v>
      </c>
      <c r="P4096">
        <v>139800.48000000001</v>
      </c>
      <c r="Q4096">
        <v>123325.96</v>
      </c>
      <c r="R4096">
        <v>420</v>
      </c>
      <c r="S4096">
        <v>339</v>
      </c>
      <c r="T4096" t="s">
        <v>26</v>
      </c>
      <c r="U4096" t="s">
        <v>27</v>
      </c>
    </row>
    <row r="4097" spans="1:21">
      <c r="A4097" t="s">
        <v>6399</v>
      </c>
      <c r="B4097" t="s">
        <v>6400</v>
      </c>
      <c r="C4097" t="s">
        <v>1890</v>
      </c>
      <c r="D4097">
        <v>102000</v>
      </c>
      <c r="E4097">
        <v>1000</v>
      </c>
      <c r="F4097">
        <v>102000</v>
      </c>
      <c r="G4097">
        <v>204000</v>
      </c>
      <c r="H4097">
        <v>1</v>
      </c>
      <c r="I4097" t="s">
        <v>24</v>
      </c>
      <c r="J4097">
        <v>37.07</v>
      </c>
      <c r="K4097">
        <v>26</v>
      </c>
      <c r="L4097">
        <v>2</v>
      </c>
      <c r="M4097" t="s">
        <v>6362</v>
      </c>
      <c r="N4097">
        <v>9</v>
      </c>
      <c r="O4097">
        <v>11.33</v>
      </c>
      <c r="P4097">
        <v>139800.48000000001</v>
      </c>
      <c r="Q4097">
        <v>123325.96</v>
      </c>
      <c r="R4097">
        <v>420</v>
      </c>
      <c r="S4097">
        <v>339</v>
      </c>
      <c r="T4097" t="s">
        <v>26</v>
      </c>
      <c r="U4097" t="s">
        <v>27</v>
      </c>
    </row>
    <row r="4098" spans="1:21">
      <c r="A4098" t="s">
        <v>6401</v>
      </c>
      <c r="B4098" t="s">
        <v>6402</v>
      </c>
      <c r="C4098" t="s">
        <v>1890</v>
      </c>
      <c r="D4098">
        <v>110000</v>
      </c>
      <c r="E4098">
        <v>5000</v>
      </c>
      <c r="F4098">
        <v>110000</v>
      </c>
      <c r="H4098">
        <v>2</v>
      </c>
      <c r="I4098" t="s">
        <v>89</v>
      </c>
      <c r="J4098">
        <v>23.52</v>
      </c>
      <c r="K4098">
        <v>1</v>
      </c>
      <c r="L4098">
        <v>2</v>
      </c>
      <c r="M4098" t="s">
        <v>6362</v>
      </c>
      <c r="N4098">
        <v>11</v>
      </c>
      <c r="O4098">
        <v>12.67</v>
      </c>
      <c r="P4098">
        <v>139800.48000000001</v>
      </c>
      <c r="Q4098">
        <v>95329.65</v>
      </c>
      <c r="R4098">
        <v>420</v>
      </c>
      <c r="S4098">
        <v>1622</v>
      </c>
      <c r="T4098" t="s">
        <v>34</v>
      </c>
      <c r="U4098" t="s">
        <v>31</v>
      </c>
    </row>
    <row r="4099" spans="1:21">
      <c r="A4099" t="s">
        <v>6403</v>
      </c>
      <c r="B4099" t="s">
        <v>6404</v>
      </c>
      <c r="C4099" t="s">
        <v>41</v>
      </c>
      <c r="D4099">
        <v>124000</v>
      </c>
      <c r="E4099">
        <v>7000</v>
      </c>
      <c r="F4099">
        <v>124000</v>
      </c>
      <c r="H4099">
        <v>1</v>
      </c>
      <c r="I4099" t="s">
        <v>89</v>
      </c>
      <c r="J4099">
        <v>23.6</v>
      </c>
      <c r="K4099">
        <v>0</v>
      </c>
      <c r="L4099">
        <v>3</v>
      </c>
      <c r="M4099" t="s">
        <v>6362</v>
      </c>
      <c r="N4099">
        <v>6</v>
      </c>
      <c r="O4099">
        <v>8</v>
      </c>
      <c r="P4099">
        <v>139800.48000000001</v>
      </c>
      <c r="Q4099">
        <v>95329.65</v>
      </c>
      <c r="R4099">
        <v>420</v>
      </c>
      <c r="S4099">
        <v>1622</v>
      </c>
      <c r="T4099" t="s">
        <v>34</v>
      </c>
      <c r="U4099" t="s">
        <v>81</v>
      </c>
    </row>
    <row r="4100" spans="1:21">
      <c r="A4100" t="s">
        <v>6405</v>
      </c>
      <c r="B4100" t="s">
        <v>6404</v>
      </c>
      <c r="C4100" t="s">
        <v>41</v>
      </c>
      <c r="D4100">
        <v>127000</v>
      </c>
      <c r="E4100">
        <v>7000</v>
      </c>
      <c r="F4100">
        <v>127000</v>
      </c>
      <c r="H4100">
        <v>1</v>
      </c>
      <c r="I4100" t="s">
        <v>89</v>
      </c>
      <c r="J4100">
        <v>23.6</v>
      </c>
      <c r="K4100">
        <v>0</v>
      </c>
      <c r="L4100">
        <v>3</v>
      </c>
      <c r="M4100" t="s">
        <v>6362</v>
      </c>
      <c r="N4100">
        <v>6</v>
      </c>
      <c r="O4100">
        <v>8</v>
      </c>
      <c r="P4100">
        <v>139800.48000000001</v>
      </c>
      <c r="Q4100">
        <v>95329.65</v>
      </c>
      <c r="R4100">
        <v>420</v>
      </c>
      <c r="S4100">
        <v>1622</v>
      </c>
      <c r="T4100" t="s">
        <v>34</v>
      </c>
      <c r="U4100" t="s">
        <v>81</v>
      </c>
    </row>
    <row r="4101" spans="1:21">
      <c r="A4101" t="s">
        <v>6406</v>
      </c>
      <c r="B4101" t="s">
        <v>6404</v>
      </c>
      <c r="C4101" t="s">
        <v>41</v>
      </c>
      <c r="D4101">
        <v>137000</v>
      </c>
      <c r="E4101">
        <v>7000</v>
      </c>
      <c r="F4101">
        <v>137000</v>
      </c>
      <c r="H4101">
        <v>1</v>
      </c>
      <c r="I4101" t="s">
        <v>89</v>
      </c>
      <c r="J4101">
        <v>27.63</v>
      </c>
      <c r="K4101">
        <v>0</v>
      </c>
      <c r="L4101">
        <v>3</v>
      </c>
      <c r="M4101" t="s">
        <v>6362</v>
      </c>
      <c r="N4101">
        <v>6</v>
      </c>
      <c r="O4101">
        <v>8</v>
      </c>
      <c r="P4101">
        <v>139800.48000000001</v>
      </c>
      <c r="Q4101">
        <v>95329.65</v>
      </c>
      <c r="R4101">
        <v>420</v>
      </c>
      <c r="S4101">
        <v>1622</v>
      </c>
      <c r="T4101" t="s">
        <v>34</v>
      </c>
      <c r="U4101" t="s">
        <v>81</v>
      </c>
    </row>
    <row r="4102" spans="1:21">
      <c r="A4102" t="s">
        <v>6407</v>
      </c>
      <c r="B4102" t="s">
        <v>6404</v>
      </c>
      <c r="C4102" t="s">
        <v>41</v>
      </c>
      <c r="D4102">
        <v>140000</v>
      </c>
      <c r="E4102">
        <v>7000</v>
      </c>
      <c r="F4102">
        <v>140000</v>
      </c>
      <c r="H4102">
        <v>2</v>
      </c>
      <c r="I4102" t="s">
        <v>89</v>
      </c>
      <c r="J4102">
        <v>27.46</v>
      </c>
      <c r="K4102">
        <v>0</v>
      </c>
      <c r="L4102">
        <v>3</v>
      </c>
      <c r="M4102" t="s">
        <v>6362</v>
      </c>
      <c r="N4102">
        <v>6</v>
      </c>
      <c r="O4102">
        <v>8</v>
      </c>
      <c r="P4102">
        <v>139800.48000000001</v>
      </c>
      <c r="Q4102">
        <v>95329.65</v>
      </c>
      <c r="R4102">
        <v>420</v>
      </c>
      <c r="S4102">
        <v>1622</v>
      </c>
      <c r="T4102" t="s">
        <v>34</v>
      </c>
      <c r="U4102" t="s">
        <v>81</v>
      </c>
    </row>
    <row r="4103" spans="1:21">
      <c r="A4103" t="s">
        <v>6408</v>
      </c>
      <c r="B4103" t="s">
        <v>6404</v>
      </c>
      <c r="C4103" t="s">
        <v>41</v>
      </c>
      <c r="D4103">
        <v>152000</v>
      </c>
      <c r="E4103">
        <v>7000</v>
      </c>
      <c r="F4103">
        <v>152000</v>
      </c>
      <c r="H4103">
        <v>2</v>
      </c>
      <c r="I4103" t="s">
        <v>89</v>
      </c>
      <c r="J4103">
        <v>28.94</v>
      </c>
      <c r="K4103">
        <v>0</v>
      </c>
      <c r="L4103">
        <v>3</v>
      </c>
      <c r="M4103" t="s">
        <v>6362</v>
      </c>
      <c r="N4103">
        <v>6</v>
      </c>
      <c r="O4103">
        <v>8</v>
      </c>
      <c r="P4103">
        <v>139800.48000000001</v>
      </c>
      <c r="Q4103">
        <v>95329.65</v>
      </c>
      <c r="R4103">
        <v>420</v>
      </c>
      <c r="S4103">
        <v>1622</v>
      </c>
      <c r="T4103" t="s">
        <v>34</v>
      </c>
      <c r="U4103" t="s">
        <v>81</v>
      </c>
    </row>
    <row r="4104" spans="1:21">
      <c r="A4104" t="s">
        <v>6409</v>
      </c>
      <c r="B4104" t="s">
        <v>6404</v>
      </c>
      <c r="C4104" t="s">
        <v>41</v>
      </c>
      <c r="D4104">
        <v>153000</v>
      </c>
      <c r="E4104">
        <v>7000</v>
      </c>
      <c r="F4104">
        <v>153000</v>
      </c>
      <c r="H4104">
        <v>2</v>
      </c>
      <c r="I4104" t="s">
        <v>89</v>
      </c>
      <c r="J4104">
        <v>30.99</v>
      </c>
      <c r="K4104">
        <v>0</v>
      </c>
      <c r="L4104">
        <v>3</v>
      </c>
      <c r="M4104" t="s">
        <v>6362</v>
      </c>
      <c r="N4104">
        <v>6</v>
      </c>
      <c r="O4104">
        <v>8</v>
      </c>
      <c r="P4104">
        <v>139800.48000000001</v>
      </c>
      <c r="Q4104">
        <v>95329.65</v>
      </c>
      <c r="R4104">
        <v>420</v>
      </c>
      <c r="S4104">
        <v>1622</v>
      </c>
      <c r="T4104" t="s">
        <v>26</v>
      </c>
      <c r="U4104" t="s">
        <v>81</v>
      </c>
    </row>
    <row r="4105" spans="1:21">
      <c r="A4105" t="s">
        <v>6410</v>
      </c>
      <c r="B4105" t="s">
        <v>6404</v>
      </c>
      <c r="C4105" t="s">
        <v>41</v>
      </c>
      <c r="D4105">
        <v>124000</v>
      </c>
      <c r="E4105">
        <v>7000</v>
      </c>
      <c r="F4105">
        <v>124000</v>
      </c>
      <c r="H4105">
        <v>3</v>
      </c>
      <c r="I4105" t="s">
        <v>89</v>
      </c>
      <c r="J4105">
        <v>21.14</v>
      </c>
      <c r="K4105">
        <v>0</v>
      </c>
      <c r="L4105">
        <v>3</v>
      </c>
      <c r="M4105" t="s">
        <v>6362</v>
      </c>
      <c r="N4105">
        <v>6</v>
      </c>
      <c r="O4105">
        <v>8</v>
      </c>
      <c r="P4105">
        <v>139800.48000000001</v>
      </c>
      <c r="Q4105">
        <v>95329.65</v>
      </c>
      <c r="R4105">
        <v>420</v>
      </c>
      <c r="S4105">
        <v>1622</v>
      </c>
      <c r="T4105" t="s">
        <v>34</v>
      </c>
      <c r="U4105" t="s">
        <v>81</v>
      </c>
    </row>
    <row r="4106" spans="1:21">
      <c r="A4106" t="s">
        <v>6411</v>
      </c>
      <c r="B4106" t="s">
        <v>6404</v>
      </c>
      <c r="C4106" t="s">
        <v>41</v>
      </c>
      <c r="D4106">
        <v>153000</v>
      </c>
      <c r="E4106">
        <v>7000</v>
      </c>
      <c r="F4106">
        <v>153000</v>
      </c>
      <c r="H4106">
        <v>3</v>
      </c>
      <c r="I4106" t="s">
        <v>89</v>
      </c>
      <c r="J4106">
        <v>30.96</v>
      </c>
      <c r="K4106">
        <v>0</v>
      </c>
      <c r="L4106">
        <v>3</v>
      </c>
      <c r="M4106" t="s">
        <v>6362</v>
      </c>
      <c r="N4106">
        <v>6</v>
      </c>
      <c r="O4106">
        <v>8</v>
      </c>
      <c r="P4106">
        <v>139800.48000000001</v>
      </c>
      <c r="Q4106">
        <v>95329.65</v>
      </c>
      <c r="R4106">
        <v>420</v>
      </c>
      <c r="S4106">
        <v>1622</v>
      </c>
      <c r="T4106" t="s">
        <v>26</v>
      </c>
      <c r="U4106" t="s">
        <v>81</v>
      </c>
    </row>
    <row r="4107" spans="1:21">
      <c r="A4107" t="s">
        <v>6412</v>
      </c>
      <c r="B4107" t="s">
        <v>6413</v>
      </c>
      <c r="C4107" t="s">
        <v>709</v>
      </c>
      <c r="D4107">
        <v>95000</v>
      </c>
      <c r="E4107">
        <v>2000</v>
      </c>
      <c r="H4107">
        <v>1</v>
      </c>
      <c r="I4107" t="s">
        <v>89</v>
      </c>
      <c r="J4107">
        <v>24.84</v>
      </c>
      <c r="K4107">
        <v>11</v>
      </c>
      <c r="L4107">
        <v>3</v>
      </c>
      <c r="M4107" t="s">
        <v>6362</v>
      </c>
      <c r="N4107">
        <v>5</v>
      </c>
      <c r="O4107">
        <v>6.67</v>
      </c>
      <c r="P4107">
        <v>139800.48000000001</v>
      </c>
      <c r="Q4107">
        <v>95329.65</v>
      </c>
      <c r="R4107">
        <v>420</v>
      </c>
      <c r="S4107">
        <v>1622</v>
      </c>
      <c r="T4107" t="s">
        <v>34</v>
      </c>
      <c r="U4107" t="s">
        <v>90</v>
      </c>
    </row>
    <row r="4108" spans="1:21">
      <c r="A4108" t="s">
        <v>6414</v>
      </c>
      <c r="B4108" t="s">
        <v>6415</v>
      </c>
      <c r="C4108" t="s">
        <v>1890</v>
      </c>
      <c r="D4108">
        <v>118000</v>
      </c>
      <c r="E4108">
        <v>5000</v>
      </c>
      <c r="F4108">
        <v>118000</v>
      </c>
      <c r="G4108">
        <v>118000</v>
      </c>
      <c r="H4108">
        <v>2</v>
      </c>
      <c r="I4108" t="s">
        <v>89</v>
      </c>
      <c r="J4108">
        <v>32.78</v>
      </c>
      <c r="K4108">
        <v>19</v>
      </c>
      <c r="L4108">
        <v>2</v>
      </c>
      <c r="M4108" t="s">
        <v>6362</v>
      </c>
      <c r="N4108">
        <v>6</v>
      </c>
      <c r="O4108">
        <v>8</v>
      </c>
      <c r="P4108">
        <v>139800.48000000001</v>
      </c>
      <c r="Q4108">
        <v>95329.65</v>
      </c>
      <c r="R4108">
        <v>420</v>
      </c>
      <c r="S4108">
        <v>1622</v>
      </c>
      <c r="T4108" t="s">
        <v>26</v>
      </c>
      <c r="U4108" t="s">
        <v>90</v>
      </c>
    </row>
    <row r="4109" spans="1:21">
      <c r="A4109" t="s">
        <v>6416</v>
      </c>
      <c r="B4109" t="s">
        <v>6417</v>
      </c>
      <c r="C4109" t="s">
        <v>104</v>
      </c>
      <c r="D4109">
        <v>70000</v>
      </c>
      <c r="E4109">
        <v>3000</v>
      </c>
      <c r="F4109">
        <v>70000</v>
      </c>
      <c r="G4109">
        <v>70000</v>
      </c>
      <c r="H4109">
        <v>1</v>
      </c>
      <c r="I4109" t="s">
        <v>89</v>
      </c>
      <c r="J4109">
        <v>23</v>
      </c>
      <c r="K4109">
        <v>21</v>
      </c>
      <c r="L4109">
        <v>2</v>
      </c>
      <c r="M4109" t="s">
        <v>6362</v>
      </c>
      <c r="N4109">
        <v>7</v>
      </c>
      <c r="O4109">
        <v>8.33</v>
      </c>
      <c r="P4109">
        <v>139800.48000000001</v>
      </c>
      <c r="Q4109">
        <v>95329.65</v>
      </c>
      <c r="R4109">
        <v>420</v>
      </c>
      <c r="S4109">
        <v>1622</v>
      </c>
      <c r="T4109" t="s">
        <v>34</v>
      </c>
      <c r="U4109" t="s">
        <v>27</v>
      </c>
    </row>
    <row r="4110" spans="1:21">
      <c r="A4110" t="s">
        <v>6418</v>
      </c>
      <c r="B4110" t="s">
        <v>6419</v>
      </c>
      <c r="C4110" t="s">
        <v>3025</v>
      </c>
      <c r="D4110">
        <v>65000</v>
      </c>
      <c r="E4110">
        <v>3000</v>
      </c>
      <c r="G4110">
        <v>65000</v>
      </c>
      <c r="H4110">
        <v>2</v>
      </c>
      <c r="I4110" t="s">
        <v>89</v>
      </c>
      <c r="J4110">
        <v>9.77</v>
      </c>
      <c r="K4110">
        <v>12</v>
      </c>
      <c r="L4110">
        <v>2</v>
      </c>
      <c r="M4110" t="s">
        <v>6362</v>
      </c>
      <c r="N4110">
        <v>7</v>
      </c>
      <c r="O4110">
        <v>11</v>
      </c>
      <c r="P4110">
        <v>139800.48000000001</v>
      </c>
      <c r="Q4110">
        <v>95329.65</v>
      </c>
      <c r="R4110">
        <v>420</v>
      </c>
      <c r="S4110">
        <v>1622</v>
      </c>
      <c r="T4110" t="s">
        <v>231</v>
      </c>
      <c r="U4110" t="s">
        <v>90</v>
      </c>
    </row>
    <row r="4111" spans="1:21">
      <c r="A4111" t="s">
        <v>6420</v>
      </c>
      <c r="B4111" t="s">
        <v>6421</v>
      </c>
      <c r="C4111" t="s">
        <v>709</v>
      </c>
      <c r="D4111">
        <v>128000</v>
      </c>
      <c r="E4111">
        <v>20000</v>
      </c>
      <c r="F4111">
        <v>128000</v>
      </c>
      <c r="G4111">
        <v>128000</v>
      </c>
      <c r="H4111">
        <v>1</v>
      </c>
      <c r="I4111" t="s">
        <v>89</v>
      </c>
      <c r="J4111">
        <v>31.68</v>
      </c>
      <c r="K4111">
        <v>0</v>
      </c>
      <c r="L4111">
        <v>4</v>
      </c>
      <c r="M4111" t="s">
        <v>6362</v>
      </c>
      <c r="N4111">
        <v>6</v>
      </c>
      <c r="O4111">
        <v>8</v>
      </c>
      <c r="P4111">
        <v>139800.48000000001</v>
      </c>
      <c r="Q4111">
        <v>95329.65</v>
      </c>
      <c r="R4111">
        <v>420</v>
      </c>
      <c r="S4111">
        <v>1622</v>
      </c>
      <c r="T4111" t="s">
        <v>26</v>
      </c>
      <c r="U4111" t="s">
        <v>81</v>
      </c>
    </row>
    <row r="4112" spans="1:21">
      <c r="A4112" t="s">
        <v>6422</v>
      </c>
      <c r="B4112" t="s">
        <v>6421</v>
      </c>
      <c r="C4112" t="s">
        <v>709</v>
      </c>
      <c r="D4112">
        <v>135000</v>
      </c>
      <c r="E4112">
        <v>10000</v>
      </c>
      <c r="F4112">
        <v>135000</v>
      </c>
      <c r="G4112">
        <v>135000</v>
      </c>
      <c r="H4112">
        <v>1</v>
      </c>
      <c r="I4112" t="s">
        <v>89</v>
      </c>
      <c r="J4112">
        <v>31.68</v>
      </c>
      <c r="K4112">
        <v>0</v>
      </c>
      <c r="L4112">
        <v>4</v>
      </c>
      <c r="M4112" t="s">
        <v>6362</v>
      </c>
      <c r="N4112">
        <v>6</v>
      </c>
      <c r="O4112">
        <v>8</v>
      </c>
      <c r="P4112">
        <v>139800.48000000001</v>
      </c>
      <c r="Q4112">
        <v>95329.65</v>
      </c>
      <c r="R4112">
        <v>420</v>
      </c>
      <c r="S4112">
        <v>1622</v>
      </c>
      <c r="T4112" t="s">
        <v>26</v>
      </c>
      <c r="U4112" t="s">
        <v>81</v>
      </c>
    </row>
    <row r="4113" spans="1:21">
      <c r="A4113" t="s">
        <v>6423</v>
      </c>
      <c r="B4113" t="s">
        <v>6421</v>
      </c>
      <c r="C4113" t="s">
        <v>709</v>
      </c>
      <c r="D4113">
        <v>145000</v>
      </c>
      <c r="E4113">
        <v>10000</v>
      </c>
      <c r="F4113">
        <v>145000</v>
      </c>
      <c r="G4113">
        <v>145000</v>
      </c>
      <c r="H4113">
        <v>1</v>
      </c>
      <c r="I4113" t="s">
        <v>89</v>
      </c>
      <c r="J4113">
        <v>31.68</v>
      </c>
      <c r="K4113">
        <v>0</v>
      </c>
      <c r="L4113">
        <v>4</v>
      </c>
      <c r="M4113" t="s">
        <v>6362</v>
      </c>
      <c r="N4113">
        <v>6</v>
      </c>
      <c r="O4113">
        <v>8</v>
      </c>
      <c r="P4113">
        <v>139800.48000000001</v>
      </c>
      <c r="Q4113">
        <v>95329.65</v>
      </c>
      <c r="R4113">
        <v>420</v>
      </c>
      <c r="S4113">
        <v>1622</v>
      </c>
      <c r="T4113" t="s">
        <v>26</v>
      </c>
      <c r="U4113" t="s">
        <v>81</v>
      </c>
    </row>
    <row r="4114" spans="1:21">
      <c r="A4114" t="s">
        <v>6424</v>
      </c>
      <c r="B4114" t="s">
        <v>6421</v>
      </c>
      <c r="C4114" t="s">
        <v>709</v>
      </c>
      <c r="D4114">
        <v>129000</v>
      </c>
      <c r="E4114">
        <v>20000</v>
      </c>
      <c r="F4114">
        <v>129000</v>
      </c>
      <c r="G4114">
        <v>129000</v>
      </c>
      <c r="H4114">
        <v>2</v>
      </c>
      <c r="I4114" t="s">
        <v>89</v>
      </c>
      <c r="J4114">
        <v>31.68</v>
      </c>
      <c r="K4114">
        <v>0</v>
      </c>
      <c r="L4114">
        <v>4</v>
      </c>
      <c r="M4114" t="s">
        <v>6362</v>
      </c>
      <c r="N4114">
        <v>6</v>
      </c>
      <c r="O4114">
        <v>8</v>
      </c>
      <c r="P4114">
        <v>139800.48000000001</v>
      </c>
      <c r="Q4114">
        <v>95329.65</v>
      </c>
      <c r="R4114">
        <v>420</v>
      </c>
      <c r="S4114">
        <v>1622</v>
      </c>
      <c r="T4114" t="s">
        <v>26</v>
      </c>
      <c r="U4114" t="s">
        <v>81</v>
      </c>
    </row>
    <row r="4115" spans="1:21">
      <c r="A4115" t="s">
        <v>6425</v>
      </c>
      <c r="B4115" t="s">
        <v>6421</v>
      </c>
      <c r="C4115" t="s">
        <v>709</v>
      </c>
      <c r="D4115">
        <v>155000</v>
      </c>
      <c r="E4115">
        <v>10000</v>
      </c>
      <c r="F4115">
        <v>155000</v>
      </c>
      <c r="G4115">
        <v>155000</v>
      </c>
      <c r="H4115">
        <v>2</v>
      </c>
      <c r="I4115" t="s">
        <v>89</v>
      </c>
      <c r="J4115">
        <v>31.68</v>
      </c>
      <c r="K4115">
        <v>0</v>
      </c>
      <c r="L4115">
        <v>4</v>
      </c>
      <c r="M4115" t="s">
        <v>6362</v>
      </c>
      <c r="N4115">
        <v>6</v>
      </c>
      <c r="O4115">
        <v>8</v>
      </c>
      <c r="P4115">
        <v>139800.48000000001</v>
      </c>
      <c r="Q4115">
        <v>95329.65</v>
      </c>
      <c r="R4115">
        <v>420</v>
      </c>
      <c r="S4115">
        <v>1622</v>
      </c>
      <c r="T4115" t="s">
        <v>26</v>
      </c>
      <c r="U4115" t="s">
        <v>81</v>
      </c>
    </row>
    <row r="4116" spans="1:21">
      <c r="A4116" t="s">
        <v>6426</v>
      </c>
      <c r="B4116" t="s">
        <v>6421</v>
      </c>
      <c r="C4116" t="s">
        <v>709</v>
      </c>
      <c r="D4116">
        <v>130000</v>
      </c>
      <c r="E4116">
        <v>20000</v>
      </c>
      <c r="F4116">
        <v>130000</v>
      </c>
      <c r="G4116">
        <v>130000</v>
      </c>
      <c r="H4116">
        <v>3</v>
      </c>
      <c r="I4116" t="s">
        <v>89</v>
      </c>
      <c r="J4116">
        <v>31.68</v>
      </c>
      <c r="K4116">
        <v>0</v>
      </c>
      <c r="L4116">
        <v>4</v>
      </c>
      <c r="M4116" t="s">
        <v>6362</v>
      </c>
      <c r="N4116">
        <v>6</v>
      </c>
      <c r="O4116">
        <v>8</v>
      </c>
      <c r="P4116">
        <v>139800.48000000001</v>
      </c>
      <c r="Q4116">
        <v>95329.65</v>
      </c>
      <c r="R4116">
        <v>420</v>
      </c>
      <c r="S4116">
        <v>1622</v>
      </c>
      <c r="T4116" t="s">
        <v>26</v>
      </c>
      <c r="U4116" t="s">
        <v>81</v>
      </c>
    </row>
    <row r="4117" spans="1:21">
      <c r="A4117" t="s">
        <v>6427</v>
      </c>
      <c r="B4117" t="s">
        <v>6421</v>
      </c>
      <c r="C4117" t="s">
        <v>709</v>
      </c>
      <c r="D4117">
        <v>155000</v>
      </c>
      <c r="E4117">
        <v>10000</v>
      </c>
      <c r="F4117">
        <v>155000</v>
      </c>
      <c r="G4117">
        <v>155000</v>
      </c>
      <c r="H4117">
        <v>3</v>
      </c>
      <c r="I4117" t="s">
        <v>89</v>
      </c>
      <c r="J4117">
        <v>31.68</v>
      </c>
      <c r="K4117">
        <v>0</v>
      </c>
      <c r="L4117">
        <v>4</v>
      </c>
      <c r="M4117" t="s">
        <v>6362</v>
      </c>
      <c r="N4117">
        <v>6</v>
      </c>
      <c r="O4117">
        <v>8</v>
      </c>
      <c r="P4117">
        <v>139800.48000000001</v>
      </c>
      <c r="Q4117">
        <v>95329.65</v>
      </c>
      <c r="R4117">
        <v>420</v>
      </c>
      <c r="S4117">
        <v>1622</v>
      </c>
      <c r="T4117" t="s">
        <v>26</v>
      </c>
      <c r="U4117" t="s">
        <v>81</v>
      </c>
    </row>
    <row r="4118" spans="1:21">
      <c r="A4118" t="s">
        <v>6428</v>
      </c>
      <c r="B4118" t="s">
        <v>6421</v>
      </c>
      <c r="C4118" t="s">
        <v>709</v>
      </c>
      <c r="D4118">
        <v>145000</v>
      </c>
      <c r="E4118">
        <v>20000</v>
      </c>
      <c r="F4118">
        <v>145000</v>
      </c>
      <c r="G4118">
        <v>145000</v>
      </c>
      <c r="H4118">
        <v>4</v>
      </c>
      <c r="I4118" t="s">
        <v>89</v>
      </c>
      <c r="J4118">
        <v>31.68</v>
      </c>
      <c r="K4118">
        <v>0</v>
      </c>
      <c r="L4118">
        <v>4</v>
      </c>
      <c r="M4118" t="s">
        <v>6362</v>
      </c>
      <c r="N4118">
        <v>6</v>
      </c>
      <c r="O4118">
        <v>8</v>
      </c>
      <c r="P4118">
        <v>139800.48000000001</v>
      </c>
      <c r="Q4118">
        <v>95329.65</v>
      </c>
      <c r="R4118">
        <v>420</v>
      </c>
      <c r="S4118">
        <v>1622</v>
      </c>
      <c r="T4118" t="s">
        <v>26</v>
      </c>
      <c r="U4118" t="s">
        <v>81</v>
      </c>
    </row>
    <row r="4119" spans="1:21">
      <c r="A4119" t="s">
        <v>6429</v>
      </c>
      <c r="B4119" t="s">
        <v>6421</v>
      </c>
      <c r="C4119" t="s">
        <v>709</v>
      </c>
      <c r="D4119">
        <v>140000</v>
      </c>
      <c r="E4119">
        <v>20000</v>
      </c>
      <c r="F4119">
        <v>140000</v>
      </c>
      <c r="G4119">
        <v>140000</v>
      </c>
      <c r="H4119">
        <v>4</v>
      </c>
      <c r="I4119" t="s">
        <v>89</v>
      </c>
      <c r="J4119">
        <v>31.68</v>
      </c>
      <c r="K4119">
        <v>0</v>
      </c>
      <c r="L4119">
        <v>4</v>
      </c>
      <c r="M4119" t="s">
        <v>6362</v>
      </c>
      <c r="N4119">
        <v>6</v>
      </c>
      <c r="O4119">
        <v>8</v>
      </c>
      <c r="P4119">
        <v>139800.48000000001</v>
      </c>
      <c r="Q4119">
        <v>95329.65</v>
      </c>
      <c r="R4119">
        <v>420</v>
      </c>
      <c r="S4119">
        <v>1622</v>
      </c>
      <c r="T4119" t="s">
        <v>26</v>
      </c>
      <c r="U4119" t="s">
        <v>81</v>
      </c>
    </row>
    <row r="4120" spans="1:21">
      <c r="A4120" t="s">
        <v>6430</v>
      </c>
      <c r="B4120" t="s">
        <v>6431</v>
      </c>
      <c r="C4120" t="s">
        <v>104</v>
      </c>
      <c r="D4120">
        <v>69000</v>
      </c>
      <c r="E4120">
        <v>5000</v>
      </c>
      <c r="F4120">
        <v>69000</v>
      </c>
      <c r="G4120">
        <v>69000</v>
      </c>
      <c r="H4120">
        <v>1</v>
      </c>
      <c r="I4120" t="s">
        <v>89</v>
      </c>
      <c r="J4120">
        <v>20.74</v>
      </c>
      <c r="K4120">
        <v>37</v>
      </c>
      <c r="L4120">
        <v>3</v>
      </c>
      <c r="M4120" t="s">
        <v>6362</v>
      </c>
      <c r="N4120">
        <v>4</v>
      </c>
      <c r="O4120">
        <v>7.67</v>
      </c>
      <c r="P4120">
        <v>139800.48000000001</v>
      </c>
      <c r="Q4120">
        <v>95329.65</v>
      </c>
      <c r="R4120">
        <v>420</v>
      </c>
      <c r="S4120">
        <v>1622</v>
      </c>
      <c r="T4120" t="s">
        <v>34</v>
      </c>
      <c r="U4120" t="s">
        <v>49</v>
      </c>
    </row>
    <row r="4121" spans="1:21">
      <c r="A4121" t="s">
        <v>6432</v>
      </c>
      <c r="B4121" t="s">
        <v>6433</v>
      </c>
      <c r="C4121" t="s">
        <v>3059</v>
      </c>
      <c r="D4121">
        <v>75000</v>
      </c>
      <c r="E4121">
        <v>3000</v>
      </c>
      <c r="G4121">
        <v>75000</v>
      </c>
      <c r="H4121">
        <v>3</v>
      </c>
      <c r="I4121" t="s">
        <v>89</v>
      </c>
      <c r="J4121">
        <v>18</v>
      </c>
      <c r="K4121">
        <v>34</v>
      </c>
      <c r="L4121">
        <v>3</v>
      </c>
      <c r="M4121" t="s">
        <v>6362</v>
      </c>
      <c r="N4121">
        <v>3</v>
      </c>
      <c r="O4121">
        <v>4</v>
      </c>
      <c r="P4121">
        <v>139800.48000000001</v>
      </c>
      <c r="Q4121">
        <v>95329.65</v>
      </c>
      <c r="R4121">
        <v>420</v>
      </c>
      <c r="S4121">
        <v>1622</v>
      </c>
      <c r="T4121" t="s">
        <v>108</v>
      </c>
      <c r="U4121" t="s">
        <v>49</v>
      </c>
    </row>
    <row r="4122" spans="1:21">
      <c r="A4122" t="s">
        <v>6434</v>
      </c>
      <c r="B4122" t="s">
        <v>6435</v>
      </c>
      <c r="C4122" t="s">
        <v>104</v>
      </c>
      <c r="D4122">
        <v>45000</v>
      </c>
      <c r="F4122">
        <v>45000</v>
      </c>
      <c r="G4122">
        <v>45000</v>
      </c>
      <c r="H4122">
        <v>2</v>
      </c>
      <c r="I4122" t="s">
        <v>89</v>
      </c>
      <c r="J4122">
        <v>18</v>
      </c>
      <c r="K4122">
        <v>46</v>
      </c>
      <c r="L4122">
        <v>3</v>
      </c>
      <c r="M4122" t="s">
        <v>6362</v>
      </c>
      <c r="N4122">
        <v>6</v>
      </c>
      <c r="O4122">
        <v>10</v>
      </c>
      <c r="P4122">
        <v>139800.48000000001</v>
      </c>
      <c r="Q4122">
        <v>95329.65</v>
      </c>
      <c r="R4122">
        <v>420</v>
      </c>
      <c r="S4122">
        <v>1622</v>
      </c>
      <c r="T4122" t="s">
        <v>108</v>
      </c>
      <c r="U4122" t="s">
        <v>42</v>
      </c>
    </row>
    <row r="4123" spans="1:21">
      <c r="A4123" t="s">
        <v>6436</v>
      </c>
      <c r="B4123" t="s">
        <v>6437</v>
      </c>
      <c r="C4123" t="s">
        <v>709</v>
      </c>
      <c r="D4123">
        <v>70000</v>
      </c>
      <c r="F4123">
        <v>70000</v>
      </c>
      <c r="H4123">
        <v>1</v>
      </c>
      <c r="I4123" t="s">
        <v>89</v>
      </c>
      <c r="J4123">
        <v>17.3</v>
      </c>
      <c r="K4123">
        <v>35</v>
      </c>
      <c r="L4123">
        <v>3</v>
      </c>
      <c r="M4123" t="s">
        <v>6362</v>
      </c>
      <c r="N4123">
        <v>3</v>
      </c>
      <c r="O4123">
        <v>6</v>
      </c>
      <c r="P4123">
        <v>139800.48000000001</v>
      </c>
      <c r="Q4123">
        <v>95329.65</v>
      </c>
      <c r="R4123">
        <v>420</v>
      </c>
      <c r="S4123">
        <v>1622</v>
      </c>
      <c r="T4123" t="s">
        <v>108</v>
      </c>
      <c r="U4123" t="s">
        <v>49</v>
      </c>
    </row>
    <row r="4124" spans="1:21">
      <c r="A4124" t="s">
        <v>6438</v>
      </c>
      <c r="B4124" t="s">
        <v>6439</v>
      </c>
      <c r="C4124" t="s">
        <v>3025</v>
      </c>
      <c r="D4124">
        <v>107000</v>
      </c>
      <c r="F4124">
        <v>107000</v>
      </c>
      <c r="G4124">
        <v>107000</v>
      </c>
      <c r="H4124">
        <v>3</v>
      </c>
      <c r="I4124" t="s">
        <v>89</v>
      </c>
      <c r="J4124">
        <v>25.23</v>
      </c>
      <c r="K4124">
        <v>12</v>
      </c>
      <c r="L4124">
        <v>10</v>
      </c>
      <c r="M4124" t="s">
        <v>6362</v>
      </c>
      <c r="N4124">
        <v>8</v>
      </c>
      <c r="O4124">
        <v>11.67</v>
      </c>
      <c r="P4124">
        <v>139800.48000000001</v>
      </c>
      <c r="Q4124">
        <v>95329.65</v>
      </c>
      <c r="R4124">
        <v>420</v>
      </c>
      <c r="S4124">
        <v>1622</v>
      </c>
      <c r="T4124" t="s">
        <v>34</v>
      </c>
      <c r="U4124" t="s">
        <v>90</v>
      </c>
    </row>
    <row r="4125" spans="1:21">
      <c r="A4125" t="s">
        <v>6440</v>
      </c>
      <c r="B4125" t="s">
        <v>6439</v>
      </c>
      <c r="C4125" t="s">
        <v>3025</v>
      </c>
      <c r="D4125">
        <v>107000</v>
      </c>
      <c r="F4125">
        <v>107000</v>
      </c>
      <c r="G4125">
        <v>107000</v>
      </c>
      <c r="H4125">
        <v>3</v>
      </c>
      <c r="I4125" t="s">
        <v>89</v>
      </c>
      <c r="J4125">
        <v>25.29</v>
      </c>
      <c r="K4125">
        <v>12</v>
      </c>
      <c r="L4125">
        <v>10</v>
      </c>
      <c r="M4125" t="s">
        <v>6362</v>
      </c>
      <c r="N4125">
        <v>8</v>
      </c>
      <c r="O4125">
        <v>11.67</v>
      </c>
      <c r="P4125">
        <v>139800.48000000001</v>
      </c>
      <c r="Q4125">
        <v>95329.65</v>
      </c>
      <c r="R4125">
        <v>420</v>
      </c>
      <c r="S4125">
        <v>1622</v>
      </c>
      <c r="T4125" t="s">
        <v>34</v>
      </c>
      <c r="U4125" t="s">
        <v>90</v>
      </c>
    </row>
    <row r="4126" spans="1:21">
      <c r="A4126" t="s">
        <v>6441</v>
      </c>
      <c r="B4126" t="s">
        <v>6439</v>
      </c>
      <c r="C4126" t="s">
        <v>3025</v>
      </c>
      <c r="D4126">
        <v>108000</v>
      </c>
      <c r="F4126">
        <v>108000</v>
      </c>
      <c r="G4126">
        <v>108000</v>
      </c>
      <c r="H4126">
        <v>4</v>
      </c>
      <c r="I4126" t="s">
        <v>89</v>
      </c>
      <c r="J4126">
        <v>25.23</v>
      </c>
      <c r="K4126">
        <v>12</v>
      </c>
      <c r="L4126">
        <v>10</v>
      </c>
      <c r="M4126" t="s">
        <v>6362</v>
      </c>
      <c r="N4126">
        <v>8</v>
      </c>
      <c r="O4126">
        <v>11.67</v>
      </c>
      <c r="P4126">
        <v>139800.48000000001</v>
      </c>
      <c r="Q4126">
        <v>95329.65</v>
      </c>
      <c r="R4126">
        <v>420</v>
      </c>
      <c r="S4126">
        <v>1622</v>
      </c>
      <c r="T4126" t="s">
        <v>34</v>
      </c>
      <c r="U4126" t="s">
        <v>90</v>
      </c>
    </row>
    <row r="4127" spans="1:21">
      <c r="A4127" t="s">
        <v>6442</v>
      </c>
      <c r="B4127" t="s">
        <v>6443</v>
      </c>
      <c r="C4127" t="s">
        <v>1890</v>
      </c>
      <c r="D4127">
        <v>90000</v>
      </c>
      <c r="E4127">
        <v>6000</v>
      </c>
      <c r="G4127">
        <v>90000</v>
      </c>
      <c r="H4127">
        <v>2</v>
      </c>
      <c r="I4127" t="s">
        <v>89</v>
      </c>
      <c r="J4127">
        <v>23.59</v>
      </c>
      <c r="K4127">
        <v>22</v>
      </c>
      <c r="L4127">
        <v>2</v>
      </c>
      <c r="M4127" t="s">
        <v>6362</v>
      </c>
      <c r="N4127">
        <v>7</v>
      </c>
      <c r="O4127">
        <v>10.33</v>
      </c>
      <c r="P4127">
        <v>139800.48000000001</v>
      </c>
      <c r="Q4127">
        <v>95329.65</v>
      </c>
      <c r="R4127">
        <v>420</v>
      </c>
      <c r="S4127">
        <v>1622</v>
      </c>
      <c r="T4127" t="s">
        <v>34</v>
      </c>
      <c r="U4127" t="s">
        <v>27</v>
      </c>
    </row>
    <row r="4128" spans="1:21">
      <c r="A4128" t="s">
        <v>6444</v>
      </c>
      <c r="B4128" t="s">
        <v>6445</v>
      </c>
      <c r="C4128" t="s">
        <v>41</v>
      </c>
      <c r="D4128">
        <v>85000</v>
      </c>
      <c r="E4128">
        <v>5000</v>
      </c>
      <c r="F4128">
        <v>85000</v>
      </c>
      <c r="G4128">
        <v>85000</v>
      </c>
      <c r="H4128">
        <v>3</v>
      </c>
      <c r="I4128" t="s">
        <v>89</v>
      </c>
      <c r="J4128">
        <v>22.15</v>
      </c>
      <c r="K4128">
        <v>30</v>
      </c>
      <c r="L4128">
        <v>4</v>
      </c>
      <c r="M4128" t="s">
        <v>6362</v>
      </c>
      <c r="N4128">
        <v>4</v>
      </c>
      <c r="O4128">
        <v>9</v>
      </c>
      <c r="P4128">
        <v>139800.48000000001</v>
      </c>
      <c r="Q4128">
        <v>95329.65</v>
      </c>
      <c r="R4128">
        <v>420</v>
      </c>
      <c r="S4128">
        <v>1622</v>
      </c>
      <c r="T4128" t="s">
        <v>34</v>
      </c>
      <c r="U4128" t="s">
        <v>27</v>
      </c>
    </row>
    <row r="4129" spans="1:21">
      <c r="A4129" t="s">
        <v>6446</v>
      </c>
      <c r="B4129" t="s">
        <v>6447</v>
      </c>
      <c r="C4129" t="s">
        <v>1890</v>
      </c>
      <c r="D4129">
        <v>95000</v>
      </c>
      <c r="E4129">
        <v>5000</v>
      </c>
      <c r="G4129">
        <v>190000</v>
      </c>
      <c r="H4129">
        <v>3</v>
      </c>
      <c r="I4129" t="s">
        <v>89</v>
      </c>
      <c r="J4129">
        <v>25.6</v>
      </c>
      <c r="K4129">
        <v>23</v>
      </c>
      <c r="L4129">
        <v>4</v>
      </c>
      <c r="M4129" t="s">
        <v>6362</v>
      </c>
      <c r="N4129">
        <v>3</v>
      </c>
      <c r="O4129">
        <v>7.33</v>
      </c>
      <c r="P4129">
        <v>139800.48000000001</v>
      </c>
      <c r="Q4129">
        <v>95329.65</v>
      </c>
      <c r="R4129">
        <v>420</v>
      </c>
      <c r="S4129">
        <v>1622</v>
      </c>
      <c r="T4129" t="s">
        <v>34</v>
      </c>
      <c r="U4129" t="s">
        <v>27</v>
      </c>
    </row>
    <row r="4130" spans="1:21">
      <c r="A4130" t="s">
        <v>6448</v>
      </c>
      <c r="B4130" t="s">
        <v>6449</v>
      </c>
      <c r="C4130" t="s">
        <v>3025</v>
      </c>
      <c r="D4130">
        <v>125000</v>
      </c>
      <c r="F4130">
        <v>125000</v>
      </c>
      <c r="G4130">
        <v>125000</v>
      </c>
      <c r="H4130">
        <v>4</v>
      </c>
      <c r="I4130" t="s">
        <v>89</v>
      </c>
      <c r="J4130">
        <v>23.64</v>
      </c>
      <c r="K4130">
        <v>15</v>
      </c>
      <c r="L4130">
        <v>9</v>
      </c>
      <c r="M4130" t="s">
        <v>6362</v>
      </c>
      <c r="N4130">
        <v>8</v>
      </c>
      <c r="O4130">
        <v>10</v>
      </c>
      <c r="P4130">
        <v>139800.48000000001</v>
      </c>
      <c r="Q4130">
        <v>95329.65</v>
      </c>
      <c r="R4130">
        <v>420</v>
      </c>
      <c r="S4130">
        <v>1622</v>
      </c>
      <c r="T4130" t="s">
        <v>34</v>
      </c>
      <c r="U4130" t="s">
        <v>90</v>
      </c>
    </row>
    <row r="4131" spans="1:21">
      <c r="A4131" t="s">
        <v>6450</v>
      </c>
      <c r="B4131" t="s">
        <v>6451</v>
      </c>
      <c r="C4131" t="s">
        <v>709</v>
      </c>
      <c r="D4131">
        <v>87000</v>
      </c>
      <c r="E4131">
        <v>5000</v>
      </c>
      <c r="F4131">
        <v>87000</v>
      </c>
      <c r="G4131">
        <v>87000</v>
      </c>
      <c r="H4131">
        <v>5</v>
      </c>
      <c r="I4131" t="s">
        <v>89</v>
      </c>
      <c r="J4131">
        <v>23.1</v>
      </c>
      <c r="K4131">
        <v>31</v>
      </c>
      <c r="L4131">
        <v>13</v>
      </c>
      <c r="M4131" t="s">
        <v>6362</v>
      </c>
      <c r="N4131">
        <v>4</v>
      </c>
      <c r="O4131">
        <v>6.67</v>
      </c>
      <c r="P4131">
        <v>139800.48000000001</v>
      </c>
      <c r="Q4131">
        <v>95329.65</v>
      </c>
      <c r="R4131">
        <v>420</v>
      </c>
      <c r="S4131">
        <v>1622</v>
      </c>
      <c r="T4131" t="s">
        <v>34</v>
      </c>
      <c r="U4131" t="s">
        <v>49</v>
      </c>
    </row>
    <row r="4132" spans="1:21">
      <c r="A4132" t="s">
        <v>6452</v>
      </c>
      <c r="B4132" t="s">
        <v>6453</v>
      </c>
      <c r="C4132" t="s">
        <v>709</v>
      </c>
      <c r="D4132">
        <v>74000</v>
      </c>
      <c r="E4132">
        <v>6500</v>
      </c>
      <c r="G4132">
        <v>74000</v>
      </c>
      <c r="H4132">
        <v>1</v>
      </c>
      <c r="I4132" t="s">
        <v>89</v>
      </c>
      <c r="J4132">
        <v>21</v>
      </c>
      <c r="K4132">
        <v>40</v>
      </c>
      <c r="L4132">
        <v>2</v>
      </c>
      <c r="M4132" t="s">
        <v>6362</v>
      </c>
      <c r="N4132">
        <v>4</v>
      </c>
      <c r="O4132">
        <v>6.33</v>
      </c>
      <c r="P4132">
        <v>139800.48000000001</v>
      </c>
      <c r="Q4132">
        <v>95329.65</v>
      </c>
      <c r="R4132">
        <v>420</v>
      </c>
      <c r="S4132">
        <v>1622</v>
      </c>
      <c r="T4132" t="s">
        <v>34</v>
      </c>
      <c r="U4132" t="s">
        <v>49</v>
      </c>
    </row>
    <row r="4133" spans="1:21">
      <c r="A4133" t="s">
        <v>6454</v>
      </c>
      <c r="B4133" t="s">
        <v>6455</v>
      </c>
      <c r="C4133" t="s">
        <v>3025</v>
      </c>
      <c r="D4133">
        <v>125000</v>
      </c>
      <c r="E4133">
        <v>8000</v>
      </c>
      <c r="F4133">
        <v>125000</v>
      </c>
      <c r="G4133">
        <v>125000</v>
      </c>
      <c r="H4133">
        <v>1</v>
      </c>
      <c r="I4133" t="s">
        <v>89</v>
      </c>
      <c r="J4133">
        <v>25.1</v>
      </c>
      <c r="K4133">
        <v>11</v>
      </c>
      <c r="L4133">
        <v>10</v>
      </c>
      <c r="M4133" t="s">
        <v>6362</v>
      </c>
      <c r="N4133">
        <v>4</v>
      </c>
      <c r="O4133">
        <v>7</v>
      </c>
      <c r="P4133">
        <v>139800.48000000001</v>
      </c>
      <c r="Q4133">
        <v>95329.65</v>
      </c>
      <c r="R4133">
        <v>420</v>
      </c>
      <c r="S4133">
        <v>1622</v>
      </c>
      <c r="T4133" t="s">
        <v>34</v>
      </c>
      <c r="U4133" t="s">
        <v>90</v>
      </c>
    </row>
    <row r="4134" spans="1:21">
      <c r="A4134" t="s">
        <v>6456</v>
      </c>
      <c r="B4134" t="s">
        <v>6455</v>
      </c>
      <c r="C4134" t="s">
        <v>3025</v>
      </c>
      <c r="D4134">
        <v>128000</v>
      </c>
      <c r="E4134">
        <v>8000</v>
      </c>
      <c r="F4134">
        <v>128000</v>
      </c>
      <c r="G4134">
        <v>128000</v>
      </c>
      <c r="H4134">
        <v>3</v>
      </c>
      <c r="I4134" t="s">
        <v>89</v>
      </c>
      <c r="J4134">
        <v>25.1</v>
      </c>
      <c r="K4134">
        <v>11</v>
      </c>
      <c r="L4134">
        <v>10</v>
      </c>
      <c r="M4134" t="s">
        <v>6362</v>
      </c>
      <c r="N4134">
        <v>4</v>
      </c>
      <c r="O4134">
        <v>7</v>
      </c>
      <c r="P4134">
        <v>139800.48000000001</v>
      </c>
      <c r="Q4134">
        <v>95329.65</v>
      </c>
      <c r="R4134">
        <v>420</v>
      </c>
      <c r="S4134">
        <v>1622</v>
      </c>
      <c r="T4134" t="s">
        <v>34</v>
      </c>
      <c r="U4134" t="s">
        <v>90</v>
      </c>
    </row>
    <row r="4135" spans="1:21">
      <c r="A4135" t="s">
        <v>6457</v>
      </c>
      <c r="B4135" t="s">
        <v>6458</v>
      </c>
      <c r="C4135" t="s">
        <v>3195</v>
      </c>
      <c r="D4135">
        <v>109000</v>
      </c>
      <c r="E4135">
        <v>6000</v>
      </c>
      <c r="G4135">
        <v>218000</v>
      </c>
      <c r="H4135">
        <v>1</v>
      </c>
      <c r="I4135" t="s">
        <v>89</v>
      </c>
      <c r="J4135">
        <v>26.6</v>
      </c>
      <c r="K4135">
        <v>8</v>
      </c>
      <c r="L4135">
        <v>3</v>
      </c>
      <c r="M4135" t="s">
        <v>6362</v>
      </c>
      <c r="N4135">
        <v>3</v>
      </c>
      <c r="O4135">
        <v>8.33</v>
      </c>
      <c r="P4135">
        <v>139800.48000000001</v>
      </c>
      <c r="Q4135">
        <v>95329.65</v>
      </c>
      <c r="R4135">
        <v>420</v>
      </c>
      <c r="S4135">
        <v>1622</v>
      </c>
      <c r="T4135" t="s">
        <v>34</v>
      </c>
      <c r="U4135" t="s">
        <v>31</v>
      </c>
    </row>
    <row r="4136" spans="1:21">
      <c r="A4136" t="s">
        <v>6459</v>
      </c>
      <c r="B4136" t="s">
        <v>6460</v>
      </c>
      <c r="C4136" t="s">
        <v>709</v>
      </c>
      <c r="D4136">
        <v>60000</v>
      </c>
      <c r="E4136">
        <v>2000</v>
      </c>
      <c r="F4136">
        <v>60000</v>
      </c>
      <c r="G4136">
        <v>60000</v>
      </c>
      <c r="H4136">
        <v>1</v>
      </c>
      <c r="I4136" t="s">
        <v>89</v>
      </c>
      <c r="J4136">
        <v>15.75</v>
      </c>
      <c r="K4136">
        <v>33</v>
      </c>
      <c r="L4136">
        <v>2</v>
      </c>
      <c r="M4136" t="s">
        <v>6362</v>
      </c>
      <c r="N4136">
        <v>7</v>
      </c>
      <c r="O4136">
        <v>8</v>
      </c>
      <c r="P4136">
        <v>139800.48000000001</v>
      </c>
      <c r="Q4136">
        <v>95329.65</v>
      </c>
      <c r="R4136">
        <v>420</v>
      </c>
      <c r="S4136">
        <v>1622</v>
      </c>
      <c r="T4136" t="s">
        <v>108</v>
      </c>
      <c r="U4136" t="s">
        <v>49</v>
      </c>
    </row>
    <row r="4137" spans="1:21">
      <c r="A4137" t="s">
        <v>6461</v>
      </c>
      <c r="B4137" t="s">
        <v>6462</v>
      </c>
      <c r="C4137" t="s">
        <v>48</v>
      </c>
      <c r="D4137">
        <v>77000</v>
      </c>
      <c r="E4137">
        <v>10000</v>
      </c>
      <c r="G4137">
        <v>77000</v>
      </c>
      <c r="H4137">
        <v>1</v>
      </c>
      <c r="I4137" t="s">
        <v>89</v>
      </c>
      <c r="J4137">
        <v>23.13</v>
      </c>
      <c r="K4137">
        <v>23</v>
      </c>
      <c r="L4137">
        <v>5</v>
      </c>
      <c r="M4137" t="s">
        <v>6362</v>
      </c>
      <c r="N4137">
        <v>9</v>
      </c>
      <c r="O4137">
        <v>11.33</v>
      </c>
      <c r="P4137">
        <v>139800.48000000001</v>
      </c>
      <c r="Q4137">
        <v>95329.65</v>
      </c>
      <c r="R4137">
        <v>420</v>
      </c>
      <c r="S4137">
        <v>1622</v>
      </c>
      <c r="T4137" t="s">
        <v>34</v>
      </c>
      <c r="U4137" t="s">
        <v>27</v>
      </c>
    </row>
    <row r="4138" spans="1:21">
      <c r="A4138" t="s">
        <v>6463</v>
      </c>
      <c r="B4138" t="s">
        <v>6464</v>
      </c>
      <c r="C4138" t="s">
        <v>104</v>
      </c>
      <c r="D4138">
        <v>70000</v>
      </c>
      <c r="E4138">
        <v>2000</v>
      </c>
      <c r="F4138">
        <v>70000</v>
      </c>
      <c r="G4138">
        <v>70000</v>
      </c>
      <c r="H4138">
        <v>1</v>
      </c>
      <c r="I4138" t="s">
        <v>89</v>
      </c>
      <c r="J4138">
        <v>20.09</v>
      </c>
      <c r="K4138">
        <v>30</v>
      </c>
      <c r="L4138">
        <v>2</v>
      </c>
      <c r="M4138" t="s">
        <v>6362</v>
      </c>
      <c r="N4138">
        <v>3</v>
      </c>
      <c r="O4138">
        <v>6.33</v>
      </c>
      <c r="P4138">
        <v>139800.48000000001</v>
      </c>
      <c r="Q4138">
        <v>95329.65</v>
      </c>
      <c r="R4138">
        <v>420</v>
      </c>
      <c r="S4138">
        <v>1622</v>
      </c>
      <c r="T4138" t="s">
        <v>34</v>
      </c>
      <c r="U4138" t="s">
        <v>27</v>
      </c>
    </row>
    <row r="4139" spans="1:21">
      <c r="A4139" t="s">
        <v>6465</v>
      </c>
      <c r="B4139" t="s">
        <v>6466</v>
      </c>
      <c r="C4139" t="s">
        <v>1890</v>
      </c>
      <c r="D4139">
        <v>75000</v>
      </c>
      <c r="E4139">
        <v>3000</v>
      </c>
      <c r="G4139">
        <v>75000</v>
      </c>
      <c r="H4139">
        <v>1</v>
      </c>
      <c r="I4139" t="s">
        <v>89</v>
      </c>
      <c r="J4139">
        <v>18.63</v>
      </c>
      <c r="K4139">
        <v>22</v>
      </c>
      <c r="L4139">
        <v>3</v>
      </c>
      <c r="M4139" t="s">
        <v>6362</v>
      </c>
      <c r="N4139">
        <v>5</v>
      </c>
      <c r="O4139">
        <v>7</v>
      </c>
      <c r="P4139">
        <v>139800.48000000001</v>
      </c>
      <c r="Q4139">
        <v>95329.65</v>
      </c>
      <c r="R4139">
        <v>420</v>
      </c>
      <c r="S4139">
        <v>1622</v>
      </c>
      <c r="T4139" t="s">
        <v>108</v>
      </c>
      <c r="U4139" t="s">
        <v>27</v>
      </c>
    </row>
    <row r="4140" spans="1:21">
      <c r="A4140" t="s">
        <v>6467</v>
      </c>
      <c r="B4140" t="s">
        <v>6466</v>
      </c>
      <c r="C4140" t="s">
        <v>1890</v>
      </c>
      <c r="D4140">
        <v>77000</v>
      </c>
      <c r="E4140">
        <v>3000</v>
      </c>
      <c r="G4140">
        <v>77000</v>
      </c>
      <c r="H4140">
        <v>2</v>
      </c>
      <c r="I4140" t="s">
        <v>89</v>
      </c>
      <c r="J4140">
        <v>18.63</v>
      </c>
      <c r="K4140">
        <v>22</v>
      </c>
      <c r="L4140">
        <v>3</v>
      </c>
      <c r="M4140" t="s">
        <v>6362</v>
      </c>
      <c r="N4140">
        <v>5</v>
      </c>
      <c r="O4140">
        <v>7</v>
      </c>
      <c r="P4140">
        <v>139800.48000000001</v>
      </c>
      <c r="Q4140">
        <v>95329.65</v>
      </c>
      <c r="R4140">
        <v>420</v>
      </c>
      <c r="S4140">
        <v>1622</v>
      </c>
      <c r="T4140" t="s">
        <v>108</v>
      </c>
      <c r="U4140" t="s">
        <v>27</v>
      </c>
    </row>
    <row r="4141" spans="1:21">
      <c r="A4141" t="s">
        <v>6468</v>
      </c>
      <c r="B4141" t="s">
        <v>6466</v>
      </c>
      <c r="C4141" t="s">
        <v>1890</v>
      </c>
      <c r="D4141">
        <v>79000</v>
      </c>
      <c r="E4141">
        <v>3000</v>
      </c>
      <c r="G4141">
        <v>79000</v>
      </c>
      <c r="H4141">
        <v>2</v>
      </c>
      <c r="I4141" t="s">
        <v>89</v>
      </c>
      <c r="J4141">
        <v>22.78</v>
      </c>
      <c r="K4141">
        <v>22</v>
      </c>
      <c r="L4141">
        <v>3</v>
      </c>
      <c r="M4141" t="s">
        <v>6362</v>
      </c>
      <c r="N4141">
        <v>5</v>
      </c>
      <c r="O4141">
        <v>7</v>
      </c>
      <c r="P4141">
        <v>139800.48000000001</v>
      </c>
      <c r="Q4141">
        <v>95329.65</v>
      </c>
      <c r="R4141">
        <v>420</v>
      </c>
      <c r="S4141">
        <v>1622</v>
      </c>
      <c r="T4141" t="s">
        <v>34</v>
      </c>
      <c r="U4141" t="s">
        <v>27</v>
      </c>
    </row>
    <row r="4142" spans="1:21">
      <c r="A4142" t="s">
        <v>6469</v>
      </c>
      <c r="B4142" t="s">
        <v>6470</v>
      </c>
      <c r="C4142" t="s">
        <v>1890</v>
      </c>
      <c r="D4142">
        <v>99000</v>
      </c>
      <c r="E4142">
        <v>4000</v>
      </c>
      <c r="F4142">
        <v>99000</v>
      </c>
      <c r="G4142">
        <v>99000</v>
      </c>
      <c r="H4142">
        <v>1</v>
      </c>
      <c r="I4142" t="s">
        <v>89</v>
      </c>
      <c r="J4142">
        <v>25.47</v>
      </c>
      <c r="K4142">
        <v>12</v>
      </c>
      <c r="L4142">
        <v>4</v>
      </c>
      <c r="M4142" t="s">
        <v>6362</v>
      </c>
      <c r="N4142">
        <v>6</v>
      </c>
      <c r="O4142">
        <v>9.33</v>
      </c>
      <c r="P4142">
        <v>139800.48000000001</v>
      </c>
      <c r="Q4142">
        <v>95329.65</v>
      </c>
      <c r="R4142">
        <v>420</v>
      </c>
      <c r="S4142">
        <v>1622</v>
      </c>
      <c r="T4142" t="s">
        <v>34</v>
      </c>
      <c r="U4142" t="s">
        <v>90</v>
      </c>
    </row>
    <row r="4143" spans="1:21">
      <c r="A4143" t="s">
        <v>6471</v>
      </c>
      <c r="B4143" t="s">
        <v>6472</v>
      </c>
      <c r="C4143" t="s">
        <v>3059</v>
      </c>
      <c r="D4143">
        <v>90000</v>
      </c>
      <c r="E4143">
        <v>8000</v>
      </c>
      <c r="F4143">
        <v>90000</v>
      </c>
      <c r="G4143">
        <v>90000</v>
      </c>
      <c r="H4143">
        <v>3</v>
      </c>
      <c r="I4143" t="s">
        <v>89</v>
      </c>
      <c r="J4143">
        <v>20.02</v>
      </c>
      <c r="K4143">
        <v>20</v>
      </c>
      <c r="L4143">
        <v>9</v>
      </c>
      <c r="M4143" t="s">
        <v>6362</v>
      </c>
      <c r="N4143">
        <v>3</v>
      </c>
      <c r="O4143">
        <v>5.67</v>
      </c>
      <c r="P4143">
        <v>139800.48000000001</v>
      </c>
      <c r="Q4143">
        <v>95329.65</v>
      </c>
      <c r="R4143">
        <v>420</v>
      </c>
      <c r="S4143">
        <v>1622</v>
      </c>
      <c r="T4143" t="s">
        <v>34</v>
      </c>
      <c r="U4143" t="s">
        <v>90</v>
      </c>
    </row>
    <row r="4144" spans="1:21">
      <c r="A4144" t="s">
        <v>6473</v>
      </c>
      <c r="B4144" t="s">
        <v>6472</v>
      </c>
      <c r="C4144" t="s">
        <v>3059</v>
      </c>
      <c r="D4144">
        <v>93000</v>
      </c>
      <c r="E4144">
        <v>8000</v>
      </c>
      <c r="F4144">
        <v>93000</v>
      </c>
      <c r="G4144">
        <v>93000</v>
      </c>
      <c r="H4144">
        <v>4</v>
      </c>
      <c r="I4144" t="s">
        <v>89</v>
      </c>
      <c r="J4144">
        <v>20.02</v>
      </c>
      <c r="K4144">
        <v>20</v>
      </c>
      <c r="L4144">
        <v>9</v>
      </c>
      <c r="M4144" t="s">
        <v>6362</v>
      </c>
      <c r="N4144">
        <v>3</v>
      </c>
      <c r="O4144">
        <v>5.67</v>
      </c>
      <c r="P4144">
        <v>139800.48000000001</v>
      </c>
      <c r="Q4144">
        <v>95329.65</v>
      </c>
      <c r="R4144">
        <v>420</v>
      </c>
      <c r="S4144">
        <v>1622</v>
      </c>
      <c r="T4144" t="s">
        <v>34</v>
      </c>
      <c r="U4144" t="s">
        <v>90</v>
      </c>
    </row>
    <row r="4145" spans="1:21">
      <c r="A4145" t="s">
        <v>6474</v>
      </c>
      <c r="B4145" t="s">
        <v>6475</v>
      </c>
      <c r="C4145" t="s">
        <v>3195</v>
      </c>
      <c r="D4145">
        <v>62000</v>
      </c>
      <c r="E4145">
        <v>3000</v>
      </c>
      <c r="H4145">
        <v>2</v>
      </c>
      <c r="I4145" t="s">
        <v>89</v>
      </c>
      <c r="J4145">
        <v>12.37</v>
      </c>
      <c r="K4145">
        <v>39</v>
      </c>
      <c r="L4145">
        <v>2</v>
      </c>
      <c r="M4145" t="s">
        <v>6362</v>
      </c>
      <c r="N4145">
        <v>1</v>
      </c>
      <c r="O4145">
        <v>5.33</v>
      </c>
      <c r="P4145">
        <v>139800.48000000001</v>
      </c>
      <c r="Q4145">
        <v>95329.65</v>
      </c>
      <c r="R4145">
        <v>420</v>
      </c>
      <c r="S4145">
        <v>1622</v>
      </c>
      <c r="T4145" t="s">
        <v>108</v>
      </c>
      <c r="U4145" t="s">
        <v>49</v>
      </c>
    </row>
    <row r="4146" spans="1:21">
      <c r="A4146" t="s">
        <v>6476</v>
      </c>
      <c r="B4146" t="s">
        <v>6477</v>
      </c>
      <c r="C4146" t="s">
        <v>3195</v>
      </c>
      <c r="D4146">
        <v>80000</v>
      </c>
      <c r="E4146">
        <v>5500</v>
      </c>
      <c r="G4146">
        <v>80000</v>
      </c>
      <c r="H4146">
        <v>1</v>
      </c>
      <c r="I4146" t="s">
        <v>89</v>
      </c>
      <c r="J4146">
        <v>13.86</v>
      </c>
      <c r="K4146">
        <v>37</v>
      </c>
      <c r="L4146">
        <v>2</v>
      </c>
      <c r="M4146" t="s">
        <v>6362</v>
      </c>
      <c r="N4146">
        <v>5</v>
      </c>
      <c r="O4146">
        <v>7.67</v>
      </c>
      <c r="P4146">
        <v>139800.48000000001</v>
      </c>
      <c r="Q4146">
        <v>95329.65</v>
      </c>
      <c r="R4146">
        <v>420</v>
      </c>
      <c r="S4146">
        <v>1622</v>
      </c>
      <c r="T4146" t="s">
        <v>108</v>
      </c>
      <c r="U4146" t="s">
        <v>49</v>
      </c>
    </row>
    <row r="4147" spans="1:21">
      <c r="A4147" t="s">
        <v>6478</v>
      </c>
      <c r="B4147" t="s">
        <v>6477</v>
      </c>
      <c r="C4147" t="s">
        <v>3195</v>
      </c>
      <c r="D4147">
        <v>85000</v>
      </c>
      <c r="E4147">
        <v>5500</v>
      </c>
      <c r="G4147">
        <v>85000</v>
      </c>
      <c r="H4147">
        <v>2</v>
      </c>
      <c r="I4147" t="s">
        <v>89</v>
      </c>
      <c r="J4147">
        <v>15.09</v>
      </c>
      <c r="K4147">
        <v>37</v>
      </c>
      <c r="L4147">
        <v>2</v>
      </c>
      <c r="M4147" t="s">
        <v>6362</v>
      </c>
      <c r="N4147">
        <v>5</v>
      </c>
      <c r="O4147">
        <v>7.67</v>
      </c>
      <c r="P4147">
        <v>139800.48000000001</v>
      </c>
      <c r="Q4147">
        <v>95329.65</v>
      </c>
      <c r="R4147">
        <v>420</v>
      </c>
      <c r="S4147">
        <v>1622</v>
      </c>
      <c r="T4147" t="s">
        <v>108</v>
      </c>
      <c r="U4147" t="s">
        <v>49</v>
      </c>
    </row>
    <row r="4148" spans="1:21">
      <c r="A4148" t="s">
        <v>6479</v>
      </c>
      <c r="B4148" t="s">
        <v>6480</v>
      </c>
      <c r="C4148" t="s">
        <v>709</v>
      </c>
      <c r="D4148">
        <v>92000</v>
      </c>
      <c r="E4148">
        <v>15000</v>
      </c>
      <c r="H4148">
        <v>1</v>
      </c>
      <c r="I4148" t="s">
        <v>89</v>
      </c>
      <c r="J4148">
        <v>20.7</v>
      </c>
      <c r="K4148">
        <v>20</v>
      </c>
      <c r="L4148">
        <v>6</v>
      </c>
      <c r="M4148" t="s">
        <v>6362</v>
      </c>
      <c r="N4148">
        <v>3</v>
      </c>
      <c r="O4148">
        <v>5</v>
      </c>
      <c r="P4148">
        <v>139800.48000000001</v>
      </c>
      <c r="Q4148">
        <v>95329.65</v>
      </c>
      <c r="R4148">
        <v>420</v>
      </c>
      <c r="S4148">
        <v>1622</v>
      </c>
      <c r="T4148" t="s">
        <v>34</v>
      </c>
      <c r="U4148" t="s">
        <v>90</v>
      </c>
    </row>
    <row r="4149" spans="1:21">
      <c r="A4149" t="s">
        <v>6481</v>
      </c>
      <c r="B4149" t="s">
        <v>6480</v>
      </c>
      <c r="C4149" t="s">
        <v>709</v>
      </c>
      <c r="D4149">
        <v>98000</v>
      </c>
      <c r="E4149">
        <v>15000</v>
      </c>
      <c r="H4149">
        <v>1</v>
      </c>
      <c r="I4149" t="s">
        <v>89</v>
      </c>
      <c r="J4149">
        <v>20.7</v>
      </c>
      <c r="K4149">
        <v>20</v>
      </c>
      <c r="L4149">
        <v>6</v>
      </c>
      <c r="M4149" t="s">
        <v>6362</v>
      </c>
      <c r="N4149">
        <v>3</v>
      </c>
      <c r="O4149">
        <v>5</v>
      </c>
      <c r="P4149">
        <v>139800.48000000001</v>
      </c>
      <c r="Q4149">
        <v>95329.65</v>
      </c>
      <c r="R4149">
        <v>420</v>
      </c>
      <c r="S4149">
        <v>1622</v>
      </c>
      <c r="T4149" t="s">
        <v>34</v>
      </c>
      <c r="U4149" t="s">
        <v>90</v>
      </c>
    </row>
    <row r="4150" spans="1:21">
      <c r="A4150" t="s">
        <v>6482</v>
      </c>
      <c r="B4150" t="s">
        <v>6480</v>
      </c>
      <c r="C4150" t="s">
        <v>709</v>
      </c>
      <c r="D4150">
        <v>99000</v>
      </c>
      <c r="E4150">
        <v>10000</v>
      </c>
      <c r="H4150">
        <v>1</v>
      </c>
      <c r="I4150" t="s">
        <v>89</v>
      </c>
      <c r="J4150">
        <v>20.7</v>
      </c>
      <c r="K4150">
        <v>20</v>
      </c>
      <c r="L4150">
        <v>6</v>
      </c>
      <c r="M4150" t="s">
        <v>6362</v>
      </c>
      <c r="N4150">
        <v>3</v>
      </c>
      <c r="O4150">
        <v>5</v>
      </c>
      <c r="P4150">
        <v>139800.48000000001</v>
      </c>
      <c r="Q4150">
        <v>95329.65</v>
      </c>
      <c r="R4150">
        <v>420</v>
      </c>
      <c r="S4150">
        <v>1622</v>
      </c>
      <c r="T4150" t="s">
        <v>34</v>
      </c>
      <c r="U4150" t="s">
        <v>90</v>
      </c>
    </row>
    <row r="4151" spans="1:21">
      <c r="A4151" t="s">
        <v>6483</v>
      </c>
      <c r="B4151" t="s">
        <v>6480</v>
      </c>
      <c r="C4151" t="s">
        <v>709</v>
      </c>
      <c r="D4151">
        <v>107000</v>
      </c>
      <c r="E4151">
        <v>15000</v>
      </c>
      <c r="H4151">
        <v>3</v>
      </c>
      <c r="I4151" t="s">
        <v>89</v>
      </c>
      <c r="J4151">
        <v>23.5</v>
      </c>
      <c r="K4151">
        <v>20</v>
      </c>
      <c r="L4151">
        <v>6</v>
      </c>
      <c r="M4151" t="s">
        <v>6362</v>
      </c>
      <c r="N4151">
        <v>3</v>
      </c>
      <c r="O4151">
        <v>5</v>
      </c>
      <c r="P4151">
        <v>139800.48000000001</v>
      </c>
      <c r="Q4151">
        <v>95329.65</v>
      </c>
      <c r="R4151">
        <v>420</v>
      </c>
      <c r="S4151">
        <v>1622</v>
      </c>
      <c r="T4151" t="s">
        <v>34</v>
      </c>
      <c r="U4151" t="s">
        <v>90</v>
      </c>
    </row>
    <row r="4152" spans="1:21">
      <c r="A4152" t="s">
        <v>6484</v>
      </c>
      <c r="B4152" t="s">
        <v>6480</v>
      </c>
      <c r="C4152" t="s">
        <v>709</v>
      </c>
      <c r="D4152">
        <v>109000</v>
      </c>
      <c r="E4152">
        <v>15000</v>
      </c>
      <c r="H4152">
        <v>3</v>
      </c>
      <c r="I4152" t="s">
        <v>89</v>
      </c>
      <c r="J4152">
        <v>23.5</v>
      </c>
      <c r="K4152">
        <v>20</v>
      </c>
      <c r="L4152">
        <v>6</v>
      </c>
      <c r="M4152" t="s">
        <v>6362</v>
      </c>
      <c r="N4152">
        <v>3</v>
      </c>
      <c r="O4152">
        <v>5</v>
      </c>
      <c r="P4152">
        <v>139800.48000000001</v>
      </c>
      <c r="Q4152">
        <v>95329.65</v>
      </c>
      <c r="R4152">
        <v>420</v>
      </c>
      <c r="S4152">
        <v>1622</v>
      </c>
      <c r="T4152" t="s">
        <v>34</v>
      </c>
      <c r="U4152" t="s">
        <v>90</v>
      </c>
    </row>
    <row r="4153" spans="1:21">
      <c r="A4153" t="s">
        <v>6485</v>
      </c>
      <c r="B4153" t="s">
        <v>6486</v>
      </c>
      <c r="C4153" t="s">
        <v>104</v>
      </c>
      <c r="D4153">
        <v>82000</v>
      </c>
      <c r="F4153">
        <v>82000</v>
      </c>
      <c r="G4153">
        <v>82000</v>
      </c>
      <c r="H4153">
        <v>3</v>
      </c>
      <c r="I4153" t="s">
        <v>89</v>
      </c>
      <c r="J4153">
        <v>21</v>
      </c>
      <c r="K4153">
        <v>46</v>
      </c>
      <c r="L4153">
        <v>4</v>
      </c>
      <c r="M4153" t="s">
        <v>6362</v>
      </c>
      <c r="N4153">
        <v>1</v>
      </c>
      <c r="O4153">
        <v>6.33</v>
      </c>
      <c r="P4153">
        <v>139800.48000000001</v>
      </c>
      <c r="Q4153">
        <v>95329.65</v>
      </c>
      <c r="R4153">
        <v>420</v>
      </c>
      <c r="S4153">
        <v>1622</v>
      </c>
      <c r="T4153" t="s">
        <v>34</v>
      </c>
      <c r="U4153" t="s">
        <v>42</v>
      </c>
    </row>
    <row r="4154" spans="1:21">
      <c r="A4154" t="s">
        <v>6487</v>
      </c>
      <c r="B4154" t="s">
        <v>6488</v>
      </c>
      <c r="C4154" t="s">
        <v>3025</v>
      </c>
      <c r="D4154">
        <v>107000</v>
      </c>
      <c r="F4154">
        <v>107000</v>
      </c>
      <c r="G4154">
        <v>107000</v>
      </c>
      <c r="H4154">
        <v>3</v>
      </c>
      <c r="I4154" t="s">
        <v>89</v>
      </c>
      <c r="J4154">
        <v>25.23</v>
      </c>
      <c r="K4154">
        <v>12</v>
      </c>
      <c r="L4154">
        <v>10</v>
      </c>
      <c r="M4154" t="s">
        <v>6362</v>
      </c>
      <c r="N4154">
        <v>7</v>
      </c>
      <c r="O4154">
        <v>10</v>
      </c>
      <c r="P4154">
        <v>139800.48000000001</v>
      </c>
      <c r="Q4154">
        <v>95329.65</v>
      </c>
      <c r="R4154">
        <v>420</v>
      </c>
      <c r="S4154">
        <v>1622</v>
      </c>
      <c r="T4154" t="s">
        <v>34</v>
      </c>
      <c r="U4154" t="s">
        <v>90</v>
      </c>
    </row>
    <row r="4155" spans="1:21">
      <c r="A4155" t="s">
        <v>6489</v>
      </c>
      <c r="B4155" t="s">
        <v>6488</v>
      </c>
      <c r="C4155" t="s">
        <v>3025</v>
      </c>
      <c r="D4155">
        <v>107000</v>
      </c>
      <c r="F4155">
        <v>107000</v>
      </c>
      <c r="G4155">
        <v>107000</v>
      </c>
      <c r="H4155">
        <v>3</v>
      </c>
      <c r="I4155" t="s">
        <v>89</v>
      </c>
      <c r="J4155">
        <v>25.29</v>
      </c>
      <c r="K4155">
        <v>12</v>
      </c>
      <c r="L4155">
        <v>10</v>
      </c>
      <c r="M4155" t="s">
        <v>6362</v>
      </c>
      <c r="N4155">
        <v>7</v>
      </c>
      <c r="O4155">
        <v>10</v>
      </c>
      <c r="P4155">
        <v>139800.48000000001</v>
      </c>
      <c r="Q4155">
        <v>95329.65</v>
      </c>
      <c r="R4155">
        <v>420</v>
      </c>
      <c r="S4155">
        <v>1622</v>
      </c>
      <c r="T4155" t="s">
        <v>34</v>
      </c>
      <c r="U4155" t="s">
        <v>90</v>
      </c>
    </row>
    <row r="4156" spans="1:21">
      <c r="A4156" t="s">
        <v>6490</v>
      </c>
      <c r="B4156" t="s">
        <v>6488</v>
      </c>
      <c r="C4156" t="s">
        <v>3025</v>
      </c>
      <c r="D4156">
        <v>108000</v>
      </c>
      <c r="F4156">
        <v>108000</v>
      </c>
      <c r="G4156">
        <v>108000</v>
      </c>
      <c r="H4156">
        <v>4</v>
      </c>
      <c r="I4156" t="s">
        <v>89</v>
      </c>
      <c r="J4156">
        <v>25.23</v>
      </c>
      <c r="K4156">
        <v>12</v>
      </c>
      <c r="L4156">
        <v>10</v>
      </c>
      <c r="M4156" t="s">
        <v>6362</v>
      </c>
      <c r="N4156">
        <v>7</v>
      </c>
      <c r="O4156">
        <v>10</v>
      </c>
      <c r="P4156">
        <v>139800.48000000001</v>
      </c>
      <c r="Q4156">
        <v>95329.65</v>
      </c>
      <c r="R4156">
        <v>420</v>
      </c>
      <c r="S4156">
        <v>1622</v>
      </c>
      <c r="T4156" t="s">
        <v>34</v>
      </c>
      <c r="U4156" t="s">
        <v>90</v>
      </c>
    </row>
    <row r="4157" spans="1:21">
      <c r="A4157" t="s">
        <v>6491</v>
      </c>
      <c r="B4157" t="s">
        <v>6492</v>
      </c>
      <c r="C4157" t="s">
        <v>1768</v>
      </c>
      <c r="D4157">
        <v>134000</v>
      </c>
      <c r="E4157">
        <v>8000</v>
      </c>
      <c r="F4157">
        <v>134000</v>
      </c>
      <c r="G4157">
        <v>134000</v>
      </c>
      <c r="H4157">
        <v>10</v>
      </c>
      <c r="I4157" t="s">
        <v>89</v>
      </c>
      <c r="J4157">
        <v>25.64</v>
      </c>
      <c r="K4157">
        <v>17</v>
      </c>
      <c r="L4157">
        <v>10</v>
      </c>
      <c r="M4157" t="s">
        <v>6362</v>
      </c>
      <c r="N4157">
        <v>9</v>
      </c>
      <c r="O4157">
        <v>10.33</v>
      </c>
      <c r="P4157">
        <v>139800.48000000001</v>
      </c>
      <c r="Q4157">
        <v>95329.65</v>
      </c>
      <c r="R4157">
        <v>420</v>
      </c>
      <c r="S4157">
        <v>1622</v>
      </c>
      <c r="T4157" t="s">
        <v>34</v>
      </c>
      <c r="U4157" t="s">
        <v>90</v>
      </c>
    </row>
    <row r="4158" spans="1:21">
      <c r="A4158" t="s">
        <v>6493</v>
      </c>
      <c r="B4158" t="s">
        <v>6492</v>
      </c>
      <c r="C4158" t="s">
        <v>1768</v>
      </c>
      <c r="D4158">
        <v>142000</v>
      </c>
      <c r="E4158">
        <v>8000</v>
      </c>
      <c r="F4158">
        <v>142000</v>
      </c>
      <c r="G4158">
        <v>142000</v>
      </c>
      <c r="H4158">
        <v>7</v>
      </c>
      <c r="I4158" t="s">
        <v>89</v>
      </c>
      <c r="J4158">
        <v>27.67</v>
      </c>
      <c r="K4158">
        <v>17</v>
      </c>
      <c r="L4158">
        <v>10</v>
      </c>
      <c r="M4158" t="s">
        <v>6362</v>
      </c>
      <c r="N4158">
        <v>9</v>
      </c>
      <c r="O4158">
        <v>10.33</v>
      </c>
      <c r="P4158">
        <v>139800.48000000001</v>
      </c>
      <c r="Q4158">
        <v>95329.65</v>
      </c>
      <c r="R4158">
        <v>420</v>
      </c>
      <c r="S4158">
        <v>1622</v>
      </c>
      <c r="T4158" t="s">
        <v>34</v>
      </c>
      <c r="U4158" t="s">
        <v>90</v>
      </c>
    </row>
    <row r="4159" spans="1:21">
      <c r="A4159" t="s">
        <v>6494</v>
      </c>
      <c r="B4159" t="s">
        <v>6495</v>
      </c>
      <c r="C4159" t="s">
        <v>3025</v>
      </c>
      <c r="D4159">
        <v>65000</v>
      </c>
      <c r="E4159">
        <v>3000</v>
      </c>
      <c r="G4159">
        <v>65000</v>
      </c>
      <c r="H4159">
        <v>2</v>
      </c>
      <c r="I4159" t="s">
        <v>89</v>
      </c>
      <c r="J4159">
        <v>9.77</v>
      </c>
      <c r="K4159">
        <v>12</v>
      </c>
      <c r="L4159">
        <v>2</v>
      </c>
      <c r="M4159" t="s">
        <v>6362</v>
      </c>
      <c r="N4159">
        <v>7</v>
      </c>
      <c r="O4159">
        <v>11</v>
      </c>
      <c r="P4159">
        <v>139800.48000000001</v>
      </c>
      <c r="Q4159">
        <v>95329.65</v>
      </c>
      <c r="R4159">
        <v>420</v>
      </c>
      <c r="S4159">
        <v>1622</v>
      </c>
      <c r="T4159" t="s">
        <v>231</v>
      </c>
      <c r="U4159" t="s">
        <v>90</v>
      </c>
    </row>
    <row r="4160" spans="1:21">
      <c r="A4160" t="s">
        <v>6496</v>
      </c>
      <c r="B4160" t="s">
        <v>6497</v>
      </c>
      <c r="C4160" t="s">
        <v>41</v>
      </c>
      <c r="D4160">
        <v>82000</v>
      </c>
      <c r="E4160">
        <v>5000</v>
      </c>
      <c r="F4160">
        <v>82000</v>
      </c>
      <c r="G4160">
        <v>82000</v>
      </c>
      <c r="H4160">
        <v>2</v>
      </c>
      <c r="I4160" t="s">
        <v>89</v>
      </c>
      <c r="J4160">
        <v>20.58</v>
      </c>
      <c r="K4160">
        <v>16</v>
      </c>
      <c r="L4160">
        <v>2</v>
      </c>
      <c r="M4160" t="s">
        <v>6362</v>
      </c>
      <c r="N4160">
        <v>7</v>
      </c>
      <c r="O4160">
        <v>9.67</v>
      </c>
      <c r="P4160">
        <v>139800.48000000001</v>
      </c>
      <c r="Q4160">
        <v>95329.65</v>
      </c>
      <c r="R4160">
        <v>420</v>
      </c>
      <c r="S4160">
        <v>1622</v>
      </c>
      <c r="T4160" t="s">
        <v>34</v>
      </c>
      <c r="U4160" t="s">
        <v>90</v>
      </c>
    </row>
    <row r="4161" spans="1:21">
      <c r="A4161" t="s">
        <v>6498</v>
      </c>
      <c r="B4161" t="s">
        <v>6499</v>
      </c>
      <c r="C4161" t="s">
        <v>104</v>
      </c>
      <c r="D4161">
        <v>70000</v>
      </c>
      <c r="E4161">
        <v>3000</v>
      </c>
      <c r="F4161">
        <v>70000</v>
      </c>
      <c r="G4161">
        <v>70000</v>
      </c>
      <c r="H4161">
        <v>1</v>
      </c>
      <c r="I4161" t="s">
        <v>89</v>
      </c>
      <c r="J4161">
        <v>23</v>
      </c>
      <c r="K4161">
        <v>21</v>
      </c>
      <c r="L4161">
        <v>2</v>
      </c>
      <c r="M4161" t="s">
        <v>6362</v>
      </c>
      <c r="N4161">
        <v>4</v>
      </c>
      <c r="O4161">
        <v>6.33</v>
      </c>
      <c r="P4161">
        <v>139800.48000000001</v>
      </c>
      <c r="Q4161">
        <v>95329.65</v>
      </c>
      <c r="R4161">
        <v>420</v>
      </c>
      <c r="S4161">
        <v>1622</v>
      </c>
      <c r="T4161" t="s">
        <v>34</v>
      </c>
      <c r="U4161" t="s">
        <v>27</v>
      </c>
    </row>
    <row r="4162" spans="1:21">
      <c r="A4162" t="s">
        <v>6500</v>
      </c>
      <c r="B4162" t="s">
        <v>6501</v>
      </c>
      <c r="C4162" t="s">
        <v>1890</v>
      </c>
      <c r="D4162">
        <v>90000</v>
      </c>
      <c r="E4162">
        <v>6000</v>
      </c>
      <c r="G4162">
        <v>90000</v>
      </c>
      <c r="H4162">
        <v>2</v>
      </c>
      <c r="I4162" t="s">
        <v>89</v>
      </c>
      <c r="J4162">
        <v>23.59</v>
      </c>
      <c r="K4162">
        <v>22</v>
      </c>
      <c r="L4162">
        <v>2</v>
      </c>
      <c r="M4162" t="s">
        <v>6362</v>
      </c>
      <c r="N4162">
        <v>7</v>
      </c>
      <c r="O4162">
        <v>9.67</v>
      </c>
      <c r="P4162">
        <v>139800.48000000001</v>
      </c>
      <c r="Q4162">
        <v>95329.65</v>
      </c>
      <c r="R4162">
        <v>420</v>
      </c>
      <c r="S4162">
        <v>1622</v>
      </c>
      <c r="T4162" t="s">
        <v>34</v>
      </c>
      <c r="U4162" t="s">
        <v>27</v>
      </c>
    </row>
    <row r="4163" spans="1:21">
      <c r="A4163" t="s">
        <v>6502</v>
      </c>
      <c r="B4163" t="s">
        <v>6503</v>
      </c>
      <c r="C4163" t="s">
        <v>104</v>
      </c>
      <c r="D4163">
        <v>70000</v>
      </c>
      <c r="E4163">
        <v>2000</v>
      </c>
      <c r="F4163">
        <v>70000</v>
      </c>
      <c r="G4163">
        <v>70000</v>
      </c>
      <c r="H4163">
        <v>1</v>
      </c>
      <c r="I4163" t="s">
        <v>89</v>
      </c>
      <c r="J4163">
        <v>20.09</v>
      </c>
      <c r="K4163">
        <v>30</v>
      </c>
      <c r="L4163">
        <v>2</v>
      </c>
      <c r="M4163" t="s">
        <v>6362</v>
      </c>
      <c r="N4163">
        <v>3</v>
      </c>
      <c r="O4163">
        <v>5</v>
      </c>
      <c r="P4163">
        <v>139800.48000000001</v>
      </c>
      <c r="Q4163">
        <v>95329.65</v>
      </c>
      <c r="R4163">
        <v>420</v>
      </c>
      <c r="S4163">
        <v>1622</v>
      </c>
      <c r="T4163" t="s">
        <v>34</v>
      </c>
      <c r="U4163" t="s">
        <v>27</v>
      </c>
    </row>
    <row r="4164" spans="1:21">
      <c r="A4164" t="s">
        <v>6504</v>
      </c>
      <c r="B4164" t="s">
        <v>6505</v>
      </c>
      <c r="C4164" t="s">
        <v>104</v>
      </c>
      <c r="D4164">
        <v>65000</v>
      </c>
      <c r="E4164">
        <v>2000</v>
      </c>
      <c r="H4164">
        <v>2</v>
      </c>
      <c r="I4164" t="s">
        <v>89</v>
      </c>
      <c r="J4164">
        <v>21.18</v>
      </c>
      <c r="K4164">
        <v>38</v>
      </c>
      <c r="L4164">
        <v>2</v>
      </c>
      <c r="M4164" t="s">
        <v>6362</v>
      </c>
      <c r="N4164">
        <v>3</v>
      </c>
      <c r="O4164">
        <v>5.33</v>
      </c>
      <c r="P4164">
        <v>139800.48000000001</v>
      </c>
      <c r="Q4164">
        <v>95329.65</v>
      </c>
      <c r="R4164">
        <v>420</v>
      </c>
      <c r="S4164">
        <v>1622</v>
      </c>
      <c r="T4164" t="s">
        <v>34</v>
      </c>
      <c r="U4164" t="s">
        <v>49</v>
      </c>
    </row>
    <row r="4165" spans="1:21">
      <c r="A4165" t="s">
        <v>6506</v>
      </c>
      <c r="B4165" t="s">
        <v>6507</v>
      </c>
      <c r="C4165" t="s">
        <v>3025</v>
      </c>
      <c r="D4165">
        <v>100000</v>
      </c>
      <c r="E4165">
        <v>5000</v>
      </c>
      <c r="F4165">
        <v>100000</v>
      </c>
      <c r="G4165">
        <v>100000</v>
      </c>
      <c r="H4165">
        <v>1</v>
      </c>
      <c r="I4165" t="s">
        <v>89</v>
      </c>
      <c r="J4165">
        <v>25.01</v>
      </c>
      <c r="K4165">
        <v>3</v>
      </c>
      <c r="L4165">
        <v>2</v>
      </c>
      <c r="M4165" t="s">
        <v>6362</v>
      </c>
      <c r="N4165">
        <v>6</v>
      </c>
      <c r="O4165">
        <v>8.67</v>
      </c>
      <c r="P4165">
        <v>139800.48000000001</v>
      </c>
      <c r="Q4165">
        <v>95329.65</v>
      </c>
      <c r="R4165">
        <v>420</v>
      </c>
      <c r="S4165">
        <v>1622</v>
      </c>
      <c r="T4165" t="s">
        <v>34</v>
      </c>
      <c r="U4165" t="s">
        <v>31</v>
      </c>
    </row>
    <row r="4166" spans="1:21">
      <c r="A4166" t="s">
        <v>6508</v>
      </c>
      <c r="B4166" t="s">
        <v>6509</v>
      </c>
      <c r="C4166" t="s">
        <v>3195</v>
      </c>
      <c r="D4166">
        <v>82000</v>
      </c>
      <c r="F4166">
        <v>164000</v>
      </c>
      <c r="G4166">
        <v>82000</v>
      </c>
      <c r="H4166">
        <v>2</v>
      </c>
      <c r="I4166" t="s">
        <v>89</v>
      </c>
      <c r="J4166">
        <v>20</v>
      </c>
      <c r="K4166">
        <v>48</v>
      </c>
      <c r="L4166">
        <v>2</v>
      </c>
      <c r="M4166" t="s">
        <v>6362</v>
      </c>
      <c r="N4166">
        <v>3</v>
      </c>
      <c r="O4166">
        <v>7.33</v>
      </c>
      <c r="P4166">
        <v>139800.48000000001</v>
      </c>
      <c r="Q4166">
        <v>95329.65</v>
      </c>
      <c r="R4166">
        <v>420</v>
      </c>
      <c r="S4166">
        <v>1622</v>
      </c>
      <c r="T4166" t="s">
        <v>34</v>
      </c>
      <c r="U4166" t="s">
        <v>42</v>
      </c>
    </row>
    <row r="4167" spans="1:21">
      <c r="A4167" t="s">
        <v>6510</v>
      </c>
      <c r="B4167" t="s">
        <v>6511</v>
      </c>
      <c r="C4167" t="s">
        <v>41</v>
      </c>
      <c r="D4167">
        <v>124000</v>
      </c>
      <c r="E4167">
        <v>7000</v>
      </c>
      <c r="F4167">
        <v>124000</v>
      </c>
      <c r="H4167">
        <v>1</v>
      </c>
      <c r="I4167" t="s">
        <v>89</v>
      </c>
      <c r="J4167">
        <v>23.6</v>
      </c>
      <c r="K4167">
        <v>0</v>
      </c>
      <c r="L4167">
        <v>3</v>
      </c>
      <c r="M4167" t="s">
        <v>6362</v>
      </c>
      <c r="N4167">
        <v>6</v>
      </c>
      <c r="O4167">
        <v>8</v>
      </c>
      <c r="P4167">
        <v>139800.48000000001</v>
      </c>
      <c r="Q4167">
        <v>95329.65</v>
      </c>
      <c r="R4167">
        <v>420</v>
      </c>
      <c r="S4167">
        <v>1622</v>
      </c>
      <c r="T4167" t="s">
        <v>34</v>
      </c>
      <c r="U4167" t="s">
        <v>81</v>
      </c>
    </row>
    <row r="4168" spans="1:21">
      <c r="A4168" t="s">
        <v>6512</v>
      </c>
      <c r="B4168" t="s">
        <v>6511</v>
      </c>
      <c r="C4168" t="s">
        <v>41</v>
      </c>
      <c r="D4168">
        <v>127000</v>
      </c>
      <c r="E4168">
        <v>7000</v>
      </c>
      <c r="F4168">
        <v>127000</v>
      </c>
      <c r="H4168">
        <v>1</v>
      </c>
      <c r="I4168" t="s">
        <v>89</v>
      </c>
      <c r="J4168">
        <v>23.6</v>
      </c>
      <c r="K4168">
        <v>0</v>
      </c>
      <c r="L4168">
        <v>3</v>
      </c>
      <c r="M4168" t="s">
        <v>6362</v>
      </c>
      <c r="N4168">
        <v>6</v>
      </c>
      <c r="O4168">
        <v>8</v>
      </c>
      <c r="P4168">
        <v>139800.48000000001</v>
      </c>
      <c r="Q4168">
        <v>95329.65</v>
      </c>
      <c r="R4168">
        <v>420</v>
      </c>
      <c r="S4168">
        <v>1622</v>
      </c>
      <c r="T4168" t="s">
        <v>34</v>
      </c>
      <c r="U4168" t="s">
        <v>81</v>
      </c>
    </row>
    <row r="4169" spans="1:21">
      <c r="A4169" t="s">
        <v>6513</v>
      </c>
      <c r="B4169" t="s">
        <v>6511</v>
      </c>
      <c r="C4169" t="s">
        <v>41</v>
      </c>
      <c r="D4169">
        <v>137000</v>
      </c>
      <c r="E4169">
        <v>7000</v>
      </c>
      <c r="F4169">
        <v>137000</v>
      </c>
      <c r="H4169">
        <v>1</v>
      </c>
      <c r="I4169" t="s">
        <v>89</v>
      </c>
      <c r="J4169">
        <v>27.63</v>
      </c>
      <c r="K4169">
        <v>0</v>
      </c>
      <c r="L4169">
        <v>3</v>
      </c>
      <c r="M4169" t="s">
        <v>6362</v>
      </c>
      <c r="N4169">
        <v>6</v>
      </c>
      <c r="O4169">
        <v>8</v>
      </c>
      <c r="P4169">
        <v>139800.48000000001</v>
      </c>
      <c r="Q4169">
        <v>95329.65</v>
      </c>
      <c r="R4169">
        <v>420</v>
      </c>
      <c r="S4169">
        <v>1622</v>
      </c>
      <c r="T4169" t="s">
        <v>34</v>
      </c>
      <c r="U4169" t="s">
        <v>81</v>
      </c>
    </row>
    <row r="4170" spans="1:21">
      <c r="A4170" t="s">
        <v>6514</v>
      </c>
      <c r="B4170" t="s">
        <v>6511</v>
      </c>
      <c r="C4170" t="s">
        <v>41</v>
      </c>
      <c r="D4170">
        <v>152000</v>
      </c>
      <c r="E4170">
        <v>7000</v>
      </c>
      <c r="F4170">
        <v>152000</v>
      </c>
      <c r="H4170">
        <v>2</v>
      </c>
      <c r="I4170" t="s">
        <v>89</v>
      </c>
      <c r="J4170">
        <v>28.94</v>
      </c>
      <c r="K4170">
        <v>0</v>
      </c>
      <c r="L4170">
        <v>3</v>
      </c>
      <c r="M4170" t="s">
        <v>6362</v>
      </c>
      <c r="N4170">
        <v>6</v>
      </c>
      <c r="O4170">
        <v>8</v>
      </c>
      <c r="P4170">
        <v>139800.48000000001</v>
      </c>
      <c r="Q4170">
        <v>95329.65</v>
      </c>
      <c r="R4170">
        <v>420</v>
      </c>
      <c r="S4170">
        <v>1622</v>
      </c>
      <c r="T4170" t="s">
        <v>34</v>
      </c>
      <c r="U4170" t="s">
        <v>81</v>
      </c>
    </row>
    <row r="4171" spans="1:21">
      <c r="A4171" t="s">
        <v>6515</v>
      </c>
      <c r="B4171" t="s">
        <v>6511</v>
      </c>
      <c r="C4171" t="s">
        <v>41</v>
      </c>
      <c r="D4171">
        <v>153000</v>
      </c>
      <c r="E4171">
        <v>7000</v>
      </c>
      <c r="F4171">
        <v>153000</v>
      </c>
      <c r="H4171">
        <v>2</v>
      </c>
      <c r="I4171" t="s">
        <v>89</v>
      </c>
      <c r="J4171">
        <v>30.99</v>
      </c>
      <c r="K4171">
        <v>0</v>
      </c>
      <c r="L4171">
        <v>3</v>
      </c>
      <c r="M4171" t="s">
        <v>6362</v>
      </c>
      <c r="N4171">
        <v>6</v>
      </c>
      <c r="O4171">
        <v>8</v>
      </c>
      <c r="P4171">
        <v>139800.48000000001</v>
      </c>
      <c r="Q4171">
        <v>95329.65</v>
      </c>
      <c r="R4171">
        <v>420</v>
      </c>
      <c r="S4171">
        <v>1622</v>
      </c>
      <c r="T4171" t="s">
        <v>26</v>
      </c>
      <c r="U4171" t="s">
        <v>81</v>
      </c>
    </row>
    <row r="4172" spans="1:21">
      <c r="A4172" t="s">
        <v>6516</v>
      </c>
      <c r="B4172" t="s">
        <v>6511</v>
      </c>
      <c r="C4172" t="s">
        <v>41</v>
      </c>
      <c r="D4172">
        <v>124000</v>
      </c>
      <c r="E4172">
        <v>7000</v>
      </c>
      <c r="F4172">
        <v>124000</v>
      </c>
      <c r="H4172">
        <v>3</v>
      </c>
      <c r="I4172" t="s">
        <v>89</v>
      </c>
      <c r="J4172">
        <v>21.14</v>
      </c>
      <c r="K4172">
        <v>0</v>
      </c>
      <c r="L4172">
        <v>3</v>
      </c>
      <c r="M4172" t="s">
        <v>6362</v>
      </c>
      <c r="N4172">
        <v>6</v>
      </c>
      <c r="O4172">
        <v>8</v>
      </c>
      <c r="P4172">
        <v>139800.48000000001</v>
      </c>
      <c r="Q4172">
        <v>95329.65</v>
      </c>
      <c r="R4172">
        <v>420</v>
      </c>
      <c r="S4172">
        <v>1622</v>
      </c>
      <c r="T4172" t="s">
        <v>34</v>
      </c>
      <c r="U4172" t="s">
        <v>81</v>
      </c>
    </row>
    <row r="4173" spans="1:21">
      <c r="A4173" t="s">
        <v>6517</v>
      </c>
      <c r="B4173" t="s">
        <v>6511</v>
      </c>
      <c r="C4173" t="s">
        <v>41</v>
      </c>
      <c r="D4173">
        <v>153000</v>
      </c>
      <c r="E4173">
        <v>7000</v>
      </c>
      <c r="F4173">
        <v>153000</v>
      </c>
      <c r="H4173">
        <v>3</v>
      </c>
      <c r="I4173" t="s">
        <v>89</v>
      </c>
      <c r="J4173">
        <v>30.96</v>
      </c>
      <c r="K4173">
        <v>0</v>
      </c>
      <c r="L4173">
        <v>3</v>
      </c>
      <c r="M4173" t="s">
        <v>6362</v>
      </c>
      <c r="N4173">
        <v>6</v>
      </c>
      <c r="O4173">
        <v>8</v>
      </c>
      <c r="P4173">
        <v>139800.48000000001</v>
      </c>
      <c r="Q4173">
        <v>95329.65</v>
      </c>
      <c r="R4173">
        <v>420</v>
      </c>
      <c r="S4173">
        <v>1622</v>
      </c>
      <c r="T4173" t="s">
        <v>26</v>
      </c>
      <c r="U4173" t="s">
        <v>81</v>
      </c>
    </row>
    <row r="4174" spans="1:21">
      <c r="A4174" t="s">
        <v>6518</v>
      </c>
      <c r="B4174" t="s">
        <v>6519</v>
      </c>
      <c r="C4174" t="s">
        <v>709</v>
      </c>
      <c r="D4174">
        <v>95000</v>
      </c>
      <c r="E4174">
        <v>2000</v>
      </c>
      <c r="H4174">
        <v>1</v>
      </c>
      <c r="I4174" t="s">
        <v>89</v>
      </c>
      <c r="J4174">
        <v>24.84</v>
      </c>
      <c r="K4174">
        <v>11</v>
      </c>
      <c r="L4174">
        <v>3</v>
      </c>
      <c r="M4174" t="s">
        <v>6362</v>
      </c>
      <c r="N4174">
        <v>5</v>
      </c>
      <c r="O4174">
        <v>6</v>
      </c>
      <c r="P4174">
        <v>139800.48000000001</v>
      </c>
      <c r="Q4174">
        <v>95329.65</v>
      </c>
      <c r="R4174">
        <v>420</v>
      </c>
      <c r="S4174">
        <v>1622</v>
      </c>
      <c r="T4174" t="s">
        <v>34</v>
      </c>
      <c r="U4174" t="s">
        <v>90</v>
      </c>
    </row>
    <row r="4175" spans="1:21">
      <c r="A4175" t="s">
        <v>6520</v>
      </c>
      <c r="B4175" t="s">
        <v>6521</v>
      </c>
      <c r="C4175" t="s">
        <v>709</v>
      </c>
      <c r="D4175">
        <v>97000</v>
      </c>
      <c r="E4175">
        <v>2000</v>
      </c>
      <c r="F4175">
        <v>48500</v>
      </c>
      <c r="G4175">
        <v>145500</v>
      </c>
      <c r="H4175">
        <v>1</v>
      </c>
      <c r="I4175" t="s">
        <v>89</v>
      </c>
      <c r="J4175">
        <v>26</v>
      </c>
      <c r="K4175">
        <v>15</v>
      </c>
      <c r="L4175">
        <v>3</v>
      </c>
      <c r="M4175" t="s">
        <v>6362</v>
      </c>
      <c r="N4175">
        <v>7</v>
      </c>
      <c r="O4175">
        <v>9.33</v>
      </c>
      <c r="P4175">
        <v>139800.48000000001</v>
      </c>
      <c r="Q4175">
        <v>95329.65</v>
      </c>
      <c r="R4175">
        <v>420</v>
      </c>
      <c r="S4175">
        <v>1622</v>
      </c>
      <c r="T4175" t="s">
        <v>34</v>
      </c>
      <c r="U4175" t="s">
        <v>90</v>
      </c>
    </row>
    <row r="4176" spans="1:21">
      <c r="A4176" t="s">
        <v>6522</v>
      </c>
      <c r="B4176" t="s">
        <v>6521</v>
      </c>
      <c r="C4176" t="s">
        <v>1890</v>
      </c>
      <c r="D4176">
        <v>89000</v>
      </c>
      <c r="E4176">
        <v>3000</v>
      </c>
      <c r="F4176">
        <v>89000</v>
      </c>
      <c r="G4176">
        <v>89000</v>
      </c>
      <c r="H4176">
        <v>1</v>
      </c>
      <c r="I4176" t="s">
        <v>89</v>
      </c>
      <c r="J4176">
        <v>29.5</v>
      </c>
      <c r="K4176">
        <v>15</v>
      </c>
      <c r="L4176">
        <v>3</v>
      </c>
      <c r="M4176" t="s">
        <v>6362</v>
      </c>
      <c r="N4176">
        <v>12</v>
      </c>
      <c r="O4176">
        <v>13.67</v>
      </c>
      <c r="P4176">
        <v>139800.48000000001</v>
      </c>
      <c r="Q4176">
        <v>95329.65</v>
      </c>
      <c r="R4176">
        <v>420</v>
      </c>
      <c r="S4176">
        <v>1622</v>
      </c>
      <c r="T4176" t="s">
        <v>34</v>
      </c>
      <c r="U4176" t="s">
        <v>90</v>
      </c>
    </row>
    <row r="4177" spans="1:21">
      <c r="A4177" t="s">
        <v>6523</v>
      </c>
      <c r="B4177" t="s">
        <v>6524</v>
      </c>
      <c r="C4177" t="s">
        <v>1890</v>
      </c>
      <c r="D4177">
        <v>75000</v>
      </c>
      <c r="E4177">
        <v>3000</v>
      </c>
      <c r="G4177">
        <v>75000</v>
      </c>
      <c r="H4177">
        <v>1</v>
      </c>
      <c r="I4177" t="s">
        <v>89</v>
      </c>
      <c r="J4177">
        <v>18.63</v>
      </c>
      <c r="K4177">
        <v>22</v>
      </c>
      <c r="L4177">
        <v>3</v>
      </c>
      <c r="M4177" t="s">
        <v>6362</v>
      </c>
      <c r="N4177">
        <v>5</v>
      </c>
      <c r="O4177">
        <v>7</v>
      </c>
      <c r="P4177">
        <v>139800.48000000001</v>
      </c>
      <c r="Q4177">
        <v>95329.65</v>
      </c>
      <c r="R4177">
        <v>420</v>
      </c>
      <c r="S4177">
        <v>1622</v>
      </c>
      <c r="T4177" t="s">
        <v>108</v>
      </c>
      <c r="U4177" t="s">
        <v>27</v>
      </c>
    </row>
    <row r="4178" spans="1:21">
      <c r="A4178" t="s">
        <v>6525</v>
      </c>
      <c r="B4178" t="s">
        <v>6524</v>
      </c>
      <c r="C4178" t="s">
        <v>1890</v>
      </c>
      <c r="D4178">
        <v>77000</v>
      </c>
      <c r="E4178">
        <v>3000</v>
      </c>
      <c r="G4178">
        <v>77000</v>
      </c>
      <c r="H4178">
        <v>2</v>
      </c>
      <c r="I4178" t="s">
        <v>89</v>
      </c>
      <c r="J4178">
        <v>18.63</v>
      </c>
      <c r="K4178">
        <v>22</v>
      </c>
      <c r="L4178">
        <v>3</v>
      </c>
      <c r="M4178" t="s">
        <v>6362</v>
      </c>
      <c r="N4178">
        <v>5</v>
      </c>
      <c r="O4178">
        <v>7</v>
      </c>
      <c r="P4178">
        <v>139800.48000000001</v>
      </c>
      <c r="Q4178">
        <v>95329.65</v>
      </c>
      <c r="R4178">
        <v>420</v>
      </c>
      <c r="S4178">
        <v>1622</v>
      </c>
      <c r="T4178" t="s">
        <v>108</v>
      </c>
      <c r="U4178" t="s">
        <v>27</v>
      </c>
    </row>
    <row r="4179" spans="1:21">
      <c r="A4179" t="s">
        <v>6526</v>
      </c>
      <c r="B4179" t="s">
        <v>6524</v>
      </c>
      <c r="C4179" t="s">
        <v>1890</v>
      </c>
      <c r="D4179">
        <v>79000</v>
      </c>
      <c r="E4179">
        <v>3000</v>
      </c>
      <c r="G4179">
        <v>79000</v>
      </c>
      <c r="H4179">
        <v>2</v>
      </c>
      <c r="I4179" t="s">
        <v>89</v>
      </c>
      <c r="J4179">
        <v>22.78</v>
      </c>
      <c r="K4179">
        <v>22</v>
      </c>
      <c r="L4179">
        <v>3</v>
      </c>
      <c r="M4179" t="s">
        <v>6362</v>
      </c>
      <c r="N4179">
        <v>5</v>
      </c>
      <c r="O4179">
        <v>7</v>
      </c>
      <c r="P4179">
        <v>139800.48000000001</v>
      </c>
      <c r="Q4179">
        <v>95329.65</v>
      </c>
      <c r="R4179">
        <v>420</v>
      </c>
      <c r="S4179">
        <v>1622</v>
      </c>
      <c r="T4179" t="s">
        <v>34</v>
      </c>
      <c r="U4179" t="s">
        <v>27</v>
      </c>
    </row>
    <row r="4180" spans="1:21">
      <c r="A4180" t="s">
        <v>6527</v>
      </c>
      <c r="B4180" t="s">
        <v>6528</v>
      </c>
      <c r="C4180" t="s">
        <v>104</v>
      </c>
      <c r="D4180">
        <v>67000</v>
      </c>
      <c r="E4180">
        <v>3000</v>
      </c>
      <c r="F4180">
        <v>67000</v>
      </c>
      <c r="G4180">
        <v>67000</v>
      </c>
      <c r="H4180">
        <v>1</v>
      </c>
      <c r="I4180" t="s">
        <v>89</v>
      </c>
      <c r="J4180">
        <v>20.399999999999999</v>
      </c>
      <c r="K4180">
        <v>28</v>
      </c>
      <c r="L4180">
        <v>3</v>
      </c>
      <c r="M4180" t="s">
        <v>6362</v>
      </c>
      <c r="N4180">
        <v>1</v>
      </c>
      <c r="O4180">
        <v>6.67</v>
      </c>
      <c r="P4180">
        <v>139800.48000000001</v>
      </c>
      <c r="Q4180">
        <v>95329.65</v>
      </c>
      <c r="R4180">
        <v>420</v>
      </c>
      <c r="S4180">
        <v>1622</v>
      </c>
      <c r="T4180" t="s">
        <v>34</v>
      </c>
      <c r="U4180" t="s">
        <v>27</v>
      </c>
    </row>
    <row r="4181" spans="1:21">
      <c r="A4181" t="s">
        <v>6529</v>
      </c>
      <c r="B4181" t="s">
        <v>6530</v>
      </c>
      <c r="C4181" t="s">
        <v>709</v>
      </c>
      <c r="D4181">
        <v>107000</v>
      </c>
      <c r="E4181">
        <v>12000</v>
      </c>
      <c r="F4181">
        <v>107000</v>
      </c>
      <c r="G4181">
        <v>107000</v>
      </c>
      <c r="H4181">
        <v>1</v>
      </c>
      <c r="I4181" t="s">
        <v>89</v>
      </c>
      <c r="J4181">
        <v>23.12</v>
      </c>
      <c r="K4181">
        <v>2</v>
      </c>
      <c r="L4181">
        <v>3</v>
      </c>
      <c r="M4181" t="s">
        <v>6362</v>
      </c>
      <c r="N4181">
        <v>6</v>
      </c>
      <c r="O4181">
        <v>9.67</v>
      </c>
      <c r="P4181">
        <v>139800.48000000001</v>
      </c>
      <c r="Q4181">
        <v>95329.65</v>
      </c>
      <c r="R4181">
        <v>420</v>
      </c>
      <c r="S4181">
        <v>1622</v>
      </c>
      <c r="T4181" t="s">
        <v>34</v>
      </c>
      <c r="U4181" t="s">
        <v>31</v>
      </c>
    </row>
    <row r="4182" spans="1:21">
      <c r="A4182" t="s">
        <v>6531</v>
      </c>
      <c r="B4182" t="s">
        <v>6532</v>
      </c>
      <c r="C4182" t="s">
        <v>104</v>
      </c>
      <c r="D4182">
        <v>69000</v>
      </c>
      <c r="E4182">
        <v>5000</v>
      </c>
      <c r="F4182">
        <v>69000</v>
      </c>
      <c r="G4182">
        <v>69000</v>
      </c>
      <c r="H4182">
        <v>1</v>
      </c>
      <c r="I4182" t="s">
        <v>89</v>
      </c>
      <c r="J4182">
        <v>20.74</v>
      </c>
      <c r="K4182">
        <v>37</v>
      </c>
      <c r="L4182">
        <v>3</v>
      </c>
      <c r="M4182" t="s">
        <v>6362</v>
      </c>
      <c r="N4182">
        <v>3</v>
      </c>
      <c r="O4182">
        <v>7.33</v>
      </c>
      <c r="P4182">
        <v>139800.48000000001</v>
      </c>
      <c r="Q4182">
        <v>95329.65</v>
      </c>
      <c r="R4182">
        <v>420</v>
      </c>
      <c r="S4182">
        <v>1622</v>
      </c>
      <c r="T4182" t="s">
        <v>34</v>
      </c>
      <c r="U4182" t="s">
        <v>49</v>
      </c>
    </row>
    <row r="4183" spans="1:21">
      <c r="A4183" t="s">
        <v>6533</v>
      </c>
      <c r="B4183" t="s">
        <v>6534</v>
      </c>
      <c r="C4183" t="s">
        <v>709</v>
      </c>
      <c r="D4183">
        <v>84000</v>
      </c>
      <c r="E4183">
        <v>3000</v>
      </c>
      <c r="F4183">
        <v>84000</v>
      </c>
      <c r="G4183">
        <v>84000</v>
      </c>
      <c r="H4183">
        <v>1</v>
      </c>
      <c r="I4183" t="s">
        <v>89</v>
      </c>
      <c r="J4183">
        <v>20.5</v>
      </c>
      <c r="K4183">
        <v>7</v>
      </c>
      <c r="L4183">
        <v>3</v>
      </c>
      <c r="M4183" t="s">
        <v>6362</v>
      </c>
      <c r="N4183">
        <v>2</v>
      </c>
      <c r="O4183">
        <v>6.33</v>
      </c>
      <c r="P4183">
        <v>139800.48000000001</v>
      </c>
      <c r="Q4183">
        <v>95329.65</v>
      </c>
      <c r="R4183">
        <v>420</v>
      </c>
      <c r="S4183">
        <v>1622</v>
      </c>
      <c r="T4183" t="s">
        <v>34</v>
      </c>
      <c r="U4183" t="s">
        <v>31</v>
      </c>
    </row>
    <row r="4184" spans="1:21">
      <c r="A4184" t="s">
        <v>6535</v>
      </c>
      <c r="B4184" t="s">
        <v>6536</v>
      </c>
      <c r="C4184" t="s">
        <v>709</v>
      </c>
      <c r="D4184">
        <v>128000</v>
      </c>
      <c r="E4184">
        <v>20000</v>
      </c>
      <c r="F4184">
        <v>128000</v>
      </c>
      <c r="G4184">
        <v>128000</v>
      </c>
      <c r="H4184">
        <v>1</v>
      </c>
      <c r="I4184" t="s">
        <v>89</v>
      </c>
      <c r="J4184">
        <v>31.68</v>
      </c>
      <c r="K4184">
        <v>0</v>
      </c>
      <c r="L4184">
        <v>4</v>
      </c>
      <c r="M4184" t="s">
        <v>6362</v>
      </c>
      <c r="N4184">
        <v>3</v>
      </c>
      <c r="O4184">
        <v>7.67</v>
      </c>
      <c r="P4184">
        <v>139800.48000000001</v>
      </c>
      <c r="Q4184">
        <v>95329.65</v>
      </c>
      <c r="R4184">
        <v>420</v>
      </c>
      <c r="S4184">
        <v>1622</v>
      </c>
      <c r="T4184" t="s">
        <v>26</v>
      </c>
      <c r="U4184" t="s">
        <v>81</v>
      </c>
    </row>
    <row r="4185" spans="1:21">
      <c r="A4185" t="s">
        <v>6537</v>
      </c>
      <c r="B4185" t="s">
        <v>6536</v>
      </c>
      <c r="C4185" t="s">
        <v>709</v>
      </c>
      <c r="D4185">
        <v>135000</v>
      </c>
      <c r="E4185">
        <v>10000</v>
      </c>
      <c r="F4185">
        <v>135000</v>
      </c>
      <c r="G4185">
        <v>135000</v>
      </c>
      <c r="H4185">
        <v>1</v>
      </c>
      <c r="I4185" t="s">
        <v>89</v>
      </c>
      <c r="J4185">
        <v>31.68</v>
      </c>
      <c r="K4185">
        <v>0</v>
      </c>
      <c r="L4185">
        <v>4</v>
      </c>
      <c r="M4185" t="s">
        <v>6362</v>
      </c>
      <c r="N4185">
        <v>3</v>
      </c>
      <c r="O4185">
        <v>7.67</v>
      </c>
      <c r="P4185">
        <v>139800.48000000001</v>
      </c>
      <c r="Q4185">
        <v>95329.65</v>
      </c>
      <c r="R4185">
        <v>420</v>
      </c>
      <c r="S4185">
        <v>1622</v>
      </c>
      <c r="T4185" t="s">
        <v>26</v>
      </c>
      <c r="U4185" t="s">
        <v>81</v>
      </c>
    </row>
    <row r="4186" spans="1:21">
      <c r="A4186" t="s">
        <v>6538</v>
      </c>
      <c r="B4186" t="s">
        <v>6536</v>
      </c>
      <c r="C4186" t="s">
        <v>709</v>
      </c>
      <c r="D4186">
        <v>145000</v>
      </c>
      <c r="E4186">
        <v>10000</v>
      </c>
      <c r="F4186">
        <v>145000</v>
      </c>
      <c r="G4186">
        <v>145000</v>
      </c>
      <c r="H4186">
        <v>1</v>
      </c>
      <c r="I4186" t="s">
        <v>89</v>
      </c>
      <c r="J4186">
        <v>31.68</v>
      </c>
      <c r="K4186">
        <v>0</v>
      </c>
      <c r="L4186">
        <v>4</v>
      </c>
      <c r="M4186" t="s">
        <v>6362</v>
      </c>
      <c r="N4186">
        <v>3</v>
      </c>
      <c r="O4186">
        <v>7.67</v>
      </c>
      <c r="P4186">
        <v>139800.48000000001</v>
      </c>
      <c r="Q4186">
        <v>95329.65</v>
      </c>
      <c r="R4186">
        <v>420</v>
      </c>
      <c r="S4186">
        <v>1622</v>
      </c>
      <c r="T4186" t="s">
        <v>26</v>
      </c>
      <c r="U4186" t="s">
        <v>81</v>
      </c>
    </row>
    <row r="4187" spans="1:21">
      <c r="A4187" t="s">
        <v>6539</v>
      </c>
      <c r="B4187" t="s">
        <v>6536</v>
      </c>
      <c r="C4187" t="s">
        <v>709</v>
      </c>
      <c r="D4187">
        <v>129000</v>
      </c>
      <c r="E4187">
        <v>20000</v>
      </c>
      <c r="F4187">
        <v>129000</v>
      </c>
      <c r="G4187">
        <v>129000</v>
      </c>
      <c r="H4187">
        <v>2</v>
      </c>
      <c r="I4187" t="s">
        <v>89</v>
      </c>
      <c r="J4187">
        <v>31.68</v>
      </c>
      <c r="K4187">
        <v>0</v>
      </c>
      <c r="L4187">
        <v>4</v>
      </c>
      <c r="M4187" t="s">
        <v>6362</v>
      </c>
      <c r="N4187">
        <v>3</v>
      </c>
      <c r="O4187">
        <v>7.67</v>
      </c>
      <c r="P4187">
        <v>139800.48000000001</v>
      </c>
      <c r="Q4187">
        <v>95329.65</v>
      </c>
      <c r="R4187">
        <v>420</v>
      </c>
      <c r="S4187">
        <v>1622</v>
      </c>
      <c r="T4187" t="s">
        <v>26</v>
      </c>
      <c r="U4187" t="s">
        <v>81</v>
      </c>
    </row>
    <row r="4188" spans="1:21">
      <c r="A4188" t="s">
        <v>6540</v>
      </c>
      <c r="B4188" t="s">
        <v>6536</v>
      </c>
      <c r="C4188" t="s">
        <v>709</v>
      </c>
      <c r="D4188">
        <v>145000</v>
      </c>
      <c r="E4188">
        <v>10000</v>
      </c>
      <c r="F4188">
        <v>145000</v>
      </c>
      <c r="G4188">
        <v>145000</v>
      </c>
      <c r="H4188">
        <v>2</v>
      </c>
      <c r="I4188" t="s">
        <v>89</v>
      </c>
      <c r="J4188">
        <v>31.68</v>
      </c>
      <c r="K4188">
        <v>0</v>
      </c>
      <c r="L4188">
        <v>4</v>
      </c>
      <c r="M4188" t="s">
        <v>6362</v>
      </c>
      <c r="N4188">
        <v>3</v>
      </c>
      <c r="O4188">
        <v>7.67</v>
      </c>
      <c r="P4188">
        <v>139800.48000000001</v>
      </c>
      <c r="Q4188">
        <v>95329.65</v>
      </c>
      <c r="R4188">
        <v>420</v>
      </c>
      <c r="S4188">
        <v>1622</v>
      </c>
      <c r="T4188" t="s">
        <v>26</v>
      </c>
      <c r="U4188" t="s">
        <v>81</v>
      </c>
    </row>
    <row r="4189" spans="1:21">
      <c r="A4189" t="s">
        <v>6541</v>
      </c>
      <c r="B4189" t="s">
        <v>6536</v>
      </c>
      <c r="C4189" t="s">
        <v>709</v>
      </c>
      <c r="D4189">
        <v>155000</v>
      </c>
      <c r="E4189">
        <v>10000</v>
      </c>
      <c r="F4189">
        <v>155000</v>
      </c>
      <c r="G4189">
        <v>155000</v>
      </c>
      <c r="H4189">
        <v>2</v>
      </c>
      <c r="I4189" t="s">
        <v>89</v>
      </c>
      <c r="J4189">
        <v>31.68</v>
      </c>
      <c r="K4189">
        <v>0</v>
      </c>
      <c r="L4189">
        <v>4</v>
      </c>
      <c r="M4189" t="s">
        <v>6362</v>
      </c>
      <c r="N4189">
        <v>3</v>
      </c>
      <c r="O4189">
        <v>7.67</v>
      </c>
      <c r="P4189">
        <v>139800.48000000001</v>
      </c>
      <c r="Q4189">
        <v>95329.65</v>
      </c>
      <c r="R4189">
        <v>420</v>
      </c>
      <c r="S4189">
        <v>1622</v>
      </c>
      <c r="T4189" t="s">
        <v>26</v>
      </c>
      <c r="U4189" t="s">
        <v>81</v>
      </c>
    </row>
    <row r="4190" spans="1:21">
      <c r="A4190" t="s">
        <v>6542</v>
      </c>
      <c r="B4190" t="s">
        <v>6536</v>
      </c>
      <c r="C4190" t="s">
        <v>709</v>
      </c>
      <c r="D4190">
        <v>130000</v>
      </c>
      <c r="E4190">
        <v>20000</v>
      </c>
      <c r="F4190">
        <v>130000</v>
      </c>
      <c r="G4190">
        <v>130000</v>
      </c>
      <c r="H4190">
        <v>3</v>
      </c>
      <c r="I4190" t="s">
        <v>89</v>
      </c>
      <c r="J4190">
        <v>31.68</v>
      </c>
      <c r="K4190">
        <v>0</v>
      </c>
      <c r="L4190">
        <v>4</v>
      </c>
      <c r="M4190" t="s">
        <v>6362</v>
      </c>
      <c r="N4190">
        <v>3</v>
      </c>
      <c r="O4190">
        <v>7.67</v>
      </c>
      <c r="P4190">
        <v>139800.48000000001</v>
      </c>
      <c r="Q4190">
        <v>95329.65</v>
      </c>
      <c r="R4190">
        <v>420</v>
      </c>
      <c r="S4190">
        <v>1622</v>
      </c>
      <c r="T4190" t="s">
        <v>26</v>
      </c>
      <c r="U4190" t="s">
        <v>81</v>
      </c>
    </row>
    <row r="4191" spans="1:21">
      <c r="A4191" t="s">
        <v>6543</v>
      </c>
      <c r="B4191" t="s">
        <v>6536</v>
      </c>
      <c r="C4191" t="s">
        <v>709</v>
      </c>
      <c r="D4191">
        <v>155000</v>
      </c>
      <c r="E4191">
        <v>10000</v>
      </c>
      <c r="F4191">
        <v>155000</v>
      </c>
      <c r="G4191">
        <v>155000</v>
      </c>
      <c r="H4191">
        <v>3</v>
      </c>
      <c r="I4191" t="s">
        <v>89</v>
      </c>
      <c r="J4191">
        <v>31.68</v>
      </c>
      <c r="K4191">
        <v>0</v>
      </c>
      <c r="L4191">
        <v>4</v>
      </c>
      <c r="M4191" t="s">
        <v>6362</v>
      </c>
      <c r="N4191">
        <v>3</v>
      </c>
      <c r="O4191">
        <v>7.67</v>
      </c>
      <c r="P4191">
        <v>139800.48000000001</v>
      </c>
      <c r="Q4191">
        <v>95329.65</v>
      </c>
      <c r="R4191">
        <v>420</v>
      </c>
      <c r="S4191">
        <v>1622</v>
      </c>
      <c r="T4191" t="s">
        <v>26</v>
      </c>
      <c r="U4191" t="s">
        <v>81</v>
      </c>
    </row>
    <row r="4192" spans="1:21">
      <c r="A4192" t="s">
        <v>6544</v>
      </c>
      <c r="B4192" t="s">
        <v>6536</v>
      </c>
      <c r="C4192" t="s">
        <v>709</v>
      </c>
      <c r="D4192">
        <v>158000</v>
      </c>
      <c r="E4192">
        <v>10000</v>
      </c>
      <c r="F4192">
        <v>158000</v>
      </c>
      <c r="G4192">
        <v>158000</v>
      </c>
      <c r="H4192">
        <v>3</v>
      </c>
      <c r="I4192" t="s">
        <v>89</v>
      </c>
      <c r="J4192">
        <v>31.68</v>
      </c>
      <c r="K4192">
        <v>0</v>
      </c>
      <c r="L4192">
        <v>4</v>
      </c>
      <c r="M4192" t="s">
        <v>6362</v>
      </c>
      <c r="N4192">
        <v>3</v>
      </c>
      <c r="O4192">
        <v>7.67</v>
      </c>
      <c r="P4192">
        <v>139800.48000000001</v>
      </c>
      <c r="Q4192">
        <v>95329.65</v>
      </c>
      <c r="R4192">
        <v>420</v>
      </c>
      <c r="S4192">
        <v>1622</v>
      </c>
      <c r="T4192" t="s">
        <v>26</v>
      </c>
      <c r="U4192" t="s">
        <v>81</v>
      </c>
    </row>
    <row r="4193" spans="1:21">
      <c r="A4193" t="s">
        <v>6545</v>
      </c>
      <c r="B4193" t="s">
        <v>6536</v>
      </c>
      <c r="C4193" t="s">
        <v>709</v>
      </c>
      <c r="D4193">
        <v>145000</v>
      </c>
      <c r="E4193">
        <v>20000</v>
      </c>
      <c r="F4193">
        <v>145000</v>
      </c>
      <c r="G4193">
        <v>145000</v>
      </c>
      <c r="H4193">
        <v>4</v>
      </c>
      <c r="I4193" t="s">
        <v>89</v>
      </c>
      <c r="J4193">
        <v>31.68</v>
      </c>
      <c r="K4193">
        <v>0</v>
      </c>
      <c r="L4193">
        <v>4</v>
      </c>
      <c r="M4193" t="s">
        <v>6362</v>
      </c>
      <c r="N4193">
        <v>3</v>
      </c>
      <c r="O4193">
        <v>7.67</v>
      </c>
      <c r="P4193">
        <v>139800.48000000001</v>
      </c>
      <c r="Q4193">
        <v>95329.65</v>
      </c>
      <c r="R4193">
        <v>420</v>
      </c>
      <c r="S4193">
        <v>1622</v>
      </c>
      <c r="T4193" t="s">
        <v>26</v>
      </c>
      <c r="U4193" t="s">
        <v>81</v>
      </c>
    </row>
    <row r="4194" spans="1:21">
      <c r="A4194" t="s">
        <v>6546</v>
      </c>
      <c r="B4194" t="s">
        <v>6536</v>
      </c>
      <c r="C4194" t="s">
        <v>709</v>
      </c>
      <c r="D4194">
        <v>140000</v>
      </c>
      <c r="E4194">
        <v>20000</v>
      </c>
      <c r="F4194">
        <v>140000</v>
      </c>
      <c r="G4194">
        <v>140000</v>
      </c>
      <c r="H4194">
        <v>4</v>
      </c>
      <c r="I4194" t="s">
        <v>89</v>
      </c>
      <c r="J4194">
        <v>31.68</v>
      </c>
      <c r="K4194">
        <v>0</v>
      </c>
      <c r="L4194">
        <v>4</v>
      </c>
      <c r="M4194" t="s">
        <v>6362</v>
      </c>
      <c r="N4194">
        <v>3</v>
      </c>
      <c r="O4194">
        <v>7.67</v>
      </c>
      <c r="P4194">
        <v>139800.48000000001</v>
      </c>
      <c r="Q4194">
        <v>95329.65</v>
      </c>
      <c r="R4194">
        <v>420</v>
      </c>
      <c r="S4194">
        <v>1622</v>
      </c>
      <c r="T4194" t="s">
        <v>26</v>
      </c>
      <c r="U4194" t="s">
        <v>81</v>
      </c>
    </row>
    <row r="4195" spans="1:21">
      <c r="A4195" t="s">
        <v>6547</v>
      </c>
      <c r="B4195" t="s">
        <v>6536</v>
      </c>
      <c r="C4195" t="s">
        <v>709</v>
      </c>
      <c r="D4195">
        <v>160000</v>
      </c>
      <c r="E4195">
        <v>10000</v>
      </c>
      <c r="F4195">
        <v>160000</v>
      </c>
      <c r="G4195">
        <v>160000</v>
      </c>
      <c r="H4195">
        <v>4</v>
      </c>
      <c r="I4195" t="s">
        <v>89</v>
      </c>
      <c r="J4195">
        <v>31.68</v>
      </c>
      <c r="K4195">
        <v>0</v>
      </c>
      <c r="L4195">
        <v>4</v>
      </c>
      <c r="M4195" t="s">
        <v>6362</v>
      </c>
      <c r="N4195">
        <v>3</v>
      </c>
      <c r="O4195">
        <v>7.67</v>
      </c>
      <c r="P4195">
        <v>139800.48000000001</v>
      </c>
      <c r="Q4195">
        <v>95329.65</v>
      </c>
      <c r="R4195">
        <v>420</v>
      </c>
      <c r="S4195">
        <v>1622</v>
      </c>
      <c r="T4195" t="s">
        <v>26</v>
      </c>
      <c r="U4195" t="s">
        <v>81</v>
      </c>
    </row>
    <row r="4196" spans="1:21">
      <c r="A4196" t="s">
        <v>6548</v>
      </c>
      <c r="B4196" t="s">
        <v>6549</v>
      </c>
      <c r="C4196" t="s">
        <v>1890</v>
      </c>
      <c r="D4196">
        <v>75000</v>
      </c>
      <c r="E4196">
        <v>3000</v>
      </c>
      <c r="F4196">
        <v>75000</v>
      </c>
      <c r="H4196">
        <v>2</v>
      </c>
      <c r="I4196" t="s">
        <v>89</v>
      </c>
      <c r="J4196">
        <v>18.579999999999998</v>
      </c>
      <c r="K4196">
        <v>23</v>
      </c>
      <c r="L4196">
        <v>4</v>
      </c>
      <c r="M4196" t="s">
        <v>6362</v>
      </c>
      <c r="N4196">
        <v>12</v>
      </c>
      <c r="O4196">
        <v>13</v>
      </c>
      <c r="P4196">
        <v>139800.48000000001</v>
      </c>
      <c r="Q4196">
        <v>95329.65</v>
      </c>
      <c r="R4196">
        <v>420</v>
      </c>
      <c r="S4196">
        <v>1622</v>
      </c>
      <c r="T4196" t="s">
        <v>108</v>
      </c>
      <c r="U4196" t="s">
        <v>27</v>
      </c>
    </row>
    <row r="4197" spans="1:21">
      <c r="A4197" t="s">
        <v>6550</v>
      </c>
      <c r="B4197" t="s">
        <v>6551</v>
      </c>
      <c r="C4197" t="s">
        <v>709</v>
      </c>
      <c r="D4197">
        <v>60000</v>
      </c>
      <c r="E4197">
        <v>5000</v>
      </c>
      <c r="F4197">
        <v>60000</v>
      </c>
      <c r="G4197">
        <v>60000</v>
      </c>
      <c r="H4197">
        <v>2</v>
      </c>
      <c r="I4197" t="s">
        <v>89</v>
      </c>
      <c r="J4197">
        <v>18.760000000000002</v>
      </c>
      <c r="K4197">
        <v>38</v>
      </c>
      <c r="L4197">
        <v>4</v>
      </c>
      <c r="M4197" t="s">
        <v>6362</v>
      </c>
      <c r="N4197">
        <v>3</v>
      </c>
      <c r="O4197">
        <v>6.67</v>
      </c>
      <c r="P4197">
        <v>139800.48000000001</v>
      </c>
      <c r="Q4197">
        <v>95329.65</v>
      </c>
      <c r="R4197">
        <v>420</v>
      </c>
      <c r="S4197">
        <v>1622</v>
      </c>
      <c r="T4197" t="s">
        <v>108</v>
      </c>
      <c r="U4197" t="s">
        <v>49</v>
      </c>
    </row>
    <row r="4198" spans="1:21">
      <c r="A4198" t="s">
        <v>6552</v>
      </c>
      <c r="B4198" t="s">
        <v>6551</v>
      </c>
      <c r="C4198" t="s">
        <v>709</v>
      </c>
      <c r="D4198">
        <v>68000</v>
      </c>
      <c r="E4198">
        <v>5000</v>
      </c>
      <c r="H4198">
        <v>4</v>
      </c>
      <c r="I4198" t="s">
        <v>89</v>
      </c>
      <c r="J4198">
        <v>18.760000000000002</v>
      </c>
      <c r="K4198">
        <v>38</v>
      </c>
      <c r="L4198">
        <v>4</v>
      </c>
      <c r="M4198" t="s">
        <v>6362</v>
      </c>
      <c r="N4198">
        <v>3</v>
      </c>
      <c r="O4198">
        <v>6.67</v>
      </c>
      <c r="P4198">
        <v>139800.48000000001</v>
      </c>
      <c r="Q4198">
        <v>95329.65</v>
      </c>
      <c r="R4198">
        <v>420</v>
      </c>
      <c r="S4198">
        <v>1622</v>
      </c>
      <c r="T4198" t="s">
        <v>108</v>
      </c>
      <c r="U4198" t="s">
        <v>49</v>
      </c>
    </row>
    <row r="4199" spans="1:21">
      <c r="A4199" t="s">
        <v>6553</v>
      </c>
      <c r="B4199" t="s">
        <v>6554</v>
      </c>
      <c r="C4199" t="s">
        <v>1890</v>
      </c>
      <c r="D4199">
        <v>78000</v>
      </c>
      <c r="E4199">
        <v>10000</v>
      </c>
      <c r="F4199">
        <v>70000</v>
      </c>
      <c r="H4199">
        <v>4</v>
      </c>
      <c r="I4199" t="s">
        <v>89</v>
      </c>
      <c r="J4199">
        <v>25.01</v>
      </c>
      <c r="K4199">
        <v>21</v>
      </c>
      <c r="L4199">
        <v>5</v>
      </c>
      <c r="M4199" t="s">
        <v>6362</v>
      </c>
      <c r="N4199">
        <v>6</v>
      </c>
      <c r="O4199">
        <v>9.33</v>
      </c>
      <c r="P4199">
        <v>139800.48000000001</v>
      </c>
      <c r="Q4199">
        <v>95329.65</v>
      </c>
      <c r="R4199">
        <v>420</v>
      </c>
      <c r="S4199">
        <v>1622</v>
      </c>
      <c r="T4199" t="s">
        <v>34</v>
      </c>
      <c r="U4199" t="s">
        <v>27</v>
      </c>
    </row>
    <row r="4200" spans="1:21">
      <c r="A4200" t="s">
        <v>6555</v>
      </c>
      <c r="B4200" t="s">
        <v>6389</v>
      </c>
      <c r="C4200" t="s">
        <v>3025</v>
      </c>
      <c r="D4200">
        <v>130000</v>
      </c>
      <c r="E4200">
        <v>15000</v>
      </c>
      <c r="F4200">
        <v>130000</v>
      </c>
      <c r="G4200">
        <v>130000</v>
      </c>
      <c r="H4200">
        <v>1</v>
      </c>
      <c r="I4200" t="s">
        <v>89</v>
      </c>
      <c r="J4200">
        <v>25.5</v>
      </c>
      <c r="K4200">
        <v>3</v>
      </c>
      <c r="L4200">
        <v>5</v>
      </c>
      <c r="M4200" t="s">
        <v>6362</v>
      </c>
      <c r="N4200">
        <v>7</v>
      </c>
      <c r="O4200">
        <v>11</v>
      </c>
      <c r="P4200">
        <v>139800.48000000001</v>
      </c>
      <c r="Q4200">
        <v>95329.65</v>
      </c>
      <c r="R4200">
        <v>420</v>
      </c>
      <c r="S4200">
        <v>1622</v>
      </c>
      <c r="T4200" t="s">
        <v>34</v>
      </c>
      <c r="U4200" t="s">
        <v>31</v>
      </c>
    </row>
    <row r="4201" spans="1:21">
      <c r="A4201" t="s">
        <v>6556</v>
      </c>
      <c r="B4201" t="s">
        <v>6389</v>
      </c>
      <c r="C4201" t="s">
        <v>3025</v>
      </c>
      <c r="D4201">
        <v>142000</v>
      </c>
      <c r="E4201">
        <v>15000</v>
      </c>
      <c r="F4201">
        <v>142000</v>
      </c>
      <c r="G4201">
        <v>142000</v>
      </c>
      <c r="H4201">
        <v>1</v>
      </c>
      <c r="I4201" t="s">
        <v>89</v>
      </c>
      <c r="J4201">
        <v>28.87</v>
      </c>
      <c r="K4201">
        <v>3</v>
      </c>
      <c r="L4201">
        <v>5</v>
      </c>
      <c r="M4201" t="s">
        <v>6362</v>
      </c>
      <c r="N4201">
        <v>7</v>
      </c>
      <c r="O4201">
        <v>11</v>
      </c>
      <c r="P4201">
        <v>139800.48000000001</v>
      </c>
      <c r="Q4201">
        <v>95329.65</v>
      </c>
      <c r="R4201">
        <v>420</v>
      </c>
      <c r="S4201">
        <v>1622</v>
      </c>
      <c r="T4201" t="s">
        <v>34</v>
      </c>
      <c r="U4201" t="s">
        <v>31</v>
      </c>
    </row>
    <row r="4202" spans="1:21">
      <c r="A4202" t="s">
        <v>6557</v>
      </c>
      <c r="B4202" t="s">
        <v>6389</v>
      </c>
      <c r="C4202" t="s">
        <v>3025</v>
      </c>
      <c r="D4202">
        <v>144000</v>
      </c>
      <c r="E4202">
        <v>15000</v>
      </c>
      <c r="F4202">
        <v>144000</v>
      </c>
      <c r="G4202">
        <v>144000</v>
      </c>
      <c r="H4202">
        <v>1</v>
      </c>
      <c r="I4202" t="s">
        <v>89</v>
      </c>
      <c r="J4202">
        <v>31.35</v>
      </c>
      <c r="K4202">
        <v>3</v>
      </c>
      <c r="L4202">
        <v>5</v>
      </c>
      <c r="M4202" t="s">
        <v>6362</v>
      </c>
      <c r="N4202">
        <v>7</v>
      </c>
      <c r="O4202">
        <v>11</v>
      </c>
      <c r="P4202">
        <v>139800.48000000001</v>
      </c>
      <c r="Q4202">
        <v>95329.65</v>
      </c>
      <c r="R4202">
        <v>420</v>
      </c>
      <c r="S4202">
        <v>1622</v>
      </c>
      <c r="T4202" t="s">
        <v>26</v>
      </c>
      <c r="U4202" t="s">
        <v>31</v>
      </c>
    </row>
    <row r="4203" spans="1:21">
      <c r="A4203" t="s">
        <v>6558</v>
      </c>
      <c r="B4203" t="s">
        <v>6389</v>
      </c>
      <c r="C4203" t="s">
        <v>3025</v>
      </c>
      <c r="D4203">
        <v>145000</v>
      </c>
      <c r="E4203">
        <v>15000</v>
      </c>
      <c r="F4203">
        <v>145000</v>
      </c>
      <c r="G4203">
        <v>145000</v>
      </c>
      <c r="H4203">
        <v>3</v>
      </c>
      <c r="I4203" t="s">
        <v>89</v>
      </c>
      <c r="J4203">
        <v>28.87</v>
      </c>
      <c r="K4203">
        <v>3</v>
      </c>
      <c r="L4203">
        <v>5</v>
      </c>
      <c r="M4203" t="s">
        <v>6362</v>
      </c>
      <c r="N4203">
        <v>7</v>
      </c>
      <c r="O4203">
        <v>11</v>
      </c>
      <c r="P4203">
        <v>139800.48000000001</v>
      </c>
      <c r="Q4203">
        <v>95329.65</v>
      </c>
      <c r="R4203">
        <v>420</v>
      </c>
      <c r="S4203">
        <v>1622</v>
      </c>
      <c r="T4203" t="s">
        <v>34</v>
      </c>
      <c r="U4203" t="s">
        <v>31</v>
      </c>
    </row>
    <row r="4204" spans="1:21">
      <c r="A4204" t="s">
        <v>6559</v>
      </c>
      <c r="B4204" t="s">
        <v>6560</v>
      </c>
      <c r="C4204" t="s">
        <v>1890</v>
      </c>
      <c r="D4204">
        <v>95000</v>
      </c>
      <c r="E4204">
        <v>5000</v>
      </c>
      <c r="F4204">
        <v>95000</v>
      </c>
      <c r="G4204">
        <v>95000</v>
      </c>
      <c r="H4204">
        <v>5</v>
      </c>
      <c r="I4204" t="s">
        <v>89</v>
      </c>
      <c r="J4204">
        <v>25.34</v>
      </c>
      <c r="K4204">
        <v>7</v>
      </c>
      <c r="L4204">
        <v>5</v>
      </c>
      <c r="M4204" t="s">
        <v>6362</v>
      </c>
      <c r="N4204">
        <v>11</v>
      </c>
      <c r="O4204">
        <v>12.33</v>
      </c>
      <c r="P4204">
        <v>139800.48000000001</v>
      </c>
      <c r="Q4204">
        <v>95329.65</v>
      </c>
      <c r="R4204">
        <v>420</v>
      </c>
      <c r="S4204">
        <v>1622</v>
      </c>
      <c r="T4204" t="s">
        <v>34</v>
      </c>
      <c r="U4204" t="s">
        <v>31</v>
      </c>
    </row>
    <row r="4205" spans="1:21">
      <c r="A4205" t="s">
        <v>6561</v>
      </c>
      <c r="B4205" t="s">
        <v>6562</v>
      </c>
      <c r="C4205" t="s">
        <v>3059</v>
      </c>
      <c r="D4205">
        <v>90000</v>
      </c>
      <c r="E4205">
        <v>8000</v>
      </c>
      <c r="F4205">
        <v>90000</v>
      </c>
      <c r="G4205">
        <v>90000</v>
      </c>
      <c r="H4205">
        <v>3</v>
      </c>
      <c r="I4205" t="s">
        <v>89</v>
      </c>
      <c r="J4205">
        <v>20.02</v>
      </c>
      <c r="K4205">
        <v>20</v>
      </c>
      <c r="L4205">
        <v>9</v>
      </c>
      <c r="M4205" t="s">
        <v>6362</v>
      </c>
      <c r="N4205">
        <v>3</v>
      </c>
      <c r="O4205">
        <v>5.67</v>
      </c>
      <c r="P4205">
        <v>139800.48000000001</v>
      </c>
      <c r="Q4205">
        <v>95329.65</v>
      </c>
      <c r="R4205">
        <v>420</v>
      </c>
      <c r="S4205">
        <v>1622</v>
      </c>
      <c r="T4205" t="s">
        <v>34</v>
      </c>
      <c r="U4205" t="s">
        <v>90</v>
      </c>
    </row>
    <row r="4206" spans="1:21">
      <c r="A4206" t="s">
        <v>6563</v>
      </c>
      <c r="B4206" t="s">
        <v>6562</v>
      </c>
      <c r="C4206" t="s">
        <v>3059</v>
      </c>
      <c r="D4206">
        <v>93000</v>
      </c>
      <c r="E4206">
        <v>8000</v>
      </c>
      <c r="F4206">
        <v>93000</v>
      </c>
      <c r="G4206">
        <v>93000</v>
      </c>
      <c r="H4206">
        <v>4</v>
      </c>
      <c r="I4206" t="s">
        <v>89</v>
      </c>
      <c r="J4206">
        <v>20.02</v>
      </c>
      <c r="K4206">
        <v>20</v>
      </c>
      <c r="L4206">
        <v>9</v>
      </c>
      <c r="M4206" t="s">
        <v>6362</v>
      </c>
      <c r="N4206">
        <v>3</v>
      </c>
      <c r="O4206">
        <v>5.67</v>
      </c>
      <c r="P4206">
        <v>139800.48000000001</v>
      </c>
      <c r="Q4206">
        <v>95329.65</v>
      </c>
      <c r="R4206">
        <v>420</v>
      </c>
      <c r="S4206">
        <v>1622</v>
      </c>
      <c r="T4206" t="s">
        <v>34</v>
      </c>
      <c r="U4206" t="s">
        <v>90</v>
      </c>
    </row>
    <row r="4207" spans="1:21">
      <c r="A4207" t="s">
        <v>6564</v>
      </c>
      <c r="B4207" t="s">
        <v>6565</v>
      </c>
      <c r="C4207" t="s">
        <v>104</v>
      </c>
      <c r="D4207">
        <v>40000</v>
      </c>
      <c r="H4207">
        <v>2</v>
      </c>
      <c r="I4207" t="s">
        <v>89</v>
      </c>
      <c r="J4207">
        <v>15</v>
      </c>
      <c r="K4207">
        <v>53</v>
      </c>
      <c r="L4207">
        <v>2</v>
      </c>
      <c r="M4207" t="s">
        <v>6362</v>
      </c>
      <c r="N4207">
        <v>3</v>
      </c>
      <c r="O4207">
        <v>5</v>
      </c>
      <c r="P4207">
        <v>139800.48000000001</v>
      </c>
      <c r="Q4207">
        <v>95329.65</v>
      </c>
      <c r="R4207">
        <v>420</v>
      </c>
      <c r="S4207">
        <v>1622</v>
      </c>
      <c r="T4207" t="s">
        <v>108</v>
      </c>
      <c r="U4207" t="s">
        <v>57</v>
      </c>
    </row>
    <row r="4208" spans="1:21">
      <c r="A4208" t="s">
        <v>6566</v>
      </c>
      <c r="B4208" t="s">
        <v>6567</v>
      </c>
      <c r="C4208" t="s">
        <v>1768</v>
      </c>
      <c r="D4208">
        <v>126000</v>
      </c>
      <c r="E4208">
        <v>10000</v>
      </c>
      <c r="F4208">
        <v>126000</v>
      </c>
      <c r="G4208">
        <v>126000</v>
      </c>
      <c r="H4208">
        <v>3</v>
      </c>
      <c r="I4208" t="s">
        <v>89</v>
      </c>
      <c r="J4208">
        <v>25.36</v>
      </c>
      <c r="K4208">
        <v>1</v>
      </c>
      <c r="L4208">
        <v>4</v>
      </c>
      <c r="M4208" t="s">
        <v>6362</v>
      </c>
      <c r="N4208">
        <v>7</v>
      </c>
      <c r="O4208">
        <v>8</v>
      </c>
      <c r="P4208">
        <v>139800.48000000001</v>
      </c>
      <c r="Q4208">
        <v>95329.65</v>
      </c>
      <c r="R4208">
        <v>420</v>
      </c>
      <c r="S4208">
        <v>1622</v>
      </c>
      <c r="T4208" t="s">
        <v>34</v>
      </c>
      <c r="U4208" t="s">
        <v>31</v>
      </c>
    </row>
    <row r="4209" spans="1:21">
      <c r="A4209" t="s">
        <v>6568</v>
      </c>
      <c r="B4209" t="s">
        <v>6569</v>
      </c>
      <c r="C4209" t="s">
        <v>3025</v>
      </c>
      <c r="D4209">
        <v>100000</v>
      </c>
      <c r="E4209">
        <v>5000</v>
      </c>
      <c r="F4209">
        <v>100000</v>
      </c>
      <c r="G4209">
        <v>100000</v>
      </c>
      <c r="H4209">
        <v>2</v>
      </c>
      <c r="I4209" t="s">
        <v>89</v>
      </c>
      <c r="J4209">
        <v>22.52</v>
      </c>
      <c r="K4209">
        <v>3</v>
      </c>
      <c r="L4209">
        <v>2</v>
      </c>
      <c r="M4209" t="s">
        <v>6362</v>
      </c>
      <c r="N4209">
        <v>6</v>
      </c>
      <c r="O4209">
        <v>8.67</v>
      </c>
      <c r="P4209">
        <v>139800.48000000001</v>
      </c>
      <c r="Q4209">
        <v>95329.65</v>
      </c>
      <c r="R4209">
        <v>420</v>
      </c>
      <c r="S4209">
        <v>1622</v>
      </c>
      <c r="T4209" t="s">
        <v>34</v>
      </c>
      <c r="U4209" t="s">
        <v>31</v>
      </c>
    </row>
    <row r="4210" spans="1:21">
      <c r="A4210" t="s">
        <v>6570</v>
      </c>
      <c r="B4210" t="s">
        <v>6571</v>
      </c>
      <c r="C4210" t="s">
        <v>3025</v>
      </c>
      <c r="D4210">
        <v>87000</v>
      </c>
      <c r="E4210">
        <v>3000</v>
      </c>
      <c r="F4210">
        <v>87000</v>
      </c>
      <c r="G4210">
        <v>87000</v>
      </c>
      <c r="H4210">
        <v>1</v>
      </c>
      <c r="I4210" t="s">
        <v>89</v>
      </c>
      <c r="J4210">
        <v>18.760000000000002</v>
      </c>
      <c r="K4210">
        <v>3</v>
      </c>
      <c r="L4210">
        <v>2</v>
      </c>
      <c r="M4210" t="s">
        <v>6362</v>
      </c>
      <c r="N4210">
        <v>6</v>
      </c>
      <c r="O4210">
        <v>8.67</v>
      </c>
      <c r="P4210">
        <v>139800.48000000001</v>
      </c>
      <c r="Q4210">
        <v>95329.65</v>
      </c>
      <c r="R4210">
        <v>420</v>
      </c>
      <c r="S4210">
        <v>1622</v>
      </c>
      <c r="T4210" t="s">
        <v>108</v>
      </c>
      <c r="U4210" t="s">
        <v>31</v>
      </c>
    </row>
    <row r="4211" spans="1:21">
      <c r="A4211" t="s">
        <v>6572</v>
      </c>
      <c r="B4211" t="s">
        <v>6571</v>
      </c>
      <c r="C4211" t="s">
        <v>3025</v>
      </c>
      <c r="D4211">
        <v>100000</v>
      </c>
      <c r="E4211">
        <v>5000</v>
      </c>
      <c r="F4211">
        <v>100000</v>
      </c>
      <c r="G4211">
        <v>100000</v>
      </c>
      <c r="H4211">
        <v>1</v>
      </c>
      <c r="I4211" t="s">
        <v>89</v>
      </c>
      <c r="J4211">
        <v>25.01</v>
      </c>
      <c r="K4211">
        <v>3</v>
      </c>
      <c r="L4211">
        <v>2</v>
      </c>
      <c r="M4211" t="s">
        <v>6362</v>
      </c>
      <c r="N4211">
        <v>6</v>
      </c>
      <c r="O4211">
        <v>8.67</v>
      </c>
      <c r="P4211">
        <v>139800.48000000001</v>
      </c>
      <c r="Q4211">
        <v>95329.65</v>
      </c>
      <c r="R4211">
        <v>420</v>
      </c>
      <c r="S4211">
        <v>1622</v>
      </c>
      <c r="T4211" t="s">
        <v>34</v>
      </c>
      <c r="U4211" t="s">
        <v>31</v>
      </c>
    </row>
    <row r="4212" spans="1:21">
      <c r="A4212" t="s">
        <v>6573</v>
      </c>
      <c r="B4212" t="s">
        <v>6574</v>
      </c>
      <c r="C4212" t="s">
        <v>1890</v>
      </c>
      <c r="D4212">
        <v>110000</v>
      </c>
      <c r="E4212">
        <v>5000</v>
      </c>
      <c r="F4212">
        <v>110000</v>
      </c>
      <c r="H4212">
        <v>2</v>
      </c>
      <c r="I4212" t="s">
        <v>89</v>
      </c>
      <c r="J4212">
        <v>23.52</v>
      </c>
      <c r="K4212">
        <v>1</v>
      </c>
      <c r="L4212">
        <v>2</v>
      </c>
      <c r="M4212" t="s">
        <v>6362</v>
      </c>
      <c r="N4212">
        <v>11</v>
      </c>
      <c r="O4212">
        <v>13.33</v>
      </c>
      <c r="P4212">
        <v>139800.48000000001</v>
      </c>
      <c r="Q4212">
        <v>95329.65</v>
      </c>
      <c r="R4212">
        <v>420</v>
      </c>
      <c r="S4212">
        <v>1622</v>
      </c>
      <c r="T4212" t="s">
        <v>34</v>
      </c>
      <c r="U4212" t="s">
        <v>31</v>
      </c>
    </row>
    <row r="4213" spans="1:21">
      <c r="A4213" t="s">
        <v>6575</v>
      </c>
      <c r="B4213" t="s">
        <v>3561</v>
      </c>
      <c r="C4213" t="s">
        <v>709</v>
      </c>
      <c r="D4213">
        <v>63000</v>
      </c>
      <c r="E4213">
        <v>5000</v>
      </c>
      <c r="H4213">
        <v>1</v>
      </c>
      <c r="I4213" t="s">
        <v>89</v>
      </c>
      <c r="J4213">
        <v>12.94</v>
      </c>
      <c r="K4213">
        <v>7</v>
      </c>
      <c r="L4213">
        <v>2</v>
      </c>
      <c r="M4213" t="s">
        <v>6362</v>
      </c>
      <c r="N4213">
        <v>4</v>
      </c>
      <c r="O4213">
        <v>6.33</v>
      </c>
      <c r="P4213">
        <v>139800.48000000001</v>
      </c>
      <c r="Q4213">
        <v>95329.65</v>
      </c>
      <c r="R4213">
        <v>420</v>
      </c>
      <c r="S4213">
        <v>1622</v>
      </c>
      <c r="T4213" t="s">
        <v>108</v>
      </c>
      <c r="U4213" t="s">
        <v>31</v>
      </c>
    </row>
    <row r="4214" spans="1:21">
      <c r="A4214" t="s">
        <v>6576</v>
      </c>
      <c r="B4214" t="s">
        <v>6577</v>
      </c>
      <c r="C4214" t="s">
        <v>1890</v>
      </c>
      <c r="D4214">
        <v>74000</v>
      </c>
      <c r="E4214">
        <v>2000</v>
      </c>
      <c r="F4214">
        <v>74000</v>
      </c>
      <c r="G4214">
        <v>74000</v>
      </c>
      <c r="H4214">
        <v>1</v>
      </c>
      <c r="I4214" t="s">
        <v>89</v>
      </c>
      <c r="J4214">
        <v>17.600000000000001</v>
      </c>
      <c r="K4214">
        <v>32</v>
      </c>
      <c r="L4214">
        <v>3</v>
      </c>
      <c r="M4214" t="s">
        <v>6362</v>
      </c>
      <c r="N4214">
        <v>11</v>
      </c>
      <c r="O4214">
        <v>13.33</v>
      </c>
      <c r="P4214">
        <v>139800.48000000001</v>
      </c>
      <c r="Q4214">
        <v>95329.65</v>
      </c>
      <c r="R4214">
        <v>420</v>
      </c>
      <c r="S4214">
        <v>1622</v>
      </c>
      <c r="T4214" t="s">
        <v>108</v>
      </c>
      <c r="U4214" t="s">
        <v>49</v>
      </c>
    </row>
    <row r="4215" spans="1:21">
      <c r="A4215" t="s">
        <v>6578</v>
      </c>
      <c r="B4215" t="s">
        <v>6577</v>
      </c>
      <c r="C4215" t="s">
        <v>1890</v>
      </c>
      <c r="D4215">
        <v>73000</v>
      </c>
      <c r="E4215">
        <v>2000</v>
      </c>
      <c r="F4215">
        <v>73000</v>
      </c>
      <c r="G4215">
        <v>73000</v>
      </c>
      <c r="H4215">
        <v>1</v>
      </c>
      <c r="I4215" t="s">
        <v>89</v>
      </c>
      <c r="J4215">
        <v>18.7</v>
      </c>
      <c r="K4215">
        <v>32</v>
      </c>
      <c r="L4215">
        <v>3</v>
      </c>
      <c r="M4215" t="s">
        <v>6362</v>
      </c>
      <c r="N4215">
        <v>11</v>
      </c>
      <c r="O4215">
        <v>13.33</v>
      </c>
      <c r="P4215">
        <v>139800.48000000001</v>
      </c>
      <c r="Q4215">
        <v>95329.65</v>
      </c>
      <c r="R4215">
        <v>420</v>
      </c>
      <c r="S4215">
        <v>1622</v>
      </c>
      <c r="T4215" t="s">
        <v>108</v>
      </c>
      <c r="U4215" t="s">
        <v>49</v>
      </c>
    </row>
    <row r="4216" spans="1:21">
      <c r="A4216" t="s">
        <v>6579</v>
      </c>
      <c r="B4216" t="s">
        <v>6577</v>
      </c>
      <c r="C4216" t="s">
        <v>1890</v>
      </c>
      <c r="D4216">
        <v>77000</v>
      </c>
      <c r="E4216">
        <v>2000</v>
      </c>
      <c r="F4216">
        <v>77000</v>
      </c>
      <c r="G4216">
        <v>77000</v>
      </c>
      <c r="H4216">
        <v>2</v>
      </c>
      <c r="I4216" t="s">
        <v>89</v>
      </c>
      <c r="J4216">
        <v>18.7</v>
      </c>
      <c r="K4216">
        <v>32</v>
      </c>
      <c r="L4216">
        <v>3</v>
      </c>
      <c r="M4216" t="s">
        <v>6362</v>
      </c>
      <c r="N4216">
        <v>11</v>
      </c>
      <c r="O4216">
        <v>13.33</v>
      </c>
      <c r="P4216">
        <v>139800.48000000001</v>
      </c>
      <c r="Q4216">
        <v>95329.65</v>
      </c>
      <c r="R4216">
        <v>420</v>
      </c>
      <c r="S4216">
        <v>1622</v>
      </c>
      <c r="T4216" t="s">
        <v>108</v>
      </c>
      <c r="U4216" t="s">
        <v>49</v>
      </c>
    </row>
    <row r="4217" spans="1:21">
      <c r="A4217" t="s">
        <v>6580</v>
      </c>
      <c r="B4217" t="s">
        <v>6581</v>
      </c>
      <c r="C4217" t="s">
        <v>1768</v>
      </c>
      <c r="D4217">
        <v>101000</v>
      </c>
      <c r="E4217">
        <v>7500</v>
      </c>
      <c r="G4217">
        <v>101000</v>
      </c>
      <c r="H4217">
        <v>1</v>
      </c>
      <c r="I4217" t="s">
        <v>89</v>
      </c>
      <c r="J4217">
        <v>18.5</v>
      </c>
      <c r="K4217">
        <v>18</v>
      </c>
      <c r="L4217">
        <v>4</v>
      </c>
      <c r="M4217" t="s">
        <v>6362</v>
      </c>
      <c r="N4217">
        <v>10</v>
      </c>
      <c r="O4217">
        <v>11.33</v>
      </c>
      <c r="P4217">
        <v>139800.48000000001</v>
      </c>
      <c r="Q4217">
        <v>95329.65</v>
      </c>
      <c r="R4217">
        <v>420</v>
      </c>
      <c r="S4217">
        <v>1622</v>
      </c>
      <c r="T4217" t="s">
        <v>108</v>
      </c>
      <c r="U4217" t="s">
        <v>90</v>
      </c>
    </row>
    <row r="4218" spans="1:21">
      <c r="A4218" t="s">
        <v>6582</v>
      </c>
      <c r="B4218" t="s">
        <v>6581</v>
      </c>
      <c r="C4218" t="s">
        <v>1768</v>
      </c>
      <c r="D4218">
        <v>110000</v>
      </c>
      <c r="E4218">
        <v>7500</v>
      </c>
      <c r="G4218">
        <v>110000</v>
      </c>
      <c r="H4218">
        <v>4</v>
      </c>
      <c r="I4218" t="s">
        <v>89</v>
      </c>
      <c r="J4218">
        <v>18.5</v>
      </c>
      <c r="K4218">
        <v>18</v>
      </c>
      <c r="L4218">
        <v>4</v>
      </c>
      <c r="M4218" t="s">
        <v>6362</v>
      </c>
      <c r="N4218">
        <v>10</v>
      </c>
      <c r="O4218">
        <v>11.33</v>
      </c>
      <c r="P4218">
        <v>139800.48000000001</v>
      </c>
      <c r="Q4218">
        <v>95329.65</v>
      </c>
      <c r="R4218">
        <v>420</v>
      </c>
      <c r="S4218">
        <v>1622</v>
      </c>
      <c r="T4218" t="s">
        <v>108</v>
      </c>
      <c r="U4218" t="s">
        <v>90</v>
      </c>
    </row>
    <row r="4219" spans="1:21">
      <c r="A4219" t="s">
        <v>6583</v>
      </c>
      <c r="B4219" t="s">
        <v>6584</v>
      </c>
      <c r="C4219" t="s">
        <v>688</v>
      </c>
      <c r="D4219">
        <v>73000</v>
      </c>
      <c r="E4219">
        <v>5000</v>
      </c>
      <c r="H4219">
        <v>1</v>
      </c>
      <c r="I4219" t="s">
        <v>89</v>
      </c>
      <c r="J4219">
        <v>21.46</v>
      </c>
      <c r="K4219">
        <v>23</v>
      </c>
      <c r="L4219">
        <v>4</v>
      </c>
      <c r="M4219" t="s">
        <v>6362</v>
      </c>
      <c r="N4219">
        <v>8</v>
      </c>
      <c r="O4219">
        <v>9.33</v>
      </c>
      <c r="P4219">
        <v>139800.48000000001</v>
      </c>
      <c r="Q4219">
        <v>95329.65</v>
      </c>
      <c r="R4219">
        <v>420</v>
      </c>
      <c r="S4219">
        <v>1622</v>
      </c>
      <c r="T4219" t="s">
        <v>34</v>
      </c>
      <c r="U4219" t="s">
        <v>27</v>
      </c>
    </row>
    <row r="4220" spans="1:21">
      <c r="A4220" t="s">
        <v>6585</v>
      </c>
      <c r="B4220" t="s">
        <v>6584</v>
      </c>
      <c r="C4220" t="s">
        <v>1890</v>
      </c>
      <c r="D4220">
        <v>95000</v>
      </c>
      <c r="E4220">
        <v>5000</v>
      </c>
      <c r="G4220">
        <v>190000</v>
      </c>
      <c r="H4220">
        <v>3</v>
      </c>
      <c r="I4220" t="s">
        <v>89</v>
      </c>
      <c r="J4220">
        <v>25.6</v>
      </c>
      <c r="K4220">
        <v>23</v>
      </c>
      <c r="L4220">
        <v>4</v>
      </c>
      <c r="M4220" t="s">
        <v>6362</v>
      </c>
      <c r="N4220">
        <v>3</v>
      </c>
      <c r="O4220">
        <v>7.33</v>
      </c>
      <c r="P4220">
        <v>139800.48000000001</v>
      </c>
      <c r="Q4220">
        <v>95329.65</v>
      </c>
      <c r="R4220">
        <v>420</v>
      </c>
      <c r="S4220">
        <v>1622</v>
      </c>
      <c r="T4220" t="s">
        <v>34</v>
      </c>
      <c r="U4220" t="s">
        <v>27</v>
      </c>
    </row>
    <row r="4221" spans="1:21">
      <c r="A4221" t="s">
        <v>6586</v>
      </c>
      <c r="B4221" t="s">
        <v>6587</v>
      </c>
      <c r="C4221" t="s">
        <v>3025</v>
      </c>
      <c r="D4221">
        <v>125000</v>
      </c>
      <c r="F4221">
        <v>125000</v>
      </c>
      <c r="G4221">
        <v>125000</v>
      </c>
      <c r="H4221">
        <v>4</v>
      </c>
      <c r="I4221" t="s">
        <v>89</v>
      </c>
      <c r="J4221">
        <v>23.64</v>
      </c>
      <c r="K4221">
        <v>15</v>
      </c>
      <c r="L4221">
        <v>9</v>
      </c>
      <c r="M4221" t="s">
        <v>6362</v>
      </c>
      <c r="N4221">
        <v>7</v>
      </c>
      <c r="O4221">
        <v>11.33</v>
      </c>
      <c r="P4221">
        <v>139800.48000000001</v>
      </c>
      <c r="Q4221">
        <v>95329.65</v>
      </c>
      <c r="R4221">
        <v>420</v>
      </c>
      <c r="S4221">
        <v>1622</v>
      </c>
      <c r="T4221" t="s">
        <v>34</v>
      </c>
      <c r="U4221" t="s">
        <v>90</v>
      </c>
    </row>
    <row r="4222" spans="1:21">
      <c r="A4222" t="s">
        <v>6588</v>
      </c>
      <c r="B4222" t="s">
        <v>6589</v>
      </c>
      <c r="C4222" t="s">
        <v>48</v>
      </c>
      <c r="D4222">
        <v>100000</v>
      </c>
      <c r="E4222">
        <v>10000</v>
      </c>
      <c r="H4222">
        <v>3</v>
      </c>
      <c r="I4222" t="s">
        <v>89</v>
      </c>
      <c r="J4222">
        <v>25.58</v>
      </c>
      <c r="K4222">
        <v>10</v>
      </c>
      <c r="L4222">
        <v>5</v>
      </c>
      <c r="M4222" t="s">
        <v>6362</v>
      </c>
      <c r="N4222">
        <v>8</v>
      </c>
      <c r="O4222">
        <v>8.67</v>
      </c>
      <c r="P4222">
        <v>139800.48000000001</v>
      </c>
      <c r="Q4222">
        <v>95329.65</v>
      </c>
      <c r="R4222">
        <v>420</v>
      </c>
      <c r="S4222">
        <v>1622</v>
      </c>
      <c r="T4222" t="s">
        <v>34</v>
      </c>
      <c r="U4222" t="s">
        <v>31</v>
      </c>
    </row>
    <row r="4223" spans="1:21">
      <c r="A4223" t="s">
        <v>6590</v>
      </c>
      <c r="B4223" t="s">
        <v>6591</v>
      </c>
      <c r="C4223" t="s">
        <v>3195</v>
      </c>
      <c r="D4223">
        <v>109000</v>
      </c>
      <c r="E4223">
        <v>6000</v>
      </c>
      <c r="G4223">
        <v>218000</v>
      </c>
      <c r="H4223">
        <v>1</v>
      </c>
      <c r="I4223" t="s">
        <v>89</v>
      </c>
      <c r="J4223">
        <v>26.6</v>
      </c>
      <c r="K4223">
        <v>8</v>
      </c>
      <c r="L4223">
        <v>3</v>
      </c>
      <c r="M4223" t="s">
        <v>6362</v>
      </c>
      <c r="N4223">
        <v>3</v>
      </c>
      <c r="O4223">
        <v>7.67</v>
      </c>
      <c r="P4223">
        <v>139800.48000000001</v>
      </c>
      <c r="Q4223">
        <v>95329.65</v>
      </c>
      <c r="R4223">
        <v>420</v>
      </c>
      <c r="S4223">
        <v>1622</v>
      </c>
      <c r="T4223" t="s">
        <v>34</v>
      </c>
      <c r="U4223" t="s">
        <v>31</v>
      </c>
    </row>
    <row r="4224" spans="1:21">
      <c r="A4224" t="s">
        <v>6592</v>
      </c>
      <c r="B4224" t="s">
        <v>6593</v>
      </c>
      <c r="C4224" t="s">
        <v>3025</v>
      </c>
      <c r="D4224">
        <v>125000</v>
      </c>
      <c r="F4224">
        <v>125000</v>
      </c>
      <c r="G4224">
        <v>125000</v>
      </c>
      <c r="H4224">
        <v>4</v>
      </c>
      <c r="I4224" t="s">
        <v>89</v>
      </c>
      <c r="J4224">
        <v>23.64</v>
      </c>
      <c r="K4224">
        <v>15</v>
      </c>
      <c r="L4224">
        <v>9</v>
      </c>
      <c r="M4224" t="s">
        <v>6362</v>
      </c>
      <c r="N4224">
        <v>7</v>
      </c>
      <c r="O4224">
        <v>8.67</v>
      </c>
      <c r="P4224">
        <v>139800.48000000001</v>
      </c>
      <c r="Q4224">
        <v>95329.65</v>
      </c>
      <c r="R4224">
        <v>420</v>
      </c>
      <c r="S4224">
        <v>1622</v>
      </c>
      <c r="T4224" t="s">
        <v>34</v>
      </c>
      <c r="U4224" t="s">
        <v>90</v>
      </c>
    </row>
    <row r="4225" spans="1:21">
      <c r="A4225" t="s">
        <v>6594</v>
      </c>
      <c r="B4225" t="s">
        <v>6595</v>
      </c>
      <c r="C4225" t="s">
        <v>1768</v>
      </c>
      <c r="D4225">
        <v>134000</v>
      </c>
      <c r="E4225">
        <v>8000</v>
      </c>
      <c r="F4225">
        <v>134000</v>
      </c>
      <c r="G4225">
        <v>134000</v>
      </c>
      <c r="H4225">
        <v>10</v>
      </c>
      <c r="I4225" t="s">
        <v>89</v>
      </c>
      <c r="J4225">
        <v>25.64</v>
      </c>
      <c r="K4225">
        <v>17</v>
      </c>
      <c r="L4225">
        <v>11</v>
      </c>
      <c r="M4225" t="s">
        <v>6362</v>
      </c>
      <c r="N4225">
        <v>8</v>
      </c>
      <c r="O4225">
        <v>10.67</v>
      </c>
      <c r="P4225">
        <v>139800.48000000001</v>
      </c>
      <c r="Q4225">
        <v>95329.65</v>
      </c>
      <c r="R4225">
        <v>420</v>
      </c>
      <c r="S4225">
        <v>1622</v>
      </c>
      <c r="T4225" t="s">
        <v>34</v>
      </c>
      <c r="U4225" t="s">
        <v>90</v>
      </c>
    </row>
    <row r="4226" spans="1:21">
      <c r="A4226" t="s">
        <v>6596</v>
      </c>
      <c r="B4226" t="s">
        <v>6595</v>
      </c>
      <c r="C4226" t="s">
        <v>1768</v>
      </c>
      <c r="D4226">
        <v>142000</v>
      </c>
      <c r="E4226">
        <v>8000</v>
      </c>
      <c r="F4226">
        <v>142000</v>
      </c>
      <c r="G4226">
        <v>142000</v>
      </c>
      <c r="H4226">
        <v>2</v>
      </c>
      <c r="I4226" t="s">
        <v>89</v>
      </c>
      <c r="J4226">
        <v>27.67</v>
      </c>
      <c r="K4226">
        <v>17</v>
      </c>
      <c r="L4226">
        <v>11</v>
      </c>
      <c r="M4226" t="s">
        <v>6362</v>
      </c>
      <c r="N4226">
        <v>8</v>
      </c>
      <c r="O4226">
        <v>10.67</v>
      </c>
      <c r="P4226">
        <v>139800.48000000001</v>
      </c>
      <c r="Q4226">
        <v>95329.65</v>
      </c>
      <c r="R4226">
        <v>420</v>
      </c>
      <c r="S4226">
        <v>1622</v>
      </c>
      <c r="T4226" t="s">
        <v>34</v>
      </c>
      <c r="U4226" t="s">
        <v>90</v>
      </c>
    </row>
    <row r="4227" spans="1:21">
      <c r="A4227" t="s">
        <v>6597</v>
      </c>
      <c r="B4227" t="s">
        <v>6598</v>
      </c>
      <c r="C4227" t="s">
        <v>1890</v>
      </c>
      <c r="D4227">
        <v>75000</v>
      </c>
      <c r="E4227">
        <v>3000</v>
      </c>
      <c r="F4227">
        <v>75000</v>
      </c>
      <c r="H4227">
        <v>2</v>
      </c>
      <c r="I4227" t="s">
        <v>89</v>
      </c>
      <c r="J4227">
        <v>18.579999999999998</v>
      </c>
      <c r="K4227">
        <v>23</v>
      </c>
      <c r="L4227">
        <v>4</v>
      </c>
      <c r="M4227" t="s">
        <v>6362</v>
      </c>
      <c r="N4227">
        <v>12</v>
      </c>
      <c r="O4227">
        <v>13</v>
      </c>
      <c r="P4227">
        <v>139800.48000000001</v>
      </c>
      <c r="Q4227">
        <v>95329.65</v>
      </c>
      <c r="R4227">
        <v>420</v>
      </c>
      <c r="S4227">
        <v>1622</v>
      </c>
      <c r="T4227" t="s">
        <v>108</v>
      </c>
      <c r="U4227" t="s">
        <v>27</v>
      </c>
    </row>
    <row r="4228" spans="1:21">
      <c r="A4228" t="s">
        <v>6599</v>
      </c>
      <c r="B4228" t="s">
        <v>6600</v>
      </c>
      <c r="C4228" t="s">
        <v>709</v>
      </c>
      <c r="D4228">
        <v>105000</v>
      </c>
      <c r="E4228">
        <v>3000</v>
      </c>
      <c r="F4228">
        <v>105000</v>
      </c>
      <c r="G4228">
        <v>105000</v>
      </c>
      <c r="H4228">
        <v>2</v>
      </c>
      <c r="I4228" t="s">
        <v>325</v>
      </c>
      <c r="J4228">
        <v>31.7</v>
      </c>
      <c r="K4228">
        <v>8</v>
      </c>
      <c r="L4228">
        <v>3</v>
      </c>
      <c r="M4228" t="s">
        <v>6362</v>
      </c>
      <c r="N4228">
        <v>2</v>
      </c>
      <c r="O4228">
        <v>6.33</v>
      </c>
      <c r="P4228">
        <v>139800.48000000001</v>
      </c>
      <c r="Q4228">
        <v>168453.81</v>
      </c>
      <c r="R4228">
        <v>420</v>
      </c>
      <c r="S4228">
        <v>788</v>
      </c>
      <c r="T4228" t="s">
        <v>26</v>
      </c>
      <c r="U4228" t="s">
        <v>31</v>
      </c>
    </row>
    <row r="4229" spans="1:21">
      <c r="A4229" t="s">
        <v>6601</v>
      </c>
      <c r="B4229" t="s">
        <v>6602</v>
      </c>
      <c r="C4229" t="s">
        <v>1890</v>
      </c>
      <c r="D4229">
        <v>123000</v>
      </c>
      <c r="F4229">
        <v>123000</v>
      </c>
      <c r="G4229">
        <v>123000</v>
      </c>
      <c r="H4229">
        <v>1</v>
      </c>
      <c r="I4229" t="s">
        <v>325</v>
      </c>
      <c r="J4229">
        <v>31.97</v>
      </c>
      <c r="K4229">
        <v>3</v>
      </c>
      <c r="L4229">
        <v>2</v>
      </c>
      <c r="M4229" t="s">
        <v>6362</v>
      </c>
      <c r="N4229">
        <v>8</v>
      </c>
      <c r="O4229">
        <v>9.33</v>
      </c>
      <c r="P4229">
        <v>139800.48000000001</v>
      </c>
      <c r="Q4229">
        <v>168453.81</v>
      </c>
      <c r="R4229">
        <v>420</v>
      </c>
      <c r="S4229">
        <v>788</v>
      </c>
      <c r="T4229" t="s">
        <v>26</v>
      </c>
      <c r="U4229" t="s">
        <v>31</v>
      </c>
    </row>
    <row r="4230" spans="1:21">
      <c r="A4230" t="s">
        <v>6603</v>
      </c>
      <c r="B4230" t="s">
        <v>6604</v>
      </c>
      <c r="C4230" t="s">
        <v>3195</v>
      </c>
      <c r="D4230">
        <v>160000</v>
      </c>
      <c r="E4230">
        <v>10000</v>
      </c>
      <c r="F4230">
        <v>160000</v>
      </c>
      <c r="G4230">
        <v>160000</v>
      </c>
      <c r="H4230">
        <v>10</v>
      </c>
      <c r="I4230" t="s">
        <v>325</v>
      </c>
      <c r="J4230">
        <v>41.31</v>
      </c>
      <c r="K4230">
        <v>17</v>
      </c>
      <c r="L4230">
        <v>11</v>
      </c>
      <c r="M4230" t="s">
        <v>6362</v>
      </c>
      <c r="N4230">
        <v>1</v>
      </c>
      <c r="O4230">
        <v>4</v>
      </c>
      <c r="P4230">
        <v>139800.48000000001</v>
      </c>
      <c r="Q4230">
        <v>168453.81</v>
      </c>
      <c r="R4230">
        <v>420</v>
      </c>
      <c r="S4230">
        <v>788</v>
      </c>
      <c r="T4230" t="s">
        <v>326</v>
      </c>
      <c r="U4230" t="s">
        <v>90</v>
      </c>
    </row>
    <row r="4231" spans="1:21">
      <c r="A4231" t="s">
        <v>6605</v>
      </c>
      <c r="B4231" t="s">
        <v>6421</v>
      </c>
      <c r="C4231" t="s">
        <v>709</v>
      </c>
      <c r="D4231">
        <v>170000</v>
      </c>
      <c r="E4231">
        <v>20000</v>
      </c>
      <c r="F4231">
        <v>170000</v>
      </c>
      <c r="G4231">
        <v>170000</v>
      </c>
      <c r="H4231">
        <v>1</v>
      </c>
      <c r="I4231" t="s">
        <v>325</v>
      </c>
      <c r="J4231">
        <v>39.06</v>
      </c>
      <c r="K4231">
        <v>0</v>
      </c>
      <c r="L4231">
        <v>4</v>
      </c>
      <c r="M4231" t="s">
        <v>6362</v>
      </c>
      <c r="N4231">
        <v>6</v>
      </c>
      <c r="O4231">
        <v>8</v>
      </c>
      <c r="P4231">
        <v>139800.48000000001</v>
      </c>
      <c r="Q4231">
        <v>168453.81</v>
      </c>
      <c r="R4231">
        <v>420</v>
      </c>
      <c r="S4231">
        <v>788</v>
      </c>
      <c r="T4231" t="s">
        <v>26</v>
      </c>
      <c r="U4231" t="s">
        <v>81</v>
      </c>
    </row>
    <row r="4232" spans="1:21">
      <c r="A4232" t="s">
        <v>6606</v>
      </c>
      <c r="B4232" t="s">
        <v>6421</v>
      </c>
      <c r="C4232" t="s">
        <v>709</v>
      </c>
      <c r="D4232">
        <v>183000</v>
      </c>
      <c r="E4232">
        <v>15000</v>
      </c>
      <c r="F4232">
        <v>183000</v>
      </c>
      <c r="G4232">
        <v>183000</v>
      </c>
      <c r="H4232">
        <v>1</v>
      </c>
      <c r="I4232" t="s">
        <v>325</v>
      </c>
      <c r="J4232">
        <v>39.06</v>
      </c>
      <c r="K4232">
        <v>0</v>
      </c>
      <c r="L4232">
        <v>4</v>
      </c>
      <c r="M4232" t="s">
        <v>6362</v>
      </c>
      <c r="N4232">
        <v>6</v>
      </c>
      <c r="O4232">
        <v>8</v>
      </c>
      <c r="P4232">
        <v>139800.48000000001</v>
      </c>
      <c r="Q4232">
        <v>168453.81</v>
      </c>
      <c r="R4232">
        <v>420</v>
      </c>
      <c r="S4232">
        <v>788</v>
      </c>
      <c r="T4232" t="s">
        <v>26</v>
      </c>
      <c r="U4232" t="s">
        <v>81</v>
      </c>
    </row>
    <row r="4233" spans="1:21">
      <c r="A4233" t="s">
        <v>6607</v>
      </c>
      <c r="B4233" t="s">
        <v>6421</v>
      </c>
      <c r="C4233" t="s">
        <v>709</v>
      </c>
      <c r="D4233">
        <v>178000</v>
      </c>
      <c r="E4233">
        <v>20000</v>
      </c>
      <c r="F4233">
        <v>178000</v>
      </c>
      <c r="G4233">
        <v>178000</v>
      </c>
      <c r="H4233">
        <v>2</v>
      </c>
      <c r="I4233" t="s">
        <v>325</v>
      </c>
      <c r="J4233">
        <v>39.06</v>
      </c>
      <c r="K4233">
        <v>0</v>
      </c>
      <c r="L4233">
        <v>4</v>
      </c>
      <c r="M4233" t="s">
        <v>6362</v>
      </c>
      <c r="N4233">
        <v>6</v>
      </c>
      <c r="O4233">
        <v>8</v>
      </c>
      <c r="P4233">
        <v>139800.48000000001</v>
      </c>
      <c r="Q4233">
        <v>168453.81</v>
      </c>
      <c r="R4233">
        <v>420</v>
      </c>
      <c r="S4233">
        <v>788</v>
      </c>
      <c r="T4233" t="s">
        <v>26</v>
      </c>
      <c r="U4233" t="s">
        <v>81</v>
      </c>
    </row>
    <row r="4234" spans="1:21">
      <c r="A4234" t="s">
        <v>6608</v>
      </c>
      <c r="B4234" t="s">
        <v>6609</v>
      </c>
      <c r="C4234" t="s">
        <v>104</v>
      </c>
      <c r="D4234">
        <v>148000</v>
      </c>
      <c r="E4234">
        <v>6000</v>
      </c>
      <c r="F4234">
        <v>148000</v>
      </c>
      <c r="G4234">
        <v>148000</v>
      </c>
      <c r="H4234">
        <v>2</v>
      </c>
      <c r="I4234" t="s">
        <v>325</v>
      </c>
      <c r="J4234">
        <v>37.53</v>
      </c>
      <c r="K4234">
        <v>2</v>
      </c>
      <c r="L4234">
        <v>4</v>
      </c>
      <c r="M4234" t="s">
        <v>6362</v>
      </c>
      <c r="N4234">
        <v>4</v>
      </c>
      <c r="O4234">
        <v>7</v>
      </c>
      <c r="P4234">
        <v>139800.48000000001</v>
      </c>
      <c r="Q4234">
        <v>168453.81</v>
      </c>
      <c r="R4234">
        <v>420</v>
      </c>
      <c r="S4234">
        <v>788</v>
      </c>
      <c r="T4234" t="s">
        <v>26</v>
      </c>
      <c r="U4234" t="s">
        <v>31</v>
      </c>
    </row>
    <row r="4235" spans="1:21">
      <c r="A4235" t="s">
        <v>6610</v>
      </c>
      <c r="B4235" t="s">
        <v>6611</v>
      </c>
      <c r="C4235" t="s">
        <v>104</v>
      </c>
      <c r="D4235">
        <v>147000</v>
      </c>
      <c r="F4235">
        <v>147000</v>
      </c>
      <c r="G4235">
        <v>176400</v>
      </c>
      <c r="H4235">
        <v>1</v>
      </c>
      <c r="I4235" t="s">
        <v>325</v>
      </c>
      <c r="J4235">
        <v>33.32</v>
      </c>
      <c r="K4235">
        <v>12</v>
      </c>
      <c r="L4235">
        <v>3</v>
      </c>
      <c r="M4235" t="s">
        <v>6362</v>
      </c>
      <c r="N4235">
        <v>3</v>
      </c>
      <c r="O4235">
        <v>6.33</v>
      </c>
      <c r="P4235">
        <v>139800.48000000001</v>
      </c>
      <c r="Q4235">
        <v>168453.81</v>
      </c>
      <c r="R4235">
        <v>420</v>
      </c>
      <c r="S4235">
        <v>788</v>
      </c>
      <c r="T4235" t="s">
        <v>26</v>
      </c>
      <c r="U4235" t="s">
        <v>90</v>
      </c>
    </row>
    <row r="4236" spans="1:21">
      <c r="A4236" t="s">
        <v>6612</v>
      </c>
      <c r="B4236" t="s">
        <v>6611</v>
      </c>
      <c r="C4236" t="s">
        <v>104</v>
      </c>
      <c r="D4236">
        <v>187000</v>
      </c>
      <c r="F4236">
        <v>187000</v>
      </c>
      <c r="H4236">
        <v>3</v>
      </c>
      <c r="I4236" t="s">
        <v>325</v>
      </c>
      <c r="J4236">
        <v>42.36</v>
      </c>
      <c r="K4236">
        <v>12</v>
      </c>
      <c r="L4236">
        <v>3</v>
      </c>
      <c r="M4236" t="s">
        <v>6362</v>
      </c>
      <c r="N4236">
        <v>3</v>
      </c>
      <c r="O4236">
        <v>6.33</v>
      </c>
      <c r="P4236">
        <v>139800.48000000001</v>
      </c>
      <c r="Q4236">
        <v>168453.81</v>
      </c>
      <c r="R4236">
        <v>420</v>
      </c>
      <c r="S4236">
        <v>788</v>
      </c>
      <c r="T4236" t="s">
        <v>326</v>
      </c>
      <c r="U4236" t="s">
        <v>90</v>
      </c>
    </row>
    <row r="4237" spans="1:21">
      <c r="A4237" t="s">
        <v>6613</v>
      </c>
      <c r="B4237" t="s">
        <v>6611</v>
      </c>
      <c r="C4237" t="s">
        <v>104</v>
      </c>
      <c r="D4237">
        <v>190000</v>
      </c>
      <c r="F4237">
        <v>190000</v>
      </c>
      <c r="G4237">
        <v>228000</v>
      </c>
      <c r="H4237">
        <v>3</v>
      </c>
      <c r="I4237" t="s">
        <v>325</v>
      </c>
      <c r="J4237">
        <v>42.36</v>
      </c>
      <c r="K4237">
        <v>12</v>
      </c>
      <c r="L4237">
        <v>3</v>
      </c>
      <c r="M4237" t="s">
        <v>6362</v>
      </c>
      <c r="N4237">
        <v>3</v>
      </c>
      <c r="O4237">
        <v>6.33</v>
      </c>
      <c r="P4237">
        <v>139800.48000000001</v>
      </c>
      <c r="Q4237">
        <v>168453.81</v>
      </c>
      <c r="R4237">
        <v>420</v>
      </c>
      <c r="S4237">
        <v>788</v>
      </c>
      <c r="T4237" t="s">
        <v>326</v>
      </c>
      <c r="U4237" t="s">
        <v>90</v>
      </c>
    </row>
    <row r="4238" spans="1:21">
      <c r="A4238" t="s">
        <v>6614</v>
      </c>
      <c r="B4238" t="s">
        <v>6615</v>
      </c>
      <c r="C4238" t="s">
        <v>104</v>
      </c>
      <c r="D4238">
        <v>153000</v>
      </c>
      <c r="E4238">
        <v>7000</v>
      </c>
      <c r="G4238">
        <v>229500</v>
      </c>
      <c r="H4238">
        <v>1</v>
      </c>
      <c r="I4238" t="s">
        <v>325</v>
      </c>
      <c r="J4238">
        <v>41.53</v>
      </c>
      <c r="K4238">
        <v>15</v>
      </c>
      <c r="L4238">
        <v>2</v>
      </c>
      <c r="M4238" t="s">
        <v>6362</v>
      </c>
      <c r="N4238">
        <v>3</v>
      </c>
      <c r="O4238">
        <v>5.67</v>
      </c>
      <c r="P4238">
        <v>139800.48000000001</v>
      </c>
      <c r="Q4238">
        <v>168453.81</v>
      </c>
      <c r="R4238">
        <v>420</v>
      </c>
      <c r="S4238">
        <v>788</v>
      </c>
      <c r="T4238" t="s">
        <v>326</v>
      </c>
      <c r="U4238" t="s">
        <v>90</v>
      </c>
    </row>
    <row r="4239" spans="1:21">
      <c r="A4239" t="s">
        <v>6616</v>
      </c>
      <c r="B4239" t="s">
        <v>6617</v>
      </c>
      <c r="C4239" t="s">
        <v>1890</v>
      </c>
      <c r="D4239">
        <v>226000</v>
      </c>
      <c r="E4239">
        <v>15000</v>
      </c>
      <c r="F4239">
        <v>226000</v>
      </c>
      <c r="H4239">
        <v>1</v>
      </c>
      <c r="I4239" t="s">
        <v>325</v>
      </c>
      <c r="J4239">
        <v>40.32</v>
      </c>
      <c r="K4239">
        <v>0</v>
      </c>
      <c r="L4239">
        <v>4</v>
      </c>
      <c r="M4239" t="s">
        <v>6362</v>
      </c>
      <c r="N4239">
        <v>9</v>
      </c>
      <c r="O4239">
        <v>9.67</v>
      </c>
      <c r="P4239">
        <v>139800.48000000001</v>
      </c>
      <c r="Q4239">
        <v>168453.81</v>
      </c>
      <c r="R4239">
        <v>420</v>
      </c>
      <c r="S4239">
        <v>788</v>
      </c>
      <c r="T4239" t="s">
        <v>326</v>
      </c>
      <c r="U4239" t="s">
        <v>81</v>
      </c>
    </row>
    <row r="4240" spans="1:21">
      <c r="A4240" t="s">
        <v>6618</v>
      </c>
      <c r="B4240" t="s">
        <v>6617</v>
      </c>
      <c r="C4240" t="s">
        <v>1890</v>
      </c>
      <c r="D4240">
        <v>220000</v>
      </c>
      <c r="E4240">
        <v>15000</v>
      </c>
      <c r="F4240">
        <v>220000</v>
      </c>
      <c r="H4240">
        <v>2</v>
      </c>
      <c r="I4240" t="s">
        <v>325</v>
      </c>
      <c r="J4240">
        <v>40.32</v>
      </c>
      <c r="K4240">
        <v>0</v>
      </c>
      <c r="L4240">
        <v>4</v>
      </c>
      <c r="M4240" t="s">
        <v>6362</v>
      </c>
      <c r="N4240">
        <v>9</v>
      </c>
      <c r="O4240">
        <v>9.67</v>
      </c>
      <c r="P4240">
        <v>139800.48000000001</v>
      </c>
      <c r="Q4240">
        <v>168453.81</v>
      </c>
      <c r="R4240">
        <v>420</v>
      </c>
      <c r="S4240">
        <v>788</v>
      </c>
      <c r="T4240" t="s">
        <v>326</v>
      </c>
      <c r="U4240" t="s">
        <v>81</v>
      </c>
    </row>
    <row r="4241" spans="1:21">
      <c r="A4241" t="s">
        <v>6619</v>
      </c>
      <c r="B4241" t="s">
        <v>6617</v>
      </c>
      <c r="C4241" t="s">
        <v>1890</v>
      </c>
      <c r="D4241">
        <v>222000</v>
      </c>
      <c r="E4241">
        <v>15000</v>
      </c>
      <c r="F4241">
        <v>222000</v>
      </c>
      <c r="H4241">
        <v>2</v>
      </c>
      <c r="I4241" t="s">
        <v>325</v>
      </c>
      <c r="J4241">
        <v>40.6</v>
      </c>
      <c r="K4241">
        <v>0</v>
      </c>
      <c r="L4241">
        <v>4</v>
      </c>
      <c r="M4241" t="s">
        <v>6362</v>
      </c>
      <c r="N4241">
        <v>9</v>
      </c>
      <c r="O4241">
        <v>9.67</v>
      </c>
      <c r="P4241">
        <v>139800.48000000001</v>
      </c>
      <c r="Q4241">
        <v>168453.81</v>
      </c>
      <c r="R4241">
        <v>420</v>
      </c>
      <c r="S4241">
        <v>788</v>
      </c>
      <c r="T4241" t="s">
        <v>326</v>
      </c>
      <c r="U4241" t="s">
        <v>81</v>
      </c>
    </row>
    <row r="4242" spans="1:21">
      <c r="A4242" t="s">
        <v>6620</v>
      </c>
      <c r="B4242" t="s">
        <v>6617</v>
      </c>
      <c r="C4242" t="s">
        <v>1890</v>
      </c>
      <c r="D4242">
        <v>183000</v>
      </c>
      <c r="E4242">
        <v>10000</v>
      </c>
      <c r="F4242">
        <v>183000</v>
      </c>
      <c r="H4242">
        <v>3</v>
      </c>
      <c r="I4242" t="s">
        <v>325</v>
      </c>
      <c r="J4242">
        <v>32.479999999999997</v>
      </c>
      <c r="K4242">
        <v>0</v>
      </c>
      <c r="L4242">
        <v>4</v>
      </c>
      <c r="M4242" t="s">
        <v>6362</v>
      </c>
      <c r="N4242">
        <v>9</v>
      </c>
      <c r="O4242">
        <v>9.67</v>
      </c>
      <c r="P4242">
        <v>139800.48000000001</v>
      </c>
      <c r="Q4242">
        <v>168453.81</v>
      </c>
      <c r="R4242">
        <v>420</v>
      </c>
      <c r="S4242">
        <v>788</v>
      </c>
      <c r="T4242" t="s">
        <v>26</v>
      </c>
      <c r="U4242" t="s">
        <v>81</v>
      </c>
    </row>
    <row r="4243" spans="1:21">
      <c r="A4243" t="s">
        <v>6621</v>
      </c>
      <c r="B4243" t="s">
        <v>6617</v>
      </c>
      <c r="C4243" t="s">
        <v>1890</v>
      </c>
      <c r="D4243">
        <v>220000</v>
      </c>
      <c r="E4243">
        <v>15000</v>
      </c>
      <c r="F4243">
        <v>220000</v>
      </c>
      <c r="H4243">
        <v>3</v>
      </c>
      <c r="I4243" t="s">
        <v>325</v>
      </c>
      <c r="J4243">
        <v>40.32</v>
      </c>
      <c r="K4243">
        <v>0</v>
      </c>
      <c r="L4243">
        <v>4</v>
      </c>
      <c r="M4243" t="s">
        <v>6362</v>
      </c>
      <c r="N4243">
        <v>9</v>
      </c>
      <c r="O4243">
        <v>9.67</v>
      </c>
      <c r="P4243">
        <v>139800.48000000001</v>
      </c>
      <c r="Q4243">
        <v>168453.81</v>
      </c>
      <c r="R4243">
        <v>420</v>
      </c>
      <c r="S4243">
        <v>788</v>
      </c>
      <c r="T4243" t="s">
        <v>326</v>
      </c>
      <c r="U4243" t="s">
        <v>81</v>
      </c>
    </row>
    <row r="4244" spans="1:21">
      <c r="A4244" t="s">
        <v>6622</v>
      </c>
      <c r="B4244" t="s">
        <v>6617</v>
      </c>
      <c r="C4244" t="s">
        <v>1890</v>
      </c>
      <c r="D4244">
        <v>222000</v>
      </c>
      <c r="E4244">
        <v>15000</v>
      </c>
      <c r="F4244">
        <v>222000</v>
      </c>
      <c r="H4244">
        <v>3</v>
      </c>
      <c r="I4244" t="s">
        <v>325</v>
      </c>
      <c r="J4244">
        <v>40.6</v>
      </c>
      <c r="K4244">
        <v>0</v>
      </c>
      <c r="L4244">
        <v>4</v>
      </c>
      <c r="M4244" t="s">
        <v>6362</v>
      </c>
      <c r="N4244">
        <v>9</v>
      </c>
      <c r="O4244">
        <v>9.67</v>
      </c>
      <c r="P4244">
        <v>139800.48000000001</v>
      </c>
      <c r="Q4244">
        <v>168453.81</v>
      </c>
      <c r="R4244">
        <v>420</v>
      </c>
      <c r="S4244">
        <v>788</v>
      </c>
      <c r="T4244" t="s">
        <v>326</v>
      </c>
      <c r="U4244" t="s">
        <v>81</v>
      </c>
    </row>
    <row r="4245" spans="1:21">
      <c r="A4245" t="s">
        <v>6623</v>
      </c>
      <c r="B4245" t="s">
        <v>6617</v>
      </c>
      <c r="C4245" t="s">
        <v>1890</v>
      </c>
      <c r="D4245">
        <v>225000</v>
      </c>
      <c r="E4245">
        <v>15000</v>
      </c>
      <c r="F4245">
        <v>225000</v>
      </c>
      <c r="H4245">
        <v>3</v>
      </c>
      <c r="I4245" t="s">
        <v>325</v>
      </c>
      <c r="J4245">
        <v>40.6</v>
      </c>
      <c r="K4245">
        <v>0</v>
      </c>
      <c r="L4245">
        <v>4</v>
      </c>
      <c r="M4245" t="s">
        <v>6362</v>
      </c>
      <c r="N4245">
        <v>9</v>
      </c>
      <c r="O4245">
        <v>9.67</v>
      </c>
      <c r="P4245">
        <v>139800.48000000001</v>
      </c>
      <c r="Q4245">
        <v>168453.81</v>
      </c>
      <c r="R4245">
        <v>420</v>
      </c>
      <c r="S4245">
        <v>788</v>
      </c>
      <c r="T4245" t="s">
        <v>326</v>
      </c>
      <c r="U4245" t="s">
        <v>81</v>
      </c>
    </row>
    <row r="4246" spans="1:21">
      <c r="A4246" t="s">
        <v>6624</v>
      </c>
      <c r="B4246" t="s">
        <v>6617</v>
      </c>
      <c r="C4246" t="s">
        <v>1890</v>
      </c>
      <c r="D4246">
        <v>211000</v>
      </c>
      <c r="E4246">
        <v>15000</v>
      </c>
      <c r="F4246">
        <v>211000</v>
      </c>
      <c r="H4246">
        <v>-1</v>
      </c>
      <c r="I4246" t="s">
        <v>325</v>
      </c>
      <c r="J4246">
        <v>37.76</v>
      </c>
      <c r="K4246">
        <v>0</v>
      </c>
      <c r="L4246">
        <v>4</v>
      </c>
      <c r="M4246" t="s">
        <v>6362</v>
      </c>
      <c r="N4246">
        <v>9</v>
      </c>
      <c r="O4246">
        <v>9.67</v>
      </c>
      <c r="P4246">
        <v>139800.48000000001</v>
      </c>
      <c r="Q4246">
        <v>168453.81</v>
      </c>
      <c r="R4246">
        <v>420</v>
      </c>
      <c r="S4246">
        <v>788</v>
      </c>
      <c r="T4246" t="s">
        <v>26</v>
      </c>
      <c r="U4246" t="s">
        <v>81</v>
      </c>
    </row>
    <row r="4247" spans="1:21">
      <c r="A4247" t="s">
        <v>6625</v>
      </c>
      <c r="B4247" t="s">
        <v>6617</v>
      </c>
      <c r="C4247" t="s">
        <v>1890</v>
      </c>
      <c r="D4247">
        <v>213000</v>
      </c>
      <c r="E4247">
        <v>15000</v>
      </c>
      <c r="F4247">
        <v>213000</v>
      </c>
      <c r="H4247">
        <v>-1</v>
      </c>
      <c r="I4247" t="s">
        <v>325</v>
      </c>
      <c r="J4247">
        <v>37.76</v>
      </c>
      <c r="K4247">
        <v>0</v>
      </c>
      <c r="L4247">
        <v>4</v>
      </c>
      <c r="M4247" t="s">
        <v>6362</v>
      </c>
      <c r="N4247">
        <v>9</v>
      </c>
      <c r="O4247">
        <v>9.67</v>
      </c>
      <c r="P4247">
        <v>139800.48000000001</v>
      </c>
      <c r="Q4247">
        <v>168453.81</v>
      </c>
      <c r="R4247">
        <v>420</v>
      </c>
      <c r="S4247">
        <v>788</v>
      </c>
      <c r="T4247" t="s">
        <v>26</v>
      </c>
      <c r="U4247" t="s">
        <v>81</v>
      </c>
    </row>
    <row r="4248" spans="1:21">
      <c r="A4248" t="s">
        <v>6626</v>
      </c>
      <c r="B4248" t="s">
        <v>6617</v>
      </c>
      <c r="C4248" t="s">
        <v>1890</v>
      </c>
      <c r="D4248">
        <v>213000</v>
      </c>
      <c r="E4248">
        <v>15000</v>
      </c>
      <c r="F4248">
        <v>213000</v>
      </c>
      <c r="H4248">
        <v>-1</v>
      </c>
      <c r="I4248" t="s">
        <v>325</v>
      </c>
      <c r="J4248">
        <v>38.01</v>
      </c>
      <c r="K4248">
        <v>0</v>
      </c>
      <c r="L4248">
        <v>4</v>
      </c>
      <c r="M4248" t="s">
        <v>6362</v>
      </c>
      <c r="N4248">
        <v>9</v>
      </c>
      <c r="O4248">
        <v>9.67</v>
      </c>
      <c r="P4248">
        <v>139800.48000000001</v>
      </c>
      <c r="Q4248">
        <v>168453.81</v>
      </c>
      <c r="R4248">
        <v>420</v>
      </c>
      <c r="S4248">
        <v>788</v>
      </c>
      <c r="T4248" t="s">
        <v>26</v>
      </c>
      <c r="U4248" t="s">
        <v>81</v>
      </c>
    </row>
    <row r="4249" spans="1:21">
      <c r="A4249" t="s">
        <v>6627</v>
      </c>
      <c r="B4249" t="s">
        <v>6617</v>
      </c>
      <c r="C4249" t="s">
        <v>1890</v>
      </c>
      <c r="D4249">
        <v>224000</v>
      </c>
      <c r="E4249">
        <v>15000</v>
      </c>
      <c r="F4249">
        <v>224000</v>
      </c>
      <c r="H4249">
        <v>-1</v>
      </c>
      <c r="I4249" t="s">
        <v>325</v>
      </c>
      <c r="J4249">
        <v>40.32</v>
      </c>
      <c r="K4249">
        <v>0</v>
      </c>
      <c r="L4249">
        <v>4</v>
      </c>
      <c r="M4249" t="s">
        <v>6362</v>
      </c>
      <c r="N4249">
        <v>9</v>
      </c>
      <c r="O4249">
        <v>9.67</v>
      </c>
      <c r="P4249">
        <v>139800.48000000001</v>
      </c>
      <c r="Q4249">
        <v>168453.81</v>
      </c>
      <c r="R4249">
        <v>420</v>
      </c>
      <c r="S4249">
        <v>788</v>
      </c>
      <c r="T4249" t="s">
        <v>326</v>
      </c>
      <c r="U4249" t="s">
        <v>81</v>
      </c>
    </row>
    <row r="4250" spans="1:21">
      <c r="A4250" t="s">
        <v>6628</v>
      </c>
      <c r="B4250" t="s">
        <v>6617</v>
      </c>
      <c r="C4250" t="s">
        <v>1890</v>
      </c>
      <c r="D4250">
        <v>226000</v>
      </c>
      <c r="E4250">
        <v>15000</v>
      </c>
      <c r="F4250">
        <v>226000</v>
      </c>
      <c r="H4250">
        <v>-1</v>
      </c>
      <c r="I4250" t="s">
        <v>325</v>
      </c>
      <c r="J4250">
        <v>40.6</v>
      </c>
      <c r="K4250">
        <v>0</v>
      </c>
      <c r="L4250">
        <v>4</v>
      </c>
      <c r="M4250" t="s">
        <v>6362</v>
      </c>
      <c r="N4250">
        <v>9</v>
      </c>
      <c r="O4250">
        <v>9.67</v>
      </c>
      <c r="P4250">
        <v>139800.48000000001</v>
      </c>
      <c r="Q4250">
        <v>168453.81</v>
      </c>
      <c r="R4250">
        <v>420</v>
      </c>
      <c r="S4250">
        <v>788</v>
      </c>
      <c r="T4250" t="s">
        <v>326</v>
      </c>
      <c r="U4250" t="s">
        <v>81</v>
      </c>
    </row>
    <row r="4251" spans="1:21">
      <c r="A4251" t="s">
        <v>6629</v>
      </c>
      <c r="B4251" t="s">
        <v>6630</v>
      </c>
      <c r="C4251" t="s">
        <v>104</v>
      </c>
      <c r="D4251">
        <v>220000</v>
      </c>
      <c r="E4251">
        <v>8000</v>
      </c>
      <c r="F4251">
        <v>220000</v>
      </c>
      <c r="H4251">
        <v>1</v>
      </c>
      <c r="I4251" t="s">
        <v>325</v>
      </c>
      <c r="J4251">
        <v>47.7</v>
      </c>
      <c r="K4251">
        <v>59</v>
      </c>
      <c r="L4251">
        <v>5</v>
      </c>
      <c r="M4251" t="s">
        <v>6362</v>
      </c>
      <c r="N4251">
        <v>1</v>
      </c>
      <c r="O4251">
        <v>5</v>
      </c>
      <c r="P4251">
        <v>139800.48000000001</v>
      </c>
      <c r="Q4251">
        <v>168453.81</v>
      </c>
      <c r="R4251">
        <v>420</v>
      </c>
      <c r="S4251">
        <v>788</v>
      </c>
      <c r="T4251" t="s">
        <v>326</v>
      </c>
      <c r="U4251" t="s">
        <v>57</v>
      </c>
    </row>
    <row r="4252" spans="1:21">
      <c r="A4252" t="s">
        <v>6631</v>
      </c>
      <c r="B4252" t="s">
        <v>6632</v>
      </c>
      <c r="C4252" t="s">
        <v>41</v>
      </c>
      <c r="D4252">
        <v>178000</v>
      </c>
      <c r="E4252">
        <v>10000</v>
      </c>
      <c r="F4252">
        <v>178000</v>
      </c>
      <c r="G4252">
        <v>356000</v>
      </c>
      <c r="H4252">
        <v>5</v>
      </c>
      <c r="I4252" t="s">
        <v>325</v>
      </c>
      <c r="J4252">
        <v>44.68</v>
      </c>
      <c r="K4252">
        <v>20</v>
      </c>
      <c r="L4252">
        <v>5</v>
      </c>
      <c r="M4252" t="s">
        <v>6362</v>
      </c>
      <c r="N4252">
        <v>5</v>
      </c>
      <c r="O4252">
        <v>9</v>
      </c>
      <c r="P4252">
        <v>139800.48000000001</v>
      </c>
      <c r="Q4252">
        <v>168453.81</v>
      </c>
      <c r="R4252">
        <v>420</v>
      </c>
      <c r="S4252">
        <v>788</v>
      </c>
      <c r="T4252" t="s">
        <v>326</v>
      </c>
      <c r="U4252" t="s">
        <v>90</v>
      </c>
    </row>
    <row r="4253" spans="1:21">
      <c r="A4253" t="s">
        <v>6633</v>
      </c>
      <c r="B4253" t="s">
        <v>6439</v>
      </c>
      <c r="C4253" t="s">
        <v>3025</v>
      </c>
      <c r="D4253">
        <v>163000</v>
      </c>
      <c r="F4253">
        <v>163000</v>
      </c>
      <c r="G4253">
        <v>163000</v>
      </c>
      <c r="H4253">
        <v>4</v>
      </c>
      <c r="I4253" t="s">
        <v>325</v>
      </c>
      <c r="J4253">
        <v>39.85</v>
      </c>
      <c r="K4253">
        <v>12</v>
      </c>
      <c r="L4253">
        <v>10</v>
      </c>
      <c r="M4253" t="s">
        <v>6362</v>
      </c>
      <c r="N4253">
        <v>8</v>
      </c>
      <c r="O4253">
        <v>11.67</v>
      </c>
      <c r="P4253">
        <v>139800.48000000001</v>
      </c>
      <c r="Q4253">
        <v>168453.81</v>
      </c>
      <c r="R4253">
        <v>420</v>
      </c>
      <c r="S4253">
        <v>788</v>
      </c>
      <c r="T4253" t="s">
        <v>26</v>
      </c>
      <c r="U4253" t="s">
        <v>90</v>
      </c>
    </row>
    <row r="4254" spans="1:21">
      <c r="A4254" t="s">
        <v>6634</v>
      </c>
      <c r="B4254" t="s">
        <v>6635</v>
      </c>
      <c r="C4254" t="s">
        <v>41</v>
      </c>
      <c r="D4254">
        <v>114000</v>
      </c>
      <c r="E4254">
        <v>3000</v>
      </c>
      <c r="F4254">
        <v>114000</v>
      </c>
      <c r="G4254">
        <v>114000</v>
      </c>
      <c r="H4254">
        <v>2</v>
      </c>
      <c r="I4254" t="s">
        <v>325</v>
      </c>
      <c r="J4254">
        <v>35.369999999999997</v>
      </c>
      <c r="K4254">
        <v>36</v>
      </c>
      <c r="L4254">
        <v>3</v>
      </c>
      <c r="M4254" t="s">
        <v>6362</v>
      </c>
      <c r="N4254">
        <v>5</v>
      </c>
      <c r="O4254">
        <v>7.33</v>
      </c>
      <c r="P4254">
        <v>139800.48000000001</v>
      </c>
      <c r="Q4254">
        <v>168453.81</v>
      </c>
      <c r="R4254">
        <v>420</v>
      </c>
      <c r="S4254">
        <v>788</v>
      </c>
      <c r="T4254" t="s">
        <v>26</v>
      </c>
      <c r="U4254" t="s">
        <v>49</v>
      </c>
    </row>
    <row r="4255" spans="1:21">
      <c r="A4255" t="s">
        <v>6636</v>
      </c>
      <c r="B4255" t="s">
        <v>6637</v>
      </c>
      <c r="C4255" t="s">
        <v>3025</v>
      </c>
      <c r="D4255">
        <v>160000</v>
      </c>
      <c r="E4255">
        <v>5000</v>
      </c>
      <c r="F4255">
        <v>160000</v>
      </c>
      <c r="G4255">
        <v>160000</v>
      </c>
      <c r="H4255">
        <v>1</v>
      </c>
      <c r="I4255" t="s">
        <v>325</v>
      </c>
      <c r="J4255">
        <v>46.47</v>
      </c>
      <c r="K4255">
        <v>27</v>
      </c>
      <c r="L4255">
        <v>3</v>
      </c>
      <c r="M4255" t="s">
        <v>6362</v>
      </c>
      <c r="N4255">
        <v>6</v>
      </c>
      <c r="O4255">
        <v>8.33</v>
      </c>
      <c r="P4255">
        <v>139800.48000000001</v>
      </c>
      <c r="Q4255">
        <v>168453.81</v>
      </c>
      <c r="R4255">
        <v>420</v>
      </c>
      <c r="S4255">
        <v>788</v>
      </c>
      <c r="T4255" t="s">
        <v>326</v>
      </c>
      <c r="U4255" t="s">
        <v>27</v>
      </c>
    </row>
    <row r="4256" spans="1:21">
      <c r="A4256" t="s">
        <v>6636</v>
      </c>
      <c r="B4256" t="s">
        <v>6637</v>
      </c>
      <c r="C4256" t="s">
        <v>3025</v>
      </c>
      <c r="D4256">
        <v>160000</v>
      </c>
      <c r="E4256">
        <v>5000</v>
      </c>
      <c r="F4256">
        <v>160000</v>
      </c>
      <c r="G4256">
        <v>160000</v>
      </c>
      <c r="H4256">
        <v>2</v>
      </c>
      <c r="I4256" t="s">
        <v>325</v>
      </c>
      <c r="J4256">
        <v>46.47</v>
      </c>
      <c r="K4256">
        <v>27</v>
      </c>
      <c r="L4256">
        <v>3</v>
      </c>
      <c r="M4256" t="s">
        <v>6362</v>
      </c>
      <c r="N4256">
        <v>6</v>
      </c>
      <c r="O4256">
        <v>8.33</v>
      </c>
      <c r="P4256">
        <v>139800.48000000001</v>
      </c>
      <c r="Q4256">
        <v>168453.81</v>
      </c>
      <c r="R4256">
        <v>420</v>
      </c>
      <c r="S4256">
        <v>788</v>
      </c>
      <c r="T4256" t="s">
        <v>326</v>
      </c>
      <c r="U4256" t="s">
        <v>27</v>
      </c>
    </row>
    <row r="4257" spans="1:21">
      <c r="A4257" t="s">
        <v>6638</v>
      </c>
      <c r="B4257" t="s">
        <v>6455</v>
      </c>
      <c r="C4257" t="s">
        <v>3025</v>
      </c>
      <c r="D4257">
        <v>199000</v>
      </c>
      <c r="E4257">
        <v>12000</v>
      </c>
      <c r="F4257">
        <v>199000</v>
      </c>
      <c r="G4257">
        <v>199000</v>
      </c>
      <c r="H4257">
        <v>8</v>
      </c>
      <c r="I4257" t="s">
        <v>325</v>
      </c>
      <c r="J4257">
        <v>40.61</v>
      </c>
      <c r="K4257">
        <v>11</v>
      </c>
      <c r="L4257">
        <v>10</v>
      </c>
      <c r="M4257" t="s">
        <v>6362</v>
      </c>
      <c r="N4257">
        <v>4</v>
      </c>
      <c r="O4257">
        <v>7</v>
      </c>
      <c r="P4257">
        <v>139800.48000000001</v>
      </c>
      <c r="Q4257">
        <v>168453.81</v>
      </c>
      <c r="R4257">
        <v>420</v>
      </c>
      <c r="S4257">
        <v>788</v>
      </c>
      <c r="T4257" t="s">
        <v>326</v>
      </c>
      <c r="U4257" t="s">
        <v>90</v>
      </c>
    </row>
    <row r="4258" spans="1:21">
      <c r="A4258" t="s">
        <v>6639</v>
      </c>
      <c r="B4258" t="s">
        <v>6458</v>
      </c>
      <c r="C4258" t="s">
        <v>3195</v>
      </c>
      <c r="D4258">
        <v>179000</v>
      </c>
      <c r="E4258">
        <v>6000</v>
      </c>
      <c r="G4258">
        <v>268500</v>
      </c>
      <c r="H4258">
        <v>2</v>
      </c>
      <c r="I4258" t="s">
        <v>325</v>
      </c>
      <c r="J4258">
        <v>47.6</v>
      </c>
      <c r="K4258">
        <v>8</v>
      </c>
      <c r="L4258">
        <v>3</v>
      </c>
      <c r="M4258" t="s">
        <v>6362</v>
      </c>
      <c r="N4258">
        <v>3</v>
      </c>
      <c r="O4258">
        <v>8.33</v>
      </c>
      <c r="P4258">
        <v>139800.48000000001</v>
      </c>
      <c r="Q4258">
        <v>168453.81</v>
      </c>
      <c r="R4258">
        <v>420</v>
      </c>
      <c r="S4258">
        <v>788</v>
      </c>
      <c r="T4258" t="s">
        <v>326</v>
      </c>
      <c r="U4258" t="s">
        <v>31</v>
      </c>
    </row>
    <row r="4259" spans="1:21">
      <c r="A4259" t="s">
        <v>6640</v>
      </c>
      <c r="B4259" t="s">
        <v>6641</v>
      </c>
      <c r="C4259" t="s">
        <v>3195</v>
      </c>
      <c r="D4259">
        <v>140000</v>
      </c>
      <c r="E4259">
        <v>6000</v>
      </c>
      <c r="F4259">
        <v>140000</v>
      </c>
      <c r="G4259">
        <v>140000</v>
      </c>
      <c r="H4259">
        <v>9</v>
      </c>
      <c r="I4259" t="s">
        <v>325</v>
      </c>
      <c r="J4259">
        <v>33.6</v>
      </c>
      <c r="K4259">
        <v>8</v>
      </c>
      <c r="L4259">
        <v>10</v>
      </c>
      <c r="M4259" t="s">
        <v>6362</v>
      </c>
      <c r="N4259">
        <v>1</v>
      </c>
      <c r="O4259">
        <v>5.33</v>
      </c>
      <c r="P4259">
        <v>139800.48000000001</v>
      </c>
      <c r="Q4259">
        <v>168453.81</v>
      </c>
      <c r="R4259">
        <v>420</v>
      </c>
      <c r="S4259">
        <v>788</v>
      </c>
      <c r="T4259" t="s">
        <v>26</v>
      </c>
      <c r="U4259" t="s">
        <v>31</v>
      </c>
    </row>
    <row r="4260" spans="1:21">
      <c r="A4260" t="s">
        <v>6642</v>
      </c>
      <c r="B4260" t="s">
        <v>6472</v>
      </c>
      <c r="C4260" t="s">
        <v>3059</v>
      </c>
      <c r="D4260">
        <v>168000</v>
      </c>
      <c r="E4260">
        <v>12000</v>
      </c>
      <c r="H4260">
        <v>7</v>
      </c>
      <c r="I4260" t="s">
        <v>325</v>
      </c>
      <c r="J4260">
        <v>40.26</v>
      </c>
      <c r="K4260">
        <v>20</v>
      </c>
      <c r="L4260">
        <v>9</v>
      </c>
      <c r="M4260" t="s">
        <v>6362</v>
      </c>
      <c r="N4260">
        <v>3</v>
      </c>
      <c r="O4260">
        <v>5.67</v>
      </c>
      <c r="P4260">
        <v>139800.48000000001</v>
      </c>
      <c r="Q4260">
        <v>168453.81</v>
      </c>
      <c r="R4260">
        <v>420</v>
      </c>
      <c r="S4260">
        <v>788</v>
      </c>
      <c r="T4260" t="s">
        <v>326</v>
      </c>
      <c r="U4260" t="s">
        <v>90</v>
      </c>
    </row>
    <row r="4261" spans="1:21">
      <c r="A4261" t="s">
        <v>6643</v>
      </c>
      <c r="B4261" t="s">
        <v>6644</v>
      </c>
      <c r="C4261" t="s">
        <v>1890</v>
      </c>
      <c r="D4261">
        <v>145000</v>
      </c>
      <c r="E4261">
        <v>9000</v>
      </c>
      <c r="G4261">
        <v>80000</v>
      </c>
      <c r="H4261">
        <v>1</v>
      </c>
      <c r="I4261" t="s">
        <v>325</v>
      </c>
      <c r="J4261">
        <v>37.770000000000003</v>
      </c>
      <c r="K4261">
        <v>16</v>
      </c>
      <c r="L4261">
        <v>2</v>
      </c>
      <c r="M4261" t="s">
        <v>6362</v>
      </c>
      <c r="N4261">
        <v>9</v>
      </c>
      <c r="O4261">
        <v>9.67</v>
      </c>
      <c r="P4261">
        <v>139800.48000000001</v>
      </c>
      <c r="Q4261">
        <v>168453.81</v>
      </c>
      <c r="R4261">
        <v>420</v>
      </c>
      <c r="S4261">
        <v>788</v>
      </c>
      <c r="T4261" t="s">
        <v>26</v>
      </c>
      <c r="U4261" t="s">
        <v>90</v>
      </c>
    </row>
    <row r="4262" spans="1:21">
      <c r="A4262" t="s">
        <v>6645</v>
      </c>
      <c r="B4262" t="s">
        <v>6646</v>
      </c>
      <c r="C4262" t="s">
        <v>3025</v>
      </c>
      <c r="D4262">
        <v>149000</v>
      </c>
      <c r="E4262">
        <v>16000</v>
      </c>
      <c r="F4262">
        <v>149000</v>
      </c>
      <c r="G4262">
        <v>149000</v>
      </c>
      <c r="H4262">
        <v>1</v>
      </c>
      <c r="I4262" t="s">
        <v>325</v>
      </c>
      <c r="J4262">
        <v>46</v>
      </c>
      <c r="K4262">
        <v>18</v>
      </c>
      <c r="L4262">
        <v>5</v>
      </c>
      <c r="M4262" t="s">
        <v>6362</v>
      </c>
      <c r="N4262">
        <v>6</v>
      </c>
      <c r="O4262">
        <v>8</v>
      </c>
      <c r="P4262">
        <v>139800.48000000001</v>
      </c>
      <c r="Q4262">
        <v>168453.81</v>
      </c>
      <c r="R4262">
        <v>420</v>
      </c>
      <c r="S4262">
        <v>788</v>
      </c>
      <c r="T4262" t="s">
        <v>326</v>
      </c>
      <c r="U4262" t="s">
        <v>90</v>
      </c>
    </row>
    <row r="4263" spans="1:21">
      <c r="A4263" t="s">
        <v>6647</v>
      </c>
      <c r="B4263" t="s">
        <v>6648</v>
      </c>
      <c r="C4263" t="s">
        <v>94</v>
      </c>
      <c r="D4263">
        <v>170000</v>
      </c>
      <c r="E4263">
        <v>20000</v>
      </c>
      <c r="H4263">
        <v>2</v>
      </c>
      <c r="I4263" t="s">
        <v>325</v>
      </c>
      <c r="J4263">
        <v>30.96</v>
      </c>
      <c r="K4263">
        <v>2</v>
      </c>
      <c r="L4263">
        <v>6</v>
      </c>
      <c r="M4263" t="s">
        <v>6362</v>
      </c>
      <c r="N4263">
        <v>11</v>
      </c>
      <c r="O4263">
        <v>11.67</v>
      </c>
      <c r="P4263">
        <v>139800.48000000001</v>
      </c>
      <c r="Q4263">
        <v>168453.81</v>
      </c>
      <c r="R4263">
        <v>420</v>
      </c>
      <c r="S4263">
        <v>788</v>
      </c>
      <c r="T4263" t="s">
        <v>26</v>
      </c>
      <c r="U4263" t="s">
        <v>31</v>
      </c>
    </row>
    <row r="4264" spans="1:21">
      <c r="A4264" t="s">
        <v>6649</v>
      </c>
      <c r="B4264" t="s">
        <v>6648</v>
      </c>
      <c r="C4264" t="s">
        <v>94</v>
      </c>
      <c r="D4264">
        <v>172000</v>
      </c>
      <c r="E4264">
        <v>20000</v>
      </c>
      <c r="H4264">
        <v>3</v>
      </c>
      <c r="I4264" t="s">
        <v>325</v>
      </c>
      <c r="J4264">
        <v>31.14</v>
      </c>
      <c r="K4264">
        <v>2</v>
      </c>
      <c r="L4264">
        <v>6</v>
      </c>
      <c r="M4264" t="s">
        <v>6362</v>
      </c>
      <c r="N4264">
        <v>11</v>
      </c>
      <c r="O4264">
        <v>11.67</v>
      </c>
      <c r="P4264">
        <v>139800.48000000001</v>
      </c>
      <c r="Q4264">
        <v>168453.81</v>
      </c>
      <c r="R4264">
        <v>420</v>
      </c>
      <c r="S4264">
        <v>788</v>
      </c>
      <c r="T4264" t="s">
        <v>26</v>
      </c>
      <c r="U4264" t="s">
        <v>31</v>
      </c>
    </row>
    <row r="4265" spans="1:21">
      <c r="A4265" t="s">
        <v>6650</v>
      </c>
      <c r="B4265" t="s">
        <v>6648</v>
      </c>
      <c r="C4265" t="s">
        <v>94</v>
      </c>
      <c r="D4265">
        <v>173000</v>
      </c>
      <c r="E4265">
        <v>20000</v>
      </c>
      <c r="H4265">
        <v>5</v>
      </c>
      <c r="I4265" t="s">
        <v>325</v>
      </c>
      <c r="J4265">
        <v>31.11</v>
      </c>
      <c r="K4265">
        <v>2</v>
      </c>
      <c r="L4265">
        <v>6</v>
      </c>
      <c r="M4265" t="s">
        <v>6362</v>
      </c>
      <c r="N4265">
        <v>11</v>
      </c>
      <c r="O4265">
        <v>11.67</v>
      </c>
      <c r="P4265">
        <v>139800.48000000001</v>
      </c>
      <c r="Q4265">
        <v>168453.81</v>
      </c>
      <c r="R4265">
        <v>420</v>
      </c>
      <c r="S4265">
        <v>788</v>
      </c>
      <c r="T4265" t="s">
        <v>26</v>
      </c>
      <c r="U4265" t="s">
        <v>31</v>
      </c>
    </row>
    <row r="4266" spans="1:21">
      <c r="A4266" t="s">
        <v>6651</v>
      </c>
      <c r="B4266" t="s">
        <v>6648</v>
      </c>
      <c r="C4266" t="s">
        <v>94</v>
      </c>
      <c r="D4266">
        <v>173000</v>
      </c>
      <c r="E4266">
        <v>20000</v>
      </c>
      <c r="H4266">
        <v>6</v>
      </c>
      <c r="I4266" t="s">
        <v>325</v>
      </c>
      <c r="J4266">
        <v>31.17</v>
      </c>
      <c r="K4266">
        <v>2</v>
      </c>
      <c r="L4266">
        <v>6</v>
      </c>
      <c r="M4266" t="s">
        <v>6362</v>
      </c>
      <c r="N4266">
        <v>11</v>
      </c>
      <c r="O4266">
        <v>11.67</v>
      </c>
      <c r="P4266">
        <v>139800.48000000001</v>
      </c>
      <c r="Q4266">
        <v>168453.81</v>
      </c>
      <c r="R4266">
        <v>420</v>
      </c>
      <c r="S4266">
        <v>788</v>
      </c>
      <c r="T4266" t="s">
        <v>26</v>
      </c>
      <c r="U4266" t="s">
        <v>31</v>
      </c>
    </row>
    <row r="4267" spans="1:21">
      <c r="A4267" t="s">
        <v>6652</v>
      </c>
      <c r="B4267" t="s">
        <v>2806</v>
      </c>
      <c r="C4267" t="s">
        <v>1890</v>
      </c>
      <c r="D4267">
        <v>135000</v>
      </c>
      <c r="F4267">
        <v>135000</v>
      </c>
      <c r="G4267">
        <v>135000</v>
      </c>
      <c r="H4267">
        <v>1</v>
      </c>
      <c r="I4267" t="s">
        <v>325</v>
      </c>
      <c r="J4267">
        <v>40.96</v>
      </c>
      <c r="K4267">
        <v>33</v>
      </c>
      <c r="L4267">
        <v>2</v>
      </c>
      <c r="M4267" t="s">
        <v>6362</v>
      </c>
      <c r="N4267">
        <v>8</v>
      </c>
      <c r="O4267">
        <v>9</v>
      </c>
      <c r="P4267">
        <v>139800.48000000001</v>
      </c>
      <c r="Q4267">
        <v>168453.81</v>
      </c>
      <c r="R4267">
        <v>420</v>
      </c>
      <c r="S4267">
        <v>788</v>
      </c>
      <c r="T4267" t="s">
        <v>326</v>
      </c>
      <c r="U4267" t="s">
        <v>49</v>
      </c>
    </row>
    <row r="4268" spans="1:21">
      <c r="A4268" t="s">
        <v>6652</v>
      </c>
      <c r="B4268" t="s">
        <v>2806</v>
      </c>
      <c r="C4268" t="s">
        <v>1890</v>
      </c>
      <c r="D4268">
        <v>135000</v>
      </c>
      <c r="F4268">
        <v>135000</v>
      </c>
      <c r="G4268">
        <v>135000</v>
      </c>
      <c r="H4268">
        <v>2</v>
      </c>
      <c r="I4268" t="s">
        <v>325</v>
      </c>
      <c r="J4268">
        <v>40.96</v>
      </c>
      <c r="K4268">
        <v>33</v>
      </c>
      <c r="L4268">
        <v>2</v>
      </c>
      <c r="M4268" t="s">
        <v>6362</v>
      </c>
      <c r="N4268">
        <v>8</v>
      </c>
      <c r="O4268">
        <v>9</v>
      </c>
      <c r="P4268">
        <v>139800.48000000001</v>
      </c>
      <c r="Q4268">
        <v>168453.81</v>
      </c>
      <c r="R4268">
        <v>420</v>
      </c>
      <c r="S4268">
        <v>788</v>
      </c>
      <c r="T4268" t="s">
        <v>326</v>
      </c>
      <c r="U4268" t="s">
        <v>49</v>
      </c>
    </row>
    <row r="4269" spans="1:21">
      <c r="A4269" t="s">
        <v>6653</v>
      </c>
      <c r="B4269" t="s">
        <v>6654</v>
      </c>
      <c r="C4269" t="s">
        <v>709</v>
      </c>
      <c r="D4269">
        <v>120000</v>
      </c>
      <c r="E4269">
        <v>5000</v>
      </c>
      <c r="F4269">
        <v>120000</v>
      </c>
      <c r="G4269">
        <v>120000</v>
      </c>
      <c r="H4269">
        <v>2</v>
      </c>
      <c r="I4269" t="s">
        <v>325</v>
      </c>
      <c r="J4269">
        <v>49.24</v>
      </c>
      <c r="K4269">
        <v>36</v>
      </c>
      <c r="L4269">
        <v>2</v>
      </c>
      <c r="M4269" t="s">
        <v>6362</v>
      </c>
      <c r="N4269">
        <v>4</v>
      </c>
      <c r="O4269">
        <v>6</v>
      </c>
      <c r="P4269">
        <v>139800.48000000001</v>
      </c>
      <c r="Q4269">
        <v>168453.81</v>
      </c>
      <c r="R4269">
        <v>420</v>
      </c>
      <c r="S4269">
        <v>788</v>
      </c>
      <c r="T4269" t="s">
        <v>326</v>
      </c>
      <c r="U4269" t="s">
        <v>49</v>
      </c>
    </row>
    <row r="4270" spans="1:21">
      <c r="A4270" t="s">
        <v>6655</v>
      </c>
      <c r="B4270" t="s">
        <v>6488</v>
      </c>
      <c r="C4270" t="s">
        <v>3025</v>
      </c>
      <c r="D4270">
        <v>163000</v>
      </c>
      <c r="F4270">
        <v>163000</v>
      </c>
      <c r="G4270">
        <v>163000</v>
      </c>
      <c r="H4270">
        <v>4</v>
      </c>
      <c r="I4270" t="s">
        <v>325</v>
      </c>
      <c r="J4270">
        <v>39.85</v>
      </c>
      <c r="K4270">
        <v>12</v>
      </c>
      <c r="L4270">
        <v>10</v>
      </c>
      <c r="M4270" t="s">
        <v>6362</v>
      </c>
      <c r="N4270">
        <v>7</v>
      </c>
      <c r="O4270">
        <v>10</v>
      </c>
      <c r="P4270">
        <v>139800.48000000001</v>
      </c>
      <c r="Q4270">
        <v>168453.81</v>
      </c>
      <c r="R4270">
        <v>420</v>
      </c>
      <c r="S4270">
        <v>788</v>
      </c>
      <c r="T4270" t="s">
        <v>26</v>
      </c>
      <c r="U4270" t="s">
        <v>90</v>
      </c>
    </row>
    <row r="4271" spans="1:21">
      <c r="A4271" t="s">
        <v>6656</v>
      </c>
      <c r="B4271" t="s">
        <v>6488</v>
      </c>
      <c r="C4271" t="s">
        <v>3025</v>
      </c>
      <c r="D4271">
        <v>199000</v>
      </c>
      <c r="E4271">
        <v>12000</v>
      </c>
      <c r="F4271">
        <v>199000</v>
      </c>
      <c r="G4271">
        <v>199000</v>
      </c>
      <c r="H4271">
        <v>8</v>
      </c>
      <c r="I4271" t="s">
        <v>325</v>
      </c>
      <c r="J4271">
        <v>40.61</v>
      </c>
      <c r="K4271">
        <v>12</v>
      </c>
      <c r="L4271">
        <v>10</v>
      </c>
      <c r="M4271" t="s">
        <v>6362</v>
      </c>
      <c r="N4271">
        <v>5</v>
      </c>
      <c r="O4271">
        <v>7.67</v>
      </c>
      <c r="P4271">
        <v>139800.48000000001</v>
      </c>
      <c r="Q4271">
        <v>168453.81</v>
      </c>
      <c r="R4271">
        <v>420</v>
      </c>
      <c r="S4271">
        <v>788</v>
      </c>
      <c r="T4271" t="s">
        <v>326</v>
      </c>
      <c r="U4271" t="s">
        <v>90</v>
      </c>
    </row>
    <row r="4272" spans="1:21">
      <c r="A4272" t="s">
        <v>6657</v>
      </c>
      <c r="B4272" t="s">
        <v>6492</v>
      </c>
      <c r="C4272" t="s">
        <v>1768</v>
      </c>
      <c r="D4272">
        <v>206000</v>
      </c>
      <c r="E4272">
        <v>13000</v>
      </c>
      <c r="F4272">
        <v>206000</v>
      </c>
      <c r="H4272">
        <v>1</v>
      </c>
      <c r="I4272" t="s">
        <v>325</v>
      </c>
      <c r="J4272">
        <v>44.31</v>
      </c>
      <c r="K4272">
        <v>17</v>
      </c>
      <c r="L4272">
        <v>10</v>
      </c>
      <c r="M4272" t="s">
        <v>6362</v>
      </c>
      <c r="N4272">
        <v>9</v>
      </c>
      <c r="O4272">
        <v>10.33</v>
      </c>
      <c r="P4272">
        <v>139800.48000000001</v>
      </c>
      <c r="Q4272">
        <v>168453.81</v>
      </c>
      <c r="R4272">
        <v>420</v>
      </c>
      <c r="S4272">
        <v>788</v>
      </c>
      <c r="T4272" t="s">
        <v>326</v>
      </c>
      <c r="U4272" t="s">
        <v>90</v>
      </c>
    </row>
    <row r="4273" spans="1:21">
      <c r="A4273" t="s">
        <v>6658</v>
      </c>
      <c r="B4273" t="s">
        <v>6492</v>
      </c>
      <c r="C4273" t="s">
        <v>1768</v>
      </c>
      <c r="D4273">
        <v>216000</v>
      </c>
      <c r="E4273">
        <v>13000</v>
      </c>
      <c r="F4273">
        <v>216000</v>
      </c>
      <c r="H4273">
        <v>1</v>
      </c>
      <c r="I4273" t="s">
        <v>325</v>
      </c>
      <c r="J4273">
        <v>44.31</v>
      </c>
      <c r="K4273">
        <v>17</v>
      </c>
      <c r="L4273">
        <v>10</v>
      </c>
      <c r="M4273" t="s">
        <v>6362</v>
      </c>
      <c r="N4273">
        <v>9</v>
      </c>
      <c r="O4273">
        <v>10.33</v>
      </c>
      <c r="P4273">
        <v>139800.48000000001</v>
      </c>
      <c r="Q4273">
        <v>168453.81</v>
      </c>
      <c r="R4273">
        <v>420</v>
      </c>
      <c r="S4273">
        <v>788</v>
      </c>
      <c r="T4273" t="s">
        <v>326</v>
      </c>
      <c r="U4273" t="s">
        <v>90</v>
      </c>
    </row>
    <row r="4274" spans="1:21">
      <c r="A4274" t="s">
        <v>6659</v>
      </c>
      <c r="B4274" t="s">
        <v>6492</v>
      </c>
      <c r="C4274" t="s">
        <v>1768</v>
      </c>
      <c r="D4274">
        <v>197000</v>
      </c>
      <c r="E4274">
        <v>13000</v>
      </c>
      <c r="F4274">
        <v>197000</v>
      </c>
      <c r="G4274">
        <v>197000</v>
      </c>
      <c r="H4274">
        <v>1</v>
      </c>
      <c r="I4274" t="s">
        <v>325</v>
      </c>
      <c r="J4274">
        <v>44.85</v>
      </c>
      <c r="K4274">
        <v>17</v>
      </c>
      <c r="L4274">
        <v>10</v>
      </c>
      <c r="M4274" t="s">
        <v>6362</v>
      </c>
      <c r="N4274">
        <v>9</v>
      </c>
      <c r="O4274">
        <v>10.33</v>
      </c>
      <c r="P4274">
        <v>139800.48000000001</v>
      </c>
      <c r="Q4274">
        <v>168453.81</v>
      </c>
      <c r="R4274">
        <v>420</v>
      </c>
      <c r="S4274">
        <v>788</v>
      </c>
      <c r="T4274" t="s">
        <v>326</v>
      </c>
      <c r="U4274" t="s">
        <v>90</v>
      </c>
    </row>
    <row r="4275" spans="1:21">
      <c r="A4275" t="s">
        <v>6660</v>
      </c>
      <c r="B4275" t="s">
        <v>6492</v>
      </c>
      <c r="C4275" t="s">
        <v>1768</v>
      </c>
      <c r="D4275">
        <v>212000</v>
      </c>
      <c r="E4275">
        <v>13000</v>
      </c>
      <c r="F4275">
        <v>212000</v>
      </c>
      <c r="H4275">
        <v>2</v>
      </c>
      <c r="I4275" t="s">
        <v>325</v>
      </c>
      <c r="J4275">
        <v>44.85</v>
      </c>
      <c r="K4275">
        <v>17</v>
      </c>
      <c r="L4275">
        <v>10</v>
      </c>
      <c r="M4275" t="s">
        <v>6362</v>
      </c>
      <c r="N4275">
        <v>9</v>
      </c>
      <c r="O4275">
        <v>10.33</v>
      </c>
      <c r="P4275">
        <v>139800.48000000001</v>
      </c>
      <c r="Q4275">
        <v>168453.81</v>
      </c>
      <c r="R4275">
        <v>420</v>
      </c>
      <c r="S4275">
        <v>788</v>
      </c>
      <c r="T4275" t="s">
        <v>326</v>
      </c>
      <c r="U4275" t="s">
        <v>90</v>
      </c>
    </row>
    <row r="4276" spans="1:21">
      <c r="A4276" t="s">
        <v>6661</v>
      </c>
      <c r="B4276" t="s">
        <v>6492</v>
      </c>
      <c r="C4276" t="s">
        <v>1768</v>
      </c>
      <c r="D4276">
        <v>228000</v>
      </c>
      <c r="E4276">
        <v>13000</v>
      </c>
      <c r="F4276">
        <v>228000</v>
      </c>
      <c r="H4276">
        <v>5</v>
      </c>
      <c r="I4276" t="s">
        <v>325</v>
      </c>
      <c r="J4276">
        <v>44.31</v>
      </c>
      <c r="K4276">
        <v>17</v>
      </c>
      <c r="L4276">
        <v>10</v>
      </c>
      <c r="M4276" t="s">
        <v>6362</v>
      </c>
      <c r="N4276">
        <v>9</v>
      </c>
      <c r="O4276">
        <v>10.33</v>
      </c>
      <c r="P4276">
        <v>139800.48000000001</v>
      </c>
      <c r="Q4276">
        <v>168453.81</v>
      </c>
      <c r="R4276">
        <v>420</v>
      </c>
      <c r="S4276">
        <v>788</v>
      </c>
      <c r="T4276" t="s">
        <v>326</v>
      </c>
      <c r="U4276" t="s">
        <v>90</v>
      </c>
    </row>
    <row r="4277" spans="1:21">
      <c r="A4277" t="s">
        <v>6662</v>
      </c>
      <c r="B4277" t="s">
        <v>6663</v>
      </c>
      <c r="C4277" t="s">
        <v>3195</v>
      </c>
      <c r="D4277">
        <v>160000</v>
      </c>
      <c r="E4277">
        <v>10000</v>
      </c>
      <c r="F4277">
        <v>160000</v>
      </c>
      <c r="G4277">
        <v>160000</v>
      </c>
      <c r="H4277">
        <v>10</v>
      </c>
      <c r="I4277" t="s">
        <v>325</v>
      </c>
      <c r="J4277">
        <v>41.31</v>
      </c>
      <c r="K4277">
        <v>19</v>
      </c>
      <c r="L4277">
        <v>11</v>
      </c>
      <c r="M4277" t="s">
        <v>6362</v>
      </c>
      <c r="N4277">
        <v>1</v>
      </c>
      <c r="O4277">
        <v>4</v>
      </c>
      <c r="P4277">
        <v>139800.48000000001</v>
      </c>
      <c r="Q4277">
        <v>168453.81</v>
      </c>
      <c r="R4277">
        <v>420</v>
      </c>
      <c r="S4277">
        <v>788</v>
      </c>
      <c r="T4277" t="s">
        <v>326</v>
      </c>
      <c r="U4277" t="s">
        <v>90</v>
      </c>
    </row>
    <row r="4278" spans="1:21">
      <c r="A4278" t="s">
        <v>6664</v>
      </c>
      <c r="B4278" t="s">
        <v>6665</v>
      </c>
      <c r="C4278" t="s">
        <v>3025</v>
      </c>
      <c r="D4278">
        <v>148000</v>
      </c>
      <c r="E4278">
        <v>15000</v>
      </c>
      <c r="F4278">
        <v>148000</v>
      </c>
      <c r="G4278">
        <v>148000</v>
      </c>
      <c r="H4278">
        <v>11</v>
      </c>
      <c r="I4278" t="s">
        <v>325</v>
      </c>
      <c r="J4278">
        <v>35.909999999999997</v>
      </c>
      <c r="K4278">
        <v>16</v>
      </c>
      <c r="L4278">
        <v>13</v>
      </c>
      <c r="M4278" t="s">
        <v>6362</v>
      </c>
      <c r="N4278">
        <v>3</v>
      </c>
      <c r="O4278">
        <v>8</v>
      </c>
      <c r="P4278">
        <v>139800.48000000001</v>
      </c>
      <c r="Q4278">
        <v>168453.81</v>
      </c>
      <c r="R4278">
        <v>420</v>
      </c>
      <c r="S4278">
        <v>788</v>
      </c>
      <c r="T4278" t="s">
        <v>26</v>
      </c>
      <c r="U4278" t="s">
        <v>90</v>
      </c>
    </row>
    <row r="4279" spans="1:21">
      <c r="A4279" t="s">
        <v>6666</v>
      </c>
      <c r="B4279" t="s">
        <v>6667</v>
      </c>
      <c r="C4279" t="s">
        <v>104</v>
      </c>
      <c r="D4279">
        <v>153000</v>
      </c>
      <c r="E4279">
        <v>7000</v>
      </c>
      <c r="G4279">
        <v>229500</v>
      </c>
      <c r="H4279">
        <v>1</v>
      </c>
      <c r="I4279" t="s">
        <v>325</v>
      </c>
      <c r="J4279">
        <v>41.53</v>
      </c>
      <c r="K4279">
        <v>15</v>
      </c>
      <c r="L4279">
        <v>2</v>
      </c>
      <c r="M4279" t="s">
        <v>6362</v>
      </c>
      <c r="N4279">
        <v>3</v>
      </c>
      <c r="O4279">
        <v>7</v>
      </c>
      <c r="P4279">
        <v>139800.48000000001</v>
      </c>
      <c r="Q4279">
        <v>168453.81</v>
      </c>
      <c r="R4279">
        <v>420</v>
      </c>
      <c r="S4279">
        <v>788</v>
      </c>
      <c r="T4279" t="s">
        <v>326</v>
      </c>
      <c r="U4279" t="s">
        <v>90</v>
      </c>
    </row>
    <row r="4280" spans="1:21">
      <c r="A4280" t="s">
        <v>6668</v>
      </c>
      <c r="B4280" t="s">
        <v>6511</v>
      </c>
      <c r="C4280" t="s">
        <v>1890</v>
      </c>
      <c r="D4280">
        <v>213000</v>
      </c>
      <c r="E4280">
        <v>15000</v>
      </c>
      <c r="F4280">
        <v>213000</v>
      </c>
      <c r="H4280">
        <v>1</v>
      </c>
      <c r="I4280" t="s">
        <v>325</v>
      </c>
      <c r="J4280">
        <v>37.76</v>
      </c>
      <c r="K4280">
        <v>0</v>
      </c>
      <c r="L4280">
        <v>3</v>
      </c>
      <c r="M4280" t="s">
        <v>6362</v>
      </c>
      <c r="N4280">
        <v>9</v>
      </c>
      <c r="O4280">
        <v>11</v>
      </c>
      <c r="P4280">
        <v>139800.48000000001</v>
      </c>
      <c r="Q4280">
        <v>168453.81</v>
      </c>
      <c r="R4280">
        <v>420</v>
      </c>
      <c r="S4280">
        <v>788</v>
      </c>
      <c r="T4280" t="s">
        <v>26</v>
      </c>
      <c r="U4280" t="s">
        <v>81</v>
      </c>
    </row>
    <row r="4281" spans="1:21">
      <c r="A4281" t="s">
        <v>6669</v>
      </c>
      <c r="B4281" t="s">
        <v>6511</v>
      </c>
      <c r="C4281" t="s">
        <v>709</v>
      </c>
      <c r="D4281">
        <v>139000</v>
      </c>
      <c r="E4281">
        <v>8000</v>
      </c>
      <c r="F4281">
        <v>139000</v>
      </c>
      <c r="G4281">
        <v>139000</v>
      </c>
      <c r="H4281">
        <v>1</v>
      </c>
      <c r="I4281" t="s">
        <v>325</v>
      </c>
      <c r="J4281">
        <v>40.229999999999997</v>
      </c>
      <c r="K4281">
        <v>0</v>
      </c>
      <c r="L4281">
        <v>3</v>
      </c>
      <c r="M4281" t="s">
        <v>6362</v>
      </c>
      <c r="N4281">
        <v>4</v>
      </c>
      <c r="O4281">
        <v>7</v>
      </c>
      <c r="P4281">
        <v>139800.48000000001</v>
      </c>
      <c r="Q4281">
        <v>168453.81</v>
      </c>
      <c r="R4281">
        <v>420</v>
      </c>
      <c r="S4281">
        <v>788</v>
      </c>
      <c r="T4281" t="s">
        <v>326</v>
      </c>
      <c r="U4281" t="s">
        <v>81</v>
      </c>
    </row>
    <row r="4282" spans="1:21">
      <c r="A4282" t="s">
        <v>6670</v>
      </c>
      <c r="B4282" t="s">
        <v>6511</v>
      </c>
      <c r="C4282" t="s">
        <v>709</v>
      </c>
      <c r="D4282">
        <v>142000</v>
      </c>
      <c r="E4282">
        <v>8000</v>
      </c>
      <c r="F4282">
        <v>142000</v>
      </c>
      <c r="G4282">
        <v>142000</v>
      </c>
      <c r="H4282">
        <v>2</v>
      </c>
      <c r="I4282" t="s">
        <v>325</v>
      </c>
      <c r="J4282">
        <v>38.950000000000003</v>
      </c>
      <c r="K4282">
        <v>0</v>
      </c>
      <c r="L4282">
        <v>3</v>
      </c>
      <c r="M4282" t="s">
        <v>6362</v>
      </c>
      <c r="N4282">
        <v>4</v>
      </c>
      <c r="O4282">
        <v>7</v>
      </c>
      <c r="P4282">
        <v>139800.48000000001</v>
      </c>
      <c r="Q4282">
        <v>168453.81</v>
      </c>
      <c r="R4282">
        <v>420</v>
      </c>
      <c r="S4282">
        <v>788</v>
      </c>
      <c r="T4282" t="s">
        <v>26</v>
      </c>
      <c r="U4282" t="s">
        <v>81</v>
      </c>
    </row>
    <row r="4283" spans="1:21">
      <c r="A4283" t="s">
        <v>6671</v>
      </c>
      <c r="B4283" t="s">
        <v>6511</v>
      </c>
      <c r="C4283" t="s">
        <v>1890</v>
      </c>
      <c r="D4283">
        <v>220000</v>
      </c>
      <c r="E4283">
        <v>15000</v>
      </c>
      <c r="F4283">
        <v>220000</v>
      </c>
      <c r="H4283">
        <v>2</v>
      </c>
      <c r="I4283" t="s">
        <v>325</v>
      </c>
      <c r="J4283">
        <v>40.32</v>
      </c>
      <c r="K4283">
        <v>0</v>
      </c>
      <c r="L4283">
        <v>3</v>
      </c>
      <c r="M4283" t="s">
        <v>6362</v>
      </c>
      <c r="N4283">
        <v>9</v>
      </c>
      <c r="O4283">
        <v>11</v>
      </c>
      <c r="P4283">
        <v>139800.48000000001</v>
      </c>
      <c r="Q4283">
        <v>168453.81</v>
      </c>
      <c r="R4283">
        <v>420</v>
      </c>
      <c r="S4283">
        <v>788</v>
      </c>
      <c r="T4283" t="s">
        <v>326</v>
      </c>
      <c r="U4283" t="s">
        <v>81</v>
      </c>
    </row>
    <row r="4284" spans="1:21">
      <c r="A4284" t="s">
        <v>6672</v>
      </c>
      <c r="B4284" t="s">
        <v>6511</v>
      </c>
      <c r="C4284" t="s">
        <v>1890</v>
      </c>
      <c r="D4284">
        <v>222000</v>
      </c>
      <c r="E4284">
        <v>15000</v>
      </c>
      <c r="F4284">
        <v>222000</v>
      </c>
      <c r="H4284">
        <v>2</v>
      </c>
      <c r="I4284" t="s">
        <v>325</v>
      </c>
      <c r="J4284">
        <v>40.6</v>
      </c>
      <c r="K4284">
        <v>0</v>
      </c>
      <c r="L4284">
        <v>3</v>
      </c>
      <c r="M4284" t="s">
        <v>6362</v>
      </c>
      <c r="N4284">
        <v>9</v>
      </c>
      <c r="O4284">
        <v>11</v>
      </c>
      <c r="P4284">
        <v>139800.48000000001</v>
      </c>
      <c r="Q4284">
        <v>168453.81</v>
      </c>
      <c r="R4284">
        <v>420</v>
      </c>
      <c r="S4284">
        <v>788</v>
      </c>
      <c r="T4284" t="s">
        <v>326</v>
      </c>
      <c r="U4284" t="s">
        <v>81</v>
      </c>
    </row>
    <row r="4285" spans="1:21">
      <c r="A4285" t="s">
        <v>6673</v>
      </c>
      <c r="B4285" t="s">
        <v>6511</v>
      </c>
      <c r="C4285" t="s">
        <v>1890</v>
      </c>
      <c r="D4285">
        <v>183000</v>
      </c>
      <c r="E4285">
        <v>10000</v>
      </c>
      <c r="F4285">
        <v>183000</v>
      </c>
      <c r="H4285">
        <v>3</v>
      </c>
      <c r="I4285" t="s">
        <v>325</v>
      </c>
      <c r="J4285">
        <v>32.479999999999997</v>
      </c>
      <c r="K4285">
        <v>0</v>
      </c>
      <c r="L4285">
        <v>3</v>
      </c>
      <c r="M4285" t="s">
        <v>6362</v>
      </c>
      <c r="N4285">
        <v>9</v>
      </c>
      <c r="O4285">
        <v>11</v>
      </c>
      <c r="P4285">
        <v>139800.48000000001</v>
      </c>
      <c r="Q4285">
        <v>168453.81</v>
      </c>
      <c r="R4285">
        <v>420</v>
      </c>
      <c r="S4285">
        <v>788</v>
      </c>
      <c r="T4285" t="s">
        <v>26</v>
      </c>
      <c r="U4285" t="s">
        <v>81</v>
      </c>
    </row>
    <row r="4286" spans="1:21">
      <c r="A4286" t="s">
        <v>6674</v>
      </c>
      <c r="B4286" t="s">
        <v>6511</v>
      </c>
      <c r="C4286" t="s">
        <v>709</v>
      </c>
      <c r="D4286">
        <v>142000</v>
      </c>
      <c r="E4286">
        <v>8000</v>
      </c>
      <c r="F4286">
        <v>142000</v>
      </c>
      <c r="G4286">
        <v>142000</v>
      </c>
      <c r="H4286">
        <v>3</v>
      </c>
      <c r="I4286" t="s">
        <v>325</v>
      </c>
      <c r="J4286">
        <v>37.07</v>
      </c>
      <c r="K4286">
        <v>0</v>
      </c>
      <c r="L4286">
        <v>3</v>
      </c>
      <c r="M4286" t="s">
        <v>6362</v>
      </c>
      <c r="N4286">
        <v>4</v>
      </c>
      <c r="O4286">
        <v>7</v>
      </c>
      <c r="P4286">
        <v>139800.48000000001</v>
      </c>
      <c r="Q4286">
        <v>168453.81</v>
      </c>
      <c r="R4286">
        <v>420</v>
      </c>
      <c r="S4286">
        <v>788</v>
      </c>
      <c r="T4286" t="s">
        <v>26</v>
      </c>
      <c r="U4286" t="s">
        <v>81</v>
      </c>
    </row>
    <row r="4287" spans="1:21">
      <c r="A4287" t="s">
        <v>6675</v>
      </c>
      <c r="B4287" t="s">
        <v>6511</v>
      </c>
      <c r="C4287" t="s">
        <v>1890</v>
      </c>
      <c r="D4287">
        <v>220000</v>
      </c>
      <c r="E4287">
        <v>15000</v>
      </c>
      <c r="F4287">
        <v>220000</v>
      </c>
      <c r="H4287">
        <v>3</v>
      </c>
      <c r="I4287" t="s">
        <v>325</v>
      </c>
      <c r="J4287">
        <v>40.32</v>
      </c>
      <c r="K4287">
        <v>0</v>
      </c>
      <c r="L4287">
        <v>3</v>
      </c>
      <c r="M4287" t="s">
        <v>6362</v>
      </c>
      <c r="N4287">
        <v>9</v>
      </c>
      <c r="O4287">
        <v>11</v>
      </c>
      <c r="P4287">
        <v>139800.48000000001</v>
      </c>
      <c r="Q4287">
        <v>168453.81</v>
      </c>
      <c r="R4287">
        <v>420</v>
      </c>
      <c r="S4287">
        <v>788</v>
      </c>
      <c r="T4287" t="s">
        <v>326</v>
      </c>
      <c r="U4287" t="s">
        <v>81</v>
      </c>
    </row>
    <row r="4288" spans="1:21">
      <c r="A4288" t="s">
        <v>6676</v>
      </c>
      <c r="B4288" t="s">
        <v>6511</v>
      </c>
      <c r="C4288" t="s">
        <v>1890</v>
      </c>
      <c r="D4288">
        <v>225000</v>
      </c>
      <c r="E4288">
        <v>15000</v>
      </c>
      <c r="F4288">
        <v>225000</v>
      </c>
      <c r="H4288">
        <v>3</v>
      </c>
      <c r="I4288" t="s">
        <v>325</v>
      </c>
      <c r="J4288">
        <v>40.6</v>
      </c>
      <c r="K4288">
        <v>0</v>
      </c>
      <c r="L4288">
        <v>3</v>
      </c>
      <c r="M4288" t="s">
        <v>6362</v>
      </c>
      <c r="N4288">
        <v>9</v>
      </c>
      <c r="O4288">
        <v>11</v>
      </c>
      <c r="P4288">
        <v>139800.48000000001</v>
      </c>
      <c r="Q4288">
        <v>168453.81</v>
      </c>
      <c r="R4288">
        <v>420</v>
      </c>
      <c r="S4288">
        <v>788</v>
      </c>
      <c r="T4288" t="s">
        <v>326</v>
      </c>
      <c r="U4288" t="s">
        <v>81</v>
      </c>
    </row>
    <row r="4289" spans="1:21">
      <c r="A4289" t="s">
        <v>6677</v>
      </c>
      <c r="B4289" t="s">
        <v>6511</v>
      </c>
      <c r="C4289" t="s">
        <v>1890</v>
      </c>
      <c r="D4289">
        <v>213000</v>
      </c>
      <c r="E4289">
        <v>15000</v>
      </c>
      <c r="F4289">
        <v>213000</v>
      </c>
      <c r="H4289">
        <v>-1</v>
      </c>
      <c r="I4289" t="s">
        <v>325</v>
      </c>
      <c r="J4289">
        <v>38.01</v>
      </c>
      <c r="K4289">
        <v>0</v>
      </c>
      <c r="L4289">
        <v>3</v>
      </c>
      <c r="M4289" t="s">
        <v>6362</v>
      </c>
      <c r="N4289">
        <v>9</v>
      </c>
      <c r="O4289">
        <v>11</v>
      </c>
      <c r="P4289">
        <v>139800.48000000001</v>
      </c>
      <c r="Q4289">
        <v>168453.81</v>
      </c>
      <c r="R4289">
        <v>420</v>
      </c>
      <c r="S4289">
        <v>788</v>
      </c>
      <c r="T4289" t="s">
        <v>26</v>
      </c>
      <c r="U4289" t="s">
        <v>81</v>
      </c>
    </row>
    <row r="4290" spans="1:21">
      <c r="A4290" t="s">
        <v>6678</v>
      </c>
      <c r="B4290" t="s">
        <v>6511</v>
      </c>
      <c r="C4290" t="s">
        <v>1890</v>
      </c>
      <c r="D4290">
        <v>226000</v>
      </c>
      <c r="E4290">
        <v>15000</v>
      </c>
      <c r="F4290">
        <v>226000</v>
      </c>
      <c r="H4290">
        <v>-1</v>
      </c>
      <c r="I4290" t="s">
        <v>325</v>
      </c>
      <c r="J4290">
        <v>40.32</v>
      </c>
      <c r="K4290">
        <v>0</v>
      </c>
      <c r="L4290">
        <v>3</v>
      </c>
      <c r="M4290" t="s">
        <v>6362</v>
      </c>
      <c r="N4290">
        <v>9</v>
      </c>
      <c r="O4290">
        <v>11</v>
      </c>
      <c r="P4290">
        <v>139800.48000000001</v>
      </c>
      <c r="Q4290">
        <v>168453.81</v>
      </c>
      <c r="R4290">
        <v>420</v>
      </c>
      <c r="S4290">
        <v>788</v>
      </c>
      <c r="T4290" t="s">
        <v>326</v>
      </c>
      <c r="U4290" t="s">
        <v>81</v>
      </c>
    </row>
    <row r="4291" spans="1:21">
      <c r="A4291" t="s">
        <v>6679</v>
      </c>
      <c r="B4291" t="s">
        <v>6383</v>
      </c>
      <c r="C4291" t="s">
        <v>104</v>
      </c>
      <c r="D4291">
        <v>187000</v>
      </c>
      <c r="F4291">
        <v>187000</v>
      </c>
      <c r="G4291">
        <v>187000</v>
      </c>
      <c r="H4291">
        <v>3</v>
      </c>
      <c r="I4291" t="s">
        <v>325</v>
      </c>
      <c r="J4291">
        <v>42.36</v>
      </c>
      <c r="K4291">
        <v>12</v>
      </c>
      <c r="L4291">
        <v>3</v>
      </c>
      <c r="M4291" t="s">
        <v>6362</v>
      </c>
      <c r="N4291">
        <v>3</v>
      </c>
      <c r="O4291">
        <v>6.67</v>
      </c>
      <c r="P4291">
        <v>139800.48000000001</v>
      </c>
      <c r="Q4291">
        <v>168453.81</v>
      </c>
      <c r="R4291">
        <v>420</v>
      </c>
      <c r="S4291">
        <v>788</v>
      </c>
      <c r="T4291" t="s">
        <v>326</v>
      </c>
      <c r="U4291" t="s">
        <v>90</v>
      </c>
    </row>
    <row r="4292" spans="1:21">
      <c r="A4292" t="s">
        <v>6680</v>
      </c>
      <c r="B4292" t="s">
        <v>6383</v>
      </c>
      <c r="C4292" t="s">
        <v>104</v>
      </c>
      <c r="D4292">
        <v>190000</v>
      </c>
      <c r="F4292">
        <v>190000</v>
      </c>
      <c r="G4292">
        <v>228000</v>
      </c>
      <c r="H4292">
        <v>3</v>
      </c>
      <c r="I4292" t="s">
        <v>325</v>
      </c>
      <c r="J4292">
        <v>42.36</v>
      </c>
      <c r="K4292">
        <v>12</v>
      </c>
      <c r="L4292">
        <v>3</v>
      </c>
      <c r="M4292" t="s">
        <v>6362</v>
      </c>
      <c r="N4292">
        <v>3</v>
      </c>
      <c r="O4292">
        <v>6.67</v>
      </c>
      <c r="P4292">
        <v>139800.48000000001</v>
      </c>
      <c r="Q4292">
        <v>168453.81</v>
      </c>
      <c r="R4292">
        <v>420</v>
      </c>
      <c r="S4292">
        <v>788</v>
      </c>
      <c r="T4292" t="s">
        <v>326</v>
      </c>
      <c r="U4292" t="s">
        <v>90</v>
      </c>
    </row>
    <row r="4293" spans="1:21">
      <c r="A4293" t="s">
        <v>6681</v>
      </c>
      <c r="B4293" t="s">
        <v>6682</v>
      </c>
      <c r="C4293" t="s">
        <v>41</v>
      </c>
      <c r="D4293">
        <v>114000</v>
      </c>
      <c r="E4293">
        <v>3000</v>
      </c>
      <c r="F4293">
        <v>114000</v>
      </c>
      <c r="G4293">
        <v>114000</v>
      </c>
      <c r="H4293">
        <v>2</v>
      </c>
      <c r="I4293" t="s">
        <v>325</v>
      </c>
      <c r="J4293">
        <v>35.369999999999997</v>
      </c>
      <c r="K4293">
        <v>35</v>
      </c>
      <c r="L4293">
        <v>3</v>
      </c>
      <c r="M4293" t="s">
        <v>6362</v>
      </c>
      <c r="N4293">
        <v>5</v>
      </c>
      <c r="O4293">
        <v>7.33</v>
      </c>
      <c r="P4293">
        <v>139800.48000000001</v>
      </c>
      <c r="Q4293">
        <v>168453.81</v>
      </c>
      <c r="R4293">
        <v>420</v>
      </c>
      <c r="S4293">
        <v>788</v>
      </c>
      <c r="T4293" t="s">
        <v>26</v>
      </c>
      <c r="U4293" t="s">
        <v>49</v>
      </c>
    </row>
    <row r="4294" spans="1:21">
      <c r="A4294" t="s">
        <v>6683</v>
      </c>
      <c r="B4294" t="s">
        <v>6534</v>
      </c>
      <c r="C4294" t="s">
        <v>709</v>
      </c>
      <c r="D4294">
        <v>105000</v>
      </c>
      <c r="E4294">
        <v>3000</v>
      </c>
      <c r="F4294">
        <v>105000</v>
      </c>
      <c r="G4294">
        <v>105000</v>
      </c>
      <c r="H4294">
        <v>2</v>
      </c>
      <c r="I4294" t="s">
        <v>325</v>
      </c>
      <c r="J4294">
        <v>31.7</v>
      </c>
      <c r="K4294">
        <v>7</v>
      </c>
      <c r="L4294">
        <v>3</v>
      </c>
      <c r="M4294" t="s">
        <v>6362</v>
      </c>
      <c r="N4294">
        <v>2</v>
      </c>
      <c r="O4294">
        <v>6.33</v>
      </c>
      <c r="P4294">
        <v>139800.48000000001</v>
      </c>
      <c r="Q4294">
        <v>168453.81</v>
      </c>
      <c r="R4294">
        <v>420</v>
      </c>
      <c r="S4294">
        <v>788</v>
      </c>
      <c r="T4294" t="s">
        <v>26</v>
      </c>
      <c r="U4294" t="s">
        <v>31</v>
      </c>
    </row>
    <row r="4295" spans="1:21">
      <c r="A4295" t="s">
        <v>6684</v>
      </c>
      <c r="B4295" t="s">
        <v>6536</v>
      </c>
      <c r="C4295" t="s">
        <v>709</v>
      </c>
      <c r="D4295">
        <v>168000</v>
      </c>
      <c r="E4295">
        <v>15000</v>
      </c>
      <c r="F4295">
        <v>168000</v>
      </c>
      <c r="G4295">
        <v>168000</v>
      </c>
      <c r="H4295">
        <v>1</v>
      </c>
      <c r="I4295" t="s">
        <v>325</v>
      </c>
      <c r="J4295">
        <v>39.06</v>
      </c>
      <c r="K4295">
        <v>0</v>
      </c>
      <c r="L4295">
        <v>4</v>
      </c>
      <c r="M4295" t="s">
        <v>6362</v>
      </c>
      <c r="N4295">
        <v>3</v>
      </c>
      <c r="O4295">
        <v>7.67</v>
      </c>
      <c r="P4295">
        <v>139800.48000000001</v>
      </c>
      <c r="Q4295">
        <v>168453.81</v>
      </c>
      <c r="R4295">
        <v>420</v>
      </c>
      <c r="S4295">
        <v>788</v>
      </c>
      <c r="T4295" t="s">
        <v>26</v>
      </c>
      <c r="U4295" t="s">
        <v>81</v>
      </c>
    </row>
    <row r="4296" spans="1:21">
      <c r="A4296" t="s">
        <v>6685</v>
      </c>
      <c r="B4296" t="s">
        <v>6536</v>
      </c>
      <c r="C4296" t="s">
        <v>709</v>
      </c>
      <c r="D4296">
        <v>170000</v>
      </c>
      <c r="E4296">
        <v>20000</v>
      </c>
      <c r="F4296">
        <v>170000</v>
      </c>
      <c r="G4296">
        <v>170000</v>
      </c>
      <c r="H4296">
        <v>1</v>
      </c>
      <c r="I4296" t="s">
        <v>325</v>
      </c>
      <c r="J4296">
        <v>39.06</v>
      </c>
      <c r="K4296">
        <v>0</v>
      </c>
      <c r="L4296">
        <v>4</v>
      </c>
      <c r="M4296" t="s">
        <v>6362</v>
      </c>
      <c r="N4296">
        <v>3</v>
      </c>
      <c r="O4296">
        <v>7.67</v>
      </c>
      <c r="P4296">
        <v>139800.48000000001</v>
      </c>
      <c r="Q4296">
        <v>168453.81</v>
      </c>
      <c r="R4296">
        <v>420</v>
      </c>
      <c r="S4296">
        <v>788</v>
      </c>
      <c r="T4296" t="s">
        <v>26</v>
      </c>
      <c r="U4296" t="s">
        <v>81</v>
      </c>
    </row>
    <row r="4297" spans="1:21">
      <c r="A4297" t="s">
        <v>6686</v>
      </c>
      <c r="B4297" t="s">
        <v>6536</v>
      </c>
      <c r="C4297" t="s">
        <v>709</v>
      </c>
      <c r="D4297">
        <v>183000</v>
      </c>
      <c r="E4297">
        <v>15000</v>
      </c>
      <c r="F4297">
        <v>183000</v>
      </c>
      <c r="G4297">
        <v>183000</v>
      </c>
      <c r="H4297">
        <v>1</v>
      </c>
      <c r="I4297" t="s">
        <v>325</v>
      </c>
      <c r="J4297">
        <v>39.06</v>
      </c>
      <c r="K4297">
        <v>0</v>
      </c>
      <c r="L4297">
        <v>4</v>
      </c>
      <c r="M4297" t="s">
        <v>6362</v>
      </c>
      <c r="N4297">
        <v>3</v>
      </c>
      <c r="O4297">
        <v>7.67</v>
      </c>
      <c r="P4297">
        <v>139800.48000000001</v>
      </c>
      <c r="Q4297">
        <v>168453.81</v>
      </c>
      <c r="R4297">
        <v>420</v>
      </c>
      <c r="S4297">
        <v>788</v>
      </c>
      <c r="T4297" t="s">
        <v>26</v>
      </c>
      <c r="U4297" t="s">
        <v>81</v>
      </c>
    </row>
    <row r="4298" spans="1:21">
      <c r="A4298" t="s">
        <v>6687</v>
      </c>
      <c r="B4298" t="s">
        <v>6536</v>
      </c>
      <c r="C4298" t="s">
        <v>709</v>
      </c>
      <c r="D4298">
        <v>178000</v>
      </c>
      <c r="E4298">
        <v>20000</v>
      </c>
      <c r="F4298">
        <v>178000</v>
      </c>
      <c r="G4298">
        <v>178000</v>
      </c>
      <c r="H4298">
        <v>2</v>
      </c>
      <c r="I4298" t="s">
        <v>325</v>
      </c>
      <c r="J4298">
        <v>39.06</v>
      </c>
      <c r="K4298">
        <v>0</v>
      </c>
      <c r="L4298">
        <v>4</v>
      </c>
      <c r="M4298" t="s">
        <v>6362</v>
      </c>
      <c r="N4298">
        <v>3</v>
      </c>
      <c r="O4298">
        <v>7.67</v>
      </c>
      <c r="P4298">
        <v>139800.48000000001</v>
      </c>
      <c r="Q4298">
        <v>168453.81</v>
      </c>
      <c r="R4298">
        <v>420</v>
      </c>
      <c r="S4298">
        <v>788</v>
      </c>
      <c r="T4298" t="s">
        <v>26</v>
      </c>
      <c r="U4298" t="s">
        <v>81</v>
      </c>
    </row>
    <row r="4299" spans="1:21">
      <c r="A4299" t="s">
        <v>6688</v>
      </c>
      <c r="B4299" t="s">
        <v>6689</v>
      </c>
      <c r="C4299" t="s">
        <v>104</v>
      </c>
      <c r="D4299">
        <v>148000</v>
      </c>
      <c r="E4299">
        <v>6000</v>
      </c>
      <c r="F4299">
        <v>148000</v>
      </c>
      <c r="G4299">
        <v>148000</v>
      </c>
      <c r="H4299">
        <v>2</v>
      </c>
      <c r="I4299" t="s">
        <v>325</v>
      </c>
      <c r="J4299">
        <v>37.53</v>
      </c>
      <c r="K4299">
        <v>2</v>
      </c>
      <c r="L4299">
        <v>4</v>
      </c>
      <c r="M4299" t="s">
        <v>6362</v>
      </c>
      <c r="N4299">
        <v>4</v>
      </c>
      <c r="O4299">
        <v>7</v>
      </c>
      <c r="P4299">
        <v>139800.48000000001</v>
      </c>
      <c r="Q4299">
        <v>168453.81</v>
      </c>
      <c r="R4299">
        <v>420</v>
      </c>
      <c r="S4299">
        <v>788</v>
      </c>
      <c r="T4299" t="s">
        <v>26</v>
      </c>
      <c r="U4299" t="s">
        <v>31</v>
      </c>
    </row>
    <row r="4300" spans="1:21">
      <c r="A4300" t="s">
        <v>6690</v>
      </c>
      <c r="B4300" t="s">
        <v>6691</v>
      </c>
      <c r="C4300" t="s">
        <v>3025</v>
      </c>
      <c r="D4300">
        <v>148000</v>
      </c>
      <c r="E4300">
        <v>5000</v>
      </c>
      <c r="F4300">
        <v>148000</v>
      </c>
      <c r="G4300">
        <v>148000</v>
      </c>
      <c r="H4300">
        <v>4</v>
      </c>
      <c r="I4300" t="s">
        <v>325</v>
      </c>
      <c r="J4300">
        <v>47.65</v>
      </c>
      <c r="K4300">
        <v>20</v>
      </c>
      <c r="L4300">
        <v>5</v>
      </c>
      <c r="M4300" t="s">
        <v>6362</v>
      </c>
      <c r="N4300">
        <v>8</v>
      </c>
      <c r="O4300">
        <v>9.67</v>
      </c>
      <c r="P4300">
        <v>139800.48000000001</v>
      </c>
      <c r="Q4300">
        <v>168453.81</v>
      </c>
      <c r="R4300">
        <v>420</v>
      </c>
      <c r="S4300">
        <v>788</v>
      </c>
      <c r="T4300" t="s">
        <v>326</v>
      </c>
      <c r="U4300" t="s">
        <v>90</v>
      </c>
    </row>
    <row r="4301" spans="1:21">
      <c r="A4301" t="s">
        <v>6690</v>
      </c>
      <c r="B4301" t="s">
        <v>6691</v>
      </c>
      <c r="C4301" t="s">
        <v>3025</v>
      </c>
      <c r="D4301">
        <v>148000</v>
      </c>
      <c r="E4301">
        <v>5000</v>
      </c>
      <c r="F4301">
        <v>148000</v>
      </c>
      <c r="G4301">
        <v>148000</v>
      </c>
      <c r="H4301">
        <v>5</v>
      </c>
      <c r="I4301" t="s">
        <v>325</v>
      </c>
      <c r="J4301">
        <v>47.65</v>
      </c>
      <c r="K4301">
        <v>20</v>
      </c>
      <c r="L4301">
        <v>5</v>
      </c>
      <c r="M4301" t="s">
        <v>6362</v>
      </c>
      <c r="N4301">
        <v>8</v>
      </c>
      <c r="O4301">
        <v>9.67</v>
      </c>
      <c r="P4301">
        <v>139800.48000000001</v>
      </c>
      <c r="Q4301">
        <v>168453.81</v>
      </c>
      <c r="R4301">
        <v>420</v>
      </c>
      <c r="S4301">
        <v>788</v>
      </c>
      <c r="T4301" t="s">
        <v>326</v>
      </c>
      <c r="U4301" t="s">
        <v>90</v>
      </c>
    </row>
    <row r="4302" spans="1:21">
      <c r="A4302" t="s">
        <v>6692</v>
      </c>
      <c r="B4302" t="s">
        <v>6691</v>
      </c>
      <c r="C4302" t="s">
        <v>3025</v>
      </c>
      <c r="D4302">
        <v>148000</v>
      </c>
      <c r="E4302">
        <v>5000</v>
      </c>
      <c r="F4302">
        <v>148000</v>
      </c>
      <c r="G4302">
        <v>148000</v>
      </c>
      <c r="H4302">
        <v>4</v>
      </c>
      <c r="I4302" t="s">
        <v>325</v>
      </c>
      <c r="J4302">
        <v>45.03</v>
      </c>
      <c r="K4302">
        <v>20</v>
      </c>
      <c r="L4302">
        <v>5</v>
      </c>
      <c r="M4302" t="s">
        <v>6362</v>
      </c>
      <c r="N4302">
        <v>8</v>
      </c>
      <c r="O4302">
        <v>9.67</v>
      </c>
      <c r="P4302">
        <v>139800.48000000001</v>
      </c>
      <c r="Q4302">
        <v>168453.81</v>
      </c>
      <c r="R4302">
        <v>420</v>
      </c>
      <c r="S4302">
        <v>788</v>
      </c>
      <c r="T4302" t="s">
        <v>326</v>
      </c>
      <c r="U4302" t="s">
        <v>90</v>
      </c>
    </row>
    <row r="4303" spans="1:21">
      <c r="A4303" t="s">
        <v>6693</v>
      </c>
      <c r="B4303" t="s">
        <v>6691</v>
      </c>
      <c r="C4303" t="s">
        <v>41</v>
      </c>
      <c r="D4303">
        <v>178000</v>
      </c>
      <c r="E4303">
        <v>10000</v>
      </c>
      <c r="F4303">
        <v>178000</v>
      </c>
      <c r="G4303">
        <v>356000</v>
      </c>
      <c r="H4303">
        <v>5</v>
      </c>
      <c r="I4303" t="s">
        <v>325</v>
      </c>
      <c r="J4303">
        <v>44.68</v>
      </c>
      <c r="K4303">
        <v>20</v>
      </c>
      <c r="L4303">
        <v>5</v>
      </c>
      <c r="M4303" t="s">
        <v>6362</v>
      </c>
      <c r="N4303">
        <v>5</v>
      </c>
      <c r="O4303">
        <v>7.33</v>
      </c>
      <c r="P4303">
        <v>139800.48000000001</v>
      </c>
      <c r="Q4303">
        <v>168453.81</v>
      </c>
      <c r="R4303">
        <v>420</v>
      </c>
      <c r="S4303">
        <v>788</v>
      </c>
      <c r="T4303" t="s">
        <v>326</v>
      </c>
      <c r="U4303" t="s">
        <v>90</v>
      </c>
    </row>
    <row r="4304" spans="1:21">
      <c r="A4304" t="s">
        <v>6694</v>
      </c>
      <c r="B4304" t="s">
        <v>6695</v>
      </c>
      <c r="C4304" t="s">
        <v>104</v>
      </c>
      <c r="D4304">
        <v>220000</v>
      </c>
      <c r="E4304">
        <v>8000</v>
      </c>
      <c r="F4304">
        <v>220000</v>
      </c>
      <c r="H4304">
        <v>1</v>
      </c>
      <c r="I4304" t="s">
        <v>325</v>
      </c>
      <c r="J4304">
        <v>47.7</v>
      </c>
      <c r="K4304">
        <v>59</v>
      </c>
      <c r="L4304">
        <v>5</v>
      </c>
      <c r="M4304" t="s">
        <v>6362</v>
      </c>
      <c r="N4304">
        <v>4</v>
      </c>
      <c r="O4304">
        <v>7</v>
      </c>
      <c r="P4304">
        <v>139800.48000000001</v>
      </c>
      <c r="Q4304">
        <v>168453.81</v>
      </c>
      <c r="R4304">
        <v>420</v>
      </c>
      <c r="S4304">
        <v>788</v>
      </c>
      <c r="T4304" t="s">
        <v>326</v>
      </c>
      <c r="U4304" t="s">
        <v>57</v>
      </c>
    </row>
    <row r="4305" spans="1:21">
      <c r="A4305" t="s">
        <v>6696</v>
      </c>
      <c r="B4305" t="s">
        <v>6697</v>
      </c>
      <c r="C4305" t="s">
        <v>94</v>
      </c>
      <c r="D4305">
        <v>170000</v>
      </c>
      <c r="E4305">
        <v>20000</v>
      </c>
      <c r="H4305">
        <v>2</v>
      </c>
      <c r="I4305" t="s">
        <v>325</v>
      </c>
      <c r="J4305">
        <v>30.96</v>
      </c>
      <c r="K4305">
        <v>3</v>
      </c>
      <c r="L4305">
        <v>6</v>
      </c>
      <c r="M4305" t="s">
        <v>6362</v>
      </c>
      <c r="N4305">
        <v>11</v>
      </c>
      <c r="O4305">
        <v>11.67</v>
      </c>
      <c r="P4305">
        <v>139800.48000000001</v>
      </c>
      <c r="Q4305">
        <v>168453.81</v>
      </c>
      <c r="R4305">
        <v>420</v>
      </c>
      <c r="S4305">
        <v>788</v>
      </c>
      <c r="T4305" t="s">
        <v>26</v>
      </c>
      <c r="U4305" t="s">
        <v>31</v>
      </c>
    </row>
    <row r="4306" spans="1:21">
      <c r="A4306" t="s">
        <v>6698</v>
      </c>
      <c r="B4306" t="s">
        <v>6697</v>
      </c>
      <c r="C4306" t="s">
        <v>94</v>
      </c>
      <c r="D4306">
        <v>172000</v>
      </c>
      <c r="E4306">
        <v>20000</v>
      </c>
      <c r="H4306">
        <v>3</v>
      </c>
      <c r="I4306" t="s">
        <v>325</v>
      </c>
      <c r="J4306">
        <v>31.14</v>
      </c>
      <c r="K4306">
        <v>3</v>
      </c>
      <c r="L4306">
        <v>6</v>
      </c>
      <c r="M4306" t="s">
        <v>6362</v>
      </c>
      <c r="N4306">
        <v>11</v>
      </c>
      <c r="O4306">
        <v>11.67</v>
      </c>
      <c r="P4306">
        <v>139800.48000000001</v>
      </c>
      <c r="Q4306">
        <v>168453.81</v>
      </c>
      <c r="R4306">
        <v>420</v>
      </c>
      <c r="S4306">
        <v>788</v>
      </c>
      <c r="T4306" t="s">
        <v>26</v>
      </c>
      <c r="U4306" t="s">
        <v>31</v>
      </c>
    </row>
    <row r="4307" spans="1:21">
      <c r="A4307" t="s">
        <v>6699</v>
      </c>
      <c r="B4307" t="s">
        <v>6697</v>
      </c>
      <c r="C4307" t="s">
        <v>94</v>
      </c>
      <c r="D4307">
        <v>173000</v>
      </c>
      <c r="E4307">
        <v>20000</v>
      </c>
      <c r="H4307">
        <v>5</v>
      </c>
      <c r="I4307" t="s">
        <v>325</v>
      </c>
      <c r="J4307">
        <v>31.11</v>
      </c>
      <c r="K4307">
        <v>3</v>
      </c>
      <c r="L4307">
        <v>6</v>
      </c>
      <c r="M4307" t="s">
        <v>6362</v>
      </c>
      <c r="N4307">
        <v>11</v>
      </c>
      <c r="O4307">
        <v>11.67</v>
      </c>
      <c r="P4307">
        <v>139800.48000000001</v>
      </c>
      <c r="Q4307">
        <v>168453.81</v>
      </c>
      <c r="R4307">
        <v>420</v>
      </c>
      <c r="S4307">
        <v>788</v>
      </c>
      <c r="T4307" t="s">
        <v>26</v>
      </c>
      <c r="U4307" t="s">
        <v>31</v>
      </c>
    </row>
    <row r="4308" spans="1:21">
      <c r="A4308" t="s">
        <v>6700</v>
      </c>
      <c r="B4308" t="s">
        <v>6697</v>
      </c>
      <c r="C4308" t="s">
        <v>94</v>
      </c>
      <c r="D4308">
        <v>173000</v>
      </c>
      <c r="E4308">
        <v>20000</v>
      </c>
      <c r="H4308">
        <v>6</v>
      </c>
      <c r="I4308" t="s">
        <v>325</v>
      </c>
      <c r="J4308">
        <v>31.17</v>
      </c>
      <c r="K4308">
        <v>3</v>
      </c>
      <c r="L4308">
        <v>6</v>
      </c>
      <c r="M4308" t="s">
        <v>6362</v>
      </c>
      <c r="N4308">
        <v>11</v>
      </c>
      <c r="O4308">
        <v>11.67</v>
      </c>
      <c r="P4308">
        <v>139800.48000000001</v>
      </c>
      <c r="Q4308">
        <v>168453.81</v>
      </c>
      <c r="R4308">
        <v>420</v>
      </c>
      <c r="S4308">
        <v>788</v>
      </c>
      <c r="T4308" t="s">
        <v>26</v>
      </c>
      <c r="U4308" t="s">
        <v>31</v>
      </c>
    </row>
    <row r="4309" spans="1:21">
      <c r="A4309" t="s">
        <v>6701</v>
      </c>
      <c r="B4309" t="s">
        <v>6562</v>
      </c>
      <c r="C4309" t="s">
        <v>3059</v>
      </c>
      <c r="D4309">
        <v>168000</v>
      </c>
      <c r="E4309">
        <v>12000</v>
      </c>
      <c r="H4309">
        <v>7</v>
      </c>
      <c r="I4309" t="s">
        <v>325</v>
      </c>
      <c r="J4309">
        <v>40.26</v>
      </c>
      <c r="K4309">
        <v>20</v>
      </c>
      <c r="L4309">
        <v>9</v>
      </c>
      <c r="M4309" t="s">
        <v>6362</v>
      </c>
      <c r="N4309">
        <v>3</v>
      </c>
      <c r="O4309">
        <v>5.67</v>
      </c>
      <c r="P4309">
        <v>139800.48000000001</v>
      </c>
      <c r="Q4309">
        <v>168453.81</v>
      </c>
      <c r="R4309">
        <v>420</v>
      </c>
      <c r="S4309">
        <v>788</v>
      </c>
      <c r="T4309" t="s">
        <v>326</v>
      </c>
      <c r="U4309" t="s">
        <v>90</v>
      </c>
    </row>
    <row r="4310" spans="1:21">
      <c r="A4310" t="s">
        <v>6702</v>
      </c>
      <c r="B4310" t="s">
        <v>6703</v>
      </c>
      <c r="C4310" t="s">
        <v>3025</v>
      </c>
      <c r="D4310">
        <v>149000</v>
      </c>
      <c r="E4310">
        <v>16000</v>
      </c>
      <c r="F4310">
        <v>149000</v>
      </c>
      <c r="G4310">
        <v>149000</v>
      </c>
      <c r="H4310">
        <v>1</v>
      </c>
      <c r="I4310" t="s">
        <v>325</v>
      </c>
      <c r="J4310">
        <v>46</v>
      </c>
      <c r="K4310">
        <v>18</v>
      </c>
      <c r="L4310">
        <v>4</v>
      </c>
      <c r="M4310" t="s">
        <v>6362</v>
      </c>
      <c r="N4310">
        <v>6</v>
      </c>
      <c r="O4310">
        <v>8</v>
      </c>
      <c r="P4310">
        <v>139800.48000000001</v>
      </c>
      <c r="Q4310">
        <v>168453.81</v>
      </c>
      <c r="R4310">
        <v>420</v>
      </c>
      <c r="S4310">
        <v>788</v>
      </c>
      <c r="T4310" t="s">
        <v>326</v>
      </c>
      <c r="U4310" t="s">
        <v>90</v>
      </c>
    </row>
    <row r="4311" spans="1:21">
      <c r="A4311" t="s">
        <v>6704</v>
      </c>
      <c r="B4311" t="s">
        <v>6705</v>
      </c>
      <c r="C4311" t="s">
        <v>3059</v>
      </c>
      <c r="D4311">
        <v>149000</v>
      </c>
      <c r="E4311">
        <v>2000</v>
      </c>
      <c r="F4311">
        <v>149000</v>
      </c>
      <c r="G4311">
        <v>149000</v>
      </c>
      <c r="H4311">
        <v>2</v>
      </c>
      <c r="I4311" t="s">
        <v>325</v>
      </c>
      <c r="J4311">
        <v>40</v>
      </c>
      <c r="K4311">
        <v>43</v>
      </c>
      <c r="L4311">
        <v>4</v>
      </c>
      <c r="M4311" t="s">
        <v>6362</v>
      </c>
      <c r="N4311">
        <v>2</v>
      </c>
      <c r="O4311">
        <v>4.33</v>
      </c>
      <c r="P4311">
        <v>139800.48000000001</v>
      </c>
      <c r="Q4311">
        <v>168453.81</v>
      </c>
      <c r="R4311">
        <v>420</v>
      </c>
      <c r="S4311">
        <v>788</v>
      </c>
      <c r="T4311" t="s">
        <v>326</v>
      </c>
      <c r="U4311" t="s">
        <v>42</v>
      </c>
    </row>
    <row r="4312" spans="1:21">
      <c r="A4312" t="s">
        <v>6706</v>
      </c>
      <c r="B4312" t="s">
        <v>6707</v>
      </c>
      <c r="C4312" t="s">
        <v>104</v>
      </c>
      <c r="D4312">
        <v>187000</v>
      </c>
      <c r="F4312">
        <v>187000</v>
      </c>
      <c r="G4312">
        <v>187000</v>
      </c>
      <c r="H4312">
        <v>3</v>
      </c>
      <c r="I4312" t="s">
        <v>325</v>
      </c>
      <c r="J4312">
        <v>42.36</v>
      </c>
      <c r="K4312">
        <v>12</v>
      </c>
      <c r="L4312">
        <v>3</v>
      </c>
      <c r="M4312" t="s">
        <v>6362</v>
      </c>
      <c r="N4312">
        <v>3</v>
      </c>
      <c r="O4312">
        <v>6.33</v>
      </c>
      <c r="P4312">
        <v>139800.48000000001</v>
      </c>
      <c r="Q4312">
        <v>168453.81</v>
      </c>
      <c r="R4312">
        <v>420</v>
      </c>
      <c r="S4312">
        <v>788</v>
      </c>
      <c r="T4312" t="s">
        <v>326</v>
      </c>
      <c r="U4312" t="s">
        <v>90</v>
      </c>
    </row>
    <row r="4313" spans="1:21">
      <c r="A4313" t="s">
        <v>6708</v>
      </c>
      <c r="B4313" t="s">
        <v>6709</v>
      </c>
      <c r="C4313" t="s">
        <v>1890</v>
      </c>
      <c r="D4313">
        <v>140000</v>
      </c>
      <c r="E4313">
        <v>8000</v>
      </c>
      <c r="G4313">
        <v>80000</v>
      </c>
      <c r="H4313">
        <v>1</v>
      </c>
      <c r="I4313" t="s">
        <v>325</v>
      </c>
      <c r="J4313">
        <v>37.770000000000003</v>
      </c>
      <c r="K4313">
        <v>15</v>
      </c>
      <c r="L4313">
        <v>1</v>
      </c>
      <c r="M4313" t="s">
        <v>6362</v>
      </c>
      <c r="N4313">
        <v>9</v>
      </c>
      <c r="O4313">
        <v>9.33</v>
      </c>
      <c r="P4313">
        <v>139800.48000000001</v>
      </c>
      <c r="Q4313">
        <v>168453.81</v>
      </c>
      <c r="R4313">
        <v>420</v>
      </c>
      <c r="S4313">
        <v>788</v>
      </c>
      <c r="T4313" t="s">
        <v>26</v>
      </c>
      <c r="U4313" t="s">
        <v>90</v>
      </c>
    </row>
    <row r="4314" spans="1:21">
      <c r="A4314" t="s">
        <v>6710</v>
      </c>
      <c r="B4314" t="s">
        <v>6591</v>
      </c>
      <c r="C4314" t="s">
        <v>3195</v>
      </c>
      <c r="D4314">
        <v>179000</v>
      </c>
      <c r="E4314">
        <v>6000</v>
      </c>
      <c r="G4314">
        <v>268500</v>
      </c>
      <c r="H4314">
        <v>1</v>
      </c>
      <c r="I4314" t="s">
        <v>325</v>
      </c>
      <c r="J4314">
        <v>47.6</v>
      </c>
      <c r="K4314">
        <v>8</v>
      </c>
      <c r="L4314">
        <v>3</v>
      </c>
      <c r="M4314" t="s">
        <v>6362</v>
      </c>
      <c r="N4314">
        <v>3</v>
      </c>
      <c r="O4314">
        <v>7.67</v>
      </c>
      <c r="P4314">
        <v>139800.48000000001</v>
      </c>
      <c r="Q4314">
        <v>168453.81</v>
      </c>
      <c r="R4314">
        <v>420</v>
      </c>
      <c r="S4314">
        <v>788</v>
      </c>
      <c r="T4314" t="s">
        <v>326</v>
      </c>
      <c r="U4314" t="s">
        <v>31</v>
      </c>
    </row>
    <row r="4315" spans="1:21">
      <c r="A4315" t="s">
        <v>6710</v>
      </c>
      <c r="B4315" t="s">
        <v>6591</v>
      </c>
      <c r="C4315" t="s">
        <v>3195</v>
      </c>
      <c r="D4315">
        <v>179000</v>
      </c>
      <c r="E4315">
        <v>6000</v>
      </c>
      <c r="G4315">
        <v>268500</v>
      </c>
      <c r="H4315">
        <v>2</v>
      </c>
      <c r="I4315" t="s">
        <v>325</v>
      </c>
      <c r="J4315">
        <v>47.6</v>
      </c>
      <c r="K4315">
        <v>8</v>
      </c>
      <c r="L4315">
        <v>3</v>
      </c>
      <c r="M4315" t="s">
        <v>6362</v>
      </c>
      <c r="N4315">
        <v>3</v>
      </c>
      <c r="O4315">
        <v>7.67</v>
      </c>
      <c r="P4315">
        <v>139800.48000000001</v>
      </c>
      <c r="Q4315">
        <v>168453.81</v>
      </c>
      <c r="R4315">
        <v>420</v>
      </c>
      <c r="S4315">
        <v>788</v>
      </c>
      <c r="T4315" t="s">
        <v>326</v>
      </c>
      <c r="U4315" t="s">
        <v>31</v>
      </c>
    </row>
    <row r="4316" spans="1:21">
      <c r="A4316" t="s">
        <v>6710</v>
      </c>
      <c r="B4316" t="s">
        <v>6591</v>
      </c>
      <c r="C4316" t="s">
        <v>3195</v>
      </c>
      <c r="D4316">
        <v>179000</v>
      </c>
      <c r="E4316">
        <v>6000</v>
      </c>
      <c r="G4316">
        <v>268500</v>
      </c>
      <c r="H4316">
        <v>3</v>
      </c>
      <c r="I4316" t="s">
        <v>325</v>
      </c>
      <c r="J4316">
        <v>47.6</v>
      </c>
      <c r="K4316">
        <v>8</v>
      </c>
      <c r="L4316">
        <v>3</v>
      </c>
      <c r="M4316" t="s">
        <v>6362</v>
      </c>
      <c r="N4316">
        <v>3</v>
      </c>
      <c r="O4316">
        <v>7.67</v>
      </c>
      <c r="P4316">
        <v>139800.48000000001</v>
      </c>
      <c r="Q4316">
        <v>168453.81</v>
      </c>
      <c r="R4316">
        <v>420</v>
      </c>
      <c r="S4316">
        <v>788</v>
      </c>
      <c r="T4316" t="s">
        <v>326</v>
      </c>
      <c r="U4316" t="s">
        <v>31</v>
      </c>
    </row>
    <row r="4317" spans="1:21">
      <c r="A4317" t="s">
        <v>6711</v>
      </c>
      <c r="B4317" t="s">
        <v>6712</v>
      </c>
      <c r="C4317" t="s">
        <v>709</v>
      </c>
      <c r="D4317">
        <v>139000</v>
      </c>
      <c r="E4317">
        <v>8000</v>
      </c>
      <c r="F4317">
        <v>139000</v>
      </c>
      <c r="G4317">
        <v>139000</v>
      </c>
      <c r="H4317">
        <v>1</v>
      </c>
      <c r="I4317" t="s">
        <v>325</v>
      </c>
      <c r="J4317">
        <v>40.229999999999997</v>
      </c>
      <c r="K4317">
        <v>0</v>
      </c>
      <c r="L4317">
        <v>3</v>
      </c>
      <c r="M4317" t="s">
        <v>6362</v>
      </c>
      <c r="N4317">
        <v>5</v>
      </c>
      <c r="O4317">
        <v>7.33</v>
      </c>
      <c r="P4317">
        <v>139800.48000000001</v>
      </c>
      <c r="Q4317">
        <v>168453.81</v>
      </c>
      <c r="R4317">
        <v>420</v>
      </c>
      <c r="S4317">
        <v>788</v>
      </c>
      <c r="T4317" t="s">
        <v>326</v>
      </c>
      <c r="U4317" t="s">
        <v>81</v>
      </c>
    </row>
    <row r="4318" spans="1:21">
      <c r="A4318" t="s">
        <v>6713</v>
      </c>
      <c r="B4318" t="s">
        <v>6712</v>
      </c>
      <c r="C4318" t="s">
        <v>709</v>
      </c>
      <c r="D4318">
        <v>142000</v>
      </c>
      <c r="E4318">
        <v>8000</v>
      </c>
      <c r="F4318">
        <v>142000</v>
      </c>
      <c r="G4318">
        <v>142000</v>
      </c>
      <c r="H4318">
        <v>2</v>
      </c>
      <c r="I4318" t="s">
        <v>325</v>
      </c>
      <c r="J4318">
        <v>38.950000000000003</v>
      </c>
      <c r="K4318">
        <v>0</v>
      </c>
      <c r="L4318">
        <v>3</v>
      </c>
      <c r="M4318" t="s">
        <v>6362</v>
      </c>
      <c r="N4318">
        <v>5</v>
      </c>
      <c r="O4318">
        <v>7.33</v>
      </c>
      <c r="P4318">
        <v>139800.48000000001</v>
      </c>
      <c r="Q4318">
        <v>168453.81</v>
      </c>
      <c r="R4318">
        <v>420</v>
      </c>
      <c r="S4318">
        <v>788</v>
      </c>
      <c r="T4318" t="s">
        <v>26</v>
      </c>
      <c r="U4318" t="s">
        <v>81</v>
      </c>
    </row>
    <row r="4319" spans="1:21">
      <c r="A4319" t="s">
        <v>6714</v>
      </c>
      <c r="B4319" t="s">
        <v>6712</v>
      </c>
      <c r="C4319" t="s">
        <v>709</v>
      </c>
      <c r="D4319">
        <v>142000</v>
      </c>
      <c r="E4319">
        <v>8000</v>
      </c>
      <c r="F4319">
        <v>142000</v>
      </c>
      <c r="G4319">
        <v>142000</v>
      </c>
      <c r="H4319">
        <v>3</v>
      </c>
      <c r="I4319" t="s">
        <v>325</v>
      </c>
      <c r="J4319">
        <v>37.07</v>
      </c>
      <c r="K4319">
        <v>0</v>
      </c>
      <c r="L4319">
        <v>3</v>
      </c>
      <c r="M4319" t="s">
        <v>6362</v>
      </c>
      <c r="N4319">
        <v>5</v>
      </c>
      <c r="O4319">
        <v>7.33</v>
      </c>
      <c r="P4319">
        <v>139800.48000000001</v>
      </c>
      <c r="Q4319">
        <v>168453.81</v>
      </c>
      <c r="R4319">
        <v>420</v>
      </c>
      <c r="S4319">
        <v>788</v>
      </c>
      <c r="T4319" t="s">
        <v>26</v>
      </c>
      <c r="U4319" t="s">
        <v>81</v>
      </c>
    </row>
    <row r="4320" spans="1:21">
      <c r="A4320" t="s">
        <v>6715</v>
      </c>
      <c r="B4320" t="s">
        <v>6595</v>
      </c>
      <c r="C4320" t="s">
        <v>1768</v>
      </c>
      <c r="D4320">
        <v>206000</v>
      </c>
      <c r="E4320">
        <v>13000</v>
      </c>
      <c r="F4320">
        <v>206000</v>
      </c>
      <c r="H4320">
        <v>1</v>
      </c>
      <c r="I4320" t="s">
        <v>325</v>
      </c>
      <c r="J4320">
        <v>44.31</v>
      </c>
      <c r="K4320">
        <v>17</v>
      </c>
      <c r="L4320">
        <v>11</v>
      </c>
      <c r="M4320" t="s">
        <v>6362</v>
      </c>
      <c r="N4320">
        <v>8</v>
      </c>
      <c r="O4320">
        <v>10.67</v>
      </c>
      <c r="P4320">
        <v>139800.48000000001</v>
      </c>
      <c r="Q4320">
        <v>168453.81</v>
      </c>
      <c r="R4320">
        <v>420</v>
      </c>
      <c r="S4320">
        <v>788</v>
      </c>
      <c r="T4320" t="s">
        <v>326</v>
      </c>
      <c r="U4320" t="s">
        <v>90</v>
      </c>
    </row>
    <row r="4321" spans="1:21">
      <c r="A4321" t="s">
        <v>6716</v>
      </c>
      <c r="B4321" t="s">
        <v>6595</v>
      </c>
      <c r="C4321" t="s">
        <v>1768</v>
      </c>
      <c r="D4321">
        <v>216000</v>
      </c>
      <c r="E4321">
        <v>13000</v>
      </c>
      <c r="F4321">
        <v>216000</v>
      </c>
      <c r="H4321">
        <v>1</v>
      </c>
      <c r="I4321" t="s">
        <v>325</v>
      </c>
      <c r="J4321">
        <v>44.31</v>
      </c>
      <c r="K4321">
        <v>17</v>
      </c>
      <c r="L4321">
        <v>11</v>
      </c>
      <c r="M4321" t="s">
        <v>6362</v>
      </c>
      <c r="N4321">
        <v>8</v>
      </c>
      <c r="O4321">
        <v>10.67</v>
      </c>
      <c r="P4321">
        <v>139800.48000000001</v>
      </c>
      <c r="Q4321">
        <v>168453.81</v>
      </c>
      <c r="R4321">
        <v>420</v>
      </c>
      <c r="S4321">
        <v>788</v>
      </c>
      <c r="T4321" t="s">
        <v>326</v>
      </c>
      <c r="U4321" t="s">
        <v>90</v>
      </c>
    </row>
    <row r="4322" spans="1:21">
      <c r="A4322" t="s">
        <v>6717</v>
      </c>
      <c r="B4322" t="s">
        <v>6595</v>
      </c>
      <c r="C4322" t="s">
        <v>1768</v>
      </c>
      <c r="D4322">
        <v>197000</v>
      </c>
      <c r="E4322">
        <v>13000</v>
      </c>
      <c r="F4322">
        <v>197000</v>
      </c>
      <c r="G4322">
        <v>197000</v>
      </c>
      <c r="H4322">
        <v>1</v>
      </c>
      <c r="I4322" t="s">
        <v>325</v>
      </c>
      <c r="J4322">
        <v>44.85</v>
      </c>
      <c r="K4322">
        <v>17</v>
      </c>
      <c r="L4322">
        <v>11</v>
      </c>
      <c r="M4322" t="s">
        <v>6362</v>
      </c>
      <c r="N4322">
        <v>8</v>
      </c>
      <c r="O4322">
        <v>10.67</v>
      </c>
      <c r="P4322">
        <v>139800.48000000001</v>
      </c>
      <c r="Q4322">
        <v>168453.81</v>
      </c>
      <c r="R4322">
        <v>420</v>
      </c>
      <c r="S4322">
        <v>788</v>
      </c>
      <c r="T4322" t="s">
        <v>326</v>
      </c>
      <c r="U4322" t="s">
        <v>90</v>
      </c>
    </row>
    <row r="4323" spans="1:21">
      <c r="A4323" t="s">
        <v>6718</v>
      </c>
      <c r="B4323" t="s">
        <v>6595</v>
      </c>
      <c r="C4323" t="s">
        <v>1768</v>
      </c>
      <c r="D4323">
        <v>212000</v>
      </c>
      <c r="E4323">
        <v>13000</v>
      </c>
      <c r="F4323">
        <v>212000</v>
      </c>
      <c r="H4323">
        <v>2</v>
      </c>
      <c r="I4323" t="s">
        <v>325</v>
      </c>
      <c r="J4323">
        <v>44.85</v>
      </c>
      <c r="K4323">
        <v>17</v>
      </c>
      <c r="L4323">
        <v>11</v>
      </c>
      <c r="M4323" t="s">
        <v>6362</v>
      </c>
      <c r="N4323">
        <v>8</v>
      </c>
      <c r="O4323">
        <v>10.67</v>
      </c>
      <c r="P4323">
        <v>139800.48000000001</v>
      </c>
      <c r="Q4323">
        <v>168453.81</v>
      </c>
      <c r="R4323">
        <v>420</v>
      </c>
      <c r="S4323">
        <v>788</v>
      </c>
      <c r="T4323" t="s">
        <v>326</v>
      </c>
      <c r="U4323" t="s">
        <v>90</v>
      </c>
    </row>
    <row r="4324" spans="1:21">
      <c r="A4324" t="s">
        <v>6719</v>
      </c>
      <c r="B4324" t="s">
        <v>6595</v>
      </c>
      <c r="C4324" t="s">
        <v>1768</v>
      </c>
      <c r="D4324">
        <v>228000</v>
      </c>
      <c r="E4324">
        <v>13000</v>
      </c>
      <c r="F4324">
        <v>228000</v>
      </c>
      <c r="H4324">
        <v>5</v>
      </c>
      <c r="I4324" t="s">
        <v>325</v>
      </c>
      <c r="J4324">
        <v>44.31</v>
      </c>
      <c r="K4324">
        <v>17</v>
      </c>
      <c r="L4324">
        <v>11</v>
      </c>
      <c r="M4324" t="s">
        <v>6362</v>
      </c>
      <c r="N4324">
        <v>8</v>
      </c>
      <c r="O4324">
        <v>10.67</v>
      </c>
      <c r="P4324">
        <v>139800.48000000001</v>
      </c>
      <c r="Q4324">
        <v>168453.81</v>
      </c>
      <c r="R4324">
        <v>420</v>
      </c>
      <c r="S4324">
        <v>788</v>
      </c>
      <c r="T4324" t="s">
        <v>326</v>
      </c>
      <c r="U4324" t="s">
        <v>90</v>
      </c>
    </row>
    <row r="4325" spans="1:21">
      <c r="A4325" t="s">
        <v>6720</v>
      </c>
      <c r="B4325" t="s">
        <v>6721</v>
      </c>
      <c r="C4325" t="s">
        <v>3025</v>
      </c>
      <c r="D4325">
        <v>148000</v>
      </c>
      <c r="E4325">
        <v>5000</v>
      </c>
      <c r="F4325">
        <v>148000</v>
      </c>
      <c r="G4325">
        <v>148000</v>
      </c>
      <c r="H4325">
        <v>4</v>
      </c>
      <c r="I4325" t="s">
        <v>325</v>
      </c>
      <c r="J4325">
        <v>47.65</v>
      </c>
      <c r="K4325">
        <v>20</v>
      </c>
      <c r="L4325">
        <v>5</v>
      </c>
      <c r="M4325" t="s">
        <v>6362</v>
      </c>
      <c r="N4325">
        <v>8</v>
      </c>
      <c r="O4325">
        <v>9.67</v>
      </c>
      <c r="P4325">
        <v>139800.48000000001</v>
      </c>
      <c r="Q4325">
        <v>168453.81</v>
      </c>
      <c r="R4325">
        <v>420</v>
      </c>
      <c r="S4325">
        <v>788</v>
      </c>
      <c r="T4325" t="s">
        <v>326</v>
      </c>
      <c r="U4325" t="s">
        <v>90</v>
      </c>
    </row>
    <row r="4326" spans="1:21">
      <c r="A4326" t="s">
        <v>6720</v>
      </c>
      <c r="B4326" t="s">
        <v>6721</v>
      </c>
      <c r="C4326" t="s">
        <v>3025</v>
      </c>
      <c r="D4326">
        <v>148000</v>
      </c>
      <c r="E4326">
        <v>5000</v>
      </c>
      <c r="F4326">
        <v>148000</v>
      </c>
      <c r="G4326">
        <v>148000</v>
      </c>
      <c r="H4326">
        <v>5</v>
      </c>
      <c r="I4326" t="s">
        <v>325</v>
      </c>
      <c r="J4326">
        <v>47.65</v>
      </c>
      <c r="K4326">
        <v>20</v>
      </c>
      <c r="L4326">
        <v>5</v>
      </c>
      <c r="M4326" t="s">
        <v>6362</v>
      </c>
      <c r="N4326">
        <v>8</v>
      </c>
      <c r="O4326">
        <v>9.67</v>
      </c>
      <c r="P4326">
        <v>139800.48000000001</v>
      </c>
      <c r="Q4326">
        <v>168453.81</v>
      </c>
      <c r="R4326">
        <v>420</v>
      </c>
      <c r="S4326">
        <v>788</v>
      </c>
      <c r="T4326" t="s">
        <v>326</v>
      </c>
      <c r="U4326" t="s">
        <v>90</v>
      </c>
    </row>
    <row r="4327" spans="1:21">
      <c r="A4327" t="s">
        <v>6722</v>
      </c>
      <c r="B4327" t="s">
        <v>6721</v>
      </c>
      <c r="C4327" t="s">
        <v>3025</v>
      </c>
      <c r="D4327">
        <v>148000</v>
      </c>
      <c r="E4327">
        <v>5000</v>
      </c>
      <c r="F4327">
        <v>148000</v>
      </c>
      <c r="G4327">
        <v>148000</v>
      </c>
      <c r="H4327">
        <v>4</v>
      </c>
      <c r="I4327" t="s">
        <v>325</v>
      </c>
      <c r="J4327">
        <v>45.03</v>
      </c>
      <c r="K4327">
        <v>20</v>
      </c>
      <c r="L4327">
        <v>5</v>
      </c>
      <c r="M4327" t="s">
        <v>6362</v>
      </c>
      <c r="N4327">
        <v>8</v>
      </c>
      <c r="O4327">
        <v>9.67</v>
      </c>
      <c r="P4327">
        <v>139800.48000000001</v>
      </c>
      <c r="Q4327">
        <v>168453.81</v>
      </c>
      <c r="R4327">
        <v>420</v>
      </c>
      <c r="S4327">
        <v>788</v>
      </c>
      <c r="T4327" t="s">
        <v>326</v>
      </c>
      <c r="U4327" t="s">
        <v>90</v>
      </c>
    </row>
    <row r="4328" spans="1:21">
      <c r="A4328" t="s">
        <v>6723</v>
      </c>
      <c r="B4328" t="s">
        <v>6724</v>
      </c>
      <c r="C4328" t="s">
        <v>3195</v>
      </c>
      <c r="D4328">
        <v>125000</v>
      </c>
      <c r="E4328">
        <v>10000</v>
      </c>
      <c r="F4328">
        <v>125000</v>
      </c>
      <c r="G4328">
        <v>125000</v>
      </c>
      <c r="H4328">
        <v>1</v>
      </c>
      <c r="I4328" t="s">
        <v>432</v>
      </c>
      <c r="J4328">
        <v>32.54</v>
      </c>
      <c r="K4328">
        <v>2</v>
      </c>
      <c r="L4328">
        <v>3</v>
      </c>
      <c r="M4328" t="s">
        <v>6362</v>
      </c>
      <c r="N4328">
        <v>2</v>
      </c>
      <c r="O4328">
        <v>5.67</v>
      </c>
      <c r="P4328">
        <v>139800.48000000001</v>
      </c>
      <c r="Q4328">
        <v>77692.34</v>
      </c>
      <c r="R4328">
        <v>420</v>
      </c>
      <c r="S4328">
        <v>1071</v>
      </c>
      <c r="T4328" t="s">
        <v>26</v>
      </c>
      <c r="U4328" t="s">
        <v>31</v>
      </c>
    </row>
    <row r="4329" spans="1:21">
      <c r="A4329" t="s">
        <v>6725</v>
      </c>
      <c r="B4329" t="s">
        <v>6600</v>
      </c>
      <c r="C4329" t="s">
        <v>709</v>
      </c>
      <c r="D4329">
        <v>89000</v>
      </c>
      <c r="E4329">
        <v>3000</v>
      </c>
      <c r="F4329">
        <v>89000</v>
      </c>
      <c r="G4329">
        <v>89000</v>
      </c>
      <c r="H4329">
        <v>3</v>
      </c>
      <c r="I4329" t="s">
        <v>432</v>
      </c>
      <c r="J4329">
        <v>30.26</v>
      </c>
      <c r="K4329">
        <v>8</v>
      </c>
      <c r="L4329">
        <v>3</v>
      </c>
      <c r="M4329" t="s">
        <v>6362</v>
      </c>
      <c r="N4329">
        <v>2</v>
      </c>
      <c r="O4329">
        <v>6.33</v>
      </c>
      <c r="P4329">
        <v>139800.48000000001</v>
      </c>
      <c r="Q4329">
        <v>77692.34</v>
      </c>
      <c r="R4329">
        <v>420</v>
      </c>
      <c r="S4329">
        <v>1071</v>
      </c>
      <c r="T4329" t="s">
        <v>26</v>
      </c>
      <c r="U4329" t="s">
        <v>31</v>
      </c>
    </row>
    <row r="4330" spans="1:21">
      <c r="A4330" t="s">
        <v>6726</v>
      </c>
      <c r="B4330" t="s">
        <v>6727</v>
      </c>
      <c r="C4330" t="s">
        <v>104</v>
      </c>
      <c r="D4330">
        <v>71000</v>
      </c>
      <c r="E4330">
        <v>4000</v>
      </c>
      <c r="G4330">
        <v>71000</v>
      </c>
      <c r="H4330">
        <v>1</v>
      </c>
      <c r="I4330" t="s">
        <v>432</v>
      </c>
      <c r="J4330">
        <v>14.52</v>
      </c>
      <c r="K4330">
        <v>11</v>
      </c>
      <c r="L4330">
        <v>2</v>
      </c>
      <c r="M4330" t="s">
        <v>6362</v>
      </c>
      <c r="N4330">
        <v>3</v>
      </c>
      <c r="O4330">
        <v>6.33</v>
      </c>
      <c r="P4330">
        <v>139800.48000000001</v>
      </c>
      <c r="Q4330">
        <v>77692.34</v>
      </c>
      <c r="R4330">
        <v>420</v>
      </c>
      <c r="S4330">
        <v>1071</v>
      </c>
      <c r="T4330" t="s">
        <v>108</v>
      </c>
      <c r="U4330" t="s">
        <v>90</v>
      </c>
    </row>
    <row r="4331" spans="1:21">
      <c r="A4331" t="s">
        <v>6728</v>
      </c>
      <c r="B4331" t="s">
        <v>6727</v>
      </c>
      <c r="C4331" t="s">
        <v>104</v>
      </c>
      <c r="D4331">
        <v>72000</v>
      </c>
      <c r="E4331">
        <v>4000</v>
      </c>
      <c r="G4331">
        <v>72000</v>
      </c>
      <c r="H4331">
        <v>2</v>
      </c>
      <c r="I4331" t="s">
        <v>432</v>
      </c>
      <c r="J4331">
        <v>19.18</v>
      </c>
      <c r="K4331">
        <v>11</v>
      </c>
      <c r="L4331">
        <v>2</v>
      </c>
      <c r="M4331" t="s">
        <v>6362</v>
      </c>
      <c r="N4331">
        <v>3</v>
      </c>
      <c r="O4331">
        <v>6.33</v>
      </c>
      <c r="P4331">
        <v>139800.48000000001</v>
      </c>
      <c r="Q4331">
        <v>77692.34</v>
      </c>
      <c r="R4331">
        <v>420</v>
      </c>
      <c r="S4331">
        <v>1071</v>
      </c>
      <c r="T4331" t="s">
        <v>108</v>
      </c>
      <c r="U4331" t="s">
        <v>90</v>
      </c>
    </row>
    <row r="4332" spans="1:21">
      <c r="A4332" t="s">
        <v>6729</v>
      </c>
      <c r="B4332" t="s">
        <v>6730</v>
      </c>
      <c r="C4332" t="s">
        <v>3195</v>
      </c>
      <c r="D4332">
        <v>111000</v>
      </c>
      <c r="E4332">
        <v>5000</v>
      </c>
      <c r="F4332">
        <v>222000</v>
      </c>
      <c r="G4332">
        <v>111000</v>
      </c>
      <c r="H4332">
        <v>9</v>
      </c>
      <c r="I4332" t="s">
        <v>432</v>
      </c>
      <c r="J4332">
        <v>26.37</v>
      </c>
      <c r="K4332">
        <v>10</v>
      </c>
      <c r="L4332">
        <v>10</v>
      </c>
      <c r="M4332" t="s">
        <v>6362</v>
      </c>
      <c r="N4332">
        <v>1</v>
      </c>
      <c r="O4332">
        <v>4.33</v>
      </c>
      <c r="P4332">
        <v>139800.48000000001</v>
      </c>
      <c r="Q4332">
        <v>77692.34</v>
      </c>
      <c r="R4332">
        <v>420</v>
      </c>
      <c r="S4332">
        <v>1071</v>
      </c>
      <c r="T4332" t="s">
        <v>34</v>
      </c>
      <c r="U4332" t="s">
        <v>31</v>
      </c>
    </row>
    <row r="4333" spans="1:21">
      <c r="A4333" t="s">
        <v>6731</v>
      </c>
      <c r="B4333" t="s">
        <v>6404</v>
      </c>
      <c r="C4333" t="s">
        <v>41</v>
      </c>
      <c r="D4333">
        <v>153000</v>
      </c>
      <c r="E4333">
        <v>7000</v>
      </c>
      <c r="F4333">
        <v>153000</v>
      </c>
      <c r="H4333">
        <v>2</v>
      </c>
      <c r="I4333" t="s">
        <v>432</v>
      </c>
      <c r="J4333">
        <v>30.47</v>
      </c>
      <c r="K4333">
        <v>0</v>
      </c>
      <c r="L4333">
        <v>3</v>
      </c>
      <c r="M4333" t="s">
        <v>6362</v>
      </c>
      <c r="N4333">
        <v>6</v>
      </c>
      <c r="O4333">
        <v>8</v>
      </c>
      <c r="P4333">
        <v>139800.48000000001</v>
      </c>
      <c r="Q4333">
        <v>77692.34</v>
      </c>
      <c r="R4333">
        <v>420</v>
      </c>
      <c r="S4333">
        <v>1071</v>
      </c>
      <c r="T4333" t="s">
        <v>26</v>
      </c>
      <c r="U4333" t="s">
        <v>81</v>
      </c>
    </row>
    <row r="4334" spans="1:21">
      <c r="A4334" t="s">
        <v>6732</v>
      </c>
      <c r="B4334" t="s">
        <v>6404</v>
      </c>
      <c r="C4334" t="s">
        <v>41</v>
      </c>
      <c r="D4334">
        <v>123000</v>
      </c>
      <c r="E4334">
        <v>7000</v>
      </c>
      <c r="F4334">
        <v>123000</v>
      </c>
      <c r="H4334">
        <v>3</v>
      </c>
      <c r="I4334" t="s">
        <v>432</v>
      </c>
      <c r="J4334">
        <v>21.17</v>
      </c>
      <c r="K4334">
        <v>0</v>
      </c>
      <c r="L4334">
        <v>3</v>
      </c>
      <c r="M4334" t="s">
        <v>6362</v>
      </c>
      <c r="N4334">
        <v>6</v>
      </c>
      <c r="O4334">
        <v>8</v>
      </c>
      <c r="P4334">
        <v>139800.48000000001</v>
      </c>
      <c r="Q4334">
        <v>77692.34</v>
      </c>
      <c r="R4334">
        <v>420</v>
      </c>
      <c r="S4334">
        <v>1071</v>
      </c>
      <c r="T4334" t="s">
        <v>34</v>
      </c>
      <c r="U4334" t="s">
        <v>81</v>
      </c>
    </row>
    <row r="4335" spans="1:21">
      <c r="A4335" t="s">
        <v>6733</v>
      </c>
      <c r="B4335" t="s">
        <v>6404</v>
      </c>
      <c r="C4335" t="s">
        <v>41</v>
      </c>
      <c r="D4335">
        <v>154000</v>
      </c>
      <c r="E4335">
        <v>7000</v>
      </c>
      <c r="F4335">
        <v>154000</v>
      </c>
      <c r="H4335">
        <v>3</v>
      </c>
      <c r="I4335" t="s">
        <v>432</v>
      </c>
      <c r="J4335">
        <v>30.47</v>
      </c>
      <c r="K4335">
        <v>0</v>
      </c>
      <c r="L4335">
        <v>3</v>
      </c>
      <c r="M4335" t="s">
        <v>6362</v>
      </c>
      <c r="N4335">
        <v>6</v>
      </c>
      <c r="O4335">
        <v>8</v>
      </c>
      <c r="P4335">
        <v>139800.48000000001</v>
      </c>
      <c r="Q4335">
        <v>77692.34</v>
      </c>
      <c r="R4335">
        <v>420</v>
      </c>
      <c r="S4335">
        <v>1071</v>
      </c>
      <c r="T4335" t="s">
        <v>26</v>
      </c>
      <c r="U4335" t="s">
        <v>81</v>
      </c>
    </row>
    <row r="4336" spans="1:21">
      <c r="A4336" t="s">
        <v>6734</v>
      </c>
      <c r="B4336" t="s">
        <v>6735</v>
      </c>
      <c r="C4336" t="s">
        <v>104</v>
      </c>
      <c r="D4336">
        <v>82000</v>
      </c>
      <c r="F4336">
        <v>82000</v>
      </c>
      <c r="G4336">
        <v>82000</v>
      </c>
      <c r="H4336">
        <v>2</v>
      </c>
      <c r="I4336" t="s">
        <v>432</v>
      </c>
      <c r="J4336">
        <v>26.4</v>
      </c>
      <c r="K4336">
        <v>61</v>
      </c>
      <c r="L4336">
        <v>2</v>
      </c>
      <c r="M4336" t="s">
        <v>6362</v>
      </c>
      <c r="N4336">
        <v>3</v>
      </c>
      <c r="O4336">
        <v>5.33</v>
      </c>
      <c r="P4336">
        <v>139800.48000000001</v>
      </c>
      <c r="Q4336">
        <v>77692.34</v>
      </c>
      <c r="R4336">
        <v>420</v>
      </c>
      <c r="S4336">
        <v>1071</v>
      </c>
      <c r="T4336" t="s">
        <v>34</v>
      </c>
      <c r="U4336" t="s">
        <v>38</v>
      </c>
    </row>
    <row r="4337" spans="1:21">
      <c r="A4337" t="s">
        <v>6736</v>
      </c>
      <c r="B4337" t="s">
        <v>6361</v>
      </c>
      <c r="C4337" t="s">
        <v>3195</v>
      </c>
      <c r="D4337">
        <v>134000</v>
      </c>
      <c r="E4337">
        <v>6000</v>
      </c>
      <c r="F4337">
        <v>134000</v>
      </c>
      <c r="G4337">
        <v>134000</v>
      </c>
      <c r="H4337">
        <v>10</v>
      </c>
      <c r="I4337" t="s">
        <v>432</v>
      </c>
      <c r="J4337">
        <v>30.81</v>
      </c>
      <c r="K4337">
        <v>29</v>
      </c>
      <c r="L4337">
        <v>12</v>
      </c>
      <c r="M4337" t="s">
        <v>6362</v>
      </c>
      <c r="N4337">
        <v>1</v>
      </c>
      <c r="O4337">
        <v>3.67</v>
      </c>
      <c r="P4337">
        <v>139800.48000000001</v>
      </c>
      <c r="Q4337">
        <v>77692.34</v>
      </c>
      <c r="R4337">
        <v>420</v>
      </c>
      <c r="S4337">
        <v>1071</v>
      </c>
      <c r="T4337" t="s">
        <v>26</v>
      </c>
      <c r="U4337" t="s">
        <v>27</v>
      </c>
    </row>
    <row r="4338" spans="1:21">
      <c r="A4338" t="s">
        <v>6737</v>
      </c>
      <c r="B4338" t="s">
        <v>6738</v>
      </c>
      <c r="C4338" t="s">
        <v>688</v>
      </c>
      <c r="D4338">
        <v>57000</v>
      </c>
      <c r="E4338">
        <v>6000</v>
      </c>
      <c r="H4338">
        <v>1</v>
      </c>
      <c r="I4338" t="s">
        <v>432</v>
      </c>
      <c r="J4338">
        <v>12.49</v>
      </c>
      <c r="K4338">
        <v>21</v>
      </c>
      <c r="L4338">
        <v>2</v>
      </c>
      <c r="M4338" t="s">
        <v>6362</v>
      </c>
      <c r="N4338">
        <v>7</v>
      </c>
      <c r="O4338">
        <v>8.33</v>
      </c>
      <c r="P4338">
        <v>139800.48000000001</v>
      </c>
      <c r="Q4338">
        <v>77692.34</v>
      </c>
      <c r="R4338">
        <v>420</v>
      </c>
      <c r="S4338">
        <v>1071</v>
      </c>
      <c r="T4338" t="s">
        <v>108</v>
      </c>
      <c r="U4338" t="s">
        <v>27</v>
      </c>
    </row>
    <row r="4339" spans="1:21">
      <c r="A4339" t="s">
        <v>6739</v>
      </c>
      <c r="B4339" t="s">
        <v>6740</v>
      </c>
      <c r="C4339" t="s">
        <v>1890</v>
      </c>
      <c r="D4339">
        <v>65000</v>
      </c>
      <c r="E4339">
        <v>3000</v>
      </c>
      <c r="H4339">
        <v>2</v>
      </c>
      <c r="I4339" t="s">
        <v>432</v>
      </c>
      <c r="J4339">
        <v>10.199999999999999</v>
      </c>
      <c r="K4339">
        <v>11</v>
      </c>
      <c r="L4339">
        <v>2</v>
      </c>
      <c r="M4339" t="s">
        <v>6362</v>
      </c>
      <c r="N4339">
        <v>13</v>
      </c>
      <c r="O4339">
        <v>14</v>
      </c>
      <c r="P4339">
        <v>139800.48000000001</v>
      </c>
      <c r="Q4339">
        <v>77692.34</v>
      </c>
      <c r="R4339">
        <v>420</v>
      </c>
      <c r="S4339">
        <v>1071</v>
      </c>
      <c r="T4339" t="s">
        <v>108</v>
      </c>
      <c r="U4339" t="s">
        <v>90</v>
      </c>
    </row>
    <row r="4340" spans="1:21">
      <c r="A4340" t="s">
        <v>6741</v>
      </c>
      <c r="B4340" t="s">
        <v>6742</v>
      </c>
      <c r="C4340" t="s">
        <v>1890</v>
      </c>
      <c r="D4340">
        <v>51000</v>
      </c>
      <c r="E4340">
        <v>4000</v>
      </c>
      <c r="H4340">
        <v>1</v>
      </c>
      <c r="I4340" t="s">
        <v>432</v>
      </c>
      <c r="J4340">
        <v>13</v>
      </c>
      <c r="K4340">
        <v>15</v>
      </c>
      <c r="L4340">
        <v>2</v>
      </c>
      <c r="M4340" t="s">
        <v>6362</v>
      </c>
      <c r="N4340">
        <v>7</v>
      </c>
      <c r="O4340">
        <v>8.67</v>
      </c>
      <c r="P4340">
        <v>139800.48000000001</v>
      </c>
      <c r="Q4340">
        <v>77692.34</v>
      </c>
      <c r="R4340">
        <v>420</v>
      </c>
      <c r="S4340">
        <v>1071</v>
      </c>
      <c r="T4340" t="s">
        <v>108</v>
      </c>
      <c r="U4340" t="s">
        <v>90</v>
      </c>
    </row>
    <row r="4341" spans="1:21">
      <c r="A4341" t="s">
        <v>6743</v>
      </c>
      <c r="B4341" t="s">
        <v>6744</v>
      </c>
      <c r="C4341" t="s">
        <v>3195</v>
      </c>
      <c r="D4341">
        <v>60000</v>
      </c>
      <c r="E4341">
        <v>5000</v>
      </c>
      <c r="H4341">
        <v>1</v>
      </c>
      <c r="I4341" t="s">
        <v>432</v>
      </c>
      <c r="J4341">
        <v>12.18</v>
      </c>
      <c r="K4341">
        <v>14</v>
      </c>
      <c r="L4341">
        <v>2</v>
      </c>
      <c r="M4341" t="s">
        <v>6362</v>
      </c>
      <c r="N4341">
        <v>3</v>
      </c>
      <c r="O4341">
        <v>6.67</v>
      </c>
      <c r="P4341">
        <v>139800.48000000001</v>
      </c>
      <c r="Q4341">
        <v>77692.34</v>
      </c>
      <c r="R4341">
        <v>420</v>
      </c>
      <c r="S4341">
        <v>1071</v>
      </c>
      <c r="T4341" t="s">
        <v>108</v>
      </c>
      <c r="U4341" t="s">
        <v>90</v>
      </c>
    </row>
    <row r="4342" spans="1:21">
      <c r="A4342" t="s">
        <v>6745</v>
      </c>
      <c r="B4342" t="s">
        <v>6744</v>
      </c>
      <c r="C4342" t="s">
        <v>3195</v>
      </c>
      <c r="D4342">
        <v>65000</v>
      </c>
      <c r="E4342">
        <v>5000</v>
      </c>
      <c r="H4342">
        <v>2</v>
      </c>
      <c r="I4342" t="s">
        <v>432</v>
      </c>
      <c r="J4342">
        <v>16.010000000000002</v>
      </c>
      <c r="K4342">
        <v>14</v>
      </c>
      <c r="L4342">
        <v>2</v>
      </c>
      <c r="M4342" t="s">
        <v>6362</v>
      </c>
      <c r="N4342">
        <v>3</v>
      </c>
      <c r="O4342">
        <v>6.67</v>
      </c>
      <c r="P4342">
        <v>139800.48000000001</v>
      </c>
      <c r="Q4342">
        <v>77692.34</v>
      </c>
      <c r="R4342">
        <v>420</v>
      </c>
      <c r="S4342">
        <v>1071</v>
      </c>
      <c r="T4342" t="s">
        <v>108</v>
      </c>
      <c r="U4342" t="s">
        <v>90</v>
      </c>
    </row>
    <row r="4343" spans="1:21">
      <c r="A4343" t="s">
        <v>6746</v>
      </c>
      <c r="B4343" t="s">
        <v>6747</v>
      </c>
      <c r="C4343" t="s">
        <v>688</v>
      </c>
      <c r="D4343">
        <v>58000</v>
      </c>
      <c r="E4343">
        <v>2000</v>
      </c>
      <c r="H4343">
        <v>2</v>
      </c>
      <c r="I4343" t="s">
        <v>432</v>
      </c>
      <c r="J4343">
        <v>11.16</v>
      </c>
      <c r="K4343">
        <v>17</v>
      </c>
      <c r="L4343">
        <v>2</v>
      </c>
      <c r="M4343" t="s">
        <v>6362</v>
      </c>
      <c r="N4343">
        <v>9</v>
      </c>
      <c r="O4343">
        <v>10.67</v>
      </c>
      <c r="P4343">
        <v>139800.48000000001</v>
      </c>
      <c r="Q4343">
        <v>77692.34</v>
      </c>
      <c r="R4343">
        <v>420</v>
      </c>
      <c r="S4343">
        <v>1071</v>
      </c>
      <c r="T4343" t="s">
        <v>108</v>
      </c>
      <c r="U4343" t="s">
        <v>90</v>
      </c>
    </row>
    <row r="4344" spans="1:21">
      <c r="A4344" t="s">
        <v>6748</v>
      </c>
      <c r="B4344" t="s">
        <v>6749</v>
      </c>
      <c r="C4344" t="s">
        <v>3025</v>
      </c>
      <c r="D4344">
        <v>64000</v>
      </c>
      <c r="E4344">
        <v>4000</v>
      </c>
      <c r="H4344">
        <v>2</v>
      </c>
      <c r="I4344" t="s">
        <v>432</v>
      </c>
      <c r="J4344">
        <v>10.199999999999999</v>
      </c>
      <c r="K4344">
        <v>12</v>
      </c>
      <c r="L4344">
        <v>2</v>
      </c>
      <c r="M4344" t="s">
        <v>6362</v>
      </c>
      <c r="N4344">
        <v>6</v>
      </c>
      <c r="O4344">
        <v>10.33</v>
      </c>
      <c r="P4344">
        <v>139800.48000000001</v>
      </c>
      <c r="Q4344">
        <v>77692.34</v>
      </c>
      <c r="R4344">
        <v>420</v>
      </c>
      <c r="S4344">
        <v>1071</v>
      </c>
      <c r="T4344" t="s">
        <v>108</v>
      </c>
      <c r="U4344" t="s">
        <v>90</v>
      </c>
    </row>
    <row r="4345" spans="1:21">
      <c r="A4345" t="s">
        <v>6750</v>
      </c>
      <c r="B4345" t="s">
        <v>6419</v>
      </c>
      <c r="C4345" t="s">
        <v>3025</v>
      </c>
      <c r="D4345">
        <v>61000</v>
      </c>
      <c r="E4345">
        <v>3000</v>
      </c>
      <c r="G4345">
        <v>61000</v>
      </c>
      <c r="H4345">
        <v>1</v>
      </c>
      <c r="I4345" t="s">
        <v>432</v>
      </c>
      <c r="J4345">
        <v>10.26</v>
      </c>
      <c r="K4345">
        <v>12</v>
      </c>
      <c r="L4345">
        <v>2</v>
      </c>
      <c r="M4345" t="s">
        <v>6362</v>
      </c>
      <c r="N4345">
        <v>7</v>
      </c>
      <c r="O4345">
        <v>11</v>
      </c>
      <c r="P4345">
        <v>139800.48000000001</v>
      </c>
      <c r="Q4345">
        <v>77692.34</v>
      </c>
      <c r="R4345">
        <v>420</v>
      </c>
      <c r="S4345">
        <v>1071</v>
      </c>
      <c r="T4345" t="s">
        <v>108</v>
      </c>
      <c r="U4345" t="s">
        <v>90</v>
      </c>
    </row>
    <row r="4346" spans="1:21">
      <c r="A4346" t="s">
        <v>6751</v>
      </c>
      <c r="B4346" t="s">
        <v>6752</v>
      </c>
      <c r="C4346" t="s">
        <v>1283</v>
      </c>
      <c r="D4346">
        <v>64000</v>
      </c>
      <c r="E4346">
        <v>4000</v>
      </c>
      <c r="H4346">
        <v>2</v>
      </c>
      <c r="I4346" t="s">
        <v>432</v>
      </c>
      <c r="J4346">
        <v>12</v>
      </c>
      <c r="K4346">
        <v>12</v>
      </c>
      <c r="L4346">
        <v>2</v>
      </c>
      <c r="M4346" t="s">
        <v>6362</v>
      </c>
      <c r="N4346">
        <v>6</v>
      </c>
      <c r="O4346">
        <v>8</v>
      </c>
      <c r="P4346">
        <v>139800.48000000001</v>
      </c>
      <c r="Q4346">
        <v>77692.34</v>
      </c>
      <c r="R4346">
        <v>420</v>
      </c>
      <c r="S4346">
        <v>1071</v>
      </c>
      <c r="T4346" t="s">
        <v>108</v>
      </c>
      <c r="U4346" t="s">
        <v>90</v>
      </c>
    </row>
    <row r="4347" spans="1:21">
      <c r="A4347" t="s">
        <v>6753</v>
      </c>
      <c r="B4347" t="s">
        <v>6754</v>
      </c>
      <c r="C4347" t="s">
        <v>709</v>
      </c>
      <c r="D4347">
        <v>65000</v>
      </c>
      <c r="E4347">
        <v>2000</v>
      </c>
      <c r="F4347">
        <v>65000</v>
      </c>
      <c r="G4347">
        <v>65000</v>
      </c>
      <c r="H4347">
        <v>2</v>
      </c>
      <c r="I4347" t="s">
        <v>432</v>
      </c>
      <c r="J4347">
        <v>18.510000000000002</v>
      </c>
      <c r="K4347">
        <v>27</v>
      </c>
      <c r="L4347">
        <v>2</v>
      </c>
      <c r="M4347" t="s">
        <v>6362</v>
      </c>
      <c r="N4347">
        <v>4</v>
      </c>
      <c r="O4347">
        <v>6</v>
      </c>
      <c r="P4347">
        <v>139800.48000000001</v>
      </c>
      <c r="Q4347">
        <v>77692.34</v>
      </c>
      <c r="R4347">
        <v>420</v>
      </c>
      <c r="S4347">
        <v>1071</v>
      </c>
      <c r="T4347" t="s">
        <v>108</v>
      </c>
      <c r="U4347" t="s">
        <v>27</v>
      </c>
    </row>
    <row r="4348" spans="1:21">
      <c r="A4348" t="s">
        <v>6755</v>
      </c>
      <c r="B4348" t="s">
        <v>6754</v>
      </c>
      <c r="C4348" t="s">
        <v>709</v>
      </c>
      <c r="D4348">
        <v>66000</v>
      </c>
      <c r="E4348">
        <v>2000</v>
      </c>
      <c r="F4348">
        <v>66000</v>
      </c>
      <c r="G4348">
        <v>66000</v>
      </c>
      <c r="H4348">
        <v>2</v>
      </c>
      <c r="I4348" t="s">
        <v>432</v>
      </c>
      <c r="J4348">
        <v>18.510000000000002</v>
      </c>
      <c r="K4348">
        <v>27</v>
      </c>
      <c r="L4348">
        <v>2</v>
      </c>
      <c r="M4348" t="s">
        <v>6362</v>
      </c>
      <c r="N4348">
        <v>4</v>
      </c>
      <c r="O4348">
        <v>6</v>
      </c>
      <c r="P4348">
        <v>139800.48000000001</v>
      </c>
      <c r="Q4348">
        <v>77692.34</v>
      </c>
      <c r="R4348">
        <v>420</v>
      </c>
      <c r="S4348">
        <v>1071</v>
      </c>
      <c r="T4348" t="s">
        <v>108</v>
      </c>
      <c r="U4348" t="s">
        <v>27</v>
      </c>
    </row>
    <row r="4349" spans="1:21">
      <c r="A4349" t="s">
        <v>6756</v>
      </c>
      <c r="B4349" t="s">
        <v>6757</v>
      </c>
      <c r="C4349" t="s">
        <v>709</v>
      </c>
      <c r="D4349">
        <v>87000</v>
      </c>
      <c r="E4349">
        <v>3000</v>
      </c>
      <c r="F4349">
        <v>87000</v>
      </c>
      <c r="G4349">
        <v>87000</v>
      </c>
      <c r="H4349">
        <v>2</v>
      </c>
      <c r="I4349" t="s">
        <v>432</v>
      </c>
      <c r="J4349">
        <v>21.15</v>
      </c>
      <c r="K4349">
        <v>35</v>
      </c>
      <c r="L4349">
        <v>3</v>
      </c>
      <c r="M4349" t="s">
        <v>6362</v>
      </c>
      <c r="N4349">
        <v>3</v>
      </c>
      <c r="O4349">
        <v>6.67</v>
      </c>
      <c r="P4349">
        <v>139800.48000000001</v>
      </c>
      <c r="Q4349">
        <v>77692.34</v>
      </c>
      <c r="R4349">
        <v>420</v>
      </c>
      <c r="S4349">
        <v>1071</v>
      </c>
      <c r="T4349" t="s">
        <v>34</v>
      </c>
      <c r="U4349" t="s">
        <v>49</v>
      </c>
    </row>
    <row r="4350" spans="1:21">
      <c r="A4350" t="s">
        <v>6758</v>
      </c>
      <c r="B4350" t="s">
        <v>6759</v>
      </c>
      <c r="C4350" t="s">
        <v>709</v>
      </c>
      <c r="D4350">
        <v>63000</v>
      </c>
      <c r="E4350">
        <v>6000</v>
      </c>
      <c r="H4350">
        <v>1</v>
      </c>
      <c r="I4350" t="s">
        <v>432</v>
      </c>
      <c r="J4350">
        <v>12.94</v>
      </c>
      <c r="K4350">
        <v>7</v>
      </c>
      <c r="L4350">
        <v>3</v>
      </c>
      <c r="M4350" t="s">
        <v>6362</v>
      </c>
      <c r="N4350">
        <v>8</v>
      </c>
      <c r="O4350">
        <v>11</v>
      </c>
      <c r="P4350">
        <v>139800.48000000001</v>
      </c>
      <c r="Q4350">
        <v>77692.34</v>
      </c>
      <c r="R4350">
        <v>420</v>
      </c>
      <c r="S4350">
        <v>1071</v>
      </c>
      <c r="T4350" t="s">
        <v>108</v>
      </c>
      <c r="U4350" t="s">
        <v>31</v>
      </c>
    </row>
    <row r="4351" spans="1:21">
      <c r="A4351" t="s">
        <v>6760</v>
      </c>
      <c r="B4351" t="s">
        <v>6759</v>
      </c>
      <c r="C4351" t="s">
        <v>709</v>
      </c>
      <c r="D4351">
        <v>63000</v>
      </c>
      <c r="E4351">
        <v>5000</v>
      </c>
      <c r="H4351">
        <v>-1</v>
      </c>
      <c r="I4351" t="s">
        <v>432</v>
      </c>
      <c r="J4351">
        <v>9.06</v>
      </c>
      <c r="K4351">
        <v>7</v>
      </c>
      <c r="L4351">
        <v>3</v>
      </c>
      <c r="M4351" t="s">
        <v>6362</v>
      </c>
      <c r="N4351">
        <v>8</v>
      </c>
      <c r="O4351">
        <v>11</v>
      </c>
      <c r="P4351">
        <v>139800.48000000001</v>
      </c>
      <c r="Q4351">
        <v>77692.34</v>
      </c>
      <c r="R4351">
        <v>420</v>
      </c>
      <c r="S4351">
        <v>1071</v>
      </c>
      <c r="T4351" t="s">
        <v>231</v>
      </c>
      <c r="U4351" t="s">
        <v>31</v>
      </c>
    </row>
    <row r="4352" spans="1:21">
      <c r="A4352" t="s">
        <v>6761</v>
      </c>
      <c r="B4352" t="s">
        <v>6762</v>
      </c>
      <c r="C4352" t="s">
        <v>104</v>
      </c>
      <c r="D4352">
        <v>110000</v>
      </c>
      <c r="E4352">
        <v>7000</v>
      </c>
      <c r="F4352">
        <v>110000</v>
      </c>
      <c r="G4352">
        <v>110000</v>
      </c>
      <c r="H4352">
        <v>1</v>
      </c>
      <c r="I4352" t="s">
        <v>432</v>
      </c>
      <c r="J4352">
        <v>27.43</v>
      </c>
      <c r="K4352">
        <v>7</v>
      </c>
      <c r="L4352">
        <v>2</v>
      </c>
      <c r="M4352" t="s">
        <v>6362</v>
      </c>
      <c r="N4352">
        <v>2</v>
      </c>
      <c r="O4352">
        <v>5.67</v>
      </c>
      <c r="P4352">
        <v>139800.48000000001</v>
      </c>
      <c r="Q4352">
        <v>77692.34</v>
      </c>
      <c r="R4352">
        <v>420</v>
      </c>
      <c r="S4352">
        <v>1071</v>
      </c>
      <c r="T4352" t="s">
        <v>34</v>
      </c>
      <c r="U4352" t="s">
        <v>31</v>
      </c>
    </row>
    <row r="4353" spans="1:21">
      <c r="A4353" t="s">
        <v>6763</v>
      </c>
      <c r="B4353" t="s">
        <v>6764</v>
      </c>
      <c r="C4353" t="s">
        <v>3025</v>
      </c>
      <c r="D4353">
        <v>71000</v>
      </c>
      <c r="E4353">
        <v>4000</v>
      </c>
      <c r="G4353">
        <v>71000</v>
      </c>
      <c r="H4353">
        <v>1</v>
      </c>
      <c r="I4353" t="s">
        <v>432</v>
      </c>
      <c r="J4353">
        <v>12.01</v>
      </c>
      <c r="K4353">
        <v>11</v>
      </c>
      <c r="L4353">
        <v>2</v>
      </c>
      <c r="M4353" t="s">
        <v>6362</v>
      </c>
      <c r="N4353">
        <v>6</v>
      </c>
      <c r="O4353">
        <v>9</v>
      </c>
      <c r="P4353">
        <v>139800.48000000001</v>
      </c>
      <c r="Q4353">
        <v>77692.34</v>
      </c>
      <c r="R4353">
        <v>420</v>
      </c>
      <c r="S4353">
        <v>1071</v>
      </c>
      <c r="T4353" t="s">
        <v>108</v>
      </c>
      <c r="U4353" t="s">
        <v>90</v>
      </c>
    </row>
    <row r="4354" spans="1:21">
      <c r="A4354" t="s">
        <v>6765</v>
      </c>
      <c r="B4354" t="s">
        <v>6766</v>
      </c>
      <c r="C4354" t="s">
        <v>1887</v>
      </c>
      <c r="D4354">
        <v>90000</v>
      </c>
      <c r="E4354">
        <v>3000</v>
      </c>
      <c r="F4354">
        <v>90000</v>
      </c>
      <c r="G4354">
        <v>90000</v>
      </c>
      <c r="H4354">
        <v>3</v>
      </c>
      <c r="I4354" t="s">
        <v>432</v>
      </c>
      <c r="J4354">
        <v>23.14</v>
      </c>
      <c r="K4354">
        <v>34</v>
      </c>
      <c r="L4354">
        <v>3</v>
      </c>
      <c r="M4354" t="s">
        <v>6362</v>
      </c>
      <c r="N4354">
        <v>8</v>
      </c>
      <c r="O4354">
        <v>9</v>
      </c>
      <c r="P4354">
        <v>139800.48000000001</v>
      </c>
      <c r="Q4354">
        <v>77692.34</v>
      </c>
      <c r="R4354">
        <v>420</v>
      </c>
      <c r="S4354">
        <v>1071</v>
      </c>
      <c r="T4354" t="s">
        <v>34</v>
      </c>
      <c r="U4354" t="s">
        <v>49</v>
      </c>
    </row>
    <row r="4355" spans="1:21">
      <c r="A4355" t="s">
        <v>6767</v>
      </c>
      <c r="B4355" t="s">
        <v>6768</v>
      </c>
      <c r="C4355" t="s">
        <v>3059</v>
      </c>
      <c r="D4355">
        <v>72000</v>
      </c>
      <c r="F4355">
        <v>72000</v>
      </c>
      <c r="G4355">
        <v>72000</v>
      </c>
      <c r="H4355">
        <v>2</v>
      </c>
      <c r="I4355" t="s">
        <v>432</v>
      </c>
      <c r="J4355">
        <v>19.8</v>
      </c>
      <c r="K4355">
        <v>34</v>
      </c>
      <c r="L4355">
        <v>2</v>
      </c>
      <c r="M4355" t="s">
        <v>6362</v>
      </c>
      <c r="N4355">
        <v>4</v>
      </c>
      <c r="O4355">
        <v>6.33</v>
      </c>
      <c r="P4355">
        <v>139800.48000000001</v>
      </c>
      <c r="Q4355">
        <v>77692.34</v>
      </c>
      <c r="R4355">
        <v>420</v>
      </c>
      <c r="S4355">
        <v>1071</v>
      </c>
      <c r="T4355" t="s">
        <v>108</v>
      </c>
      <c r="U4355" t="s">
        <v>49</v>
      </c>
    </row>
    <row r="4356" spans="1:21">
      <c r="A4356" t="s">
        <v>6769</v>
      </c>
      <c r="B4356" t="s">
        <v>6770</v>
      </c>
      <c r="C4356" t="s">
        <v>709</v>
      </c>
      <c r="D4356">
        <v>60000</v>
      </c>
      <c r="E4356">
        <v>3000</v>
      </c>
      <c r="H4356">
        <v>1</v>
      </c>
      <c r="I4356" t="s">
        <v>432</v>
      </c>
      <c r="J4356">
        <v>15.32</v>
      </c>
      <c r="K4356">
        <v>23</v>
      </c>
      <c r="L4356">
        <v>2</v>
      </c>
      <c r="M4356" t="s">
        <v>6362</v>
      </c>
      <c r="N4356">
        <v>5</v>
      </c>
      <c r="O4356">
        <v>7.67</v>
      </c>
      <c r="P4356">
        <v>139800.48000000001</v>
      </c>
      <c r="Q4356">
        <v>77692.34</v>
      </c>
      <c r="R4356">
        <v>420</v>
      </c>
      <c r="S4356">
        <v>1071</v>
      </c>
      <c r="T4356" t="s">
        <v>108</v>
      </c>
      <c r="U4356" t="s">
        <v>27</v>
      </c>
    </row>
    <row r="4357" spans="1:21">
      <c r="A4357" t="s">
        <v>6771</v>
      </c>
      <c r="B4357" t="s">
        <v>2021</v>
      </c>
      <c r="C4357" t="s">
        <v>45</v>
      </c>
      <c r="D4357">
        <v>60000</v>
      </c>
      <c r="E4357">
        <v>2000</v>
      </c>
      <c r="F4357">
        <v>60000</v>
      </c>
      <c r="G4357">
        <v>60000</v>
      </c>
      <c r="H4357">
        <v>2</v>
      </c>
      <c r="I4357" t="s">
        <v>432</v>
      </c>
      <c r="J4357">
        <v>16</v>
      </c>
      <c r="K4357">
        <v>38</v>
      </c>
      <c r="L4357">
        <v>2</v>
      </c>
      <c r="M4357" t="s">
        <v>6362</v>
      </c>
      <c r="N4357">
        <v>7</v>
      </c>
      <c r="O4357">
        <v>9</v>
      </c>
      <c r="P4357">
        <v>139800.48000000001</v>
      </c>
      <c r="Q4357">
        <v>77692.34</v>
      </c>
      <c r="R4357">
        <v>420</v>
      </c>
      <c r="S4357">
        <v>1071</v>
      </c>
      <c r="T4357" t="s">
        <v>108</v>
      </c>
      <c r="U4357" t="s">
        <v>49</v>
      </c>
    </row>
    <row r="4358" spans="1:21">
      <c r="A4358" t="s">
        <v>6772</v>
      </c>
      <c r="B4358" t="s">
        <v>6630</v>
      </c>
      <c r="C4358" t="s">
        <v>104</v>
      </c>
      <c r="D4358">
        <v>115000</v>
      </c>
      <c r="E4358">
        <v>5000</v>
      </c>
      <c r="F4358">
        <v>115000</v>
      </c>
      <c r="H4358">
        <v>4</v>
      </c>
      <c r="I4358" t="s">
        <v>432</v>
      </c>
      <c r="J4358">
        <v>32.9</v>
      </c>
      <c r="K4358">
        <v>59</v>
      </c>
      <c r="L4358">
        <v>5</v>
      </c>
      <c r="M4358" t="s">
        <v>6362</v>
      </c>
      <c r="N4358">
        <v>1</v>
      </c>
      <c r="O4358">
        <v>5</v>
      </c>
      <c r="P4358">
        <v>139800.48000000001</v>
      </c>
      <c r="Q4358">
        <v>77692.34</v>
      </c>
      <c r="R4358">
        <v>420</v>
      </c>
      <c r="S4358">
        <v>1071</v>
      </c>
      <c r="T4358" t="s">
        <v>26</v>
      </c>
      <c r="U4358" t="s">
        <v>57</v>
      </c>
    </row>
    <row r="4359" spans="1:21">
      <c r="A4359" t="s">
        <v>6773</v>
      </c>
      <c r="B4359" t="s">
        <v>6774</v>
      </c>
      <c r="C4359" t="s">
        <v>709</v>
      </c>
      <c r="D4359">
        <v>65000</v>
      </c>
      <c r="E4359">
        <v>7000</v>
      </c>
      <c r="F4359">
        <v>65000</v>
      </c>
      <c r="G4359">
        <v>65000</v>
      </c>
      <c r="H4359">
        <v>4</v>
      </c>
      <c r="I4359" t="s">
        <v>432</v>
      </c>
      <c r="J4359">
        <v>16.2</v>
      </c>
      <c r="K4359">
        <v>34</v>
      </c>
      <c r="L4359">
        <v>4</v>
      </c>
      <c r="M4359" t="s">
        <v>6362</v>
      </c>
      <c r="N4359">
        <v>2</v>
      </c>
      <c r="O4359">
        <v>6</v>
      </c>
      <c r="P4359">
        <v>139800.48000000001</v>
      </c>
      <c r="Q4359">
        <v>77692.34</v>
      </c>
      <c r="R4359">
        <v>420</v>
      </c>
      <c r="S4359">
        <v>1071</v>
      </c>
      <c r="T4359" t="s">
        <v>108</v>
      </c>
      <c r="U4359" t="s">
        <v>49</v>
      </c>
    </row>
    <row r="4360" spans="1:21">
      <c r="A4360" t="s">
        <v>6775</v>
      </c>
      <c r="B4360" t="s">
        <v>6776</v>
      </c>
      <c r="C4360" t="s">
        <v>3059</v>
      </c>
      <c r="D4360">
        <v>68000</v>
      </c>
      <c r="E4360">
        <v>5000</v>
      </c>
      <c r="F4360">
        <v>68000</v>
      </c>
      <c r="G4360">
        <v>68000</v>
      </c>
      <c r="H4360">
        <v>5</v>
      </c>
      <c r="I4360" t="s">
        <v>432</v>
      </c>
      <c r="J4360">
        <v>16.809999999999999</v>
      </c>
      <c r="K4360">
        <v>35</v>
      </c>
      <c r="L4360">
        <v>11</v>
      </c>
      <c r="M4360" t="s">
        <v>6362</v>
      </c>
      <c r="N4360">
        <v>1</v>
      </c>
      <c r="O4360">
        <v>4.67</v>
      </c>
      <c r="P4360">
        <v>139800.48000000001</v>
      </c>
      <c r="Q4360">
        <v>77692.34</v>
      </c>
      <c r="R4360">
        <v>420</v>
      </c>
      <c r="S4360">
        <v>1071</v>
      </c>
      <c r="T4360" t="s">
        <v>108</v>
      </c>
      <c r="U4360" t="s">
        <v>49</v>
      </c>
    </row>
    <row r="4361" spans="1:21">
      <c r="A4361" t="s">
        <v>6777</v>
      </c>
      <c r="B4361" t="s">
        <v>6778</v>
      </c>
      <c r="C4361" t="s">
        <v>3195</v>
      </c>
      <c r="D4361">
        <v>71000</v>
      </c>
      <c r="E4361">
        <v>3000</v>
      </c>
      <c r="H4361">
        <v>2</v>
      </c>
      <c r="I4361" t="s">
        <v>432</v>
      </c>
      <c r="J4361">
        <v>10.82</v>
      </c>
      <c r="K4361">
        <v>6</v>
      </c>
      <c r="L4361">
        <v>2</v>
      </c>
      <c r="M4361" t="s">
        <v>6362</v>
      </c>
      <c r="N4361">
        <v>2</v>
      </c>
      <c r="O4361">
        <v>4.33</v>
      </c>
      <c r="P4361">
        <v>139800.48000000001</v>
      </c>
      <c r="Q4361">
        <v>77692.34</v>
      </c>
      <c r="R4361">
        <v>420</v>
      </c>
      <c r="S4361">
        <v>1071</v>
      </c>
      <c r="T4361" t="s">
        <v>108</v>
      </c>
      <c r="U4361" t="s">
        <v>31</v>
      </c>
    </row>
    <row r="4362" spans="1:21">
      <c r="A4362" t="s">
        <v>6779</v>
      </c>
      <c r="B4362" t="s">
        <v>6778</v>
      </c>
      <c r="C4362" t="s">
        <v>3195</v>
      </c>
      <c r="D4362">
        <v>70000</v>
      </c>
      <c r="E4362">
        <v>3000</v>
      </c>
      <c r="H4362">
        <v>2</v>
      </c>
      <c r="I4362" t="s">
        <v>432</v>
      </c>
      <c r="J4362">
        <v>10.82</v>
      </c>
      <c r="K4362">
        <v>6</v>
      </c>
      <c r="L4362">
        <v>2</v>
      </c>
      <c r="M4362" t="s">
        <v>6362</v>
      </c>
      <c r="N4362">
        <v>2</v>
      </c>
      <c r="O4362">
        <v>4.33</v>
      </c>
      <c r="P4362">
        <v>139800.48000000001</v>
      </c>
      <c r="Q4362">
        <v>77692.34</v>
      </c>
      <c r="R4362">
        <v>420</v>
      </c>
      <c r="S4362">
        <v>1071</v>
      </c>
      <c r="T4362" t="s">
        <v>108</v>
      </c>
      <c r="U4362" t="s">
        <v>31</v>
      </c>
    </row>
    <row r="4363" spans="1:21">
      <c r="A4363" t="s">
        <v>6780</v>
      </c>
      <c r="B4363" t="s">
        <v>6781</v>
      </c>
      <c r="C4363" t="s">
        <v>709</v>
      </c>
      <c r="D4363">
        <v>77000</v>
      </c>
      <c r="E4363">
        <v>6000</v>
      </c>
      <c r="F4363">
        <v>77000</v>
      </c>
      <c r="H4363">
        <v>4</v>
      </c>
      <c r="I4363" t="s">
        <v>432</v>
      </c>
      <c r="J4363">
        <v>18.559999999999999</v>
      </c>
      <c r="K4363">
        <v>22</v>
      </c>
      <c r="L4363">
        <v>9</v>
      </c>
      <c r="M4363" t="s">
        <v>6362</v>
      </c>
      <c r="N4363">
        <v>1</v>
      </c>
      <c r="O4363">
        <v>5</v>
      </c>
      <c r="P4363">
        <v>139800.48000000001</v>
      </c>
      <c r="Q4363">
        <v>77692.34</v>
      </c>
      <c r="R4363">
        <v>420</v>
      </c>
      <c r="S4363">
        <v>1071</v>
      </c>
      <c r="T4363" t="s">
        <v>108</v>
      </c>
      <c r="U4363" t="s">
        <v>27</v>
      </c>
    </row>
    <row r="4364" spans="1:21">
      <c r="A4364" t="s">
        <v>6782</v>
      </c>
      <c r="B4364" t="s">
        <v>6783</v>
      </c>
      <c r="C4364" t="s">
        <v>709</v>
      </c>
      <c r="D4364">
        <v>60000</v>
      </c>
      <c r="E4364">
        <v>3000</v>
      </c>
      <c r="F4364">
        <v>60000</v>
      </c>
      <c r="G4364">
        <v>60000</v>
      </c>
      <c r="H4364">
        <v>2</v>
      </c>
      <c r="I4364" t="s">
        <v>432</v>
      </c>
      <c r="J4364">
        <v>18.5</v>
      </c>
      <c r="K4364">
        <v>36</v>
      </c>
      <c r="L4364">
        <v>2</v>
      </c>
      <c r="M4364" t="s">
        <v>6362</v>
      </c>
      <c r="N4364">
        <v>4</v>
      </c>
      <c r="O4364">
        <v>7</v>
      </c>
      <c r="P4364">
        <v>139800.48000000001</v>
      </c>
      <c r="Q4364">
        <v>77692.34</v>
      </c>
      <c r="R4364">
        <v>420</v>
      </c>
      <c r="S4364">
        <v>1071</v>
      </c>
      <c r="T4364" t="s">
        <v>108</v>
      </c>
      <c r="U4364" t="s">
        <v>49</v>
      </c>
    </row>
    <row r="4365" spans="1:21">
      <c r="A4365" t="s">
        <v>6784</v>
      </c>
      <c r="B4365" t="s">
        <v>6785</v>
      </c>
      <c r="C4365" t="s">
        <v>709</v>
      </c>
      <c r="D4365">
        <v>69000</v>
      </c>
      <c r="E4365">
        <v>4000</v>
      </c>
      <c r="G4365">
        <v>69000</v>
      </c>
      <c r="H4365">
        <v>1</v>
      </c>
      <c r="I4365" t="s">
        <v>432</v>
      </c>
      <c r="J4365">
        <v>10.06</v>
      </c>
      <c r="K4365">
        <v>9</v>
      </c>
      <c r="L4365">
        <v>2</v>
      </c>
      <c r="M4365" t="s">
        <v>6362</v>
      </c>
      <c r="N4365">
        <v>1</v>
      </c>
      <c r="O4365">
        <v>5.33</v>
      </c>
      <c r="P4365">
        <v>139800.48000000001</v>
      </c>
      <c r="Q4365">
        <v>77692.34</v>
      </c>
      <c r="R4365">
        <v>420</v>
      </c>
      <c r="S4365">
        <v>1071</v>
      </c>
      <c r="T4365" t="s">
        <v>108</v>
      </c>
      <c r="U4365" t="s">
        <v>31</v>
      </c>
    </row>
    <row r="4366" spans="1:21">
      <c r="A4366" t="s">
        <v>6786</v>
      </c>
      <c r="B4366" t="s">
        <v>6787</v>
      </c>
      <c r="C4366" t="s">
        <v>1890</v>
      </c>
      <c r="D4366">
        <v>65000</v>
      </c>
      <c r="E4366">
        <v>4000</v>
      </c>
      <c r="G4366">
        <v>65000</v>
      </c>
      <c r="H4366">
        <v>2</v>
      </c>
      <c r="I4366" t="s">
        <v>432</v>
      </c>
      <c r="J4366">
        <v>11.88</v>
      </c>
      <c r="K4366">
        <v>4</v>
      </c>
      <c r="L4366">
        <v>2</v>
      </c>
      <c r="M4366" t="s">
        <v>6362</v>
      </c>
      <c r="N4366">
        <v>3</v>
      </c>
      <c r="O4366">
        <v>11.33</v>
      </c>
      <c r="P4366">
        <v>139800.48000000001</v>
      </c>
      <c r="Q4366">
        <v>77692.34</v>
      </c>
      <c r="R4366">
        <v>420</v>
      </c>
      <c r="S4366">
        <v>1071</v>
      </c>
      <c r="T4366" t="s">
        <v>108</v>
      </c>
      <c r="U4366" t="s">
        <v>31</v>
      </c>
    </row>
    <row r="4367" spans="1:21">
      <c r="A4367" t="s">
        <v>6788</v>
      </c>
      <c r="B4367" t="s">
        <v>6789</v>
      </c>
      <c r="C4367" t="s">
        <v>41</v>
      </c>
      <c r="D4367">
        <v>92000</v>
      </c>
      <c r="E4367">
        <v>7000</v>
      </c>
      <c r="F4367">
        <v>92000</v>
      </c>
      <c r="G4367">
        <v>92000</v>
      </c>
      <c r="H4367">
        <v>4</v>
      </c>
      <c r="I4367" t="s">
        <v>432</v>
      </c>
      <c r="J4367">
        <v>20.38</v>
      </c>
      <c r="K4367">
        <v>27</v>
      </c>
      <c r="L4367">
        <v>12</v>
      </c>
      <c r="M4367" t="s">
        <v>6362</v>
      </c>
      <c r="N4367">
        <v>5</v>
      </c>
      <c r="O4367">
        <v>7.67</v>
      </c>
      <c r="P4367">
        <v>139800.48000000001</v>
      </c>
      <c r="Q4367">
        <v>77692.34</v>
      </c>
      <c r="R4367">
        <v>420</v>
      </c>
      <c r="S4367">
        <v>1071</v>
      </c>
      <c r="T4367" t="s">
        <v>34</v>
      </c>
      <c r="U4367" t="s">
        <v>27</v>
      </c>
    </row>
    <row r="4368" spans="1:21">
      <c r="A4368" t="s">
        <v>6790</v>
      </c>
      <c r="B4368" t="s">
        <v>6789</v>
      </c>
      <c r="C4368" t="s">
        <v>41</v>
      </c>
      <c r="D4368">
        <v>92000</v>
      </c>
      <c r="E4368">
        <v>7000</v>
      </c>
      <c r="F4368">
        <v>92000</v>
      </c>
      <c r="G4368">
        <v>92000</v>
      </c>
      <c r="H4368">
        <v>4</v>
      </c>
      <c r="I4368" t="s">
        <v>432</v>
      </c>
      <c r="J4368">
        <v>21.25</v>
      </c>
      <c r="K4368">
        <v>27</v>
      </c>
      <c r="L4368">
        <v>12</v>
      </c>
      <c r="M4368" t="s">
        <v>6362</v>
      </c>
      <c r="N4368">
        <v>5</v>
      </c>
      <c r="O4368">
        <v>7.67</v>
      </c>
      <c r="P4368">
        <v>139800.48000000001</v>
      </c>
      <c r="Q4368">
        <v>77692.34</v>
      </c>
      <c r="R4368">
        <v>420</v>
      </c>
      <c r="S4368">
        <v>1071</v>
      </c>
      <c r="T4368" t="s">
        <v>34</v>
      </c>
      <c r="U4368" t="s">
        <v>27</v>
      </c>
    </row>
    <row r="4369" spans="1:21">
      <c r="A4369" t="s">
        <v>6791</v>
      </c>
      <c r="B4369" t="s">
        <v>6792</v>
      </c>
      <c r="C4369" t="s">
        <v>1890</v>
      </c>
      <c r="D4369">
        <v>57000</v>
      </c>
      <c r="E4369">
        <v>2000</v>
      </c>
      <c r="F4369">
        <v>57000</v>
      </c>
      <c r="G4369">
        <v>57000</v>
      </c>
      <c r="H4369">
        <v>1</v>
      </c>
      <c r="I4369" t="s">
        <v>432</v>
      </c>
      <c r="J4369">
        <v>15</v>
      </c>
      <c r="K4369">
        <v>37</v>
      </c>
      <c r="L4369">
        <v>3</v>
      </c>
      <c r="M4369" t="s">
        <v>6362</v>
      </c>
      <c r="N4369">
        <v>10</v>
      </c>
      <c r="O4369">
        <v>11</v>
      </c>
      <c r="P4369">
        <v>139800.48000000001</v>
      </c>
      <c r="Q4369">
        <v>77692.34</v>
      </c>
      <c r="R4369">
        <v>420</v>
      </c>
      <c r="S4369">
        <v>1071</v>
      </c>
      <c r="T4369" t="s">
        <v>108</v>
      </c>
      <c r="U4369" t="s">
        <v>49</v>
      </c>
    </row>
    <row r="4370" spans="1:21">
      <c r="A4370" t="s">
        <v>6793</v>
      </c>
      <c r="B4370" t="s">
        <v>6794</v>
      </c>
      <c r="C4370" t="s">
        <v>3025</v>
      </c>
      <c r="D4370">
        <v>55000</v>
      </c>
      <c r="E4370">
        <v>4500</v>
      </c>
      <c r="H4370">
        <v>4</v>
      </c>
      <c r="I4370" t="s">
        <v>432</v>
      </c>
      <c r="J4370">
        <v>15.36</v>
      </c>
      <c r="K4370">
        <v>40</v>
      </c>
      <c r="L4370">
        <v>4</v>
      </c>
      <c r="M4370" t="s">
        <v>6362</v>
      </c>
      <c r="N4370">
        <v>7</v>
      </c>
      <c r="O4370">
        <v>9.33</v>
      </c>
      <c r="P4370">
        <v>139800.48000000001</v>
      </c>
      <c r="Q4370">
        <v>77692.34</v>
      </c>
      <c r="R4370">
        <v>420</v>
      </c>
      <c r="S4370">
        <v>1071</v>
      </c>
      <c r="T4370" t="s">
        <v>108</v>
      </c>
      <c r="U4370" t="s">
        <v>49</v>
      </c>
    </row>
    <row r="4371" spans="1:21">
      <c r="A4371" t="s">
        <v>6795</v>
      </c>
      <c r="B4371" t="s">
        <v>6796</v>
      </c>
      <c r="C4371" t="s">
        <v>3195</v>
      </c>
      <c r="D4371">
        <v>74000</v>
      </c>
      <c r="E4371">
        <v>10000</v>
      </c>
      <c r="F4371">
        <v>74000</v>
      </c>
      <c r="G4371">
        <v>74000</v>
      </c>
      <c r="H4371">
        <v>2</v>
      </c>
      <c r="I4371" t="s">
        <v>432</v>
      </c>
      <c r="J4371">
        <v>17.87</v>
      </c>
      <c r="K4371">
        <v>40</v>
      </c>
      <c r="L4371">
        <v>9</v>
      </c>
      <c r="M4371" t="s">
        <v>6362</v>
      </c>
      <c r="N4371">
        <v>3</v>
      </c>
      <c r="O4371">
        <v>6.33</v>
      </c>
      <c r="P4371">
        <v>139800.48000000001</v>
      </c>
      <c r="Q4371">
        <v>77692.34</v>
      </c>
      <c r="R4371">
        <v>420</v>
      </c>
      <c r="S4371">
        <v>1071</v>
      </c>
      <c r="T4371" t="s">
        <v>108</v>
      </c>
      <c r="U4371" t="s">
        <v>49</v>
      </c>
    </row>
    <row r="4372" spans="1:21">
      <c r="A4372" t="s">
        <v>6797</v>
      </c>
      <c r="B4372" t="s">
        <v>6796</v>
      </c>
      <c r="C4372" t="s">
        <v>3195</v>
      </c>
      <c r="D4372">
        <v>85000</v>
      </c>
      <c r="E4372">
        <v>3000</v>
      </c>
      <c r="F4372">
        <v>85000</v>
      </c>
      <c r="G4372">
        <v>85000</v>
      </c>
      <c r="H4372">
        <v>3</v>
      </c>
      <c r="I4372" t="s">
        <v>432</v>
      </c>
      <c r="J4372">
        <v>19.25</v>
      </c>
      <c r="K4372">
        <v>40</v>
      </c>
      <c r="L4372">
        <v>9</v>
      </c>
      <c r="M4372" t="s">
        <v>6362</v>
      </c>
      <c r="N4372">
        <v>3</v>
      </c>
      <c r="O4372">
        <v>6.33</v>
      </c>
      <c r="P4372">
        <v>139800.48000000001</v>
      </c>
      <c r="Q4372">
        <v>77692.34</v>
      </c>
      <c r="R4372">
        <v>420</v>
      </c>
      <c r="S4372">
        <v>1071</v>
      </c>
      <c r="T4372" t="s">
        <v>108</v>
      </c>
      <c r="U4372" t="s">
        <v>49</v>
      </c>
    </row>
    <row r="4373" spans="1:21">
      <c r="A4373" t="s">
        <v>6798</v>
      </c>
      <c r="B4373" t="s">
        <v>6796</v>
      </c>
      <c r="C4373" t="s">
        <v>3195</v>
      </c>
      <c r="D4373">
        <v>68000</v>
      </c>
      <c r="E4373">
        <v>4000</v>
      </c>
      <c r="F4373">
        <v>68000</v>
      </c>
      <c r="G4373">
        <v>68000</v>
      </c>
      <c r="H4373">
        <v>3</v>
      </c>
      <c r="I4373" t="s">
        <v>432</v>
      </c>
      <c r="J4373">
        <v>20.7</v>
      </c>
      <c r="K4373">
        <v>40</v>
      </c>
      <c r="L4373">
        <v>9</v>
      </c>
      <c r="M4373" t="s">
        <v>6362</v>
      </c>
      <c r="N4373">
        <v>3</v>
      </c>
      <c r="O4373">
        <v>6.33</v>
      </c>
      <c r="P4373">
        <v>139800.48000000001</v>
      </c>
      <c r="Q4373">
        <v>77692.34</v>
      </c>
      <c r="R4373">
        <v>420</v>
      </c>
      <c r="S4373">
        <v>1071</v>
      </c>
      <c r="T4373" t="s">
        <v>34</v>
      </c>
      <c r="U4373" t="s">
        <v>49</v>
      </c>
    </row>
    <row r="4374" spans="1:21">
      <c r="A4374" t="s">
        <v>6799</v>
      </c>
      <c r="B4374" t="s">
        <v>6800</v>
      </c>
      <c r="C4374" t="s">
        <v>1890</v>
      </c>
      <c r="D4374">
        <v>75000</v>
      </c>
      <c r="E4374">
        <v>3000</v>
      </c>
      <c r="F4374">
        <v>75000</v>
      </c>
      <c r="G4374">
        <v>75000</v>
      </c>
      <c r="H4374">
        <v>2</v>
      </c>
      <c r="I4374" t="s">
        <v>432</v>
      </c>
      <c r="J4374">
        <v>24.48</v>
      </c>
      <c r="K4374">
        <v>29</v>
      </c>
      <c r="L4374">
        <v>2</v>
      </c>
      <c r="M4374" t="s">
        <v>6362</v>
      </c>
      <c r="N4374">
        <v>7</v>
      </c>
      <c r="O4374">
        <v>9.33</v>
      </c>
      <c r="P4374">
        <v>139800.48000000001</v>
      </c>
      <c r="Q4374">
        <v>77692.34</v>
      </c>
      <c r="R4374">
        <v>420</v>
      </c>
      <c r="S4374">
        <v>1071</v>
      </c>
      <c r="T4374" t="s">
        <v>34</v>
      </c>
      <c r="U4374" t="s">
        <v>27</v>
      </c>
    </row>
    <row r="4375" spans="1:21">
      <c r="A4375" t="s">
        <v>6801</v>
      </c>
      <c r="B4375" t="s">
        <v>6802</v>
      </c>
      <c r="C4375" t="s">
        <v>3195</v>
      </c>
      <c r="D4375">
        <v>82000</v>
      </c>
      <c r="E4375">
        <v>5000</v>
      </c>
      <c r="H4375">
        <v>3</v>
      </c>
      <c r="I4375" t="s">
        <v>432</v>
      </c>
      <c r="J4375">
        <v>18.41</v>
      </c>
      <c r="K4375">
        <v>49</v>
      </c>
      <c r="L4375">
        <v>9</v>
      </c>
      <c r="M4375" t="s">
        <v>6362</v>
      </c>
      <c r="N4375">
        <v>4</v>
      </c>
      <c r="O4375">
        <v>8</v>
      </c>
      <c r="P4375">
        <v>139800.48000000001</v>
      </c>
      <c r="Q4375">
        <v>77692.34</v>
      </c>
      <c r="R4375">
        <v>420</v>
      </c>
      <c r="S4375">
        <v>1071</v>
      </c>
      <c r="T4375" t="s">
        <v>108</v>
      </c>
      <c r="U4375" t="s">
        <v>42</v>
      </c>
    </row>
    <row r="4376" spans="1:21">
      <c r="A4376" t="s">
        <v>6803</v>
      </c>
      <c r="B4376" t="s">
        <v>6802</v>
      </c>
      <c r="C4376" t="s">
        <v>3195</v>
      </c>
      <c r="D4376">
        <v>87000</v>
      </c>
      <c r="E4376">
        <v>5000</v>
      </c>
      <c r="H4376">
        <v>4</v>
      </c>
      <c r="I4376" t="s">
        <v>432</v>
      </c>
      <c r="J4376">
        <v>18.41</v>
      </c>
      <c r="K4376">
        <v>49</v>
      </c>
      <c r="L4376">
        <v>9</v>
      </c>
      <c r="M4376" t="s">
        <v>6362</v>
      </c>
      <c r="N4376">
        <v>4</v>
      </c>
      <c r="O4376">
        <v>8</v>
      </c>
      <c r="P4376">
        <v>139800.48000000001</v>
      </c>
      <c r="Q4376">
        <v>77692.34</v>
      </c>
      <c r="R4376">
        <v>420</v>
      </c>
      <c r="S4376">
        <v>1071</v>
      </c>
      <c r="T4376" t="s">
        <v>108</v>
      </c>
      <c r="U4376" t="s">
        <v>42</v>
      </c>
    </row>
    <row r="4377" spans="1:21">
      <c r="A4377" t="s">
        <v>6804</v>
      </c>
      <c r="B4377" t="s">
        <v>6802</v>
      </c>
      <c r="C4377" t="s">
        <v>3195</v>
      </c>
      <c r="D4377">
        <v>85000</v>
      </c>
      <c r="E4377">
        <v>5000</v>
      </c>
      <c r="H4377">
        <v>6</v>
      </c>
      <c r="I4377" t="s">
        <v>432</v>
      </c>
      <c r="J4377">
        <v>18.41</v>
      </c>
      <c r="K4377">
        <v>49</v>
      </c>
      <c r="L4377">
        <v>9</v>
      </c>
      <c r="M4377" t="s">
        <v>6362</v>
      </c>
      <c r="N4377">
        <v>4</v>
      </c>
      <c r="O4377">
        <v>8</v>
      </c>
      <c r="P4377">
        <v>139800.48000000001</v>
      </c>
      <c r="Q4377">
        <v>77692.34</v>
      </c>
      <c r="R4377">
        <v>420</v>
      </c>
      <c r="S4377">
        <v>1071</v>
      </c>
      <c r="T4377" t="s">
        <v>108</v>
      </c>
      <c r="U4377" t="s">
        <v>42</v>
      </c>
    </row>
    <row r="4378" spans="1:21">
      <c r="A4378" t="s">
        <v>6805</v>
      </c>
      <c r="B4378" t="s">
        <v>6802</v>
      </c>
      <c r="C4378" t="s">
        <v>3195</v>
      </c>
      <c r="D4378">
        <v>87000</v>
      </c>
      <c r="E4378">
        <v>5000</v>
      </c>
      <c r="H4378">
        <v>7</v>
      </c>
      <c r="I4378" t="s">
        <v>432</v>
      </c>
      <c r="J4378">
        <v>18.41</v>
      </c>
      <c r="K4378">
        <v>49</v>
      </c>
      <c r="L4378">
        <v>9</v>
      </c>
      <c r="M4378" t="s">
        <v>6362</v>
      </c>
      <c r="N4378">
        <v>4</v>
      </c>
      <c r="O4378">
        <v>8</v>
      </c>
      <c r="P4378">
        <v>139800.48000000001</v>
      </c>
      <c r="Q4378">
        <v>77692.34</v>
      </c>
      <c r="R4378">
        <v>420</v>
      </c>
      <c r="S4378">
        <v>1071</v>
      </c>
      <c r="T4378" t="s">
        <v>108</v>
      </c>
      <c r="U4378" t="s">
        <v>42</v>
      </c>
    </row>
    <row r="4379" spans="1:21">
      <c r="A4379" t="s">
        <v>6806</v>
      </c>
      <c r="B4379" t="s">
        <v>6371</v>
      </c>
      <c r="C4379" t="s">
        <v>688</v>
      </c>
      <c r="D4379">
        <v>89000</v>
      </c>
      <c r="E4379">
        <v>5000</v>
      </c>
      <c r="F4379">
        <v>89000</v>
      </c>
      <c r="G4379">
        <v>89000</v>
      </c>
      <c r="H4379">
        <v>1</v>
      </c>
      <c r="I4379" t="s">
        <v>432</v>
      </c>
      <c r="J4379">
        <v>22.28</v>
      </c>
      <c r="K4379">
        <v>0</v>
      </c>
      <c r="L4379">
        <v>3</v>
      </c>
      <c r="M4379" t="s">
        <v>6362</v>
      </c>
      <c r="N4379">
        <v>8</v>
      </c>
      <c r="O4379">
        <v>10.33</v>
      </c>
      <c r="P4379">
        <v>139800.48000000001</v>
      </c>
      <c r="Q4379">
        <v>77692.34</v>
      </c>
      <c r="R4379">
        <v>420</v>
      </c>
      <c r="S4379">
        <v>1071</v>
      </c>
      <c r="T4379" t="s">
        <v>34</v>
      </c>
      <c r="U4379" t="s">
        <v>81</v>
      </c>
    </row>
    <row r="4380" spans="1:21">
      <c r="A4380" t="s">
        <v>6807</v>
      </c>
      <c r="B4380" t="s">
        <v>6371</v>
      </c>
      <c r="C4380" t="s">
        <v>688</v>
      </c>
      <c r="D4380">
        <v>93000</v>
      </c>
      <c r="E4380">
        <v>5000</v>
      </c>
      <c r="F4380">
        <v>93000</v>
      </c>
      <c r="G4380">
        <v>93000</v>
      </c>
      <c r="H4380">
        <v>2</v>
      </c>
      <c r="I4380" t="s">
        <v>432</v>
      </c>
      <c r="J4380">
        <v>23.24</v>
      </c>
      <c r="K4380">
        <v>0</v>
      </c>
      <c r="L4380">
        <v>3</v>
      </c>
      <c r="M4380" t="s">
        <v>6362</v>
      </c>
      <c r="N4380">
        <v>8</v>
      </c>
      <c r="O4380">
        <v>10.33</v>
      </c>
      <c r="P4380">
        <v>139800.48000000001</v>
      </c>
      <c r="Q4380">
        <v>77692.34</v>
      </c>
      <c r="R4380">
        <v>420</v>
      </c>
      <c r="S4380">
        <v>1071</v>
      </c>
      <c r="T4380" t="s">
        <v>34</v>
      </c>
      <c r="U4380" t="s">
        <v>81</v>
      </c>
    </row>
    <row r="4381" spans="1:21">
      <c r="A4381" t="s">
        <v>6808</v>
      </c>
      <c r="B4381" t="s">
        <v>6371</v>
      </c>
      <c r="C4381" t="s">
        <v>688</v>
      </c>
      <c r="D4381">
        <v>104000</v>
      </c>
      <c r="E4381">
        <v>5000</v>
      </c>
      <c r="F4381">
        <v>104000</v>
      </c>
      <c r="G4381">
        <v>104000</v>
      </c>
      <c r="H4381">
        <v>2</v>
      </c>
      <c r="I4381" t="s">
        <v>432</v>
      </c>
      <c r="J4381">
        <v>25.81</v>
      </c>
      <c r="K4381">
        <v>0</v>
      </c>
      <c r="L4381">
        <v>3</v>
      </c>
      <c r="M4381" t="s">
        <v>6362</v>
      </c>
      <c r="N4381">
        <v>8</v>
      </c>
      <c r="O4381">
        <v>10.33</v>
      </c>
      <c r="P4381">
        <v>139800.48000000001</v>
      </c>
      <c r="Q4381">
        <v>77692.34</v>
      </c>
      <c r="R4381">
        <v>420</v>
      </c>
      <c r="S4381">
        <v>1071</v>
      </c>
      <c r="T4381" t="s">
        <v>34</v>
      </c>
      <c r="U4381" t="s">
        <v>81</v>
      </c>
    </row>
    <row r="4382" spans="1:21">
      <c r="A4382" t="s">
        <v>6809</v>
      </c>
      <c r="B4382" t="s">
        <v>6810</v>
      </c>
      <c r="C4382" t="s">
        <v>1890</v>
      </c>
      <c r="D4382">
        <v>40000</v>
      </c>
      <c r="E4382">
        <v>2000</v>
      </c>
      <c r="F4382">
        <v>40000</v>
      </c>
      <c r="G4382">
        <v>40000</v>
      </c>
      <c r="H4382">
        <v>2</v>
      </c>
      <c r="I4382" t="s">
        <v>432</v>
      </c>
      <c r="J4382">
        <v>18</v>
      </c>
      <c r="K4382">
        <v>58</v>
      </c>
      <c r="L4382">
        <v>2</v>
      </c>
      <c r="M4382" t="s">
        <v>6362</v>
      </c>
      <c r="N4382">
        <v>9</v>
      </c>
      <c r="O4382">
        <v>11.33</v>
      </c>
      <c r="P4382">
        <v>139800.48000000001</v>
      </c>
      <c r="Q4382">
        <v>77692.34</v>
      </c>
      <c r="R4382">
        <v>420</v>
      </c>
      <c r="S4382">
        <v>1071</v>
      </c>
      <c r="T4382" t="s">
        <v>108</v>
      </c>
      <c r="U4382" t="s">
        <v>57</v>
      </c>
    </row>
    <row r="4383" spans="1:21">
      <c r="A4383" t="s">
        <v>6811</v>
      </c>
      <c r="B4383" t="s">
        <v>6812</v>
      </c>
      <c r="C4383" t="s">
        <v>41</v>
      </c>
      <c r="D4383">
        <v>92000</v>
      </c>
      <c r="E4383">
        <v>7000</v>
      </c>
      <c r="F4383">
        <v>92000</v>
      </c>
      <c r="G4383">
        <v>92000</v>
      </c>
      <c r="H4383">
        <v>4</v>
      </c>
      <c r="I4383" t="s">
        <v>432</v>
      </c>
      <c r="J4383">
        <v>20.38</v>
      </c>
      <c r="K4383">
        <v>27</v>
      </c>
      <c r="L4383">
        <v>12</v>
      </c>
      <c r="M4383" t="s">
        <v>6362</v>
      </c>
      <c r="N4383">
        <v>5</v>
      </c>
      <c r="O4383">
        <v>7.67</v>
      </c>
      <c r="P4383">
        <v>139800.48000000001</v>
      </c>
      <c r="Q4383">
        <v>77692.34</v>
      </c>
      <c r="R4383">
        <v>420</v>
      </c>
      <c r="S4383">
        <v>1071</v>
      </c>
      <c r="T4383" t="s">
        <v>34</v>
      </c>
      <c r="U4383" t="s">
        <v>27</v>
      </c>
    </row>
    <row r="4384" spans="1:21">
      <c r="A4384" t="s">
        <v>6813</v>
      </c>
      <c r="B4384" t="s">
        <v>6812</v>
      </c>
      <c r="C4384" t="s">
        <v>41</v>
      </c>
      <c r="D4384">
        <v>92000</v>
      </c>
      <c r="E4384">
        <v>7000</v>
      </c>
      <c r="F4384">
        <v>92000</v>
      </c>
      <c r="G4384">
        <v>92000</v>
      </c>
      <c r="H4384">
        <v>4</v>
      </c>
      <c r="I4384" t="s">
        <v>432</v>
      </c>
      <c r="J4384">
        <v>21.25</v>
      </c>
      <c r="K4384">
        <v>27</v>
      </c>
      <c r="L4384">
        <v>12</v>
      </c>
      <c r="M4384" t="s">
        <v>6362</v>
      </c>
      <c r="N4384">
        <v>5</v>
      </c>
      <c r="O4384">
        <v>7.67</v>
      </c>
      <c r="P4384">
        <v>139800.48000000001</v>
      </c>
      <c r="Q4384">
        <v>77692.34</v>
      </c>
      <c r="R4384">
        <v>420</v>
      </c>
      <c r="S4384">
        <v>1071</v>
      </c>
      <c r="T4384" t="s">
        <v>34</v>
      </c>
      <c r="U4384" t="s">
        <v>27</v>
      </c>
    </row>
    <row r="4385" spans="1:21">
      <c r="A4385" t="s">
        <v>6814</v>
      </c>
      <c r="B4385" t="s">
        <v>6815</v>
      </c>
      <c r="C4385" t="s">
        <v>104</v>
      </c>
      <c r="D4385">
        <v>71000</v>
      </c>
      <c r="E4385">
        <v>4000</v>
      </c>
      <c r="G4385">
        <v>71000</v>
      </c>
      <c r="H4385">
        <v>1</v>
      </c>
      <c r="I4385" t="s">
        <v>432</v>
      </c>
      <c r="J4385">
        <v>14.52</v>
      </c>
      <c r="K4385">
        <v>11</v>
      </c>
      <c r="L4385">
        <v>2</v>
      </c>
      <c r="M4385" t="s">
        <v>6362</v>
      </c>
      <c r="N4385">
        <v>3</v>
      </c>
      <c r="O4385">
        <v>6.33</v>
      </c>
      <c r="P4385">
        <v>139800.48000000001</v>
      </c>
      <c r="Q4385">
        <v>77692.34</v>
      </c>
      <c r="R4385">
        <v>420</v>
      </c>
      <c r="S4385">
        <v>1071</v>
      </c>
      <c r="T4385" t="s">
        <v>108</v>
      </c>
      <c r="U4385" t="s">
        <v>90</v>
      </c>
    </row>
    <row r="4386" spans="1:21">
      <c r="A4386" t="s">
        <v>6816</v>
      </c>
      <c r="B4386" t="s">
        <v>6495</v>
      </c>
      <c r="C4386" t="s">
        <v>3025</v>
      </c>
      <c r="D4386">
        <v>61000</v>
      </c>
      <c r="E4386">
        <v>3000</v>
      </c>
      <c r="G4386">
        <v>61000</v>
      </c>
      <c r="H4386">
        <v>1</v>
      </c>
      <c r="I4386" t="s">
        <v>432</v>
      </c>
      <c r="J4386">
        <v>10.26</v>
      </c>
      <c r="K4386">
        <v>12</v>
      </c>
      <c r="L4386">
        <v>2</v>
      </c>
      <c r="M4386" t="s">
        <v>6362</v>
      </c>
      <c r="N4386">
        <v>7</v>
      </c>
      <c r="O4386">
        <v>11</v>
      </c>
      <c r="P4386">
        <v>139800.48000000001</v>
      </c>
      <c r="Q4386">
        <v>77692.34</v>
      </c>
      <c r="R4386">
        <v>420</v>
      </c>
      <c r="S4386">
        <v>1071</v>
      </c>
      <c r="T4386" t="s">
        <v>108</v>
      </c>
      <c r="U4386" t="s">
        <v>90</v>
      </c>
    </row>
    <row r="4387" spans="1:21">
      <c r="A4387" t="s">
        <v>6817</v>
      </c>
      <c r="B4387" t="s">
        <v>6501</v>
      </c>
      <c r="C4387" t="s">
        <v>688</v>
      </c>
      <c r="D4387">
        <v>57000</v>
      </c>
      <c r="E4387">
        <v>6000</v>
      </c>
      <c r="H4387">
        <v>1</v>
      </c>
      <c r="I4387" t="s">
        <v>432</v>
      </c>
      <c r="J4387">
        <v>12.49</v>
      </c>
      <c r="K4387">
        <v>22</v>
      </c>
      <c r="L4387">
        <v>2</v>
      </c>
      <c r="M4387" t="s">
        <v>6362</v>
      </c>
      <c r="N4387">
        <v>7</v>
      </c>
      <c r="O4387">
        <v>8.33</v>
      </c>
      <c r="P4387">
        <v>139800.48000000001</v>
      </c>
      <c r="Q4387">
        <v>77692.34</v>
      </c>
      <c r="R4387">
        <v>420</v>
      </c>
      <c r="S4387">
        <v>1071</v>
      </c>
      <c r="T4387" t="s">
        <v>108</v>
      </c>
      <c r="U4387" t="s">
        <v>27</v>
      </c>
    </row>
    <row r="4388" spans="1:21">
      <c r="A4388" t="s">
        <v>6818</v>
      </c>
      <c r="B4388" t="s">
        <v>6819</v>
      </c>
      <c r="C4388" t="s">
        <v>1890</v>
      </c>
      <c r="D4388">
        <v>70000</v>
      </c>
      <c r="E4388">
        <v>4000</v>
      </c>
      <c r="G4388">
        <v>70000</v>
      </c>
      <c r="H4388">
        <v>1</v>
      </c>
      <c r="I4388" t="s">
        <v>432</v>
      </c>
      <c r="J4388">
        <v>13.58</v>
      </c>
      <c r="K4388">
        <v>2</v>
      </c>
      <c r="L4388">
        <v>2</v>
      </c>
      <c r="M4388" t="s">
        <v>6362</v>
      </c>
      <c r="N4388">
        <v>12</v>
      </c>
      <c r="O4388">
        <v>13.33</v>
      </c>
      <c r="P4388">
        <v>139800.48000000001</v>
      </c>
      <c r="Q4388">
        <v>77692.34</v>
      </c>
      <c r="R4388">
        <v>420</v>
      </c>
      <c r="S4388">
        <v>1071</v>
      </c>
      <c r="T4388" t="s">
        <v>108</v>
      </c>
      <c r="U4388" t="s">
        <v>31</v>
      </c>
    </row>
    <row r="4389" spans="1:21">
      <c r="A4389" t="s">
        <v>6820</v>
      </c>
      <c r="B4389" t="s">
        <v>6821</v>
      </c>
      <c r="C4389" t="s">
        <v>104</v>
      </c>
      <c r="D4389">
        <v>82000</v>
      </c>
      <c r="F4389">
        <v>82000</v>
      </c>
      <c r="G4389">
        <v>82000</v>
      </c>
      <c r="H4389">
        <v>2</v>
      </c>
      <c r="I4389" t="s">
        <v>432</v>
      </c>
      <c r="J4389">
        <v>26.4</v>
      </c>
      <c r="K4389">
        <v>61</v>
      </c>
      <c r="L4389">
        <v>2</v>
      </c>
      <c r="M4389" t="s">
        <v>6362</v>
      </c>
      <c r="N4389">
        <v>3</v>
      </c>
      <c r="O4389">
        <v>5.67</v>
      </c>
      <c r="P4389">
        <v>139800.48000000001</v>
      </c>
      <c r="Q4389">
        <v>77692.34</v>
      </c>
      <c r="R4389">
        <v>420</v>
      </c>
      <c r="S4389">
        <v>1071</v>
      </c>
      <c r="T4389" t="s">
        <v>34</v>
      </c>
      <c r="U4389" t="s">
        <v>38</v>
      </c>
    </row>
    <row r="4390" spans="1:21">
      <c r="A4390" t="s">
        <v>6822</v>
      </c>
      <c r="B4390" t="s">
        <v>6381</v>
      </c>
      <c r="C4390" t="s">
        <v>709</v>
      </c>
      <c r="D4390">
        <v>69000</v>
      </c>
      <c r="E4390">
        <v>4000</v>
      </c>
      <c r="G4390">
        <v>69000</v>
      </c>
      <c r="H4390">
        <v>1</v>
      </c>
      <c r="I4390" t="s">
        <v>432</v>
      </c>
      <c r="J4390">
        <v>10.06</v>
      </c>
      <c r="K4390">
        <v>9</v>
      </c>
      <c r="L4390">
        <v>2</v>
      </c>
      <c r="M4390" t="s">
        <v>6362</v>
      </c>
      <c r="N4390">
        <v>1</v>
      </c>
      <c r="O4390">
        <v>4.67</v>
      </c>
      <c r="P4390">
        <v>139800.48000000001</v>
      </c>
      <c r="Q4390">
        <v>77692.34</v>
      </c>
      <c r="R4390">
        <v>420</v>
      </c>
      <c r="S4390">
        <v>1071</v>
      </c>
      <c r="T4390" t="s">
        <v>108</v>
      </c>
      <c r="U4390" t="s">
        <v>31</v>
      </c>
    </row>
    <row r="4391" spans="1:21">
      <c r="A4391" t="s">
        <v>6823</v>
      </c>
      <c r="B4391" t="s">
        <v>6381</v>
      </c>
      <c r="C4391" t="s">
        <v>709</v>
      </c>
      <c r="D4391">
        <v>69000</v>
      </c>
      <c r="E4391">
        <v>4000</v>
      </c>
      <c r="H4391">
        <v>2</v>
      </c>
      <c r="I4391" t="s">
        <v>432</v>
      </c>
      <c r="J4391">
        <v>10.06</v>
      </c>
      <c r="K4391">
        <v>9</v>
      </c>
      <c r="L4391">
        <v>2</v>
      </c>
      <c r="M4391" t="s">
        <v>6362</v>
      </c>
      <c r="N4391">
        <v>1</v>
      </c>
      <c r="O4391">
        <v>4.67</v>
      </c>
      <c r="P4391">
        <v>139800.48000000001</v>
      </c>
      <c r="Q4391">
        <v>77692.34</v>
      </c>
      <c r="R4391">
        <v>420</v>
      </c>
      <c r="S4391">
        <v>1071</v>
      </c>
      <c r="T4391" t="s">
        <v>108</v>
      </c>
      <c r="U4391" t="s">
        <v>31</v>
      </c>
    </row>
    <row r="4392" spans="1:21">
      <c r="A4392" t="s">
        <v>6824</v>
      </c>
      <c r="B4392" t="s">
        <v>6511</v>
      </c>
      <c r="C4392" t="s">
        <v>688</v>
      </c>
      <c r="D4392">
        <v>93000</v>
      </c>
      <c r="E4392">
        <v>5000</v>
      </c>
      <c r="F4392">
        <v>93000</v>
      </c>
      <c r="G4392">
        <v>93000</v>
      </c>
      <c r="H4392">
        <v>2</v>
      </c>
      <c r="I4392" t="s">
        <v>432</v>
      </c>
      <c r="J4392">
        <v>23.24</v>
      </c>
      <c r="K4392">
        <v>0</v>
      </c>
      <c r="L4392">
        <v>3</v>
      </c>
      <c r="M4392" t="s">
        <v>6362</v>
      </c>
      <c r="N4392">
        <v>8</v>
      </c>
      <c r="O4392">
        <v>11</v>
      </c>
      <c r="P4392">
        <v>139800.48000000001</v>
      </c>
      <c r="Q4392">
        <v>77692.34</v>
      </c>
      <c r="R4392">
        <v>420</v>
      </c>
      <c r="S4392">
        <v>1071</v>
      </c>
      <c r="T4392" t="s">
        <v>34</v>
      </c>
      <c r="U4392" t="s">
        <v>81</v>
      </c>
    </row>
    <row r="4393" spans="1:21">
      <c r="A4393" t="s">
        <v>6825</v>
      </c>
      <c r="B4393" t="s">
        <v>6511</v>
      </c>
      <c r="C4393" t="s">
        <v>41</v>
      </c>
      <c r="D4393">
        <v>123000</v>
      </c>
      <c r="E4393">
        <v>7000</v>
      </c>
      <c r="F4393">
        <v>123000</v>
      </c>
      <c r="H4393">
        <v>3</v>
      </c>
      <c r="I4393" t="s">
        <v>432</v>
      </c>
      <c r="J4393">
        <v>21.17</v>
      </c>
      <c r="K4393">
        <v>0</v>
      </c>
      <c r="L4393">
        <v>3</v>
      </c>
      <c r="M4393" t="s">
        <v>6362</v>
      </c>
      <c r="N4393">
        <v>6</v>
      </c>
      <c r="O4393">
        <v>8</v>
      </c>
      <c r="P4393">
        <v>139800.48000000001</v>
      </c>
      <c r="Q4393">
        <v>77692.34</v>
      </c>
      <c r="R4393">
        <v>420</v>
      </c>
      <c r="S4393">
        <v>1071</v>
      </c>
      <c r="T4393" t="s">
        <v>34</v>
      </c>
      <c r="U4393" t="s">
        <v>81</v>
      </c>
    </row>
    <row r="4394" spans="1:21">
      <c r="A4394" t="s">
        <v>6826</v>
      </c>
      <c r="B4394" t="s">
        <v>6530</v>
      </c>
      <c r="C4394" t="s">
        <v>3195</v>
      </c>
      <c r="D4394">
        <v>125000</v>
      </c>
      <c r="E4394">
        <v>10000</v>
      </c>
      <c r="F4394">
        <v>125000</v>
      </c>
      <c r="G4394">
        <v>125000</v>
      </c>
      <c r="H4394">
        <v>1</v>
      </c>
      <c r="I4394" t="s">
        <v>432</v>
      </c>
      <c r="J4394">
        <v>32.54</v>
      </c>
      <c r="K4394">
        <v>2</v>
      </c>
      <c r="L4394">
        <v>3</v>
      </c>
      <c r="M4394" t="s">
        <v>6362</v>
      </c>
      <c r="N4394">
        <v>2</v>
      </c>
      <c r="O4394">
        <v>5.67</v>
      </c>
      <c r="P4394">
        <v>139800.48000000001</v>
      </c>
      <c r="Q4394">
        <v>77692.34</v>
      </c>
      <c r="R4394">
        <v>420</v>
      </c>
      <c r="S4394">
        <v>1071</v>
      </c>
      <c r="T4394" t="s">
        <v>26</v>
      </c>
      <c r="U4394" t="s">
        <v>31</v>
      </c>
    </row>
    <row r="4395" spans="1:21">
      <c r="A4395" t="s">
        <v>6827</v>
      </c>
      <c r="B4395" t="s">
        <v>6682</v>
      </c>
      <c r="C4395" t="s">
        <v>709</v>
      </c>
      <c r="D4395">
        <v>87000</v>
      </c>
      <c r="E4395">
        <v>3000</v>
      </c>
      <c r="F4395">
        <v>87000</v>
      </c>
      <c r="G4395">
        <v>87000</v>
      </c>
      <c r="H4395">
        <v>2</v>
      </c>
      <c r="I4395" t="s">
        <v>432</v>
      </c>
      <c r="J4395">
        <v>21.15</v>
      </c>
      <c r="K4395">
        <v>35</v>
      </c>
      <c r="L4395">
        <v>3</v>
      </c>
      <c r="M4395" t="s">
        <v>6362</v>
      </c>
      <c r="N4395">
        <v>3</v>
      </c>
      <c r="O4395">
        <v>7</v>
      </c>
      <c r="P4395">
        <v>139800.48000000001</v>
      </c>
      <c r="Q4395">
        <v>77692.34</v>
      </c>
      <c r="R4395">
        <v>420</v>
      </c>
      <c r="S4395">
        <v>1071</v>
      </c>
      <c r="T4395" t="s">
        <v>34</v>
      </c>
      <c r="U4395" t="s">
        <v>49</v>
      </c>
    </row>
    <row r="4396" spans="1:21">
      <c r="A4396" t="s">
        <v>6828</v>
      </c>
      <c r="B4396" t="s">
        <v>6829</v>
      </c>
      <c r="C4396" t="s">
        <v>104</v>
      </c>
      <c r="D4396">
        <v>62000</v>
      </c>
      <c r="E4396">
        <v>3000</v>
      </c>
      <c r="F4396">
        <v>62000</v>
      </c>
      <c r="H4396">
        <v>3</v>
      </c>
      <c r="I4396" t="s">
        <v>432</v>
      </c>
      <c r="J4396">
        <v>16.84</v>
      </c>
      <c r="K4396">
        <v>39</v>
      </c>
      <c r="L4396">
        <v>3</v>
      </c>
      <c r="M4396" t="s">
        <v>6362</v>
      </c>
      <c r="N4396">
        <v>2</v>
      </c>
      <c r="O4396">
        <v>6</v>
      </c>
      <c r="P4396">
        <v>139800.48000000001</v>
      </c>
      <c r="Q4396">
        <v>77692.34</v>
      </c>
      <c r="R4396">
        <v>420</v>
      </c>
      <c r="S4396">
        <v>1071</v>
      </c>
      <c r="T4396" t="s">
        <v>108</v>
      </c>
      <c r="U4396" t="s">
        <v>49</v>
      </c>
    </row>
    <row r="4397" spans="1:21">
      <c r="A4397" t="s">
        <v>6830</v>
      </c>
      <c r="B4397" t="s">
        <v>6389</v>
      </c>
      <c r="C4397" t="s">
        <v>3025</v>
      </c>
      <c r="D4397">
        <v>129000</v>
      </c>
      <c r="E4397">
        <v>15000</v>
      </c>
      <c r="F4397">
        <v>129000</v>
      </c>
      <c r="G4397">
        <v>129000</v>
      </c>
      <c r="H4397">
        <v>4</v>
      </c>
      <c r="I4397" t="s">
        <v>432</v>
      </c>
      <c r="J4397">
        <v>25.5</v>
      </c>
      <c r="K4397">
        <v>3</v>
      </c>
      <c r="L4397">
        <v>5</v>
      </c>
      <c r="M4397" t="s">
        <v>6362</v>
      </c>
      <c r="N4397">
        <v>7</v>
      </c>
      <c r="O4397">
        <v>11</v>
      </c>
      <c r="P4397">
        <v>139800.48000000001</v>
      </c>
      <c r="Q4397">
        <v>77692.34</v>
      </c>
      <c r="R4397">
        <v>420</v>
      </c>
      <c r="S4397">
        <v>1071</v>
      </c>
      <c r="T4397" t="s">
        <v>34</v>
      </c>
      <c r="U4397" t="s">
        <v>31</v>
      </c>
    </row>
    <row r="4398" spans="1:21">
      <c r="A4398" t="s">
        <v>6831</v>
      </c>
      <c r="B4398" t="s">
        <v>6695</v>
      </c>
      <c r="C4398" t="s">
        <v>104</v>
      </c>
      <c r="D4398">
        <v>115000</v>
      </c>
      <c r="E4398">
        <v>5000</v>
      </c>
      <c r="F4398">
        <v>115000</v>
      </c>
      <c r="H4398">
        <v>4</v>
      </c>
      <c r="I4398" t="s">
        <v>432</v>
      </c>
      <c r="J4398">
        <v>32.9</v>
      </c>
      <c r="K4398">
        <v>59</v>
      </c>
      <c r="L4398">
        <v>5</v>
      </c>
      <c r="M4398" t="s">
        <v>6362</v>
      </c>
      <c r="N4398">
        <v>4</v>
      </c>
      <c r="O4398">
        <v>7</v>
      </c>
      <c r="P4398">
        <v>139800.48000000001</v>
      </c>
      <c r="Q4398">
        <v>77692.34</v>
      </c>
      <c r="R4398">
        <v>420</v>
      </c>
      <c r="S4398">
        <v>1071</v>
      </c>
      <c r="T4398" t="s">
        <v>26</v>
      </c>
      <c r="U4398" t="s">
        <v>57</v>
      </c>
    </row>
    <row r="4399" spans="1:21">
      <c r="A4399" t="s">
        <v>6832</v>
      </c>
      <c r="B4399" t="s">
        <v>6833</v>
      </c>
      <c r="C4399" t="s">
        <v>709</v>
      </c>
      <c r="D4399">
        <v>77000</v>
      </c>
      <c r="E4399">
        <v>6000</v>
      </c>
      <c r="F4399">
        <v>77000</v>
      </c>
      <c r="G4399">
        <v>77000</v>
      </c>
      <c r="H4399">
        <v>4</v>
      </c>
      <c r="I4399" t="s">
        <v>432</v>
      </c>
      <c r="J4399">
        <v>18.559999999999999</v>
      </c>
      <c r="K4399">
        <v>22</v>
      </c>
      <c r="L4399">
        <v>9</v>
      </c>
      <c r="M4399" t="s">
        <v>6362</v>
      </c>
      <c r="N4399">
        <v>1</v>
      </c>
      <c r="O4399">
        <v>6.33</v>
      </c>
      <c r="P4399">
        <v>139800.48000000001</v>
      </c>
      <c r="Q4399">
        <v>77692.34</v>
      </c>
      <c r="R4399">
        <v>420</v>
      </c>
      <c r="S4399">
        <v>1071</v>
      </c>
      <c r="T4399" t="s">
        <v>108</v>
      </c>
      <c r="U4399" t="s">
        <v>27</v>
      </c>
    </row>
    <row r="4400" spans="1:21">
      <c r="A4400" t="s">
        <v>6834</v>
      </c>
      <c r="B4400" t="s">
        <v>6835</v>
      </c>
      <c r="C4400" t="s">
        <v>3195</v>
      </c>
      <c r="D4400">
        <v>74000</v>
      </c>
      <c r="E4400">
        <v>10000</v>
      </c>
      <c r="F4400">
        <v>74000</v>
      </c>
      <c r="G4400">
        <v>74000</v>
      </c>
      <c r="H4400">
        <v>2</v>
      </c>
      <c r="I4400" t="s">
        <v>432</v>
      </c>
      <c r="J4400">
        <v>17.87</v>
      </c>
      <c r="K4400">
        <v>40</v>
      </c>
      <c r="L4400">
        <v>9</v>
      </c>
      <c r="M4400" t="s">
        <v>6362</v>
      </c>
      <c r="N4400">
        <v>2</v>
      </c>
      <c r="O4400">
        <v>5.67</v>
      </c>
      <c r="P4400">
        <v>139800.48000000001</v>
      </c>
      <c r="Q4400">
        <v>77692.34</v>
      </c>
      <c r="R4400">
        <v>420</v>
      </c>
      <c r="S4400">
        <v>1071</v>
      </c>
      <c r="T4400" t="s">
        <v>108</v>
      </c>
      <c r="U4400" t="s">
        <v>49</v>
      </c>
    </row>
    <row r="4401" spans="1:21">
      <c r="A4401" t="s">
        <v>6836</v>
      </c>
      <c r="B4401" t="s">
        <v>6835</v>
      </c>
      <c r="C4401" t="s">
        <v>3195</v>
      </c>
      <c r="D4401">
        <v>85000</v>
      </c>
      <c r="E4401">
        <v>3000</v>
      </c>
      <c r="F4401">
        <v>85000</v>
      </c>
      <c r="G4401">
        <v>85000</v>
      </c>
      <c r="H4401">
        <v>3</v>
      </c>
      <c r="I4401" t="s">
        <v>432</v>
      </c>
      <c r="J4401">
        <v>19.25</v>
      </c>
      <c r="K4401">
        <v>40</v>
      </c>
      <c r="L4401">
        <v>9</v>
      </c>
      <c r="M4401" t="s">
        <v>6362</v>
      </c>
      <c r="N4401">
        <v>2</v>
      </c>
      <c r="O4401">
        <v>5.67</v>
      </c>
      <c r="P4401">
        <v>139800.48000000001</v>
      </c>
      <c r="Q4401">
        <v>77692.34</v>
      </c>
      <c r="R4401">
        <v>420</v>
      </c>
      <c r="S4401">
        <v>1071</v>
      </c>
      <c r="T4401" t="s">
        <v>108</v>
      </c>
      <c r="U4401" t="s">
        <v>49</v>
      </c>
    </row>
    <row r="4402" spans="1:21">
      <c r="A4402" t="s">
        <v>6837</v>
      </c>
      <c r="B4402" t="s">
        <v>6835</v>
      </c>
      <c r="C4402" t="s">
        <v>3195</v>
      </c>
      <c r="D4402">
        <v>68000</v>
      </c>
      <c r="E4402">
        <v>4000</v>
      </c>
      <c r="F4402">
        <v>68000</v>
      </c>
      <c r="G4402">
        <v>68000</v>
      </c>
      <c r="H4402">
        <v>3</v>
      </c>
      <c r="I4402" t="s">
        <v>432</v>
      </c>
      <c r="J4402">
        <v>20.7</v>
      </c>
      <c r="K4402">
        <v>40</v>
      </c>
      <c r="L4402">
        <v>9</v>
      </c>
      <c r="M4402" t="s">
        <v>6362</v>
      </c>
      <c r="N4402">
        <v>2</v>
      </c>
      <c r="O4402">
        <v>5.67</v>
      </c>
      <c r="P4402">
        <v>139800.48000000001</v>
      </c>
      <c r="Q4402">
        <v>77692.34</v>
      </c>
      <c r="R4402">
        <v>420</v>
      </c>
      <c r="S4402">
        <v>1071</v>
      </c>
      <c r="T4402" t="s">
        <v>34</v>
      </c>
      <c r="U4402" t="s">
        <v>49</v>
      </c>
    </row>
    <row r="4403" spans="1:21">
      <c r="A4403" t="s">
        <v>6838</v>
      </c>
      <c r="B4403" t="s">
        <v>6839</v>
      </c>
      <c r="C4403" t="s">
        <v>104</v>
      </c>
      <c r="D4403">
        <v>62000</v>
      </c>
      <c r="E4403">
        <v>3000</v>
      </c>
      <c r="F4403">
        <v>62000</v>
      </c>
      <c r="H4403">
        <v>2</v>
      </c>
      <c r="I4403" t="s">
        <v>432</v>
      </c>
      <c r="J4403">
        <v>16.84</v>
      </c>
      <c r="K4403">
        <v>39</v>
      </c>
      <c r="L4403">
        <v>3</v>
      </c>
      <c r="M4403" t="s">
        <v>6362</v>
      </c>
      <c r="N4403">
        <v>3</v>
      </c>
      <c r="O4403">
        <v>6.33</v>
      </c>
      <c r="P4403">
        <v>139800.48000000001</v>
      </c>
      <c r="Q4403">
        <v>77692.34</v>
      </c>
      <c r="R4403">
        <v>420</v>
      </c>
      <c r="S4403">
        <v>1071</v>
      </c>
      <c r="T4403" t="s">
        <v>108</v>
      </c>
      <c r="U4403" t="s">
        <v>49</v>
      </c>
    </row>
    <row r="4404" spans="1:21">
      <c r="A4404" t="s">
        <v>6840</v>
      </c>
      <c r="B4404" t="s">
        <v>6841</v>
      </c>
      <c r="C4404" t="s">
        <v>104</v>
      </c>
      <c r="D4404">
        <v>62000</v>
      </c>
      <c r="E4404">
        <v>3000</v>
      </c>
      <c r="F4404">
        <v>62000</v>
      </c>
      <c r="H4404">
        <v>2</v>
      </c>
      <c r="I4404" t="s">
        <v>432</v>
      </c>
      <c r="J4404">
        <v>16.84</v>
      </c>
      <c r="K4404">
        <v>39</v>
      </c>
      <c r="L4404">
        <v>3</v>
      </c>
      <c r="M4404" t="s">
        <v>6362</v>
      </c>
      <c r="N4404">
        <v>2</v>
      </c>
      <c r="O4404">
        <v>6</v>
      </c>
      <c r="P4404">
        <v>139800.48000000001</v>
      </c>
      <c r="Q4404">
        <v>77692.34</v>
      </c>
      <c r="R4404">
        <v>420</v>
      </c>
      <c r="S4404">
        <v>1071</v>
      </c>
      <c r="T4404" t="s">
        <v>108</v>
      </c>
      <c r="U4404" t="s">
        <v>49</v>
      </c>
    </row>
    <row r="4405" spans="1:21">
      <c r="A4405" t="s">
        <v>6842</v>
      </c>
      <c r="B4405" t="s">
        <v>6843</v>
      </c>
      <c r="C4405" t="s">
        <v>3195</v>
      </c>
      <c r="D4405">
        <v>71000</v>
      </c>
      <c r="E4405">
        <v>3000</v>
      </c>
      <c r="H4405">
        <v>2</v>
      </c>
      <c r="I4405" t="s">
        <v>432</v>
      </c>
      <c r="J4405">
        <v>10.82</v>
      </c>
      <c r="K4405">
        <v>6</v>
      </c>
      <c r="L4405">
        <v>2</v>
      </c>
      <c r="M4405" t="s">
        <v>6362</v>
      </c>
      <c r="N4405">
        <v>2</v>
      </c>
      <c r="O4405">
        <v>4.33</v>
      </c>
      <c r="P4405">
        <v>139800.48000000001</v>
      </c>
      <c r="Q4405">
        <v>77692.34</v>
      </c>
      <c r="R4405">
        <v>420</v>
      </c>
      <c r="S4405">
        <v>1071</v>
      </c>
      <c r="T4405" t="s">
        <v>108</v>
      </c>
      <c r="U4405" t="s">
        <v>31</v>
      </c>
    </row>
    <row r="4406" spans="1:21">
      <c r="A4406" t="s">
        <v>6844</v>
      </c>
      <c r="B4406" t="s">
        <v>6843</v>
      </c>
      <c r="C4406" t="s">
        <v>3195</v>
      </c>
      <c r="D4406">
        <v>70000</v>
      </c>
      <c r="E4406">
        <v>3000</v>
      </c>
      <c r="H4406">
        <v>2</v>
      </c>
      <c r="I4406" t="s">
        <v>432</v>
      </c>
      <c r="J4406">
        <v>10.82</v>
      </c>
      <c r="K4406">
        <v>6</v>
      </c>
      <c r="L4406">
        <v>2</v>
      </c>
      <c r="M4406" t="s">
        <v>6362</v>
      </c>
      <c r="N4406">
        <v>2</v>
      </c>
      <c r="O4406">
        <v>4.33</v>
      </c>
      <c r="P4406">
        <v>139800.48000000001</v>
      </c>
      <c r="Q4406">
        <v>77692.34</v>
      </c>
      <c r="R4406">
        <v>420</v>
      </c>
      <c r="S4406">
        <v>1071</v>
      </c>
      <c r="T4406" t="s">
        <v>108</v>
      </c>
      <c r="U4406" t="s">
        <v>31</v>
      </c>
    </row>
    <row r="4407" spans="1:21">
      <c r="A4407" t="s">
        <v>6845</v>
      </c>
      <c r="B4407" t="s">
        <v>6846</v>
      </c>
      <c r="C4407" t="s">
        <v>3195</v>
      </c>
      <c r="D4407">
        <v>67000</v>
      </c>
      <c r="E4407">
        <v>3000</v>
      </c>
      <c r="G4407">
        <v>67000</v>
      </c>
      <c r="H4407">
        <v>1</v>
      </c>
      <c r="I4407" t="s">
        <v>432</v>
      </c>
      <c r="J4407">
        <v>11.53</v>
      </c>
      <c r="K4407">
        <v>17</v>
      </c>
      <c r="L4407">
        <v>2</v>
      </c>
      <c r="M4407" t="s">
        <v>6362</v>
      </c>
      <c r="N4407">
        <v>5</v>
      </c>
      <c r="O4407">
        <v>7.67</v>
      </c>
      <c r="P4407">
        <v>139800.48000000001</v>
      </c>
      <c r="Q4407">
        <v>77692.34</v>
      </c>
      <c r="R4407">
        <v>420</v>
      </c>
      <c r="S4407">
        <v>1071</v>
      </c>
      <c r="T4407" t="s">
        <v>108</v>
      </c>
      <c r="U4407" t="s">
        <v>90</v>
      </c>
    </row>
    <row r="4408" spans="1:21">
      <c r="A4408" t="s">
        <v>6847</v>
      </c>
      <c r="B4408" t="s">
        <v>6848</v>
      </c>
      <c r="C4408" t="s">
        <v>1890</v>
      </c>
      <c r="D4408">
        <v>65000</v>
      </c>
      <c r="E4408">
        <v>3000</v>
      </c>
      <c r="H4408">
        <v>2</v>
      </c>
      <c r="I4408" t="s">
        <v>432</v>
      </c>
      <c r="J4408">
        <v>10.199999999999999</v>
      </c>
      <c r="K4408">
        <v>11</v>
      </c>
      <c r="L4408">
        <v>2</v>
      </c>
      <c r="M4408" t="s">
        <v>6362</v>
      </c>
      <c r="N4408">
        <v>13</v>
      </c>
      <c r="O4408">
        <v>14</v>
      </c>
      <c r="P4408">
        <v>139800.48000000001</v>
      </c>
      <c r="Q4408">
        <v>77692.34</v>
      </c>
      <c r="R4408">
        <v>420</v>
      </c>
      <c r="S4408">
        <v>1071</v>
      </c>
      <c r="T4408" t="s">
        <v>108</v>
      </c>
      <c r="U4408" t="s">
        <v>90</v>
      </c>
    </row>
    <row r="4409" spans="1:21">
      <c r="A4409" t="s">
        <v>6849</v>
      </c>
      <c r="B4409" t="s">
        <v>6850</v>
      </c>
      <c r="C4409" t="s">
        <v>3025</v>
      </c>
      <c r="D4409">
        <v>71000</v>
      </c>
      <c r="E4409">
        <v>4000</v>
      </c>
      <c r="G4409">
        <v>71000</v>
      </c>
      <c r="H4409">
        <v>2</v>
      </c>
      <c r="I4409" t="s">
        <v>432</v>
      </c>
      <c r="J4409">
        <v>12.01</v>
      </c>
      <c r="K4409">
        <v>11</v>
      </c>
      <c r="L4409">
        <v>2</v>
      </c>
      <c r="M4409" t="s">
        <v>6362</v>
      </c>
      <c r="N4409">
        <v>6</v>
      </c>
      <c r="O4409">
        <v>8.67</v>
      </c>
      <c r="P4409">
        <v>139800.48000000001</v>
      </c>
      <c r="Q4409">
        <v>77692.34</v>
      </c>
      <c r="R4409">
        <v>420</v>
      </c>
      <c r="S4409">
        <v>1071</v>
      </c>
      <c r="T4409" t="s">
        <v>108</v>
      </c>
      <c r="U4409" t="s">
        <v>90</v>
      </c>
    </row>
    <row r="4410" spans="1:21">
      <c r="A4410" t="s">
        <v>6851</v>
      </c>
      <c r="B4410" t="s">
        <v>6852</v>
      </c>
      <c r="C4410" t="s">
        <v>3195</v>
      </c>
      <c r="D4410">
        <v>65000</v>
      </c>
      <c r="E4410">
        <v>5000</v>
      </c>
      <c r="H4410">
        <v>2</v>
      </c>
      <c r="I4410" t="s">
        <v>432</v>
      </c>
      <c r="J4410">
        <v>16.010000000000002</v>
      </c>
      <c r="K4410">
        <v>14</v>
      </c>
      <c r="L4410">
        <v>2</v>
      </c>
      <c r="M4410" t="s">
        <v>6362</v>
      </c>
      <c r="N4410">
        <v>3</v>
      </c>
      <c r="O4410">
        <v>10</v>
      </c>
      <c r="P4410">
        <v>139800.48000000001</v>
      </c>
      <c r="Q4410">
        <v>77692.34</v>
      </c>
      <c r="R4410">
        <v>420</v>
      </c>
      <c r="S4410">
        <v>1071</v>
      </c>
      <c r="T4410" t="s">
        <v>108</v>
      </c>
      <c r="U4410" t="s">
        <v>90</v>
      </c>
    </row>
    <row r="4411" spans="1:21">
      <c r="A4411" t="s">
        <v>6853</v>
      </c>
      <c r="B4411" t="s">
        <v>6854</v>
      </c>
      <c r="C4411" t="s">
        <v>1890</v>
      </c>
      <c r="D4411">
        <v>51000</v>
      </c>
      <c r="E4411">
        <v>4000</v>
      </c>
      <c r="H4411">
        <v>1</v>
      </c>
      <c r="I4411" t="s">
        <v>432</v>
      </c>
      <c r="J4411">
        <v>12</v>
      </c>
      <c r="K4411">
        <v>15</v>
      </c>
      <c r="L4411">
        <v>2</v>
      </c>
      <c r="M4411" t="s">
        <v>6362</v>
      </c>
      <c r="N4411">
        <v>7</v>
      </c>
      <c r="O4411">
        <v>9.33</v>
      </c>
      <c r="P4411">
        <v>139800.48000000001</v>
      </c>
      <c r="Q4411">
        <v>77692.34</v>
      </c>
      <c r="R4411">
        <v>420</v>
      </c>
      <c r="S4411">
        <v>1071</v>
      </c>
      <c r="T4411" t="s">
        <v>108</v>
      </c>
      <c r="U4411" t="s">
        <v>90</v>
      </c>
    </row>
    <row r="4412" spans="1:21">
      <c r="A4412" t="s">
        <v>6855</v>
      </c>
      <c r="B4412" t="s">
        <v>3934</v>
      </c>
      <c r="C4412" t="s">
        <v>3059</v>
      </c>
      <c r="D4412">
        <v>79000</v>
      </c>
      <c r="E4412">
        <v>10000</v>
      </c>
      <c r="F4412">
        <v>79000</v>
      </c>
      <c r="G4412">
        <v>79000</v>
      </c>
      <c r="H4412">
        <v>1</v>
      </c>
      <c r="I4412" t="s">
        <v>432</v>
      </c>
      <c r="J4412">
        <v>15.29</v>
      </c>
      <c r="K4412">
        <v>2</v>
      </c>
      <c r="L4412">
        <v>3</v>
      </c>
      <c r="M4412" t="s">
        <v>6362</v>
      </c>
      <c r="N4412">
        <v>3</v>
      </c>
      <c r="O4412">
        <v>7</v>
      </c>
      <c r="P4412">
        <v>139800.48000000001</v>
      </c>
      <c r="Q4412">
        <v>77692.34</v>
      </c>
      <c r="R4412">
        <v>420</v>
      </c>
      <c r="S4412">
        <v>1071</v>
      </c>
      <c r="T4412" t="s">
        <v>108</v>
      </c>
      <c r="U4412" t="s">
        <v>31</v>
      </c>
    </row>
    <row r="4413" spans="1:21">
      <c r="A4413" t="s">
        <v>6856</v>
      </c>
      <c r="B4413" t="s">
        <v>6857</v>
      </c>
      <c r="C4413" t="s">
        <v>3195</v>
      </c>
      <c r="D4413">
        <v>90000</v>
      </c>
      <c r="F4413">
        <v>90000</v>
      </c>
      <c r="H4413">
        <v>1</v>
      </c>
      <c r="I4413" t="s">
        <v>432</v>
      </c>
      <c r="J4413">
        <v>22.17</v>
      </c>
      <c r="K4413">
        <v>20</v>
      </c>
      <c r="L4413">
        <v>4</v>
      </c>
      <c r="M4413" t="s">
        <v>6362</v>
      </c>
      <c r="N4413">
        <v>3</v>
      </c>
      <c r="O4413">
        <v>10</v>
      </c>
      <c r="P4413">
        <v>139800.48000000001</v>
      </c>
      <c r="Q4413">
        <v>77692.34</v>
      </c>
      <c r="R4413">
        <v>420</v>
      </c>
      <c r="S4413">
        <v>1071</v>
      </c>
      <c r="T4413" t="s">
        <v>34</v>
      </c>
      <c r="U4413" t="s">
        <v>90</v>
      </c>
    </row>
    <row r="4414" spans="1:21">
      <c r="A4414" t="s">
        <v>6858</v>
      </c>
      <c r="B4414" t="s">
        <v>6859</v>
      </c>
      <c r="C4414" t="s">
        <v>709</v>
      </c>
      <c r="D4414">
        <v>180000</v>
      </c>
      <c r="E4414">
        <v>5000</v>
      </c>
      <c r="H4414">
        <v>4</v>
      </c>
      <c r="I4414" t="s">
        <v>555</v>
      </c>
      <c r="J4414">
        <v>40.58</v>
      </c>
      <c r="K4414">
        <v>6</v>
      </c>
      <c r="L4414">
        <v>5</v>
      </c>
      <c r="M4414" t="s">
        <v>6362</v>
      </c>
      <c r="N4414">
        <v>2</v>
      </c>
      <c r="O4414">
        <v>5.67</v>
      </c>
      <c r="P4414">
        <v>139800.48000000001</v>
      </c>
      <c r="Q4414">
        <v>207063.41</v>
      </c>
      <c r="R4414">
        <v>420</v>
      </c>
      <c r="S4414">
        <v>41</v>
      </c>
      <c r="T4414" t="s">
        <v>326</v>
      </c>
      <c r="U4414" t="s">
        <v>31</v>
      </c>
    </row>
    <row r="4415" spans="1:21">
      <c r="A4415" t="s">
        <v>6860</v>
      </c>
      <c r="B4415" t="s">
        <v>6641</v>
      </c>
      <c r="C4415" t="s">
        <v>3195</v>
      </c>
      <c r="D4415">
        <v>193000</v>
      </c>
      <c r="E4415">
        <v>10000</v>
      </c>
      <c r="F4415">
        <v>193000</v>
      </c>
      <c r="G4415">
        <v>193000</v>
      </c>
      <c r="H4415">
        <v>3</v>
      </c>
      <c r="I4415" t="s">
        <v>555</v>
      </c>
      <c r="J4415">
        <v>51.35</v>
      </c>
      <c r="K4415">
        <v>8</v>
      </c>
      <c r="L4415">
        <v>10</v>
      </c>
      <c r="M4415" t="s">
        <v>6362</v>
      </c>
      <c r="N4415">
        <v>1</v>
      </c>
      <c r="O4415">
        <v>5.33</v>
      </c>
      <c r="P4415">
        <v>139800.48000000001</v>
      </c>
      <c r="Q4415">
        <v>207063.41</v>
      </c>
      <c r="R4415">
        <v>420</v>
      </c>
      <c r="S4415">
        <v>41</v>
      </c>
      <c r="T4415" t="s">
        <v>332</v>
      </c>
      <c r="U4415" t="s">
        <v>31</v>
      </c>
    </row>
    <row r="4416" spans="1:21">
      <c r="A4416" t="s">
        <v>6861</v>
      </c>
      <c r="B4416" t="s">
        <v>6862</v>
      </c>
      <c r="C4416" t="s">
        <v>709</v>
      </c>
      <c r="D4416">
        <v>180000</v>
      </c>
      <c r="E4416">
        <v>5000</v>
      </c>
      <c r="H4416">
        <v>5</v>
      </c>
      <c r="I4416" t="s">
        <v>555</v>
      </c>
      <c r="J4416">
        <v>40.58</v>
      </c>
      <c r="K4416">
        <v>6</v>
      </c>
      <c r="L4416">
        <v>5</v>
      </c>
      <c r="M4416" t="s">
        <v>6362</v>
      </c>
      <c r="N4416">
        <v>2</v>
      </c>
      <c r="O4416">
        <v>5.67</v>
      </c>
      <c r="P4416">
        <v>139800.48000000001</v>
      </c>
      <c r="Q4416">
        <v>207063.41</v>
      </c>
      <c r="R4416">
        <v>420</v>
      </c>
      <c r="S4416">
        <v>41</v>
      </c>
      <c r="T4416" t="s">
        <v>326</v>
      </c>
      <c r="U4416" t="s">
        <v>31</v>
      </c>
    </row>
    <row r="4417" spans="1:21">
      <c r="A4417" t="s">
        <v>6863</v>
      </c>
      <c r="B4417" t="s">
        <v>6864</v>
      </c>
      <c r="C4417" t="s">
        <v>709</v>
      </c>
      <c r="D4417">
        <v>195799.99999999901</v>
      </c>
      <c r="E4417">
        <v>13000</v>
      </c>
      <c r="F4417">
        <v>195799.99999999901</v>
      </c>
      <c r="G4417">
        <v>195799.99999999901</v>
      </c>
      <c r="H4417">
        <v>11</v>
      </c>
      <c r="I4417" t="s">
        <v>555</v>
      </c>
      <c r="J4417">
        <v>45.07</v>
      </c>
      <c r="K4417">
        <v>20</v>
      </c>
      <c r="L4417">
        <v>16</v>
      </c>
      <c r="M4417" t="s">
        <v>6362</v>
      </c>
      <c r="N4417">
        <v>2</v>
      </c>
      <c r="O4417">
        <v>5.67</v>
      </c>
      <c r="P4417">
        <v>139800.48000000001</v>
      </c>
      <c r="Q4417">
        <v>207063.41</v>
      </c>
      <c r="R4417">
        <v>420</v>
      </c>
      <c r="S4417">
        <v>41</v>
      </c>
      <c r="T4417" t="s">
        <v>326</v>
      </c>
      <c r="U4417" t="s">
        <v>90</v>
      </c>
    </row>
    <row r="4418" spans="1:21">
      <c r="A4418" t="s">
        <v>6865</v>
      </c>
      <c r="B4418" t="s">
        <v>6864</v>
      </c>
      <c r="C4418" t="s">
        <v>709</v>
      </c>
      <c r="D4418">
        <v>154000</v>
      </c>
      <c r="E4418">
        <v>12000</v>
      </c>
      <c r="F4418">
        <v>154000</v>
      </c>
      <c r="G4418">
        <v>154000</v>
      </c>
      <c r="H4418">
        <v>5</v>
      </c>
      <c r="I4418" t="s">
        <v>555</v>
      </c>
      <c r="J4418">
        <v>40.340000000000003</v>
      </c>
      <c r="K4418">
        <v>20</v>
      </c>
      <c r="L4418">
        <v>16</v>
      </c>
      <c r="M4418" t="s">
        <v>6362</v>
      </c>
      <c r="N4418">
        <v>2</v>
      </c>
      <c r="O4418">
        <v>5.67</v>
      </c>
      <c r="P4418">
        <v>139800.48000000001</v>
      </c>
      <c r="Q4418">
        <v>207063.41</v>
      </c>
      <c r="R4418">
        <v>420</v>
      </c>
      <c r="S4418">
        <v>41</v>
      </c>
      <c r="T4418" t="s">
        <v>326</v>
      </c>
      <c r="U4418" t="s">
        <v>90</v>
      </c>
    </row>
    <row r="4419" spans="1:21">
      <c r="A4419" t="s">
        <v>6866</v>
      </c>
      <c r="B4419" t="s">
        <v>6867</v>
      </c>
      <c r="C4419" t="s">
        <v>709</v>
      </c>
      <c r="D4419">
        <v>195799.99999999901</v>
      </c>
      <c r="E4419">
        <v>13000</v>
      </c>
      <c r="F4419">
        <v>195799.99999999901</v>
      </c>
      <c r="G4419">
        <v>195799.99999999901</v>
      </c>
      <c r="H4419">
        <v>11</v>
      </c>
      <c r="I4419" t="s">
        <v>555</v>
      </c>
      <c r="J4419">
        <v>45.07</v>
      </c>
      <c r="K4419">
        <v>20</v>
      </c>
      <c r="L4419">
        <v>16</v>
      </c>
      <c r="M4419" t="s">
        <v>6362</v>
      </c>
      <c r="N4419">
        <v>2</v>
      </c>
      <c r="O4419">
        <v>6</v>
      </c>
      <c r="P4419">
        <v>139800.48000000001</v>
      </c>
      <c r="Q4419">
        <v>207063.41</v>
      </c>
      <c r="R4419">
        <v>420</v>
      </c>
      <c r="S4419">
        <v>41</v>
      </c>
      <c r="T4419" t="s">
        <v>326</v>
      </c>
      <c r="U4419" t="s">
        <v>90</v>
      </c>
    </row>
    <row r="4420" spans="1:21">
      <c r="A4420" t="s">
        <v>6868</v>
      </c>
      <c r="B4420" t="s">
        <v>6867</v>
      </c>
      <c r="C4420" t="s">
        <v>709</v>
      </c>
      <c r="D4420">
        <v>154000</v>
      </c>
      <c r="E4420">
        <v>12000</v>
      </c>
      <c r="F4420">
        <v>154000</v>
      </c>
      <c r="G4420">
        <v>154000</v>
      </c>
      <c r="H4420">
        <v>5</v>
      </c>
      <c r="I4420" t="s">
        <v>555</v>
      </c>
      <c r="J4420">
        <v>40.340000000000003</v>
      </c>
      <c r="K4420">
        <v>20</v>
      </c>
      <c r="L4420">
        <v>16</v>
      </c>
      <c r="M4420" t="s">
        <v>6362</v>
      </c>
      <c r="N4420">
        <v>2</v>
      </c>
      <c r="O4420">
        <v>6</v>
      </c>
      <c r="P4420">
        <v>139800.48000000001</v>
      </c>
      <c r="Q4420">
        <v>207063.41</v>
      </c>
      <c r="R4420">
        <v>420</v>
      </c>
      <c r="S4420">
        <v>41</v>
      </c>
      <c r="T4420" t="s">
        <v>326</v>
      </c>
      <c r="U4420" t="s">
        <v>90</v>
      </c>
    </row>
    <row r="4421" spans="1:21">
      <c r="A4421" t="s">
        <v>6869</v>
      </c>
      <c r="B4421" t="s">
        <v>6870</v>
      </c>
      <c r="C4421" t="s">
        <v>709</v>
      </c>
      <c r="D4421">
        <v>180000</v>
      </c>
      <c r="E4421">
        <v>5000</v>
      </c>
      <c r="H4421">
        <v>4</v>
      </c>
      <c r="I4421" t="s">
        <v>555</v>
      </c>
      <c r="J4421">
        <v>40.58</v>
      </c>
      <c r="K4421">
        <v>6</v>
      </c>
      <c r="L4421">
        <v>6</v>
      </c>
      <c r="M4421" t="s">
        <v>6362</v>
      </c>
      <c r="N4421">
        <v>1</v>
      </c>
      <c r="O4421">
        <v>5</v>
      </c>
      <c r="P4421">
        <v>139800.48000000001</v>
      </c>
      <c r="Q4421">
        <v>207063.41</v>
      </c>
      <c r="R4421">
        <v>420</v>
      </c>
      <c r="S4421">
        <v>41</v>
      </c>
      <c r="T4421" t="s">
        <v>326</v>
      </c>
      <c r="U4421" t="s">
        <v>31</v>
      </c>
    </row>
    <row r="4422" spans="1:21">
      <c r="A4422" t="s">
        <v>6871</v>
      </c>
      <c r="B4422" t="s">
        <v>6872</v>
      </c>
      <c r="C4422" t="s">
        <v>3059</v>
      </c>
      <c r="D4422">
        <v>124000</v>
      </c>
      <c r="E4422">
        <v>6000</v>
      </c>
      <c r="F4422">
        <v>124000</v>
      </c>
      <c r="G4422">
        <v>124000</v>
      </c>
      <c r="H4422">
        <v>5</v>
      </c>
      <c r="I4422" t="s">
        <v>559</v>
      </c>
      <c r="J4422">
        <v>36.799999999999997</v>
      </c>
      <c r="K4422">
        <v>36</v>
      </c>
      <c r="L4422">
        <v>8</v>
      </c>
      <c r="M4422" t="s">
        <v>6362</v>
      </c>
      <c r="N4422">
        <v>1</v>
      </c>
      <c r="O4422">
        <v>8.33</v>
      </c>
      <c r="P4422">
        <v>139800.48000000001</v>
      </c>
      <c r="Q4422">
        <v>141491.45000000001</v>
      </c>
      <c r="R4422">
        <v>420</v>
      </c>
      <c r="S4422">
        <v>117</v>
      </c>
      <c r="T4422" t="s">
        <v>26</v>
      </c>
      <c r="U4422" t="s">
        <v>49</v>
      </c>
    </row>
    <row r="4423" spans="1:21">
      <c r="A4423" t="s">
        <v>6873</v>
      </c>
      <c r="B4423" t="s">
        <v>6364</v>
      </c>
      <c r="C4423" t="s">
        <v>1294</v>
      </c>
      <c r="D4423">
        <v>160000</v>
      </c>
      <c r="E4423">
        <v>5000</v>
      </c>
      <c r="F4423">
        <v>160000</v>
      </c>
      <c r="G4423">
        <v>160000</v>
      </c>
      <c r="H4423">
        <v>3</v>
      </c>
      <c r="I4423" t="s">
        <v>559</v>
      </c>
      <c r="J4423">
        <v>44.56</v>
      </c>
      <c r="K4423">
        <v>31</v>
      </c>
      <c r="L4423">
        <v>4</v>
      </c>
      <c r="M4423" t="s">
        <v>6362</v>
      </c>
      <c r="N4423">
        <v>9</v>
      </c>
      <c r="O4423">
        <v>11</v>
      </c>
      <c r="P4423">
        <v>139800.48000000001</v>
      </c>
      <c r="Q4423">
        <v>141491.45000000001</v>
      </c>
      <c r="R4423">
        <v>420</v>
      </c>
      <c r="S4423">
        <v>117</v>
      </c>
      <c r="T4423" t="s">
        <v>326</v>
      </c>
      <c r="U4423" t="s">
        <v>49</v>
      </c>
    </row>
    <row r="4424" spans="1:21">
      <c r="A4424" t="s">
        <v>6874</v>
      </c>
      <c r="B4424" t="s">
        <v>6875</v>
      </c>
      <c r="C4424" t="s">
        <v>3059</v>
      </c>
      <c r="D4424">
        <v>125000</v>
      </c>
      <c r="G4424">
        <v>125000</v>
      </c>
      <c r="H4424">
        <v>8</v>
      </c>
      <c r="I4424" t="s">
        <v>559</v>
      </c>
      <c r="J4424">
        <v>27.79</v>
      </c>
      <c r="K4424">
        <v>60</v>
      </c>
      <c r="L4424">
        <v>8</v>
      </c>
      <c r="M4424" t="s">
        <v>6362</v>
      </c>
      <c r="N4424">
        <v>4</v>
      </c>
      <c r="O4424">
        <v>10</v>
      </c>
      <c r="P4424">
        <v>139800.48000000001</v>
      </c>
      <c r="Q4424">
        <v>141491.45000000001</v>
      </c>
      <c r="R4424">
        <v>420</v>
      </c>
      <c r="S4424">
        <v>117</v>
      </c>
      <c r="T4424" t="s">
        <v>34</v>
      </c>
      <c r="U4424" t="s">
        <v>57</v>
      </c>
    </row>
    <row r="4425" spans="1:21">
      <c r="A4425" t="s">
        <v>6876</v>
      </c>
      <c r="B4425" t="s">
        <v>6877</v>
      </c>
      <c r="C4425" t="s">
        <v>709</v>
      </c>
      <c r="D4425">
        <v>130000</v>
      </c>
      <c r="F4425">
        <v>130000</v>
      </c>
      <c r="G4425">
        <v>130000</v>
      </c>
      <c r="H4425">
        <v>2</v>
      </c>
      <c r="I4425" t="s">
        <v>559</v>
      </c>
      <c r="J4425">
        <v>38</v>
      </c>
      <c r="K4425">
        <v>47</v>
      </c>
      <c r="L4425">
        <v>4</v>
      </c>
      <c r="M4425" t="s">
        <v>6362</v>
      </c>
      <c r="N4425">
        <v>4</v>
      </c>
      <c r="O4425">
        <v>8</v>
      </c>
      <c r="P4425">
        <v>139800.48000000001</v>
      </c>
      <c r="Q4425">
        <v>141491.45000000001</v>
      </c>
      <c r="R4425">
        <v>420</v>
      </c>
      <c r="S4425">
        <v>117</v>
      </c>
      <c r="T4425" t="s">
        <v>26</v>
      </c>
      <c r="U4425" t="s">
        <v>42</v>
      </c>
    </row>
    <row r="4426" spans="1:21">
      <c r="A4426" t="s">
        <v>6878</v>
      </c>
      <c r="B4426" t="s">
        <v>6879</v>
      </c>
      <c r="C4426" t="s">
        <v>709</v>
      </c>
      <c r="D4426">
        <v>130000</v>
      </c>
      <c r="F4426">
        <v>130000</v>
      </c>
      <c r="G4426">
        <v>130000</v>
      </c>
      <c r="H4426">
        <v>2</v>
      </c>
      <c r="I4426" t="s">
        <v>559</v>
      </c>
      <c r="J4426">
        <v>36</v>
      </c>
      <c r="K4426">
        <v>47</v>
      </c>
      <c r="L4426">
        <v>4</v>
      </c>
      <c r="M4426" t="s">
        <v>6362</v>
      </c>
      <c r="N4426">
        <v>1</v>
      </c>
      <c r="O4426">
        <v>5</v>
      </c>
      <c r="P4426">
        <v>139800.48000000001</v>
      </c>
      <c r="Q4426">
        <v>141491.45000000001</v>
      </c>
      <c r="R4426">
        <v>420</v>
      </c>
      <c r="S4426">
        <v>117</v>
      </c>
      <c r="T4426" t="s">
        <v>26</v>
      </c>
      <c r="U4426" t="s">
        <v>42</v>
      </c>
    </row>
    <row r="4427" spans="1:21">
      <c r="A4427" t="s">
        <v>6880</v>
      </c>
      <c r="B4427" t="s">
        <v>6879</v>
      </c>
      <c r="C4427" t="s">
        <v>709</v>
      </c>
      <c r="D4427">
        <v>130000</v>
      </c>
      <c r="F4427">
        <v>130000</v>
      </c>
      <c r="G4427">
        <v>130000</v>
      </c>
      <c r="H4427">
        <v>2</v>
      </c>
      <c r="I4427" t="s">
        <v>559</v>
      </c>
      <c r="J4427">
        <v>38</v>
      </c>
      <c r="K4427">
        <v>47</v>
      </c>
      <c r="L4427">
        <v>4</v>
      </c>
      <c r="M4427" t="s">
        <v>6362</v>
      </c>
      <c r="N4427">
        <v>1</v>
      </c>
      <c r="O4427">
        <v>5.67</v>
      </c>
      <c r="P4427">
        <v>139800.48000000001</v>
      </c>
      <c r="Q4427">
        <v>141491.45000000001</v>
      </c>
      <c r="R4427">
        <v>420</v>
      </c>
      <c r="S4427">
        <v>117</v>
      </c>
      <c r="T4427" t="s">
        <v>26</v>
      </c>
      <c r="U4427" t="s">
        <v>42</v>
      </c>
    </row>
    <row r="4428" spans="1:21">
      <c r="A4428" t="s">
        <v>6881</v>
      </c>
      <c r="B4428" t="s">
        <v>6882</v>
      </c>
      <c r="C4428" t="s">
        <v>3059</v>
      </c>
      <c r="D4428">
        <v>110000</v>
      </c>
      <c r="F4428">
        <v>110000</v>
      </c>
      <c r="G4428">
        <v>110000</v>
      </c>
      <c r="H4428">
        <v>8</v>
      </c>
      <c r="I4428" t="s">
        <v>559</v>
      </c>
      <c r="J4428">
        <v>45</v>
      </c>
      <c r="K4428">
        <v>58</v>
      </c>
      <c r="L4428">
        <v>12</v>
      </c>
      <c r="M4428" t="s">
        <v>6362</v>
      </c>
      <c r="N4428">
        <v>3</v>
      </c>
      <c r="O4428">
        <v>5.33</v>
      </c>
      <c r="P4428">
        <v>139800.48000000001</v>
      </c>
      <c r="Q4428">
        <v>141491.45000000001</v>
      </c>
      <c r="R4428">
        <v>420</v>
      </c>
      <c r="S4428">
        <v>117</v>
      </c>
      <c r="T4428" t="s">
        <v>326</v>
      </c>
      <c r="U4428" t="s">
        <v>57</v>
      </c>
    </row>
    <row r="4429" spans="1:21">
      <c r="A4429" t="s">
        <v>6883</v>
      </c>
      <c r="B4429" t="s">
        <v>6395</v>
      </c>
      <c r="C4429" t="s">
        <v>1294</v>
      </c>
      <c r="D4429">
        <v>160000</v>
      </c>
      <c r="E4429">
        <v>5000</v>
      </c>
      <c r="F4429">
        <v>160000</v>
      </c>
      <c r="G4429">
        <v>160000</v>
      </c>
      <c r="H4429">
        <v>3</v>
      </c>
      <c r="I4429" t="s">
        <v>559</v>
      </c>
      <c r="J4429">
        <v>44</v>
      </c>
      <c r="K4429">
        <v>31</v>
      </c>
      <c r="L4429">
        <v>4</v>
      </c>
      <c r="M4429" t="s">
        <v>6362</v>
      </c>
      <c r="N4429">
        <v>9</v>
      </c>
      <c r="O4429">
        <v>11</v>
      </c>
      <c r="P4429">
        <v>139800.48000000001</v>
      </c>
      <c r="Q4429">
        <v>141491.45000000001</v>
      </c>
      <c r="R4429">
        <v>420</v>
      </c>
      <c r="S4429">
        <v>117</v>
      </c>
      <c r="T4429" t="s">
        <v>326</v>
      </c>
      <c r="U4429" t="s">
        <v>49</v>
      </c>
    </row>
    <row r="4430" spans="1:21">
      <c r="A4430" t="s">
        <v>6884</v>
      </c>
      <c r="B4430" t="s">
        <v>6885</v>
      </c>
      <c r="C4430" t="s">
        <v>3059</v>
      </c>
      <c r="D4430">
        <v>124000</v>
      </c>
      <c r="E4430">
        <v>6000</v>
      </c>
      <c r="F4430">
        <v>124000</v>
      </c>
      <c r="G4430">
        <v>124000</v>
      </c>
      <c r="H4430">
        <v>5</v>
      </c>
      <c r="I4430" t="s">
        <v>559</v>
      </c>
      <c r="J4430">
        <v>36.799999999999997</v>
      </c>
      <c r="K4430">
        <v>36</v>
      </c>
      <c r="L4430">
        <v>8</v>
      </c>
      <c r="M4430" t="s">
        <v>6362</v>
      </c>
      <c r="N4430">
        <v>1</v>
      </c>
      <c r="O4430">
        <v>8.33</v>
      </c>
      <c r="P4430">
        <v>139800.48000000001</v>
      </c>
      <c r="Q4430">
        <v>141491.45000000001</v>
      </c>
      <c r="R4430">
        <v>420</v>
      </c>
      <c r="S4430">
        <v>117</v>
      </c>
      <c r="T4430" t="s">
        <v>26</v>
      </c>
      <c r="U4430" t="s">
        <v>49</v>
      </c>
    </row>
    <row r="4431" spans="1:21">
      <c r="A4431" t="s">
        <v>6886</v>
      </c>
      <c r="B4431" t="s">
        <v>6887</v>
      </c>
      <c r="C4431" t="s">
        <v>3025</v>
      </c>
      <c r="D4431">
        <v>135000</v>
      </c>
      <c r="E4431">
        <v>10000</v>
      </c>
      <c r="G4431">
        <v>135000</v>
      </c>
      <c r="H4431">
        <v>2</v>
      </c>
      <c r="I4431" t="s">
        <v>573</v>
      </c>
      <c r="J4431">
        <v>26.16</v>
      </c>
      <c r="K4431">
        <v>2</v>
      </c>
      <c r="L4431">
        <v>5</v>
      </c>
      <c r="M4431" t="s">
        <v>6362</v>
      </c>
      <c r="N4431">
        <v>8</v>
      </c>
      <c r="O4431">
        <v>10.33</v>
      </c>
      <c r="P4431">
        <v>139800.48000000001</v>
      </c>
      <c r="Q4431">
        <v>117441.44</v>
      </c>
      <c r="R4431">
        <v>420</v>
      </c>
      <c r="S4431">
        <v>111</v>
      </c>
      <c r="T4431" t="s">
        <v>34</v>
      </c>
      <c r="U4431" t="s">
        <v>31</v>
      </c>
    </row>
    <row r="4432" spans="1:21">
      <c r="A4432" t="s">
        <v>6888</v>
      </c>
      <c r="B4432" t="s">
        <v>6617</v>
      </c>
      <c r="C4432" t="s">
        <v>1890</v>
      </c>
      <c r="D4432">
        <v>140000</v>
      </c>
      <c r="E4432">
        <v>10000</v>
      </c>
      <c r="F4432">
        <v>140000</v>
      </c>
      <c r="H4432">
        <v>1</v>
      </c>
      <c r="I4432" t="s">
        <v>573</v>
      </c>
      <c r="J4432">
        <v>25.37</v>
      </c>
      <c r="K4432">
        <v>0</v>
      </c>
      <c r="L4432">
        <v>4</v>
      </c>
      <c r="M4432" t="s">
        <v>6362</v>
      </c>
      <c r="N4432">
        <v>9</v>
      </c>
      <c r="O4432">
        <v>9.67</v>
      </c>
      <c r="P4432">
        <v>139800.48000000001</v>
      </c>
      <c r="Q4432">
        <v>117441.44</v>
      </c>
      <c r="R4432">
        <v>420</v>
      </c>
      <c r="S4432">
        <v>111</v>
      </c>
      <c r="T4432" t="s">
        <v>34</v>
      </c>
      <c r="U4432" t="s">
        <v>81</v>
      </c>
    </row>
    <row r="4433" spans="1:21">
      <c r="A4433" t="s">
        <v>6889</v>
      </c>
      <c r="B4433" t="s">
        <v>6617</v>
      </c>
      <c r="C4433" t="s">
        <v>1890</v>
      </c>
      <c r="D4433">
        <v>142000</v>
      </c>
      <c r="E4433">
        <v>10000</v>
      </c>
      <c r="F4433">
        <v>142000</v>
      </c>
      <c r="H4433">
        <v>1</v>
      </c>
      <c r="I4433" t="s">
        <v>573</v>
      </c>
      <c r="J4433">
        <v>25.68</v>
      </c>
      <c r="K4433">
        <v>0</v>
      </c>
      <c r="L4433">
        <v>4</v>
      </c>
      <c r="M4433" t="s">
        <v>6362</v>
      </c>
      <c r="N4433">
        <v>9</v>
      </c>
      <c r="O4433">
        <v>9.67</v>
      </c>
      <c r="P4433">
        <v>139800.48000000001</v>
      </c>
      <c r="Q4433">
        <v>117441.44</v>
      </c>
      <c r="R4433">
        <v>420</v>
      </c>
      <c r="S4433">
        <v>111</v>
      </c>
      <c r="T4433" t="s">
        <v>34</v>
      </c>
      <c r="U4433" t="s">
        <v>81</v>
      </c>
    </row>
    <row r="4434" spans="1:21">
      <c r="A4434" t="s">
        <v>6890</v>
      </c>
      <c r="B4434" t="s">
        <v>6617</v>
      </c>
      <c r="C4434" t="s">
        <v>1890</v>
      </c>
      <c r="D4434">
        <v>143000</v>
      </c>
      <c r="E4434">
        <v>10000</v>
      </c>
      <c r="F4434">
        <v>143000</v>
      </c>
      <c r="H4434">
        <v>1</v>
      </c>
      <c r="I4434" t="s">
        <v>573</v>
      </c>
      <c r="J4434">
        <v>25.68</v>
      </c>
      <c r="K4434">
        <v>0</v>
      </c>
      <c r="L4434">
        <v>4</v>
      </c>
      <c r="M4434" t="s">
        <v>6362</v>
      </c>
      <c r="N4434">
        <v>9</v>
      </c>
      <c r="O4434">
        <v>9.67</v>
      </c>
      <c r="P4434">
        <v>139800.48000000001</v>
      </c>
      <c r="Q4434">
        <v>117441.44</v>
      </c>
      <c r="R4434">
        <v>420</v>
      </c>
      <c r="S4434">
        <v>111</v>
      </c>
      <c r="T4434" t="s">
        <v>34</v>
      </c>
      <c r="U4434" t="s">
        <v>81</v>
      </c>
    </row>
    <row r="4435" spans="1:21">
      <c r="A4435" t="s">
        <v>6891</v>
      </c>
      <c r="B4435" t="s">
        <v>6617</v>
      </c>
      <c r="C4435" t="s">
        <v>1890</v>
      </c>
      <c r="D4435">
        <v>142000</v>
      </c>
      <c r="E4435">
        <v>10000</v>
      </c>
      <c r="F4435">
        <v>142000</v>
      </c>
      <c r="H4435">
        <v>2</v>
      </c>
      <c r="I4435" t="s">
        <v>573</v>
      </c>
      <c r="J4435">
        <v>25.68</v>
      </c>
      <c r="K4435">
        <v>0</v>
      </c>
      <c r="L4435">
        <v>4</v>
      </c>
      <c r="M4435" t="s">
        <v>6362</v>
      </c>
      <c r="N4435">
        <v>9</v>
      </c>
      <c r="O4435">
        <v>9.67</v>
      </c>
      <c r="P4435">
        <v>139800.48000000001</v>
      </c>
      <c r="Q4435">
        <v>117441.44</v>
      </c>
      <c r="R4435">
        <v>420</v>
      </c>
      <c r="S4435">
        <v>111</v>
      </c>
      <c r="T4435" t="s">
        <v>34</v>
      </c>
      <c r="U4435" t="s">
        <v>81</v>
      </c>
    </row>
    <row r="4436" spans="1:21">
      <c r="A4436" t="s">
        <v>6892</v>
      </c>
      <c r="B4436" t="s">
        <v>6617</v>
      </c>
      <c r="C4436" t="s">
        <v>1890</v>
      </c>
      <c r="D4436">
        <v>144000</v>
      </c>
      <c r="E4436">
        <v>10000</v>
      </c>
      <c r="F4436">
        <v>144000</v>
      </c>
      <c r="H4436">
        <v>3</v>
      </c>
      <c r="I4436" t="s">
        <v>573</v>
      </c>
      <c r="J4436">
        <v>25.37</v>
      </c>
      <c r="K4436">
        <v>0</v>
      </c>
      <c r="L4436">
        <v>4</v>
      </c>
      <c r="M4436" t="s">
        <v>6362</v>
      </c>
      <c r="N4436">
        <v>9</v>
      </c>
      <c r="O4436">
        <v>9.67</v>
      </c>
      <c r="P4436">
        <v>139800.48000000001</v>
      </c>
      <c r="Q4436">
        <v>117441.44</v>
      </c>
      <c r="R4436">
        <v>420</v>
      </c>
      <c r="S4436">
        <v>111</v>
      </c>
      <c r="T4436" t="s">
        <v>34</v>
      </c>
      <c r="U4436" t="s">
        <v>81</v>
      </c>
    </row>
    <row r="4437" spans="1:21">
      <c r="A4437" t="s">
        <v>6893</v>
      </c>
      <c r="B4437" t="s">
        <v>6617</v>
      </c>
      <c r="C4437" t="s">
        <v>1890</v>
      </c>
      <c r="D4437">
        <v>143000</v>
      </c>
      <c r="E4437">
        <v>10000</v>
      </c>
      <c r="F4437">
        <v>143000</v>
      </c>
      <c r="H4437">
        <v>3</v>
      </c>
      <c r="I4437" t="s">
        <v>573</v>
      </c>
      <c r="J4437">
        <v>25.68</v>
      </c>
      <c r="K4437">
        <v>0</v>
      </c>
      <c r="L4437">
        <v>4</v>
      </c>
      <c r="M4437" t="s">
        <v>6362</v>
      </c>
      <c r="N4437">
        <v>9</v>
      </c>
      <c r="O4437">
        <v>9.67</v>
      </c>
      <c r="P4437">
        <v>139800.48000000001</v>
      </c>
      <c r="Q4437">
        <v>117441.44</v>
      </c>
      <c r="R4437">
        <v>420</v>
      </c>
      <c r="S4437">
        <v>111</v>
      </c>
      <c r="T4437" t="s">
        <v>34</v>
      </c>
      <c r="U4437" t="s">
        <v>81</v>
      </c>
    </row>
    <row r="4438" spans="1:21">
      <c r="A4438" t="s">
        <v>6894</v>
      </c>
      <c r="B4438" t="s">
        <v>6895</v>
      </c>
      <c r="C4438" t="s">
        <v>1294</v>
      </c>
      <c r="D4438">
        <v>100000</v>
      </c>
      <c r="E4438">
        <v>3000</v>
      </c>
      <c r="F4438">
        <v>100000</v>
      </c>
      <c r="H4438">
        <v>1</v>
      </c>
      <c r="I4438" t="s">
        <v>573</v>
      </c>
      <c r="J4438">
        <v>33</v>
      </c>
      <c r="K4438">
        <v>21</v>
      </c>
      <c r="L4438">
        <v>4</v>
      </c>
      <c r="M4438" t="s">
        <v>6362</v>
      </c>
      <c r="N4438">
        <v>5</v>
      </c>
      <c r="O4438">
        <v>6.33</v>
      </c>
      <c r="P4438">
        <v>139800.48000000001</v>
      </c>
      <c r="Q4438">
        <v>117441.44</v>
      </c>
      <c r="R4438">
        <v>420</v>
      </c>
      <c r="S4438">
        <v>111</v>
      </c>
      <c r="T4438" t="s">
        <v>26</v>
      </c>
      <c r="U4438" t="s">
        <v>27</v>
      </c>
    </row>
    <row r="4439" spans="1:21">
      <c r="A4439" t="s">
        <v>6896</v>
      </c>
      <c r="B4439" t="s">
        <v>6511</v>
      </c>
      <c r="C4439" t="s">
        <v>1890</v>
      </c>
      <c r="D4439">
        <v>140000</v>
      </c>
      <c r="E4439">
        <v>10000</v>
      </c>
      <c r="F4439">
        <v>140000</v>
      </c>
      <c r="H4439">
        <v>1</v>
      </c>
      <c r="I4439" t="s">
        <v>573</v>
      </c>
      <c r="J4439">
        <v>25.37</v>
      </c>
      <c r="K4439">
        <v>0</v>
      </c>
      <c r="L4439">
        <v>3</v>
      </c>
      <c r="M4439" t="s">
        <v>6362</v>
      </c>
      <c r="N4439">
        <v>9</v>
      </c>
      <c r="O4439">
        <v>11</v>
      </c>
      <c r="P4439">
        <v>139800.48000000001</v>
      </c>
      <c r="Q4439">
        <v>117441.44</v>
      </c>
      <c r="R4439">
        <v>420</v>
      </c>
      <c r="S4439">
        <v>111</v>
      </c>
      <c r="T4439" t="s">
        <v>34</v>
      </c>
      <c r="U4439" t="s">
        <v>81</v>
      </c>
    </row>
    <row r="4440" spans="1:21">
      <c r="A4440" t="s">
        <v>6897</v>
      </c>
      <c r="B4440" t="s">
        <v>6511</v>
      </c>
      <c r="C4440" t="s">
        <v>1890</v>
      </c>
      <c r="D4440">
        <v>142000</v>
      </c>
      <c r="E4440">
        <v>10000</v>
      </c>
      <c r="F4440">
        <v>142000</v>
      </c>
      <c r="H4440">
        <v>1</v>
      </c>
      <c r="I4440" t="s">
        <v>573</v>
      </c>
      <c r="J4440">
        <v>25.68</v>
      </c>
      <c r="K4440">
        <v>0</v>
      </c>
      <c r="L4440">
        <v>3</v>
      </c>
      <c r="M4440" t="s">
        <v>6362</v>
      </c>
      <c r="N4440">
        <v>9</v>
      </c>
      <c r="O4440">
        <v>11</v>
      </c>
      <c r="P4440">
        <v>139800.48000000001</v>
      </c>
      <c r="Q4440">
        <v>117441.44</v>
      </c>
      <c r="R4440">
        <v>420</v>
      </c>
      <c r="S4440">
        <v>111</v>
      </c>
      <c r="T4440" t="s">
        <v>34</v>
      </c>
      <c r="U4440" t="s">
        <v>81</v>
      </c>
    </row>
    <row r="4441" spans="1:21">
      <c r="A4441" t="s">
        <v>6898</v>
      </c>
      <c r="B4441" t="s">
        <v>6511</v>
      </c>
      <c r="C4441" t="s">
        <v>1890</v>
      </c>
      <c r="D4441">
        <v>143000</v>
      </c>
      <c r="E4441">
        <v>10000</v>
      </c>
      <c r="F4441">
        <v>143000</v>
      </c>
      <c r="H4441">
        <v>1</v>
      </c>
      <c r="I4441" t="s">
        <v>573</v>
      </c>
      <c r="J4441">
        <v>25.68</v>
      </c>
      <c r="K4441">
        <v>0</v>
      </c>
      <c r="L4441">
        <v>3</v>
      </c>
      <c r="M4441" t="s">
        <v>6362</v>
      </c>
      <c r="N4441">
        <v>9</v>
      </c>
      <c r="O4441">
        <v>11</v>
      </c>
      <c r="P4441">
        <v>139800.48000000001</v>
      </c>
      <c r="Q4441">
        <v>117441.44</v>
      </c>
      <c r="R4441">
        <v>420</v>
      </c>
      <c r="S4441">
        <v>111</v>
      </c>
      <c r="T4441" t="s">
        <v>34</v>
      </c>
      <c r="U4441" t="s">
        <v>81</v>
      </c>
    </row>
    <row r="4442" spans="1:21">
      <c r="A4442" t="s">
        <v>6899</v>
      </c>
      <c r="B4442" t="s">
        <v>6511</v>
      </c>
      <c r="C4442" t="s">
        <v>1890</v>
      </c>
      <c r="D4442">
        <v>144000</v>
      </c>
      <c r="E4442">
        <v>10000</v>
      </c>
      <c r="F4442">
        <v>144000</v>
      </c>
      <c r="H4442">
        <v>3</v>
      </c>
      <c r="I4442" t="s">
        <v>573</v>
      </c>
      <c r="J4442">
        <v>25.37</v>
      </c>
      <c r="K4442">
        <v>0</v>
      </c>
      <c r="L4442">
        <v>3</v>
      </c>
      <c r="M4442" t="s">
        <v>6362</v>
      </c>
      <c r="N4442">
        <v>9</v>
      </c>
      <c r="O4442">
        <v>11</v>
      </c>
      <c r="P4442">
        <v>139800.48000000001</v>
      </c>
      <c r="Q4442">
        <v>117441.44</v>
      </c>
      <c r="R4442">
        <v>420</v>
      </c>
      <c r="S4442">
        <v>111</v>
      </c>
      <c r="T4442" t="s">
        <v>34</v>
      </c>
      <c r="U4442" t="s">
        <v>81</v>
      </c>
    </row>
    <row r="4443" spans="1:21">
      <c r="A4443" t="s">
        <v>6900</v>
      </c>
      <c r="B4443" t="s">
        <v>6389</v>
      </c>
      <c r="C4443" t="s">
        <v>3025</v>
      </c>
      <c r="D4443">
        <v>138000</v>
      </c>
      <c r="E4443">
        <v>15000</v>
      </c>
      <c r="F4443">
        <v>138000</v>
      </c>
      <c r="G4443">
        <v>138000</v>
      </c>
      <c r="H4443">
        <v>1</v>
      </c>
      <c r="I4443" t="s">
        <v>573</v>
      </c>
      <c r="J4443">
        <v>25.98</v>
      </c>
      <c r="K4443">
        <v>3</v>
      </c>
      <c r="L4443">
        <v>5</v>
      </c>
      <c r="M4443" t="s">
        <v>6362</v>
      </c>
      <c r="N4443">
        <v>7</v>
      </c>
      <c r="O4443">
        <v>11</v>
      </c>
      <c r="P4443">
        <v>139800.48000000001</v>
      </c>
      <c r="Q4443">
        <v>117441.44</v>
      </c>
      <c r="R4443">
        <v>420</v>
      </c>
      <c r="S4443">
        <v>111</v>
      </c>
      <c r="T4443" t="s">
        <v>34</v>
      </c>
      <c r="U4443" t="s">
        <v>31</v>
      </c>
    </row>
    <row r="4444" spans="1:21">
      <c r="A4444" t="s">
        <v>6901</v>
      </c>
      <c r="B4444" t="s">
        <v>6389</v>
      </c>
      <c r="C4444" t="s">
        <v>3025</v>
      </c>
      <c r="D4444">
        <v>140000</v>
      </c>
      <c r="E4444">
        <v>15000</v>
      </c>
      <c r="F4444">
        <v>140000</v>
      </c>
      <c r="G4444">
        <v>140000</v>
      </c>
      <c r="H4444">
        <v>3</v>
      </c>
      <c r="I4444" t="s">
        <v>573</v>
      </c>
      <c r="J4444">
        <v>25.5</v>
      </c>
      <c r="K4444">
        <v>3</v>
      </c>
      <c r="L4444">
        <v>5</v>
      </c>
      <c r="M4444" t="s">
        <v>6362</v>
      </c>
      <c r="N4444">
        <v>7</v>
      </c>
      <c r="O4444">
        <v>11</v>
      </c>
      <c r="P4444">
        <v>139800.48000000001</v>
      </c>
      <c r="Q4444">
        <v>117441.44</v>
      </c>
      <c r="R4444">
        <v>420</v>
      </c>
      <c r="S4444">
        <v>111</v>
      </c>
      <c r="T4444" t="s">
        <v>34</v>
      </c>
      <c r="U4444" t="s">
        <v>31</v>
      </c>
    </row>
    <row r="4445" spans="1:21">
      <c r="A4445" t="s">
        <v>6902</v>
      </c>
      <c r="B4445" t="s">
        <v>6903</v>
      </c>
      <c r="C4445" t="s">
        <v>3025</v>
      </c>
      <c r="D4445">
        <v>70000</v>
      </c>
      <c r="E4445">
        <v>1000</v>
      </c>
      <c r="F4445">
        <v>70000</v>
      </c>
      <c r="G4445">
        <v>70000</v>
      </c>
      <c r="H4445">
        <v>2</v>
      </c>
      <c r="I4445" t="s">
        <v>573</v>
      </c>
      <c r="J4445">
        <v>26.4</v>
      </c>
      <c r="K4445">
        <v>49</v>
      </c>
      <c r="L4445">
        <v>2</v>
      </c>
      <c r="M4445" t="s">
        <v>6362</v>
      </c>
      <c r="N4445">
        <v>6</v>
      </c>
      <c r="O4445">
        <v>8.67</v>
      </c>
      <c r="P4445">
        <v>139800.48000000001</v>
      </c>
      <c r="Q4445">
        <v>117441.44</v>
      </c>
      <c r="R4445">
        <v>420</v>
      </c>
      <c r="S4445">
        <v>111</v>
      </c>
      <c r="T4445" t="s">
        <v>34</v>
      </c>
      <c r="U4445" t="s">
        <v>42</v>
      </c>
    </row>
    <row r="4446" spans="1:21">
      <c r="A4446" t="s">
        <v>6904</v>
      </c>
      <c r="B4446" t="s">
        <v>6903</v>
      </c>
      <c r="C4446" t="s">
        <v>3025</v>
      </c>
      <c r="D4446">
        <v>64000</v>
      </c>
      <c r="E4446">
        <v>1000</v>
      </c>
      <c r="F4446">
        <v>64000</v>
      </c>
      <c r="G4446">
        <v>64000</v>
      </c>
      <c r="H4446">
        <v>2</v>
      </c>
      <c r="I4446" t="s">
        <v>573</v>
      </c>
      <c r="J4446">
        <v>26.64</v>
      </c>
      <c r="K4446">
        <v>49</v>
      </c>
      <c r="L4446">
        <v>2</v>
      </c>
      <c r="M4446" t="s">
        <v>6362</v>
      </c>
      <c r="N4446">
        <v>6</v>
      </c>
      <c r="O4446">
        <v>8.67</v>
      </c>
      <c r="P4446">
        <v>139800.48000000001</v>
      </c>
      <c r="Q4446">
        <v>117441.44</v>
      </c>
      <c r="R4446">
        <v>420</v>
      </c>
      <c r="S4446">
        <v>111</v>
      </c>
      <c r="T4446" t="s">
        <v>34</v>
      </c>
      <c r="U4446" t="s">
        <v>42</v>
      </c>
    </row>
    <row r="4447" spans="1:21">
      <c r="A4447" t="s">
        <v>6905</v>
      </c>
      <c r="B4447" t="s">
        <v>6903</v>
      </c>
      <c r="C4447" t="s">
        <v>3025</v>
      </c>
      <c r="D4447">
        <v>69000</v>
      </c>
      <c r="E4447">
        <v>1000</v>
      </c>
      <c r="F4447">
        <v>69000</v>
      </c>
      <c r="G4447">
        <v>69000</v>
      </c>
      <c r="H4447">
        <v>2</v>
      </c>
      <c r="I4447" t="s">
        <v>573</v>
      </c>
      <c r="J4447">
        <v>26</v>
      </c>
      <c r="K4447">
        <v>49</v>
      </c>
      <c r="L4447">
        <v>2</v>
      </c>
      <c r="M4447" t="s">
        <v>6362</v>
      </c>
      <c r="N4447">
        <v>6</v>
      </c>
      <c r="O4447">
        <v>8.67</v>
      </c>
      <c r="P4447">
        <v>139800.48000000001</v>
      </c>
      <c r="Q4447">
        <v>117441.44</v>
      </c>
      <c r="R4447">
        <v>420</v>
      </c>
      <c r="S4447">
        <v>111</v>
      </c>
      <c r="T4447" t="s">
        <v>34</v>
      </c>
      <c r="U4447" t="s">
        <v>42</v>
      </c>
    </row>
    <row r="4448" spans="1:21">
      <c r="A4448" t="s">
        <v>6906</v>
      </c>
      <c r="B4448" t="s">
        <v>6903</v>
      </c>
      <c r="C4448" t="s">
        <v>3025</v>
      </c>
      <c r="D4448">
        <v>74000</v>
      </c>
      <c r="E4448">
        <v>1000</v>
      </c>
      <c r="F4448">
        <v>74000</v>
      </c>
      <c r="G4448">
        <v>74000</v>
      </c>
      <c r="H4448">
        <v>2</v>
      </c>
      <c r="I4448" t="s">
        <v>573</v>
      </c>
      <c r="J4448">
        <v>26</v>
      </c>
      <c r="K4448">
        <v>49</v>
      </c>
      <c r="L4448">
        <v>2</v>
      </c>
      <c r="M4448" t="s">
        <v>6362</v>
      </c>
      <c r="N4448">
        <v>6</v>
      </c>
      <c r="O4448">
        <v>8.67</v>
      </c>
      <c r="P4448">
        <v>139800.48000000001</v>
      </c>
      <c r="Q4448">
        <v>117441.44</v>
      </c>
      <c r="R4448">
        <v>420</v>
      </c>
      <c r="S4448">
        <v>111</v>
      </c>
      <c r="T4448" t="s">
        <v>34</v>
      </c>
      <c r="U4448" t="s">
        <v>42</v>
      </c>
    </row>
    <row r="4449" spans="1:21">
      <c r="A4449" t="s">
        <v>6907</v>
      </c>
      <c r="B4449" t="s">
        <v>6908</v>
      </c>
      <c r="C4449" t="s">
        <v>1768</v>
      </c>
      <c r="D4449">
        <v>126000</v>
      </c>
      <c r="E4449">
        <v>15000</v>
      </c>
      <c r="G4449">
        <v>126000</v>
      </c>
      <c r="H4449">
        <v>7</v>
      </c>
      <c r="I4449" t="s">
        <v>573</v>
      </c>
      <c r="J4449">
        <v>25.68</v>
      </c>
      <c r="K4449">
        <v>5</v>
      </c>
      <c r="L4449">
        <v>11</v>
      </c>
      <c r="M4449" t="s">
        <v>6362</v>
      </c>
      <c r="N4449">
        <v>10</v>
      </c>
      <c r="O4449">
        <v>12.33</v>
      </c>
      <c r="P4449">
        <v>139800.48000000001</v>
      </c>
      <c r="Q4449">
        <v>117441.44</v>
      </c>
      <c r="R4449">
        <v>420</v>
      </c>
      <c r="S4449">
        <v>111</v>
      </c>
      <c r="T4449" t="s">
        <v>34</v>
      </c>
      <c r="U4449" t="s">
        <v>31</v>
      </c>
    </row>
    <row r="4450" spans="1:21">
      <c r="A4450" t="s">
        <v>6909</v>
      </c>
      <c r="B4450" t="s">
        <v>6910</v>
      </c>
      <c r="C4450" t="s">
        <v>1768</v>
      </c>
      <c r="D4450">
        <v>130000</v>
      </c>
      <c r="E4450">
        <v>15000</v>
      </c>
      <c r="G4450">
        <v>130000</v>
      </c>
      <c r="H4450">
        <v>11</v>
      </c>
      <c r="I4450" t="s">
        <v>573</v>
      </c>
      <c r="J4450">
        <v>25.68</v>
      </c>
      <c r="K4450">
        <v>5</v>
      </c>
      <c r="L4450">
        <v>11</v>
      </c>
      <c r="M4450" t="s">
        <v>6362</v>
      </c>
      <c r="N4450">
        <v>10</v>
      </c>
      <c r="O4450">
        <v>12.33</v>
      </c>
      <c r="P4450">
        <v>139800.48000000001</v>
      </c>
      <c r="Q4450">
        <v>117441.44</v>
      </c>
      <c r="R4450">
        <v>420</v>
      </c>
      <c r="S4450">
        <v>111</v>
      </c>
      <c r="T4450" t="s">
        <v>34</v>
      </c>
      <c r="U4450" t="s">
        <v>31</v>
      </c>
    </row>
    <row r="4451" spans="1:21">
      <c r="A4451" t="s">
        <v>6911</v>
      </c>
      <c r="B4451" t="s">
        <v>6910</v>
      </c>
      <c r="C4451" t="s">
        <v>1768</v>
      </c>
      <c r="D4451">
        <v>124000</v>
      </c>
      <c r="E4451">
        <v>15000</v>
      </c>
      <c r="G4451">
        <v>124000</v>
      </c>
      <c r="H4451">
        <v>5</v>
      </c>
      <c r="I4451" t="s">
        <v>573</v>
      </c>
      <c r="J4451">
        <v>25.68</v>
      </c>
      <c r="K4451">
        <v>5</v>
      </c>
      <c r="L4451">
        <v>11</v>
      </c>
      <c r="M4451" t="s">
        <v>6362</v>
      </c>
      <c r="N4451">
        <v>10</v>
      </c>
      <c r="O4451">
        <v>12.33</v>
      </c>
      <c r="P4451">
        <v>139800.48000000001</v>
      </c>
      <c r="Q4451">
        <v>117441.44</v>
      </c>
      <c r="R4451">
        <v>420</v>
      </c>
      <c r="S4451">
        <v>111</v>
      </c>
      <c r="T4451" t="s">
        <v>34</v>
      </c>
      <c r="U4451" t="s">
        <v>31</v>
      </c>
    </row>
    <row r="4452" spans="1:21">
      <c r="A4452" t="s">
        <v>6912</v>
      </c>
      <c r="B4452" t="s">
        <v>6910</v>
      </c>
      <c r="C4452" t="s">
        <v>1768</v>
      </c>
      <c r="D4452">
        <v>126000</v>
      </c>
      <c r="E4452">
        <v>15000</v>
      </c>
      <c r="G4452">
        <v>126000</v>
      </c>
      <c r="H4452">
        <v>7</v>
      </c>
      <c r="I4452" t="s">
        <v>573</v>
      </c>
      <c r="J4452">
        <v>25.68</v>
      </c>
      <c r="K4452">
        <v>5</v>
      </c>
      <c r="L4452">
        <v>11</v>
      </c>
      <c r="M4452" t="s">
        <v>6362</v>
      </c>
      <c r="N4452">
        <v>10</v>
      </c>
      <c r="O4452">
        <v>12.33</v>
      </c>
      <c r="P4452">
        <v>139800.48000000001</v>
      </c>
      <c r="Q4452">
        <v>117441.44</v>
      </c>
      <c r="R4452">
        <v>420</v>
      </c>
      <c r="S4452">
        <v>111</v>
      </c>
      <c r="T4452" t="s">
        <v>34</v>
      </c>
      <c r="U4452" t="s">
        <v>31</v>
      </c>
    </row>
    <row r="4453" spans="1:21">
      <c r="A4453" t="s">
        <v>6913</v>
      </c>
      <c r="B4453" t="s">
        <v>6914</v>
      </c>
      <c r="C4453" t="s">
        <v>3059</v>
      </c>
      <c r="D4453">
        <v>298000</v>
      </c>
      <c r="F4453">
        <v>298000</v>
      </c>
      <c r="G4453">
        <v>298000</v>
      </c>
      <c r="H4453">
        <v>2</v>
      </c>
      <c r="I4453" t="s">
        <v>585</v>
      </c>
      <c r="J4453">
        <v>80.02</v>
      </c>
      <c r="K4453">
        <v>29</v>
      </c>
      <c r="L4453">
        <v>6</v>
      </c>
      <c r="M4453" t="s">
        <v>6362</v>
      </c>
      <c r="N4453">
        <v>2</v>
      </c>
      <c r="O4453">
        <v>3.33</v>
      </c>
      <c r="P4453">
        <v>139800.48000000001</v>
      </c>
      <c r="Q4453">
        <v>232352.65</v>
      </c>
      <c r="R4453">
        <v>420</v>
      </c>
      <c r="S4453">
        <v>359</v>
      </c>
      <c r="T4453" t="s">
        <v>413</v>
      </c>
      <c r="U4453" t="s">
        <v>27</v>
      </c>
    </row>
    <row r="4454" spans="1:21">
      <c r="A4454" t="s">
        <v>6915</v>
      </c>
      <c r="B4454" t="s">
        <v>6421</v>
      </c>
      <c r="C4454" t="s">
        <v>709</v>
      </c>
      <c r="D4454">
        <v>245000</v>
      </c>
      <c r="E4454">
        <v>20000</v>
      </c>
      <c r="F4454">
        <v>245000</v>
      </c>
      <c r="G4454">
        <v>245000</v>
      </c>
      <c r="H4454">
        <v>2</v>
      </c>
      <c r="I4454" t="s">
        <v>585</v>
      </c>
      <c r="J4454">
        <v>52.47</v>
      </c>
      <c r="K4454">
        <v>0</v>
      </c>
      <c r="L4454">
        <v>4</v>
      </c>
      <c r="M4454" t="s">
        <v>6362</v>
      </c>
      <c r="N4454">
        <v>6</v>
      </c>
      <c r="O4454">
        <v>8</v>
      </c>
      <c r="P4454">
        <v>139800.48000000001</v>
      </c>
      <c r="Q4454">
        <v>232352.65</v>
      </c>
      <c r="R4454">
        <v>420</v>
      </c>
      <c r="S4454">
        <v>359</v>
      </c>
      <c r="T4454" t="s">
        <v>332</v>
      </c>
      <c r="U4454" t="s">
        <v>81</v>
      </c>
    </row>
    <row r="4455" spans="1:21">
      <c r="A4455" t="s">
        <v>6916</v>
      </c>
      <c r="B4455" t="s">
        <v>6421</v>
      </c>
      <c r="C4455" t="s">
        <v>709</v>
      </c>
      <c r="D4455">
        <v>250000</v>
      </c>
      <c r="E4455">
        <v>20000</v>
      </c>
      <c r="F4455">
        <v>250000</v>
      </c>
      <c r="G4455">
        <v>250000</v>
      </c>
      <c r="H4455">
        <v>2</v>
      </c>
      <c r="I4455" t="s">
        <v>585</v>
      </c>
      <c r="J4455">
        <v>52.47</v>
      </c>
      <c r="K4455">
        <v>0</v>
      </c>
      <c r="L4455">
        <v>4</v>
      </c>
      <c r="M4455" t="s">
        <v>6362</v>
      </c>
      <c r="N4455">
        <v>6</v>
      </c>
      <c r="O4455">
        <v>8</v>
      </c>
      <c r="P4455">
        <v>139800.48000000001</v>
      </c>
      <c r="Q4455">
        <v>232352.65</v>
      </c>
      <c r="R4455">
        <v>420</v>
      </c>
      <c r="S4455">
        <v>359</v>
      </c>
      <c r="T4455" t="s">
        <v>332</v>
      </c>
      <c r="U4455" t="s">
        <v>81</v>
      </c>
    </row>
    <row r="4456" spans="1:21">
      <c r="A4456" t="s">
        <v>6917</v>
      </c>
      <c r="B4456" t="s">
        <v>6421</v>
      </c>
      <c r="C4456" t="s">
        <v>709</v>
      </c>
      <c r="D4456">
        <v>255000</v>
      </c>
      <c r="E4456">
        <v>20000</v>
      </c>
      <c r="F4456">
        <v>255000</v>
      </c>
      <c r="G4456">
        <v>255000</v>
      </c>
      <c r="H4456">
        <v>4</v>
      </c>
      <c r="I4456" t="s">
        <v>585</v>
      </c>
      <c r="J4456">
        <v>52.47</v>
      </c>
      <c r="K4456">
        <v>0</v>
      </c>
      <c r="L4456">
        <v>4</v>
      </c>
      <c r="M4456" t="s">
        <v>6362</v>
      </c>
      <c r="N4456">
        <v>6</v>
      </c>
      <c r="O4456">
        <v>8</v>
      </c>
      <c r="P4456">
        <v>139800.48000000001</v>
      </c>
      <c r="Q4456">
        <v>232352.65</v>
      </c>
      <c r="R4456">
        <v>420</v>
      </c>
      <c r="S4456">
        <v>359</v>
      </c>
      <c r="T4456" t="s">
        <v>332</v>
      </c>
      <c r="U4456" t="s">
        <v>81</v>
      </c>
    </row>
    <row r="4457" spans="1:21">
      <c r="A4457" t="s">
        <v>6918</v>
      </c>
      <c r="B4457" t="s">
        <v>6421</v>
      </c>
      <c r="C4457" t="s">
        <v>709</v>
      </c>
      <c r="D4457">
        <v>265000</v>
      </c>
      <c r="E4457">
        <v>20000</v>
      </c>
      <c r="F4457">
        <v>265000</v>
      </c>
      <c r="G4457">
        <v>265000</v>
      </c>
      <c r="H4457">
        <v>4</v>
      </c>
      <c r="I4457" t="s">
        <v>585</v>
      </c>
      <c r="J4457">
        <v>52.47</v>
      </c>
      <c r="K4457">
        <v>0</v>
      </c>
      <c r="L4457">
        <v>4</v>
      </c>
      <c r="M4457" t="s">
        <v>6362</v>
      </c>
      <c r="N4457">
        <v>6</v>
      </c>
      <c r="O4457">
        <v>8</v>
      </c>
      <c r="P4457">
        <v>139800.48000000001</v>
      </c>
      <c r="Q4457">
        <v>232352.65</v>
      </c>
      <c r="R4457">
        <v>420</v>
      </c>
      <c r="S4457">
        <v>359</v>
      </c>
      <c r="T4457" t="s">
        <v>332</v>
      </c>
      <c r="U4457" t="s">
        <v>81</v>
      </c>
    </row>
    <row r="4458" spans="1:21">
      <c r="A4458" t="s">
        <v>6919</v>
      </c>
      <c r="B4458" t="s">
        <v>6617</v>
      </c>
      <c r="C4458" t="s">
        <v>1890</v>
      </c>
      <c r="D4458">
        <v>293000</v>
      </c>
      <c r="E4458">
        <v>15000</v>
      </c>
      <c r="F4458">
        <v>293000</v>
      </c>
      <c r="H4458">
        <v>1</v>
      </c>
      <c r="I4458" t="s">
        <v>585</v>
      </c>
      <c r="J4458">
        <v>53.28</v>
      </c>
      <c r="K4458">
        <v>0</v>
      </c>
      <c r="L4458">
        <v>4</v>
      </c>
      <c r="M4458" t="s">
        <v>6362</v>
      </c>
      <c r="N4458">
        <v>9</v>
      </c>
      <c r="O4458">
        <v>9.67</v>
      </c>
      <c r="P4458">
        <v>139800.48000000001</v>
      </c>
      <c r="Q4458">
        <v>232352.65</v>
      </c>
      <c r="R4458">
        <v>420</v>
      </c>
      <c r="S4458">
        <v>359</v>
      </c>
      <c r="T4458" t="s">
        <v>332</v>
      </c>
      <c r="U4458" t="s">
        <v>81</v>
      </c>
    </row>
    <row r="4459" spans="1:21">
      <c r="A4459" t="s">
        <v>6920</v>
      </c>
      <c r="B4459" t="s">
        <v>6617</v>
      </c>
      <c r="C4459" t="s">
        <v>1890</v>
      </c>
      <c r="D4459">
        <v>296000</v>
      </c>
      <c r="E4459">
        <v>15000</v>
      </c>
      <c r="F4459">
        <v>296000</v>
      </c>
      <c r="H4459">
        <v>3</v>
      </c>
      <c r="I4459" t="s">
        <v>585</v>
      </c>
      <c r="J4459">
        <v>53.28</v>
      </c>
      <c r="K4459">
        <v>0</v>
      </c>
      <c r="L4459">
        <v>4</v>
      </c>
      <c r="M4459" t="s">
        <v>6362</v>
      </c>
      <c r="N4459">
        <v>9</v>
      </c>
      <c r="O4459">
        <v>9.67</v>
      </c>
      <c r="P4459">
        <v>139800.48000000001</v>
      </c>
      <c r="Q4459">
        <v>232352.65</v>
      </c>
      <c r="R4459">
        <v>420</v>
      </c>
      <c r="S4459">
        <v>359</v>
      </c>
      <c r="T4459" t="s">
        <v>332</v>
      </c>
      <c r="U4459" t="s">
        <v>81</v>
      </c>
    </row>
    <row r="4460" spans="1:21">
      <c r="A4460" t="s">
        <v>6921</v>
      </c>
      <c r="B4460" t="s">
        <v>6617</v>
      </c>
      <c r="C4460" t="s">
        <v>1890</v>
      </c>
      <c r="D4460">
        <v>298000</v>
      </c>
      <c r="E4460">
        <v>15000</v>
      </c>
      <c r="F4460">
        <v>298000</v>
      </c>
      <c r="H4460">
        <v>-1</v>
      </c>
      <c r="I4460" t="s">
        <v>585</v>
      </c>
      <c r="J4460">
        <v>53.28</v>
      </c>
      <c r="K4460">
        <v>0</v>
      </c>
      <c r="L4460">
        <v>4</v>
      </c>
      <c r="M4460" t="s">
        <v>6362</v>
      </c>
      <c r="N4460">
        <v>9</v>
      </c>
      <c r="O4460">
        <v>9.67</v>
      </c>
      <c r="P4460">
        <v>139800.48000000001</v>
      </c>
      <c r="Q4460">
        <v>232352.65</v>
      </c>
      <c r="R4460">
        <v>420</v>
      </c>
      <c r="S4460">
        <v>359</v>
      </c>
      <c r="T4460" t="s">
        <v>332</v>
      </c>
      <c r="U4460" t="s">
        <v>81</v>
      </c>
    </row>
    <row r="4461" spans="1:21">
      <c r="A4461" t="s">
        <v>6922</v>
      </c>
      <c r="B4461" t="s">
        <v>6923</v>
      </c>
      <c r="C4461" t="s">
        <v>3025</v>
      </c>
      <c r="D4461">
        <v>258000</v>
      </c>
      <c r="F4461">
        <v>516000</v>
      </c>
      <c r="G4461">
        <v>258000</v>
      </c>
      <c r="H4461">
        <v>2</v>
      </c>
      <c r="I4461" t="s">
        <v>585</v>
      </c>
      <c r="J4461">
        <v>55.26</v>
      </c>
      <c r="K4461">
        <v>31</v>
      </c>
      <c r="L4461">
        <v>6</v>
      </c>
      <c r="M4461" t="s">
        <v>6362</v>
      </c>
      <c r="N4461">
        <v>6</v>
      </c>
      <c r="O4461">
        <v>7.33</v>
      </c>
      <c r="P4461">
        <v>139800.48000000001</v>
      </c>
      <c r="Q4461">
        <v>232352.65</v>
      </c>
      <c r="R4461">
        <v>420</v>
      </c>
      <c r="S4461">
        <v>359</v>
      </c>
      <c r="T4461" t="s">
        <v>332</v>
      </c>
      <c r="U4461" t="s">
        <v>49</v>
      </c>
    </row>
    <row r="4462" spans="1:21">
      <c r="A4462" t="s">
        <v>6924</v>
      </c>
      <c r="B4462" t="s">
        <v>6439</v>
      </c>
      <c r="C4462" t="s">
        <v>3025</v>
      </c>
      <c r="D4462">
        <v>250000</v>
      </c>
      <c r="F4462">
        <v>250000</v>
      </c>
      <c r="G4462">
        <v>500000</v>
      </c>
      <c r="H4462">
        <v>7</v>
      </c>
      <c r="I4462" t="s">
        <v>585</v>
      </c>
      <c r="J4462">
        <v>65.25</v>
      </c>
      <c r="K4462">
        <v>12</v>
      </c>
      <c r="L4462">
        <v>10</v>
      </c>
      <c r="M4462" t="s">
        <v>6362</v>
      </c>
      <c r="N4462">
        <v>8</v>
      </c>
      <c r="O4462">
        <v>11.67</v>
      </c>
      <c r="P4462">
        <v>139800.48000000001</v>
      </c>
      <c r="Q4462">
        <v>232352.65</v>
      </c>
      <c r="R4462">
        <v>420</v>
      </c>
      <c r="S4462">
        <v>359</v>
      </c>
      <c r="T4462" t="s">
        <v>593</v>
      </c>
      <c r="U4462" t="s">
        <v>90</v>
      </c>
    </row>
    <row r="4463" spans="1:21">
      <c r="A4463" t="s">
        <v>6925</v>
      </c>
      <c r="B4463" t="s">
        <v>6439</v>
      </c>
      <c r="C4463" t="s">
        <v>3025</v>
      </c>
      <c r="D4463">
        <v>200000</v>
      </c>
      <c r="F4463">
        <v>200000</v>
      </c>
      <c r="G4463">
        <v>300000</v>
      </c>
      <c r="H4463">
        <v>8</v>
      </c>
      <c r="I4463" t="s">
        <v>585</v>
      </c>
      <c r="J4463">
        <v>50.58</v>
      </c>
      <c r="K4463">
        <v>12</v>
      </c>
      <c r="L4463">
        <v>10</v>
      </c>
      <c r="M4463" t="s">
        <v>6362</v>
      </c>
      <c r="N4463">
        <v>8</v>
      </c>
      <c r="O4463">
        <v>11.67</v>
      </c>
      <c r="P4463">
        <v>139800.48000000001</v>
      </c>
      <c r="Q4463">
        <v>232352.65</v>
      </c>
      <c r="R4463">
        <v>420</v>
      </c>
      <c r="S4463">
        <v>359</v>
      </c>
      <c r="T4463" t="s">
        <v>332</v>
      </c>
      <c r="U4463" t="s">
        <v>90</v>
      </c>
    </row>
    <row r="4464" spans="1:21">
      <c r="A4464" t="s">
        <v>6926</v>
      </c>
      <c r="B4464" t="s">
        <v>6927</v>
      </c>
      <c r="C4464" t="s">
        <v>104</v>
      </c>
      <c r="D4464">
        <v>170000</v>
      </c>
      <c r="E4464">
        <v>5000</v>
      </c>
      <c r="F4464">
        <v>170000</v>
      </c>
      <c r="G4464">
        <v>170000</v>
      </c>
      <c r="H4464">
        <v>2</v>
      </c>
      <c r="I4464" t="s">
        <v>585</v>
      </c>
      <c r="J4464">
        <v>59.1</v>
      </c>
      <c r="K4464">
        <v>27</v>
      </c>
      <c r="L4464">
        <v>3</v>
      </c>
      <c r="M4464" t="s">
        <v>6362</v>
      </c>
      <c r="N4464">
        <v>1</v>
      </c>
      <c r="O4464">
        <v>4</v>
      </c>
      <c r="P4464">
        <v>139800.48000000001</v>
      </c>
      <c r="Q4464">
        <v>232352.65</v>
      </c>
      <c r="R4464">
        <v>420</v>
      </c>
      <c r="S4464">
        <v>359</v>
      </c>
      <c r="T4464" t="s">
        <v>332</v>
      </c>
      <c r="U4464" t="s">
        <v>27</v>
      </c>
    </row>
    <row r="4465" spans="1:21">
      <c r="A4465" t="s">
        <v>6928</v>
      </c>
      <c r="B4465" t="s">
        <v>6929</v>
      </c>
      <c r="C4465" t="s">
        <v>1768</v>
      </c>
      <c r="D4465">
        <v>245000</v>
      </c>
      <c r="E4465">
        <v>5000</v>
      </c>
      <c r="F4465">
        <v>245000</v>
      </c>
      <c r="G4465">
        <v>245000</v>
      </c>
      <c r="H4465">
        <v>8</v>
      </c>
      <c r="I4465" t="s">
        <v>585</v>
      </c>
      <c r="J4465">
        <v>63.2</v>
      </c>
      <c r="K4465">
        <v>51</v>
      </c>
      <c r="L4465">
        <v>12</v>
      </c>
      <c r="M4465" t="s">
        <v>6362</v>
      </c>
      <c r="N4465">
        <v>11</v>
      </c>
      <c r="O4465">
        <v>12</v>
      </c>
      <c r="P4465">
        <v>139800.48000000001</v>
      </c>
      <c r="Q4465">
        <v>232352.65</v>
      </c>
      <c r="R4465">
        <v>420</v>
      </c>
      <c r="S4465">
        <v>359</v>
      </c>
      <c r="T4465" t="s">
        <v>593</v>
      </c>
      <c r="U4465" t="s">
        <v>57</v>
      </c>
    </row>
    <row r="4466" spans="1:21">
      <c r="A4466" t="s">
        <v>6930</v>
      </c>
      <c r="B4466" t="s">
        <v>6488</v>
      </c>
      <c r="C4466" t="s">
        <v>3025</v>
      </c>
      <c r="D4466">
        <v>250000</v>
      </c>
      <c r="F4466">
        <v>250000</v>
      </c>
      <c r="G4466">
        <v>500000</v>
      </c>
      <c r="H4466">
        <v>7</v>
      </c>
      <c r="I4466" t="s">
        <v>585</v>
      </c>
      <c r="J4466">
        <v>65.25</v>
      </c>
      <c r="K4466">
        <v>12</v>
      </c>
      <c r="L4466">
        <v>10</v>
      </c>
      <c r="M4466" t="s">
        <v>6362</v>
      </c>
      <c r="N4466">
        <v>7</v>
      </c>
      <c r="O4466">
        <v>10</v>
      </c>
      <c r="P4466">
        <v>139800.48000000001</v>
      </c>
      <c r="Q4466">
        <v>232352.65</v>
      </c>
      <c r="R4466">
        <v>420</v>
      </c>
      <c r="S4466">
        <v>359</v>
      </c>
      <c r="T4466" t="s">
        <v>593</v>
      </c>
      <c r="U4466" t="s">
        <v>90</v>
      </c>
    </row>
    <row r="4467" spans="1:21">
      <c r="A4467" t="s">
        <v>6931</v>
      </c>
      <c r="B4467" t="s">
        <v>6488</v>
      </c>
      <c r="C4467" t="s">
        <v>3025</v>
      </c>
      <c r="D4467">
        <v>200000</v>
      </c>
      <c r="F4467">
        <v>200000</v>
      </c>
      <c r="G4467">
        <v>300000</v>
      </c>
      <c r="H4467">
        <v>8</v>
      </c>
      <c r="I4467" t="s">
        <v>585</v>
      </c>
      <c r="J4467">
        <v>50.58</v>
      </c>
      <c r="K4467">
        <v>12</v>
      </c>
      <c r="L4467">
        <v>10</v>
      </c>
      <c r="M4467" t="s">
        <v>6362</v>
      </c>
      <c r="N4467">
        <v>7</v>
      </c>
      <c r="O4467">
        <v>10</v>
      </c>
      <c r="P4467">
        <v>139800.48000000001</v>
      </c>
      <c r="Q4467">
        <v>232352.65</v>
      </c>
      <c r="R4467">
        <v>420</v>
      </c>
      <c r="S4467">
        <v>359</v>
      </c>
      <c r="T4467" t="s">
        <v>332</v>
      </c>
      <c r="U4467" t="s">
        <v>90</v>
      </c>
    </row>
    <row r="4468" spans="1:21">
      <c r="A4468" t="s">
        <v>6932</v>
      </c>
      <c r="B4468" t="s">
        <v>6492</v>
      </c>
      <c r="C4468" t="s">
        <v>1768</v>
      </c>
      <c r="D4468">
        <v>304000</v>
      </c>
      <c r="E4468">
        <v>15000</v>
      </c>
      <c r="F4468">
        <v>304000</v>
      </c>
      <c r="H4468">
        <v>1</v>
      </c>
      <c r="I4468" t="s">
        <v>585</v>
      </c>
      <c r="J4468">
        <v>68.83</v>
      </c>
      <c r="K4468">
        <v>17</v>
      </c>
      <c r="L4468">
        <v>10</v>
      </c>
      <c r="M4468" t="s">
        <v>6362</v>
      </c>
      <c r="N4468">
        <v>9</v>
      </c>
      <c r="O4468">
        <v>10.33</v>
      </c>
      <c r="P4468">
        <v>139800.48000000001</v>
      </c>
      <c r="Q4468">
        <v>232352.65</v>
      </c>
      <c r="R4468">
        <v>420</v>
      </c>
      <c r="S4468">
        <v>359</v>
      </c>
      <c r="T4468" t="s">
        <v>593</v>
      </c>
      <c r="U4468" t="s">
        <v>90</v>
      </c>
    </row>
    <row r="4469" spans="1:21">
      <c r="A4469" t="s">
        <v>6933</v>
      </c>
      <c r="B4469" t="s">
        <v>6511</v>
      </c>
      <c r="C4469" t="s">
        <v>1890</v>
      </c>
      <c r="D4469">
        <v>293000</v>
      </c>
      <c r="E4469">
        <v>15000</v>
      </c>
      <c r="F4469">
        <v>293000</v>
      </c>
      <c r="H4469">
        <v>1</v>
      </c>
      <c r="I4469" t="s">
        <v>585</v>
      </c>
      <c r="J4469">
        <v>53.28</v>
      </c>
      <c r="K4469">
        <v>0</v>
      </c>
      <c r="L4469">
        <v>3</v>
      </c>
      <c r="M4469" t="s">
        <v>6362</v>
      </c>
      <c r="N4469">
        <v>9</v>
      </c>
      <c r="O4469">
        <v>11</v>
      </c>
      <c r="P4469">
        <v>139800.48000000001</v>
      </c>
      <c r="Q4469">
        <v>232352.65</v>
      </c>
      <c r="R4469">
        <v>420</v>
      </c>
      <c r="S4469">
        <v>359</v>
      </c>
      <c r="T4469" t="s">
        <v>332</v>
      </c>
      <c r="U4469" t="s">
        <v>81</v>
      </c>
    </row>
    <row r="4470" spans="1:21">
      <c r="A4470" t="s">
        <v>6934</v>
      </c>
      <c r="B4470" t="s">
        <v>6511</v>
      </c>
      <c r="C4470" t="s">
        <v>1890</v>
      </c>
      <c r="D4470">
        <v>291000</v>
      </c>
      <c r="E4470">
        <v>15000</v>
      </c>
      <c r="F4470">
        <v>291000</v>
      </c>
      <c r="H4470">
        <v>2</v>
      </c>
      <c r="I4470" t="s">
        <v>585</v>
      </c>
      <c r="J4470">
        <v>53.28</v>
      </c>
      <c r="K4470">
        <v>0</v>
      </c>
      <c r="L4470">
        <v>3</v>
      </c>
      <c r="M4470" t="s">
        <v>6362</v>
      </c>
      <c r="N4470">
        <v>9</v>
      </c>
      <c r="O4470">
        <v>11</v>
      </c>
      <c r="P4470">
        <v>139800.48000000001</v>
      </c>
      <c r="Q4470">
        <v>232352.65</v>
      </c>
      <c r="R4470">
        <v>420</v>
      </c>
      <c r="S4470">
        <v>359</v>
      </c>
      <c r="T4470" t="s">
        <v>332</v>
      </c>
      <c r="U4470" t="s">
        <v>81</v>
      </c>
    </row>
    <row r="4471" spans="1:21">
      <c r="A4471" t="s">
        <v>6935</v>
      </c>
      <c r="B4471" t="s">
        <v>6511</v>
      </c>
      <c r="C4471" t="s">
        <v>1890</v>
      </c>
      <c r="D4471">
        <v>296000</v>
      </c>
      <c r="E4471">
        <v>15000</v>
      </c>
      <c r="F4471">
        <v>296000</v>
      </c>
      <c r="H4471">
        <v>3</v>
      </c>
      <c r="I4471" t="s">
        <v>585</v>
      </c>
      <c r="J4471">
        <v>53.28</v>
      </c>
      <c r="K4471">
        <v>0</v>
      </c>
      <c r="L4471">
        <v>3</v>
      </c>
      <c r="M4471" t="s">
        <v>6362</v>
      </c>
      <c r="N4471">
        <v>9</v>
      </c>
      <c r="O4471">
        <v>11</v>
      </c>
      <c r="P4471">
        <v>139800.48000000001</v>
      </c>
      <c r="Q4471">
        <v>232352.65</v>
      </c>
      <c r="R4471">
        <v>420</v>
      </c>
      <c r="S4471">
        <v>359</v>
      </c>
      <c r="T4471" t="s">
        <v>332</v>
      </c>
      <c r="U4471" t="s">
        <v>81</v>
      </c>
    </row>
    <row r="4472" spans="1:21">
      <c r="A4472" t="s">
        <v>6936</v>
      </c>
      <c r="B4472" t="s">
        <v>6536</v>
      </c>
      <c r="C4472" t="s">
        <v>709</v>
      </c>
      <c r="D4472">
        <v>245000</v>
      </c>
      <c r="E4472">
        <v>20000</v>
      </c>
      <c r="F4472">
        <v>245000</v>
      </c>
      <c r="G4472">
        <v>245000</v>
      </c>
      <c r="H4472">
        <v>2</v>
      </c>
      <c r="I4472" t="s">
        <v>585</v>
      </c>
      <c r="J4472">
        <v>52.47</v>
      </c>
      <c r="K4472">
        <v>0</v>
      </c>
      <c r="L4472">
        <v>4</v>
      </c>
      <c r="M4472" t="s">
        <v>6362</v>
      </c>
      <c r="N4472">
        <v>3</v>
      </c>
      <c r="O4472">
        <v>7.67</v>
      </c>
      <c r="P4472">
        <v>139800.48000000001</v>
      </c>
      <c r="Q4472">
        <v>232352.65</v>
      </c>
      <c r="R4472">
        <v>420</v>
      </c>
      <c r="S4472">
        <v>359</v>
      </c>
      <c r="T4472" t="s">
        <v>332</v>
      </c>
      <c r="U4472" t="s">
        <v>81</v>
      </c>
    </row>
    <row r="4473" spans="1:21">
      <c r="A4473" t="s">
        <v>6937</v>
      </c>
      <c r="B4473" t="s">
        <v>6536</v>
      </c>
      <c r="C4473" t="s">
        <v>709</v>
      </c>
      <c r="D4473">
        <v>250000</v>
      </c>
      <c r="E4473">
        <v>20000</v>
      </c>
      <c r="F4473">
        <v>250000</v>
      </c>
      <c r="G4473">
        <v>250000</v>
      </c>
      <c r="H4473">
        <v>2</v>
      </c>
      <c r="I4473" t="s">
        <v>585</v>
      </c>
      <c r="J4473">
        <v>52.47</v>
      </c>
      <c r="K4473">
        <v>0</v>
      </c>
      <c r="L4473">
        <v>4</v>
      </c>
      <c r="M4473" t="s">
        <v>6362</v>
      </c>
      <c r="N4473">
        <v>3</v>
      </c>
      <c r="O4473">
        <v>7.67</v>
      </c>
      <c r="P4473">
        <v>139800.48000000001</v>
      </c>
      <c r="Q4473">
        <v>232352.65</v>
      </c>
      <c r="R4473">
        <v>420</v>
      </c>
      <c r="S4473">
        <v>359</v>
      </c>
      <c r="T4473" t="s">
        <v>332</v>
      </c>
      <c r="U4473" t="s">
        <v>81</v>
      </c>
    </row>
    <row r="4474" spans="1:21">
      <c r="A4474" t="s">
        <v>6938</v>
      </c>
      <c r="B4474" t="s">
        <v>6536</v>
      </c>
      <c r="C4474" t="s">
        <v>709</v>
      </c>
      <c r="D4474">
        <v>255000</v>
      </c>
      <c r="E4474">
        <v>20000</v>
      </c>
      <c r="F4474">
        <v>255000</v>
      </c>
      <c r="G4474">
        <v>255000</v>
      </c>
      <c r="H4474">
        <v>4</v>
      </c>
      <c r="I4474" t="s">
        <v>585</v>
      </c>
      <c r="J4474">
        <v>52.47</v>
      </c>
      <c r="K4474">
        <v>0</v>
      </c>
      <c r="L4474">
        <v>4</v>
      </c>
      <c r="M4474" t="s">
        <v>6362</v>
      </c>
      <c r="N4474">
        <v>3</v>
      </c>
      <c r="O4474">
        <v>7.67</v>
      </c>
      <c r="P4474">
        <v>139800.48000000001</v>
      </c>
      <c r="Q4474">
        <v>232352.65</v>
      </c>
      <c r="R4474">
        <v>420</v>
      </c>
      <c r="S4474">
        <v>359</v>
      </c>
      <c r="T4474" t="s">
        <v>332</v>
      </c>
      <c r="U4474" t="s">
        <v>81</v>
      </c>
    </row>
    <row r="4475" spans="1:21">
      <c r="A4475" t="s">
        <v>6939</v>
      </c>
      <c r="B4475" t="s">
        <v>6536</v>
      </c>
      <c r="C4475" t="s">
        <v>709</v>
      </c>
      <c r="D4475">
        <v>265000</v>
      </c>
      <c r="E4475">
        <v>20000</v>
      </c>
      <c r="F4475">
        <v>265000</v>
      </c>
      <c r="G4475">
        <v>265000</v>
      </c>
      <c r="H4475">
        <v>4</v>
      </c>
      <c r="I4475" t="s">
        <v>585</v>
      </c>
      <c r="J4475">
        <v>52.47</v>
      </c>
      <c r="K4475">
        <v>0</v>
      </c>
      <c r="L4475">
        <v>4</v>
      </c>
      <c r="M4475" t="s">
        <v>6362</v>
      </c>
      <c r="N4475">
        <v>3</v>
      </c>
      <c r="O4475">
        <v>7.67</v>
      </c>
      <c r="P4475">
        <v>139800.48000000001</v>
      </c>
      <c r="Q4475">
        <v>232352.65</v>
      </c>
      <c r="R4475">
        <v>420</v>
      </c>
      <c r="S4475">
        <v>359</v>
      </c>
      <c r="T4475" t="s">
        <v>332</v>
      </c>
      <c r="U4475" t="s">
        <v>81</v>
      </c>
    </row>
    <row r="4476" spans="1:21">
      <c r="A4476" t="s">
        <v>6940</v>
      </c>
      <c r="B4476" t="s">
        <v>6941</v>
      </c>
      <c r="C4476" t="s">
        <v>3025</v>
      </c>
      <c r="D4476">
        <v>258000</v>
      </c>
      <c r="E4476">
        <v>10000</v>
      </c>
      <c r="F4476">
        <v>516000</v>
      </c>
      <c r="G4476">
        <v>258000</v>
      </c>
      <c r="H4476">
        <v>2</v>
      </c>
      <c r="I4476" t="s">
        <v>585</v>
      </c>
      <c r="J4476">
        <v>55.26</v>
      </c>
      <c r="K4476">
        <v>31</v>
      </c>
      <c r="L4476">
        <v>6</v>
      </c>
      <c r="M4476" t="s">
        <v>6362</v>
      </c>
      <c r="N4476">
        <v>6</v>
      </c>
      <c r="O4476">
        <v>8</v>
      </c>
      <c r="P4476">
        <v>139800.48000000001</v>
      </c>
      <c r="Q4476">
        <v>232352.65</v>
      </c>
      <c r="R4476">
        <v>420</v>
      </c>
      <c r="S4476">
        <v>359</v>
      </c>
      <c r="T4476" t="s">
        <v>332</v>
      </c>
      <c r="U4476" t="s">
        <v>49</v>
      </c>
    </row>
    <row r="4477" spans="1:21">
      <c r="A4477" t="s">
        <v>6942</v>
      </c>
      <c r="B4477" t="s">
        <v>6943</v>
      </c>
      <c r="C4477" t="s">
        <v>1768</v>
      </c>
      <c r="D4477">
        <v>170000</v>
      </c>
      <c r="E4477">
        <v>5000</v>
      </c>
      <c r="G4477">
        <v>170000</v>
      </c>
      <c r="H4477">
        <v>8</v>
      </c>
      <c r="I4477" t="s">
        <v>585</v>
      </c>
      <c r="J4477">
        <v>55</v>
      </c>
      <c r="K4477">
        <v>55</v>
      </c>
      <c r="L4477">
        <v>15</v>
      </c>
      <c r="M4477" t="s">
        <v>6362</v>
      </c>
      <c r="N4477">
        <v>10</v>
      </c>
      <c r="O4477">
        <v>10.67</v>
      </c>
      <c r="P4477">
        <v>139800.48000000001</v>
      </c>
      <c r="Q4477">
        <v>232352.65</v>
      </c>
      <c r="R4477">
        <v>420</v>
      </c>
      <c r="S4477">
        <v>359</v>
      </c>
      <c r="T4477" t="s">
        <v>332</v>
      </c>
      <c r="U4477" t="s">
        <v>57</v>
      </c>
    </row>
    <row r="4478" spans="1:21">
      <c r="A4478" t="s">
        <v>6944</v>
      </c>
      <c r="B4478" t="s">
        <v>6945</v>
      </c>
      <c r="C4478" t="s">
        <v>3059</v>
      </c>
      <c r="D4478">
        <v>210000</v>
      </c>
      <c r="E4478">
        <v>2000</v>
      </c>
      <c r="F4478">
        <v>210000</v>
      </c>
      <c r="G4478">
        <v>210000</v>
      </c>
      <c r="H4478">
        <v>2</v>
      </c>
      <c r="I4478" t="s">
        <v>585</v>
      </c>
      <c r="J4478">
        <v>61.1</v>
      </c>
      <c r="K4478">
        <v>38</v>
      </c>
      <c r="L4478">
        <v>3</v>
      </c>
      <c r="M4478" t="s">
        <v>6362</v>
      </c>
      <c r="N4478">
        <v>2</v>
      </c>
      <c r="O4478">
        <v>4.33</v>
      </c>
      <c r="P4478">
        <v>139800.48000000001</v>
      </c>
      <c r="Q4478">
        <v>232352.65</v>
      </c>
      <c r="R4478">
        <v>420</v>
      </c>
      <c r="S4478">
        <v>359</v>
      </c>
      <c r="T4478" t="s">
        <v>593</v>
      </c>
      <c r="U4478" t="s">
        <v>49</v>
      </c>
    </row>
    <row r="4479" spans="1:21">
      <c r="A4479" t="s">
        <v>6946</v>
      </c>
      <c r="B4479" t="s">
        <v>6947</v>
      </c>
      <c r="C4479" t="s">
        <v>1294</v>
      </c>
      <c r="D4479">
        <v>175000</v>
      </c>
      <c r="E4479">
        <v>5000</v>
      </c>
      <c r="F4479">
        <v>175000</v>
      </c>
      <c r="G4479">
        <v>175000</v>
      </c>
      <c r="H4479">
        <v>10</v>
      </c>
      <c r="I4479" t="s">
        <v>585</v>
      </c>
      <c r="J4479">
        <v>51.02</v>
      </c>
      <c r="K4479">
        <v>24</v>
      </c>
      <c r="L4479">
        <v>12</v>
      </c>
      <c r="M4479" t="s">
        <v>6362</v>
      </c>
      <c r="N4479">
        <v>11</v>
      </c>
      <c r="O4479">
        <v>13.67</v>
      </c>
      <c r="P4479">
        <v>139800.48000000001</v>
      </c>
      <c r="Q4479">
        <v>232352.65</v>
      </c>
      <c r="R4479">
        <v>420</v>
      </c>
      <c r="S4479">
        <v>359</v>
      </c>
      <c r="T4479" t="s">
        <v>332</v>
      </c>
      <c r="U4479" t="s">
        <v>27</v>
      </c>
    </row>
    <row r="4480" spans="1:21">
      <c r="A4480" t="s">
        <v>6948</v>
      </c>
      <c r="B4480" t="s">
        <v>6595</v>
      </c>
      <c r="C4480" t="s">
        <v>1768</v>
      </c>
      <c r="D4480">
        <v>304000</v>
      </c>
      <c r="E4480">
        <v>15000</v>
      </c>
      <c r="F4480">
        <v>304000</v>
      </c>
      <c r="H4480">
        <v>1</v>
      </c>
      <c r="I4480" t="s">
        <v>585</v>
      </c>
      <c r="J4480">
        <v>68.83</v>
      </c>
      <c r="K4480">
        <v>17</v>
      </c>
      <c r="L4480">
        <v>11</v>
      </c>
      <c r="M4480" t="s">
        <v>6362</v>
      </c>
      <c r="N4480">
        <v>8</v>
      </c>
      <c r="O4480">
        <v>10.67</v>
      </c>
      <c r="P4480">
        <v>139800.48000000001</v>
      </c>
      <c r="Q4480">
        <v>232352.65</v>
      </c>
      <c r="R4480">
        <v>420</v>
      </c>
      <c r="S4480">
        <v>359</v>
      </c>
      <c r="T4480" t="s">
        <v>593</v>
      </c>
      <c r="U4480" t="s">
        <v>90</v>
      </c>
    </row>
    <row r="4481" spans="1:21">
      <c r="A4481" t="s">
        <v>6949</v>
      </c>
      <c r="B4481" t="s">
        <v>6595</v>
      </c>
      <c r="C4481" t="s">
        <v>1768</v>
      </c>
      <c r="D4481">
        <v>307000</v>
      </c>
      <c r="E4481">
        <v>15000</v>
      </c>
      <c r="F4481">
        <v>307000</v>
      </c>
      <c r="G4481">
        <v>307000</v>
      </c>
      <c r="H4481">
        <v>1</v>
      </c>
      <c r="I4481" t="s">
        <v>585</v>
      </c>
      <c r="J4481">
        <v>68.83</v>
      </c>
      <c r="K4481">
        <v>17</v>
      </c>
      <c r="L4481">
        <v>11</v>
      </c>
      <c r="M4481" t="s">
        <v>6362</v>
      </c>
      <c r="N4481">
        <v>8</v>
      </c>
      <c r="O4481">
        <v>10.67</v>
      </c>
      <c r="P4481">
        <v>139800.48000000001</v>
      </c>
      <c r="Q4481">
        <v>232352.65</v>
      </c>
      <c r="R4481">
        <v>420</v>
      </c>
      <c r="S4481">
        <v>359</v>
      </c>
      <c r="T4481" t="s">
        <v>593</v>
      </c>
      <c r="U4481" t="s">
        <v>90</v>
      </c>
    </row>
    <row r="4482" spans="1:21">
      <c r="A4482" t="s">
        <v>6950</v>
      </c>
      <c r="B4482" t="s">
        <v>6595</v>
      </c>
      <c r="C4482" t="s">
        <v>1768</v>
      </c>
      <c r="D4482">
        <v>229000</v>
      </c>
      <c r="E4482">
        <v>17000</v>
      </c>
      <c r="F4482">
        <v>229000</v>
      </c>
      <c r="G4482">
        <v>229000</v>
      </c>
      <c r="H4482">
        <v>4</v>
      </c>
      <c r="I4482" t="s">
        <v>585</v>
      </c>
      <c r="J4482">
        <v>56.71</v>
      </c>
      <c r="K4482">
        <v>17</v>
      </c>
      <c r="L4482">
        <v>11</v>
      </c>
      <c r="M4482" t="s">
        <v>6362</v>
      </c>
      <c r="N4482">
        <v>8</v>
      </c>
      <c r="O4482">
        <v>10.67</v>
      </c>
      <c r="P4482">
        <v>139800.48000000001</v>
      </c>
      <c r="Q4482">
        <v>232352.65</v>
      </c>
      <c r="R4482">
        <v>420</v>
      </c>
      <c r="S4482">
        <v>359</v>
      </c>
      <c r="T4482" t="s">
        <v>332</v>
      </c>
      <c r="U4482" t="s">
        <v>90</v>
      </c>
    </row>
    <row r="4483" spans="1:21">
      <c r="A4483" t="s">
        <v>6951</v>
      </c>
      <c r="B4483" t="s">
        <v>6595</v>
      </c>
      <c r="C4483" t="s">
        <v>1768</v>
      </c>
      <c r="D4483">
        <v>310000</v>
      </c>
      <c r="E4483">
        <v>17000</v>
      </c>
      <c r="F4483">
        <v>310000</v>
      </c>
      <c r="H4483">
        <v>5</v>
      </c>
      <c r="I4483" t="s">
        <v>585</v>
      </c>
      <c r="J4483">
        <v>66.39</v>
      </c>
      <c r="K4483">
        <v>17</v>
      </c>
      <c r="L4483">
        <v>11</v>
      </c>
      <c r="M4483" t="s">
        <v>6362</v>
      </c>
      <c r="N4483">
        <v>8</v>
      </c>
      <c r="O4483">
        <v>10.67</v>
      </c>
      <c r="P4483">
        <v>139800.48000000001</v>
      </c>
      <c r="Q4483">
        <v>232352.65</v>
      </c>
      <c r="R4483">
        <v>420</v>
      </c>
      <c r="S4483">
        <v>359</v>
      </c>
      <c r="T4483" t="s">
        <v>593</v>
      </c>
      <c r="U4483" t="s">
        <v>90</v>
      </c>
    </row>
    <row r="4484" spans="1:21">
      <c r="A4484" t="s">
        <v>6952</v>
      </c>
      <c r="B4484" t="s">
        <v>6867</v>
      </c>
      <c r="C4484" t="s">
        <v>709</v>
      </c>
      <c r="D4484">
        <v>364099.99999999901</v>
      </c>
      <c r="E4484">
        <v>25000</v>
      </c>
      <c r="F4484">
        <v>364099.99999999901</v>
      </c>
      <c r="G4484">
        <v>364099.99999999901</v>
      </c>
      <c r="H4484">
        <v>13</v>
      </c>
      <c r="I4484" t="s">
        <v>6953</v>
      </c>
      <c r="J4484">
        <v>84.86</v>
      </c>
      <c r="K4484">
        <v>20</v>
      </c>
      <c r="L4484">
        <v>16</v>
      </c>
      <c r="M4484" t="s">
        <v>6362</v>
      </c>
      <c r="N4484">
        <v>2</v>
      </c>
      <c r="O4484">
        <v>6</v>
      </c>
      <c r="P4484">
        <v>139800.48000000001</v>
      </c>
      <c r="Q4484">
        <v>364100</v>
      </c>
      <c r="R4484">
        <v>420</v>
      </c>
      <c r="S4484">
        <v>1</v>
      </c>
      <c r="T4484" t="s">
        <v>413</v>
      </c>
      <c r="U4484" t="s">
        <v>90</v>
      </c>
    </row>
    <row r="4485" spans="1:21">
      <c r="A4485" t="s">
        <v>6954</v>
      </c>
      <c r="B4485" t="s">
        <v>6955</v>
      </c>
      <c r="C4485" t="s">
        <v>104</v>
      </c>
      <c r="D4485">
        <v>390000</v>
      </c>
      <c r="F4485">
        <v>390000</v>
      </c>
      <c r="G4485">
        <v>390000</v>
      </c>
      <c r="H4485">
        <v>1</v>
      </c>
      <c r="I4485" t="s">
        <v>642</v>
      </c>
      <c r="J4485">
        <v>78.55</v>
      </c>
      <c r="K4485">
        <v>4</v>
      </c>
      <c r="L4485">
        <v>3</v>
      </c>
      <c r="M4485" t="s">
        <v>6362</v>
      </c>
      <c r="N4485">
        <v>3</v>
      </c>
      <c r="O4485">
        <v>6.67</v>
      </c>
      <c r="P4485">
        <v>139800.48000000001</v>
      </c>
      <c r="Q4485">
        <v>282153.84999999998</v>
      </c>
      <c r="R4485">
        <v>420</v>
      </c>
      <c r="S4485">
        <v>26</v>
      </c>
      <c r="T4485" t="s">
        <v>596</v>
      </c>
      <c r="U4485" t="s">
        <v>31</v>
      </c>
    </row>
    <row r="4486" spans="1:21">
      <c r="A4486" t="s">
        <v>6956</v>
      </c>
      <c r="B4486" t="s">
        <v>6957</v>
      </c>
      <c r="C4486" t="s">
        <v>104</v>
      </c>
      <c r="D4486">
        <v>390000</v>
      </c>
      <c r="F4486">
        <v>390000</v>
      </c>
      <c r="G4486">
        <v>390000</v>
      </c>
      <c r="H4486">
        <v>1</v>
      </c>
      <c r="I4486" t="s">
        <v>642</v>
      </c>
      <c r="J4486">
        <v>78.55</v>
      </c>
      <c r="K4486">
        <v>4</v>
      </c>
      <c r="L4486">
        <v>3</v>
      </c>
      <c r="M4486" t="s">
        <v>6362</v>
      </c>
      <c r="N4486">
        <v>3</v>
      </c>
      <c r="O4486">
        <v>6.67</v>
      </c>
      <c r="P4486">
        <v>139800.48000000001</v>
      </c>
      <c r="Q4486">
        <v>282153.84999999998</v>
      </c>
      <c r="R4486">
        <v>420</v>
      </c>
      <c r="S4486">
        <v>26</v>
      </c>
      <c r="T4486" t="s">
        <v>596</v>
      </c>
      <c r="U4486" t="s">
        <v>31</v>
      </c>
    </row>
    <row r="4487" spans="1:21">
      <c r="A4487" t="s">
        <v>6958</v>
      </c>
      <c r="B4487" t="s">
        <v>6492</v>
      </c>
      <c r="C4487" t="s">
        <v>1768</v>
      </c>
      <c r="D4487">
        <v>433000</v>
      </c>
      <c r="E4487">
        <v>17000</v>
      </c>
      <c r="F4487">
        <v>433000</v>
      </c>
      <c r="G4487">
        <v>433000</v>
      </c>
      <c r="H4487">
        <v>6</v>
      </c>
      <c r="I4487" t="s">
        <v>654</v>
      </c>
      <c r="J4487">
        <v>82.92</v>
      </c>
      <c r="K4487">
        <v>17</v>
      </c>
      <c r="L4487">
        <v>10</v>
      </c>
      <c r="M4487" t="s">
        <v>6362</v>
      </c>
      <c r="N4487">
        <v>9</v>
      </c>
      <c r="O4487">
        <v>10.33</v>
      </c>
      <c r="P4487">
        <v>139800.48000000001</v>
      </c>
      <c r="Q4487">
        <v>288705.81</v>
      </c>
      <c r="R4487">
        <v>420</v>
      </c>
      <c r="S4487">
        <v>155</v>
      </c>
      <c r="T4487" t="s">
        <v>413</v>
      </c>
      <c r="U4487" t="s">
        <v>90</v>
      </c>
    </row>
    <row r="4488" spans="1:21">
      <c r="A4488" t="s">
        <v>6959</v>
      </c>
      <c r="B4488" t="s">
        <v>6960</v>
      </c>
      <c r="C4488" t="s">
        <v>3025</v>
      </c>
      <c r="D4488">
        <v>350000</v>
      </c>
      <c r="E4488">
        <v>20000</v>
      </c>
      <c r="F4488">
        <v>350000</v>
      </c>
      <c r="G4488">
        <v>350000</v>
      </c>
      <c r="H4488">
        <v>5</v>
      </c>
      <c r="I4488" t="s">
        <v>654</v>
      </c>
      <c r="J4488">
        <v>73.14</v>
      </c>
      <c r="K4488">
        <v>6</v>
      </c>
      <c r="L4488">
        <v>8</v>
      </c>
      <c r="M4488" t="s">
        <v>6362</v>
      </c>
      <c r="N4488">
        <v>5</v>
      </c>
      <c r="O4488">
        <v>8</v>
      </c>
      <c r="P4488">
        <v>139800.48000000001</v>
      </c>
      <c r="Q4488">
        <v>288705.81</v>
      </c>
      <c r="R4488">
        <v>420</v>
      </c>
      <c r="S4488">
        <v>155</v>
      </c>
      <c r="T4488" t="s">
        <v>596</v>
      </c>
      <c r="U4488" t="s">
        <v>31</v>
      </c>
    </row>
    <row r="4489" spans="1:21">
      <c r="A4489" t="s">
        <v>6961</v>
      </c>
      <c r="B4489" t="s">
        <v>6960</v>
      </c>
      <c r="C4489" t="s">
        <v>3025</v>
      </c>
      <c r="D4489">
        <v>340000</v>
      </c>
      <c r="E4489">
        <v>10000</v>
      </c>
      <c r="F4489">
        <v>340000</v>
      </c>
      <c r="G4489">
        <v>340000</v>
      </c>
      <c r="H4489">
        <v>6</v>
      </c>
      <c r="I4489" t="s">
        <v>654</v>
      </c>
      <c r="J4489">
        <v>75.13</v>
      </c>
      <c r="K4489">
        <v>6</v>
      </c>
      <c r="L4489">
        <v>8</v>
      </c>
      <c r="M4489" t="s">
        <v>6362</v>
      </c>
      <c r="N4489">
        <v>5</v>
      </c>
      <c r="O4489">
        <v>8</v>
      </c>
      <c r="P4489">
        <v>139800.48000000001</v>
      </c>
      <c r="Q4489">
        <v>288705.81</v>
      </c>
      <c r="R4489">
        <v>420</v>
      </c>
      <c r="S4489">
        <v>155</v>
      </c>
      <c r="T4489" t="s">
        <v>596</v>
      </c>
      <c r="U4489" t="s">
        <v>31</v>
      </c>
    </row>
    <row r="4490" spans="1:21">
      <c r="A4490" s="13" t="s">
        <v>6962</v>
      </c>
      <c r="B4490" t="s">
        <v>6943</v>
      </c>
      <c r="C4490" t="s">
        <v>1768</v>
      </c>
      <c r="D4490">
        <v>200000</v>
      </c>
      <c r="F4490">
        <v>400000</v>
      </c>
      <c r="G4490">
        <v>200000</v>
      </c>
      <c r="H4490">
        <v>13</v>
      </c>
      <c r="I4490" t="s">
        <v>654</v>
      </c>
      <c r="J4490">
        <v>55</v>
      </c>
      <c r="K4490">
        <v>55</v>
      </c>
      <c r="L4490">
        <v>15</v>
      </c>
      <c r="M4490" t="s">
        <v>6362</v>
      </c>
      <c r="N4490">
        <v>10</v>
      </c>
      <c r="O4490">
        <v>10.67</v>
      </c>
      <c r="P4490">
        <v>139800.48000000001</v>
      </c>
      <c r="Q4490">
        <v>288705.81</v>
      </c>
      <c r="R4490">
        <v>420</v>
      </c>
      <c r="S4490">
        <v>155</v>
      </c>
      <c r="T4490" t="s">
        <v>332</v>
      </c>
      <c r="U4490" t="s">
        <v>57</v>
      </c>
    </row>
    <row r="4491" spans="1:21">
      <c r="A4491" t="s">
        <v>6963</v>
      </c>
      <c r="B4491" t="s">
        <v>6943</v>
      </c>
      <c r="C4491" t="s">
        <v>1768</v>
      </c>
      <c r="D4491">
        <v>220000</v>
      </c>
      <c r="E4491">
        <v>10000</v>
      </c>
      <c r="F4491">
        <v>220000</v>
      </c>
      <c r="G4491">
        <v>220000</v>
      </c>
      <c r="H4491">
        <v>13</v>
      </c>
      <c r="I4491" t="s">
        <v>654</v>
      </c>
      <c r="J4491">
        <v>59.65</v>
      </c>
      <c r="K4491">
        <v>55</v>
      </c>
      <c r="L4491">
        <v>15</v>
      </c>
      <c r="M4491" t="s">
        <v>6362</v>
      </c>
      <c r="N4491">
        <v>10</v>
      </c>
      <c r="O4491">
        <v>10.67</v>
      </c>
      <c r="P4491">
        <v>139800.48000000001</v>
      </c>
      <c r="Q4491">
        <v>288705.81</v>
      </c>
      <c r="R4491">
        <v>420</v>
      </c>
      <c r="S4491">
        <v>155</v>
      </c>
      <c r="T4491" t="s">
        <v>332</v>
      </c>
      <c r="U4491" t="s">
        <v>57</v>
      </c>
    </row>
    <row r="4492" spans="1:21">
      <c r="A4492" s="13" t="s">
        <v>6964</v>
      </c>
      <c r="B4492" t="s">
        <v>6965</v>
      </c>
      <c r="C4492" t="s">
        <v>3025</v>
      </c>
      <c r="D4492">
        <v>340000</v>
      </c>
      <c r="E4492">
        <v>10000</v>
      </c>
      <c r="F4492">
        <v>340000</v>
      </c>
      <c r="G4492">
        <v>340000</v>
      </c>
      <c r="H4492">
        <v>6</v>
      </c>
      <c r="I4492" t="s">
        <v>654</v>
      </c>
      <c r="J4492">
        <v>75.13</v>
      </c>
      <c r="K4492">
        <v>6</v>
      </c>
      <c r="L4492">
        <v>8</v>
      </c>
      <c r="M4492" t="s">
        <v>6362</v>
      </c>
      <c r="N4492">
        <v>7</v>
      </c>
      <c r="O4492">
        <v>8</v>
      </c>
      <c r="P4492">
        <v>139800.48000000001</v>
      </c>
      <c r="Q4492">
        <v>288705.81</v>
      </c>
      <c r="R4492">
        <v>420</v>
      </c>
      <c r="S4492">
        <v>155</v>
      </c>
      <c r="T4492" t="s">
        <v>596</v>
      </c>
      <c r="U4492" t="s">
        <v>31</v>
      </c>
    </row>
    <row r="4493" spans="1:21">
      <c r="A4493" t="s">
        <v>6966</v>
      </c>
      <c r="B4493" t="s">
        <v>6967</v>
      </c>
      <c r="C4493" t="s">
        <v>1768</v>
      </c>
      <c r="D4493">
        <v>220000</v>
      </c>
      <c r="E4493">
        <v>10000</v>
      </c>
      <c r="F4493">
        <v>220000</v>
      </c>
      <c r="G4493">
        <v>220000</v>
      </c>
      <c r="H4493">
        <v>13</v>
      </c>
      <c r="I4493" t="s">
        <v>654</v>
      </c>
      <c r="J4493">
        <v>59.65</v>
      </c>
      <c r="K4493">
        <v>54</v>
      </c>
      <c r="L4493">
        <v>14</v>
      </c>
      <c r="M4493" t="s">
        <v>6362</v>
      </c>
      <c r="N4493">
        <v>9</v>
      </c>
      <c r="O4493">
        <v>11.33</v>
      </c>
      <c r="P4493">
        <v>139800.48000000001</v>
      </c>
      <c r="Q4493">
        <v>288705.81</v>
      </c>
      <c r="R4493">
        <v>420</v>
      </c>
      <c r="S4493">
        <v>155</v>
      </c>
      <c r="T4493" t="s">
        <v>332</v>
      </c>
      <c r="U4493" t="s">
        <v>57</v>
      </c>
    </row>
    <row r="4494" spans="1:21">
      <c r="A4494" s="13" t="s">
        <v>6968</v>
      </c>
      <c r="B4494" t="s">
        <v>6595</v>
      </c>
      <c r="C4494" t="s">
        <v>1768</v>
      </c>
      <c r="D4494">
        <v>433000</v>
      </c>
      <c r="E4494">
        <v>17000</v>
      </c>
      <c r="F4494">
        <v>433000</v>
      </c>
      <c r="G4494">
        <v>433000</v>
      </c>
      <c r="H4494">
        <v>6</v>
      </c>
      <c r="I4494" t="s">
        <v>654</v>
      </c>
      <c r="J4494">
        <v>82.92</v>
      </c>
      <c r="K4494">
        <v>17</v>
      </c>
      <c r="L4494">
        <v>11</v>
      </c>
      <c r="M4494" t="s">
        <v>6362</v>
      </c>
      <c r="N4494">
        <v>8</v>
      </c>
      <c r="O4494">
        <v>10.67</v>
      </c>
      <c r="P4494">
        <v>139800.48000000001</v>
      </c>
      <c r="Q4494">
        <v>288705.81</v>
      </c>
      <c r="R4494">
        <v>420</v>
      </c>
      <c r="S4494">
        <v>155</v>
      </c>
      <c r="T4494" t="s">
        <v>413</v>
      </c>
      <c r="U4494" t="s">
        <v>90</v>
      </c>
    </row>
    <row r="4495" spans="1:21">
      <c r="A4495" t="s">
        <v>6969</v>
      </c>
      <c r="B4495" t="s">
        <v>6970</v>
      </c>
      <c r="C4495" t="s">
        <v>1890</v>
      </c>
      <c r="D4495">
        <v>230000</v>
      </c>
      <c r="F4495">
        <v>230000</v>
      </c>
      <c r="G4495">
        <v>230000</v>
      </c>
      <c r="H4495">
        <v>1</v>
      </c>
      <c r="I4495" t="s">
        <v>678</v>
      </c>
      <c r="J4495">
        <v>71.2</v>
      </c>
      <c r="K4495">
        <v>47</v>
      </c>
      <c r="L4495">
        <v>2</v>
      </c>
      <c r="M4495" t="s">
        <v>6362</v>
      </c>
      <c r="N4495">
        <v>10</v>
      </c>
      <c r="O4495">
        <v>12</v>
      </c>
      <c r="P4495">
        <v>139800.48000000001</v>
      </c>
      <c r="Q4495">
        <v>226000</v>
      </c>
      <c r="R4495">
        <v>420</v>
      </c>
      <c r="S4495">
        <v>5</v>
      </c>
      <c r="T4495" t="s">
        <v>596</v>
      </c>
      <c r="U4495" t="s">
        <v>42</v>
      </c>
    </row>
    <row r="4496" spans="1:21">
      <c r="A4496" t="s">
        <v>6969</v>
      </c>
      <c r="B4496" t="s">
        <v>6970</v>
      </c>
      <c r="C4496" t="s">
        <v>1890</v>
      </c>
      <c r="D4496">
        <v>230000</v>
      </c>
      <c r="F4496">
        <v>230000</v>
      </c>
      <c r="G4496">
        <v>230000</v>
      </c>
      <c r="H4496">
        <v>2</v>
      </c>
      <c r="I4496" t="s">
        <v>678</v>
      </c>
      <c r="J4496">
        <v>71.2</v>
      </c>
      <c r="K4496">
        <v>47</v>
      </c>
      <c r="L4496">
        <v>2</v>
      </c>
      <c r="M4496" t="s">
        <v>6362</v>
      </c>
      <c r="N4496">
        <v>10</v>
      </c>
      <c r="O4496">
        <v>12</v>
      </c>
      <c r="P4496">
        <v>139800.48000000001</v>
      </c>
      <c r="Q4496">
        <v>226000</v>
      </c>
      <c r="R4496">
        <v>420</v>
      </c>
      <c r="S4496">
        <v>5</v>
      </c>
      <c r="T4496" t="s">
        <v>596</v>
      </c>
      <c r="U4496" t="s">
        <v>42</v>
      </c>
    </row>
    <row r="4497" spans="1:21">
      <c r="A4497" t="s">
        <v>6971</v>
      </c>
      <c r="B4497" t="s">
        <v>6972</v>
      </c>
      <c r="C4497" t="s">
        <v>6973</v>
      </c>
      <c r="D4497">
        <v>76000</v>
      </c>
      <c r="E4497">
        <v>3000</v>
      </c>
      <c r="F4497">
        <v>76000</v>
      </c>
      <c r="G4497">
        <v>76000</v>
      </c>
      <c r="H4497">
        <v>1</v>
      </c>
      <c r="I4497" t="s">
        <v>89</v>
      </c>
      <c r="J4497">
        <v>22.77</v>
      </c>
      <c r="K4497">
        <v>23</v>
      </c>
      <c r="L4497">
        <v>2</v>
      </c>
      <c r="M4497" t="s">
        <v>6974</v>
      </c>
      <c r="N4497">
        <v>7</v>
      </c>
      <c r="O4497">
        <v>12</v>
      </c>
      <c r="P4497">
        <v>75333.33</v>
      </c>
      <c r="Q4497">
        <v>95329.65</v>
      </c>
      <c r="R4497">
        <v>3</v>
      </c>
      <c r="S4497">
        <v>1622</v>
      </c>
      <c r="T4497" t="s">
        <v>34</v>
      </c>
      <c r="U4497" t="s">
        <v>27</v>
      </c>
    </row>
    <row r="4498" spans="1:21">
      <c r="A4498" t="s">
        <v>6975</v>
      </c>
      <c r="B4498" t="s">
        <v>6976</v>
      </c>
      <c r="C4498" t="s">
        <v>6973</v>
      </c>
      <c r="D4498">
        <v>76000</v>
      </c>
      <c r="E4498">
        <v>3000</v>
      </c>
      <c r="F4498">
        <v>76000</v>
      </c>
      <c r="G4498">
        <v>76000</v>
      </c>
      <c r="H4498">
        <v>1</v>
      </c>
      <c r="I4498" t="s">
        <v>89</v>
      </c>
      <c r="J4498">
        <v>22.77</v>
      </c>
      <c r="K4498">
        <v>23</v>
      </c>
      <c r="L4498">
        <v>2</v>
      </c>
      <c r="M4498" t="s">
        <v>6974</v>
      </c>
      <c r="N4498">
        <v>7</v>
      </c>
      <c r="O4498">
        <v>12</v>
      </c>
      <c r="P4498">
        <v>75333.33</v>
      </c>
      <c r="Q4498">
        <v>95329.65</v>
      </c>
      <c r="R4498">
        <v>3</v>
      </c>
      <c r="S4498">
        <v>1622</v>
      </c>
      <c r="T4498" t="s">
        <v>34</v>
      </c>
      <c r="U4498" t="s">
        <v>27</v>
      </c>
    </row>
    <row r="4499" spans="1:21">
      <c r="A4499" t="s">
        <v>6977</v>
      </c>
      <c r="B4499" t="s">
        <v>6978</v>
      </c>
      <c r="C4499" t="s">
        <v>6973</v>
      </c>
      <c r="D4499">
        <v>74000</v>
      </c>
      <c r="E4499">
        <v>3000</v>
      </c>
      <c r="H4499">
        <v>2</v>
      </c>
      <c r="I4499" t="s">
        <v>432</v>
      </c>
      <c r="J4499">
        <v>18.47</v>
      </c>
      <c r="K4499">
        <v>11</v>
      </c>
      <c r="L4499">
        <v>3</v>
      </c>
      <c r="M4499" t="s">
        <v>6974</v>
      </c>
      <c r="N4499">
        <v>8</v>
      </c>
      <c r="O4499">
        <v>13.33</v>
      </c>
      <c r="P4499">
        <v>75333.33</v>
      </c>
      <c r="Q4499">
        <v>77692.34</v>
      </c>
      <c r="R4499">
        <v>3</v>
      </c>
      <c r="S4499">
        <v>1071</v>
      </c>
      <c r="T4499" t="s">
        <v>108</v>
      </c>
      <c r="U4499" t="s">
        <v>90</v>
      </c>
    </row>
    <row r="4500" spans="1:21">
      <c r="A4500" t="s">
        <v>6979</v>
      </c>
      <c r="B4500" t="s">
        <v>6980</v>
      </c>
      <c r="C4500" t="s">
        <v>6981</v>
      </c>
      <c r="D4500">
        <v>74000</v>
      </c>
      <c r="E4500">
        <v>8000</v>
      </c>
      <c r="F4500">
        <v>74000</v>
      </c>
      <c r="G4500">
        <v>74000</v>
      </c>
      <c r="H4500">
        <v>4</v>
      </c>
      <c r="I4500" t="s">
        <v>89</v>
      </c>
      <c r="J4500">
        <v>21</v>
      </c>
      <c r="K4500">
        <v>23</v>
      </c>
      <c r="L4500">
        <v>7</v>
      </c>
      <c r="M4500" t="s">
        <v>6982</v>
      </c>
      <c r="N4500">
        <v>8</v>
      </c>
      <c r="O4500">
        <v>17</v>
      </c>
      <c r="P4500">
        <v>64000</v>
      </c>
      <c r="Q4500">
        <v>95329.65</v>
      </c>
      <c r="R4500">
        <v>5</v>
      </c>
      <c r="S4500">
        <v>1622</v>
      </c>
      <c r="T4500" t="s">
        <v>34</v>
      </c>
      <c r="U4500" t="s">
        <v>27</v>
      </c>
    </row>
    <row r="4501" spans="1:21">
      <c r="A4501" t="s">
        <v>6983</v>
      </c>
      <c r="B4501" t="s">
        <v>6984</v>
      </c>
      <c r="C4501" t="s">
        <v>5247</v>
      </c>
      <c r="D4501">
        <v>65000</v>
      </c>
      <c r="E4501">
        <v>6000</v>
      </c>
      <c r="F4501">
        <v>65000</v>
      </c>
      <c r="G4501">
        <v>65000</v>
      </c>
      <c r="H4501">
        <v>3</v>
      </c>
      <c r="I4501" t="s">
        <v>89</v>
      </c>
      <c r="J4501">
        <v>21.33</v>
      </c>
      <c r="K4501">
        <v>29</v>
      </c>
      <c r="L4501">
        <v>7</v>
      </c>
      <c r="M4501" t="s">
        <v>6982</v>
      </c>
      <c r="N4501">
        <v>4</v>
      </c>
      <c r="O4501">
        <v>14</v>
      </c>
      <c r="P4501">
        <v>64000</v>
      </c>
      <c r="Q4501">
        <v>95329.65</v>
      </c>
      <c r="R4501">
        <v>5</v>
      </c>
      <c r="S4501">
        <v>1622</v>
      </c>
      <c r="T4501" t="s">
        <v>34</v>
      </c>
      <c r="U4501" t="s">
        <v>27</v>
      </c>
    </row>
    <row r="4502" spans="1:21">
      <c r="A4502" t="s">
        <v>6985</v>
      </c>
      <c r="B4502" t="s">
        <v>6986</v>
      </c>
      <c r="C4502" t="s">
        <v>5247</v>
      </c>
      <c r="D4502">
        <v>55000</v>
      </c>
      <c r="E4502">
        <v>3000</v>
      </c>
      <c r="G4502">
        <v>55000</v>
      </c>
      <c r="H4502">
        <v>2</v>
      </c>
      <c r="I4502" t="s">
        <v>432</v>
      </c>
      <c r="J4502">
        <v>12.23</v>
      </c>
      <c r="K4502">
        <v>18</v>
      </c>
      <c r="L4502">
        <v>2</v>
      </c>
      <c r="M4502" t="s">
        <v>6982</v>
      </c>
      <c r="N4502">
        <v>9</v>
      </c>
      <c r="O4502">
        <v>12</v>
      </c>
      <c r="P4502">
        <v>64000</v>
      </c>
      <c r="Q4502">
        <v>77692.34</v>
      </c>
      <c r="R4502">
        <v>5</v>
      </c>
      <c r="S4502">
        <v>1071</v>
      </c>
      <c r="T4502" t="s">
        <v>108</v>
      </c>
      <c r="U4502" t="s">
        <v>90</v>
      </c>
    </row>
    <row r="4503" spans="1:21">
      <c r="A4503" t="s">
        <v>6987</v>
      </c>
      <c r="B4503" t="s">
        <v>6988</v>
      </c>
      <c r="C4503" t="s">
        <v>5247</v>
      </c>
      <c r="D4503">
        <v>72000</v>
      </c>
      <c r="E4503">
        <v>2000</v>
      </c>
      <c r="F4503">
        <v>72000</v>
      </c>
      <c r="G4503">
        <v>72000</v>
      </c>
      <c r="H4503">
        <v>1</v>
      </c>
      <c r="I4503" t="s">
        <v>432</v>
      </c>
      <c r="J4503">
        <v>16.260000000000002</v>
      </c>
      <c r="K4503">
        <v>10</v>
      </c>
      <c r="L4503">
        <v>3</v>
      </c>
      <c r="M4503" t="s">
        <v>6982</v>
      </c>
      <c r="N4503">
        <v>11</v>
      </c>
      <c r="O4503">
        <v>13</v>
      </c>
      <c r="P4503">
        <v>64000</v>
      </c>
      <c r="Q4503">
        <v>77692.34</v>
      </c>
      <c r="R4503">
        <v>5</v>
      </c>
      <c r="S4503">
        <v>1071</v>
      </c>
      <c r="T4503" t="s">
        <v>108</v>
      </c>
      <c r="U4503" t="s">
        <v>31</v>
      </c>
    </row>
    <row r="4504" spans="1:21">
      <c r="A4504" t="s">
        <v>6989</v>
      </c>
      <c r="B4504" t="s">
        <v>6990</v>
      </c>
      <c r="C4504" t="s">
        <v>6991</v>
      </c>
      <c r="D4504">
        <v>54000</v>
      </c>
      <c r="E4504">
        <v>3000</v>
      </c>
      <c r="F4504">
        <v>54000</v>
      </c>
      <c r="H4504">
        <v>1</v>
      </c>
      <c r="I4504" t="s">
        <v>432</v>
      </c>
      <c r="J4504">
        <v>20</v>
      </c>
      <c r="K4504">
        <v>48</v>
      </c>
      <c r="L4504">
        <v>2</v>
      </c>
      <c r="M4504" t="s">
        <v>6982</v>
      </c>
      <c r="N4504">
        <v>3</v>
      </c>
      <c r="O4504">
        <v>17.670000000000002</v>
      </c>
      <c r="P4504">
        <v>64000</v>
      </c>
      <c r="Q4504">
        <v>77692.34</v>
      </c>
      <c r="R4504">
        <v>5</v>
      </c>
      <c r="S4504">
        <v>1071</v>
      </c>
      <c r="T4504" t="s">
        <v>34</v>
      </c>
      <c r="U4504" t="s">
        <v>42</v>
      </c>
    </row>
    <row r="4505" spans="1:21">
      <c r="A4505" t="s">
        <v>6992</v>
      </c>
      <c r="B4505" t="s">
        <v>6993</v>
      </c>
      <c r="C4505" t="s">
        <v>94</v>
      </c>
      <c r="D4505">
        <v>85000</v>
      </c>
      <c r="F4505">
        <v>85000</v>
      </c>
      <c r="H4505">
        <v>2</v>
      </c>
      <c r="I4505" t="s">
        <v>24</v>
      </c>
      <c r="J4505">
        <v>28.77</v>
      </c>
      <c r="K4505">
        <v>47</v>
      </c>
      <c r="L4505">
        <v>4</v>
      </c>
      <c r="M4505" t="s">
        <v>6994</v>
      </c>
      <c r="N4505">
        <v>7</v>
      </c>
      <c r="O4505">
        <v>12.67</v>
      </c>
      <c r="P4505">
        <v>154556.70000000001</v>
      </c>
      <c r="Q4505">
        <v>123325.96</v>
      </c>
      <c r="R4505">
        <v>261</v>
      </c>
      <c r="S4505">
        <v>339</v>
      </c>
      <c r="T4505" t="s">
        <v>34</v>
      </c>
      <c r="U4505" t="s">
        <v>42</v>
      </c>
    </row>
    <row r="4506" spans="1:21">
      <c r="A4506" t="s">
        <v>6995</v>
      </c>
      <c r="B4506" t="s">
        <v>6996</v>
      </c>
      <c r="C4506" t="s">
        <v>48</v>
      </c>
      <c r="D4506">
        <v>155000</v>
      </c>
      <c r="E4506">
        <v>15000</v>
      </c>
      <c r="F4506">
        <v>155000</v>
      </c>
      <c r="G4506">
        <v>310000</v>
      </c>
      <c r="H4506">
        <v>6</v>
      </c>
      <c r="I4506" t="s">
        <v>24</v>
      </c>
      <c r="J4506">
        <v>32.770000000000003</v>
      </c>
      <c r="K4506">
        <v>17</v>
      </c>
      <c r="L4506">
        <v>15</v>
      </c>
      <c r="M4506" t="s">
        <v>6994</v>
      </c>
      <c r="N4506">
        <v>3</v>
      </c>
      <c r="O4506">
        <v>6</v>
      </c>
      <c r="P4506">
        <v>154556.70000000001</v>
      </c>
      <c r="Q4506">
        <v>123325.96</v>
      </c>
      <c r="R4506">
        <v>261</v>
      </c>
      <c r="S4506">
        <v>339</v>
      </c>
      <c r="T4506" t="s">
        <v>26</v>
      </c>
      <c r="U4506" t="s">
        <v>90</v>
      </c>
    </row>
    <row r="4507" spans="1:21">
      <c r="A4507" t="s">
        <v>6997</v>
      </c>
      <c r="B4507" t="s">
        <v>6996</v>
      </c>
      <c r="C4507" t="s">
        <v>48</v>
      </c>
      <c r="D4507">
        <v>149000</v>
      </c>
      <c r="E4507">
        <v>15000</v>
      </c>
      <c r="F4507">
        <v>149000</v>
      </c>
      <c r="G4507">
        <v>149000</v>
      </c>
      <c r="H4507">
        <v>7</v>
      </c>
      <c r="I4507" t="s">
        <v>24</v>
      </c>
      <c r="J4507">
        <v>32.770000000000003</v>
      </c>
      <c r="K4507">
        <v>17</v>
      </c>
      <c r="L4507">
        <v>15</v>
      </c>
      <c r="M4507" t="s">
        <v>6994</v>
      </c>
      <c r="N4507">
        <v>3</v>
      </c>
      <c r="O4507">
        <v>6</v>
      </c>
      <c r="P4507">
        <v>154556.70000000001</v>
      </c>
      <c r="Q4507">
        <v>123325.96</v>
      </c>
      <c r="R4507">
        <v>261</v>
      </c>
      <c r="S4507">
        <v>339</v>
      </c>
      <c r="T4507" t="s">
        <v>26</v>
      </c>
      <c r="U4507" t="s">
        <v>90</v>
      </c>
    </row>
    <row r="4508" spans="1:21">
      <c r="A4508" t="s">
        <v>6998</v>
      </c>
      <c r="B4508" t="s">
        <v>6999</v>
      </c>
      <c r="C4508" t="s">
        <v>94</v>
      </c>
      <c r="D4508">
        <v>139000</v>
      </c>
      <c r="E4508">
        <v>7000</v>
      </c>
      <c r="G4508">
        <v>139000</v>
      </c>
      <c r="H4508">
        <v>1</v>
      </c>
      <c r="I4508" t="s">
        <v>24</v>
      </c>
      <c r="J4508">
        <v>25.36</v>
      </c>
      <c r="K4508">
        <v>0</v>
      </c>
      <c r="L4508">
        <v>4</v>
      </c>
      <c r="M4508" t="s">
        <v>6994</v>
      </c>
      <c r="N4508">
        <v>10</v>
      </c>
      <c r="O4508">
        <v>11</v>
      </c>
      <c r="P4508">
        <v>154556.70000000001</v>
      </c>
      <c r="Q4508">
        <v>123325.96</v>
      </c>
      <c r="R4508">
        <v>261</v>
      </c>
      <c r="S4508">
        <v>339</v>
      </c>
      <c r="T4508" t="s">
        <v>34</v>
      </c>
      <c r="U4508" t="s">
        <v>81</v>
      </c>
    </row>
    <row r="4509" spans="1:21">
      <c r="A4509" t="s">
        <v>7000</v>
      </c>
      <c r="B4509" t="s">
        <v>7001</v>
      </c>
      <c r="C4509" t="s">
        <v>94</v>
      </c>
      <c r="D4509">
        <v>130000</v>
      </c>
      <c r="E4509">
        <v>5000</v>
      </c>
      <c r="F4509">
        <v>130000</v>
      </c>
      <c r="G4509">
        <v>130000</v>
      </c>
      <c r="H4509">
        <v>4</v>
      </c>
      <c r="I4509" t="s">
        <v>24</v>
      </c>
      <c r="J4509">
        <v>33.6</v>
      </c>
      <c r="K4509">
        <v>36</v>
      </c>
      <c r="L4509">
        <v>5</v>
      </c>
      <c r="M4509" t="s">
        <v>6994</v>
      </c>
      <c r="N4509">
        <v>7</v>
      </c>
      <c r="O4509">
        <v>8.67</v>
      </c>
      <c r="P4509">
        <v>154556.70000000001</v>
      </c>
      <c r="Q4509">
        <v>123325.96</v>
      </c>
      <c r="R4509">
        <v>261</v>
      </c>
      <c r="S4509">
        <v>339</v>
      </c>
      <c r="T4509" t="s">
        <v>26</v>
      </c>
      <c r="U4509" t="s">
        <v>49</v>
      </c>
    </row>
    <row r="4510" spans="1:21">
      <c r="A4510" t="s">
        <v>7002</v>
      </c>
      <c r="B4510" t="s">
        <v>7003</v>
      </c>
      <c r="C4510" t="s">
        <v>7004</v>
      </c>
      <c r="D4510">
        <v>142000</v>
      </c>
      <c r="E4510">
        <v>15000</v>
      </c>
      <c r="G4510">
        <v>142000</v>
      </c>
      <c r="H4510">
        <v>4</v>
      </c>
      <c r="I4510" t="s">
        <v>24</v>
      </c>
      <c r="J4510">
        <v>25.05</v>
      </c>
      <c r="K4510">
        <v>4</v>
      </c>
      <c r="L4510">
        <v>6</v>
      </c>
      <c r="M4510" t="s">
        <v>6994</v>
      </c>
      <c r="N4510">
        <v>3</v>
      </c>
      <c r="O4510">
        <v>10.33</v>
      </c>
      <c r="P4510">
        <v>154556.70000000001</v>
      </c>
      <c r="Q4510">
        <v>123325.96</v>
      </c>
      <c r="R4510">
        <v>261</v>
      </c>
      <c r="S4510">
        <v>339</v>
      </c>
      <c r="T4510" t="s">
        <v>34</v>
      </c>
      <c r="U4510" t="s">
        <v>31</v>
      </c>
    </row>
    <row r="4511" spans="1:21">
      <c r="A4511" t="s">
        <v>7005</v>
      </c>
      <c r="B4511" t="s">
        <v>7006</v>
      </c>
      <c r="C4511" t="s">
        <v>48</v>
      </c>
      <c r="D4511">
        <v>95000</v>
      </c>
      <c r="E4511">
        <v>3000</v>
      </c>
      <c r="F4511">
        <v>95000</v>
      </c>
      <c r="G4511">
        <v>95000</v>
      </c>
      <c r="H4511">
        <v>3</v>
      </c>
      <c r="I4511" t="s">
        <v>24</v>
      </c>
      <c r="J4511">
        <v>21.91</v>
      </c>
      <c r="K4511">
        <v>38</v>
      </c>
      <c r="L4511">
        <v>3</v>
      </c>
      <c r="M4511" t="s">
        <v>6994</v>
      </c>
      <c r="N4511">
        <v>6</v>
      </c>
      <c r="O4511">
        <v>8</v>
      </c>
      <c r="P4511">
        <v>154556.70000000001</v>
      </c>
      <c r="Q4511">
        <v>123325.96</v>
      </c>
      <c r="R4511">
        <v>261</v>
      </c>
      <c r="S4511">
        <v>339</v>
      </c>
      <c r="T4511" t="s">
        <v>34</v>
      </c>
      <c r="U4511" t="s">
        <v>49</v>
      </c>
    </row>
    <row r="4512" spans="1:21">
      <c r="A4512" t="s">
        <v>7007</v>
      </c>
      <c r="B4512" t="s">
        <v>7008</v>
      </c>
      <c r="C4512" t="s">
        <v>48</v>
      </c>
      <c r="D4512">
        <v>73000</v>
      </c>
      <c r="F4512">
        <v>73000</v>
      </c>
      <c r="H4512">
        <v>1</v>
      </c>
      <c r="I4512" t="s">
        <v>24</v>
      </c>
      <c r="J4512">
        <v>26.5</v>
      </c>
      <c r="K4512">
        <v>54</v>
      </c>
      <c r="L4512">
        <v>2</v>
      </c>
      <c r="M4512" t="s">
        <v>6994</v>
      </c>
      <c r="N4512">
        <v>6</v>
      </c>
      <c r="O4512">
        <v>12</v>
      </c>
      <c r="P4512">
        <v>154556.70000000001</v>
      </c>
      <c r="Q4512">
        <v>123325.96</v>
      </c>
      <c r="R4512">
        <v>261</v>
      </c>
      <c r="S4512">
        <v>339</v>
      </c>
      <c r="T4512" t="s">
        <v>34</v>
      </c>
      <c r="U4512" t="s">
        <v>57</v>
      </c>
    </row>
    <row r="4513" spans="1:21">
      <c r="A4513" t="s">
        <v>7009</v>
      </c>
      <c r="B4513" t="s">
        <v>7010</v>
      </c>
      <c r="C4513" t="s">
        <v>48</v>
      </c>
      <c r="D4513">
        <v>85000</v>
      </c>
      <c r="E4513">
        <v>4000</v>
      </c>
      <c r="F4513">
        <v>85000</v>
      </c>
      <c r="H4513">
        <v>3</v>
      </c>
      <c r="I4513" t="s">
        <v>24</v>
      </c>
      <c r="J4513">
        <v>27</v>
      </c>
      <c r="K4513">
        <v>47</v>
      </c>
      <c r="L4513">
        <v>3</v>
      </c>
      <c r="M4513" t="s">
        <v>6994</v>
      </c>
      <c r="N4513">
        <v>1</v>
      </c>
      <c r="O4513">
        <v>9.67</v>
      </c>
      <c r="P4513">
        <v>154556.70000000001</v>
      </c>
      <c r="Q4513">
        <v>123325.96</v>
      </c>
      <c r="R4513">
        <v>261</v>
      </c>
      <c r="S4513">
        <v>339</v>
      </c>
      <c r="T4513" t="s">
        <v>34</v>
      </c>
      <c r="U4513" t="s">
        <v>42</v>
      </c>
    </row>
    <row r="4514" spans="1:21">
      <c r="A4514" t="s">
        <v>7011</v>
      </c>
      <c r="B4514" t="s">
        <v>7012</v>
      </c>
      <c r="C4514" t="s">
        <v>48</v>
      </c>
      <c r="D4514">
        <v>155000</v>
      </c>
      <c r="E4514">
        <v>15000</v>
      </c>
      <c r="F4514">
        <v>155000</v>
      </c>
      <c r="G4514">
        <v>310000</v>
      </c>
      <c r="H4514">
        <v>6</v>
      </c>
      <c r="I4514" t="s">
        <v>24</v>
      </c>
      <c r="J4514">
        <v>32.770000000000003</v>
      </c>
      <c r="K4514">
        <v>16</v>
      </c>
      <c r="L4514">
        <v>15</v>
      </c>
      <c r="M4514" t="s">
        <v>6994</v>
      </c>
      <c r="N4514">
        <v>4</v>
      </c>
      <c r="O4514">
        <v>6.67</v>
      </c>
      <c r="P4514">
        <v>154556.70000000001</v>
      </c>
      <c r="Q4514">
        <v>123325.96</v>
      </c>
      <c r="R4514">
        <v>261</v>
      </c>
      <c r="S4514">
        <v>339</v>
      </c>
      <c r="T4514" t="s">
        <v>26</v>
      </c>
      <c r="U4514" t="s">
        <v>90</v>
      </c>
    </row>
    <row r="4515" spans="1:21">
      <c r="A4515" t="s">
        <v>7013</v>
      </c>
      <c r="B4515" t="s">
        <v>7014</v>
      </c>
      <c r="C4515" t="s">
        <v>48</v>
      </c>
      <c r="D4515">
        <v>95000</v>
      </c>
      <c r="E4515">
        <v>3000</v>
      </c>
      <c r="F4515">
        <v>95000</v>
      </c>
      <c r="G4515">
        <v>95000</v>
      </c>
      <c r="H4515">
        <v>3</v>
      </c>
      <c r="I4515" t="s">
        <v>24</v>
      </c>
      <c r="J4515">
        <v>21.91</v>
      </c>
      <c r="K4515">
        <v>38</v>
      </c>
      <c r="L4515">
        <v>3</v>
      </c>
      <c r="M4515" t="s">
        <v>6994</v>
      </c>
      <c r="N4515">
        <v>6</v>
      </c>
      <c r="O4515">
        <v>7.33</v>
      </c>
      <c r="P4515">
        <v>154556.70000000001</v>
      </c>
      <c r="Q4515">
        <v>123325.96</v>
      </c>
      <c r="R4515">
        <v>261</v>
      </c>
      <c r="S4515">
        <v>339</v>
      </c>
      <c r="T4515" t="s">
        <v>34</v>
      </c>
      <c r="U4515" t="s">
        <v>49</v>
      </c>
    </row>
    <row r="4516" spans="1:21">
      <c r="A4516" t="s">
        <v>7015</v>
      </c>
      <c r="B4516" t="s">
        <v>80</v>
      </c>
      <c r="C4516" t="s">
        <v>94</v>
      </c>
      <c r="D4516">
        <v>139000</v>
      </c>
      <c r="E4516">
        <v>7000</v>
      </c>
      <c r="G4516">
        <v>139000</v>
      </c>
      <c r="H4516">
        <v>1</v>
      </c>
      <c r="I4516" t="s">
        <v>24</v>
      </c>
      <c r="J4516">
        <v>25.36</v>
      </c>
      <c r="K4516">
        <v>0</v>
      </c>
      <c r="L4516">
        <v>4</v>
      </c>
      <c r="M4516" t="s">
        <v>6994</v>
      </c>
      <c r="N4516">
        <v>10</v>
      </c>
      <c r="O4516">
        <v>11</v>
      </c>
      <c r="P4516">
        <v>154556.70000000001</v>
      </c>
      <c r="Q4516">
        <v>123325.96</v>
      </c>
      <c r="R4516">
        <v>261</v>
      </c>
      <c r="S4516">
        <v>339</v>
      </c>
      <c r="T4516" t="s">
        <v>34</v>
      </c>
      <c r="U4516" t="s">
        <v>81</v>
      </c>
    </row>
    <row r="4517" spans="1:21">
      <c r="A4517" t="s">
        <v>7016</v>
      </c>
      <c r="B4517" t="s">
        <v>7017</v>
      </c>
      <c r="C4517" t="s">
        <v>94</v>
      </c>
      <c r="D4517">
        <v>174000</v>
      </c>
      <c r="E4517">
        <v>11000</v>
      </c>
      <c r="F4517">
        <v>174000</v>
      </c>
      <c r="H4517">
        <v>5</v>
      </c>
      <c r="I4517" t="s">
        <v>89</v>
      </c>
      <c r="J4517">
        <v>26.14</v>
      </c>
      <c r="K4517">
        <v>4</v>
      </c>
      <c r="L4517">
        <v>5</v>
      </c>
      <c r="M4517" t="s">
        <v>6994</v>
      </c>
      <c r="N4517">
        <v>11</v>
      </c>
      <c r="O4517">
        <v>11.67</v>
      </c>
      <c r="P4517">
        <v>154556.70000000001</v>
      </c>
      <c r="Q4517">
        <v>95329.65</v>
      </c>
      <c r="R4517">
        <v>261</v>
      </c>
      <c r="S4517">
        <v>1622</v>
      </c>
      <c r="T4517" t="s">
        <v>34</v>
      </c>
      <c r="U4517" t="s">
        <v>31</v>
      </c>
    </row>
    <row r="4518" spans="1:21">
      <c r="A4518" t="s">
        <v>7018</v>
      </c>
      <c r="B4518" t="s">
        <v>7017</v>
      </c>
      <c r="C4518" t="s">
        <v>94</v>
      </c>
      <c r="D4518">
        <v>170000</v>
      </c>
      <c r="E4518">
        <v>11000</v>
      </c>
      <c r="F4518">
        <v>170000</v>
      </c>
      <c r="H4518">
        <v>5</v>
      </c>
      <c r="I4518" t="s">
        <v>89</v>
      </c>
      <c r="J4518">
        <v>28.64</v>
      </c>
      <c r="K4518">
        <v>4</v>
      </c>
      <c r="L4518">
        <v>5</v>
      </c>
      <c r="M4518" t="s">
        <v>6994</v>
      </c>
      <c r="N4518">
        <v>11</v>
      </c>
      <c r="O4518">
        <v>11.67</v>
      </c>
      <c r="P4518">
        <v>154556.70000000001</v>
      </c>
      <c r="Q4518">
        <v>95329.65</v>
      </c>
      <c r="R4518">
        <v>261</v>
      </c>
      <c r="S4518">
        <v>1622</v>
      </c>
      <c r="T4518" t="s">
        <v>34</v>
      </c>
      <c r="U4518" t="s">
        <v>31</v>
      </c>
    </row>
    <row r="4519" spans="1:21">
      <c r="A4519" t="s">
        <v>7019</v>
      </c>
      <c r="B4519" t="s">
        <v>7020</v>
      </c>
      <c r="C4519" t="s">
        <v>45</v>
      </c>
      <c r="D4519">
        <v>82000</v>
      </c>
      <c r="E4519">
        <v>8000</v>
      </c>
      <c r="F4519">
        <v>82000</v>
      </c>
      <c r="G4519">
        <v>82000</v>
      </c>
      <c r="H4519">
        <v>1</v>
      </c>
      <c r="I4519" t="s">
        <v>89</v>
      </c>
      <c r="J4519">
        <v>20.8</v>
      </c>
      <c r="K4519">
        <v>21</v>
      </c>
      <c r="L4519">
        <v>4</v>
      </c>
      <c r="M4519" t="s">
        <v>6994</v>
      </c>
      <c r="N4519">
        <v>7</v>
      </c>
      <c r="O4519">
        <v>8.33</v>
      </c>
      <c r="P4519">
        <v>154556.70000000001</v>
      </c>
      <c r="Q4519">
        <v>95329.65</v>
      </c>
      <c r="R4519">
        <v>261</v>
      </c>
      <c r="S4519">
        <v>1622</v>
      </c>
      <c r="T4519" t="s">
        <v>34</v>
      </c>
      <c r="U4519" t="s">
        <v>27</v>
      </c>
    </row>
    <row r="4520" spans="1:21">
      <c r="A4520" t="s">
        <v>7021</v>
      </c>
      <c r="B4520" t="s">
        <v>7022</v>
      </c>
      <c r="C4520" t="s">
        <v>48</v>
      </c>
      <c r="D4520">
        <v>84000</v>
      </c>
      <c r="E4520">
        <v>6000</v>
      </c>
      <c r="F4520">
        <v>84000</v>
      </c>
      <c r="G4520">
        <v>84000</v>
      </c>
      <c r="H4520">
        <v>1</v>
      </c>
      <c r="I4520" t="s">
        <v>89</v>
      </c>
      <c r="J4520">
        <v>19.62</v>
      </c>
      <c r="K4520">
        <v>18</v>
      </c>
      <c r="L4520">
        <v>5</v>
      </c>
      <c r="M4520" t="s">
        <v>6994</v>
      </c>
      <c r="N4520">
        <v>9</v>
      </c>
      <c r="O4520">
        <v>13</v>
      </c>
      <c r="P4520">
        <v>154556.70000000001</v>
      </c>
      <c r="Q4520">
        <v>95329.65</v>
      </c>
      <c r="R4520">
        <v>261</v>
      </c>
      <c r="S4520">
        <v>1622</v>
      </c>
      <c r="T4520" t="s">
        <v>108</v>
      </c>
      <c r="U4520" t="s">
        <v>90</v>
      </c>
    </row>
    <row r="4521" spans="1:21">
      <c r="A4521" t="s">
        <v>7023</v>
      </c>
      <c r="B4521" t="s">
        <v>7022</v>
      </c>
      <c r="C4521" t="s">
        <v>48</v>
      </c>
      <c r="D4521">
        <v>88000</v>
      </c>
      <c r="E4521">
        <v>6000</v>
      </c>
      <c r="F4521">
        <v>88000</v>
      </c>
      <c r="G4521">
        <v>88000</v>
      </c>
      <c r="H4521">
        <v>3</v>
      </c>
      <c r="I4521" t="s">
        <v>89</v>
      </c>
      <c r="J4521">
        <v>19.62</v>
      </c>
      <c r="K4521">
        <v>18</v>
      </c>
      <c r="L4521">
        <v>5</v>
      </c>
      <c r="M4521" t="s">
        <v>6994</v>
      </c>
      <c r="N4521">
        <v>9</v>
      </c>
      <c r="O4521">
        <v>13</v>
      </c>
      <c r="P4521">
        <v>154556.70000000001</v>
      </c>
      <c r="Q4521">
        <v>95329.65</v>
      </c>
      <c r="R4521">
        <v>261</v>
      </c>
      <c r="S4521">
        <v>1622</v>
      </c>
      <c r="T4521" t="s">
        <v>108</v>
      </c>
      <c r="U4521" t="s">
        <v>90</v>
      </c>
    </row>
    <row r="4522" spans="1:21">
      <c r="A4522" t="s">
        <v>7024</v>
      </c>
      <c r="B4522" t="s">
        <v>7025</v>
      </c>
      <c r="C4522" t="s">
        <v>48</v>
      </c>
      <c r="D4522">
        <v>97000</v>
      </c>
      <c r="E4522">
        <v>3000</v>
      </c>
      <c r="F4522">
        <v>97000</v>
      </c>
      <c r="H4522">
        <v>3</v>
      </c>
      <c r="I4522" t="s">
        <v>89</v>
      </c>
      <c r="J4522">
        <v>23.79</v>
      </c>
      <c r="K4522">
        <v>13</v>
      </c>
      <c r="L4522">
        <v>4</v>
      </c>
      <c r="M4522" t="s">
        <v>6994</v>
      </c>
      <c r="N4522">
        <v>2</v>
      </c>
      <c r="O4522">
        <v>9.33</v>
      </c>
      <c r="P4522">
        <v>154556.70000000001</v>
      </c>
      <c r="Q4522">
        <v>95329.65</v>
      </c>
      <c r="R4522">
        <v>261</v>
      </c>
      <c r="S4522">
        <v>1622</v>
      </c>
      <c r="T4522" t="s">
        <v>34</v>
      </c>
      <c r="U4522" t="s">
        <v>90</v>
      </c>
    </row>
    <row r="4523" spans="1:21">
      <c r="A4523" t="s">
        <v>7026</v>
      </c>
      <c r="B4523" t="s">
        <v>6996</v>
      </c>
      <c r="C4523" t="s">
        <v>48</v>
      </c>
      <c r="D4523">
        <v>129000</v>
      </c>
      <c r="E4523">
        <v>15000</v>
      </c>
      <c r="F4523">
        <v>129000</v>
      </c>
      <c r="G4523">
        <v>129000</v>
      </c>
      <c r="H4523">
        <v>11</v>
      </c>
      <c r="I4523" t="s">
        <v>89</v>
      </c>
      <c r="J4523">
        <v>30.13</v>
      </c>
      <c r="K4523">
        <v>17</v>
      </c>
      <c r="L4523">
        <v>15</v>
      </c>
      <c r="M4523" t="s">
        <v>6994</v>
      </c>
      <c r="N4523">
        <v>3</v>
      </c>
      <c r="O4523">
        <v>6</v>
      </c>
      <c r="P4523">
        <v>154556.70000000001</v>
      </c>
      <c r="Q4523">
        <v>95329.65</v>
      </c>
      <c r="R4523">
        <v>261</v>
      </c>
      <c r="S4523">
        <v>1622</v>
      </c>
      <c r="T4523" t="s">
        <v>26</v>
      </c>
      <c r="U4523" t="s">
        <v>90</v>
      </c>
    </row>
    <row r="4524" spans="1:21">
      <c r="A4524" t="s">
        <v>7027</v>
      </c>
      <c r="B4524" t="s">
        <v>6996</v>
      </c>
      <c r="C4524" t="s">
        <v>48</v>
      </c>
      <c r="D4524">
        <v>145000</v>
      </c>
      <c r="E4524">
        <v>15000</v>
      </c>
      <c r="F4524">
        <v>145000</v>
      </c>
      <c r="G4524">
        <v>217500</v>
      </c>
      <c r="H4524">
        <v>11</v>
      </c>
      <c r="I4524" t="s">
        <v>89</v>
      </c>
      <c r="J4524">
        <v>30.26</v>
      </c>
      <c r="K4524">
        <v>17</v>
      </c>
      <c r="L4524">
        <v>15</v>
      </c>
      <c r="M4524" t="s">
        <v>6994</v>
      </c>
      <c r="N4524">
        <v>3</v>
      </c>
      <c r="O4524">
        <v>6</v>
      </c>
      <c r="P4524">
        <v>154556.70000000001</v>
      </c>
      <c r="Q4524">
        <v>95329.65</v>
      </c>
      <c r="R4524">
        <v>261</v>
      </c>
      <c r="S4524">
        <v>1622</v>
      </c>
      <c r="T4524" t="s">
        <v>26</v>
      </c>
      <c r="U4524" t="s">
        <v>90</v>
      </c>
    </row>
    <row r="4525" spans="1:21">
      <c r="A4525" t="s">
        <v>7028</v>
      </c>
      <c r="B4525" t="s">
        <v>6996</v>
      </c>
      <c r="C4525" t="s">
        <v>48</v>
      </c>
      <c r="D4525">
        <v>152000</v>
      </c>
      <c r="E4525">
        <v>15000</v>
      </c>
      <c r="F4525">
        <v>152000</v>
      </c>
      <c r="G4525">
        <v>304000</v>
      </c>
      <c r="H4525">
        <v>3</v>
      </c>
      <c r="I4525" t="s">
        <v>89</v>
      </c>
      <c r="J4525">
        <v>32.770000000000003</v>
      </c>
      <c r="K4525">
        <v>17</v>
      </c>
      <c r="L4525">
        <v>15</v>
      </c>
      <c r="M4525" t="s">
        <v>6994</v>
      </c>
      <c r="N4525">
        <v>3</v>
      </c>
      <c r="O4525">
        <v>6</v>
      </c>
      <c r="P4525">
        <v>154556.70000000001</v>
      </c>
      <c r="Q4525">
        <v>95329.65</v>
      </c>
      <c r="R4525">
        <v>261</v>
      </c>
      <c r="S4525">
        <v>1622</v>
      </c>
      <c r="T4525" t="s">
        <v>26</v>
      </c>
      <c r="U4525" t="s">
        <v>90</v>
      </c>
    </row>
    <row r="4526" spans="1:21">
      <c r="A4526" t="s">
        <v>7029</v>
      </c>
      <c r="B4526" t="s">
        <v>6996</v>
      </c>
      <c r="C4526" t="s">
        <v>48</v>
      </c>
      <c r="D4526">
        <v>152000</v>
      </c>
      <c r="E4526">
        <v>15000</v>
      </c>
      <c r="F4526">
        <v>152000</v>
      </c>
      <c r="G4526">
        <v>152000</v>
      </c>
      <c r="H4526">
        <v>5</v>
      </c>
      <c r="I4526" t="s">
        <v>89</v>
      </c>
      <c r="J4526">
        <v>32.770000000000003</v>
      </c>
      <c r="K4526">
        <v>17</v>
      </c>
      <c r="L4526">
        <v>15</v>
      </c>
      <c r="M4526" t="s">
        <v>6994</v>
      </c>
      <c r="N4526">
        <v>3</v>
      </c>
      <c r="O4526">
        <v>6</v>
      </c>
      <c r="P4526">
        <v>154556.70000000001</v>
      </c>
      <c r="Q4526">
        <v>95329.65</v>
      </c>
      <c r="R4526">
        <v>261</v>
      </c>
      <c r="S4526">
        <v>1622</v>
      </c>
      <c r="T4526" t="s">
        <v>26</v>
      </c>
      <c r="U4526" t="s">
        <v>90</v>
      </c>
    </row>
    <row r="4527" spans="1:21">
      <c r="A4527" t="s">
        <v>7030</v>
      </c>
      <c r="B4527" t="s">
        <v>6996</v>
      </c>
      <c r="C4527" t="s">
        <v>48</v>
      </c>
      <c r="D4527">
        <v>154000</v>
      </c>
      <c r="E4527">
        <v>15000</v>
      </c>
      <c r="F4527">
        <v>154000</v>
      </c>
      <c r="G4527">
        <v>231000</v>
      </c>
      <c r="H4527">
        <v>5</v>
      </c>
      <c r="I4527" t="s">
        <v>89</v>
      </c>
      <c r="J4527">
        <v>32.770000000000003</v>
      </c>
      <c r="K4527">
        <v>17</v>
      </c>
      <c r="L4527">
        <v>15</v>
      </c>
      <c r="M4527" t="s">
        <v>6994</v>
      </c>
      <c r="N4527">
        <v>3</v>
      </c>
      <c r="O4527">
        <v>6</v>
      </c>
      <c r="P4527">
        <v>154556.70000000001</v>
      </c>
      <c r="Q4527">
        <v>95329.65</v>
      </c>
      <c r="R4527">
        <v>261</v>
      </c>
      <c r="S4527">
        <v>1622</v>
      </c>
      <c r="T4527" t="s">
        <v>26</v>
      </c>
      <c r="U4527" t="s">
        <v>90</v>
      </c>
    </row>
    <row r="4528" spans="1:21">
      <c r="A4528" t="s">
        <v>7031</v>
      </c>
      <c r="B4528" t="s">
        <v>6996</v>
      </c>
      <c r="C4528" t="s">
        <v>48</v>
      </c>
      <c r="D4528">
        <v>148000</v>
      </c>
      <c r="E4528">
        <v>15000</v>
      </c>
      <c r="F4528">
        <v>148000</v>
      </c>
      <c r="H4528">
        <v>6</v>
      </c>
      <c r="I4528" t="s">
        <v>89</v>
      </c>
      <c r="J4528">
        <v>32.770000000000003</v>
      </c>
      <c r="K4528">
        <v>17</v>
      </c>
      <c r="L4528">
        <v>15</v>
      </c>
      <c r="M4528" t="s">
        <v>6994</v>
      </c>
      <c r="N4528">
        <v>3</v>
      </c>
      <c r="O4528">
        <v>6</v>
      </c>
      <c r="P4528">
        <v>154556.70000000001</v>
      </c>
      <c r="Q4528">
        <v>95329.65</v>
      </c>
      <c r="R4528">
        <v>261</v>
      </c>
      <c r="S4528">
        <v>1622</v>
      </c>
      <c r="T4528" t="s">
        <v>26</v>
      </c>
      <c r="U4528" t="s">
        <v>90</v>
      </c>
    </row>
    <row r="4529" spans="1:21">
      <c r="A4529" t="s">
        <v>7032</v>
      </c>
      <c r="B4529" t="s">
        <v>6996</v>
      </c>
      <c r="C4529" t="s">
        <v>48</v>
      </c>
      <c r="D4529">
        <v>141000</v>
      </c>
      <c r="E4529">
        <v>15000</v>
      </c>
      <c r="F4529">
        <v>141000</v>
      </c>
      <c r="G4529">
        <v>282000</v>
      </c>
      <c r="H4529">
        <v>8</v>
      </c>
      <c r="I4529" t="s">
        <v>89</v>
      </c>
      <c r="J4529">
        <v>30.26</v>
      </c>
      <c r="K4529">
        <v>17</v>
      </c>
      <c r="L4529">
        <v>15</v>
      </c>
      <c r="M4529" t="s">
        <v>6994</v>
      </c>
      <c r="N4529">
        <v>3</v>
      </c>
      <c r="O4529">
        <v>6</v>
      </c>
      <c r="P4529">
        <v>154556.70000000001</v>
      </c>
      <c r="Q4529">
        <v>95329.65</v>
      </c>
      <c r="R4529">
        <v>261</v>
      </c>
      <c r="S4529">
        <v>1622</v>
      </c>
      <c r="T4529" t="s">
        <v>26</v>
      </c>
      <c r="U4529" t="s">
        <v>90</v>
      </c>
    </row>
    <row r="4530" spans="1:21">
      <c r="A4530" t="s">
        <v>7033</v>
      </c>
      <c r="B4530" t="s">
        <v>6999</v>
      </c>
      <c r="C4530" t="s">
        <v>94</v>
      </c>
      <c r="D4530">
        <v>110000</v>
      </c>
      <c r="E4530">
        <v>5000</v>
      </c>
      <c r="G4530">
        <v>110000</v>
      </c>
      <c r="H4530">
        <v>3</v>
      </c>
      <c r="I4530" t="s">
        <v>89</v>
      </c>
      <c r="J4530">
        <v>20.02</v>
      </c>
      <c r="K4530">
        <v>0</v>
      </c>
      <c r="L4530">
        <v>4</v>
      </c>
      <c r="M4530" t="s">
        <v>6994</v>
      </c>
      <c r="N4530">
        <v>10</v>
      </c>
      <c r="O4530">
        <v>11</v>
      </c>
      <c r="P4530">
        <v>154556.70000000001</v>
      </c>
      <c r="Q4530">
        <v>95329.65</v>
      </c>
      <c r="R4530">
        <v>261</v>
      </c>
      <c r="S4530">
        <v>1622</v>
      </c>
      <c r="T4530" t="s">
        <v>34</v>
      </c>
      <c r="U4530" t="s">
        <v>81</v>
      </c>
    </row>
    <row r="4531" spans="1:21">
      <c r="A4531" t="s">
        <v>7034</v>
      </c>
      <c r="B4531" t="s">
        <v>7035</v>
      </c>
      <c r="C4531" t="s">
        <v>94</v>
      </c>
      <c r="D4531">
        <v>89000</v>
      </c>
      <c r="E4531">
        <v>4500</v>
      </c>
      <c r="F4531">
        <v>89000</v>
      </c>
      <c r="G4531">
        <v>89000</v>
      </c>
      <c r="H4531">
        <v>1</v>
      </c>
      <c r="I4531" t="s">
        <v>89</v>
      </c>
      <c r="J4531">
        <v>19.2</v>
      </c>
      <c r="K4531">
        <v>0</v>
      </c>
      <c r="L4531">
        <v>2</v>
      </c>
      <c r="M4531" t="s">
        <v>6994</v>
      </c>
      <c r="N4531">
        <v>10</v>
      </c>
      <c r="O4531">
        <v>11</v>
      </c>
      <c r="P4531">
        <v>154556.70000000001</v>
      </c>
      <c r="Q4531">
        <v>95329.65</v>
      </c>
      <c r="R4531">
        <v>261</v>
      </c>
      <c r="S4531">
        <v>1622</v>
      </c>
      <c r="T4531" t="s">
        <v>108</v>
      </c>
      <c r="U4531" t="s">
        <v>81</v>
      </c>
    </row>
    <row r="4532" spans="1:21">
      <c r="A4532" t="s">
        <v>7036</v>
      </c>
      <c r="B4532" t="s">
        <v>7035</v>
      </c>
      <c r="C4532" t="s">
        <v>94</v>
      </c>
      <c r="D4532">
        <v>90000</v>
      </c>
      <c r="E4532">
        <v>4500</v>
      </c>
      <c r="F4532">
        <v>90000</v>
      </c>
      <c r="G4532">
        <v>90000</v>
      </c>
      <c r="H4532">
        <v>1</v>
      </c>
      <c r="I4532" t="s">
        <v>89</v>
      </c>
      <c r="J4532">
        <v>19.2</v>
      </c>
      <c r="K4532">
        <v>0</v>
      </c>
      <c r="L4532">
        <v>2</v>
      </c>
      <c r="M4532" t="s">
        <v>6994</v>
      </c>
      <c r="N4532">
        <v>10</v>
      </c>
      <c r="O4532">
        <v>11</v>
      </c>
      <c r="P4532">
        <v>154556.70000000001</v>
      </c>
      <c r="Q4532">
        <v>95329.65</v>
      </c>
      <c r="R4532">
        <v>261</v>
      </c>
      <c r="S4532">
        <v>1622</v>
      </c>
      <c r="T4532" t="s">
        <v>108</v>
      </c>
      <c r="U4532" t="s">
        <v>81</v>
      </c>
    </row>
    <row r="4533" spans="1:21">
      <c r="A4533" t="s">
        <v>7037</v>
      </c>
      <c r="B4533" t="s">
        <v>7038</v>
      </c>
      <c r="C4533" t="s">
        <v>94</v>
      </c>
      <c r="D4533">
        <v>33000</v>
      </c>
      <c r="E4533">
        <v>5000</v>
      </c>
      <c r="F4533">
        <v>33000</v>
      </c>
      <c r="H4533">
        <v>1</v>
      </c>
      <c r="I4533" t="s">
        <v>89</v>
      </c>
      <c r="J4533">
        <v>18</v>
      </c>
      <c r="K4533">
        <v>48</v>
      </c>
      <c r="L4533">
        <v>2</v>
      </c>
      <c r="M4533" t="s">
        <v>6994</v>
      </c>
      <c r="N4533">
        <v>5</v>
      </c>
      <c r="O4533">
        <v>7.67</v>
      </c>
      <c r="P4533">
        <v>154556.70000000001</v>
      </c>
      <c r="Q4533">
        <v>95329.65</v>
      </c>
      <c r="R4533">
        <v>261</v>
      </c>
      <c r="S4533">
        <v>1622</v>
      </c>
      <c r="T4533" t="s">
        <v>108</v>
      </c>
      <c r="U4533" t="s">
        <v>42</v>
      </c>
    </row>
    <row r="4534" spans="1:21">
      <c r="A4534" t="s">
        <v>7039</v>
      </c>
      <c r="B4534" t="s">
        <v>7040</v>
      </c>
      <c r="C4534" t="s">
        <v>94</v>
      </c>
      <c r="D4534">
        <v>72000</v>
      </c>
      <c r="E4534">
        <v>2000</v>
      </c>
      <c r="F4534">
        <v>72000</v>
      </c>
      <c r="G4534">
        <v>72000</v>
      </c>
      <c r="H4534">
        <v>1</v>
      </c>
      <c r="I4534" t="s">
        <v>89</v>
      </c>
      <c r="J4534">
        <v>17.010000000000002</v>
      </c>
      <c r="K4534">
        <v>39</v>
      </c>
      <c r="L4534">
        <v>2</v>
      </c>
      <c r="M4534" t="s">
        <v>6994</v>
      </c>
      <c r="N4534">
        <v>7</v>
      </c>
      <c r="O4534">
        <v>11.67</v>
      </c>
      <c r="P4534">
        <v>154556.70000000001</v>
      </c>
      <c r="Q4534">
        <v>95329.65</v>
      </c>
      <c r="R4534">
        <v>261</v>
      </c>
      <c r="S4534">
        <v>1622</v>
      </c>
      <c r="T4534" t="s">
        <v>108</v>
      </c>
      <c r="U4534" t="s">
        <v>49</v>
      </c>
    </row>
    <row r="4535" spans="1:21">
      <c r="A4535" t="s">
        <v>7041</v>
      </c>
      <c r="B4535" t="s">
        <v>7040</v>
      </c>
      <c r="C4535" t="s">
        <v>94</v>
      </c>
      <c r="D4535">
        <v>72000</v>
      </c>
      <c r="E4535">
        <v>2000</v>
      </c>
      <c r="F4535">
        <v>72000</v>
      </c>
      <c r="G4535">
        <v>72000</v>
      </c>
      <c r="H4535">
        <v>1</v>
      </c>
      <c r="I4535" t="s">
        <v>89</v>
      </c>
      <c r="J4535">
        <v>17</v>
      </c>
      <c r="K4535">
        <v>39</v>
      </c>
      <c r="L4535">
        <v>2</v>
      </c>
      <c r="M4535" t="s">
        <v>6994</v>
      </c>
      <c r="N4535">
        <v>7</v>
      </c>
      <c r="O4535">
        <v>11.67</v>
      </c>
      <c r="P4535">
        <v>154556.70000000001</v>
      </c>
      <c r="Q4535">
        <v>95329.65</v>
      </c>
      <c r="R4535">
        <v>261</v>
      </c>
      <c r="S4535">
        <v>1622</v>
      </c>
      <c r="T4535" t="s">
        <v>108</v>
      </c>
      <c r="U4535" t="s">
        <v>49</v>
      </c>
    </row>
    <row r="4536" spans="1:21">
      <c r="A4536" t="s">
        <v>7042</v>
      </c>
      <c r="B4536" t="s">
        <v>7040</v>
      </c>
      <c r="C4536" t="s">
        <v>94</v>
      </c>
      <c r="D4536">
        <v>71000</v>
      </c>
      <c r="E4536">
        <v>2000</v>
      </c>
      <c r="F4536">
        <v>71000</v>
      </c>
      <c r="G4536">
        <v>71000</v>
      </c>
      <c r="H4536">
        <v>1</v>
      </c>
      <c r="I4536" t="s">
        <v>89</v>
      </c>
      <c r="J4536">
        <v>19</v>
      </c>
      <c r="K4536">
        <v>39</v>
      </c>
      <c r="L4536">
        <v>2</v>
      </c>
      <c r="M4536" t="s">
        <v>6994</v>
      </c>
      <c r="N4536">
        <v>7</v>
      </c>
      <c r="O4536">
        <v>11.67</v>
      </c>
      <c r="P4536">
        <v>154556.70000000001</v>
      </c>
      <c r="Q4536">
        <v>95329.65</v>
      </c>
      <c r="R4536">
        <v>261</v>
      </c>
      <c r="S4536">
        <v>1622</v>
      </c>
      <c r="T4536" t="s">
        <v>108</v>
      </c>
      <c r="U4536" t="s">
        <v>49</v>
      </c>
    </row>
    <row r="4537" spans="1:21">
      <c r="A4537" t="s">
        <v>7043</v>
      </c>
      <c r="B4537" t="s">
        <v>7040</v>
      </c>
      <c r="C4537" t="s">
        <v>94</v>
      </c>
      <c r="D4537">
        <v>74000</v>
      </c>
      <c r="E4537">
        <v>2000</v>
      </c>
      <c r="F4537">
        <v>74000</v>
      </c>
      <c r="G4537">
        <v>74000</v>
      </c>
      <c r="H4537">
        <v>2</v>
      </c>
      <c r="I4537" t="s">
        <v>89</v>
      </c>
      <c r="J4537">
        <v>19</v>
      </c>
      <c r="K4537">
        <v>39</v>
      </c>
      <c r="L4537">
        <v>2</v>
      </c>
      <c r="M4537" t="s">
        <v>6994</v>
      </c>
      <c r="N4537">
        <v>7</v>
      </c>
      <c r="O4537">
        <v>11.67</v>
      </c>
      <c r="P4537">
        <v>154556.70000000001</v>
      </c>
      <c r="Q4537">
        <v>95329.65</v>
      </c>
      <c r="R4537">
        <v>261</v>
      </c>
      <c r="S4537">
        <v>1622</v>
      </c>
      <c r="T4537" t="s">
        <v>108</v>
      </c>
      <c r="U4537" t="s">
        <v>49</v>
      </c>
    </row>
    <row r="4538" spans="1:21">
      <c r="A4538" t="s">
        <v>7044</v>
      </c>
      <c r="B4538" t="s">
        <v>7045</v>
      </c>
      <c r="C4538" t="s">
        <v>48</v>
      </c>
      <c r="D4538">
        <v>115000</v>
      </c>
      <c r="E4538">
        <v>5000</v>
      </c>
      <c r="G4538">
        <v>115000</v>
      </c>
      <c r="H4538">
        <v>4</v>
      </c>
      <c r="I4538" t="s">
        <v>89</v>
      </c>
      <c r="J4538">
        <v>20.059999999999999</v>
      </c>
      <c r="K4538">
        <v>46</v>
      </c>
      <c r="L4538">
        <v>5</v>
      </c>
      <c r="M4538" t="s">
        <v>6994</v>
      </c>
      <c r="N4538">
        <v>2</v>
      </c>
      <c r="O4538">
        <v>10.33</v>
      </c>
      <c r="P4538">
        <v>154556.70000000001</v>
      </c>
      <c r="Q4538">
        <v>95329.65</v>
      </c>
      <c r="R4538">
        <v>261</v>
      </c>
      <c r="S4538">
        <v>1622</v>
      </c>
      <c r="T4538" t="s">
        <v>34</v>
      </c>
      <c r="U4538" t="s">
        <v>42</v>
      </c>
    </row>
    <row r="4539" spans="1:21">
      <c r="A4539" t="s">
        <v>7046</v>
      </c>
      <c r="B4539" t="s">
        <v>7047</v>
      </c>
      <c r="C4539" t="s">
        <v>45</v>
      </c>
      <c r="D4539">
        <v>82300</v>
      </c>
      <c r="E4539">
        <v>10700</v>
      </c>
      <c r="F4539">
        <v>82300</v>
      </c>
      <c r="G4539">
        <v>82300</v>
      </c>
      <c r="H4539">
        <v>4</v>
      </c>
      <c r="I4539" t="s">
        <v>89</v>
      </c>
      <c r="J4539">
        <v>25.45</v>
      </c>
      <c r="K4539">
        <v>29</v>
      </c>
      <c r="L4539">
        <v>7</v>
      </c>
      <c r="M4539" t="s">
        <v>6994</v>
      </c>
      <c r="N4539">
        <v>6</v>
      </c>
      <c r="O4539">
        <v>9</v>
      </c>
      <c r="P4539">
        <v>154556.70000000001</v>
      </c>
      <c r="Q4539">
        <v>95329.65</v>
      </c>
      <c r="R4539">
        <v>261</v>
      </c>
      <c r="S4539">
        <v>1622</v>
      </c>
      <c r="T4539" t="s">
        <v>34</v>
      </c>
      <c r="U4539" t="s">
        <v>27</v>
      </c>
    </row>
    <row r="4540" spans="1:21">
      <c r="A4540" t="s">
        <v>7048</v>
      </c>
      <c r="B4540" t="s">
        <v>7049</v>
      </c>
      <c r="C4540" t="s">
        <v>48</v>
      </c>
      <c r="D4540">
        <v>73000</v>
      </c>
      <c r="F4540">
        <v>73000</v>
      </c>
      <c r="G4540">
        <v>73000</v>
      </c>
      <c r="H4540">
        <v>2</v>
      </c>
      <c r="I4540" t="s">
        <v>89</v>
      </c>
      <c r="J4540">
        <v>16.600000000000001</v>
      </c>
      <c r="K4540">
        <v>25</v>
      </c>
      <c r="L4540">
        <v>2</v>
      </c>
      <c r="M4540" t="s">
        <v>6994</v>
      </c>
      <c r="N4540">
        <v>8</v>
      </c>
      <c r="O4540">
        <v>11</v>
      </c>
      <c r="P4540">
        <v>154556.70000000001</v>
      </c>
      <c r="Q4540">
        <v>95329.65</v>
      </c>
      <c r="R4540">
        <v>261</v>
      </c>
      <c r="S4540">
        <v>1622</v>
      </c>
      <c r="T4540" t="s">
        <v>108</v>
      </c>
      <c r="U4540" t="s">
        <v>27</v>
      </c>
    </row>
    <row r="4541" spans="1:21">
      <c r="A4541" t="s">
        <v>7050</v>
      </c>
      <c r="B4541" t="s">
        <v>7051</v>
      </c>
      <c r="C4541" t="s">
        <v>48</v>
      </c>
      <c r="D4541">
        <v>146000</v>
      </c>
      <c r="E4541">
        <v>12000</v>
      </c>
      <c r="G4541">
        <v>146000</v>
      </c>
      <c r="H4541">
        <v>3</v>
      </c>
      <c r="I4541" t="s">
        <v>89</v>
      </c>
      <c r="J4541">
        <v>26.47</v>
      </c>
      <c r="K4541">
        <v>6</v>
      </c>
      <c r="L4541">
        <v>10</v>
      </c>
      <c r="M4541" t="s">
        <v>6994</v>
      </c>
      <c r="N4541">
        <v>3</v>
      </c>
      <c r="O4541">
        <v>5.67</v>
      </c>
      <c r="P4541">
        <v>154556.70000000001</v>
      </c>
      <c r="Q4541">
        <v>95329.65</v>
      </c>
      <c r="R4541">
        <v>261</v>
      </c>
      <c r="S4541">
        <v>1622</v>
      </c>
      <c r="T4541" t="s">
        <v>34</v>
      </c>
      <c r="U4541" t="s">
        <v>31</v>
      </c>
    </row>
    <row r="4542" spans="1:21">
      <c r="A4542" t="s">
        <v>7052</v>
      </c>
      <c r="B4542" t="s">
        <v>7051</v>
      </c>
      <c r="C4542" t="s">
        <v>48</v>
      </c>
      <c r="D4542">
        <v>148000</v>
      </c>
      <c r="E4542">
        <v>12000</v>
      </c>
      <c r="G4542">
        <v>148000</v>
      </c>
      <c r="H4542">
        <v>9</v>
      </c>
      <c r="I4542" t="s">
        <v>89</v>
      </c>
      <c r="J4542">
        <v>26.47</v>
      </c>
      <c r="K4542">
        <v>6</v>
      </c>
      <c r="L4542">
        <v>10</v>
      </c>
      <c r="M4542" t="s">
        <v>6994</v>
      </c>
      <c r="N4542">
        <v>3</v>
      </c>
      <c r="O4542">
        <v>5.67</v>
      </c>
      <c r="P4542">
        <v>154556.70000000001</v>
      </c>
      <c r="Q4542">
        <v>95329.65</v>
      </c>
      <c r="R4542">
        <v>261</v>
      </c>
      <c r="S4542">
        <v>1622</v>
      </c>
      <c r="T4542" t="s">
        <v>34</v>
      </c>
      <c r="U4542" t="s">
        <v>31</v>
      </c>
    </row>
    <row r="4543" spans="1:21">
      <c r="A4543" t="s">
        <v>7053</v>
      </c>
      <c r="B4543" t="s">
        <v>7054</v>
      </c>
      <c r="C4543" t="s">
        <v>7055</v>
      </c>
      <c r="D4543">
        <v>90000</v>
      </c>
      <c r="E4543">
        <v>2000</v>
      </c>
      <c r="F4543">
        <v>90000</v>
      </c>
      <c r="H4543">
        <v>3</v>
      </c>
      <c r="I4543" t="s">
        <v>89</v>
      </c>
      <c r="J4543">
        <v>23</v>
      </c>
      <c r="K4543">
        <v>41</v>
      </c>
      <c r="L4543">
        <v>5</v>
      </c>
      <c r="M4543" t="s">
        <v>6994</v>
      </c>
      <c r="N4543">
        <v>2</v>
      </c>
      <c r="O4543">
        <v>11</v>
      </c>
      <c r="P4543">
        <v>154556.70000000001</v>
      </c>
      <c r="Q4543">
        <v>95329.65</v>
      </c>
      <c r="R4543">
        <v>261</v>
      </c>
      <c r="S4543">
        <v>1622</v>
      </c>
      <c r="T4543" t="s">
        <v>34</v>
      </c>
      <c r="U4543" t="s">
        <v>42</v>
      </c>
    </row>
    <row r="4544" spans="1:21">
      <c r="A4544" t="s">
        <v>7056</v>
      </c>
      <c r="B4544" t="s">
        <v>7057</v>
      </c>
      <c r="C4544" t="s">
        <v>94</v>
      </c>
      <c r="D4544">
        <v>117000</v>
      </c>
      <c r="E4544">
        <v>15000</v>
      </c>
      <c r="F4544">
        <v>117000</v>
      </c>
      <c r="G4544">
        <v>175500</v>
      </c>
      <c r="H4544">
        <v>3</v>
      </c>
      <c r="I4544" t="s">
        <v>89</v>
      </c>
      <c r="J4544">
        <v>25.08</v>
      </c>
      <c r="K4544">
        <v>5</v>
      </c>
      <c r="L4544">
        <v>3</v>
      </c>
      <c r="M4544" t="s">
        <v>6994</v>
      </c>
      <c r="N4544">
        <v>6</v>
      </c>
      <c r="O4544">
        <v>11.33</v>
      </c>
      <c r="P4544">
        <v>154556.70000000001</v>
      </c>
      <c r="Q4544">
        <v>95329.65</v>
      </c>
      <c r="R4544">
        <v>261</v>
      </c>
      <c r="S4544">
        <v>1622</v>
      </c>
      <c r="T4544" t="s">
        <v>34</v>
      </c>
      <c r="U4544" t="s">
        <v>31</v>
      </c>
    </row>
    <row r="4545" spans="1:21">
      <c r="A4545" t="s">
        <v>7058</v>
      </c>
      <c r="B4545" t="s">
        <v>7059</v>
      </c>
      <c r="C4545" t="s">
        <v>94</v>
      </c>
      <c r="D4545">
        <v>106000</v>
      </c>
      <c r="E4545">
        <v>11000</v>
      </c>
      <c r="G4545">
        <v>106000</v>
      </c>
      <c r="H4545">
        <v>2</v>
      </c>
      <c r="I4545" t="s">
        <v>89</v>
      </c>
      <c r="J4545">
        <v>21</v>
      </c>
      <c r="K4545">
        <v>19</v>
      </c>
      <c r="L4545">
        <v>6</v>
      </c>
      <c r="M4545" t="s">
        <v>6994</v>
      </c>
      <c r="N4545">
        <v>10</v>
      </c>
      <c r="O4545">
        <v>11.67</v>
      </c>
      <c r="P4545">
        <v>154556.70000000001</v>
      </c>
      <c r="Q4545">
        <v>95329.65</v>
      </c>
      <c r="R4545">
        <v>261</v>
      </c>
      <c r="S4545">
        <v>1622</v>
      </c>
      <c r="T4545" t="s">
        <v>34</v>
      </c>
      <c r="U4545" t="s">
        <v>90</v>
      </c>
    </row>
    <row r="4546" spans="1:21">
      <c r="A4546" t="s">
        <v>7060</v>
      </c>
      <c r="B4546" t="s">
        <v>7059</v>
      </c>
      <c r="C4546" t="s">
        <v>94</v>
      </c>
      <c r="D4546">
        <v>84000</v>
      </c>
      <c r="E4546">
        <v>9000</v>
      </c>
      <c r="F4546">
        <v>84000</v>
      </c>
      <c r="G4546">
        <v>84000</v>
      </c>
      <c r="H4546">
        <v>3</v>
      </c>
      <c r="I4546" t="s">
        <v>89</v>
      </c>
      <c r="J4546">
        <v>20.69</v>
      </c>
      <c r="K4546">
        <v>19</v>
      </c>
      <c r="L4546">
        <v>6</v>
      </c>
      <c r="M4546" t="s">
        <v>6994</v>
      </c>
      <c r="N4546">
        <v>10</v>
      </c>
      <c r="O4546">
        <v>11.67</v>
      </c>
      <c r="P4546">
        <v>154556.70000000001</v>
      </c>
      <c r="Q4546">
        <v>95329.65</v>
      </c>
      <c r="R4546">
        <v>261</v>
      </c>
      <c r="S4546">
        <v>1622</v>
      </c>
      <c r="T4546" t="s">
        <v>34</v>
      </c>
      <c r="U4546" t="s">
        <v>90</v>
      </c>
    </row>
    <row r="4547" spans="1:21">
      <c r="A4547" t="s">
        <v>7061</v>
      </c>
      <c r="B4547" t="s">
        <v>7062</v>
      </c>
      <c r="C4547" t="s">
        <v>30</v>
      </c>
      <c r="D4547">
        <v>73000</v>
      </c>
      <c r="E4547">
        <v>2000</v>
      </c>
      <c r="H4547">
        <v>2</v>
      </c>
      <c r="I4547" t="s">
        <v>89</v>
      </c>
      <c r="J4547">
        <v>13.5</v>
      </c>
      <c r="K4547">
        <v>24</v>
      </c>
      <c r="L4547">
        <v>2</v>
      </c>
      <c r="M4547" t="s">
        <v>6994</v>
      </c>
      <c r="N4547">
        <v>5</v>
      </c>
      <c r="O4547">
        <v>7.67</v>
      </c>
      <c r="P4547">
        <v>154556.70000000001</v>
      </c>
      <c r="Q4547">
        <v>95329.65</v>
      </c>
      <c r="R4547">
        <v>261</v>
      </c>
      <c r="S4547">
        <v>1622</v>
      </c>
      <c r="T4547" t="s">
        <v>108</v>
      </c>
      <c r="U4547" t="s">
        <v>27</v>
      </c>
    </row>
    <row r="4548" spans="1:21">
      <c r="A4548" t="s">
        <v>7063</v>
      </c>
      <c r="B4548" t="s">
        <v>7064</v>
      </c>
      <c r="C4548" t="s">
        <v>48</v>
      </c>
      <c r="D4548">
        <v>69000</v>
      </c>
      <c r="E4548">
        <v>3000</v>
      </c>
      <c r="F4548">
        <v>69000</v>
      </c>
      <c r="G4548">
        <v>69000</v>
      </c>
      <c r="H4548">
        <v>1</v>
      </c>
      <c r="I4548" t="s">
        <v>89</v>
      </c>
      <c r="J4548">
        <v>20.100000000000001</v>
      </c>
      <c r="K4548">
        <v>38</v>
      </c>
      <c r="L4548">
        <v>2</v>
      </c>
      <c r="M4548" t="s">
        <v>6994</v>
      </c>
      <c r="N4548">
        <v>4</v>
      </c>
      <c r="O4548">
        <v>11.67</v>
      </c>
      <c r="P4548">
        <v>154556.70000000001</v>
      </c>
      <c r="Q4548">
        <v>95329.65</v>
      </c>
      <c r="R4548">
        <v>261</v>
      </c>
      <c r="S4548">
        <v>1622</v>
      </c>
      <c r="T4548" t="s">
        <v>34</v>
      </c>
      <c r="U4548" t="s">
        <v>49</v>
      </c>
    </row>
    <row r="4549" spans="1:21">
      <c r="A4549" t="s">
        <v>7065</v>
      </c>
      <c r="B4549" t="s">
        <v>7066</v>
      </c>
      <c r="C4549" t="s">
        <v>94</v>
      </c>
      <c r="D4549">
        <v>70000</v>
      </c>
      <c r="H4549">
        <v>2</v>
      </c>
      <c r="I4549" t="s">
        <v>89</v>
      </c>
      <c r="J4549">
        <v>17</v>
      </c>
      <c r="K4549">
        <v>42</v>
      </c>
      <c r="L4549">
        <v>3</v>
      </c>
      <c r="M4549" t="s">
        <v>6994</v>
      </c>
      <c r="N4549">
        <v>4</v>
      </c>
      <c r="O4549">
        <v>10.33</v>
      </c>
      <c r="P4549">
        <v>154556.70000000001</v>
      </c>
      <c r="Q4549">
        <v>95329.65</v>
      </c>
      <c r="R4549">
        <v>261</v>
      </c>
      <c r="S4549">
        <v>1622</v>
      </c>
      <c r="T4549" t="s">
        <v>108</v>
      </c>
      <c r="U4549" t="s">
        <v>42</v>
      </c>
    </row>
    <row r="4550" spans="1:21">
      <c r="A4550" t="s">
        <v>7067</v>
      </c>
      <c r="B4550" t="s">
        <v>7066</v>
      </c>
      <c r="C4550" t="s">
        <v>94</v>
      </c>
      <c r="D4550">
        <v>65000</v>
      </c>
      <c r="H4550">
        <v>3</v>
      </c>
      <c r="I4550" t="s">
        <v>89</v>
      </c>
      <c r="J4550">
        <v>17</v>
      </c>
      <c r="K4550">
        <v>42</v>
      </c>
      <c r="L4550">
        <v>3</v>
      </c>
      <c r="M4550" t="s">
        <v>6994</v>
      </c>
      <c r="N4550">
        <v>4</v>
      </c>
      <c r="O4550">
        <v>10.33</v>
      </c>
      <c r="P4550">
        <v>154556.70000000001</v>
      </c>
      <c r="Q4550">
        <v>95329.65</v>
      </c>
      <c r="R4550">
        <v>261</v>
      </c>
      <c r="S4550">
        <v>1622</v>
      </c>
      <c r="T4550" t="s">
        <v>108</v>
      </c>
      <c r="U4550" t="s">
        <v>42</v>
      </c>
    </row>
    <row r="4551" spans="1:21">
      <c r="A4551" t="s">
        <v>7068</v>
      </c>
      <c r="B4551" t="s">
        <v>7066</v>
      </c>
      <c r="C4551" t="s">
        <v>94</v>
      </c>
      <c r="D4551">
        <v>70000</v>
      </c>
      <c r="H4551">
        <v>3</v>
      </c>
      <c r="I4551" t="s">
        <v>89</v>
      </c>
      <c r="J4551">
        <v>17</v>
      </c>
      <c r="K4551">
        <v>42</v>
      </c>
      <c r="L4551">
        <v>3</v>
      </c>
      <c r="M4551" t="s">
        <v>6994</v>
      </c>
      <c r="N4551">
        <v>4</v>
      </c>
      <c r="O4551">
        <v>10.33</v>
      </c>
      <c r="P4551">
        <v>154556.70000000001</v>
      </c>
      <c r="Q4551">
        <v>95329.65</v>
      </c>
      <c r="R4551">
        <v>261</v>
      </c>
      <c r="S4551">
        <v>1622</v>
      </c>
      <c r="T4551" t="s">
        <v>108</v>
      </c>
      <c r="U4551" t="s">
        <v>42</v>
      </c>
    </row>
    <row r="4552" spans="1:21">
      <c r="A4552" t="s">
        <v>7069</v>
      </c>
      <c r="B4552" t="s">
        <v>7070</v>
      </c>
      <c r="C4552" t="s">
        <v>94</v>
      </c>
      <c r="D4552">
        <v>76000</v>
      </c>
      <c r="E4552">
        <v>3000</v>
      </c>
      <c r="F4552">
        <v>76000</v>
      </c>
      <c r="G4552">
        <v>76000</v>
      </c>
      <c r="H4552">
        <v>1</v>
      </c>
      <c r="I4552" t="s">
        <v>89</v>
      </c>
      <c r="J4552">
        <v>19.350000000000001</v>
      </c>
      <c r="K4552">
        <v>25</v>
      </c>
      <c r="L4552">
        <v>2</v>
      </c>
      <c r="M4552" t="s">
        <v>6994</v>
      </c>
      <c r="N4552">
        <v>6</v>
      </c>
      <c r="O4552">
        <v>12</v>
      </c>
      <c r="P4552">
        <v>154556.70000000001</v>
      </c>
      <c r="Q4552">
        <v>95329.65</v>
      </c>
      <c r="R4552">
        <v>261</v>
      </c>
      <c r="S4552">
        <v>1622</v>
      </c>
      <c r="T4552" t="s">
        <v>108</v>
      </c>
      <c r="U4552" t="s">
        <v>27</v>
      </c>
    </row>
    <row r="4553" spans="1:21">
      <c r="A4553" t="s">
        <v>7071</v>
      </c>
      <c r="B4553" t="s">
        <v>7072</v>
      </c>
      <c r="C4553" t="s">
        <v>94</v>
      </c>
      <c r="D4553">
        <v>71000</v>
      </c>
      <c r="E4553">
        <v>5000</v>
      </c>
      <c r="F4553">
        <v>71000</v>
      </c>
      <c r="G4553">
        <v>71000</v>
      </c>
      <c r="H4553">
        <v>1</v>
      </c>
      <c r="I4553" t="s">
        <v>89</v>
      </c>
      <c r="J4553">
        <v>19.100000000000001</v>
      </c>
      <c r="K4553">
        <v>34</v>
      </c>
      <c r="L4553">
        <v>3</v>
      </c>
      <c r="M4553" t="s">
        <v>6994</v>
      </c>
      <c r="N4553">
        <v>1</v>
      </c>
      <c r="O4553">
        <v>10.67</v>
      </c>
      <c r="P4553">
        <v>154556.70000000001</v>
      </c>
      <c r="Q4553">
        <v>95329.65</v>
      </c>
      <c r="R4553">
        <v>261</v>
      </c>
      <c r="S4553">
        <v>1622</v>
      </c>
      <c r="T4553" t="s">
        <v>108</v>
      </c>
      <c r="U4553" t="s">
        <v>49</v>
      </c>
    </row>
    <row r="4554" spans="1:21">
      <c r="A4554" t="s">
        <v>7073</v>
      </c>
      <c r="B4554" t="s">
        <v>7074</v>
      </c>
      <c r="C4554" t="s">
        <v>94</v>
      </c>
      <c r="D4554">
        <v>87000</v>
      </c>
      <c r="E4554">
        <v>11000</v>
      </c>
      <c r="H4554">
        <v>2</v>
      </c>
      <c r="I4554" t="s">
        <v>89</v>
      </c>
      <c r="J4554">
        <v>22.63</v>
      </c>
      <c r="K4554">
        <v>21</v>
      </c>
      <c r="L4554">
        <v>5</v>
      </c>
      <c r="M4554" t="s">
        <v>6994</v>
      </c>
      <c r="N4554">
        <v>8</v>
      </c>
      <c r="O4554">
        <v>10.33</v>
      </c>
      <c r="P4554">
        <v>154556.70000000001</v>
      </c>
      <c r="Q4554">
        <v>95329.65</v>
      </c>
      <c r="R4554">
        <v>261</v>
      </c>
      <c r="S4554">
        <v>1622</v>
      </c>
      <c r="T4554" t="s">
        <v>34</v>
      </c>
      <c r="U4554" t="s">
        <v>27</v>
      </c>
    </row>
    <row r="4555" spans="1:21">
      <c r="A4555" t="s">
        <v>7075</v>
      </c>
      <c r="B4555" t="s">
        <v>7076</v>
      </c>
      <c r="C4555" t="s">
        <v>48</v>
      </c>
      <c r="D4555">
        <v>164000</v>
      </c>
      <c r="E4555">
        <v>15000</v>
      </c>
      <c r="G4555">
        <v>164000</v>
      </c>
      <c r="H4555">
        <v>3</v>
      </c>
      <c r="I4555" t="s">
        <v>89</v>
      </c>
      <c r="J4555">
        <v>30.38</v>
      </c>
      <c r="K4555">
        <v>6</v>
      </c>
      <c r="L4555">
        <v>6</v>
      </c>
      <c r="M4555" t="s">
        <v>6994</v>
      </c>
      <c r="N4555">
        <v>6</v>
      </c>
      <c r="O4555">
        <v>12</v>
      </c>
      <c r="P4555">
        <v>154556.70000000001</v>
      </c>
      <c r="Q4555">
        <v>95329.65</v>
      </c>
      <c r="R4555">
        <v>261</v>
      </c>
      <c r="S4555">
        <v>1622</v>
      </c>
      <c r="T4555" t="s">
        <v>26</v>
      </c>
      <c r="U4555" t="s">
        <v>31</v>
      </c>
    </row>
    <row r="4556" spans="1:21">
      <c r="A4556" t="s">
        <v>7077</v>
      </c>
      <c r="B4556" t="s">
        <v>7078</v>
      </c>
      <c r="C4556" t="s">
        <v>48</v>
      </c>
      <c r="D4556">
        <v>114000</v>
      </c>
      <c r="E4556">
        <v>10000</v>
      </c>
      <c r="H4556">
        <v>1</v>
      </c>
      <c r="I4556" t="s">
        <v>89</v>
      </c>
      <c r="J4556">
        <v>20.51</v>
      </c>
      <c r="K4556">
        <v>3</v>
      </c>
      <c r="L4556">
        <v>4</v>
      </c>
      <c r="M4556" t="s">
        <v>6994</v>
      </c>
      <c r="N4556">
        <v>7</v>
      </c>
      <c r="O4556">
        <v>7.67</v>
      </c>
      <c r="P4556">
        <v>154556.70000000001</v>
      </c>
      <c r="Q4556">
        <v>95329.65</v>
      </c>
      <c r="R4556">
        <v>261</v>
      </c>
      <c r="S4556">
        <v>1622</v>
      </c>
      <c r="T4556" t="s">
        <v>34</v>
      </c>
      <c r="U4556" t="s">
        <v>31</v>
      </c>
    </row>
    <row r="4557" spans="1:21">
      <c r="A4557" t="s">
        <v>7079</v>
      </c>
      <c r="B4557" t="s">
        <v>7080</v>
      </c>
      <c r="C4557" t="s">
        <v>94</v>
      </c>
      <c r="D4557">
        <v>116000</v>
      </c>
      <c r="E4557">
        <v>20000</v>
      </c>
      <c r="F4557">
        <v>116000</v>
      </c>
      <c r="H4557">
        <v>2</v>
      </c>
      <c r="I4557" t="s">
        <v>89</v>
      </c>
      <c r="J4557">
        <v>25.64</v>
      </c>
      <c r="K4557">
        <v>3</v>
      </c>
      <c r="L4557">
        <v>4</v>
      </c>
      <c r="M4557" t="s">
        <v>6994</v>
      </c>
      <c r="N4557">
        <v>8</v>
      </c>
      <c r="O4557">
        <v>9</v>
      </c>
      <c r="P4557">
        <v>154556.70000000001</v>
      </c>
      <c r="Q4557">
        <v>95329.65</v>
      </c>
      <c r="R4557">
        <v>261</v>
      </c>
      <c r="S4557">
        <v>1622</v>
      </c>
      <c r="T4557" t="s">
        <v>34</v>
      </c>
      <c r="U4557" t="s">
        <v>31</v>
      </c>
    </row>
    <row r="4558" spans="1:21">
      <c r="A4558" t="s">
        <v>7081</v>
      </c>
      <c r="B4558" t="s">
        <v>7080</v>
      </c>
      <c r="C4558" t="s">
        <v>94</v>
      </c>
      <c r="D4558">
        <v>116000</v>
      </c>
      <c r="E4558">
        <v>20000</v>
      </c>
      <c r="F4558">
        <v>116000</v>
      </c>
      <c r="H4558">
        <v>3</v>
      </c>
      <c r="I4558" t="s">
        <v>89</v>
      </c>
      <c r="J4558">
        <v>25.64</v>
      </c>
      <c r="K4558">
        <v>3</v>
      </c>
      <c r="L4558">
        <v>4</v>
      </c>
      <c r="M4558" t="s">
        <v>6994</v>
      </c>
      <c r="N4558">
        <v>8</v>
      </c>
      <c r="O4558">
        <v>9</v>
      </c>
      <c r="P4558">
        <v>154556.70000000001</v>
      </c>
      <c r="Q4558">
        <v>95329.65</v>
      </c>
      <c r="R4558">
        <v>261</v>
      </c>
      <c r="S4558">
        <v>1622</v>
      </c>
      <c r="T4558" t="s">
        <v>34</v>
      </c>
      <c r="U4558" t="s">
        <v>31</v>
      </c>
    </row>
    <row r="4559" spans="1:21">
      <c r="A4559" t="s">
        <v>7082</v>
      </c>
      <c r="B4559" t="s">
        <v>7080</v>
      </c>
      <c r="C4559" t="s">
        <v>94</v>
      </c>
      <c r="D4559">
        <v>116000</v>
      </c>
      <c r="E4559">
        <v>20000</v>
      </c>
      <c r="F4559">
        <v>116000</v>
      </c>
      <c r="H4559">
        <v>4</v>
      </c>
      <c r="I4559" t="s">
        <v>89</v>
      </c>
      <c r="J4559">
        <v>25.56</v>
      </c>
      <c r="K4559">
        <v>3</v>
      </c>
      <c r="L4559">
        <v>4</v>
      </c>
      <c r="M4559" t="s">
        <v>6994</v>
      </c>
      <c r="N4559">
        <v>8</v>
      </c>
      <c r="O4559">
        <v>9</v>
      </c>
      <c r="P4559">
        <v>154556.70000000001</v>
      </c>
      <c r="Q4559">
        <v>95329.65</v>
      </c>
      <c r="R4559">
        <v>261</v>
      </c>
      <c r="S4559">
        <v>1622</v>
      </c>
      <c r="T4559" t="s">
        <v>34</v>
      </c>
      <c r="U4559" t="s">
        <v>31</v>
      </c>
    </row>
    <row r="4560" spans="1:21">
      <c r="A4560" t="s">
        <v>7083</v>
      </c>
      <c r="B4560" t="s">
        <v>7084</v>
      </c>
      <c r="C4560" t="s">
        <v>94</v>
      </c>
      <c r="D4560">
        <v>146000</v>
      </c>
      <c r="E4560">
        <v>8000</v>
      </c>
      <c r="F4560">
        <v>146000</v>
      </c>
      <c r="G4560">
        <v>219000</v>
      </c>
      <c r="H4560">
        <v>10</v>
      </c>
      <c r="I4560" t="s">
        <v>89</v>
      </c>
      <c r="J4560">
        <v>29.14</v>
      </c>
      <c r="K4560">
        <v>10</v>
      </c>
      <c r="L4560">
        <v>13</v>
      </c>
      <c r="M4560" t="s">
        <v>6994</v>
      </c>
      <c r="N4560">
        <v>8</v>
      </c>
      <c r="O4560">
        <v>12</v>
      </c>
      <c r="P4560">
        <v>154556.70000000001</v>
      </c>
      <c r="Q4560">
        <v>95329.65</v>
      </c>
      <c r="R4560">
        <v>261</v>
      </c>
      <c r="S4560">
        <v>1622</v>
      </c>
      <c r="T4560" t="s">
        <v>34</v>
      </c>
      <c r="U4560" t="s">
        <v>31</v>
      </c>
    </row>
    <row r="4561" spans="1:21">
      <c r="A4561" t="s">
        <v>7085</v>
      </c>
      <c r="B4561" t="s">
        <v>7084</v>
      </c>
      <c r="C4561" t="s">
        <v>94</v>
      </c>
      <c r="D4561">
        <v>149000</v>
      </c>
      <c r="E4561">
        <v>8000</v>
      </c>
      <c r="F4561">
        <v>149000</v>
      </c>
      <c r="G4561">
        <v>223500</v>
      </c>
      <c r="H4561">
        <v>10</v>
      </c>
      <c r="I4561" t="s">
        <v>89</v>
      </c>
      <c r="J4561">
        <v>29.14</v>
      </c>
      <c r="K4561">
        <v>10</v>
      </c>
      <c r="L4561">
        <v>13</v>
      </c>
      <c r="M4561" t="s">
        <v>6994</v>
      </c>
      <c r="N4561">
        <v>8</v>
      </c>
      <c r="O4561">
        <v>12</v>
      </c>
      <c r="P4561">
        <v>154556.70000000001</v>
      </c>
      <c r="Q4561">
        <v>95329.65</v>
      </c>
      <c r="R4561">
        <v>261</v>
      </c>
      <c r="S4561">
        <v>1622</v>
      </c>
      <c r="T4561" t="s">
        <v>34</v>
      </c>
      <c r="U4561" t="s">
        <v>31</v>
      </c>
    </row>
    <row r="4562" spans="1:21">
      <c r="A4562" t="s">
        <v>7086</v>
      </c>
      <c r="B4562" t="s">
        <v>7084</v>
      </c>
      <c r="C4562" t="s">
        <v>94</v>
      </c>
      <c r="D4562">
        <v>150000</v>
      </c>
      <c r="E4562">
        <v>8000</v>
      </c>
      <c r="F4562">
        <v>150000</v>
      </c>
      <c r="G4562">
        <v>150000</v>
      </c>
      <c r="H4562">
        <v>10</v>
      </c>
      <c r="I4562" t="s">
        <v>89</v>
      </c>
      <c r="J4562">
        <v>29.14</v>
      </c>
      <c r="K4562">
        <v>10</v>
      </c>
      <c r="L4562">
        <v>13</v>
      </c>
      <c r="M4562" t="s">
        <v>6994</v>
      </c>
      <c r="N4562">
        <v>8</v>
      </c>
      <c r="O4562">
        <v>12</v>
      </c>
      <c r="P4562">
        <v>154556.70000000001</v>
      </c>
      <c r="Q4562">
        <v>95329.65</v>
      </c>
      <c r="R4562">
        <v>261</v>
      </c>
      <c r="S4562">
        <v>1622</v>
      </c>
      <c r="T4562" t="s">
        <v>34</v>
      </c>
      <c r="U4562" t="s">
        <v>31</v>
      </c>
    </row>
    <row r="4563" spans="1:21">
      <c r="A4563" t="s">
        <v>7087</v>
      </c>
      <c r="B4563" t="s">
        <v>7084</v>
      </c>
      <c r="C4563" t="s">
        <v>94</v>
      </c>
      <c r="D4563">
        <v>130000</v>
      </c>
      <c r="E4563">
        <v>8000</v>
      </c>
      <c r="F4563">
        <v>130000</v>
      </c>
      <c r="G4563">
        <v>130000</v>
      </c>
      <c r="H4563">
        <v>10</v>
      </c>
      <c r="I4563" t="s">
        <v>89</v>
      </c>
      <c r="J4563">
        <v>29.61</v>
      </c>
      <c r="K4563">
        <v>10</v>
      </c>
      <c r="L4563">
        <v>13</v>
      </c>
      <c r="M4563" t="s">
        <v>6994</v>
      </c>
      <c r="N4563">
        <v>8</v>
      </c>
      <c r="O4563">
        <v>12</v>
      </c>
      <c r="P4563">
        <v>154556.70000000001</v>
      </c>
      <c r="Q4563">
        <v>95329.65</v>
      </c>
      <c r="R4563">
        <v>261</v>
      </c>
      <c r="S4563">
        <v>1622</v>
      </c>
      <c r="T4563" t="s">
        <v>34</v>
      </c>
      <c r="U4563" t="s">
        <v>31</v>
      </c>
    </row>
    <row r="4564" spans="1:21">
      <c r="A4564" t="s">
        <v>7088</v>
      </c>
      <c r="B4564" t="s">
        <v>7084</v>
      </c>
      <c r="C4564" t="s">
        <v>94</v>
      </c>
      <c r="D4564">
        <v>150000</v>
      </c>
      <c r="E4564">
        <v>8000</v>
      </c>
      <c r="F4564">
        <v>150000</v>
      </c>
      <c r="G4564">
        <v>150000</v>
      </c>
      <c r="H4564">
        <v>10</v>
      </c>
      <c r="I4564" t="s">
        <v>89</v>
      </c>
      <c r="J4564">
        <v>29.61</v>
      </c>
      <c r="K4564">
        <v>10</v>
      </c>
      <c r="L4564">
        <v>13</v>
      </c>
      <c r="M4564" t="s">
        <v>6994</v>
      </c>
      <c r="N4564">
        <v>8</v>
      </c>
      <c r="O4564">
        <v>12</v>
      </c>
      <c r="P4564">
        <v>154556.70000000001</v>
      </c>
      <c r="Q4564">
        <v>95329.65</v>
      </c>
      <c r="R4564">
        <v>261</v>
      </c>
      <c r="S4564">
        <v>1622</v>
      </c>
      <c r="T4564" t="s">
        <v>34</v>
      </c>
      <c r="U4564" t="s">
        <v>31</v>
      </c>
    </row>
    <row r="4565" spans="1:21">
      <c r="A4565" t="s">
        <v>7089</v>
      </c>
      <c r="B4565" t="s">
        <v>7084</v>
      </c>
      <c r="C4565" t="s">
        <v>94</v>
      </c>
      <c r="D4565">
        <v>152000</v>
      </c>
      <c r="E4565">
        <v>8000</v>
      </c>
      <c r="F4565">
        <v>152000</v>
      </c>
      <c r="G4565">
        <v>228000</v>
      </c>
      <c r="H4565">
        <v>12</v>
      </c>
      <c r="I4565" t="s">
        <v>89</v>
      </c>
      <c r="J4565">
        <v>29.14</v>
      </c>
      <c r="K4565">
        <v>10</v>
      </c>
      <c r="L4565">
        <v>13</v>
      </c>
      <c r="M4565" t="s">
        <v>6994</v>
      </c>
      <c r="N4565">
        <v>8</v>
      </c>
      <c r="O4565">
        <v>12</v>
      </c>
      <c r="P4565">
        <v>154556.70000000001</v>
      </c>
      <c r="Q4565">
        <v>95329.65</v>
      </c>
      <c r="R4565">
        <v>261</v>
      </c>
      <c r="S4565">
        <v>1622</v>
      </c>
      <c r="T4565" t="s">
        <v>34</v>
      </c>
      <c r="U4565" t="s">
        <v>31</v>
      </c>
    </row>
    <row r="4566" spans="1:21">
      <c r="A4566" t="s">
        <v>7090</v>
      </c>
      <c r="B4566" t="s">
        <v>7084</v>
      </c>
      <c r="C4566" t="s">
        <v>94</v>
      </c>
      <c r="D4566">
        <v>122000</v>
      </c>
      <c r="E4566">
        <v>8000</v>
      </c>
      <c r="F4566">
        <v>122000</v>
      </c>
      <c r="G4566">
        <v>122000</v>
      </c>
      <c r="H4566">
        <v>4</v>
      </c>
      <c r="I4566" t="s">
        <v>89</v>
      </c>
      <c r="J4566">
        <v>25.41</v>
      </c>
      <c r="K4566">
        <v>10</v>
      </c>
      <c r="L4566">
        <v>13</v>
      </c>
      <c r="M4566" t="s">
        <v>6994</v>
      </c>
      <c r="N4566">
        <v>8</v>
      </c>
      <c r="O4566">
        <v>12</v>
      </c>
      <c r="P4566">
        <v>154556.70000000001</v>
      </c>
      <c r="Q4566">
        <v>95329.65</v>
      </c>
      <c r="R4566">
        <v>261</v>
      </c>
      <c r="S4566">
        <v>1622</v>
      </c>
      <c r="T4566" t="s">
        <v>34</v>
      </c>
      <c r="U4566" t="s">
        <v>31</v>
      </c>
    </row>
    <row r="4567" spans="1:21">
      <c r="A4567" t="s">
        <v>7091</v>
      </c>
      <c r="B4567" t="s">
        <v>7084</v>
      </c>
      <c r="C4567" t="s">
        <v>94</v>
      </c>
      <c r="D4567">
        <v>148000</v>
      </c>
      <c r="E4567">
        <v>8000</v>
      </c>
      <c r="F4567">
        <v>148000</v>
      </c>
      <c r="G4567">
        <v>222000</v>
      </c>
      <c r="H4567">
        <v>8</v>
      </c>
      <c r="I4567" t="s">
        <v>89</v>
      </c>
      <c r="J4567">
        <v>29.14</v>
      </c>
      <c r="K4567">
        <v>10</v>
      </c>
      <c r="L4567">
        <v>13</v>
      </c>
      <c r="M4567" t="s">
        <v>6994</v>
      </c>
      <c r="N4567">
        <v>8</v>
      </c>
      <c r="O4567">
        <v>12</v>
      </c>
      <c r="P4567">
        <v>154556.70000000001</v>
      </c>
      <c r="Q4567">
        <v>95329.65</v>
      </c>
      <c r="R4567">
        <v>261</v>
      </c>
      <c r="S4567">
        <v>1622</v>
      </c>
      <c r="T4567" t="s">
        <v>34</v>
      </c>
      <c r="U4567" t="s">
        <v>31</v>
      </c>
    </row>
    <row r="4568" spans="1:21">
      <c r="A4568" t="s">
        <v>7092</v>
      </c>
      <c r="B4568" t="s">
        <v>7093</v>
      </c>
      <c r="C4568" t="s">
        <v>48</v>
      </c>
      <c r="D4568">
        <v>50199.999999999898</v>
      </c>
      <c r="F4568">
        <v>50199.999999999898</v>
      </c>
      <c r="G4568">
        <v>50199.999999999898</v>
      </c>
      <c r="H4568">
        <v>1</v>
      </c>
      <c r="I4568" t="s">
        <v>89</v>
      </c>
      <c r="J4568">
        <v>16</v>
      </c>
      <c r="K4568">
        <v>48</v>
      </c>
      <c r="L4568">
        <v>2</v>
      </c>
      <c r="M4568" t="s">
        <v>6994</v>
      </c>
      <c r="N4568">
        <v>6</v>
      </c>
      <c r="O4568">
        <v>7.5</v>
      </c>
      <c r="P4568">
        <v>154556.70000000001</v>
      </c>
      <c r="Q4568">
        <v>95329.65</v>
      </c>
      <c r="R4568">
        <v>261</v>
      </c>
      <c r="S4568">
        <v>1622</v>
      </c>
      <c r="T4568" t="s">
        <v>108</v>
      </c>
      <c r="U4568" t="s">
        <v>42</v>
      </c>
    </row>
    <row r="4569" spans="1:21">
      <c r="A4569" t="s">
        <v>7094</v>
      </c>
      <c r="B4569" t="s">
        <v>7095</v>
      </c>
      <c r="C4569" t="s">
        <v>94</v>
      </c>
      <c r="D4569">
        <v>68000</v>
      </c>
      <c r="E4569">
        <v>1000</v>
      </c>
      <c r="F4569">
        <v>68000</v>
      </c>
      <c r="G4569">
        <v>68000</v>
      </c>
      <c r="H4569">
        <v>1</v>
      </c>
      <c r="I4569" t="s">
        <v>89</v>
      </c>
      <c r="J4569">
        <v>21.25</v>
      </c>
      <c r="K4569">
        <v>34</v>
      </c>
      <c r="L4569">
        <v>2</v>
      </c>
      <c r="M4569" t="s">
        <v>6994</v>
      </c>
      <c r="N4569">
        <v>5</v>
      </c>
      <c r="O4569">
        <v>10</v>
      </c>
      <c r="P4569">
        <v>154556.70000000001</v>
      </c>
      <c r="Q4569">
        <v>95329.65</v>
      </c>
      <c r="R4569">
        <v>261</v>
      </c>
      <c r="S4569">
        <v>1622</v>
      </c>
      <c r="T4569" t="s">
        <v>34</v>
      </c>
      <c r="U4569" t="s">
        <v>49</v>
      </c>
    </row>
    <row r="4570" spans="1:21">
      <c r="A4570" t="s">
        <v>7096</v>
      </c>
      <c r="B4570" t="s">
        <v>7097</v>
      </c>
      <c r="C4570" t="s">
        <v>94</v>
      </c>
      <c r="D4570">
        <v>82000</v>
      </c>
      <c r="E4570">
        <v>3000</v>
      </c>
      <c r="F4570">
        <v>82000</v>
      </c>
      <c r="H4570">
        <v>1</v>
      </c>
      <c r="I4570" t="s">
        <v>89</v>
      </c>
      <c r="J4570">
        <v>20.88</v>
      </c>
      <c r="K4570">
        <v>44</v>
      </c>
      <c r="L4570">
        <v>3</v>
      </c>
      <c r="M4570" t="s">
        <v>6994</v>
      </c>
      <c r="N4570">
        <v>2</v>
      </c>
      <c r="O4570">
        <v>8.67</v>
      </c>
      <c r="P4570">
        <v>154556.70000000001</v>
      </c>
      <c r="Q4570">
        <v>95329.65</v>
      </c>
      <c r="R4570">
        <v>261</v>
      </c>
      <c r="S4570">
        <v>1622</v>
      </c>
      <c r="T4570" t="s">
        <v>34</v>
      </c>
      <c r="U4570" t="s">
        <v>42</v>
      </c>
    </row>
    <row r="4571" spans="1:21">
      <c r="A4571" t="s">
        <v>7098</v>
      </c>
      <c r="B4571" t="s">
        <v>7099</v>
      </c>
      <c r="C4571" t="s">
        <v>48</v>
      </c>
      <c r="D4571">
        <v>65000</v>
      </c>
      <c r="F4571">
        <v>65000</v>
      </c>
      <c r="G4571">
        <v>65000</v>
      </c>
      <c r="H4571">
        <v>2</v>
      </c>
      <c r="I4571" t="s">
        <v>89</v>
      </c>
      <c r="J4571">
        <v>20.7</v>
      </c>
      <c r="K4571">
        <v>40</v>
      </c>
      <c r="L4571">
        <v>2</v>
      </c>
      <c r="M4571" t="s">
        <v>6994</v>
      </c>
      <c r="N4571">
        <v>7</v>
      </c>
      <c r="O4571">
        <v>7</v>
      </c>
      <c r="P4571">
        <v>154556.70000000001</v>
      </c>
      <c r="Q4571">
        <v>95329.65</v>
      </c>
      <c r="R4571">
        <v>261</v>
      </c>
      <c r="S4571">
        <v>1622</v>
      </c>
      <c r="T4571" t="s">
        <v>34</v>
      </c>
      <c r="U4571" t="s">
        <v>49</v>
      </c>
    </row>
    <row r="4572" spans="1:21">
      <c r="A4572" t="s">
        <v>7100</v>
      </c>
      <c r="B4572" t="s">
        <v>7101</v>
      </c>
      <c r="C4572" t="s">
        <v>48</v>
      </c>
      <c r="D4572">
        <v>63000</v>
      </c>
      <c r="F4572">
        <v>63000</v>
      </c>
      <c r="H4572">
        <v>2</v>
      </c>
      <c r="I4572" t="s">
        <v>89</v>
      </c>
      <c r="J4572">
        <v>16</v>
      </c>
      <c r="K4572">
        <v>55</v>
      </c>
      <c r="L4572">
        <v>2</v>
      </c>
      <c r="M4572" t="s">
        <v>6994</v>
      </c>
      <c r="N4572">
        <v>5</v>
      </c>
      <c r="O4572">
        <v>12</v>
      </c>
      <c r="P4572">
        <v>154556.70000000001</v>
      </c>
      <c r="Q4572">
        <v>95329.65</v>
      </c>
      <c r="R4572">
        <v>261</v>
      </c>
      <c r="S4572">
        <v>1622</v>
      </c>
      <c r="T4572" t="s">
        <v>108</v>
      </c>
      <c r="U4572" t="s">
        <v>57</v>
      </c>
    </row>
    <row r="4573" spans="1:21">
      <c r="A4573" t="s">
        <v>7102</v>
      </c>
      <c r="B4573" t="s">
        <v>7103</v>
      </c>
      <c r="C4573" t="s">
        <v>48</v>
      </c>
      <c r="D4573">
        <v>146000</v>
      </c>
      <c r="E4573">
        <v>12000</v>
      </c>
      <c r="G4573">
        <v>146000</v>
      </c>
      <c r="H4573">
        <v>3</v>
      </c>
      <c r="I4573" t="s">
        <v>89</v>
      </c>
      <c r="J4573">
        <v>26.47</v>
      </c>
      <c r="K4573">
        <v>6</v>
      </c>
      <c r="L4573">
        <v>10</v>
      </c>
      <c r="M4573" t="s">
        <v>6994</v>
      </c>
      <c r="N4573">
        <v>3</v>
      </c>
      <c r="O4573">
        <v>5.67</v>
      </c>
      <c r="P4573">
        <v>154556.70000000001</v>
      </c>
      <c r="Q4573">
        <v>95329.65</v>
      </c>
      <c r="R4573">
        <v>261</v>
      </c>
      <c r="S4573">
        <v>1622</v>
      </c>
      <c r="T4573" t="s">
        <v>34</v>
      </c>
      <c r="U4573" t="s">
        <v>31</v>
      </c>
    </row>
    <row r="4574" spans="1:21">
      <c r="A4574" t="s">
        <v>7104</v>
      </c>
      <c r="B4574" t="s">
        <v>7103</v>
      </c>
      <c r="C4574" t="s">
        <v>48</v>
      </c>
      <c r="D4574">
        <v>148000</v>
      </c>
      <c r="E4574">
        <v>12000</v>
      </c>
      <c r="G4574">
        <v>148000</v>
      </c>
      <c r="H4574">
        <v>9</v>
      </c>
      <c r="I4574" t="s">
        <v>89</v>
      </c>
      <c r="J4574">
        <v>26.47</v>
      </c>
      <c r="K4574">
        <v>6</v>
      </c>
      <c r="L4574">
        <v>10</v>
      </c>
      <c r="M4574" t="s">
        <v>6994</v>
      </c>
      <c r="N4574">
        <v>3</v>
      </c>
      <c r="O4574">
        <v>5.67</v>
      </c>
      <c r="P4574">
        <v>154556.70000000001</v>
      </c>
      <c r="Q4574">
        <v>95329.65</v>
      </c>
      <c r="R4574">
        <v>261</v>
      </c>
      <c r="S4574">
        <v>1622</v>
      </c>
      <c r="T4574" t="s">
        <v>34</v>
      </c>
      <c r="U4574" t="s">
        <v>31</v>
      </c>
    </row>
    <row r="4575" spans="1:21">
      <c r="A4575" t="s">
        <v>7105</v>
      </c>
      <c r="B4575" t="s">
        <v>7106</v>
      </c>
      <c r="C4575" t="s">
        <v>45</v>
      </c>
      <c r="D4575">
        <v>80000</v>
      </c>
      <c r="E4575">
        <v>9000</v>
      </c>
      <c r="F4575">
        <v>80000</v>
      </c>
      <c r="G4575">
        <v>160000</v>
      </c>
      <c r="H4575">
        <v>3</v>
      </c>
      <c r="I4575" t="s">
        <v>89</v>
      </c>
      <c r="J4575">
        <v>23.08</v>
      </c>
      <c r="K4575">
        <v>24</v>
      </c>
      <c r="L4575">
        <v>12</v>
      </c>
      <c r="M4575" t="s">
        <v>6994</v>
      </c>
      <c r="N4575">
        <v>7</v>
      </c>
      <c r="O4575">
        <v>7</v>
      </c>
      <c r="P4575">
        <v>154556.70000000001</v>
      </c>
      <c r="Q4575">
        <v>95329.65</v>
      </c>
      <c r="R4575">
        <v>261</v>
      </c>
      <c r="S4575">
        <v>1622</v>
      </c>
      <c r="T4575" t="s">
        <v>34</v>
      </c>
      <c r="U4575" t="s">
        <v>27</v>
      </c>
    </row>
    <row r="4576" spans="1:21">
      <c r="A4576" t="s">
        <v>7107</v>
      </c>
      <c r="B4576" t="s">
        <v>7108</v>
      </c>
      <c r="C4576" t="s">
        <v>94</v>
      </c>
      <c r="D4576">
        <v>146000</v>
      </c>
      <c r="E4576">
        <v>8000</v>
      </c>
      <c r="F4576">
        <v>146000</v>
      </c>
      <c r="G4576">
        <v>219000</v>
      </c>
      <c r="H4576">
        <v>10</v>
      </c>
      <c r="I4576" t="s">
        <v>89</v>
      </c>
      <c r="J4576">
        <v>29.14</v>
      </c>
      <c r="K4576">
        <v>10</v>
      </c>
      <c r="L4576">
        <v>13</v>
      </c>
      <c r="M4576" t="s">
        <v>6994</v>
      </c>
      <c r="N4576">
        <v>8</v>
      </c>
      <c r="O4576">
        <v>8.67</v>
      </c>
      <c r="P4576">
        <v>154556.70000000001</v>
      </c>
      <c r="Q4576">
        <v>95329.65</v>
      </c>
      <c r="R4576">
        <v>261</v>
      </c>
      <c r="S4576">
        <v>1622</v>
      </c>
      <c r="T4576" t="s">
        <v>34</v>
      </c>
      <c r="U4576" t="s">
        <v>31</v>
      </c>
    </row>
    <row r="4577" spans="1:21">
      <c r="A4577" t="s">
        <v>7109</v>
      </c>
      <c r="B4577" t="s">
        <v>7108</v>
      </c>
      <c r="C4577" t="s">
        <v>94</v>
      </c>
      <c r="D4577">
        <v>130000</v>
      </c>
      <c r="E4577">
        <v>8000</v>
      </c>
      <c r="F4577">
        <v>130000</v>
      </c>
      <c r="G4577">
        <v>130000</v>
      </c>
      <c r="H4577">
        <v>10</v>
      </c>
      <c r="I4577" t="s">
        <v>89</v>
      </c>
      <c r="J4577">
        <v>29.61</v>
      </c>
      <c r="K4577">
        <v>10</v>
      </c>
      <c r="L4577">
        <v>13</v>
      </c>
      <c r="M4577" t="s">
        <v>6994</v>
      </c>
      <c r="N4577">
        <v>8</v>
      </c>
      <c r="O4577">
        <v>8.67</v>
      </c>
      <c r="P4577">
        <v>154556.70000000001</v>
      </c>
      <c r="Q4577">
        <v>95329.65</v>
      </c>
      <c r="R4577">
        <v>261</v>
      </c>
      <c r="S4577">
        <v>1622</v>
      </c>
      <c r="T4577" t="s">
        <v>34</v>
      </c>
      <c r="U4577" t="s">
        <v>31</v>
      </c>
    </row>
    <row r="4578" spans="1:21">
      <c r="A4578" t="s">
        <v>7110</v>
      </c>
      <c r="B4578" t="s">
        <v>7108</v>
      </c>
      <c r="C4578" t="s">
        <v>94</v>
      </c>
      <c r="D4578">
        <v>152000</v>
      </c>
      <c r="E4578">
        <v>8000</v>
      </c>
      <c r="F4578">
        <v>152000</v>
      </c>
      <c r="G4578">
        <v>228000</v>
      </c>
      <c r="H4578">
        <v>12</v>
      </c>
      <c r="I4578" t="s">
        <v>89</v>
      </c>
      <c r="J4578">
        <v>29.14</v>
      </c>
      <c r="K4578">
        <v>10</v>
      </c>
      <c r="L4578">
        <v>13</v>
      </c>
      <c r="M4578" t="s">
        <v>6994</v>
      </c>
      <c r="N4578">
        <v>8</v>
      </c>
      <c r="O4578">
        <v>8.67</v>
      </c>
      <c r="P4578">
        <v>154556.70000000001</v>
      </c>
      <c r="Q4578">
        <v>95329.65</v>
      </c>
      <c r="R4578">
        <v>261</v>
      </c>
      <c r="S4578">
        <v>1622</v>
      </c>
      <c r="T4578" t="s">
        <v>34</v>
      </c>
      <c r="U4578" t="s">
        <v>31</v>
      </c>
    </row>
    <row r="4579" spans="1:21">
      <c r="A4579" t="s">
        <v>7111</v>
      </c>
      <c r="B4579" t="s">
        <v>7108</v>
      </c>
      <c r="C4579" t="s">
        <v>94</v>
      </c>
      <c r="D4579">
        <v>122000</v>
      </c>
      <c r="E4579">
        <v>8000</v>
      </c>
      <c r="F4579">
        <v>122000</v>
      </c>
      <c r="G4579">
        <v>122000</v>
      </c>
      <c r="H4579">
        <v>4</v>
      </c>
      <c r="I4579" t="s">
        <v>89</v>
      </c>
      <c r="J4579">
        <v>25.41</v>
      </c>
      <c r="K4579">
        <v>10</v>
      </c>
      <c r="L4579">
        <v>13</v>
      </c>
      <c r="M4579" t="s">
        <v>6994</v>
      </c>
      <c r="N4579">
        <v>8</v>
      </c>
      <c r="O4579">
        <v>8.67</v>
      </c>
      <c r="P4579">
        <v>154556.70000000001</v>
      </c>
      <c r="Q4579">
        <v>95329.65</v>
      </c>
      <c r="R4579">
        <v>261</v>
      </c>
      <c r="S4579">
        <v>1622</v>
      </c>
      <c r="T4579" t="s">
        <v>34</v>
      </c>
      <c r="U4579" t="s">
        <v>31</v>
      </c>
    </row>
    <row r="4580" spans="1:21">
      <c r="A4580" t="s">
        <v>7112</v>
      </c>
      <c r="B4580" t="s">
        <v>7108</v>
      </c>
      <c r="C4580" t="s">
        <v>94</v>
      </c>
      <c r="D4580">
        <v>148000</v>
      </c>
      <c r="E4580">
        <v>8000</v>
      </c>
      <c r="F4580">
        <v>148000</v>
      </c>
      <c r="G4580">
        <v>222000</v>
      </c>
      <c r="H4580">
        <v>8</v>
      </c>
      <c r="I4580" t="s">
        <v>89</v>
      </c>
      <c r="J4580">
        <v>29.14</v>
      </c>
      <c r="K4580">
        <v>10</v>
      </c>
      <c r="L4580">
        <v>13</v>
      </c>
      <c r="M4580" t="s">
        <v>6994</v>
      </c>
      <c r="N4580">
        <v>8</v>
      </c>
      <c r="O4580">
        <v>8.67</v>
      </c>
      <c r="P4580">
        <v>154556.70000000001</v>
      </c>
      <c r="Q4580">
        <v>95329.65</v>
      </c>
      <c r="R4580">
        <v>261</v>
      </c>
      <c r="S4580">
        <v>1622</v>
      </c>
      <c r="T4580" t="s">
        <v>34</v>
      </c>
      <c r="U4580" t="s">
        <v>31</v>
      </c>
    </row>
    <row r="4581" spans="1:21">
      <c r="A4581" t="s">
        <v>7113</v>
      </c>
      <c r="B4581" t="s">
        <v>7012</v>
      </c>
      <c r="C4581" t="s">
        <v>48</v>
      </c>
      <c r="D4581">
        <v>145000</v>
      </c>
      <c r="E4581">
        <v>15000</v>
      </c>
      <c r="F4581">
        <v>145000</v>
      </c>
      <c r="G4581">
        <v>217500</v>
      </c>
      <c r="H4581">
        <v>11</v>
      </c>
      <c r="I4581" t="s">
        <v>89</v>
      </c>
      <c r="J4581">
        <v>30.26</v>
      </c>
      <c r="K4581">
        <v>16</v>
      </c>
      <c r="L4581">
        <v>15</v>
      </c>
      <c r="M4581" t="s">
        <v>6994</v>
      </c>
      <c r="N4581">
        <v>4</v>
      </c>
      <c r="O4581">
        <v>6.67</v>
      </c>
      <c r="P4581">
        <v>154556.70000000001</v>
      </c>
      <c r="Q4581">
        <v>95329.65</v>
      </c>
      <c r="R4581">
        <v>261</v>
      </c>
      <c r="S4581">
        <v>1622</v>
      </c>
      <c r="T4581" t="s">
        <v>26</v>
      </c>
      <c r="U4581" t="s">
        <v>90</v>
      </c>
    </row>
    <row r="4582" spans="1:21">
      <c r="A4582" t="s">
        <v>7114</v>
      </c>
      <c r="B4582" t="s">
        <v>7012</v>
      </c>
      <c r="C4582" t="s">
        <v>48</v>
      </c>
      <c r="D4582">
        <v>152000</v>
      </c>
      <c r="E4582">
        <v>15000</v>
      </c>
      <c r="F4582">
        <v>152000</v>
      </c>
      <c r="G4582">
        <v>304000</v>
      </c>
      <c r="H4582">
        <v>3</v>
      </c>
      <c r="I4582" t="s">
        <v>89</v>
      </c>
      <c r="J4582">
        <v>32.770000000000003</v>
      </c>
      <c r="K4582">
        <v>16</v>
      </c>
      <c r="L4582">
        <v>15</v>
      </c>
      <c r="M4582" t="s">
        <v>6994</v>
      </c>
      <c r="N4582">
        <v>4</v>
      </c>
      <c r="O4582">
        <v>6.67</v>
      </c>
      <c r="P4582">
        <v>154556.70000000001</v>
      </c>
      <c r="Q4582">
        <v>95329.65</v>
      </c>
      <c r="R4582">
        <v>261</v>
      </c>
      <c r="S4582">
        <v>1622</v>
      </c>
      <c r="T4582" t="s">
        <v>26</v>
      </c>
      <c r="U4582" t="s">
        <v>90</v>
      </c>
    </row>
    <row r="4583" spans="1:21">
      <c r="A4583" t="s">
        <v>7115</v>
      </c>
      <c r="B4583" t="s">
        <v>7012</v>
      </c>
      <c r="C4583" t="s">
        <v>48</v>
      </c>
      <c r="D4583">
        <v>154000</v>
      </c>
      <c r="E4583">
        <v>15000</v>
      </c>
      <c r="F4583">
        <v>154000</v>
      </c>
      <c r="G4583">
        <v>231000</v>
      </c>
      <c r="H4583">
        <v>5</v>
      </c>
      <c r="I4583" t="s">
        <v>89</v>
      </c>
      <c r="J4583">
        <v>32.770000000000003</v>
      </c>
      <c r="K4583">
        <v>16</v>
      </c>
      <c r="L4583">
        <v>15</v>
      </c>
      <c r="M4583" t="s">
        <v>6994</v>
      </c>
      <c r="N4583">
        <v>4</v>
      </c>
      <c r="O4583">
        <v>6.67</v>
      </c>
      <c r="P4583">
        <v>154556.70000000001</v>
      </c>
      <c r="Q4583">
        <v>95329.65</v>
      </c>
      <c r="R4583">
        <v>261</v>
      </c>
      <c r="S4583">
        <v>1622</v>
      </c>
      <c r="T4583" t="s">
        <v>26</v>
      </c>
      <c r="U4583" t="s">
        <v>90</v>
      </c>
    </row>
    <row r="4584" spans="1:21">
      <c r="A4584" t="s">
        <v>7116</v>
      </c>
      <c r="B4584" t="s">
        <v>7012</v>
      </c>
      <c r="C4584" t="s">
        <v>48</v>
      </c>
      <c r="D4584">
        <v>148000</v>
      </c>
      <c r="E4584">
        <v>15000</v>
      </c>
      <c r="F4584">
        <v>148000</v>
      </c>
      <c r="H4584">
        <v>6</v>
      </c>
      <c r="I4584" t="s">
        <v>89</v>
      </c>
      <c r="J4584">
        <v>32.770000000000003</v>
      </c>
      <c r="K4584">
        <v>16</v>
      </c>
      <c r="L4584">
        <v>15</v>
      </c>
      <c r="M4584" t="s">
        <v>6994</v>
      </c>
      <c r="N4584">
        <v>4</v>
      </c>
      <c r="O4584">
        <v>6.67</v>
      </c>
      <c r="P4584">
        <v>154556.70000000001</v>
      </c>
      <c r="Q4584">
        <v>95329.65</v>
      </c>
      <c r="R4584">
        <v>261</v>
      </c>
      <c r="S4584">
        <v>1622</v>
      </c>
      <c r="T4584" t="s">
        <v>26</v>
      </c>
      <c r="U4584" t="s">
        <v>90</v>
      </c>
    </row>
    <row r="4585" spans="1:21">
      <c r="A4585" t="s">
        <v>7117</v>
      </c>
      <c r="B4585" t="s">
        <v>7012</v>
      </c>
      <c r="C4585" t="s">
        <v>48</v>
      </c>
      <c r="D4585">
        <v>141000</v>
      </c>
      <c r="E4585">
        <v>15000</v>
      </c>
      <c r="F4585">
        <v>141000</v>
      </c>
      <c r="G4585">
        <v>282000</v>
      </c>
      <c r="H4585">
        <v>8</v>
      </c>
      <c r="I4585" t="s">
        <v>89</v>
      </c>
      <c r="J4585">
        <v>30.26</v>
      </c>
      <c r="K4585">
        <v>16</v>
      </c>
      <c r="L4585">
        <v>15</v>
      </c>
      <c r="M4585" t="s">
        <v>6994</v>
      </c>
      <c r="N4585">
        <v>4</v>
      </c>
      <c r="O4585">
        <v>6.67</v>
      </c>
      <c r="P4585">
        <v>154556.70000000001</v>
      </c>
      <c r="Q4585">
        <v>95329.65</v>
      </c>
      <c r="R4585">
        <v>261</v>
      </c>
      <c r="S4585">
        <v>1622</v>
      </c>
      <c r="T4585" t="s">
        <v>26</v>
      </c>
      <c r="U4585" t="s">
        <v>90</v>
      </c>
    </row>
    <row r="4586" spans="1:21">
      <c r="A4586" t="s">
        <v>7118</v>
      </c>
      <c r="B4586" t="s">
        <v>7119</v>
      </c>
      <c r="C4586" t="s">
        <v>94</v>
      </c>
      <c r="D4586">
        <v>93000</v>
      </c>
      <c r="E4586">
        <v>4500</v>
      </c>
      <c r="F4586">
        <v>93000</v>
      </c>
      <c r="G4586">
        <v>93000</v>
      </c>
      <c r="H4586">
        <v>2</v>
      </c>
      <c r="I4586" t="s">
        <v>89</v>
      </c>
      <c r="J4586">
        <v>19.2</v>
      </c>
      <c r="K4586">
        <v>0</v>
      </c>
      <c r="L4586">
        <v>2</v>
      </c>
      <c r="M4586" t="s">
        <v>6994</v>
      </c>
      <c r="N4586">
        <v>10</v>
      </c>
      <c r="O4586">
        <v>11</v>
      </c>
      <c r="P4586">
        <v>154556.70000000001</v>
      </c>
      <c r="Q4586">
        <v>95329.65</v>
      </c>
      <c r="R4586">
        <v>261</v>
      </c>
      <c r="S4586">
        <v>1622</v>
      </c>
      <c r="T4586" t="s">
        <v>108</v>
      </c>
      <c r="U4586" t="s">
        <v>81</v>
      </c>
    </row>
    <row r="4587" spans="1:21">
      <c r="A4587" t="s">
        <v>7120</v>
      </c>
      <c r="B4587" t="s">
        <v>7121</v>
      </c>
      <c r="C4587" t="s">
        <v>94</v>
      </c>
      <c r="D4587">
        <v>76000</v>
      </c>
      <c r="E4587">
        <v>3000</v>
      </c>
      <c r="F4587">
        <v>76000</v>
      </c>
      <c r="G4587">
        <v>76000</v>
      </c>
      <c r="H4587">
        <v>1</v>
      </c>
      <c r="I4587" t="s">
        <v>89</v>
      </c>
      <c r="J4587">
        <v>19.350000000000001</v>
      </c>
      <c r="K4587">
        <v>25</v>
      </c>
      <c r="L4587">
        <v>2</v>
      </c>
      <c r="M4587" t="s">
        <v>6994</v>
      </c>
      <c r="N4587">
        <v>5</v>
      </c>
      <c r="O4587">
        <v>10.67</v>
      </c>
      <c r="P4587">
        <v>154556.70000000001</v>
      </c>
      <c r="Q4587">
        <v>95329.65</v>
      </c>
      <c r="R4587">
        <v>261</v>
      </c>
      <c r="S4587">
        <v>1622</v>
      </c>
      <c r="T4587" t="s">
        <v>108</v>
      </c>
      <c r="U4587" t="s">
        <v>27</v>
      </c>
    </row>
    <row r="4588" spans="1:21">
      <c r="A4588" t="s">
        <v>7122</v>
      </c>
      <c r="B4588" t="s">
        <v>7123</v>
      </c>
      <c r="C4588" t="s">
        <v>94</v>
      </c>
      <c r="D4588">
        <v>68000</v>
      </c>
      <c r="E4588">
        <v>1000</v>
      </c>
      <c r="F4588">
        <v>68000</v>
      </c>
      <c r="G4588">
        <v>68000</v>
      </c>
      <c r="H4588">
        <v>1</v>
      </c>
      <c r="I4588" t="s">
        <v>89</v>
      </c>
      <c r="J4588">
        <v>21.25</v>
      </c>
      <c r="K4588">
        <v>34</v>
      </c>
      <c r="L4588">
        <v>2</v>
      </c>
      <c r="M4588" t="s">
        <v>6994</v>
      </c>
      <c r="N4588">
        <v>5</v>
      </c>
      <c r="O4588">
        <v>10</v>
      </c>
      <c r="P4588">
        <v>154556.70000000001</v>
      </c>
      <c r="Q4588">
        <v>95329.65</v>
      </c>
      <c r="R4588">
        <v>261</v>
      </c>
      <c r="S4588">
        <v>1622</v>
      </c>
      <c r="T4588" t="s">
        <v>34</v>
      </c>
      <c r="U4588" t="s">
        <v>49</v>
      </c>
    </row>
    <row r="4589" spans="1:21">
      <c r="A4589" t="s">
        <v>7124</v>
      </c>
      <c r="B4589" t="s">
        <v>7125</v>
      </c>
      <c r="C4589" t="s">
        <v>94</v>
      </c>
      <c r="D4589">
        <v>74000</v>
      </c>
      <c r="E4589">
        <v>2000</v>
      </c>
      <c r="F4589">
        <v>74000</v>
      </c>
      <c r="G4589">
        <v>74000</v>
      </c>
      <c r="H4589">
        <v>2</v>
      </c>
      <c r="I4589" t="s">
        <v>89</v>
      </c>
      <c r="J4589">
        <v>18.5</v>
      </c>
      <c r="K4589">
        <v>39</v>
      </c>
      <c r="L4589">
        <v>2</v>
      </c>
      <c r="M4589" t="s">
        <v>6994</v>
      </c>
      <c r="N4589">
        <v>9</v>
      </c>
      <c r="O4589">
        <v>12.33</v>
      </c>
      <c r="P4589">
        <v>154556.70000000001</v>
      </c>
      <c r="Q4589">
        <v>95329.65</v>
      </c>
      <c r="R4589">
        <v>261</v>
      </c>
      <c r="S4589">
        <v>1622</v>
      </c>
      <c r="T4589" t="s">
        <v>108</v>
      </c>
      <c r="U4589" t="s">
        <v>49</v>
      </c>
    </row>
    <row r="4590" spans="1:21">
      <c r="A4590" t="s">
        <v>7126</v>
      </c>
      <c r="B4590" t="s">
        <v>7127</v>
      </c>
      <c r="C4590" t="s">
        <v>48</v>
      </c>
      <c r="D4590">
        <v>50199.999999999898</v>
      </c>
      <c r="F4590">
        <v>50199.999999999898</v>
      </c>
      <c r="G4590">
        <v>50199.999999999898</v>
      </c>
      <c r="H4590">
        <v>1</v>
      </c>
      <c r="I4590" t="s">
        <v>89</v>
      </c>
      <c r="J4590">
        <v>16</v>
      </c>
      <c r="K4590">
        <v>48</v>
      </c>
      <c r="L4590">
        <v>2</v>
      </c>
      <c r="M4590" t="s">
        <v>6994</v>
      </c>
      <c r="N4590">
        <v>6</v>
      </c>
      <c r="O4590">
        <v>7.5</v>
      </c>
      <c r="P4590">
        <v>154556.70000000001</v>
      </c>
      <c r="Q4590">
        <v>95329.65</v>
      </c>
      <c r="R4590">
        <v>261</v>
      </c>
      <c r="S4590">
        <v>1622</v>
      </c>
      <c r="T4590" t="s">
        <v>108</v>
      </c>
      <c r="U4590" t="s">
        <v>42</v>
      </c>
    </row>
    <row r="4591" spans="1:21">
      <c r="A4591" t="s">
        <v>7128</v>
      </c>
      <c r="B4591" t="s">
        <v>7129</v>
      </c>
      <c r="C4591" t="s">
        <v>94</v>
      </c>
      <c r="D4591">
        <v>71000</v>
      </c>
      <c r="E4591">
        <v>5000</v>
      </c>
      <c r="F4591">
        <v>71000</v>
      </c>
      <c r="G4591">
        <v>71000</v>
      </c>
      <c r="H4591">
        <v>1</v>
      </c>
      <c r="I4591" t="s">
        <v>89</v>
      </c>
      <c r="J4591">
        <v>19.100000000000001</v>
      </c>
      <c r="K4591">
        <v>34</v>
      </c>
      <c r="L4591">
        <v>3</v>
      </c>
      <c r="M4591" t="s">
        <v>6994</v>
      </c>
      <c r="N4591">
        <v>1</v>
      </c>
      <c r="O4591">
        <v>10.67</v>
      </c>
      <c r="P4591">
        <v>154556.70000000001</v>
      </c>
      <c r="Q4591">
        <v>95329.65</v>
      </c>
      <c r="R4591">
        <v>261</v>
      </c>
      <c r="S4591">
        <v>1622</v>
      </c>
      <c r="T4591" t="s">
        <v>108</v>
      </c>
      <c r="U4591" t="s">
        <v>49</v>
      </c>
    </row>
    <row r="4592" spans="1:21">
      <c r="A4592" t="s">
        <v>7130</v>
      </c>
      <c r="B4592" t="s">
        <v>78</v>
      </c>
      <c r="C4592" t="s">
        <v>94</v>
      </c>
      <c r="D4592">
        <v>117000</v>
      </c>
      <c r="E4592">
        <v>15000</v>
      </c>
      <c r="F4592">
        <v>117000</v>
      </c>
      <c r="G4592">
        <v>175500</v>
      </c>
      <c r="H4592">
        <v>3</v>
      </c>
      <c r="I4592" t="s">
        <v>89</v>
      </c>
      <c r="J4592">
        <v>25.08</v>
      </c>
      <c r="K4592">
        <v>6</v>
      </c>
      <c r="L4592">
        <v>3</v>
      </c>
      <c r="M4592" t="s">
        <v>6994</v>
      </c>
      <c r="N4592">
        <v>5</v>
      </c>
      <c r="O4592">
        <v>11</v>
      </c>
      <c r="P4592">
        <v>154556.70000000001</v>
      </c>
      <c r="Q4592">
        <v>95329.65</v>
      </c>
      <c r="R4592">
        <v>261</v>
      </c>
      <c r="S4592">
        <v>1622</v>
      </c>
      <c r="T4592" t="s">
        <v>34</v>
      </c>
      <c r="U4592" t="s">
        <v>31</v>
      </c>
    </row>
    <row r="4593" spans="1:21">
      <c r="A4593" t="s">
        <v>7131</v>
      </c>
      <c r="B4593" t="s">
        <v>7132</v>
      </c>
      <c r="C4593" t="s">
        <v>45</v>
      </c>
      <c r="D4593">
        <v>82000</v>
      </c>
      <c r="E4593">
        <v>8000</v>
      </c>
      <c r="F4593">
        <v>82000</v>
      </c>
      <c r="G4593">
        <v>82000</v>
      </c>
      <c r="H4593">
        <v>1</v>
      </c>
      <c r="I4593" t="s">
        <v>89</v>
      </c>
      <c r="J4593">
        <v>20.8</v>
      </c>
      <c r="K4593">
        <v>21</v>
      </c>
      <c r="L4593">
        <v>4</v>
      </c>
      <c r="M4593" t="s">
        <v>6994</v>
      </c>
      <c r="N4593">
        <v>7</v>
      </c>
      <c r="O4593">
        <v>8.33</v>
      </c>
      <c r="P4593">
        <v>154556.70000000001</v>
      </c>
      <c r="Q4593">
        <v>95329.65</v>
      </c>
      <c r="R4593">
        <v>261</v>
      </c>
      <c r="S4593">
        <v>1622</v>
      </c>
      <c r="T4593" t="s">
        <v>34</v>
      </c>
      <c r="U4593" t="s">
        <v>27</v>
      </c>
    </row>
    <row r="4594" spans="1:21">
      <c r="A4594" t="s">
        <v>7133</v>
      </c>
      <c r="B4594" t="s">
        <v>7134</v>
      </c>
      <c r="C4594" t="s">
        <v>48</v>
      </c>
      <c r="D4594">
        <v>114000</v>
      </c>
      <c r="E4594">
        <v>10000</v>
      </c>
      <c r="H4594">
        <v>1</v>
      </c>
      <c r="I4594" t="s">
        <v>89</v>
      </c>
      <c r="J4594">
        <v>20.51</v>
      </c>
      <c r="K4594">
        <v>3</v>
      </c>
      <c r="L4594">
        <v>4</v>
      </c>
      <c r="M4594" t="s">
        <v>6994</v>
      </c>
      <c r="N4594">
        <v>7</v>
      </c>
      <c r="O4594">
        <v>12</v>
      </c>
      <c r="P4594">
        <v>154556.70000000001</v>
      </c>
      <c r="Q4594">
        <v>95329.65</v>
      </c>
      <c r="R4594">
        <v>261</v>
      </c>
      <c r="S4594">
        <v>1622</v>
      </c>
      <c r="T4594" t="s">
        <v>34</v>
      </c>
      <c r="U4594" t="s">
        <v>31</v>
      </c>
    </row>
    <row r="4595" spans="1:21">
      <c r="A4595" t="s">
        <v>7135</v>
      </c>
      <c r="B4595" t="s">
        <v>7134</v>
      </c>
      <c r="C4595" t="s">
        <v>94</v>
      </c>
      <c r="D4595">
        <v>116000</v>
      </c>
      <c r="E4595">
        <v>20000</v>
      </c>
      <c r="F4595">
        <v>116000</v>
      </c>
      <c r="H4595">
        <v>4</v>
      </c>
      <c r="I4595" t="s">
        <v>89</v>
      </c>
      <c r="J4595">
        <v>25.56</v>
      </c>
      <c r="K4595">
        <v>3</v>
      </c>
      <c r="L4595">
        <v>4</v>
      </c>
      <c r="M4595" t="s">
        <v>6994</v>
      </c>
      <c r="N4595">
        <v>9</v>
      </c>
      <c r="O4595">
        <v>12.33</v>
      </c>
      <c r="P4595">
        <v>154556.70000000001</v>
      </c>
      <c r="Q4595">
        <v>95329.65</v>
      </c>
      <c r="R4595">
        <v>261</v>
      </c>
      <c r="S4595">
        <v>1622</v>
      </c>
      <c r="T4595" t="s">
        <v>34</v>
      </c>
      <c r="U4595" t="s">
        <v>31</v>
      </c>
    </row>
    <row r="4596" spans="1:21">
      <c r="A4596" t="s">
        <v>7136</v>
      </c>
      <c r="B4596" t="s">
        <v>7137</v>
      </c>
      <c r="C4596" t="s">
        <v>48</v>
      </c>
      <c r="D4596">
        <v>84000</v>
      </c>
      <c r="E4596">
        <v>6000</v>
      </c>
      <c r="F4596">
        <v>84000</v>
      </c>
      <c r="G4596">
        <v>84000</v>
      </c>
      <c r="H4596">
        <v>1</v>
      </c>
      <c r="I4596" t="s">
        <v>89</v>
      </c>
      <c r="J4596">
        <v>19.62</v>
      </c>
      <c r="K4596">
        <v>18</v>
      </c>
      <c r="L4596">
        <v>5</v>
      </c>
      <c r="M4596" t="s">
        <v>6994</v>
      </c>
      <c r="N4596">
        <v>6</v>
      </c>
      <c r="O4596">
        <v>11.67</v>
      </c>
      <c r="P4596">
        <v>154556.70000000001</v>
      </c>
      <c r="Q4596">
        <v>95329.65</v>
      </c>
      <c r="R4596">
        <v>261</v>
      </c>
      <c r="S4596">
        <v>1622</v>
      </c>
      <c r="T4596" t="s">
        <v>108</v>
      </c>
      <c r="U4596" t="s">
        <v>90</v>
      </c>
    </row>
    <row r="4597" spans="1:21">
      <c r="A4597" t="s">
        <v>7138</v>
      </c>
      <c r="B4597" t="s">
        <v>7137</v>
      </c>
      <c r="C4597" t="s">
        <v>48</v>
      </c>
      <c r="D4597">
        <v>88000</v>
      </c>
      <c r="E4597">
        <v>6000</v>
      </c>
      <c r="F4597">
        <v>88000</v>
      </c>
      <c r="G4597">
        <v>88000</v>
      </c>
      <c r="H4597">
        <v>3</v>
      </c>
      <c r="I4597" t="s">
        <v>89</v>
      </c>
      <c r="J4597">
        <v>19.62</v>
      </c>
      <c r="K4597">
        <v>18</v>
      </c>
      <c r="L4597">
        <v>5</v>
      </c>
      <c r="M4597" t="s">
        <v>6994</v>
      </c>
      <c r="N4597">
        <v>6</v>
      </c>
      <c r="O4597">
        <v>11.67</v>
      </c>
      <c r="P4597">
        <v>154556.70000000001</v>
      </c>
      <c r="Q4597">
        <v>95329.65</v>
      </c>
      <c r="R4597">
        <v>261</v>
      </c>
      <c r="S4597">
        <v>1622</v>
      </c>
      <c r="T4597" t="s">
        <v>108</v>
      </c>
      <c r="U4597" t="s">
        <v>90</v>
      </c>
    </row>
    <row r="4598" spans="1:21">
      <c r="A4598" t="s">
        <v>7139</v>
      </c>
      <c r="B4598" t="s">
        <v>7140</v>
      </c>
      <c r="C4598" t="s">
        <v>94</v>
      </c>
      <c r="D4598">
        <v>84000</v>
      </c>
      <c r="E4598">
        <v>9000</v>
      </c>
      <c r="F4598">
        <v>84000</v>
      </c>
      <c r="G4598">
        <v>84000</v>
      </c>
      <c r="H4598">
        <v>3</v>
      </c>
      <c r="I4598" t="s">
        <v>89</v>
      </c>
      <c r="J4598">
        <v>20.69</v>
      </c>
      <c r="K4598">
        <v>19</v>
      </c>
      <c r="L4598">
        <v>5</v>
      </c>
      <c r="M4598" t="s">
        <v>6994</v>
      </c>
      <c r="N4598">
        <v>10</v>
      </c>
      <c r="O4598">
        <v>10.67</v>
      </c>
      <c r="P4598">
        <v>154556.70000000001</v>
      </c>
      <c r="Q4598">
        <v>95329.65</v>
      </c>
      <c r="R4598">
        <v>261</v>
      </c>
      <c r="S4598">
        <v>1622</v>
      </c>
      <c r="T4598" t="s">
        <v>34</v>
      </c>
      <c r="U4598" t="s">
        <v>90</v>
      </c>
    </row>
    <row r="4599" spans="1:21">
      <c r="A4599" t="s">
        <v>7141</v>
      </c>
      <c r="B4599" t="s">
        <v>7142</v>
      </c>
      <c r="C4599" t="s">
        <v>48</v>
      </c>
      <c r="D4599">
        <v>164000</v>
      </c>
      <c r="E4599">
        <v>15000</v>
      </c>
      <c r="G4599">
        <v>164000</v>
      </c>
      <c r="H4599">
        <v>3</v>
      </c>
      <c r="I4599" t="s">
        <v>89</v>
      </c>
      <c r="J4599">
        <v>30.38</v>
      </c>
      <c r="K4599">
        <v>6</v>
      </c>
      <c r="L4599">
        <v>5</v>
      </c>
      <c r="M4599" t="s">
        <v>6994</v>
      </c>
      <c r="N4599">
        <v>5</v>
      </c>
      <c r="O4599">
        <v>7.67</v>
      </c>
      <c r="P4599">
        <v>154556.70000000001</v>
      </c>
      <c r="Q4599">
        <v>95329.65</v>
      </c>
      <c r="R4599">
        <v>261</v>
      </c>
      <c r="S4599">
        <v>1622</v>
      </c>
      <c r="T4599" t="s">
        <v>26</v>
      </c>
      <c r="U4599" t="s">
        <v>31</v>
      </c>
    </row>
    <row r="4600" spans="1:21">
      <c r="A4600" t="s">
        <v>7143</v>
      </c>
      <c r="B4600" t="s">
        <v>7144</v>
      </c>
      <c r="C4600" t="s">
        <v>94</v>
      </c>
      <c r="D4600">
        <v>117000</v>
      </c>
      <c r="E4600">
        <v>12000</v>
      </c>
      <c r="F4600">
        <v>117000</v>
      </c>
      <c r="G4600">
        <v>117000</v>
      </c>
      <c r="H4600">
        <v>2</v>
      </c>
      <c r="I4600" t="s">
        <v>89</v>
      </c>
      <c r="J4600">
        <v>30.06</v>
      </c>
      <c r="K4600">
        <v>14</v>
      </c>
      <c r="L4600">
        <v>6</v>
      </c>
      <c r="M4600" t="s">
        <v>6994</v>
      </c>
      <c r="N4600">
        <v>5</v>
      </c>
      <c r="O4600">
        <v>10.67</v>
      </c>
      <c r="P4600">
        <v>154556.70000000001</v>
      </c>
      <c r="Q4600">
        <v>95329.65</v>
      </c>
      <c r="R4600">
        <v>261</v>
      </c>
      <c r="S4600">
        <v>1622</v>
      </c>
      <c r="T4600" t="s">
        <v>26</v>
      </c>
      <c r="U4600" t="s">
        <v>90</v>
      </c>
    </row>
    <row r="4601" spans="1:21">
      <c r="A4601" t="s">
        <v>7145</v>
      </c>
      <c r="B4601" t="s">
        <v>7146</v>
      </c>
      <c r="C4601" t="s">
        <v>45</v>
      </c>
      <c r="D4601">
        <v>82300</v>
      </c>
      <c r="E4601">
        <v>10700</v>
      </c>
      <c r="F4601">
        <v>82300</v>
      </c>
      <c r="G4601">
        <v>82300</v>
      </c>
      <c r="H4601">
        <v>4</v>
      </c>
      <c r="I4601" t="s">
        <v>89</v>
      </c>
      <c r="J4601">
        <v>25.45</v>
      </c>
      <c r="K4601">
        <v>29</v>
      </c>
      <c r="L4601">
        <v>7</v>
      </c>
      <c r="M4601" t="s">
        <v>6994</v>
      </c>
      <c r="N4601">
        <v>5</v>
      </c>
      <c r="O4601">
        <v>8.67</v>
      </c>
      <c r="P4601">
        <v>154556.70000000001</v>
      </c>
      <c r="Q4601">
        <v>95329.65</v>
      </c>
      <c r="R4601">
        <v>261</v>
      </c>
      <c r="S4601">
        <v>1622</v>
      </c>
      <c r="T4601" t="s">
        <v>34</v>
      </c>
      <c r="U4601" t="s">
        <v>27</v>
      </c>
    </row>
    <row r="4602" spans="1:21">
      <c r="A4602" t="s">
        <v>7147</v>
      </c>
      <c r="B4602" t="s">
        <v>7148</v>
      </c>
      <c r="C4602" t="s">
        <v>45</v>
      </c>
      <c r="D4602">
        <v>74000</v>
      </c>
      <c r="E4602">
        <v>8000</v>
      </c>
      <c r="G4602">
        <v>74000</v>
      </c>
      <c r="H4602">
        <v>2</v>
      </c>
      <c r="I4602" t="s">
        <v>89</v>
      </c>
      <c r="J4602">
        <v>18.04</v>
      </c>
      <c r="K4602">
        <v>25</v>
      </c>
      <c r="L4602">
        <v>12</v>
      </c>
      <c r="M4602" t="s">
        <v>6994</v>
      </c>
      <c r="N4602">
        <v>7</v>
      </c>
      <c r="O4602">
        <v>9</v>
      </c>
      <c r="P4602">
        <v>154556.70000000001</v>
      </c>
      <c r="Q4602">
        <v>95329.65</v>
      </c>
      <c r="R4602">
        <v>261</v>
      </c>
      <c r="S4602">
        <v>1622</v>
      </c>
      <c r="T4602" t="s">
        <v>108</v>
      </c>
      <c r="U4602" t="s">
        <v>27</v>
      </c>
    </row>
    <row r="4603" spans="1:21">
      <c r="A4603" t="s">
        <v>7149</v>
      </c>
      <c r="B4603" t="s">
        <v>7150</v>
      </c>
      <c r="C4603" t="s">
        <v>48</v>
      </c>
      <c r="D4603">
        <v>210000</v>
      </c>
      <c r="E4603">
        <v>20000</v>
      </c>
      <c r="F4603">
        <v>210000</v>
      </c>
      <c r="H4603">
        <v>4</v>
      </c>
      <c r="I4603" t="s">
        <v>325</v>
      </c>
      <c r="J4603">
        <v>41.4</v>
      </c>
      <c r="K4603">
        <v>1</v>
      </c>
      <c r="L4603">
        <v>5</v>
      </c>
      <c r="M4603" t="s">
        <v>6994</v>
      </c>
      <c r="N4603">
        <v>7</v>
      </c>
      <c r="O4603">
        <v>7.67</v>
      </c>
      <c r="P4603">
        <v>154556.70000000001</v>
      </c>
      <c r="Q4603">
        <v>168453.81</v>
      </c>
      <c r="R4603">
        <v>261</v>
      </c>
      <c r="S4603">
        <v>788</v>
      </c>
      <c r="T4603" t="s">
        <v>326</v>
      </c>
      <c r="U4603" t="s">
        <v>31</v>
      </c>
    </row>
    <row r="4604" spans="1:21">
      <c r="A4604" t="s">
        <v>7151</v>
      </c>
      <c r="B4604" t="s">
        <v>7150</v>
      </c>
      <c r="C4604" t="s">
        <v>48</v>
      </c>
      <c r="D4604">
        <v>206000</v>
      </c>
      <c r="E4604">
        <v>20000</v>
      </c>
      <c r="F4604">
        <v>206000</v>
      </c>
      <c r="H4604">
        <v>4</v>
      </c>
      <c r="I4604" t="s">
        <v>325</v>
      </c>
      <c r="J4604">
        <v>42.48</v>
      </c>
      <c r="K4604">
        <v>1</v>
      </c>
      <c r="L4604">
        <v>5</v>
      </c>
      <c r="M4604" t="s">
        <v>6994</v>
      </c>
      <c r="N4604">
        <v>7</v>
      </c>
      <c r="O4604">
        <v>7.67</v>
      </c>
      <c r="P4604">
        <v>154556.70000000001</v>
      </c>
      <c r="Q4604">
        <v>168453.81</v>
      </c>
      <c r="R4604">
        <v>261</v>
      </c>
      <c r="S4604">
        <v>788</v>
      </c>
      <c r="T4604" t="s">
        <v>326</v>
      </c>
      <c r="U4604" t="s">
        <v>31</v>
      </c>
    </row>
    <row r="4605" spans="1:21">
      <c r="A4605" t="s">
        <v>7152</v>
      </c>
      <c r="B4605" t="s">
        <v>7017</v>
      </c>
      <c r="C4605" t="s">
        <v>94</v>
      </c>
      <c r="D4605">
        <v>157000</v>
      </c>
      <c r="E4605">
        <v>9000</v>
      </c>
      <c r="F4605">
        <v>157000</v>
      </c>
      <c r="G4605">
        <v>157000</v>
      </c>
      <c r="H4605">
        <v>3</v>
      </c>
      <c r="I4605" t="s">
        <v>325</v>
      </c>
      <c r="J4605">
        <v>31.87</v>
      </c>
      <c r="K4605">
        <v>4</v>
      </c>
      <c r="L4605">
        <v>5</v>
      </c>
      <c r="M4605" t="s">
        <v>6994</v>
      </c>
      <c r="N4605">
        <v>11</v>
      </c>
      <c r="O4605">
        <v>11.67</v>
      </c>
      <c r="P4605">
        <v>154556.70000000001</v>
      </c>
      <c r="Q4605">
        <v>168453.81</v>
      </c>
      <c r="R4605">
        <v>261</v>
      </c>
      <c r="S4605">
        <v>788</v>
      </c>
      <c r="T4605" t="s">
        <v>26</v>
      </c>
      <c r="U4605" t="s">
        <v>31</v>
      </c>
    </row>
    <row r="4606" spans="1:21">
      <c r="A4606" t="s">
        <v>7153</v>
      </c>
      <c r="B4606" t="s">
        <v>7017</v>
      </c>
      <c r="C4606" t="s">
        <v>94</v>
      </c>
      <c r="D4606">
        <v>205000</v>
      </c>
      <c r="E4606">
        <v>14000</v>
      </c>
      <c r="F4606">
        <v>205000</v>
      </c>
      <c r="H4606">
        <v>3</v>
      </c>
      <c r="I4606" t="s">
        <v>325</v>
      </c>
      <c r="J4606">
        <v>37.200000000000003</v>
      </c>
      <c r="K4606">
        <v>4</v>
      </c>
      <c r="L4606">
        <v>5</v>
      </c>
      <c r="M4606" t="s">
        <v>6994</v>
      </c>
      <c r="N4606">
        <v>11</v>
      </c>
      <c r="O4606">
        <v>11.67</v>
      </c>
      <c r="P4606">
        <v>154556.70000000001</v>
      </c>
      <c r="Q4606">
        <v>168453.81</v>
      </c>
      <c r="R4606">
        <v>261</v>
      </c>
      <c r="S4606">
        <v>788</v>
      </c>
      <c r="T4606" t="s">
        <v>26</v>
      </c>
      <c r="U4606" t="s">
        <v>31</v>
      </c>
    </row>
    <row r="4607" spans="1:21">
      <c r="A4607" t="s">
        <v>7154</v>
      </c>
      <c r="B4607" t="s">
        <v>7155</v>
      </c>
      <c r="C4607" t="s">
        <v>48</v>
      </c>
      <c r="D4607">
        <v>150000</v>
      </c>
      <c r="F4607">
        <v>150000</v>
      </c>
      <c r="G4607">
        <v>150000</v>
      </c>
      <c r="H4607">
        <v>2</v>
      </c>
      <c r="I4607" t="s">
        <v>325</v>
      </c>
      <c r="J4607">
        <v>40</v>
      </c>
      <c r="K4607">
        <v>12</v>
      </c>
      <c r="L4607">
        <v>3</v>
      </c>
      <c r="M4607" t="s">
        <v>6994</v>
      </c>
      <c r="N4607">
        <v>7</v>
      </c>
      <c r="O4607">
        <v>11</v>
      </c>
      <c r="P4607">
        <v>154556.70000000001</v>
      </c>
      <c r="Q4607">
        <v>168453.81</v>
      </c>
      <c r="R4607">
        <v>261</v>
      </c>
      <c r="S4607">
        <v>788</v>
      </c>
      <c r="T4607" t="s">
        <v>326</v>
      </c>
      <c r="U4607" t="s">
        <v>90</v>
      </c>
    </row>
    <row r="4608" spans="1:21">
      <c r="A4608" t="s">
        <v>7156</v>
      </c>
      <c r="B4608" t="s">
        <v>7157</v>
      </c>
      <c r="C4608" t="s">
        <v>94</v>
      </c>
      <c r="D4608">
        <v>152000</v>
      </c>
      <c r="E4608">
        <v>3000</v>
      </c>
      <c r="G4608">
        <v>152000</v>
      </c>
      <c r="H4608">
        <v>3</v>
      </c>
      <c r="I4608" t="s">
        <v>325</v>
      </c>
      <c r="J4608">
        <v>32.14</v>
      </c>
      <c r="K4608">
        <v>4</v>
      </c>
      <c r="L4608">
        <v>3</v>
      </c>
      <c r="M4608" t="s">
        <v>6994</v>
      </c>
      <c r="N4608">
        <v>6</v>
      </c>
      <c r="O4608">
        <v>12.33</v>
      </c>
      <c r="P4608">
        <v>154556.70000000001</v>
      </c>
      <c r="Q4608">
        <v>168453.81</v>
      </c>
      <c r="R4608">
        <v>261</v>
      </c>
      <c r="S4608">
        <v>788</v>
      </c>
      <c r="T4608" t="s">
        <v>26</v>
      </c>
      <c r="U4608" t="s">
        <v>31</v>
      </c>
    </row>
    <row r="4609" spans="1:21">
      <c r="A4609" t="s">
        <v>7158</v>
      </c>
      <c r="B4609" t="s">
        <v>7159</v>
      </c>
      <c r="C4609" t="s">
        <v>94</v>
      </c>
      <c r="D4609">
        <v>139000</v>
      </c>
      <c r="E4609">
        <v>6000</v>
      </c>
      <c r="F4609">
        <v>139000</v>
      </c>
      <c r="G4609">
        <v>139000</v>
      </c>
      <c r="H4609">
        <v>3</v>
      </c>
      <c r="I4609" t="s">
        <v>325</v>
      </c>
      <c r="J4609">
        <v>30.75</v>
      </c>
      <c r="K4609">
        <v>7</v>
      </c>
      <c r="L4609">
        <v>5</v>
      </c>
      <c r="M4609" t="s">
        <v>6994</v>
      </c>
      <c r="N4609">
        <v>7</v>
      </c>
      <c r="O4609">
        <v>11</v>
      </c>
      <c r="P4609">
        <v>154556.70000000001</v>
      </c>
      <c r="Q4609">
        <v>168453.81</v>
      </c>
      <c r="R4609">
        <v>261</v>
      </c>
      <c r="S4609">
        <v>788</v>
      </c>
      <c r="T4609" t="s">
        <v>26</v>
      </c>
      <c r="U4609" t="s">
        <v>31</v>
      </c>
    </row>
    <row r="4610" spans="1:21">
      <c r="A4610" t="s">
        <v>7160</v>
      </c>
      <c r="B4610" t="s">
        <v>7161</v>
      </c>
      <c r="C4610" t="s">
        <v>48</v>
      </c>
      <c r="D4610">
        <v>301000</v>
      </c>
      <c r="E4610">
        <v>20000</v>
      </c>
      <c r="H4610">
        <v>10</v>
      </c>
      <c r="I4610" t="s">
        <v>325</v>
      </c>
      <c r="J4610">
        <v>53.2</v>
      </c>
      <c r="K4610">
        <v>0</v>
      </c>
      <c r="L4610">
        <v>14</v>
      </c>
      <c r="M4610" t="s">
        <v>6994</v>
      </c>
      <c r="N4610">
        <v>9</v>
      </c>
      <c r="O4610">
        <v>10.67</v>
      </c>
      <c r="P4610">
        <v>154556.70000000001</v>
      </c>
      <c r="Q4610">
        <v>168453.81</v>
      </c>
      <c r="R4610">
        <v>261</v>
      </c>
      <c r="S4610">
        <v>788</v>
      </c>
      <c r="T4610" t="s">
        <v>332</v>
      </c>
      <c r="U4610" t="s">
        <v>81</v>
      </c>
    </row>
    <row r="4611" spans="1:21">
      <c r="A4611" t="s">
        <v>7162</v>
      </c>
      <c r="B4611" t="s">
        <v>7161</v>
      </c>
      <c r="C4611" t="s">
        <v>48</v>
      </c>
      <c r="D4611">
        <v>305000</v>
      </c>
      <c r="E4611">
        <v>20000</v>
      </c>
      <c r="H4611">
        <v>12</v>
      </c>
      <c r="I4611" t="s">
        <v>325</v>
      </c>
      <c r="J4611">
        <v>53.2</v>
      </c>
      <c r="K4611">
        <v>0</v>
      </c>
      <c r="L4611">
        <v>14</v>
      </c>
      <c r="M4611" t="s">
        <v>6994</v>
      </c>
      <c r="N4611">
        <v>9</v>
      </c>
      <c r="O4611">
        <v>10.67</v>
      </c>
      <c r="P4611">
        <v>154556.70000000001</v>
      </c>
      <c r="Q4611">
        <v>168453.81</v>
      </c>
      <c r="R4611">
        <v>261</v>
      </c>
      <c r="S4611">
        <v>788</v>
      </c>
      <c r="T4611" t="s">
        <v>332</v>
      </c>
      <c r="U4611" t="s">
        <v>81</v>
      </c>
    </row>
    <row r="4612" spans="1:21">
      <c r="A4612" t="s">
        <v>7163</v>
      </c>
      <c r="B4612" t="s">
        <v>7161</v>
      </c>
      <c r="C4612" t="s">
        <v>48</v>
      </c>
      <c r="D4612">
        <v>308000</v>
      </c>
      <c r="E4612">
        <v>20000</v>
      </c>
      <c r="H4612">
        <v>14</v>
      </c>
      <c r="I4612" t="s">
        <v>325</v>
      </c>
      <c r="J4612">
        <v>53.2</v>
      </c>
      <c r="K4612">
        <v>0</v>
      </c>
      <c r="L4612">
        <v>14</v>
      </c>
      <c r="M4612" t="s">
        <v>6994</v>
      </c>
      <c r="N4612">
        <v>9</v>
      </c>
      <c r="O4612">
        <v>10.67</v>
      </c>
      <c r="P4612">
        <v>154556.70000000001</v>
      </c>
      <c r="Q4612">
        <v>168453.81</v>
      </c>
      <c r="R4612">
        <v>261</v>
      </c>
      <c r="S4612">
        <v>788</v>
      </c>
      <c r="T4612" t="s">
        <v>332</v>
      </c>
      <c r="U4612" t="s">
        <v>81</v>
      </c>
    </row>
    <row r="4613" spans="1:21">
      <c r="A4613" t="s">
        <v>7164</v>
      </c>
      <c r="B4613" t="s">
        <v>7161</v>
      </c>
      <c r="C4613" t="s">
        <v>48</v>
      </c>
      <c r="D4613">
        <v>295000</v>
      </c>
      <c r="E4613">
        <v>20000</v>
      </c>
      <c r="H4613">
        <v>8</v>
      </c>
      <c r="I4613" t="s">
        <v>325</v>
      </c>
      <c r="J4613">
        <v>53.2</v>
      </c>
      <c r="K4613">
        <v>0</v>
      </c>
      <c r="L4613">
        <v>14</v>
      </c>
      <c r="M4613" t="s">
        <v>6994</v>
      </c>
      <c r="N4613">
        <v>9</v>
      </c>
      <c r="O4613">
        <v>10.67</v>
      </c>
      <c r="P4613">
        <v>154556.70000000001</v>
      </c>
      <c r="Q4613">
        <v>168453.81</v>
      </c>
      <c r="R4613">
        <v>261</v>
      </c>
      <c r="S4613">
        <v>788</v>
      </c>
      <c r="T4613" t="s">
        <v>332</v>
      </c>
      <c r="U4613" t="s">
        <v>81</v>
      </c>
    </row>
    <row r="4614" spans="1:21">
      <c r="A4614" t="s">
        <v>7165</v>
      </c>
      <c r="B4614" t="s">
        <v>7166</v>
      </c>
      <c r="C4614" t="s">
        <v>48</v>
      </c>
      <c r="D4614">
        <v>210000</v>
      </c>
      <c r="E4614">
        <v>10000</v>
      </c>
      <c r="F4614">
        <v>210000</v>
      </c>
      <c r="G4614">
        <v>420000</v>
      </c>
      <c r="H4614">
        <v>3</v>
      </c>
      <c r="I4614" t="s">
        <v>325</v>
      </c>
      <c r="J4614">
        <v>44.61</v>
      </c>
      <c r="K4614">
        <v>3</v>
      </c>
      <c r="L4614">
        <v>4</v>
      </c>
      <c r="M4614" t="s">
        <v>6994</v>
      </c>
      <c r="N4614">
        <v>4</v>
      </c>
      <c r="O4614">
        <v>10</v>
      </c>
      <c r="P4614">
        <v>154556.70000000001</v>
      </c>
      <c r="Q4614">
        <v>168453.81</v>
      </c>
      <c r="R4614">
        <v>261</v>
      </c>
      <c r="S4614">
        <v>788</v>
      </c>
      <c r="T4614" t="s">
        <v>326</v>
      </c>
      <c r="U4614" t="s">
        <v>31</v>
      </c>
    </row>
    <row r="4615" spans="1:21">
      <c r="A4615" t="s">
        <v>7167</v>
      </c>
      <c r="B4615" t="s">
        <v>7168</v>
      </c>
      <c r="C4615" t="s">
        <v>48</v>
      </c>
      <c r="D4615">
        <v>170000</v>
      </c>
      <c r="E4615">
        <v>5000</v>
      </c>
      <c r="F4615">
        <v>170000</v>
      </c>
      <c r="G4615">
        <v>170000</v>
      </c>
      <c r="H4615">
        <v>1</v>
      </c>
      <c r="I4615" t="s">
        <v>325</v>
      </c>
      <c r="J4615">
        <v>41.06</v>
      </c>
      <c r="K4615">
        <v>3</v>
      </c>
      <c r="L4615">
        <v>3</v>
      </c>
      <c r="M4615" t="s">
        <v>6994</v>
      </c>
      <c r="N4615">
        <v>8</v>
      </c>
      <c r="O4615">
        <v>11.67</v>
      </c>
      <c r="P4615">
        <v>154556.70000000001</v>
      </c>
      <c r="Q4615">
        <v>168453.81</v>
      </c>
      <c r="R4615">
        <v>261</v>
      </c>
      <c r="S4615">
        <v>788</v>
      </c>
      <c r="T4615" t="s">
        <v>326</v>
      </c>
      <c r="U4615" t="s">
        <v>31</v>
      </c>
    </row>
    <row r="4616" spans="1:21">
      <c r="A4616" t="s">
        <v>7169</v>
      </c>
      <c r="B4616" t="s">
        <v>6996</v>
      </c>
      <c r="C4616" t="s">
        <v>48</v>
      </c>
      <c r="D4616">
        <v>186000</v>
      </c>
      <c r="E4616">
        <v>15000</v>
      </c>
      <c r="F4616">
        <v>186000</v>
      </c>
      <c r="G4616">
        <v>186000</v>
      </c>
      <c r="H4616">
        <v>9</v>
      </c>
      <c r="I4616" t="s">
        <v>325</v>
      </c>
      <c r="J4616">
        <v>47.4</v>
      </c>
      <c r="K4616">
        <v>17</v>
      </c>
      <c r="L4616">
        <v>15</v>
      </c>
      <c r="M4616" t="s">
        <v>6994</v>
      </c>
      <c r="N4616">
        <v>3</v>
      </c>
      <c r="O4616">
        <v>6</v>
      </c>
      <c r="P4616">
        <v>154556.70000000001</v>
      </c>
      <c r="Q4616">
        <v>168453.81</v>
      </c>
      <c r="R4616">
        <v>261</v>
      </c>
      <c r="S4616">
        <v>788</v>
      </c>
      <c r="T4616" t="s">
        <v>326</v>
      </c>
      <c r="U4616" t="s">
        <v>90</v>
      </c>
    </row>
    <row r="4617" spans="1:21">
      <c r="A4617" t="s">
        <v>7170</v>
      </c>
      <c r="B4617" t="s">
        <v>6999</v>
      </c>
      <c r="C4617" t="s">
        <v>94</v>
      </c>
      <c r="D4617">
        <v>158000</v>
      </c>
      <c r="E4617">
        <v>8000</v>
      </c>
      <c r="G4617">
        <v>158000</v>
      </c>
      <c r="H4617">
        <v>1</v>
      </c>
      <c r="I4617" t="s">
        <v>325</v>
      </c>
      <c r="J4617">
        <v>30.09</v>
      </c>
      <c r="K4617">
        <v>0</v>
      </c>
      <c r="L4617">
        <v>4</v>
      </c>
      <c r="M4617" t="s">
        <v>6994</v>
      </c>
      <c r="N4617">
        <v>10</v>
      </c>
      <c r="O4617">
        <v>11</v>
      </c>
      <c r="P4617">
        <v>154556.70000000001</v>
      </c>
      <c r="Q4617">
        <v>168453.81</v>
      </c>
      <c r="R4617">
        <v>261</v>
      </c>
      <c r="S4617">
        <v>788</v>
      </c>
      <c r="T4617" t="s">
        <v>26</v>
      </c>
      <c r="U4617" t="s">
        <v>81</v>
      </c>
    </row>
    <row r="4618" spans="1:21">
      <c r="A4618" t="s">
        <v>7171</v>
      </c>
      <c r="B4618" t="s">
        <v>6999</v>
      </c>
      <c r="C4618" t="s">
        <v>94</v>
      </c>
      <c r="D4618">
        <v>170000</v>
      </c>
      <c r="E4618">
        <v>8000</v>
      </c>
      <c r="G4618">
        <v>170000</v>
      </c>
      <c r="H4618">
        <v>1</v>
      </c>
      <c r="I4618" t="s">
        <v>325</v>
      </c>
      <c r="J4618">
        <v>32.520000000000003</v>
      </c>
      <c r="K4618">
        <v>0</v>
      </c>
      <c r="L4618">
        <v>4</v>
      </c>
      <c r="M4618" t="s">
        <v>6994</v>
      </c>
      <c r="N4618">
        <v>10</v>
      </c>
      <c r="O4618">
        <v>11</v>
      </c>
      <c r="P4618">
        <v>154556.70000000001</v>
      </c>
      <c r="Q4618">
        <v>168453.81</v>
      </c>
      <c r="R4618">
        <v>261</v>
      </c>
      <c r="S4618">
        <v>788</v>
      </c>
      <c r="T4618" t="s">
        <v>26</v>
      </c>
      <c r="U4618" t="s">
        <v>81</v>
      </c>
    </row>
    <row r="4619" spans="1:21">
      <c r="A4619" t="s">
        <v>7172</v>
      </c>
      <c r="B4619" t="s">
        <v>6999</v>
      </c>
      <c r="C4619" t="s">
        <v>94</v>
      </c>
      <c r="D4619">
        <v>171000</v>
      </c>
      <c r="E4619">
        <v>8000</v>
      </c>
      <c r="G4619">
        <v>171000</v>
      </c>
      <c r="H4619">
        <v>1</v>
      </c>
      <c r="I4619" t="s">
        <v>325</v>
      </c>
      <c r="J4619">
        <v>32.630000000000003</v>
      </c>
      <c r="K4619">
        <v>0</v>
      </c>
      <c r="L4619">
        <v>4</v>
      </c>
      <c r="M4619" t="s">
        <v>6994</v>
      </c>
      <c r="N4619">
        <v>10</v>
      </c>
      <c r="O4619">
        <v>11</v>
      </c>
      <c r="P4619">
        <v>154556.70000000001</v>
      </c>
      <c r="Q4619">
        <v>168453.81</v>
      </c>
      <c r="R4619">
        <v>261</v>
      </c>
      <c r="S4619">
        <v>788</v>
      </c>
      <c r="T4619" t="s">
        <v>26</v>
      </c>
      <c r="U4619" t="s">
        <v>81</v>
      </c>
    </row>
    <row r="4620" spans="1:21">
      <c r="A4620" t="s">
        <v>7173</v>
      </c>
      <c r="B4620" t="s">
        <v>6999</v>
      </c>
      <c r="C4620" t="s">
        <v>94</v>
      </c>
      <c r="D4620">
        <v>156000</v>
      </c>
      <c r="E4620">
        <v>8000</v>
      </c>
      <c r="G4620">
        <v>156000</v>
      </c>
      <c r="H4620">
        <v>2</v>
      </c>
      <c r="I4620" t="s">
        <v>325</v>
      </c>
      <c r="J4620">
        <v>28.88</v>
      </c>
      <c r="K4620">
        <v>0</v>
      </c>
      <c r="L4620">
        <v>4</v>
      </c>
      <c r="M4620" t="s">
        <v>6994</v>
      </c>
      <c r="N4620">
        <v>10</v>
      </c>
      <c r="O4620">
        <v>11</v>
      </c>
      <c r="P4620">
        <v>154556.70000000001</v>
      </c>
      <c r="Q4620">
        <v>168453.81</v>
      </c>
      <c r="R4620">
        <v>261</v>
      </c>
      <c r="S4620">
        <v>788</v>
      </c>
      <c r="T4620" t="s">
        <v>34</v>
      </c>
      <c r="U4620" t="s">
        <v>81</v>
      </c>
    </row>
    <row r="4621" spans="1:21">
      <c r="A4621" t="s">
        <v>7174</v>
      </c>
      <c r="B4621" t="s">
        <v>6999</v>
      </c>
      <c r="C4621" t="s">
        <v>94</v>
      </c>
      <c r="D4621">
        <v>162000</v>
      </c>
      <c r="E4621">
        <v>8000</v>
      </c>
      <c r="G4621">
        <v>162000</v>
      </c>
      <c r="H4621">
        <v>3</v>
      </c>
      <c r="I4621" t="s">
        <v>325</v>
      </c>
      <c r="J4621">
        <v>30.09</v>
      </c>
      <c r="K4621">
        <v>0</v>
      </c>
      <c r="L4621">
        <v>4</v>
      </c>
      <c r="M4621" t="s">
        <v>6994</v>
      </c>
      <c r="N4621">
        <v>10</v>
      </c>
      <c r="O4621">
        <v>11</v>
      </c>
      <c r="P4621">
        <v>154556.70000000001</v>
      </c>
      <c r="Q4621">
        <v>168453.81</v>
      </c>
      <c r="R4621">
        <v>261</v>
      </c>
      <c r="S4621">
        <v>788</v>
      </c>
      <c r="T4621" t="s">
        <v>26</v>
      </c>
      <c r="U4621" t="s">
        <v>81</v>
      </c>
    </row>
    <row r="4622" spans="1:21">
      <c r="A4622" t="s">
        <v>7175</v>
      </c>
      <c r="B4622" t="s">
        <v>6999</v>
      </c>
      <c r="C4622" t="s">
        <v>94</v>
      </c>
      <c r="D4622">
        <v>175000</v>
      </c>
      <c r="E4622">
        <v>8000</v>
      </c>
      <c r="G4622">
        <v>175000</v>
      </c>
      <c r="H4622">
        <v>3</v>
      </c>
      <c r="I4622" t="s">
        <v>325</v>
      </c>
      <c r="J4622">
        <v>32.520000000000003</v>
      </c>
      <c r="K4622">
        <v>0</v>
      </c>
      <c r="L4622">
        <v>4</v>
      </c>
      <c r="M4622" t="s">
        <v>6994</v>
      </c>
      <c r="N4622">
        <v>10</v>
      </c>
      <c r="O4622">
        <v>11</v>
      </c>
      <c r="P4622">
        <v>154556.70000000001</v>
      </c>
      <c r="Q4622">
        <v>168453.81</v>
      </c>
      <c r="R4622">
        <v>261</v>
      </c>
      <c r="S4622">
        <v>788</v>
      </c>
      <c r="T4622" t="s">
        <v>26</v>
      </c>
      <c r="U4622" t="s">
        <v>81</v>
      </c>
    </row>
    <row r="4623" spans="1:21">
      <c r="A4623" t="s">
        <v>7176</v>
      </c>
      <c r="B4623" t="s">
        <v>6999</v>
      </c>
      <c r="C4623" t="s">
        <v>94</v>
      </c>
      <c r="D4623">
        <v>155000</v>
      </c>
      <c r="E4623">
        <v>8000</v>
      </c>
      <c r="G4623">
        <v>155000</v>
      </c>
      <c r="H4623">
        <v>4</v>
      </c>
      <c r="I4623" t="s">
        <v>325</v>
      </c>
      <c r="J4623">
        <v>28.88</v>
      </c>
      <c r="K4623">
        <v>0</v>
      </c>
      <c r="L4623">
        <v>4</v>
      </c>
      <c r="M4623" t="s">
        <v>6994</v>
      </c>
      <c r="N4623">
        <v>10</v>
      </c>
      <c r="O4623">
        <v>11</v>
      </c>
      <c r="P4623">
        <v>154556.70000000001</v>
      </c>
      <c r="Q4623">
        <v>168453.81</v>
      </c>
      <c r="R4623">
        <v>261</v>
      </c>
      <c r="S4623">
        <v>788</v>
      </c>
      <c r="T4623" t="s">
        <v>34</v>
      </c>
      <c r="U4623" t="s">
        <v>81</v>
      </c>
    </row>
    <row r="4624" spans="1:21">
      <c r="A4624" t="s">
        <v>7177</v>
      </c>
      <c r="B4624" t="s">
        <v>6999</v>
      </c>
      <c r="C4624" t="s">
        <v>94</v>
      </c>
      <c r="D4624">
        <v>167000</v>
      </c>
      <c r="E4624">
        <v>8000</v>
      </c>
      <c r="G4624">
        <v>167000</v>
      </c>
      <c r="H4624">
        <v>4</v>
      </c>
      <c r="I4624" t="s">
        <v>325</v>
      </c>
      <c r="J4624">
        <v>30.09</v>
      </c>
      <c r="K4624">
        <v>0</v>
      </c>
      <c r="L4624">
        <v>4</v>
      </c>
      <c r="M4624" t="s">
        <v>6994</v>
      </c>
      <c r="N4624">
        <v>10</v>
      </c>
      <c r="O4624">
        <v>11</v>
      </c>
      <c r="P4624">
        <v>154556.70000000001</v>
      </c>
      <c r="Q4624">
        <v>168453.81</v>
      </c>
      <c r="R4624">
        <v>261</v>
      </c>
      <c r="S4624">
        <v>788</v>
      </c>
      <c r="T4624" t="s">
        <v>26</v>
      </c>
      <c r="U4624" t="s">
        <v>81</v>
      </c>
    </row>
    <row r="4625" spans="1:21">
      <c r="A4625" t="s">
        <v>7178</v>
      </c>
      <c r="B4625" t="s">
        <v>6999</v>
      </c>
      <c r="C4625" t="s">
        <v>94</v>
      </c>
      <c r="D4625">
        <v>160000</v>
      </c>
      <c r="E4625">
        <v>8000</v>
      </c>
      <c r="G4625">
        <v>160000</v>
      </c>
      <c r="H4625">
        <v>4</v>
      </c>
      <c r="I4625" t="s">
        <v>325</v>
      </c>
      <c r="J4625">
        <v>30.09</v>
      </c>
      <c r="K4625">
        <v>0</v>
      </c>
      <c r="L4625">
        <v>4</v>
      </c>
      <c r="M4625" t="s">
        <v>6994</v>
      </c>
      <c r="N4625">
        <v>10</v>
      </c>
      <c r="O4625">
        <v>11</v>
      </c>
      <c r="P4625">
        <v>154556.70000000001</v>
      </c>
      <c r="Q4625">
        <v>168453.81</v>
      </c>
      <c r="R4625">
        <v>261</v>
      </c>
      <c r="S4625">
        <v>788</v>
      </c>
      <c r="T4625" t="s">
        <v>26</v>
      </c>
      <c r="U4625" t="s">
        <v>81</v>
      </c>
    </row>
    <row r="4626" spans="1:21">
      <c r="A4626" t="s">
        <v>7179</v>
      </c>
      <c r="B4626" t="s">
        <v>7180</v>
      </c>
      <c r="C4626" t="s">
        <v>94</v>
      </c>
      <c r="D4626">
        <v>190000</v>
      </c>
      <c r="E4626">
        <v>20000</v>
      </c>
      <c r="F4626">
        <v>190000</v>
      </c>
      <c r="G4626">
        <v>190000</v>
      </c>
      <c r="H4626">
        <v>3</v>
      </c>
      <c r="I4626" t="s">
        <v>325</v>
      </c>
      <c r="J4626">
        <v>36.28</v>
      </c>
      <c r="K4626">
        <v>0</v>
      </c>
      <c r="L4626">
        <v>14</v>
      </c>
      <c r="M4626" t="s">
        <v>6994</v>
      </c>
      <c r="N4626">
        <v>7</v>
      </c>
      <c r="O4626">
        <v>7.67</v>
      </c>
      <c r="P4626">
        <v>154556.70000000001</v>
      </c>
      <c r="Q4626">
        <v>168453.81</v>
      </c>
      <c r="R4626">
        <v>261</v>
      </c>
      <c r="S4626">
        <v>788</v>
      </c>
      <c r="T4626" t="s">
        <v>26</v>
      </c>
      <c r="U4626" t="s">
        <v>81</v>
      </c>
    </row>
    <row r="4627" spans="1:21">
      <c r="A4627" t="s">
        <v>7181</v>
      </c>
      <c r="B4627" t="s">
        <v>7180</v>
      </c>
      <c r="C4627" t="s">
        <v>94</v>
      </c>
      <c r="D4627">
        <v>260000</v>
      </c>
      <c r="E4627">
        <v>20000</v>
      </c>
      <c r="F4627">
        <v>130000</v>
      </c>
      <c r="G4627">
        <v>260000</v>
      </c>
      <c r="H4627">
        <v>7</v>
      </c>
      <c r="I4627" t="s">
        <v>325</v>
      </c>
      <c r="J4627">
        <v>47.34</v>
      </c>
      <c r="K4627">
        <v>0</v>
      </c>
      <c r="L4627">
        <v>14</v>
      </c>
      <c r="M4627" t="s">
        <v>6994</v>
      </c>
      <c r="N4627">
        <v>7</v>
      </c>
      <c r="O4627">
        <v>7.67</v>
      </c>
      <c r="P4627">
        <v>154556.70000000001</v>
      </c>
      <c r="Q4627">
        <v>168453.81</v>
      </c>
      <c r="R4627">
        <v>261</v>
      </c>
      <c r="S4627">
        <v>788</v>
      </c>
      <c r="T4627" t="s">
        <v>326</v>
      </c>
      <c r="U4627" t="s">
        <v>81</v>
      </c>
    </row>
    <row r="4628" spans="1:21">
      <c r="A4628" t="s">
        <v>7182</v>
      </c>
      <c r="B4628" t="s">
        <v>7059</v>
      </c>
      <c r="C4628" t="s">
        <v>94</v>
      </c>
      <c r="D4628">
        <v>132000</v>
      </c>
      <c r="E4628">
        <v>16000</v>
      </c>
      <c r="F4628">
        <v>132000</v>
      </c>
      <c r="G4628">
        <v>132000</v>
      </c>
      <c r="H4628">
        <v>3</v>
      </c>
      <c r="I4628" t="s">
        <v>325</v>
      </c>
      <c r="J4628">
        <v>39.770000000000003</v>
      </c>
      <c r="K4628">
        <v>19</v>
      </c>
      <c r="L4628">
        <v>6</v>
      </c>
      <c r="M4628" t="s">
        <v>6994</v>
      </c>
      <c r="N4628">
        <v>10</v>
      </c>
      <c r="O4628">
        <v>11.67</v>
      </c>
      <c r="P4628">
        <v>154556.70000000001</v>
      </c>
      <c r="Q4628">
        <v>168453.81</v>
      </c>
      <c r="R4628">
        <v>261</v>
      </c>
      <c r="S4628">
        <v>788</v>
      </c>
      <c r="T4628" t="s">
        <v>26</v>
      </c>
      <c r="U4628" t="s">
        <v>90</v>
      </c>
    </row>
    <row r="4629" spans="1:21">
      <c r="A4629" t="s">
        <v>7183</v>
      </c>
      <c r="B4629" t="s">
        <v>7184</v>
      </c>
      <c r="C4629" t="s">
        <v>45</v>
      </c>
      <c r="D4629">
        <v>175000</v>
      </c>
      <c r="F4629">
        <v>350000</v>
      </c>
      <c r="G4629">
        <v>175000</v>
      </c>
      <c r="H4629">
        <v>3</v>
      </c>
      <c r="I4629" t="s">
        <v>325</v>
      </c>
      <c r="J4629">
        <v>35.71</v>
      </c>
      <c r="K4629">
        <v>13</v>
      </c>
      <c r="L4629">
        <v>7</v>
      </c>
      <c r="M4629" t="s">
        <v>6994</v>
      </c>
      <c r="N4629">
        <v>7</v>
      </c>
      <c r="O4629">
        <v>10.33</v>
      </c>
      <c r="P4629">
        <v>154556.70000000001</v>
      </c>
      <c r="Q4629">
        <v>168453.81</v>
      </c>
      <c r="R4629">
        <v>261</v>
      </c>
      <c r="S4629">
        <v>788</v>
      </c>
      <c r="T4629" t="s">
        <v>26</v>
      </c>
      <c r="U4629" t="s">
        <v>90</v>
      </c>
    </row>
    <row r="4630" spans="1:21">
      <c r="A4630" t="s">
        <v>7185</v>
      </c>
      <c r="B4630" t="s">
        <v>7186</v>
      </c>
      <c r="C4630" t="s">
        <v>30</v>
      </c>
      <c r="D4630">
        <v>190000</v>
      </c>
      <c r="E4630">
        <v>14000</v>
      </c>
      <c r="F4630">
        <v>190000</v>
      </c>
      <c r="G4630">
        <v>190000</v>
      </c>
      <c r="H4630">
        <v>5</v>
      </c>
      <c r="I4630" t="s">
        <v>325</v>
      </c>
      <c r="J4630">
        <v>45.88</v>
      </c>
      <c r="K4630">
        <v>10</v>
      </c>
      <c r="L4630">
        <v>10</v>
      </c>
      <c r="M4630" t="s">
        <v>6994</v>
      </c>
      <c r="N4630">
        <v>5</v>
      </c>
      <c r="O4630">
        <v>11</v>
      </c>
      <c r="P4630">
        <v>154556.70000000001</v>
      </c>
      <c r="Q4630">
        <v>168453.81</v>
      </c>
      <c r="R4630">
        <v>261</v>
      </c>
      <c r="S4630">
        <v>788</v>
      </c>
      <c r="T4630" t="s">
        <v>326</v>
      </c>
      <c r="U4630" t="s">
        <v>31</v>
      </c>
    </row>
    <row r="4631" spans="1:21">
      <c r="A4631" t="s">
        <v>7187</v>
      </c>
      <c r="B4631" t="s">
        <v>7186</v>
      </c>
      <c r="C4631" t="s">
        <v>30</v>
      </c>
      <c r="D4631">
        <v>200000</v>
      </c>
      <c r="E4631">
        <v>14000</v>
      </c>
      <c r="F4631">
        <v>200000</v>
      </c>
      <c r="G4631">
        <v>200000</v>
      </c>
      <c r="H4631">
        <v>5</v>
      </c>
      <c r="I4631" t="s">
        <v>325</v>
      </c>
      <c r="J4631">
        <v>45.88</v>
      </c>
      <c r="K4631">
        <v>10</v>
      </c>
      <c r="L4631">
        <v>10</v>
      </c>
      <c r="M4631" t="s">
        <v>6994</v>
      </c>
      <c r="N4631">
        <v>5</v>
      </c>
      <c r="O4631">
        <v>11</v>
      </c>
      <c r="P4631">
        <v>154556.70000000001</v>
      </c>
      <c r="Q4631">
        <v>168453.81</v>
      </c>
      <c r="R4631">
        <v>261</v>
      </c>
      <c r="S4631">
        <v>788</v>
      </c>
      <c r="T4631" t="s">
        <v>326</v>
      </c>
      <c r="U4631" t="s">
        <v>31</v>
      </c>
    </row>
    <row r="4632" spans="1:21">
      <c r="A4632" t="s">
        <v>7188</v>
      </c>
      <c r="B4632" t="s">
        <v>7186</v>
      </c>
      <c r="C4632" t="s">
        <v>30</v>
      </c>
      <c r="D4632">
        <v>210000</v>
      </c>
      <c r="E4632">
        <v>14000</v>
      </c>
      <c r="F4632">
        <v>210000</v>
      </c>
      <c r="G4632">
        <v>210000</v>
      </c>
      <c r="H4632">
        <v>5</v>
      </c>
      <c r="I4632" t="s">
        <v>325</v>
      </c>
      <c r="J4632">
        <v>45.88</v>
      </c>
      <c r="K4632">
        <v>10</v>
      </c>
      <c r="L4632">
        <v>10</v>
      </c>
      <c r="M4632" t="s">
        <v>6994</v>
      </c>
      <c r="N4632">
        <v>5</v>
      </c>
      <c r="O4632">
        <v>11</v>
      </c>
      <c r="P4632">
        <v>154556.70000000001</v>
      </c>
      <c r="Q4632">
        <v>168453.81</v>
      </c>
      <c r="R4632">
        <v>261</v>
      </c>
      <c r="S4632">
        <v>788</v>
      </c>
      <c r="T4632" t="s">
        <v>326</v>
      </c>
      <c r="U4632" t="s">
        <v>31</v>
      </c>
    </row>
    <row r="4633" spans="1:21">
      <c r="A4633" t="s">
        <v>7189</v>
      </c>
      <c r="B4633" t="s">
        <v>7076</v>
      </c>
      <c r="C4633" t="s">
        <v>48</v>
      </c>
      <c r="D4633">
        <v>167000</v>
      </c>
      <c r="E4633">
        <v>15000</v>
      </c>
      <c r="G4633">
        <v>167000</v>
      </c>
      <c r="H4633">
        <v>1</v>
      </c>
      <c r="I4633" t="s">
        <v>325</v>
      </c>
      <c r="J4633">
        <v>30.04</v>
      </c>
      <c r="K4633">
        <v>6</v>
      </c>
      <c r="L4633">
        <v>6</v>
      </c>
      <c r="M4633" t="s">
        <v>6994</v>
      </c>
      <c r="N4633">
        <v>6</v>
      </c>
      <c r="O4633">
        <v>12</v>
      </c>
      <c r="P4633">
        <v>154556.70000000001</v>
      </c>
      <c r="Q4633">
        <v>168453.81</v>
      </c>
      <c r="R4633">
        <v>261</v>
      </c>
      <c r="S4633">
        <v>788</v>
      </c>
      <c r="T4633" t="s">
        <v>26</v>
      </c>
      <c r="U4633" t="s">
        <v>31</v>
      </c>
    </row>
    <row r="4634" spans="1:21">
      <c r="A4634" t="s">
        <v>7190</v>
      </c>
      <c r="B4634" t="s">
        <v>7076</v>
      </c>
      <c r="C4634" t="s">
        <v>48</v>
      </c>
      <c r="D4634">
        <v>175000</v>
      </c>
      <c r="E4634">
        <v>15000</v>
      </c>
      <c r="G4634">
        <v>175000</v>
      </c>
      <c r="H4634">
        <v>4</v>
      </c>
      <c r="I4634" t="s">
        <v>325</v>
      </c>
      <c r="J4634">
        <v>34.619999999999997</v>
      </c>
      <c r="K4634">
        <v>6</v>
      </c>
      <c r="L4634">
        <v>6</v>
      </c>
      <c r="M4634" t="s">
        <v>6994</v>
      </c>
      <c r="N4634">
        <v>6</v>
      </c>
      <c r="O4634">
        <v>12</v>
      </c>
      <c r="P4634">
        <v>154556.70000000001</v>
      </c>
      <c r="Q4634">
        <v>168453.81</v>
      </c>
      <c r="R4634">
        <v>261</v>
      </c>
      <c r="S4634">
        <v>788</v>
      </c>
      <c r="T4634" t="s">
        <v>26</v>
      </c>
      <c r="U4634" t="s">
        <v>31</v>
      </c>
    </row>
    <row r="4635" spans="1:21">
      <c r="A4635" t="s">
        <v>7191</v>
      </c>
      <c r="B4635" t="s">
        <v>7084</v>
      </c>
      <c r="C4635" t="s">
        <v>94</v>
      </c>
      <c r="D4635">
        <v>188000</v>
      </c>
      <c r="E4635">
        <v>8000</v>
      </c>
      <c r="F4635">
        <v>188000</v>
      </c>
      <c r="G4635">
        <v>188000</v>
      </c>
      <c r="H4635">
        <v>9</v>
      </c>
      <c r="I4635" t="s">
        <v>325</v>
      </c>
      <c r="J4635">
        <v>40.98</v>
      </c>
      <c r="K4635">
        <v>10</v>
      </c>
      <c r="L4635">
        <v>13</v>
      </c>
      <c r="M4635" t="s">
        <v>6994</v>
      </c>
      <c r="N4635">
        <v>8</v>
      </c>
      <c r="O4635">
        <v>12</v>
      </c>
      <c r="P4635">
        <v>154556.70000000001</v>
      </c>
      <c r="Q4635">
        <v>168453.81</v>
      </c>
      <c r="R4635">
        <v>261</v>
      </c>
      <c r="S4635">
        <v>788</v>
      </c>
      <c r="T4635" t="s">
        <v>326</v>
      </c>
      <c r="U4635" t="s">
        <v>31</v>
      </c>
    </row>
    <row r="4636" spans="1:21">
      <c r="A4636" t="s">
        <v>7192</v>
      </c>
      <c r="B4636" t="s">
        <v>7193</v>
      </c>
      <c r="C4636" t="s">
        <v>45</v>
      </c>
      <c r="D4636">
        <v>120000</v>
      </c>
      <c r="F4636">
        <v>120000</v>
      </c>
      <c r="G4636">
        <v>120000</v>
      </c>
      <c r="H4636">
        <v>2</v>
      </c>
      <c r="I4636" t="s">
        <v>325</v>
      </c>
      <c r="J4636">
        <v>34.130000000000003</v>
      </c>
      <c r="K4636">
        <v>33</v>
      </c>
      <c r="L4636">
        <v>3</v>
      </c>
      <c r="M4636" t="s">
        <v>6994</v>
      </c>
      <c r="N4636">
        <v>8</v>
      </c>
      <c r="O4636">
        <v>8</v>
      </c>
      <c r="P4636">
        <v>154556.70000000001</v>
      </c>
      <c r="Q4636">
        <v>168453.81</v>
      </c>
      <c r="R4636">
        <v>261</v>
      </c>
      <c r="S4636">
        <v>788</v>
      </c>
      <c r="T4636" t="s">
        <v>26</v>
      </c>
      <c r="U4636" t="s">
        <v>49</v>
      </c>
    </row>
    <row r="4637" spans="1:21">
      <c r="A4637" t="s">
        <v>7194</v>
      </c>
      <c r="B4637" t="s">
        <v>7195</v>
      </c>
      <c r="C4637" t="s">
        <v>30</v>
      </c>
      <c r="D4637">
        <v>155000</v>
      </c>
      <c r="E4637">
        <v>12000</v>
      </c>
      <c r="F4637">
        <v>155000</v>
      </c>
      <c r="G4637">
        <v>155000</v>
      </c>
      <c r="H4637">
        <v>4</v>
      </c>
      <c r="I4637" t="s">
        <v>325</v>
      </c>
      <c r="J4637">
        <v>36.06</v>
      </c>
      <c r="K4637">
        <v>10</v>
      </c>
      <c r="L4637">
        <v>5</v>
      </c>
      <c r="M4637" t="s">
        <v>6994</v>
      </c>
      <c r="N4637">
        <v>5</v>
      </c>
      <c r="O4637">
        <v>7.67</v>
      </c>
      <c r="P4637">
        <v>154556.70000000001</v>
      </c>
      <c r="Q4637">
        <v>168453.81</v>
      </c>
      <c r="R4637">
        <v>261</v>
      </c>
      <c r="S4637">
        <v>788</v>
      </c>
      <c r="T4637" t="s">
        <v>26</v>
      </c>
      <c r="U4637" t="s">
        <v>31</v>
      </c>
    </row>
    <row r="4638" spans="1:21">
      <c r="A4638" t="s">
        <v>7196</v>
      </c>
      <c r="B4638" t="s">
        <v>7197</v>
      </c>
      <c r="C4638" t="s">
        <v>30</v>
      </c>
      <c r="D4638">
        <v>210000</v>
      </c>
      <c r="E4638">
        <v>14000</v>
      </c>
      <c r="F4638">
        <v>210000</v>
      </c>
      <c r="G4638">
        <v>210000</v>
      </c>
      <c r="H4638">
        <v>5</v>
      </c>
      <c r="I4638" t="s">
        <v>325</v>
      </c>
      <c r="J4638">
        <v>45.88</v>
      </c>
      <c r="K4638">
        <v>10</v>
      </c>
      <c r="L4638">
        <v>10</v>
      </c>
      <c r="M4638" t="s">
        <v>6994</v>
      </c>
      <c r="N4638">
        <v>5</v>
      </c>
      <c r="O4638">
        <v>10.33</v>
      </c>
      <c r="P4638">
        <v>154556.70000000001</v>
      </c>
      <c r="Q4638">
        <v>168453.81</v>
      </c>
      <c r="R4638">
        <v>261</v>
      </c>
      <c r="S4638">
        <v>788</v>
      </c>
      <c r="T4638" t="s">
        <v>326</v>
      </c>
      <c r="U4638" t="s">
        <v>31</v>
      </c>
    </row>
    <row r="4639" spans="1:21">
      <c r="A4639" t="s">
        <v>7198</v>
      </c>
      <c r="B4639" t="s">
        <v>7106</v>
      </c>
      <c r="C4639" t="s">
        <v>45</v>
      </c>
      <c r="D4639">
        <v>145000</v>
      </c>
      <c r="E4639">
        <v>5000</v>
      </c>
      <c r="F4639">
        <v>145000</v>
      </c>
      <c r="G4639">
        <v>145000</v>
      </c>
      <c r="H4639">
        <v>12</v>
      </c>
      <c r="I4639" t="s">
        <v>325</v>
      </c>
      <c r="J4639">
        <v>35</v>
      </c>
      <c r="K4639">
        <v>24</v>
      </c>
      <c r="L4639">
        <v>12</v>
      </c>
      <c r="M4639" t="s">
        <v>6994</v>
      </c>
      <c r="N4639">
        <v>7</v>
      </c>
      <c r="O4639">
        <v>7</v>
      </c>
      <c r="P4639">
        <v>154556.70000000001</v>
      </c>
      <c r="Q4639">
        <v>168453.81</v>
      </c>
      <c r="R4639">
        <v>261</v>
      </c>
      <c r="S4639">
        <v>788</v>
      </c>
      <c r="T4639" t="s">
        <v>26</v>
      </c>
      <c r="U4639" t="s">
        <v>27</v>
      </c>
    </row>
    <row r="4640" spans="1:21">
      <c r="A4640" t="s">
        <v>7199</v>
      </c>
      <c r="B4640" t="s">
        <v>7200</v>
      </c>
      <c r="C4640" t="s">
        <v>48</v>
      </c>
      <c r="D4640">
        <v>115000</v>
      </c>
      <c r="E4640">
        <v>7000</v>
      </c>
      <c r="F4640">
        <v>230000</v>
      </c>
      <c r="G4640">
        <v>57500</v>
      </c>
      <c r="H4640">
        <v>4</v>
      </c>
      <c r="I4640" t="s">
        <v>325</v>
      </c>
      <c r="J4640">
        <v>35.590000000000003</v>
      </c>
      <c r="K4640">
        <v>57</v>
      </c>
      <c r="L4640">
        <v>12</v>
      </c>
      <c r="M4640" t="s">
        <v>6994</v>
      </c>
      <c r="N4640">
        <v>8</v>
      </c>
      <c r="O4640">
        <v>11.33</v>
      </c>
      <c r="P4640">
        <v>154556.70000000001</v>
      </c>
      <c r="Q4640">
        <v>168453.81</v>
      </c>
      <c r="R4640">
        <v>261</v>
      </c>
      <c r="S4640">
        <v>788</v>
      </c>
      <c r="T4640" t="s">
        <v>26</v>
      </c>
      <c r="U4640" t="s">
        <v>57</v>
      </c>
    </row>
    <row r="4641" spans="1:21">
      <c r="A4641" t="s">
        <v>7201</v>
      </c>
      <c r="B4641" t="s">
        <v>7200</v>
      </c>
      <c r="C4641" t="s">
        <v>48</v>
      </c>
      <c r="D4641">
        <v>115000</v>
      </c>
      <c r="E4641">
        <v>7000</v>
      </c>
      <c r="F4641">
        <v>230000</v>
      </c>
      <c r="G4641">
        <v>57500</v>
      </c>
      <c r="H4641">
        <v>9</v>
      </c>
      <c r="I4641" t="s">
        <v>325</v>
      </c>
      <c r="J4641">
        <v>35.590000000000003</v>
      </c>
      <c r="K4641">
        <v>57</v>
      </c>
      <c r="L4641">
        <v>12</v>
      </c>
      <c r="M4641" t="s">
        <v>6994</v>
      </c>
      <c r="N4641">
        <v>8</v>
      </c>
      <c r="O4641">
        <v>11.33</v>
      </c>
      <c r="P4641">
        <v>154556.70000000001</v>
      </c>
      <c r="Q4641">
        <v>168453.81</v>
      </c>
      <c r="R4641">
        <v>261</v>
      </c>
      <c r="S4641">
        <v>788</v>
      </c>
      <c r="T4641" t="s">
        <v>26</v>
      </c>
      <c r="U4641" t="s">
        <v>57</v>
      </c>
    </row>
    <row r="4642" spans="1:21">
      <c r="A4642" t="s">
        <v>7202</v>
      </c>
      <c r="B4642" t="s">
        <v>80</v>
      </c>
      <c r="C4642" t="s">
        <v>94</v>
      </c>
      <c r="D4642">
        <v>158000</v>
      </c>
      <c r="E4642">
        <v>8000</v>
      </c>
      <c r="G4642">
        <v>158000</v>
      </c>
      <c r="H4642">
        <v>1</v>
      </c>
      <c r="I4642" t="s">
        <v>325</v>
      </c>
      <c r="J4642">
        <v>30.09</v>
      </c>
      <c r="K4642">
        <v>0</v>
      </c>
      <c r="L4642">
        <v>4</v>
      </c>
      <c r="M4642" t="s">
        <v>6994</v>
      </c>
      <c r="N4642">
        <v>10</v>
      </c>
      <c r="O4642">
        <v>11</v>
      </c>
      <c r="P4642">
        <v>154556.70000000001</v>
      </c>
      <c r="Q4642">
        <v>168453.81</v>
      </c>
      <c r="R4642">
        <v>261</v>
      </c>
      <c r="S4642">
        <v>788</v>
      </c>
      <c r="T4642" t="s">
        <v>26</v>
      </c>
      <c r="U4642" t="s">
        <v>81</v>
      </c>
    </row>
    <row r="4643" spans="1:21">
      <c r="A4643" t="s">
        <v>7203</v>
      </c>
      <c r="B4643" t="s">
        <v>80</v>
      </c>
      <c r="C4643" t="s">
        <v>94</v>
      </c>
      <c r="D4643">
        <v>170000</v>
      </c>
      <c r="E4643">
        <v>8000</v>
      </c>
      <c r="G4643">
        <v>170000</v>
      </c>
      <c r="H4643">
        <v>1</v>
      </c>
      <c r="I4643" t="s">
        <v>325</v>
      </c>
      <c r="J4643">
        <v>32.520000000000003</v>
      </c>
      <c r="K4643">
        <v>0</v>
      </c>
      <c r="L4643">
        <v>4</v>
      </c>
      <c r="M4643" t="s">
        <v>6994</v>
      </c>
      <c r="N4643">
        <v>10</v>
      </c>
      <c r="O4643">
        <v>11</v>
      </c>
      <c r="P4643">
        <v>154556.70000000001</v>
      </c>
      <c r="Q4643">
        <v>168453.81</v>
      </c>
      <c r="R4643">
        <v>261</v>
      </c>
      <c r="S4643">
        <v>788</v>
      </c>
      <c r="T4643" t="s">
        <v>26</v>
      </c>
      <c r="U4643" t="s">
        <v>81</v>
      </c>
    </row>
    <row r="4644" spans="1:21">
      <c r="A4644" t="s">
        <v>7204</v>
      </c>
      <c r="B4644" t="s">
        <v>80</v>
      </c>
      <c r="C4644" t="s">
        <v>94</v>
      </c>
      <c r="D4644">
        <v>171000</v>
      </c>
      <c r="E4644">
        <v>8000</v>
      </c>
      <c r="G4644">
        <v>171000</v>
      </c>
      <c r="H4644">
        <v>1</v>
      </c>
      <c r="I4644" t="s">
        <v>325</v>
      </c>
      <c r="J4644">
        <v>32.630000000000003</v>
      </c>
      <c r="K4644">
        <v>0</v>
      </c>
      <c r="L4644">
        <v>4</v>
      </c>
      <c r="M4644" t="s">
        <v>6994</v>
      </c>
      <c r="N4644">
        <v>10</v>
      </c>
      <c r="O4644">
        <v>11</v>
      </c>
      <c r="P4644">
        <v>154556.70000000001</v>
      </c>
      <c r="Q4644">
        <v>168453.81</v>
      </c>
      <c r="R4644">
        <v>261</v>
      </c>
      <c r="S4644">
        <v>788</v>
      </c>
      <c r="T4644" t="s">
        <v>26</v>
      </c>
      <c r="U4644" t="s">
        <v>81</v>
      </c>
    </row>
    <row r="4645" spans="1:21">
      <c r="A4645" t="s">
        <v>7205</v>
      </c>
      <c r="B4645" t="s">
        <v>80</v>
      </c>
      <c r="C4645" t="s">
        <v>94</v>
      </c>
      <c r="D4645">
        <v>156000</v>
      </c>
      <c r="E4645">
        <v>8000</v>
      </c>
      <c r="G4645">
        <v>156000</v>
      </c>
      <c r="H4645">
        <v>2</v>
      </c>
      <c r="I4645" t="s">
        <v>325</v>
      </c>
      <c r="J4645">
        <v>28.88</v>
      </c>
      <c r="K4645">
        <v>0</v>
      </c>
      <c r="L4645">
        <v>4</v>
      </c>
      <c r="M4645" t="s">
        <v>6994</v>
      </c>
      <c r="N4645">
        <v>10</v>
      </c>
      <c r="O4645">
        <v>11</v>
      </c>
      <c r="P4645">
        <v>154556.70000000001</v>
      </c>
      <c r="Q4645">
        <v>168453.81</v>
      </c>
      <c r="R4645">
        <v>261</v>
      </c>
      <c r="S4645">
        <v>788</v>
      </c>
      <c r="T4645" t="s">
        <v>34</v>
      </c>
      <c r="U4645" t="s">
        <v>81</v>
      </c>
    </row>
    <row r="4646" spans="1:21">
      <c r="A4646" t="s">
        <v>7206</v>
      </c>
      <c r="B4646" t="s">
        <v>80</v>
      </c>
      <c r="C4646" t="s">
        <v>94</v>
      </c>
      <c r="D4646">
        <v>162000</v>
      </c>
      <c r="E4646">
        <v>8000</v>
      </c>
      <c r="G4646">
        <v>162000</v>
      </c>
      <c r="H4646">
        <v>3</v>
      </c>
      <c r="I4646" t="s">
        <v>325</v>
      </c>
      <c r="J4646">
        <v>30.09</v>
      </c>
      <c r="K4646">
        <v>0</v>
      </c>
      <c r="L4646">
        <v>4</v>
      </c>
      <c r="M4646" t="s">
        <v>6994</v>
      </c>
      <c r="N4646">
        <v>10</v>
      </c>
      <c r="O4646">
        <v>11</v>
      </c>
      <c r="P4646">
        <v>154556.70000000001</v>
      </c>
      <c r="Q4646">
        <v>168453.81</v>
      </c>
      <c r="R4646">
        <v>261</v>
      </c>
      <c r="S4646">
        <v>788</v>
      </c>
      <c r="T4646" t="s">
        <v>26</v>
      </c>
      <c r="U4646" t="s">
        <v>81</v>
      </c>
    </row>
    <row r="4647" spans="1:21">
      <c r="A4647" t="s">
        <v>7207</v>
      </c>
      <c r="B4647" t="s">
        <v>80</v>
      </c>
      <c r="C4647" t="s">
        <v>94</v>
      </c>
      <c r="D4647">
        <v>175000</v>
      </c>
      <c r="E4647">
        <v>8000</v>
      </c>
      <c r="G4647">
        <v>175000</v>
      </c>
      <c r="H4647">
        <v>3</v>
      </c>
      <c r="I4647" t="s">
        <v>325</v>
      </c>
      <c r="J4647">
        <v>32.520000000000003</v>
      </c>
      <c r="K4647">
        <v>0</v>
      </c>
      <c r="L4647">
        <v>4</v>
      </c>
      <c r="M4647" t="s">
        <v>6994</v>
      </c>
      <c r="N4647">
        <v>10</v>
      </c>
      <c r="O4647">
        <v>11</v>
      </c>
      <c r="P4647">
        <v>154556.70000000001</v>
      </c>
      <c r="Q4647">
        <v>168453.81</v>
      </c>
      <c r="R4647">
        <v>261</v>
      </c>
      <c r="S4647">
        <v>788</v>
      </c>
      <c r="T4647" t="s">
        <v>26</v>
      </c>
      <c r="U4647" t="s">
        <v>81</v>
      </c>
    </row>
    <row r="4648" spans="1:21">
      <c r="A4648" t="s">
        <v>7208</v>
      </c>
      <c r="B4648" t="s">
        <v>80</v>
      </c>
      <c r="C4648" t="s">
        <v>94</v>
      </c>
      <c r="D4648">
        <v>155000</v>
      </c>
      <c r="E4648">
        <v>8000</v>
      </c>
      <c r="G4648">
        <v>155000</v>
      </c>
      <c r="H4648">
        <v>4</v>
      </c>
      <c r="I4648" t="s">
        <v>325</v>
      </c>
      <c r="J4648">
        <v>28.88</v>
      </c>
      <c r="K4648">
        <v>0</v>
      </c>
      <c r="L4648">
        <v>4</v>
      </c>
      <c r="M4648" t="s">
        <v>6994</v>
      </c>
      <c r="N4648">
        <v>10</v>
      </c>
      <c r="O4648">
        <v>11</v>
      </c>
      <c r="P4648">
        <v>154556.70000000001</v>
      </c>
      <c r="Q4648">
        <v>168453.81</v>
      </c>
      <c r="R4648">
        <v>261</v>
      </c>
      <c r="S4648">
        <v>788</v>
      </c>
      <c r="T4648" t="s">
        <v>34</v>
      </c>
      <c r="U4648" t="s">
        <v>81</v>
      </c>
    </row>
    <row r="4649" spans="1:21">
      <c r="A4649" t="s">
        <v>7209</v>
      </c>
      <c r="B4649" t="s">
        <v>80</v>
      </c>
      <c r="C4649" t="s">
        <v>94</v>
      </c>
      <c r="D4649">
        <v>167000</v>
      </c>
      <c r="E4649">
        <v>8000</v>
      </c>
      <c r="G4649">
        <v>167000</v>
      </c>
      <c r="H4649">
        <v>4</v>
      </c>
      <c r="I4649" t="s">
        <v>325</v>
      </c>
      <c r="J4649">
        <v>30.09</v>
      </c>
      <c r="K4649">
        <v>0</v>
      </c>
      <c r="L4649">
        <v>4</v>
      </c>
      <c r="M4649" t="s">
        <v>6994</v>
      </c>
      <c r="N4649">
        <v>10</v>
      </c>
      <c r="O4649">
        <v>11</v>
      </c>
      <c r="P4649">
        <v>154556.70000000001</v>
      </c>
      <c r="Q4649">
        <v>168453.81</v>
      </c>
      <c r="R4649">
        <v>261</v>
      </c>
      <c r="S4649">
        <v>788</v>
      </c>
      <c r="T4649" t="s">
        <v>26</v>
      </c>
      <c r="U4649" t="s">
        <v>81</v>
      </c>
    </row>
    <row r="4650" spans="1:21">
      <c r="A4650" t="s">
        <v>7210</v>
      </c>
      <c r="B4650" t="s">
        <v>80</v>
      </c>
      <c r="C4650" t="s">
        <v>94</v>
      </c>
      <c r="D4650">
        <v>160000</v>
      </c>
      <c r="E4650">
        <v>8000</v>
      </c>
      <c r="G4650">
        <v>160000</v>
      </c>
      <c r="H4650">
        <v>4</v>
      </c>
      <c r="I4650" t="s">
        <v>325</v>
      </c>
      <c r="J4650">
        <v>30.09</v>
      </c>
      <c r="K4650">
        <v>0</v>
      </c>
      <c r="L4650">
        <v>4</v>
      </c>
      <c r="M4650" t="s">
        <v>6994</v>
      </c>
      <c r="N4650">
        <v>10</v>
      </c>
      <c r="O4650">
        <v>11</v>
      </c>
      <c r="P4650">
        <v>154556.70000000001</v>
      </c>
      <c r="Q4650">
        <v>168453.81</v>
      </c>
      <c r="R4650">
        <v>261</v>
      </c>
      <c r="S4650">
        <v>788</v>
      </c>
      <c r="T4650" t="s">
        <v>26</v>
      </c>
      <c r="U4650" t="s">
        <v>81</v>
      </c>
    </row>
    <row r="4651" spans="1:21">
      <c r="A4651" t="s">
        <v>7211</v>
      </c>
      <c r="B4651" t="s">
        <v>7134</v>
      </c>
      <c r="C4651" t="s">
        <v>94</v>
      </c>
      <c r="D4651">
        <v>165000</v>
      </c>
      <c r="E4651">
        <v>15000</v>
      </c>
      <c r="F4651">
        <v>165000</v>
      </c>
      <c r="H4651">
        <v>1</v>
      </c>
      <c r="I4651" t="s">
        <v>325</v>
      </c>
      <c r="J4651">
        <v>30.48</v>
      </c>
      <c r="K4651">
        <v>3</v>
      </c>
      <c r="L4651">
        <v>4</v>
      </c>
      <c r="M4651" t="s">
        <v>6994</v>
      </c>
      <c r="N4651">
        <v>8</v>
      </c>
      <c r="O4651">
        <v>12</v>
      </c>
      <c r="P4651">
        <v>154556.70000000001</v>
      </c>
      <c r="Q4651">
        <v>168453.81</v>
      </c>
      <c r="R4651">
        <v>261</v>
      </c>
      <c r="S4651">
        <v>788</v>
      </c>
      <c r="T4651" t="s">
        <v>26</v>
      </c>
      <c r="U4651" t="s">
        <v>31</v>
      </c>
    </row>
    <row r="4652" spans="1:21">
      <c r="A4652" t="s">
        <v>7212</v>
      </c>
      <c r="B4652" t="s">
        <v>7134</v>
      </c>
      <c r="C4652" t="s">
        <v>48</v>
      </c>
      <c r="D4652">
        <v>210000</v>
      </c>
      <c r="E4652">
        <v>10000</v>
      </c>
      <c r="F4652">
        <v>210000</v>
      </c>
      <c r="G4652">
        <v>420000</v>
      </c>
      <c r="H4652">
        <v>3</v>
      </c>
      <c r="I4652" t="s">
        <v>325</v>
      </c>
      <c r="J4652">
        <v>44.61</v>
      </c>
      <c r="K4652">
        <v>3</v>
      </c>
      <c r="L4652">
        <v>4</v>
      </c>
      <c r="M4652" t="s">
        <v>6994</v>
      </c>
      <c r="N4652">
        <v>4</v>
      </c>
      <c r="O4652">
        <v>10</v>
      </c>
      <c r="P4652">
        <v>154556.70000000001</v>
      </c>
      <c r="Q4652">
        <v>168453.81</v>
      </c>
      <c r="R4652">
        <v>261</v>
      </c>
      <c r="S4652">
        <v>788</v>
      </c>
      <c r="T4652" t="s">
        <v>326</v>
      </c>
      <c r="U4652" t="s">
        <v>31</v>
      </c>
    </row>
    <row r="4653" spans="1:21">
      <c r="A4653" t="s">
        <v>7213</v>
      </c>
      <c r="B4653" t="s">
        <v>7134</v>
      </c>
      <c r="C4653" t="s">
        <v>94</v>
      </c>
      <c r="D4653">
        <v>235000</v>
      </c>
      <c r="E4653">
        <v>15000</v>
      </c>
      <c r="F4653">
        <v>235000</v>
      </c>
      <c r="H4653">
        <v>4</v>
      </c>
      <c r="I4653" t="s">
        <v>325</v>
      </c>
      <c r="J4653">
        <v>42.36</v>
      </c>
      <c r="K4653">
        <v>3</v>
      </c>
      <c r="L4653">
        <v>4</v>
      </c>
      <c r="M4653" t="s">
        <v>6994</v>
      </c>
      <c r="N4653">
        <v>8</v>
      </c>
      <c r="O4653">
        <v>12</v>
      </c>
      <c r="P4653">
        <v>154556.70000000001</v>
      </c>
      <c r="Q4653">
        <v>168453.81</v>
      </c>
      <c r="R4653">
        <v>261</v>
      </c>
      <c r="S4653">
        <v>788</v>
      </c>
      <c r="T4653" t="s">
        <v>326</v>
      </c>
      <c r="U4653" t="s">
        <v>31</v>
      </c>
    </row>
    <row r="4654" spans="1:21">
      <c r="A4654" t="s">
        <v>7214</v>
      </c>
      <c r="B4654" t="s">
        <v>6589</v>
      </c>
      <c r="C4654" t="s">
        <v>30</v>
      </c>
      <c r="D4654">
        <v>155000</v>
      </c>
      <c r="E4654">
        <v>12000</v>
      </c>
      <c r="F4654">
        <v>155000</v>
      </c>
      <c r="G4654">
        <v>155000</v>
      </c>
      <c r="H4654">
        <v>4</v>
      </c>
      <c r="I4654" t="s">
        <v>325</v>
      </c>
      <c r="J4654">
        <v>36.06</v>
      </c>
      <c r="K4654">
        <v>10</v>
      </c>
      <c r="L4654">
        <v>5</v>
      </c>
      <c r="M4654" t="s">
        <v>6994</v>
      </c>
      <c r="N4654">
        <v>7</v>
      </c>
      <c r="O4654">
        <v>9.67</v>
      </c>
      <c r="P4654">
        <v>154556.70000000001</v>
      </c>
      <c r="Q4654">
        <v>168453.81</v>
      </c>
      <c r="R4654">
        <v>261</v>
      </c>
      <c r="S4654">
        <v>788</v>
      </c>
      <c r="T4654" t="s">
        <v>26</v>
      </c>
      <c r="U4654" t="s">
        <v>31</v>
      </c>
    </row>
    <row r="4655" spans="1:21">
      <c r="A4655" t="s">
        <v>7215</v>
      </c>
      <c r="B4655" t="s">
        <v>7140</v>
      </c>
      <c r="C4655" t="s">
        <v>94</v>
      </c>
      <c r="D4655">
        <v>132000</v>
      </c>
      <c r="E4655">
        <v>16000</v>
      </c>
      <c r="F4655">
        <v>132000</v>
      </c>
      <c r="G4655">
        <v>132000</v>
      </c>
      <c r="H4655">
        <v>3</v>
      </c>
      <c r="I4655" t="s">
        <v>325</v>
      </c>
      <c r="J4655">
        <v>39.770000000000003</v>
      </c>
      <c r="K4655">
        <v>19</v>
      </c>
      <c r="L4655">
        <v>5</v>
      </c>
      <c r="M4655" t="s">
        <v>6994</v>
      </c>
      <c r="N4655">
        <v>10</v>
      </c>
      <c r="O4655">
        <v>10.67</v>
      </c>
      <c r="P4655">
        <v>154556.70000000001</v>
      </c>
      <c r="Q4655">
        <v>168453.81</v>
      </c>
      <c r="R4655">
        <v>261</v>
      </c>
      <c r="S4655">
        <v>788</v>
      </c>
      <c r="T4655" t="s">
        <v>26</v>
      </c>
      <c r="U4655" t="s">
        <v>90</v>
      </c>
    </row>
    <row r="4656" spans="1:21">
      <c r="A4656" t="s">
        <v>7216</v>
      </c>
      <c r="B4656" t="s">
        <v>7217</v>
      </c>
      <c r="C4656" t="s">
        <v>7055</v>
      </c>
      <c r="D4656">
        <v>192000</v>
      </c>
      <c r="E4656">
        <v>10000</v>
      </c>
      <c r="F4656">
        <v>192000</v>
      </c>
      <c r="G4656">
        <v>192000</v>
      </c>
      <c r="H4656">
        <v>2</v>
      </c>
      <c r="I4656" t="s">
        <v>325</v>
      </c>
      <c r="J4656">
        <v>36.21</v>
      </c>
      <c r="K4656">
        <v>2</v>
      </c>
      <c r="L4656">
        <v>4</v>
      </c>
      <c r="M4656" t="s">
        <v>6994</v>
      </c>
      <c r="N4656">
        <v>4</v>
      </c>
      <c r="O4656">
        <v>11</v>
      </c>
      <c r="P4656">
        <v>154556.70000000001</v>
      </c>
      <c r="Q4656">
        <v>168453.81</v>
      </c>
      <c r="R4656">
        <v>261</v>
      </c>
      <c r="S4656">
        <v>788</v>
      </c>
      <c r="T4656" t="s">
        <v>26</v>
      </c>
      <c r="U4656" t="s">
        <v>31</v>
      </c>
    </row>
    <row r="4657" spans="1:21">
      <c r="A4657" t="s">
        <v>7218</v>
      </c>
      <c r="B4657" t="s">
        <v>7217</v>
      </c>
      <c r="C4657" t="s">
        <v>7055</v>
      </c>
      <c r="D4657">
        <v>226400</v>
      </c>
      <c r="E4657">
        <v>10000</v>
      </c>
      <c r="F4657">
        <v>226400</v>
      </c>
      <c r="G4657">
        <v>226400</v>
      </c>
      <c r="H4657">
        <v>2</v>
      </c>
      <c r="I4657" t="s">
        <v>325</v>
      </c>
      <c r="J4657">
        <v>43.53</v>
      </c>
      <c r="K4657">
        <v>2</v>
      </c>
      <c r="L4657">
        <v>4</v>
      </c>
      <c r="M4657" t="s">
        <v>6994</v>
      </c>
      <c r="N4657">
        <v>4</v>
      </c>
      <c r="O4657">
        <v>11</v>
      </c>
      <c r="P4657">
        <v>154556.70000000001</v>
      </c>
      <c r="Q4657">
        <v>168453.81</v>
      </c>
      <c r="R4657">
        <v>261</v>
      </c>
      <c r="S4657">
        <v>788</v>
      </c>
      <c r="T4657" t="s">
        <v>326</v>
      </c>
      <c r="U4657" t="s">
        <v>31</v>
      </c>
    </row>
    <row r="4658" spans="1:21">
      <c r="A4658" t="s">
        <v>7219</v>
      </c>
      <c r="B4658" t="s">
        <v>7217</v>
      </c>
      <c r="C4658" t="s">
        <v>7055</v>
      </c>
      <c r="D4658">
        <v>198500</v>
      </c>
      <c r="E4658">
        <v>9000</v>
      </c>
      <c r="F4658">
        <v>198500</v>
      </c>
      <c r="G4658">
        <v>198500</v>
      </c>
      <c r="H4658">
        <v>3</v>
      </c>
      <c r="I4658" t="s">
        <v>325</v>
      </c>
      <c r="J4658">
        <v>35.43</v>
      </c>
      <c r="K4658">
        <v>2</v>
      </c>
      <c r="L4658">
        <v>4</v>
      </c>
      <c r="M4658" t="s">
        <v>6994</v>
      </c>
      <c r="N4658">
        <v>4</v>
      </c>
      <c r="O4658">
        <v>11</v>
      </c>
      <c r="P4658">
        <v>154556.70000000001</v>
      </c>
      <c r="Q4658">
        <v>168453.81</v>
      </c>
      <c r="R4658">
        <v>261</v>
      </c>
      <c r="S4658">
        <v>788</v>
      </c>
      <c r="T4658" t="s">
        <v>26</v>
      </c>
      <c r="U4658" t="s">
        <v>31</v>
      </c>
    </row>
    <row r="4659" spans="1:21">
      <c r="A4659" t="s">
        <v>7220</v>
      </c>
      <c r="B4659" t="s">
        <v>7221</v>
      </c>
      <c r="C4659" t="s">
        <v>94</v>
      </c>
      <c r="D4659">
        <v>165000</v>
      </c>
      <c r="E4659">
        <v>15000</v>
      </c>
      <c r="F4659">
        <v>165000</v>
      </c>
      <c r="H4659">
        <v>1</v>
      </c>
      <c r="I4659" t="s">
        <v>325</v>
      </c>
      <c r="J4659">
        <v>30.48</v>
      </c>
      <c r="K4659">
        <v>3</v>
      </c>
      <c r="L4659">
        <v>4</v>
      </c>
      <c r="M4659" t="s">
        <v>6994</v>
      </c>
      <c r="N4659">
        <v>8</v>
      </c>
      <c r="O4659">
        <v>11.67</v>
      </c>
      <c r="P4659">
        <v>154556.70000000001</v>
      </c>
      <c r="Q4659">
        <v>168453.81</v>
      </c>
      <c r="R4659">
        <v>261</v>
      </c>
      <c r="S4659">
        <v>788</v>
      </c>
      <c r="T4659" t="s">
        <v>26</v>
      </c>
      <c r="U4659" t="s">
        <v>31</v>
      </c>
    </row>
    <row r="4660" spans="1:21">
      <c r="A4660" t="s">
        <v>7222</v>
      </c>
      <c r="B4660" t="s">
        <v>7221</v>
      </c>
      <c r="C4660" t="s">
        <v>94</v>
      </c>
      <c r="D4660">
        <v>235000</v>
      </c>
      <c r="E4660">
        <v>15000</v>
      </c>
      <c r="F4660">
        <v>235000</v>
      </c>
      <c r="H4660">
        <v>4</v>
      </c>
      <c r="I4660" t="s">
        <v>325</v>
      </c>
      <c r="J4660">
        <v>46.48</v>
      </c>
      <c r="K4660">
        <v>3</v>
      </c>
      <c r="L4660">
        <v>4</v>
      </c>
      <c r="M4660" t="s">
        <v>6994</v>
      </c>
      <c r="N4660">
        <v>8</v>
      </c>
      <c r="O4660">
        <v>11.67</v>
      </c>
      <c r="P4660">
        <v>154556.70000000001</v>
      </c>
      <c r="Q4660">
        <v>168453.81</v>
      </c>
      <c r="R4660">
        <v>261</v>
      </c>
      <c r="S4660">
        <v>788</v>
      </c>
      <c r="T4660" t="s">
        <v>326</v>
      </c>
      <c r="U4660" t="s">
        <v>31</v>
      </c>
    </row>
    <row r="4661" spans="1:21">
      <c r="A4661" t="s">
        <v>7223</v>
      </c>
      <c r="B4661" t="s">
        <v>7224</v>
      </c>
      <c r="C4661" t="s">
        <v>30</v>
      </c>
      <c r="D4661">
        <v>215000</v>
      </c>
      <c r="E4661">
        <v>15000</v>
      </c>
      <c r="F4661">
        <v>215000</v>
      </c>
      <c r="G4661">
        <v>215000</v>
      </c>
      <c r="H4661">
        <v>8</v>
      </c>
      <c r="I4661" t="s">
        <v>325</v>
      </c>
      <c r="J4661">
        <v>30.75</v>
      </c>
      <c r="K4661">
        <v>2</v>
      </c>
      <c r="L4661">
        <v>8</v>
      </c>
      <c r="M4661" t="s">
        <v>6994</v>
      </c>
      <c r="N4661">
        <v>3</v>
      </c>
      <c r="O4661">
        <v>8.33</v>
      </c>
      <c r="P4661">
        <v>154556.70000000001</v>
      </c>
      <c r="Q4661">
        <v>168453.81</v>
      </c>
      <c r="R4661">
        <v>261</v>
      </c>
      <c r="S4661">
        <v>788</v>
      </c>
      <c r="T4661" t="s">
        <v>26</v>
      </c>
      <c r="U4661" t="s">
        <v>31</v>
      </c>
    </row>
    <row r="4662" spans="1:21">
      <c r="A4662" t="s">
        <v>7225</v>
      </c>
      <c r="B4662" t="s">
        <v>7226</v>
      </c>
      <c r="C4662" t="s">
        <v>48</v>
      </c>
      <c r="D4662">
        <v>75000</v>
      </c>
      <c r="E4662">
        <v>4000</v>
      </c>
      <c r="G4662">
        <v>75000</v>
      </c>
      <c r="H4662">
        <v>1</v>
      </c>
      <c r="I4662" t="s">
        <v>432</v>
      </c>
      <c r="J4662">
        <v>10.45</v>
      </c>
      <c r="K4662">
        <v>9</v>
      </c>
      <c r="L4662">
        <v>2</v>
      </c>
      <c r="M4662" t="s">
        <v>6994</v>
      </c>
      <c r="N4662">
        <v>8</v>
      </c>
      <c r="O4662">
        <v>11</v>
      </c>
      <c r="P4662">
        <v>154556.70000000001</v>
      </c>
      <c r="Q4662">
        <v>77692.34</v>
      </c>
      <c r="R4662">
        <v>261</v>
      </c>
      <c r="S4662">
        <v>1071</v>
      </c>
      <c r="T4662" t="s">
        <v>108</v>
      </c>
      <c r="U4662" t="s">
        <v>31</v>
      </c>
    </row>
    <row r="4663" spans="1:21">
      <c r="A4663" t="s">
        <v>7227</v>
      </c>
      <c r="B4663" t="s">
        <v>7226</v>
      </c>
      <c r="C4663" t="s">
        <v>48</v>
      </c>
      <c r="D4663">
        <v>75000</v>
      </c>
      <c r="E4663">
        <v>4000</v>
      </c>
      <c r="G4663">
        <v>75000</v>
      </c>
      <c r="H4663">
        <v>1</v>
      </c>
      <c r="I4663" t="s">
        <v>432</v>
      </c>
      <c r="J4663">
        <v>10.56</v>
      </c>
      <c r="K4663">
        <v>9</v>
      </c>
      <c r="L4663">
        <v>2</v>
      </c>
      <c r="M4663" t="s">
        <v>6994</v>
      </c>
      <c r="N4663">
        <v>8</v>
      </c>
      <c r="O4663">
        <v>11</v>
      </c>
      <c r="P4663">
        <v>154556.70000000001</v>
      </c>
      <c r="Q4663">
        <v>77692.34</v>
      </c>
      <c r="R4663">
        <v>261</v>
      </c>
      <c r="S4663">
        <v>1071</v>
      </c>
      <c r="T4663" t="s">
        <v>108</v>
      </c>
      <c r="U4663" t="s">
        <v>31</v>
      </c>
    </row>
    <row r="4664" spans="1:21">
      <c r="A4664" t="s">
        <v>7228</v>
      </c>
      <c r="B4664" t="s">
        <v>7229</v>
      </c>
      <c r="C4664" t="s">
        <v>48</v>
      </c>
      <c r="D4664">
        <v>130000</v>
      </c>
      <c r="E4664">
        <v>10000</v>
      </c>
      <c r="G4664">
        <v>195000</v>
      </c>
      <c r="H4664">
        <v>6</v>
      </c>
      <c r="I4664" t="s">
        <v>432</v>
      </c>
      <c r="J4664">
        <v>31.93</v>
      </c>
      <c r="K4664">
        <v>17</v>
      </c>
      <c r="L4664">
        <v>6</v>
      </c>
      <c r="M4664" t="s">
        <v>6994</v>
      </c>
      <c r="N4664">
        <v>7</v>
      </c>
      <c r="O4664">
        <v>12.33</v>
      </c>
      <c r="P4664">
        <v>154556.70000000001</v>
      </c>
      <c r="Q4664">
        <v>77692.34</v>
      </c>
      <c r="R4664">
        <v>261</v>
      </c>
      <c r="S4664">
        <v>1071</v>
      </c>
      <c r="T4664" t="s">
        <v>26</v>
      </c>
      <c r="U4664" t="s">
        <v>90</v>
      </c>
    </row>
    <row r="4665" spans="1:21">
      <c r="A4665" t="s">
        <v>7230</v>
      </c>
      <c r="B4665" t="s">
        <v>7231</v>
      </c>
      <c r="C4665" t="s">
        <v>48</v>
      </c>
      <c r="D4665">
        <v>95000</v>
      </c>
      <c r="E4665">
        <v>10000</v>
      </c>
      <c r="F4665">
        <v>95000</v>
      </c>
      <c r="H4665">
        <v>2</v>
      </c>
      <c r="I4665" t="s">
        <v>432</v>
      </c>
      <c r="J4665">
        <v>23.24</v>
      </c>
      <c r="K4665">
        <v>9</v>
      </c>
      <c r="L4665">
        <v>2</v>
      </c>
      <c r="M4665" t="s">
        <v>6994</v>
      </c>
      <c r="N4665">
        <v>7</v>
      </c>
      <c r="O4665">
        <v>12</v>
      </c>
      <c r="P4665">
        <v>154556.70000000001</v>
      </c>
      <c r="Q4665">
        <v>77692.34</v>
      </c>
      <c r="R4665">
        <v>261</v>
      </c>
      <c r="S4665">
        <v>1071</v>
      </c>
      <c r="T4665" t="s">
        <v>34</v>
      </c>
      <c r="U4665" t="s">
        <v>31</v>
      </c>
    </row>
    <row r="4666" spans="1:21">
      <c r="A4666" t="s">
        <v>7232</v>
      </c>
      <c r="B4666" t="s">
        <v>7231</v>
      </c>
      <c r="C4666" t="s">
        <v>48</v>
      </c>
      <c r="D4666">
        <v>95000</v>
      </c>
      <c r="E4666">
        <v>5000</v>
      </c>
      <c r="F4666">
        <v>95000</v>
      </c>
      <c r="H4666">
        <v>2</v>
      </c>
      <c r="I4666" t="s">
        <v>432</v>
      </c>
      <c r="J4666">
        <v>23.88</v>
      </c>
      <c r="K4666">
        <v>9</v>
      </c>
      <c r="L4666">
        <v>2</v>
      </c>
      <c r="M4666" t="s">
        <v>6994</v>
      </c>
      <c r="N4666">
        <v>7</v>
      </c>
      <c r="O4666">
        <v>12</v>
      </c>
      <c r="P4666">
        <v>154556.70000000001</v>
      </c>
      <c r="Q4666">
        <v>77692.34</v>
      </c>
      <c r="R4666">
        <v>261</v>
      </c>
      <c r="S4666">
        <v>1071</v>
      </c>
      <c r="T4666" t="s">
        <v>34</v>
      </c>
      <c r="U4666" t="s">
        <v>31</v>
      </c>
    </row>
    <row r="4667" spans="1:21">
      <c r="A4667" t="s">
        <v>7233</v>
      </c>
      <c r="B4667" t="s">
        <v>7234</v>
      </c>
      <c r="C4667" t="s">
        <v>48</v>
      </c>
      <c r="D4667">
        <v>85000</v>
      </c>
      <c r="H4667">
        <v>3</v>
      </c>
      <c r="I4667" t="s">
        <v>432</v>
      </c>
      <c r="J4667">
        <v>20.309999999999999</v>
      </c>
      <c r="K4667">
        <v>21</v>
      </c>
      <c r="L4667">
        <v>3</v>
      </c>
      <c r="M4667" t="s">
        <v>6994</v>
      </c>
      <c r="N4667">
        <v>9</v>
      </c>
      <c r="O4667">
        <v>9</v>
      </c>
      <c r="P4667">
        <v>154556.70000000001</v>
      </c>
      <c r="Q4667">
        <v>77692.34</v>
      </c>
      <c r="R4667">
        <v>261</v>
      </c>
      <c r="S4667">
        <v>1071</v>
      </c>
      <c r="T4667" t="s">
        <v>34</v>
      </c>
      <c r="U4667" t="s">
        <v>27</v>
      </c>
    </row>
    <row r="4668" spans="1:21">
      <c r="A4668" t="s">
        <v>7235</v>
      </c>
      <c r="B4668" t="s">
        <v>7236</v>
      </c>
      <c r="C4668" t="s">
        <v>48</v>
      </c>
      <c r="D4668">
        <v>82000</v>
      </c>
      <c r="E4668">
        <v>5000</v>
      </c>
      <c r="F4668">
        <v>82000</v>
      </c>
      <c r="H4668">
        <v>4</v>
      </c>
      <c r="I4668" t="s">
        <v>432</v>
      </c>
      <c r="J4668">
        <v>20.73</v>
      </c>
      <c r="K4668">
        <v>21</v>
      </c>
      <c r="L4668">
        <v>5</v>
      </c>
      <c r="M4668" t="s">
        <v>6994</v>
      </c>
      <c r="N4668">
        <v>8</v>
      </c>
      <c r="O4668">
        <v>13</v>
      </c>
      <c r="P4668">
        <v>154556.70000000001</v>
      </c>
      <c r="Q4668">
        <v>77692.34</v>
      </c>
      <c r="R4668">
        <v>261</v>
      </c>
      <c r="S4668">
        <v>1071</v>
      </c>
      <c r="T4668" t="s">
        <v>34</v>
      </c>
      <c r="U4668" t="s">
        <v>27</v>
      </c>
    </row>
    <row r="4669" spans="1:21">
      <c r="A4669" t="s">
        <v>7237</v>
      </c>
      <c r="B4669" t="s">
        <v>7238</v>
      </c>
      <c r="C4669" t="s">
        <v>94</v>
      </c>
      <c r="D4669">
        <v>64000</v>
      </c>
      <c r="E4669">
        <v>4000</v>
      </c>
      <c r="F4669">
        <v>64000</v>
      </c>
      <c r="H4669">
        <v>1</v>
      </c>
      <c r="I4669" t="s">
        <v>432</v>
      </c>
      <c r="J4669">
        <v>11.12</v>
      </c>
      <c r="K4669">
        <v>6</v>
      </c>
      <c r="L4669">
        <v>2</v>
      </c>
      <c r="M4669" t="s">
        <v>6994</v>
      </c>
      <c r="N4669">
        <v>10</v>
      </c>
      <c r="O4669">
        <v>12.33</v>
      </c>
      <c r="P4669">
        <v>154556.70000000001</v>
      </c>
      <c r="Q4669">
        <v>77692.34</v>
      </c>
      <c r="R4669">
        <v>261</v>
      </c>
      <c r="S4669">
        <v>1071</v>
      </c>
      <c r="T4669" t="s">
        <v>108</v>
      </c>
      <c r="U4669" t="s">
        <v>31</v>
      </c>
    </row>
    <row r="4670" spans="1:21">
      <c r="A4670" t="s">
        <v>7239</v>
      </c>
      <c r="B4670" t="s">
        <v>7240</v>
      </c>
      <c r="C4670" t="s">
        <v>48</v>
      </c>
      <c r="D4670">
        <v>62000</v>
      </c>
      <c r="E4670">
        <v>3000</v>
      </c>
      <c r="H4670">
        <v>1</v>
      </c>
      <c r="I4670" t="s">
        <v>432</v>
      </c>
      <c r="J4670">
        <v>11.7</v>
      </c>
      <c r="K4670">
        <v>11</v>
      </c>
      <c r="L4670">
        <v>2</v>
      </c>
      <c r="M4670" t="s">
        <v>6994</v>
      </c>
      <c r="N4670">
        <v>8</v>
      </c>
      <c r="O4670">
        <v>11.33</v>
      </c>
      <c r="P4670">
        <v>154556.70000000001</v>
      </c>
      <c r="Q4670">
        <v>77692.34</v>
      </c>
      <c r="R4670">
        <v>261</v>
      </c>
      <c r="S4670">
        <v>1071</v>
      </c>
      <c r="T4670" t="s">
        <v>108</v>
      </c>
      <c r="U4670" t="s">
        <v>90</v>
      </c>
    </row>
    <row r="4671" spans="1:21">
      <c r="A4671" t="s">
        <v>7241</v>
      </c>
      <c r="B4671" t="s">
        <v>7242</v>
      </c>
      <c r="C4671" t="s">
        <v>94</v>
      </c>
      <c r="D4671">
        <v>75000</v>
      </c>
      <c r="E4671">
        <v>2000</v>
      </c>
      <c r="F4671">
        <v>75000</v>
      </c>
      <c r="G4671">
        <v>75000</v>
      </c>
      <c r="H4671">
        <v>3</v>
      </c>
      <c r="I4671" t="s">
        <v>432</v>
      </c>
      <c r="J4671">
        <v>19.440000000000001</v>
      </c>
      <c r="K4671">
        <v>36</v>
      </c>
      <c r="L4671">
        <v>3</v>
      </c>
      <c r="M4671" t="s">
        <v>6994</v>
      </c>
      <c r="N4671">
        <v>7</v>
      </c>
      <c r="O4671">
        <v>10.67</v>
      </c>
      <c r="P4671">
        <v>154556.70000000001</v>
      </c>
      <c r="Q4671">
        <v>77692.34</v>
      </c>
      <c r="R4671">
        <v>261</v>
      </c>
      <c r="S4671">
        <v>1071</v>
      </c>
      <c r="T4671" t="s">
        <v>108</v>
      </c>
      <c r="U4671" t="s">
        <v>49</v>
      </c>
    </row>
    <row r="4672" spans="1:21">
      <c r="A4672" t="s">
        <v>7243</v>
      </c>
      <c r="B4672" t="s">
        <v>7244</v>
      </c>
      <c r="C4672" t="s">
        <v>94</v>
      </c>
      <c r="D4672">
        <v>70000</v>
      </c>
      <c r="F4672">
        <v>70000</v>
      </c>
      <c r="G4672">
        <v>70000</v>
      </c>
      <c r="H4672">
        <v>3</v>
      </c>
      <c r="I4672" t="s">
        <v>432</v>
      </c>
      <c r="J4672">
        <v>20.52</v>
      </c>
      <c r="K4672">
        <v>32</v>
      </c>
      <c r="L4672">
        <v>3</v>
      </c>
      <c r="M4672" t="s">
        <v>6994</v>
      </c>
      <c r="N4672">
        <v>8</v>
      </c>
      <c r="O4672">
        <v>10</v>
      </c>
      <c r="P4672">
        <v>154556.70000000001</v>
      </c>
      <c r="Q4672">
        <v>77692.34</v>
      </c>
      <c r="R4672">
        <v>261</v>
      </c>
      <c r="S4672">
        <v>1071</v>
      </c>
      <c r="T4672" t="s">
        <v>34</v>
      </c>
      <c r="U4672" t="s">
        <v>49</v>
      </c>
    </row>
    <row r="4673" spans="1:21">
      <c r="A4673" t="s">
        <v>7245</v>
      </c>
      <c r="B4673" t="s">
        <v>7246</v>
      </c>
      <c r="C4673" t="s">
        <v>94</v>
      </c>
      <c r="D4673">
        <v>74000</v>
      </c>
      <c r="E4673">
        <v>6500</v>
      </c>
      <c r="F4673">
        <v>74000</v>
      </c>
      <c r="H4673">
        <v>3</v>
      </c>
      <c r="I4673" t="s">
        <v>432</v>
      </c>
      <c r="J4673">
        <v>19.23</v>
      </c>
      <c r="K4673">
        <v>39</v>
      </c>
      <c r="L4673">
        <v>5</v>
      </c>
      <c r="M4673" t="s">
        <v>6994</v>
      </c>
      <c r="N4673">
        <v>2</v>
      </c>
      <c r="O4673">
        <v>7.33</v>
      </c>
      <c r="P4673">
        <v>154556.70000000001</v>
      </c>
      <c r="Q4673">
        <v>77692.34</v>
      </c>
      <c r="R4673">
        <v>261</v>
      </c>
      <c r="S4673">
        <v>1071</v>
      </c>
      <c r="T4673" t="s">
        <v>108</v>
      </c>
      <c r="U4673" t="s">
        <v>49</v>
      </c>
    </row>
    <row r="4674" spans="1:21">
      <c r="A4674" t="s">
        <v>7247</v>
      </c>
      <c r="B4674" t="s">
        <v>7246</v>
      </c>
      <c r="C4674" t="s">
        <v>94</v>
      </c>
      <c r="D4674">
        <v>70000</v>
      </c>
      <c r="E4674">
        <v>6500</v>
      </c>
      <c r="F4674">
        <v>70000</v>
      </c>
      <c r="H4674">
        <v>3</v>
      </c>
      <c r="I4674" t="s">
        <v>432</v>
      </c>
      <c r="J4674">
        <v>19.23</v>
      </c>
      <c r="K4674">
        <v>39</v>
      </c>
      <c r="L4674">
        <v>5</v>
      </c>
      <c r="M4674" t="s">
        <v>6994</v>
      </c>
      <c r="N4674">
        <v>2</v>
      </c>
      <c r="O4674">
        <v>7.33</v>
      </c>
      <c r="P4674">
        <v>154556.70000000001</v>
      </c>
      <c r="Q4674">
        <v>77692.34</v>
      </c>
      <c r="R4674">
        <v>261</v>
      </c>
      <c r="S4674">
        <v>1071</v>
      </c>
      <c r="T4674" t="s">
        <v>108</v>
      </c>
      <c r="U4674" t="s">
        <v>49</v>
      </c>
    </row>
    <row r="4675" spans="1:21">
      <c r="A4675" t="s">
        <v>7248</v>
      </c>
      <c r="B4675" t="s">
        <v>7246</v>
      </c>
      <c r="C4675" t="s">
        <v>94</v>
      </c>
      <c r="D4675">
        <v>80000</v>
      </c>
      <c r="E4675">
        <v>6500</v>
      </c>
      <c r="F4675">
        <v>80000</v>
      </c>
      <c r="H4675">
        <v>3</v>
      </c>
      <c r="I4675" t="s">
        <v>432</v>
      </c>
      <c r="J4675">
        <v>19.23</v>
      </c>
      <c r="K4675">
        <v>39</v>
      </c>
      <c r="L4675">
        <v>5</v>
      </c>
      <c r="M4675" t="s">
        <v>6994</v>
      </c>
      <c r="N4675">
        <v>2</v>
      </c>
      <c r="O4675">
        <v>7.33</v>
      </c>
      <c r="P4675">
        <v>154556.70000000001</v>
      </c>
      <c r="Q4675">
        <v>77692.34</v>
      </c>
      <c r="R4675">
        <v>261</v>
      </c>
      <c r="S4675">
        <v>1071</v>
      </c>
      <c r="T4675" t="s">
        <v>108</v>
      </c>
      <c r="U4675" t="s">
        <v>49</v>
      </c>
    </row>
    <row r="4676" spans="1:21">
      <c r="A4676" t="s">
        <v>7249</v>
      </c>
      <c r="B4676" t="s">
        <v>7250</v>
      </c>
      <c r="C4676" t="s">
        <v>94</v>
      </c>
      <c r="D4676">
        <v>115000</v>
      </c>
      <c r="E4676">
        <v>7000</v>
      </c>
      <c r="F4676">
        <v>115000</v>
      </c>
      <c r="G4676">
        <v>115000</v>
      </c>
      <c r="H4676">
        <v>3</v>
      </c>
      <c r="I4676" t="s">
        <v>432</v>
      </c>
      <c r="J4676">
        <v>30.33</v>
      </c>
      <c r="K4676">
        <v>23</v>
      </c>
      <c r="L4676">
        <v>3</v>
      </c>
      <c r="M4676" t="s">
        <v>6994</v>
      </c>
      <c r="N4676">
        <v>5</v>
      </c>
      <c r="O4676">
        <v>10.33</v>
      </c>
      <c r="P4676">
        <v>154556.70000000001</v>
      </c>
      <c r="Q4676">
        <v>77692.34</v>
      </c>
      <c r="R4676">
        <v>261</v>
      </c>
      <c r="S4676">
        <v>1071</v>
      </c>
      <c r="T4676" t="s">
        <v>26</v>
      </c>
      <c r="U4676" t="s">
        <v>27</v>
      </c>
    </row>
    <row r="4677" spans="1:21">
      <c r="A4677" t="s">
        <v>7251</v>
      </c>
      <c r="B4677" t="s">
        <v>7252</v>
      </c>
      <c r="C4677" t="s">
        <v>30</v>
      </c>
      <c r="D4677">
        <v>65000</v>
      </c>
      <c r="E4677">
        <v>6000</v>
      </c>
      <c r="F4677">
        <v>65000</v>
      </c>
      <c r="G4677">
        <v>65000</v>
      </c>
      <c r="H4677">
        <v>4</v>
      </c>
      <c r="I4677" t="s">
        <v>432</v>
      </c>
      <c r="J4677">
        <v>15.82</v>
      </c>
      <c r="K4677">
        <v>43</v>
      </c>
      <c r="L4677">
        <v>5</v>
      </c>
      <c r="M4677" t="s">
        <v>6994</v>
      </c>
      <c r="N4677">
        <v>3</v>
      </c>
      <c r="O4677">
        <v>9</v>
      </c>
      <c r="P4677">
        <v>154556.70000000001</v>
      </c>
      <c r="Q4677">
        <v>77692.34</v>
      </c>
      <c r="R4677">
        <v>261</v>
      </c>
      <c r="S4677">
        <v>1071</v>
      </c>
      <c r="T4677" t="s">
        <v>108</v>
      </c>
      <c r="U4677" t="s">
        <v>42</v>
      </c>
    </row>
    <row r="4678" spans="1:21">
      <c r="A4678" t="s">
        <v>7253</v>
      </c>
      <c r="B4678" t="s">
        <v>7252</v>
      </c>
      <c r="C4678" t="s">
        <v>30</v>
      </c>
      <c r="D4678">
        <v>68000</v>
      </c>
      <c r="E4678">
        <v>4000</v>
      </c>
      <c r="F4678">
        <v>68000</v>
      </c>
      <c r="G4678">
        <v>68000</v>
      </c>
      <c r="H4678">
        <v>4</v>
      </c>
      <c r="I4678" t="s">
        <v>432</v>
      </c>
      <c r="J4678">
        <v>18.53</v>
      </c>
      <c r="K4678">
        <v>43</v>
      </c>
      <c r="L4678">
        <v>5</v>
      </c>
      <c r="M4678" t="s">
        <v>6994</v>
      </c>
      <c r="N4678">
        <v>3</v>
      </c>
      <c r="O4678">
        <v>9</v>
      </c>
      <c r="P4678">
        <v>154556.70000000001</v>
      </c>
      <c r="Q4678">
        <v>77692.34</v>
      </c>
      <c r="R4678">
        <v>261</v>
      </c>
      <c r="S4678">
        <v>1071</v>
      </c>
      <c r="T4678" t="s">
        <v>108</v>
      </c>
      <c r="U4678" t="s">
        <v>42</v>
      </c>
    </row>
    <row r="4679" spans="1:21">
      <c r="A4679" t="s">
        <v>7254</v>
      </c>
      <c r="B4679" t="s">
        <v>7252</v>
      </c>
      <c r="C4679" t="s">
        <v>30</v>
      </c>
      <c r="D4679">
        <v>68000</v>
      </c>
      <c r="E4679">
        <v>3000</v>
      </c>
      <c r="F4679">
        <v>68000</v>
      </c>
      <c r="G4679">
        <v>68000</v>
      </c>
      <c r="H4679">
        <v>5</v>
      </c>
      <c r="I4679" t="s">
        <v>432</v>
      </c>
      <c r="J4679">
        <v>15.55</v>
      </c>
      <c r="K4679">
        <v>43</v>
      </c>
      <c r="L4679">
        <v>5</v>
      </c>
      <c r="M4679" t="s">
        <v>6994</v>
      </c>
      <c r="N4679">
        <v>3</v>
      </c>
      <c r="O4679">
        <v>9</v>
      </c>
      <c r="P4679">
        <v>154556.70000000001</v>
      </c>
      <c r="Q4679">
        <v>77692.34</v>
      </c>
      <c r="R4679">
        <v>261</v>
      </c>
      <c r="S4679">
        <v>1071</v>
      </c>
      <c r="T4679" t="s">
        <v>108</v>
      </c>
      <c r="U4679" t="s">
        <v>42</v>
      </c>
    </row>
    <row r="4680" spans="1:21">
      <c r="A4680" t="s">
        <v>7255</v>
      </c>
      <c r="B4680" t="s">
        <v>7256</v>
      </c>
      <c r="C4680" t="s">
        <v>94</v>
      </c>
      <c r="D4680">
        <v>66000</v>
      </c>
      <c r="E4680">
        <v>6000</v>
      </c>
      <c r="H4680">
        <v>2</v>
      </c>
      <c r="I4680" t="s">
        <v>432</v>
      </c>
      <c r="J4680">
        <v>11.93</v>
      </c>
      <c r="K4680">
        <v>8</v>
      </c>
      <c r="L4680">
        <v>2</v>
      </c>
      <c r="M4680" t="s">
        <v>6994</v>
      </c>
      <c r="N4680">
        <v>10</v>
      </c>
      <c r="O4680">
        <v>13.33</v>
      </c>
      <c r="P4680">
        <v>154556.70000000001</v>
      </c>
      <c r="Q4680">
        <v>77692.34</v>
      </c>
      <c r="R4680">
        <v>261</v>
      </c>
      <c r="S4680">
        <v>1071</v>
      </c>
      <c r="T4680" t="s">
        <v>108</v>
      </c>
      <c r="U4680" t="s">
        <v>31</v>
      </c>
    </row>
    <row r="4681" spans="1:21">
      <c r="A4681" t="s">
        <v>7257</v>
      </c>
      <c r="B4681" t="s">
        <v>7180</v>
      </c>
      <c r="C4681" t="s">
        <v>94</v>
      </c>
      <c r="D4681">
        <v>180000</v>
      </c>
      <c r="E4681">
        <v>15000</v>
      </c>
      <c r="F4681">
        <v>180000</v>
      </c>
      <c r="G4681">
        <v>180000</v>
      </c>
      <c r="H4681">
        <v>2</v>
      </c>
      <c r="I4681" t="s">
        <v>432</v>
      </c>
      <c r="J4681">
        <v>36.01</v>
      </c>
      <c r="K4681">
        <v>0</v>
      </c>
      <c r="L4681">
        <v>14</v>
      </c>
      <c r="M4681" t="s">
        <v>6994</v>
      </c>
      <c r="N4681">
        <v>7</v>
      </c>
      <c r="O4681">
        <v>7.67</v>
      </c>
      <c r="P4681">
        <v>154556.70000000001</v>
      </c>
      <c r="Q4681">
        <v>77692.34</v>
      </c>
      <c r="R4681">
        <v>261</v>
      </c>
      <c r="S4681">
        <v>1071</v>
      </c>
      <c r="T4681" t="s">
        <v>26</v>
      </c>
      <c r="U4681" t="s">
        <v>81</v>
      </c>
    </row>
    <row r="4682" spans="1:21">
      <c r="A4682" t="s">
        <v>7258</v>
      </c>
      <c r="B4682" t="s">
        <v>7180</v>
      </c>
      <c r="C4682" t="s">
        <v>94</v>
      </c>
      <c r="D4682">
        <v>290000</v>
      </c>
      <c r="E4682">
        <v>20000</v>
      </c>
      <c r="F4682">
        <v>290000</v>
      </c>
      <c r="H4682">
        <v>2</v>
      </c>
      <c r="I4682" t="s">
        <v>432</v>
      </c>
      <c r="J4682">
        <v>47.34</v>
      </c>
      <c r="K4682">
        <v>0</v>
      </c>
      <c r="L4682">
        <v>14</v>
      </c>
      <c r="M4682" t="s">
        <v>6994</v>
      </c>
      <c r="N4682">
        <v>7</v>
      </c>
      <c r="O4682">
        <v>7.67</v>
      </c>
      <c r="P4682">
        <v>154556.70000000001</v>
      </c>
      <c r="Q4682">
        <v>77692.34</v>
      </c>
      <c r="R4682">
        <v>261</v>
      </c>
      <c r="S4682">
        <v>1071</v>
      </c>
      <c r="T4682" t="s">
        <v>326</v>
      </c>
      <c r="U4682" t="s">
        <v>81</v>
      </c>
    </row>
    <row r="4683" spans="1:21">
      <c r="A4683" t="s">
        <v>7259</v>
      </c>
      <c r="B4683" t="s">
        <v>7260</v>
      </c>
      <c r="C4683" t="s">
        <v>94</v>
      </c>
      <c r="D4683">
        <v>67000</v>
      </c>
      <c r="E4683">
        <v>3000</v>
      </c>
      <c r="H4683">
        <v>2</v>
      </c>
      <c r="I4683" t="s">
        <v>432</v>
      </c>
      <c r="J4683">
        <v>10.199999999999999</v>
      </c>
      <c r="K4683">
        <v>14</v>
      </c>
      <c r="L4683">
        <v>2</v>
      </c>
      <c r="M4683" t="s">
        <v>6994</v>
      </c>
      <c r="N4683">
        <v>5</v>
      </c>
      <c r="O4683">
        <v>9.67</v>
      </c>
      <c r="P4683">
        <v>154556.70000000001</v>
      </c>
      <c r="Q4683">
        <v>77692.34</v>
      </c>
      <c r="R4683">
        <v>261</v>
      </c>
      <c r="S4683">
        <v>1071</v>
      </c>
      <c r="T4683" t="s">
        <v>108</v>
      </c>
      <c r="U4683" t="s">
        <v>90</v>
      </c>
    </row>
    <row r="4684" spans="1:21">
      <c r="A4684" t="s">
        <v>7261</v>
      </c>
      <c r="B4684" t="s">
        <v>7262</v>
      </c>
      <c r="C4684" t="s">
        <v>94</v>
      </c>
      <c r="D4684">
        <v>110000</v>
      </c>
      <c r="E4684">
        <v>15000</v>
      </c>
      <c r="H4684">
        <v>4</v>
      </c>
      <c r="I4684" t="s">
        <v>432</v>
      </c>
      <c r="J4684">
        <v>21.67</v>
      </c>
      <c r="K4684">
        <v>8</v>
      </c>
      <c r="L4684">
        <v>4</v>
      </c>
      <c r="M4684" t="s">
        <v>6994</v>
      </c>
      <c r="N4684">
        <v>6</v>
      </c>
      <c r="O4684">
        <v>11</v>
      </c>
      <c r="P4684">
        <v>154556.70000000001</v>
      </c>
      <c r="Q4684">
        <v>77692.34</v>
      </c>
      <c r="R4684">
        <v>261</v>
      </c>
      <c r="S4684">
        <v>1071</v>
      </c>
      <c r="T4684" t="s">
        <v>34</v>
      </c>
      <c r="U4684" t="s">
        <v>31</v>
      </c>
    </row>
    <row r="4685" spans="1:21">
      <c r="A4685" t="s">
        <v>7263</v>
      </c>
      <c r="B4685" t="s">
        <v>7262</v>
      </c>
      <c r="C4685" t="s">
        <v>94</v>
      </c>
      <c r="D4685">
        <v>120000</v>
      </c>
      <c r="E4685">
        <v>15000</v>
      </c>
      <c r="H4685">
        <v>4</v>
      </c>
      <c r="I4685" t="s">
        <v>432</v>
      </c>
      <c r="J4685">
        <v>21.67</v>
      </c>
      <c r="K4685">
        <v>8</v>
      </c>
      <c r="L4685">
        <v>4</v>
      </c>
      <c r="M4685" t="s">
        <v>6994</v>
      </c>
      <c r="N4685">
        <v>6</v>
      </c>
      <c r="O4685">
        <v>11</v>
      </c>
      <c r="P4685">
        <v>154556.70000000001</v>
      </c>
      <c r="Q4685">
        <v>77692.34</v>
      </c>
      <c r="R4685">
        <v>261</v>
      </c>
      <c r="S4685">
        <v>1071</v>
      </c>
      <c r="T4685" t="s">
        <v>34</v>
      </c>
      <c r="U4685" t="s">
        <v>31</v>
      </c>
    </row>
    <row r="4686" spans="1:21">
      <c r="A4686" t="s">
        <v>7264</v>
      </c>
      <c r="B4686" t="s">
        <v>7265</v>
      </c>
      <c r="C4686" t="s">
        <v>48</v>
      </c>
      <c r="D4686">
        <v>75000</v>
      </c>
      <c r="E4686">
        <v>5000</v>
      </c>
      <c r="F4686">
        <v>75000</v>
      </c>
      <c r="H4686">
        <v>2</v>
      </c>
      <c r="I4686" t="s">
        <v>432</v>
      </c>
      <c r="J4686">
        <v>16.11</v>
      </c>
      <c r="K4686">
        <v>29</v>
      </c>
      <c r="L4686">
        <v>3</v>
      </c>
      <c r="M4686" t="s">
        <v>6994</v>
      </c>
      <c r="N4686">
        <v>8</v>
      </c>
      <c r="O4686">
        <v>12</v>
      </c>
      <c r="P4686">
        <v>154556.70000000001</v>
      </c>
      <c r="Q4686">
        <v>77692.34</v>
      </c>
      <c r="R4686">
        <v>261</v>
      </c>
      <c r="S4686">
        <v>1071</v>
      </c>
      <c r="T4686" t="s">
        <v>108</v>
      </c>
      <c r="U4686" t="s">
        <v>27</v>
      </c>
    </row>
    <row r="4687" spans="1:21">
      <c r="A4687" t="s">
        <v>7266</v>
      </c>
      <c r="B4687" t="s">
        <v>7265</v>
      </c>
      <c r="C4687" t="s">
        <v>48</v>
      </c>
      <c r="D4687">
        <v>80000</v>
      </c>
      <c r="E4687">
        <v>4000</v>
      </c>
      <c r="F4687">
        <v>80000</v>
      </c>
      <c r="H4687">
        <v>2</v>
      </c>
      <c r="I4687" t="s">
        <v>432</v>
      </c>
      <c r="J4687">
        <v>24.33</v>
      </c>
      <c r="K4687">
        <v>29</v>
      </c>
      <c r="L4687">
        <v>3</v>
      </c>
      <c r="M4687" t="s">
        <v>6994</v>
      </c>
      <c r="N4687">
        <v>8</v>
      </c>
      <c r="O4687">
        <v>12</v>
      </c>
      <c r="P4687">
        <v>154556.70000000001</v>
      </c>
      <c r="Q4687">
        <v>77692.34</v>
      </c>
      <c r="R4687">
        <v>261</v>
      </c>
      <c r="S4687">
        <v>1071</v>
      </c>
      <c r="T4687" t="s">
        <v>34</v>
      </c>
      <c r="U4687" t="s">
        <v>27</v>
      </c>
    </row>
    <row r="4688" spans="1:21">
      <c r="A4688" t="s">
        <v>7267</v>
      </c>
      <c r="B4688" t="s">
        <v>7076</v>
      </c>
      <c r="C4688" t="s">
        <v>48</v>
      </c>
      <c r="D4688">
        <v>124000</v>
      </c>
      <c r="E4688">
        <v>15000</v>
      </c>
      <c r="G4688">
        <v>124000</v>
      </c>
      <c r="H4688">
        <v>1</v>
      </c>
      <c r="I4688" t="s">
        <v>432</v>
      </c>
      <c r="J4688">
        <v>24.75</v>
      </c>
      <c r="K4688">
        <v>6</v>
      </c>
      <c r="L4688">
        <v>6</v>
      </c>
      <c r="M4688" t="s">
        <v>6994</v>
      </c>
      <c r="N4688">
        <v>6</v>
      </c>
      <c r="O4688">
        <v>12</v>
      </c>
      <c r="P4688">
        <v>154556.70000000001</v>
      </c>
      <c r="Q4688">
        <v>77692.34</v>
      </c>
      <c r="R4688">
        <v>261</v>
      </c>
      <c r="S4688">
        <v>1071</v>
      </c>
      <c r="T4688" t="s">
        <v>34</v>
      </c>
      <c r="U4688" t="s">
        <v>31</v>
      </c>
    </row>
    <row r="4689" spans="1:21">
      <c r="A4689" t="s">
        <v>7268</v>
      </c>
      <c r="B4689" t="s">
        <v>7269</v>
      </c>
      <c r="C4689" t="s">
        <v>94</v>
      </c>
      <c r="D4689">
        <v>65000</v>
      </c>
      <c r="E4689">
        <v>5000</v>
      </c>
      <c r="F4689">
        <v>65000</v>
      </c>
      <c r="G4689">
        <v>65000</v>
      </c>
      <c r="H4689">
        <v>2</v>
      </c>
      <c r="I4689" t="s">
        <v>432</v>
      </c>
      <c r="J4689">
        <v>12.75</v>
      </c>
      <c r="K4689">
        <v>15</v>
      </c>
      <c r="L4689">
        <v>2</v>
      </c>
      <c r="M4689" t="s">
        <v>6994</v>
      </c>
      <c r="N4689">
        <v>4</v>
      </c>
      <c r="O4689">
        <v>11.33</v>
      </c>
      <c r="P4689">
        <v>154556.70000000001</v>
      </c>
      <c r="Q4689">
        <v>77692.34</v>
      </c>
      <c r="R4689">
        <v>261</v>
      </c>
      <c r="S4689">
        <v>1071</v>
      </c>
      <c r="T4689" t="s">
        <v>108</v>
      </c>
      <c r="U4689" t="s">
        <v>90</v>
      </c>
    </row>
    <row r="4690" spans="1:21">
      <c r="A4690" t="s">
        <v>7270</v>
      </c>
      <c r="B4690" t="s">
        <v>7271</v>
      </c>
      <c r="C4690" t="s">
        <v>48</v>
      </c>
      <c r="D4690">
        <v>60000</v>
      </c>
      <c r="F4690">
        <v>60000</v>
      </c>
      <c r="G4690">
        <v>60000</v>
      </c>
      <c r="H4690">
        <v>2</v>
      </c>
      <c r="I4690" t="s">
        <v>432</v>
      </c>
      <c r="J4690">
        <v>12.38</v>
      </c>
      <c r="K4690">
        <v>39</v>
      </c>
      <c r="L4690">
        <v>3</v>
      </c>
      <c r="M4690" t="s">
        <v>6994</v>
      </c>
      <c r="N4690">
        <v>7</v>
      </c>
      <c r="O4690">
        <v>8</v>
      </c>
      <c r="P4690">
        <v>154556.70000000001</v>
      </c>
      <c r="Q4690">
        <v>77692.34</v>
      </c>
      <c r="R4690">
        <v>261</v>
      </c>
      <c r="S4690">
        <v>1071</v>
      </c>
      <c r="T4690" t="s">
        <v>108</v>
      </c>
      <c r="U4690" t="s">
        <v>49</v>
      </c>
    </row>
    <row r="4691" spans="1:21">
      <c r="A4691" t="s">
        <v>7272</v>
      </c>
      <c r="B4691" t="s">
        <v>7273</v>
      </c>
      <c r="C4691" t="s">
        <v>94</v>
      </c>
      <c r="D4691">
        <v>67000</v>
      </c>
      <c r="E4691">
        <v>3000</v>
      </c>
      <c r="H4691">
        <v>2</v>
      </c>
      <c r="I4691" t="s">
        <v>432</v>
      </c>
      <c r="J4691">
        <v>12</v>
      </c>
      <c r="K4691">
        <v>14</v>
      </c>
      <c r="L4691">
        <v>2</v>
      </c>
      <c r="M4691" t="s">
        <v>6994</v>
      </c>
      <c r="N4691">
        <v>5</v>
      </c>
      <c r="O4691">
        <v>9</v>
      </c>
      <c r="P4691">
        <v>154556.70000000001</v>
      </c>
      <c r="Q4691">
        <v>77692.34</v>
      </c>
      <c r="R4691">
        <v>261</v>
      </c>
      <c r="S4691">
        <v>1071</v>
      </c>
      <c r="T4691" t="s">
        <v>108</v>
      </c>
      <c r="U4691" t="s">
        <v>90</v>
      </c>
    </row>
    <row r="4692" spans="1:21">
      <c r="A4692" t="s">
        <v>7274</v>
      </c>
      <c r="B4692" t="s">
        <v>7275</v>
      </c>
      <c r="C4692" t="s">
        <v>94</v>
      </c>
      <c r="D4692">
        <v>100000</v>
      </c>
      <c r="E4692">
        <v>5000</v>
      </c>
      <c r="F4692">
        <v>100000</v>
      </c>
      <c r="G4692">
        <v>100000</v>
      </c>
      <c r="H4692">
        <v>8</v>
      </c>
      <c r="I4692" t="s">
        <v>432</v>
      </c>
      <c r="J4692">
        <v>19.53</v>
      </c>
      <c r="K4692">
        <v>41</v>
      </c>
      <c r="L4692">
        <v>9</v>
      </c>
      <c r="M4692" t="s">
        <v>6994</v>
      </c>
      <c r="N4692">
        <v>6</v>
      </c>
      <c r="O4692">
        <v>10.67</v>
      </c>
      <c r="P4692">
        <v>154556.70000000001</v>
      </c>
      <c r="Q4692">
        <v>77692.34</v>
      </c>
      <c r="R4692">
        <v>261</v>
      </c>
      <c r="S4692">
        <v>1071</v>
      </c>
      <c r="T4692" t="s">
        <v>108</v>
      </c>
      <c r="U4692" t="s">
        <v>42</v>
      </c>
    </row>
    <row r="4693" spans="1:21">
      <c r="A4693" t="s">
        <v>7276</v>
      </c>
      <c r="B4693" t="s">
        <v>7277</v>
      </c>
      <c r="C4693" t="s">
        <v>48</v>
      </c>
      <c r="D4693">
        <v>68000</v>
      </c>
      <c r="F4693">
        <v>68000</v>
      </c>
      <c r="H4693">
        <v>2</v>
      </c>
      <c r="I4693" t="s">
        <v>432</v>
      </c>
      <c r="J4693">
        <v>21</v>
      </c>
      <c r="K4693">
        <v>29</v>
      </c>
      <c r="L4693">
        <v>2</v>
      </c>
      <c r="M4693" t="s">
        <v>6994</v>
      </c>
      <c r="N4693">
        <v>7</v>
      </c>
      <c r="O4693">
        <v>10.33</v>
      </c>
      <c r="P4693">
        <v>154556.70000000001</v>
      </c>
      <c r="Q4693">
        <v>77692.34</v>
      </c>
      <c r="R4693">
        <v>261</v>
      </c>
      <c r="S4693">
        <v>1071</v>
      </c>
      <c r="T4693" t="s">
        <v>34</v>
      </c>
      <c r="U4693" t="s">
        <v>27</v>
      </c>
    </row>
    <row r="4694" spans="1:21">
      <c r="A4694" t="s">
        <v>7278</v>
      </c>
      <c r="B4694" t="s">
        <v>7279</v>
      </c>
      <c r="C4694" t="s">
        <v>48</v>
      </c>
      <c r="D4694">
        <v>60000</v>
      </c>
      <c r="F4694">
        <v>60000</v>
      </c>
      <c r="G4694">
        <v>60000</v>
      </c>
      <c r="H4694">
        <v>2</v>
      </c>
      <c r="I4694" t="s">
        <v>432</v>
      </c>
      <c r="J4694">
        <v>16.5</v>
      </c>
      <c r="K4694">
        <v>33</v>
      </c>
      <c r="L4694">
        <v>2</v>
      </c>
      <c r="M4694" t="s">
        <v>6994</v>
      </c>
      <c r="N4694">
        <v>7</v>
      </c>
      <c r="O4694">
        <v>8.5</v>
      </c>
      <c r="P4694">
        <v>154556.70000000001</v>
      </c>
      <c r="Q4694">
        <v>77692.34</v>
      </c>
      <c r="R4694">
        <v>261</v>
      </c>
      <c r="S4694">
        <v>1071</v>
      </c>
      <c r="T4694" t="s">
        <v>108</v>
      </c>
      <c r="U4694" t="s">
        <v>49</v>
      </c>
    </row>
    <row r="4695" spans="1:21">
      <c r="A4695" t="s">
        <v>7280</v>
      </c>
      <c r="B4695" t="s">
        <v>7281</v>
      </c>
      <c r="C4695" t="s">
        <v>94</v>
      </c>
      <c r="D4695">
        <v>43000</v>
      </c>
      <c r="E4695">
        <v>2000</v>
      </c>
      <c r="F4695">
        <v>43000</v>
      </c>
      <c r="G4695">
        <v>43000</v>
      </c>
      <c r="H4695">
        <v>1</v>
      </c>
      <c r="I4695" t="s">
        <v>432</v>
      </c>
      <c r="J4695">
        <v>12.2</v>
      </c>
      <c r="K4695">
        <v>60</v>
      </c>
      <c r="L4695">
        <v>2</v>
      </c>
      <c r="M4695" t="s">
        <v>6994</v>
      </c>
      <c r="N4695">
        <v>9</v>
      </c>
      <c r="O4695">
        <v>13.33</v>
      </c>
      <c r="P4695">
        <v>154556.70000000001</v>
      </c>
      <c r="Q4695">
        <v>77692.34</v>
      </c>
      <c r="R4695">
        <v>261</v>
      </c>
      <c r="S4695">
        <v>1071</v>
      </c>
      <c r="T4695" t="s">
        <v>108</v>
      </c>
      <c r="U4695" t="s">
        <v>57</v>
      </c>
    </row>
    <row r="4696" spans="1:21">
      <c r="A4696" t="s">
        <v>7282</v>
      </c>
      <c r="B4696" t="s">
        <v>7195</v>
      </c>
      <c r="C4696" t="s">
        <v>30</v>
      </c>
      <c r="D4696">
        <v>120000</v>
      </c>
      <c r="E4696">
        <v>10000</v>
      </c>
      <c r="F4696">
        <v>120000</v>
      </c>
      <c r="G4696">
        <v>120000</v>
      </c>
      <c r="H4696">
        <v>3</v>
      </c>
      <c r="I4696" t="s">
        <v>432</v>
      </c>
      <c r="J4696">
        <v>25</v>
      </c>
      <c r="K4696">
        <v>10</v>
      </c>
      <c r="L4696">
        <v>5</v>
      </c>
      <c r="M4696" t="s">
        <v>6994</v>
      </c>
      <c r="N4696">
        <v>5</v>
      </c>
      <c r="O4696">
        <v>7.67</v>
      </c>
      <c r="P4696">
        <v>154556.70000000001</v>
      </c>
      <c r="Q4696">
        <v>77692.34</v>
      </c>
      <c r="R4696">
        <v>261</v>
      </c>
      <c r="S4696">
        <v>1071</v>
      </c>
      <c r="T4696" t="s">
        <v>34</v>
      </c>
      <c r="U4696" t="s">
        <v>31</v>
      </c>
    </row>
    <row r="4697" spans="1:21">
      <c r="A4697" t="s">
        <v>7283</v>
      </c>
      <c r="B4697" t="s">
        <v>7012</v>
      </c>
      <c r="C4697" t="s">
        <v>48</v>
      </c>
      <c r="D4697">
        <v>124000</v>
      </c>
      <c r="E4697">
        <v>15000</v>
      </c>
      <c r="F4697">
        <v>124000</v>
      </c>
      <c r="G4697">
        <v>124000</v>
      </c>
      <c r="H4697">
        <v>10</v>
      </c>
      <c r="I4697" t="s">
        <v>432</v>
      </c>
      <c r="J4697">
        <v>27.57</v>
      </c>
      <c r="K4697">
        <v>16</v>
      </c>
      <c r="L4697">
        <v>15</v>
      </c>
      <c r="M4697" t="s">
        <v>6994</v>
      </c>
      <c r="N4697">
        <v>4</v>
      </c>
      <c r="O4697">
        <v>6.67</v>
      </c>
      <c r="P4697">
        <v>154556.70000000001</v>
      </c>
      <c r="Q4697">
        <v>77692.34</v>
      </c>
      <c r="R4697">
        <v>261</v>
      </c>
      <c r="S4697">
        <v>1071</v>
      </c>
      <c r="T4697" t="s">
        <v>34</v>
      </c>
      <c r="U4697" t="s">
        <v>90</v>
      </c>
    </row>
    <row r="4698" spans="1:21">
      <c r="A4698" t="s">
        <v>7284</v>
      </c>
      <c r="B4698" t="s">
        <v>538</v>
      </c>
      <c r="C4698" t="s">
        <v>48</v>
      </c>
      <c r="D4698">
        <v>62000</v>
      </c>
      <c r="E4698">
        <v>3000</v>
      </c>
      <c r="H4698">
        <v>1</v>
      </c>
      <c r="I4698" t="s">
        <v>432</v>
      </c>
      <c r="J4698">
        <v>11.7</v>
      </c>
      <c r="K4698">
        <v>11</v>
      </c>
      <c r="L4698">
        <v>2</v>
      </c>
      <c r="M4698" t="s">
        <v>6994</v>
      </c>
      <c r="N4698">
        <v>8</v>
      </c>
      <c r="O4698">
        <v>11.33</v>
      </c>
      <c r="P4698">
        <v>154556.70000000001</v>
      </c>
      <c r="Q4698">
        <v>77692.34</v>
      </c>
      <c r="R4698">
        <v>261</v>
      </c>
      <c r="S4698">
        <v>1071</v>
      </c>
      <c r="T4698" t="s">
        <v>108</v>
      </c>
      <c r="U4698" t="s">
        <v>90</v>
      </c>
    </row>
    <row r="4699" spans="1:21">
      <c r="A4699" t="s">
        <v>7285</v>
      </c>
      <c r="B4699" t="s">
        <v>7286</v>
      </c>
      <c r="C4699" t="s">
        <v>94</v>
      </c>
      <c r="D4699">
        <v>67000</v>
      </c>
      <c r="E4699">
        <v>3000</v>
      </c>
      <c r="H4699">
        <v>2</v>
      </c>
      <c r="I4699" t="s">
        <v>432</v>
      </c>
      <c r="J4699">
        <v>10.199999999999999</v>
      </c>
      <c r="K4699">
        <v>14</v>
      </c>
      <c r="L4699">
        <v>2</v>
      </c>
      <c r="M4699" t="s">
        <v>6994</v>
      </c>
      <c r="N4699">
        <v>5</v>
      </c>
      <c r="O4699">
        <v>10.67</v>
      </c>
      <c r="P4699">
        <v>154556.70000000001</v>
      </c>
      <c r="Q4699">
        <v>77692.34</v>
      </c>
      <c r="R4699">
        <v>261</v>
      </c>
      <c r="S4699">
        <v>1071</v>
      </c>
      <c r="T4699" t="s">
        <v>108</v>
      </c>
      <c r="U4699" t="s">
        <v>90</v>
      </c>
    </row>
    <row r="4700" spans="1:21">
      <c r="A4700" t="s">
        <v>7287</v>
      </c>
      <c r="B4700" t="s">
        <v>7288</v>
      </c>
      <c r="C4700" t="s">
        <v>48</v>
      </c>
      <c r="D4700">
        <v>55000</v>
      </c>
      <c r="F4700">
        <v>55000</v>
      </c>
      <c r="H4700">
        <v>1</v>
      </c>
      <c r="I4700" t="s">
        <v>432</v>
      </c>
      <c r="J4700">
        <v>15</v>
      </c>
      <c r="K4700">
        <v>40</v>
      </c>
      <c r="L4700">
        <v>2</v>
      </c>
      <c r="M4700" t="s">
        <v>6994</v>
      </c>
      <c r="N4700">
        <v>8</v>
      </c>
      <c r="O4700">
        <v>11.67</v>
      </c>
      <c r="P4700">
        <v>154556.70000000001</v>
      </c>
      <c r="Q4700">
        <v>77692.34</v>
      </c>
      <c r="R4700">
        <v>261</v>
      </c>
      <c r="S4700">
        <v>1071</v>
      </c>
      <c r="T4700" t="s">
        <v>108</v>
      </c>
      <c r="U4700" t="s">
        <v>49</v>
      </c>
    </row>
    <row r="4701" spans="1:21">
      <c r="A4701" t="s">
        <v>7289</v>
      </c>
      <c r="B4701" t="s">
        <v>7290</v>
      </c>
      <c r="C4701" t="s">
        <v>94</v>
      </c>
      <c r="D4701">
        <v>64000</v>
      </c>
      <c r="E4701">
        <v>4000</v>
      </c>
      <c r="F4701">
        <v>64000</v>
      </c>
      <c r="H4701">
        <v>1</v>
      </c>
      <c r="I4701" t="s">
        <v>432</v>
      </c>
      <c r="J4701">
        <v>11.12</v>
      </c>
      <c r="K4701">
        <v>6</v>
      </c>
      <c r="L4701">
        <v>2</v>
      </c>
      <c r="M4701" t="s">
        <v>6994</v>
      </c>
      <c r="N4701">
        <v>10</v>
      </c>
      <c r="O4701">
        <v>10</v>
      </c>
      <c r="P4701">
        <v>154556.70000000001</v>
      </c>
      <c r="Q4701">
        <v>77692.34</v>
      </c>
      <c r="R4701">
        <v>261</v>
      </c>
      <c r="S4701">
        <v>1071</v>
      </c>
      <c r="T4701" t="s">
        <v>108</v>
      </c>
      <c r="U4701" t="s">
        <v>31</v>
      </c>
    </row>
    <row r="4702" spans="1:21">
      <c r="A4702" t="s">
        <v>7291</v>
      </c>
      <c r="B4702" t="s">
        <v>7292</v>
      </c>
      <c r="C4702" t="s">
        <v>48</v>
      </c>
      <c r="D4702">
        <v>75000</v>
      </c>
      <c r="E4702">
        <v>4000</v>
      </c>
      <c r="H4702">
        <v>1</v>
      </c>
      <c r="I4702" t="s">
        <v>432</v>
      </c>
      <c r="J4702">
        <v>10.45</v>
      </c>
      <c r="K4702">
        <v>9</v>
      </c>
      <c r="L4702">
        <v>2</v>
      </c>
      <c r="M4702" t="s">
        <v>6994</v>
      </c>
      <c r="N4702">
        <v>8</v>
      </c>
      <c r="O4702">
        <v>11.67</v>
      </c>
      <c r="P4702">
        <v>154556.70000000001</v>
      </c>
      <c r="Q4702">
        <v>77692.34</v>
      </c>
      <c r="R4702">
        <v>261</v>
      </c>
      <c r="S4702">
        <v>1071</v>
      </c>
      <c r="T4702" t="s">
        <v>108</v>
      </c>
      <c r="U4702" t="s">
        <v>31</v>
      </c>
    </row>
    <row r="4703" spans="1:21">
      <c r="A4703" t="s">
        <v>7293</v>
      </c>
      <c r="B4703" t="s">
        <v>7292</v>
      </c>
      <c r="C4703" t="s">
        <v>48</v>
      </c>
      <c r="D4703">
        <v>75000</v>
      </c>
      <c r="E4703">
        <v>4000</v>
      </c>
      <c r="G4703">
        <v>75000</v>
      </c>
      <c r="H4703">
        <v>1</v>
      </c>
      <c r="I4703" t="s">
        <v>432</v>
      </c>
      <c r="J4703">
        <v>10.56</v>
      </c>
      <c r="K4703">
        <v>9</v>
      </c>
      <c r="L4703">
        <v>2</v>
      </c>
      <c r="M4703" t="s">
        <v>6994</v>
      </c>
      <c r="N4703">
        <v>8</v>
      </c>
      <c r="O4703">
        <v>11.67</v>
      </c>
      <c r="P4703">
        <v>154556.70000000001</v>
      </c>
      <c r="Q4703">
        <v>77692.34</v>
      </c>
      <c r="R4703">
        <v>261</v>
      </c>
      <c r="S4703">
        <v>1071</v>
      </c>
      <c r="T4703" t="s">
        <v>108</v>
      </c>
      <c r="U4703" t="s">
        <v>31</v>
      </c>
    </row>
    <row r="4704" spans="1:21">
      <c r="A4704" t="s">
        <v>7294</v>
      </c>
      <c r="B4704" t="s">
        <v>7295</v>
      </c>
      <c r="C4704" t="s">
        <v>94</v>
      </c>
      <c r="D4704">
        <v>66000</v>
      </c>
      <c r="E4704">
        <v>6000</v>
      </c>
      <c r="F4704">
        <v>66000</v>
      </c>
      <c r="H4704">
        <v>4</v>
      </c>
      <c r="I4704" t="s">
        <v>432</v>
      </c>
      <c r="J4704">
        <v>18.47</v>
      </c>
      <c r="K4704">
        <v>40</v>
      </c>
      <c r="L4704">
        <v>4</v>
      </c>
      <c r="M4704" t="s">
        <v>6994</v>
      </c>
      <c r="N4704">
        <v>12</v>
      </c>
      <c r="O4704">
        <v>12.33</v>
      </c>
      <c r="P4704">
        <v>154556.70000000001</v>
      </c>
      <c r="Q4704">
        <v>77692.34</v>
      </c>
      <c r="R4704">
        <v>261</v>
      </c>
      <c r="S4704">
        <v>1071</v>
      </c>
      <c r="T4704" t="s">
        <v>108</v>
      </c>
      <c r="U4704" t="s">
        <v>49</v>
      </c>
    </row>
    <row r="4705" spans="1:21">
      <c r="A4705" t="s">
        <v>7296</v>
      </c>
      <c r="B4705" t="s">
        <v>7297</v>
      </c>
      <c r="C4705" t="s">
        <v>48</v>
      </c>
      <c r="D4705">
        <v>82000</v>
      </c>
      <c r="E4705">
        <v>5000</v>
      </c>
      <c r="F4705">
        <v>82000</v>
      </c>
      <c r="H4705">
        <v>4</v>
      </c>
      <c r="I4705" t="s">
        <v>432</v>
      </c>
      <c r="J4705">
        <v>20.73</v>
      </c>
      <c r="K4705">
        <v>21</v>
      </c>
      <c r="L4705">
        <v>5</v>
      </c>
      <c r="M4705" t="s">
        <v>6994</v>
      </c>
      <c r="N4705">
        <v>6</v>
      </c>
      <c r="O4705">
        <v>10.33</v>
      </c>
      <c r="P4705">
        <v>154556.70000000001</v>
      </c>
      <c r="Q4705">
        <v>77692.34</v>
      </c>
      <c r="R4705">
        <v>261</v>
      </c>
      <c r="S4705">
        <v>1071</v>
      </c>
      <c r="T4705" t="s">
        <v>34</v>
      </c>
      <c r="U4705" t="s">
        <v>27</v>
      </c>
    </row>
    <row r="4706" spans="1:21">
      <c r="A4706" t="s">
        <v>7298</v>
      </c>
      <c r="B4706" t="s">
        <v>7299</v>
      </c>
      <c r="C4706" t="s">
        <v>94</v>
      </c>
      <c r="D4706">
        <v>70000</v>
      </c>
      <c r="E4706">
        <v>6500</v>
      </c>
      <c r="F4706">
        <v>70000</v>
      </c>
      <c r="H4706">
        <v>3</v>
      </c>
      <c r="I4706" t="s">
        <v>432</v>
      </c>
      <c r="J4706">
        <v>19.23</v>
      </c>
      <c r="K4706">
        <v>39</v>
      </c>
      <c r="L4706">
        <v>5</v>
      </c>
      <c r="M4706" t="s">
        <v>6994</v>
      </c>
      <c r="N4706">
        <v>2</v>
      </c>
      <c r="O4706">
        <v>6</v>
      </c>
      <c r="P4706">
        <v>154556.70000000001</v>
      </c>
      <c r="Q4706">
        <v>77692.34</v>
      </c>
      <c r="R4706">
        <v>261</v>
      </c>
      <c r="S4706">
        <v>1071</v>
      </c>
      <c r="T4706" t="s">
        <v>108</v>
      </c>
      <c r="U4706" t="s">
        <v>49</v>
      </c>
    </row>
    <row r="4707" spans="1:21">
      <c r="A4707" t="s">
        <v>7300</v>
      </c>
      <c r="B4707" t="s">
        <v>7301</v>
      </c>
      <c r="C4707" t="s">
        <v>30</v>
      </c>
      <c r="D4707">
        <v>65000</v>
      </c>
      <c r="E4707">
        <v>6000</v>
      </c>
      <c r="F4707">
        <v>65000</v>
      </c>
      <c r="G4707">
        <v>65000</v>
      </c>
      <c r="H4707">
        <v>4</v>
      </c>
      <c r="I4707" t="s">
        <v>432</v>
      </c>
      <c r="J4707">
        <v>15.82</v>
      </c>
      <c r="K4707">
        <v>43</v>
      </c>
      <c r="L4707">
        <v>5</v>
      </c>
      <c r="M4707" t="s">
        <v>6994</v>
      </c>
      <c r="N4707">
        <v>3</v>
      </c>
      <c r="O4707">
        <v>9</v>
      </c>
      <c r="P4707">
        <v>154556.70000000001</v>
      </c>
      <c r="Q4707">
        <v>77692.34</v>
      </c>
      <c r="R4707">
        <v>261</v>
      </c>
      <c r="S4707">
        <v>1071</v>
      </c>
      <c r="T4707" t="s">
        <v>108</v>
      </c>
      <c r="U4707" t="s">
        <v>42</v>
      </c>
    </row>
    <row r="4708" spans="1:21">
      <c r="A4708" t="s">
        <v>7302</v>
      </c>
      <c r="B4708" t="s">
        <v>7301</v>
      </c>
      <c r="C4708" t="s">
        <v>30</v>
      </c>
      <c r="D4708">
        <v>68000</v>
      </c>
      <c r="E4708">
        <v>4000</v>
      </c>
      <c r="F4708">
        <v>68000</v>
      </c>
      <c r="G4708">
        <v>68000</v>
      </c>
      <c r="H4708">
        <v>4</v>
      </c>
      <c r="I4708" t="s">
        <v>432</v>
      </c>
      <c r="J4708">
        <v>18.53</v>
      </c>
      <c r="K4708">
        <v>43</v>
      </c>
      <c r="L4708">
        <v>5</v>
      </c>
      <c r="M4708" t="s">
        <v>6994</v>
      </c>
      <c r="N4708">
        <v>3</v>
      </c>
      <c r="O4708">
        <v>9</v>
      </c>
      <c r="P4708">
        <v>154556.70000000001</v>
      </c>
      <c r="Q4708">
        <v>77692.34</v>
      </c>
      <c r="R4708">
        <v>261</v>
      </c>
      <c r="S4708">
        <v>1071</v>
      </c>
      <c r="T4708" t="s">
        <v>108</v>
      </c>
      <c r="U4708" t="s">
        <v>42</v>
      </c>
    </row>
    <row r="4709" spans="1:21">
      <c r="A4709" t="s">
        <v>7303</v>
      </c>
      <c r="B4709" t="s">
        <v>7301</v>
      </c>
      <c r="C4709" t="s">
        <v>30</v>
      </c>
      <c r="D4709">
        <v>68000</v>
      </c>
      <c r="E4709">
        <v>3000</v>
      </c>
      <c r="F4709">
        <v>68000</v>
      </c>
      <c r="G4709">
        <v>68000</v>
      </c>
      <c r="H4709">
        <v>5</v>
      </c>
      <c r="I4709" t="s">
        <v>432</v>
      </c>
      <c r="J4709">
        <v>15.55</v>
      </c>
      <c r="K4709">
        <v>43</v>
      </c>
      <c r="L4709">
        <v>5</v>
      </c>
      <c r="M4709" t="s">
        <v>6994</v>
      </c>
      <c r="N4709">
        <v>3</v>
      </c>
      <c r="O4709">
        <v>9</v>
      </c>
      <c r="P4709">
        <v>154556.70000000001</v>
      </c>
      <c r="Q4709">
        <v>77692.34</v>
      </c>
      <c r="R4709">
        <v>261</v>
      </c>
      <c r="S4709">
        <v>1071</v>
      </c>
      <c r="T4709" t="s">
        <v>108</v>
      </c>
      <c r="U4709" t="s">
        <v>42</v>
      </c>
    </row>
    <row r="4710" spans="1:21">
      <c r="A4710" t="s">
        <v>7304</v>
      </c>
      <c r="B4710" t="s">
        <v>7305</v>
      </c>
      <c r="C4710" t="s">
        <v>48</v>
      </c>
      <c r="D4710">
        <v>135000</v>
      </c>
      <c r="E4710">
        <v>7000</v>
      </c>
      <c r="F4710">
        <v>135000</v>
      </c>
      <c r="G4710">
        <v>135000</v>
      </c>
      <c r="H4710">
        <v>5</v>
      </c>
      <c r="I4710" t="s">
        <v>432</v>
      </c>
      <c r="J4710">
        <v>27.68</v>
      </c>
      <c r="K4710">
        <v>46</v>
      </c>
      <c r="L4710">
        <v>5</v>
      </c>
      <c r="M4710" t="s">
        <v>6994</v>
      </c>
      <c r="N4710">
        <v>1</v>
      </c>
      <c r="O4710">
        <v>9.33</v>
      </c>
      <c r="P4710">
        <v>154556.70000000001</v>
      </c>
      <c r="Q4710">
        <v>77692.34</v>
      </c>
      <c r="R4710">
        <v>261</v>
      </c>
      <c r="S4710">
        <v>1071</v>
      </c>
      <c r="T4710" t="s">
        <v>34</v>
      </c>
      <c r="U4710" t="s">
        <v>42</v>
      </c>
    </row>
    <row r="4711" spans="1:21">
      <c r="A4711" t="s">
        <v>7306</v>
      </c>
      <c r="B4711" t="s">
        <v>7217</v>
      </c>
      <c r="C4711" t="s">
        <v>7055</v>
      </c>
      <c r="D4711">
        <v>163500</v>
      </c>
      <c r="E4711">
        <v>8000</v>
      </c>
      <c r="F4711">
        <v>163500</v>
      </c>
      <c r="G4711">
        <v>163500</v>
      </c>
      <c r="H4711">
        <v>3</v>
      </c>
      <c r="I4711" t="s">
        <v>432</v>
      </c>
      <c r="J4711">
        <v>29.72</v>
      </c>
      <c r="K4711">
        <v>2</v>
      </c>
      <c r="L4711">
        <v>4</v>
      </c>
      <c r="M4711" t="s">
        <v>6994</v>
      </c>
      <c r="N4711">
        <v>4</v>
      </c>
      <c r="O4711">
        <v>11</v>
      </c>
      <c r="P4711">
        <v>154556.70000000001</v>
      </c>
      <c r="Q4711">
        <v>77692.34</v>
      </c>
      <c r="R4711">
        <v>261</v>
      </c>
      <c r="S4711">
        <v>1071</v>
      </c>
      <c r="T4711" t="s">
        <v>34</v>
      </c>
      <c r="U4711" t="s">
        <v>31</v>
      </c>
    </row>
    <row r="4712" spans="1:21">
      <c r="A4712" t="s">
        <v>7307</v>
      </c>
      <c r="B4712" t="s">
        <v>7308</v>
      </c>
      <c r="C4712" t="s">
        <v>1751</v>
      </c>
      <c r="D4712">
        <v>73500</v>
      </c>
      <c r="E4712">
        <v>6000</v>
      </c>
      <c r="H4712">
        <v>4</v>
      </c>
      <c r="I4712" t="s">
        <v>432</v>
      </c>
      <c r="J4712">
        <v>15.16</v>
      </c>
      <c r="K4712">
        <v>5</v>
      </c>
      <c r="L4712">
        <v>4</v>
      </c>
      <c r="M4712" t="s">
        <v>6994</v>
      </c>
      <c r="N4712">
        <v>10</v>
      </c>
      <c r="O4712">
        <v>10.67</v>
      </c>
      <c r="P4712">
        <v>154556.70000000001</v>
      </c>
      <c r="Q4712">
        <v>77692.34</v>
      </c>
      <c r="R4712">
        <v>261</v>
      </c>
      <c r="S4712">
        <v>1071</v>
      </c>
      <c r="T4712" t="s">
        <v>108</v>
      </c>
      <c r="U4712" t="s">
        <v>31</v>
      </c>
    </row>
    <row r="4713" spans="1:21">
      <c r="A4713" t="s">
        <v>7309</v>
      </c>
      <c r="B4713" t="s">
        <v>7310</v>
      </c>
      <c r="C4713" t="s">
        <v>48</v>
      </c>
      <c r="D4713">
        <v>390000</v>
      </c>
      <c r="F4713">
        <v>390000</v>
      </c>
      <c r="G4713">
        <v>390000</v>
      </c>
      <c r="H4713">
        <v>1</v>
      </c>
      <c r="I4713" t="s">
        <v>555</v>
      </c>
      <c r="J4713">
        <v>75.959999999999994</v>
      </c>
      <c r="K4713">
        <v>4</v>
      </c>
      <c r="L4713">
        <v>3</v>
      </c>
      <c r="M4713" t="s">
        <v>6994</v>
      </c>
      <c r="N4713">
        <v>8</v>
      </c>
      <c r="O4713">
        <v>8.33</v>
      </c>
      <c r="P4713">
        <v>154556.70000000001</v>
      </c>
      <c r="Q4713">
        <v>207063.41</v>
      </c>
      <c r="R4713">
        <v>261</v>
      </c>
      <c r="S4713">
        <v>41</v>
      </c>
      <c r="T4713" t="s">
        <v>596</v>
      </c>
      <c r="U4713" t="s">
        <v>31</v>
      </c>
    </row>
    <row r="4714" spans="1:21">
      <c r="A4714" t="s">
        <v>7309</v>
      </c>
      <c r="B4714" t="s">
        <v>7310</v>
      </c>
      <c r="C4714" t="s">
        <v>48</v>
      </c>
      <c r="D4714">
        <v>390000</v>
      </c>
      <c r="F4714">
        <v>390000</v>
      </c>
      <c r="G4714">
        <v>390000</v>
      </c>
      <c r="H4714">
        <v>2</v>
      </c>
      <c r="I4714" t="s">
        <v>555</v>
      </c>
      <c r="J4714">
        <v>75.959999999999994</v>
      </c>
      <c r="K4714">
        <v>4</v>
      </c>
      <c r="L4714">
        <v>3</v>
      </c>
      <c r="M4714" t="s">
        <v>6994</v>
      </c>
      <c r="N4714">
        <v>8</v>
      </c>
      <c r="O4714">
        <v>8.33</v>
      </c>
      <c r="P4714">
        <v>154556.70000000001</v>
      </c>
      <c r="Q4714">
        <v>207063.41</v>
      </c>
      <c r="R4714">
        <v>261</v>
      </c>
      <c r="S4714">
        <v>41</v>
      </c>
      <c r="T4714" t="s">
        <v>596</v>
      </c>
      <c r="U4714" t="s">
        <v>31</v>
      </c>
    </row>
    <row r="4715" spans="1:21">
      <c r="A4715" t="s">
        <v>7309</v>
      </c>
      <c r="B4715" t="s">
        <v>7310</v>
      </c>
      <c r="C4715" t="s">
        <v>48</v>
      </c>
      <c r="D4715">
        <v>390000</v>
      </c>
      <c r="F4715">
        <v>390000</v>
      </c>
      <c r="G4715">
        <v>390000</v>
      </c>
      <c r="H4715">
        <v>3</v>
      </c>
      <c r="I4715" t="s">
        <v>555</v>
      </c>
      <c r="J4715">
        <v>75.959999999999994</v>
      </c>
      <c r="K4715">
        <v>4</v>
      </c>
      <c r="L4715">
        <v>3</v>
      </c>
      <c r="M4715" t="s">
        <v>6994</v>
      </c>
      <c r="N4715">
        <v>8</v>
      </c>
      <c r="O4715">
        <v>8.33</v>
      </c>
      <c r="P4715">
        <v>154556.70000000001</v>
      </c>
      <c r="Q4715">
        <v>207063.41</v>
      </c>
      <c r="R4715">
        <v>261</v>
      </c>
      <c r="S4715">
        <v>41</v>
      </c>
      <c r="T4715" t="s">
        <v>596</v>
      </c>
      <c r="U4715" t="s">
        <v>31</v>
      </c>
    </row>
    <row r="4716" spans="1:21">
      <c r="A4716" t="s">
        <v>7311</v>
      </c>
      <c r="B4716" t="s">
        <v>7312</v>
      </c>
      <c r="C4716" t="s">
        <v>30</v>
      </c>
      <c r="D4716">
        <v>241000</v>
      </c>
      <c r="E4716">
        <v>18000</v>
      </c>
      <c r="F4716">
        <v>241000</v>
      </c>
      <c r="G4716">
        <v>241000</v>
      </c>
      <c r="H4716">
        <v>3</v>
      </c>
      <c r="I4716" t="s">
        <v>559</v>
      </c>
      <c r="J4716">
        <v>40.35</v>
      </c>
      <c r="K4716">
        <v>2</v>
      </c>
      <c r="L4716">
        <v>8</v>
      </c>
      <c r="M4716" t="s">
        <v>6994</v>
      </c>
      <c r="N4716">
        <v>3</v>
      </c>
      <c r="O4716">
        <v>8.33</v>
      </c>
      <c r="P4716">
        <v>154556.70000000001</v>
      </c>
      <c r="Q4716">
        <v>141491.45000000001</v>
      </c>
      <c r="R4716">
        <v>261</v>
      </c>
      <c r="S4716">
        <v>117</v>
      </c>
      <c r="T4716" t="s">
        <v>326</v>
      </c>
      <c r="U4716" t="s">
        <v>31</v>
      </c>
    </row>
    <row r="4717" spans="1:21">
      <c r="A4717" t="s">
        <v>7313</v>
      </c>
      <c r="B4717" t="s">
        <v>7312</v>
      </c>
      <c r="C4717" t="s">
        <v>30</v>
      </c>
      <c r="D4717">
        <v>252000</v>
      </c>
      <c r="E4717">
        <v>18000</v>
      </c>
      <c r="F4717">
        <v>252000</v>
      </c>
      <c r="G4717">
        <v>252000</v>
      </c>
      <c r="H4717">
        <v>3</v>
      </c>
      <c r="I4717" t="s">
        <v>559</v>
      </c>
      <c r="J4717">
        <v>40.35</v>
      </c>
      <c r="K4717">
        <v>2</v>
      </c>
      <c r="L4717">
        <v>8</v>
      </c>
      <c r="M4717" t="s">
        <v>6994</v>
      </c>
      <c r="N4717">
        <v>3</v>
      </c>
      <c r="O4717">
        <v>8.33</v>
      </c>
      <c r="P4717">
        <v>154556.70000000001</v>
      </c>
      <c r="Q4717">
        <v>141491.45000000001</v>
      </c>
      <c r="R4717">
        <v>261</v>
      </c>
      <c r="S4717">
        <v>117</v>
      </c>
      <c r="T4717" t="s">
        <v>326</v>
      </c>
      <c r="U4717" t="s">
        <v>31</v>
      </c>
    </row>
    <row r="4718" spans="1:21">
      <c r="A4718" t="s">
        <v>7314</v>
      </c>
      <c r="B4718" t="s">
        <v>7315</v>
      </c>
      <c r="C4718" t="s">
        <v>7316</v>
      </c>
      <c r="D4718">
        <v>160000</v>
      </c>
      <c r="E4718">
        <v>7000</v>
      </c>
      <c r="F4718">
        <v>160000</v>
      </c>
      <c r="G4718">
        <v>160000</v>
      </c>
      <c r="H4718">
        <v>1</v>
      </c>
      <c r="I4718" t="s">
        <v>559</v>
      </c>
      <c r="J4718">
        <v>47.6</v>
      </c>
      <c r="K4718">
        <v>31</v>
      </c>
      <c r="L4718">
        <v>3</v>
      </c>
      <c r="M4718" t="s">
        <v>6994</v>
      </c>
      <c r="N4718">
        <v>3</v>
      </c>
      <c r="O4718">
        <v>9.67</v>
      </c>
      <c r="P4718">
        <v>154556.70000000001</v>
      </c>
      <c r="Q4718">
        <v>141491.45000000001</v>
      </c>
      <c r="R4718">
        <v>261</v>
      </c>
      <c r="S4718">
        <v>117</v>
      </c>
      <c r="T4718" t="s">
        <v>326</v>
      </c>
      <c r="U4718" t="s">
        <v>49</v>
      </c>
    </row>
    <row r="4719" spans="1:21">
      <c r="A4719" t="s">
        <v>7317</v>
      </c>
      <c r="B4719" t="s">
        <v>7318</v>
      </c>
      <c r="C4719" t="s">
        <v>30</v>
      </c>
      <c r="D4719">
        <v>112500</v>
      </c>
      <c r="E4719">
        <v>2500</v>
      </c>
      <c r="F4719">
        <v>112500</v>
      </c>
      <c r="G4719">
        <v>112500</v>
      </c>
      <c r="H4719">
        <v>2</v>
      </c>
      <c r="I4719" t="s">
        <v>559</v>
      </c>
      <c r="J4719">
        <v>41</v>
      </c>
      <c r="K4719">
        <v>48</v>
      </c>
      <c r="L4719">
        <v>4</v>
      </c>
      <c r="M4719" t="s">
        <v>6994</v>
      </c>
      <c r="N4719">
        <v>5</v>
      </c>
      <c r="O4719">
        <v>9.33</v>
      </c>
      <c r="P4719">
        <v>154556.70000000001</v>
      </c>
      <c r="Q4719">
        <v>141491.45000000001</v>
      </c>
      <c r="R4719">
        <v>261</v>
      </c>
      <c r="S4719">
        <v>117</v>
      </c>
      <c r="T4719" t="s">
        <v>326</v>
      </c>
      <c r="U4719" t="s">
        <v>42</v>
      </c>
    </row>
    <row r="4720" spans="1:21">
      <c r="A4720" t="s">
        <v>7319</v>
      </c>
      <c r="B4720" t="s">
        <v>7320</v>
      </c>
      <c r="C4720" t="s">
        <v>30</v>
      </c>
      <c r="D4720">
        <v>252000</v>
      </c>
      <c r="E4720">
        <v>18000</v>
      </c>
      <c r="F4720">
        <v>252000</v>
      </c>
      <c r="G4720">
        <v>252000</v>
      </c>
      <c r="H4720">
        <v>3</v>
      </c>
      <c r="I4720" t="s">
        <v>559</v>
      </c>
      <c r="J4720">
        <v>40.35</v>
      </c>
      <c r="K4720">
        <v>2</v>
      </c>
      <c r="L4720">
        <v>8</v>
      </c>
      <c r="M4720" t="s">
        <v>6994</v>
      </c>
      <c r="N4720">
        <v>3</v>
      </c>
      <c r="O4720">
        <v>8.33</v>
      </c>
      <c r="P4720">
        <v>154556.70000000001</v>
      </c>
      <c r="Q4720">
        <v>141491.45000000001</v>
      </c>
      <c r="R4720">
        <v>261</v>
      </c>
      <c r="S4720">
        <v>117</v>
      </c>
      <c r="T4720" t="s">
        <v>326</v>
      </c>
      <c r="U4720" t="s">
        <v>31</v>
      </c>
    </row>
    <row r="4721" spans="1:21">
      <c r="A4721" t="s">
        <v>7321</v>
      </c>
      <c r="B4721" t="s">
        <v>7322</v>
      </c>
      <c r="C4721" t="s">
        <v>94</v>
      </c>
      <c r="D4721">
        <v>183000</v>
      </c>
      <c r="E4721">
        <v>10000</v>
      </c>
      <c r="F4721">
        <v>183000</v>
      </c>
      <c r="G4721">
        <v>274500</v>
      </c>
      <c r="H4721">
        <v>2</v>
      </c>
      <c r="I4721" t="s">
        <v>559</v>
      </c>
      <c r="J4721">
        <v>44.72</v>
      </c>
      <c r="K4721">
        <v>16</v>
      </c>
      <c r="L4721">
        <v>3</v>
      </c>
      <c r="M4721" t="s">
        <v>6994</v>
      </c>
      <c r="N4721">
        <v>9</v>
      </c>
      <c r="O4721">
        <v>12</v>
      </c>
      <c r="P4721">
        <v>154556.70000000001</v>
      </c>
      <c r="Q4721">
        <v>141491.45000000001</v>
      </c>
      <c r="R4721">
        <v>261</v>
      </c>
      <c r="S4721">
        <v>117</v>
      </c>
      <c r="T4721" t="s">
        <v>326</v>
      </c>
      <c r="U4721" t="s">
        <v>90</v>
      </c>
    </row>
    <row r="4722" spans="1:21">
      <c r="A4722" t="s">
        <v>7323</v>
      </c>
      <c r="B4722" t="s">
        <v>7324</v>
      </c>
      <c r="C4722" t="s">
        <v>45</v>
      </c>
      <c r="D4722">
        <v>158000</v>
      </c>
      <c r="E4722">
        <v>17000</v>
      </c>
      <c r="F4722">
        <v>158000</v>
      </c>
      <c r="H4722">
        <v>6</v>
      </c>
      <c r="I4722" t="s">
        <v>559</v>
      </c>
      <c r="J4722">
        <v>44.04</v>
      </c>
      <c r="K4722">
        <v>57</v>
      </c>
      <c r="L4722">
        <v>14</v>
      </c>
      <c r="M4722" t="s">
        <v>6994</v>
      </c>
      <c r="N4722">
        <v>5</v>
      </c>
      <c r="O4722">
        <v>9.67</v>
      </c>
      <c r="P4722">
        <v>154556.70000000001</v>
      </c>
      <c r="Q4722">
        <v>141491.45000000001</v>
      </c>
      <c r="R4722">
        <v>261</v>
      </c>
      <c r="S4722">
        <v>117</v>
      </c>
      <c r="T4722" t="s">
        <v>326</v>
      </c>
      <c r="U4722" t="s">
        <v>57</v>
      </c>
    </row>
    <row r="4723" spans="1:21">
      <c r="A4723" t="s">
        <v>7325</v>
      </c>
      <c r="B4723" t="s">
        <v>7326</v>
      </c>
      <c r="C4723" t="s">
        <v>48</v>
      </c>
      <c r="D4723">
        <v>108000</v>
      </c>
      <c r="E4723">
        <v>3000</v>
      </c>
      <c r="F4723">
        <v>108000</v>
      </c>
      <c r="G4723">
        <v>108000</v>
      </c>
      <c r="H4723">
        <v>3</v>
      </c>
      <c r="I4723" t="s">
        <v>559</v>
      </c>
      <c r="J4723">
        <v>35</v>
      </c>
      <c r="K4723">
        <v>56</v>
      </c>
      <c r="L4723">
        <v>3</v>
      </c>
      <c r="M4723" t="s">
        <v>6994</v>
      </c>
      <c r="N4723">
        <v>7</v>
      </c>
      <c r="O4723">
        <v>9</v>
      </c>
      <c r="P4723">
        <v>154556.70000000001</v>
      </c>
      <c r="Q4723">
        <v>141491.45000000001</v>
      </c>
      <c r="R4723">
        <v>261</v>
      </c>
      <c r="S4723">
        <v>117</v>
      </c>
      <c r="T4723" t="s">
        <v>26</v>
      </c>
      <c r="U4723" t="s">
        <v>57</v>
      </c>
    </row>
    <row r="4724" spans="1:21">
      <c r="A4724" t="s">
        <v>7327</v>
      </c>
      <c r="B4724" t="s">
        <v>7328</v>
      </c>
      <c r="C4724" t="s">
        <v>30</v>
      </c>
      <c r="D4724">
        <v>112500</v>
      </c>
      <c r="E4724">
        <v>2500</v>
      </c>
      <c r="F4724">
        <v>112500</v>
      </c>
      <c r="G4724">
        <v>112500</v>
      </c>
      <c r="H4724">
        <v>2</v>
      </c>
      <c r="I4724" t="s">
        <v>559</v>
      </c>
      <c r="J4724">
        <v>30</v>
      </c>
      <c r="K4724">
        <v>48</v>
      </c>
      <c r="L4724">
        <v>4</v>
      </c>
      <c r="M4724" t="s">
        <v>6994</v>
      </c>
      <c r="N4724">
        <v>4</v>
      </c>
      <c r="O4724">
        <v>9.67</v>
      </c>
      <c r="P4724">
        <v>154556.70000000001</v>
      </c>
      <c r="Q4724">
        <v>141491.45000000001</v>
      </c>
      <c r="R4724">
        <v>261</v>
      </c>
      <c r="S4724">
        <v>117</v>
      </c>
      <c r="T4724" t="s">
        <v>26</v>
      </c>
      <c r="U4724" t="s">
        <v>42</v>
      </c>
    </row>
    <row r="4725" spans="1:21">
      <c r="A4725" t="s">
        <v>7329</v>
      </c>
      <c r="B4725" t="s">
        <v>7161</v>
      </c>
      <c r="C4725" t="s">
        <v>48</v>
      </c>
      <c r="D4725">
        <v>232000</v>
      </c>
      <c r="E4725">
        <v>20000</v>
      </c>
      <c r="H4725">
        <v>2</v>
      </c>
      <c r="I4725" t="s">
        <v>573</v>
      </c>
      <c r="J4725">
        <v>41.9</v>
      </c>
      <c r="K4725">
        <v>0</v>
      </c>
      <c r="L4725">
        <v>14</v>
      </c>
      <c r="M4725" t="s">
        <v>6994</v>
      </c>
      <c r="N4725">
        <v>9</v>
      </c>
      <c r="O4725">
        <v>10.67</v>
      </c>
      <c r="P4725">
        <v>154556.70000000001</v>
      </c>
      <c r="Q4725">
        <v>117441.44</v>
      </c>
      <c r="R4725">
        <v>261</v>
      </c>
      <c r="S4725">
        <v>111</v>
      </c>
      <c r="T4725" t="s">
        <v>326</v>
      </c>
      <c r="U4725" t="s">
        <v>81</v>
      </c>
    </row>
    <row r="4726" spans="1:21">
      <c r="A4726" t="s">
        <v>7330</v>
      </c>
      <c r="B4726" t="s">
        <v>7161</v>
      </c>
      <c r="C4726" t="s">
        <v>48</v>
      </c>
      <c r="D4726">
        <v>240000</v>
      </c>
      <c r="E4726">
        <v>20000</v>
      </c>
      <c r="H4726">
        <v>6</v>
      </c>
      <c r="I4726" t="s">
        <v>573</v>
      </c>
      <c r="J4726">
        <v>41.98</v>
      </c>
      <c r="K4726">
        <v>0</v>
      </c>
      <c r="L4726">
        <v>14</v>
      </c>
      <c r="M4726" t="s">
        <v>6994</v>
      </c>
      <c r="N4726">
        <v>9</v>
      </c>
      <c r="O4726">
        <v>10.67</v>
      </c>
      <c r="P4726">
        <v>154556.70000000001</v>
      </c>
      <c r="Q4726">
        <v>117441.44</v>
      </c>
      <c r="R4726">
        <v>261</v>
      </c>
      <c r="S4726">
        <v>111</v>
      </c>
      <c r="T4726" t="s">
        <v>326</v>
      </c>
      <c r="U4726" t="s">
        <v>81</v>
      </c>
    </row>
    <row r="4727" spans="1:21">
      <c r="A4727" t="s">
        <v>7331</v>
      </c>
      <c r="B4727" t="s">
        <v>7312</v>
      </c>
      <c r="C4727" t="s">
        <v>30</v>
      </c>
      <c r="D4727">
        <v>274000</v>
      </c>
      <c r="E4727">
        <v>18000</v>
      </c>
      <c r="F4727">
        <v>274000</v>
      </c>
      <c r="G4727">
        <v>274000</v>
      </c>
      <c r="H4727">
        <v>3</v>
      </c>
      <c r="I4727" t="s">
        <v>585</v>
      </c>
      <c r="J4727">
        <v>40.35</v>
      </c>
      <c r="K4727">
        <v>2</v>
      </c>
      <c r="L4727">
        <v>8</v>
      </c>
      <c r="M4727" t="s">
        <v>6994</v>
      </c>
      <c r="N4727">
        <v>3</v>
      </c>
      <c r="O4727">
        <v>8.33</v>
      </c>
      <c r="P4727">
        <v>154556.70000000001</v>
      </c>
      <c r="Q4727">
        <v>232352.65</v>
      </c>
      <c r="R4727">
        <v>261</v>
      </c>
      <c r="S4727">
        <v>359</v>
      </c>
      <c r="T4727" t="s">
        <v>326</v>
      </c>
      <c r="U4727" t="s">
        <v>31</v>
      </c>
    </row>
    <row r="4728" spans="1:21">
      <c r="A4728" t="s">
        <v>7332</v>
      </c>
      <c r="B4728" t="s">
        <v>7333</v>
      </c>
      <c r="C4728" t="s">
        <v>1751</v>
      </c>
      <c r="D4728">
        <v>240000</v>
      </c>
      <c r="E4728">
        <v>12000</v>
      </c>
      <c r="G4728">
        <v>240000</v>
      </c>
      <c r="H4728">
        <v>5</v>
      </c>
      <c r="I4728" t="s">
        <v>585</v>
      </c>
      <c r="J4728">
        <v>48.3</v>
      </c>
      <c r="K4728">
        <v>3</v>
      </c>
      <c r="L4728">
        <v>5</v>
      </c>
      <c r="M4728" t="s">
        <v>6994</v>
      </c>
      <c r="N4728">
        <v>12</v>
      </c>
      <c r="O4728">
        <v>15</v>
      </c>
      <c r="P4728">
        <v>154556.70000000001</v>
      </c>
      <c r="Q4728">
        <v>232352.65</v>
      </c>
      <c r="R4728">
        <v>261</v>
      </c>
      <c r="S4728">
        <v>359</v>
      </c>
      <c r="T4728" t="s">
        <v>326</v>
      </c>
      <c r="U4728" t="s">
        <v>31</v>
      </c>
    </row>
    <row r="4729" spans="1:21">
      <c r="A4729" t="s">
        <v>7334</v>
      </c>
      <c r="B4729" t="s">
        <v>7180</v>
      </c>
      <c r="C4729" t="s">
        <v>94</v>
      </c>
      <c r="D4729">
        <v>320000</v>
      </c>
      <c r="F4729">
        <v>320000</v>
      </c>
      <c r="G4729">
        <v>320000</v>
      </c>
      <c r="H4729">
        <v>5</v>
      </c>
      <c r="I4729" t="s">
        <v>585</v>
      </c>
      <c r="J4729">
        <v>58.04</v>
      </c>
      <c r="K4729">
        <v>0</v>
      </c>
      <c r="L4729">
        <v>14</v>
      </c>
      <c r="M4729" t="s">
        <v>6994</v>
      </c>
      <c r="N4729">
        <v>7</v>
      </c>
      <c r="O4729">
        <v>7.67</v>
      </c>
      <c r="P4729">
        <v>154556.70000000001</v>
      </c>
      <c r="Q4729">
        <v>232352.65</v>
      </c>
      <c r="R4729">
        <v>261</v>
      </c>
      <c r="S4729">
        <v>359</v>
      </c>
      <c r="T4729" t="s">
        <v>332</v>
      </c>
      <c r="U4729" t="s">
        <v>81</v>
      </c>
    </row>
    <row r="4730" spans="1:21">
      <c r="A4730" t="s">
        <v>7335</v>
      </c>
      <c r="B4730" t="s">
        <v>7336</v>
      </c>
      <c r="C4730" t="s">
        <v>30</v>
      </c>
      <c r="D4730">
        <v>280000</v>
      </c>
      <c r="E4730">
        <v>10000</v>
      </c>
      <c r="F4730">
        <v>280000</v>
      </c>
      <c r="G4730">
        <v>280000</v>
      </c>
      <c r="H4730">
        <v>1</v>
      </c>
      <c r="I4730" t="s">
        <v>585</v>
      </c>
      <c r="J4730">
        <v>55.01</v>
      </c>
      <c r="K4730">
        <v>5</v>
      </c>
      <c r="L4730">
        <v>9</v>
      </c>
      <c r="M4730" t="s">
        <v>6994</v>
      </c>
      <c r="N4730">
        <v>4</v>
      </c>
      <c r="O4730">
        <v>6</v>
      </c>
      <c r="P4730">
        <v>154556.70000000001</v>
      </c>
      <c r="Q4730">
        <v>232352.65</v>
      </c>
      <c r="R4730">
        <v>261</v>
      </c>
      <c r="S4730">
        <v>359</v>
      </c>
      <c r="T4730" t="s">
        <v>332</v>
      </c>
      <c r="U4730" t="s">
        <v>31</v>
      </c>
    </row>
    <row r="4731" spans="1:21">
      <c r="A4731" t="s">
        <v>7337</v>
      </c>
      <c r="B4731" t="s">
        <v>7084</v>
      </c>
      <c r="C4731" t="s">
        <v>94</v>
      </c>
      <c r="D4731">
        <v>273000</v>
      </c>
      <c r="E4731">
        <v>12000</v>
      </c>
      <c r="F4731">
        <v>273000</v>
      </c>
      <c r="G4731">
        <v>409500</v>
      </c>
      <c r="H4731">
        <v>11</v>
      </c>
      <c r="I4731" t="s">
        <v>585</v>
      </c>
      <c r="J4731">
        <v>55.46</v>
      </c>
      <c r="K4731">
        <v>10</v>
      </c>
      <c r="L4731">
        <v>13</v>
      </c>
      <c r="M4731" t="s">
        <v>6994</v>
      </c>
      <c r="N4731">
        <v>8</v>
      </c>
      <c r="O4731">
        <v>12</v>
      </c>
      <c r="P4731">
        <v>154556.70000000001</v>
      </c>
      <c r="Q4731">
        <v>232352.65</v>
      </c>
      <c r="R4731">
        <v>261</v>
      </c>
      <c r="S4731">
        <v>359</v>
      </c>
      <c r="T4731" t="s">
        <v>332</v>
      </c>
      <c r="U4731" t="s">
        <v>31</v>
      </c>
    </row>
    <row r="4732" spans="1:21">
      <c r="A4732" t="s">
        <v>7338</v>
      </c>
      <c r="B4732" t="s">
        <v>7084</v>
      </c>
      <c r="C4732" t="s">
        <v>94</v>
      </c>
      <c r="D4732">
        <v>238000</v>
      </c>
      <c r="E4732">
        <v>12000</v>
      </c>
      <c r="F4732">
        <v>238000</v>
      </c>
      <c r="G4732">
        <v>238000</v>
      </c>
      <c r="H4732">
        <v>4</v>
      </c>
      <c r="I4732" t="s">
        <v>585</v>
      </c>
      <c r="J4732">
        <v>56.56</v>
      </c>
      <c r="K4732">
        <v>10</v>
      </c>
      <c r="L4732">
        <v>13</v>
      </c>
      <c r="M4732" t="s">
        <v>6994</v>
      </c>
      <c r="N4732">
        <v>8</v>
      </c>
      <c r="O4732">
        <v>12</v>
      </c>
      <c r="P4732">
        <v>154556.70000000001</v>
      </c>
      <c r="Q4732">
        <v>232352.65</v>
      </c>
      <c r="R4732">
        <v>261</v>
      </c>
      <c r="S4732">
        <v>359</v>
      </c>
      <c r="T4732" t="s">
        <v>332</v>
      </c>
      <c r="U4732" t="s">
        <v>31</v>
      </c>
    </row>
    <row r="4733" spans="1:21">
      <c r="A4733" t="s">
        <v>7339</v>
      </c>
      <c r="B4733" t="s">
        <v>7084</v>
      </c>
      <c r="C4733" t="s">
        <v>94</v>
      </c>
      <c r="D4733">
        <v>239000</v>
      </c>
      <c r="E4733">
        <v>12000</v>
      </c>
      <c r="F4733">
        <v>239000</v>
      </c>
      <c r="G4733">
        <v>239000</v>
      </c>
      <c r="H4733">
        <v>4</v>
      </c>
      <c r="I4733" t="s">
        <v>585</v>
      </c>
      <c r="J4733">
        <v>56.56</v>
      </c>
      <c r="K4733">
        <v>10</v>
      </c>
      <c r="L4733">
        <v>13</v>
      </c>
      <c r="M4733" t="s">
        <v>6994</v>
      </c>
      <c r="N4733">
        <v>8</v>
      </c>
      <c r="O4733">
        <v>12</v>
      </c>
      <c r="P4733">
        <v>154556.70000000001</v>
      </c>
      <c r="Q4733">
        <v>232352.65</v>
      </c>
      <c r="R4733">
        <v>261</v>
      </c>
      <c r="S4733">
        <v>359</v>
      </c>
      <c r="T4733" t="s">
        <v>332</v>
      </c>
      <c r="U4733" t="s">
        <v>31</v>
      </c>
    </row>
    <row r="4734" spans="1:21">
      <c r="A4734" t="s">
        <v>7340</v>
      </c>
      <c r="B4734" t="s">
        <v>7084</v>
      </c>
      <c r="C4734" t="s">
        <v>94</v>
      </c>
      <c r="D4734">
        <v>262000</v>
      </c>
      <c r="E4734">
        <v>12000</v>
      </c>
      <c r="F4734">
        <v>262000</v>
      </c>
      <c r="G4734">
        <v>262000</v>
      </c>
      <c r="H4734">
        <v>4</v>
      </c>
      <c r="I4734" t="s">
        <v>585</v>
      </c>
      <c r="J4734">
        <v>56.56</v>
      </c>
      <c r="K4734">
        <v>10</v>
      </c>
      <c r="L4734">
        <v>13</v>
      </c>
      <c r="M4734" t="s">
        <v>6994</v>
      </c>
      <c r="N4734">
        <v>8</v>
      </c>
      <c r="O4734">
        <v>12</v>
      </c>
      <c r="P4734">
        <v>154556.70000000001</v>
      </c>
      <c r="Q4734">
        <v>232352.65</v>
      </c>
      <c r="R4734">
        <v>261</v>
      </c>
      <c r="S4734">
        <v>359</v>
      </c>
      <c r="T4734" t="s">
        <v>332</v>
      </c>
      <c r="U4734" t="s">
        <v>31</v>
      </c>
    </row>
    <row r="4735" spans="1:21">
      <c r="A4735" t="s">
        <v>7341</v>
      </c>
      <c r="B4735" t="s">
        <v>7084</v>
      </c>
      <c r="C4735" t="s">
        <v>94</v>
      </c>
      <c r="D4735">
        <v>267000</v>
      </c>
      <c r="E4735">
        <v>12000</v>
      </c>
      <c r="F4735">
        <v>267000</v>
      </c>
      <c r="G4735">
        <v>267000</v>
      </c>
      <c r="H4735">
        <v>9</v>
      </c>
      <c r="I4735" t="s">
        <v>585</v>
      </c>
      <c r="J4735">
        <v>56.56</v>
      </c>
      <c r="K4735">
        <v>10</v>
      </c>
      <c r="L4735">
        <v>13</v>
      </c>
      <c r="M4735" t="s">
        <v>6994</v>
      </c>
      <c r="N4735">
        <v>8</v>
      </c>
      <c r="O4735">
        <v>12</v>
      </c>
      <c r="P4735">
        <v>154556.70000000001</v>
      </c>
      <c r="Q4735">
        <v>232352.65</v>
      </c>
      <c r="R4735">
        <v>261</v>
      </c>
      <c r="S4735">
        <v>359</v>
      </c>
      <c r="T4735" t="s">
        <v>332</v>
      </c>
      <c r="U4735" t="s">
        <v>31</v>
      </c>
    </row>
    <row r="4736" spans="1:21">
      <c r="A4736" t="s">
        <v>7342</v>
      </c>
      <c r="B4736" t="s">
        <v>7343</v>
      </c>
      <c r="C4736" t="s">
        <v>48</v>
      </c>
      <c r="D4736">
        <v>248000</v>
      </c>
      <c r="F4736">
        <v>496000</v>
      </c>
      <c r="G4736">
        <v>248000</v>
      </c>
      <c r="H4736">
        <v>1</v>
      </c>
      <c r="I4736" t="s">
        <v>585</v>
      </c>
      <c r="J4736">
        <v>63.38</v>
      </c>
      <c r="K4736">
        <v>5</v>
      </c>
      <c r="L4736">
        <v>3</v>
      </c>
      <c r="M4736" t="s">
        <v>6994</v>
      </c>
      <c r="N4736">
        <v>8</v>
      </c>
      <c r="O4736">
        <v>12.33</v>
      </c>
      <c r="P4736">
        <v>154556.70000000001</v>
      </c>
      <c r="Q4736">
        <v>232352.65</v>
      </c>
      <c r="R4736">
        <v>261</v>
      </c>
      <c r="S4736">
        <v>359</v>
      </c>
      <c r="T4736" t="s">
        <v>593</v>
      </c>
      <c r="U4736" t="s">
        <v>31</v>
      </c>
    </row>
    <row r="4737" spans="1:21">
      <c r="A4737" t="s">
        <v>7342</v>
      </c>
      <c r="B4737" t="s">
        <v>7343</v>
      </c>
      <c r="C4737" t="s">
        <v>48</v>
      </c>
      <c r="D4737">
        <v>248000</v>
      </c>
      <c r="F4737">
        <v>496000</v>
      </c>
      <c r="G4737">
        <v>248000</v>
      </c>
      <c r="H4737">
        <v>2</v>
      </c>
      <c r="I4737" t="s">
        <v>585</v>
      </c>
      <c r="J4737">
        <v>63.38</v>
      </c>
      <c r="K4737">
        <v>5</v>
      </c>
      <c r="L4737">
        <v>3</v>
      </c>
      <c r="M4737" t="s">
        <v>6994</v>
      </c>
      <c r="N4737">
        <v>8</v>
      </c>
      <c r="O4737">
        <v>12.33</v>
      </c>
      <c r="P4737">
        <v>154556.70000000001</v>
      </c>
      <c r="Q4737">
        <v>232352.65</v>
      </c>
      <c r="R4737">
        <v>261</v>
      </c>
      <c r="S4737">
        <v>359</v>
      </c>
      <c r="T4737" t="s">
        <v>593</v>
      </c>
      <c r="U4737" t="s">
        <v>31</v>
      </c>
    </row>
    <row r="4738" spans="1:21">
      <c r="A4738" t="s">
        <v>7342</v>
      </c>
      <c r="B4738" t="s">
        <v>7343</v>
      </c>
      <c r="C4738" t="s">
        <v>48</v>
      </c>
      <c r="D4738">
        <v>248000</v>
      </c>
      <c r="F4738">
        <v>496000</v>
      </c>
      <c r="G4738">
        <v>248000</v>
      </c>
      <c r="H4738">
        <v>3</v>
      </c>
      <c r="I4738" t="s">
        <v>585</v>
      </c>
      <c r="J4738">
        <v>63.38</v>
      </c>
      <c r="K4738">
        <v>5</v>
      </c>
      <c r="L4738">
        <v>3</v>
      </c>
      <c r="M4738" t="s">
        <v>6994</v>
      </c>
      <c r="N4738">
        <v>8</v>
      </c>
      <c r="O4738">
        <v>12.33</v>
      </c>
      <c r="P4738">
        <v>154556.70000000001</v>
      </c>
      <c r="Q4738">
        <v>232352.65</v>
      </c>
      <c r="R4738">
        <v>261</v>
      </c>
      <c r="S4738">
        <v>359</v>
      </c>
      <c r="T4738" t="s">
        <v>593</v>
      </c>
      <c r="U4738" t="s">
        <v>31</v>
      </c>
    </row>
    <row r="4739" spans="1:21">
      <c r="A4739" t="s">
        <v>7344</v>
      </c>
      <c r="B4739" t="s">
        <v>7345</v>
      </c>
      <c r="C4739" t="s">
        <v>48</v>
      </c>
      <c r="D4739">
        <v>248000</v>
      </c>
      <c r="F4739">
        <v>496000</v>
      </c>
      <c r="G4739">
        <v>248000</v>
      </c>
      <c r="H4739">
        <v>1</v>
      </c>
      <c r="I4739" t="s">
        <v>585</v>
      </c>
      <c r="J4739">
        <v>63.38</v>
      </c>
      <c r="K4739">
        <v>5</v>
      </c>
      <c r="L4739">
        <v>3</v>
      </c>
      <c r="M4739" t="s">
        <v>6994</v>
      </c>
      <c r="N4739">
        <v>8</v>
      </c>
      <c r="O4739">
        <v>12.33</v>
      </c>
      <c r="P4739">
        <v>154556.70000000001</v>
      </c>
      <c r="Q4739">
        <v>232352.65</v>
      </c>
      <c r="R4739">
        <v>261</v>
      </c>
      <c r="S4739">
        <v>359</v>
      </c>
      <c r="T4739" t="s">
        <v>593</v>
      </c>
      <c r="U4739" t="s">
        <v>31</v>
      </c>
    </row>
    <row r="4740" spans="1:21">
      <c r="A4740" t="s">
        <v>7344</v>
      </c>
      <c r="B4740" t="s">
        <v>7345</v>
      </c>
      <c r="C4740" t="s">
        <v>48</v>
      </c>
      <c r="D4740">
        <v>248000</v>
      </c>
      <c r="F4740">
        <v>496000</v>
      </c>
      <c r="G4740">
        <v>248000</v>
      </c>
      <c r="H4740">
        <v>2</v>
      </c>
      <c r="I4740" t="s">
        <v>585</v>
      </c>
      <c r="J4740">
        <v>63.38</v>
      </c>
      <c r="K4740">
        <v>5</v>
      </c>
      <c r="L4740">
        <v>3</v>
      </c>
      <c r="M4740" t="s">
        <v>6994</v>
      </c>
      <c r="N4740">
        <v>8</v>
      </c>
      <c r="O4740">
        <v>12.33</v>
      </c>
      <c r="P4740">
        <v>154556.70000000001</v>
      </c>
      <c r="Q4740">
        <v>232352.65</v>
      </c>
      <c r="R4740">
        <v>261</v>
      </c>
      <c r="S4740">
        <v>359</v>
      </c>
      <c r="T4740" t="s">
        <v>593</v>
      </c>
      <c r="U4740" t="s">
        <v>31</v>
      </c>
    </row>
    <row r="4741" spans="1:21">
      <c r="A4741" t="s">
        <v>7344</v>
      </c>
      <c r="B4741" t="s">
        <v>7345</v>
      </c>
      <c r="C4741" t="s">
        <v>48</v>
      </c>
      <c r="D4741">
        <v>248000</v>
      </c>
      <c r="F4741">
        <v>496000</v>
      </c>
      <c r="G4741">
        <v>248000</v>
      </c>
      <c r="H4741">
        <v>3</v>
      </c>
      <c r="I4741" t="s">
        <v>585</v>
      </c>
      <c r="J4741">
        <v>63.38</v>
      </c>
      <c r="K4741">
        <v>5</v>
      </c>
      <c r="L4741">
        <v>3</v>
      </c>
      <c r="M4741" t="s">
        <v>6994</v>
      </c>
      <c r="N4741">
        <v>8</v>
      </c>
      <c r="O4741">
        <v>12.33</v>
      </c>
      <c r="P4741">
        <v>154556.70000000001</v>
      </c>
      <c r="Q4741">
        <v>232352.65</v>
      </c>
      <c r="R4741">
        <v>261</v>
      </c>
      <c r="S4741">
        <v>359</v>
      </c>
      <c r="T4741" t="s">
        <v>593</v>
      </c>
      <c r="U4741" t="s">
        <v>31</v>
      </c>
    </row>
    <row r="4742" spans="1:21">
      <c r="A4742" t="s">
        <v>7346</v>
      </c>
      <c r="B4742" t="s">
        <v>7345</v>
      </c>
      <c r="C4742" t="s">
        <v>48</v>
      </c>
      <c r="D4742">
        <v>248000</v>
      </c>
      <c r="F4742">
        <v>496000</v>
      </c>
      <c r="G4742">
        <v>248000</v>
      </c>
      <c r="H4742">
        <v>1</v>
      </c>
      <c r="I4742" t="s">
        <v>585</v>
      </c>
      <c r="J4742">
        <v>63.38</v>
      </c>
      <c r="K4742">
        <v>5</v>
      </c>
      <c r="L4742">
        <v>3</v>
      </c>
      <c r="M4742" t="s">
        <v>6994</v>
      </c>
      <c r="N4742">
        <v>9</v>
      </c>
      <c r="O4742">
        <v>12.67</v>
      </c>
      <c r="P4742">
        <v>154556.70000000001</v>
      </c>
      <c r="Q4742">
        <v>232352.65</v>
      </c>
      <c r="R4742">
        <v>261</v>
      </c>
      <c r="S4742">
        <v>359</v>
      </c>
      <c r="T4742" t="s">
        <v>593</v>
      </c>
      <c r="U4742" t="s">
        <v>31</v>
      </c>
    </row>
    <row r="4743" spans="1:21">
      <c r="A4743" t="s">
        <v>7347</v>
      </c>
      <c r="B4743" t="s">
        <v>7108</v>
      </c>
      <c r="C4743" t="s">
        <v>94</v>
      </c>
      <c r="D4743">
        <v>273000</v>
      </c>
      <c r="E4743">
        <v>12000</v>
      </c>
      <c r="F4743">
        <v>273000</v>
      </c>
      <c r="G4743">
        <v>409500</v>
      </c>
      <c r="H4743">
        <v>11</v>
      </c>
      <c r="I4743" t="s">
        <v>585</v>
      </c>
      <c r="J4743">
        <v>55.46</v>
      </c>
      <c r="K4743">
        <v>10</v>
      </c>
      <c r="L4743">
        <v>13</v>
      </c>
      <c r="M4743" t="s">
        <v>6994</v>
      </c>
      <c r="N4743">
        <v>8</v>
      </c>
      <c r="O4743">
        <v>8.67</v>
      </c>
      <c r="P4743">
        <v>154556.70000000001</v>
      </c>
      <c r="Q4743">
        <v>232352.65</v>
      </c>
      <c r="R4743">
        <v>261</v>
      </c>
      <c r="S4743">
        <v>359</v>
      </c>
      <c r="T4743" t="s">
        <v>332</v>
      </c>
      <c r="U4743" t="s">
        <v>31</v>
      </c>
    </row>
    <row r="4744" spans="1:21">
      <c r="A4744" t="s">
        <v>7348</v>
      </c>
      <c r="B4744" t="s">
        <v>7108</v>
      </c>
      <c r="C4744" t="s">
        <v>94</v>
      </c>
      <c r="D4744">
        <v>238000</v>
      </c>
      <c r="E4744">
        <v>12000</v>
      </c>
      <c r="F4744">
        <v>238000</v>
      </c>
      <c r="G4744">
        <v>238000</v>
      </c>
      <c r="H4744">
        <v>4</v>
      </c>
      <c r="I4744" t="s">
        <v>585</v>
      </c>
      <c r="J4744">
        <v>56.56</v>
      </c>
      <c r="K4744">
        <v>10</v>
      </c>
      <c r="L4744">
        <v>13</v>
      </c>
      <c r="M4744" t="s">
        <v>6994</v>
      </c>
      <c r="N4744">
        <v>8</v>
      </c>
      <c r="O4744">
        <v>8.67</v>
      </c>
      <c r="P4744">
        <v>154556.70000000001</v>
      </c>
      <c r="Q4744">
        <v>232352.65</v>
      </c>
      <c r="R4744">
        <v>261</v>
      </c>
      <c r="S4744">
        <v>359</v>
      </c>
      <c r="T4744" t="s">
        <v>332</v>
      </c>
      <c r="U4744" t="s">
        <v>31</v>
      </c>
    </row>
    <row r="4745" spans="1:21">
      <c r="A4745" t="s">
        <v>7349</v>
      </c>
      <c r="B4745" t="s">
        <v>7108</v>
      </c>
      <c r="C4745" t="s">
        <v>94</v>
      </c>
      <c r="D4745">
        <v>239000</v>
      </c>
      <c r="E4745">
        <v>12000</v>
      </c>
      <c r="F4745">
        <v>239000</v>
      </c>
      <c r="G4745">
        <v>239000</v>
      </c>
      <c r="H4745">
        <v>4</v>
      </c>
      <c r="I4745" t="s">
        <v>585</v>
      </c>
      <c r="J4745">
        <v>56.56</v>
      </c>
      <c r="K4745">
        <v>10</v>
      </c>
      <c r="L4745">
        <v>13</v>
      </c>
      <c r="M4745" t="s">
        <v>6994</v>
      </c>
      <c r="N4745">
        <v>8</v>
      </c>
      <c r="O4745">
        <v>8.67</v>
      </c>
      <c r="P4745">
        <v>154556.70000000001</v>
      </c>
      <c r="Q4745">
        <v>232352.65</v>
      </c>
      <c r="R4745">
        <v>261</v>
      </c>
      <c r="S4745">
        <v>359</v>
      </c>
      <c r="T4745" t="s">
        <v>332</v>
      </c>
      <c r="U4745" t="s">
        <v>31</v>
      </c>
    </row>
    <row r="4746" spans="1:21">
      <c r="A4746" t="s">
        <v>7350</v>
      </c>
      <c r="B4746" t="s">
        <v>7217</v>
      </c>
      <c r="C4746" t="s">
        <v>7055</v>
      </c>
      <c r="D4746">
        <v>325800</v>
      </c>
      <c r="E4746">
        <v>13000</v>
      </c>
      <c r="F4746">
        <v>325800</v>
      </c>
      <c r="G4746">
        <v>325800</v>
      </c>
      <c r="H4746">
        <v>2</v>
      </c>
      <c r="I4746" t="s">
        <v>585</v>
      </c>
      <c r="J4746">
        <v>61.47</v>
      </c>
      <c r="K4746">
        <v>2</v>
      </c>
      <c r="L4746">
        <v>4</v>
      </c>
      <c r="M4746" t="s">
        <v>6994</v>
      </c>
      <c r="N4746">
        <v>4</v>
      </c>
      <c r="O4746">
        <v>11</v>
      </c>
      <c r="P4746">
        <v>154556.70000000001</v>
      </c>
      <c r="Q4746">
        <v>232352.65</v>
      </c>
      <c r="R4746">
        <v>261</v>
      </c>
      <c r="S4746">
        <v>359</v>
      </c>
      <c r="T4746" t="s">
        <v>593</v>
      </c>
      <c r="U4746" t="s">
        <v>31</v>
      </c>
    </row>
    <row r="4747" spans="1:21">
      <c r="A4747" t="s">
        <v>7351</v>
      </c>
      <c r="B4747" t="s">
        <v>7217</v>
      </c>
      <c r="C4747" t="s">
        <v>7055</v>
      </c>
      <c r="D4747">
        <v>296400</v>
      </c>
      <c r="E4747">
        <v>12000</v>
      </c>
      <c r="F4747">
        <v>296400</v>
      </c>
      <c r="G4747">
        <v>296400</v>
      </c>
      <c r="H4747">
        <v>3</v>
      </c>
      <c r="I4747" t="s">
        <v>585</v>
      </c>
      <c r="J4747">
        <v>52.92</v>
      </c>
      <c r="K4747">
        <v>2</v>
      </c>
      <c r="L4747">
        <v>4</v>
      </c>
      <c r="M4747" t="s">
        <v>6994</v>
      </c>
      <c r="N4747">
        <v>4</v>
      </c>
      <c r="O4747">
        <v>11</v>
      </c>
      <c r="P4747">
        <v>154556.70000000001</v>
      </c>
      <c r="Q4747">
        <v>232352.65</v>
      </c>
      <c r="R4747">
        <v>261</v>
      </c>
      <c r="S4747">
        <v>359</v>
      </c>
      <c r="T4747" t="s">
        <v>332</v>
      </c>
      <c r="U4747" t="s">
        <v>31</v>
      </c>
    </row>
    <row r="4748" spans="1:21">
      <c r="A4748" t="s">
        <v>7352</v>
      </c>
      <c r="B4748" t="s">
        <v>7217</v>
      </c>
      <c r="C4748" t="s">
        <v>7055</v>
      </c>
      <c r="D4748">
        <v>313800</v>
      </c>
      <c r="E4748">
        <v>12000</v>
      </c>
      <c r="F4748">
        <v>313800</v>
      </c>
      <c r="G4748">
        <v>313800</v>
      </c>
      <c r="H4748">
        <v>3</v>
      </c>
      <c r="I4748" t="s">
        <v>585</v>
      </c>
      <c r="J4748">
        <v>55.04</v>
      </c>
      <c r="K4748">
        <v>2</v>
      </c>
      <c r="L4748">
        <v>4</v>
      </c>
      <c r="M4748" t="s">
        <v>6994</v>
      </c>
      <c r="N4748">
        <v>4</v>
      </c>
      <c r="O4748">
        <v>11</v>
      </c>
      <c r="P4748">
        <v>154556.70000000001</v>
      </c>
      <c r="Q4748">
        <v>232352.65</v>
      </c>
      <c r="R4748">
        <v>261</v>
      </c>
      <c r="S4748">
        <v>359</v>
      </c>
      <c r="T4748" t="s">
        <v>332</v>
      </c>
      <c r="U4748" t="s">
        <v>31</v>
      </c>
    </row>
    <row r="4749" spans="1:21">
      <c r="A4749" t="s">
        <v>7353</v>
      </c>
      <c r="B4749" t="s">
        <v>7217</v>
      </c>
      <c r="C4749" t="s">
        <v>7055</v>
      </c>
      <c r="D4749">
        <v>566100</v>
      </c>
      <c r="E4749">
        <v>30000</v>
      </c>
      <c r="F4749">
        <v>566100</v>
      </c>
      <c r="G4749">
        <v>849200</v>
      </c>
      <c r="H4749">
        <v>4</v>
      </c>
      <c r="I4749" t="s">
        <v>585</v>
      </c>
      <c r="J4749">
        <v>62.89</v>
      </c>
      <c r="K4749">
        <v>2</v>
      </c>
      <c r="L4749">
        <v>4</v>
      </c>
      <c r="M4749" t="s">
        <v>6994</v>
      </c>
      <c r="N4749">
        <v>4</v>
      </c>
      <c r="O4749">
        <v>11</v>
      </c>
      <c r="P4749">
        <v>154556.70000000001</v>
      </c>
      <c r="Q4749">
        <v>232352.65</v>
      </c>
      <c r="R4749">
        <v>261</v>
      </c>
      <c r="S4749">
        <v>359</v>
      </c>
      <c r="T4749" t="s">
        <v>593</v>
      </c>
      <c r="U4749" t="s">
        <v>31</v>
      </c>
    </row>
    <row r="4750" spans="1:21">
      <c r="A4750" t="s">
        <v>7354</v>
      </c>
      <c r="B4750" t="s">
        <v>7336</v>
      </c>
      <c r="C4750" t="s">
        <v>30</v>
      </c>
      <c r="D4750">
        <v>400000</v>
      </c>
      <c r="F4750">
        <v>400000</v>
      </c>
      <c r="G4750">
        <v>400000</v>
      </c>
      <c r="H4750">
        <v>8</v>
      </c>
      <c r="I4750" t="s">
        <v>642</v>
      </c>
      <c r="J4750">
        <v>65.81</v>
      </c>
      <c r="K4750">
        <v>5</v>
      </c>
      <c r="L4750">
        <v>9</v>
      </c>
      <c r="M4750" t="s">
        <v>6994</v>
      </c>
      <c r="N4750">
        <v>4</v>
      </c>
      <c r="O4750">
        <v>6</v>
      </c>
      <c r="P4750">
        <v>154556.70000000001</v>
      </c>
      <c r="Q4750">
        <v>282153.84999999998</v>
      </c>
      <c r="R4750">
        <v>261</v>
      </c>
      <c r="S4750">
        <v>26</v>
      </c>
      <c r="T4750" t="s">
        <v>593</v>
      </c>
      <c r="U4750" t="s">
        <v>31</v>
      </c>
    </row>
    <row r="4751" spans="1:21">
      <c r="A4751" t="s">
        <v>7355</v>
      </c>
      <c r="B4751" t="s">
        <v>7356</v>
      </c>
      <c r="C4751" t="s">
        <v>94</v>
      </c>
      <c r="D4751">
        <v>160000</v>
      </c>
      <c r="E4751">
        <v>10000</v>
      </c>
      <c r="F4751">
        <v>160000</v>
      </c>
      <c r="G4751">
        <v>160000</v>
      </c>
      <c r="H4751">
        <v>2</v>
      </c>
      <c r="I4751" t="s">
        <v>647</v>
      </c>
      <c r="J4751">
        <v>60</v>
      </c>
      <c r="K4751">
        <v>37</v>
      </c>
      <c r="L4751">
        <v>4</v>
      </c>
      <c r="M4751" t="s">
        <v>6994</v>
      </c>
      <c r="N4751">
        <v>8</v>
      </c>
      <c r="O4751">
        <v>12.67</v>
      </c>
      <c r="P4751">
        <v>154556.70000000001</v>
      </c>
      <c r="Q4751">
        <v>184333.33</v>
      </c>
      <c r="R4751">
        <v>261</v>
      </c>
      <c r="S4751">
        <v>18</v>
      </c>
      <c r="T4751" t="s">
        <v>593</v>
      </c>
      <c r="U4751" t="s">
        <v>49</v>
      </c>
    </row>
    <row r="4752" spans="1:21">
      <c r="A4752" t="s">
        <v>7357</v>
      </c>
      <c r="B4752" t="s">
        <v>7358</v>
      </c>
      <c r="C4752" t="s">
        <v>94</v>
      </c>
      <c r="D4752">
        <v>160000</v>
      </c>
      <c r="E4752">
        <v>10000</v>
      </c>
      <c r="F4752">
        <v>160000</v>
      </c>
      <c r="G4752">
        <v>160000</v>
      </c>
      <c r="H4752">
        <v>2</v>
      </c>
      <c r="I4752" t="s">
        <v>647</v>
      </c>
      <c r="J4752">
        <v>60</v>
      </c>
      <c r="K4752">
        <v>37</v>
      </c>
      <c r="L4752">
        <v>5</v>
      </c>
      <c r="M4752" t="s">
        <v>6994</v>
      </c>
      <c r="N4752">
        <v>8</v>
      </c>
      <c r="O4752">
        <v>12.67</v>
      </c>
      <c r="P4752">
        <v>154556.70000000001</v>
      </c>
      <c r="Q4752">
        <v>184333.33</v>
      </c>
      <c r="R4752">
        <v>261</v>
      </c>
      <c r="S4752">
        <v>18</v>
      </c>
      <c r="T4752" t="s">
        <v>593</v>
      </c>
      <c r="U4752" t="s">
        <v>49</v>
      </c>
    </row>
    <row r="4753" spans="1:21">
      <c r="A4753" t="s">
        <v>7359</v>
      </c>
      <c r="B4753" t="s">
        <v>7324</v>
      </c>
      <c r="C4753" t="s">
        <v>45</v>
      </c>
      <c r="D4753">
        <v>175000</v>
      </c>
      <c r="E4753">
        <v>10000</v>
      </c>
      <c r="F4753">
        <v>175000</v>
      </c>
      <c r="G4753">
        <v>175000</v>
      </c>
      <c r="H4753">
        <v>13</v>
      </c>
      <c r="I4753" t="s">
        <v>652</v>
      </c>
      <c r="J4753">
        <v>56.79</v>
      </c>
      <c r="K4753">
        <v>57</v>
      </c>
      <c r="L4753">
        <v>14</v>
      </c>
      <c r="M4753" t="s">
        <v>6994</v>
      </c>
      <c r="N4753">
        <v>5</v>
      </c>
      <c r="O4753">
        <v>9.67</v>
      </c>
      <c r="P4753">
        <v>154556.70000000001</v>
      </c>
      <c r="Q4753">
        <v>163600</v>
      </c>
      <c r="R4753">
        <v>261</v>
      </c>
      <c r="S4753">
        <v>5</v>
      </c>
      <c r="T4753" t="s">
        <v>332</v>
      </c>
      <c r="U4753" t="s">
        <v>57</v>
      </c>
    </row>
    <row r="4754" spans="1:21">
      <c r="A4754" t="s">
        <v>7360</v>
      </c>
      <c r="B4754" t="s">
        <v>7361</v>
      </c>
      <c r="C4754" t="s">
        <v>45</v>
      </c>
      <c r="D4754">
        <v>175000</v>
      </c>
      <c r="E4754">
        <v>10000</v>
      </c>
      <c r="F4754">
        <v>175000</v>
      </c>
      <c r="G4754">
        <v>175000</v>
      </c>
      <c r="H4754">
        <v>13</v>
      </c>
      <c r="I4754" t="s">
        <v>652</v>
      </c>
      <c r="J4754">
        <v>56.79</v>
      </c>
      <c r="K4754">
        <v>57</v>
      </c>
      <c r="L4754">
        <v>14</v>
      </c>
      <c r="M4754" t="s">
        <v>6994</v>
      </c>
      <c r="N4754">
        <v>6</v>
      </c>
      <c r="O4754">
        <v>11</v>
      </c>
      <c r="P4754">
        <v>154556.70000000001</v>
      </c>
      <c r="Q4754">
        <v>163600</v>
      </c>
      <c r="R4754">
        <v>261</v>
      </c>
      <c r="S4754">
        <v>5</v>
      </c>
      <c r="T4754" t="s">
        <v>332</v>
      </c>
      <c r="U4754" t="s">
        <v>57</v>
      </c>
    </row>
    <row r="4755" spans="1:21">
      <c r="A4755" t="s">
        <v>7362</v>
      </c>
      <c r="B4755" t="s">
        <v>7363</v>
      </c>
      <c r="C4755" t="s">
        <v>48</v>
      </c>
      <c r="D4755">
        <v>390000</v>
      </c>
      <c r="F4755">
        <v>390000</v>
      </c>
      <c r="G4755">
        <v>390000</v>
      </c>
      <c r="H4755">
        <v>1</v>
      </c>
      <c r="I4755" t="s">
        <v>654</v>
      </c>
      <c r="J4755">
        <v>75.959999999999994</v>
      </c>
      <c r="K4755">
        <v>4</v>
      </c>
      <c r="L4755">
        <v>3</v>
      </c>
      <c r="M4755" t="s">
        <v>6994</v>
      </c>
      <c r="N4755">
        <v>9</v>
      </c>
      <c r="O4755">
        <v>13</v>
      </c>
      <c r="P4755">
        <v>154556.70000000001</v>
      </c>
      <c r="Q4755">
        <v>288705.81</v>
      </c>
      <c r="R4755">
        <v>261</v>
      </c>
      <c r="S4755">
        <v>155</v>
      </c>
      <c r="T4755" t="s">
        <v>596</v>
      </c>
      <c r="U4755" t="s">
        <v>31</v>
      </c>
    </row>
    <row r="4756" spans="1:21">
      <c r="A4756" t="s">
        <v>7362</v>
      </c>
      <c r="B4756" t="s">
        <v>7363</v>
      </c>
      <c r="C4756" t="s">
        <v>48</v>
      </c>
      <c r="D4756">
        <v>390000</v>
      </c>
      <c r="F4756">
        <v>390000</v>
      </c>
      <c r="G4756">
        <v>390000</v>
      </c>
      <c r="H4756">
        <v>2</v>
      </c>
      <c r="I4756" t="s">
        <v>654</v>
      </c>
      <c r="J4756">
        <v>75.959999999999994</v>
      </c>
      <c r="K4756">
        <v>4</v>
      </c>
      <c r="L4756">
        <v>3</v>
      </c>
      <c r="M4756" t="s">
        <v>6994</v>
      </c>
      <c r="N4756">
        <v>9</v>
      </c>
      <c r="O4756">
        <v>13</v>
      </c>
      <c r="P4756">
        <v>154556.70000000001</v>
      </c>
      <c r="Q4756">
        <v>288705.81</v>
      </c>
      <c r="R4756">
        <v>261</v>
      </c>
      <c r="S4756">
        <v>155</v>
      </c>
      <c r="T4756" t="s">
        <v>596</v>
      </c>
      <c r="U4756" t="s">
        <v>31</v>
      </c>
    </row>
    <row r="4757" spans="1:21">
      <c r="A4757" t="s">
        <v>7362</v>
      </c>
      <c r="B4757" t="s">
        <v>7363</v>
      </c>
      <c r="C4757" t="s">
        <v>48</v>
      </c>
      <c r="D4757">
        <v>390000</v>
      </c>
      <c r="F4757">
        <v>390000</v>
      </c>
      <c r="G4757">
        <v>390000</v>
      </c>
      <c r="H4757">
        <v>3</v>
      </c>
      <c r="I4757" t="s">
        <v>654</v>
      </c>
      <c r="J4757">
        <v>75.959999999999994</v>
      </c>
      <c r="K4757">
        <v>4</v>
      </c>
      <c r="L4757">
        <v>3</v>
      </c>
      <c r="M4757" t="s">
        <v>6994</v>
      </c>
      <c r="N4757">
        <v>9</v>
      </c>
      <c r="O4757">
        <v>13</v>
      </c>
      <c r="P4757">
        <v>154556.70000000001</v>
      </c>
      <c r="Q4757">
        <v>288705.81</v>
      </c>
      <c r="R4757">
        <v>261</v>
      </c>
      <c r="S4757">
        <v>155</v>
      </c>
      <c r="T4757" t="s">
        <v>596</v>
      </c>
      <c r="U4757" t="s">
        <v>31</v>
      </c>
    </row>
    <row r="4758" spans="1:21">
      <c r="A4758" t="s">
        <v>7364</v>
      </c>
      <c r="B4758" t="s">
        <v>7180</v>
      </c>
      <c r="C4758" t="s">
        <v>94</v>
      </c>
      <c r="D4758">
        <v>299000</v>
      </c>
      <c r="E4758">
        <v>29000</v>
      </c>
      <c r="F4758">
        <v>149500</v>
      </c>
      <c r="G4758">
        <v>299000</v>
      </c>
      <c r="H4758">
        <v>2</v>
      </c>
      <c r="I4758" t="s">
        <v>654</v>
      </c>
      <c r="J4758">
        <v>64.64</v>
      </c>
      <c r="K4758">
        <v>0</v>
      </c>
      <c r="L4758">
        <v>14</v>
      </c>
      <c r="M4758" t="s">
        <v>6994</v>
      </c>
      <c r="N4758">
        <v>7</v>
      </c>
      <c r="O4758">
        <v>7.67</v>
      </c>
      <c r="P4758">
        <v>154556.70000000001</v>
      </c>
      <c r="Q4758">
        <v>288705.81</v>
      </c>
      <c r="R4758">
        <v>261</v>
      </c>
      <c r="S4758">
        <v>155</v>
      </c>
      <c r="T4758" t="s">
        <v>593</v>
      </c>
      <c r="U4758" t="s">
        <v>81</v>
      </c>
    </row>
    <row r="4759" spans="1:21">
      <c r="A4759" t="s">
        <v>7365</v>
      </c>
      <c r="B4759" t="s">
        <v>7180</v>
      </c>
      <c r="C4759" t="s">
        <v>94</v>
      </c>
      <c r="D4759">
        <v>290000</v>
      </c>
      <c r="E4759">
        <v>19000</v>
      </c>
      <c r="F4759">
        <v>145000</v>
      </c>
      <c r="G4759">
        <v>145000</v>
      </c>
      <c r="H4759">
        <v>2</v>
      </c>
      <c r="I4759" t="s">
        <v>654</v>
      </c>
      <c r="J4759">
        <v>64.64</v>
      </c>
      <c r="K4759">
        <v>0</v>
      </c>
      <c r="L4759">
        <v>14</v>
      </c>
      <c r="M4759" t="s">
        <v>6994</v>
      </c>
      <c r="N4759">
        <v>7</v>
      </c>
      <c r="O4759">
        <v>7.67</v>
      </c>
      <c r="P4759">
        <v>154556.70000000001</v>
      </c>
      <c r="Q4759">
        <v>288705.81</v>
      </c>
      <c r="R4759">
        <v>261</v>
      </c>
      <c r="S4759">
        <v>155</v>
      </c>
      <c r="T4759" t="s">
        <v>593</v>
      </c>
      <c r="U4759" t="s">
        <v>81</v>
      </c>
    </row>
    <row r="4760" spans="1:21">
      <c r="A4760" t="s">
        <v>7366</v>
      </c>
      <c r="B4760" t="s">
        <v>7180</v>
      </c>
      <c r="C4760" t="s">
        <v>94</v>
      </c>
      <c r="D4760">
        <v>315000</v>
      </c>
      <c r="E4760">
        <v>29000</v>
      </c>
      <c r="F4760">
        <v>315000</v>
      </c>
      <c r="G4760">
        <v>346500</v>
      </c>
      <c r="H4760">
        <v>2</v>
      </c>
      <c r="I4760" t="s">
        <v>654</v>
      </c>
      <c r="J4760">
        <v>64.64</v>
      </c>
      <c r="K4760">
        <v>0</v>
      </c>
      <c r="L4760">
        <v>14</v>
      </c>
      <c r="M4760" t="s">
        <v>6994</v>
      </c>
      <c r="N4760">
        <v>7</v>
      </c>
      <c r="O4760">
        <v>7.67</v>
      </c>
      <c r="P4760">
        <v>154556.70000000001</v>
      </c>
      <c r="Q4760">
        <v>288705.81</v>
      </c>
      <c r="R4760">
        <v>261</v>
      </c>
      <c r="S4760">
        <v>155</v>
      </c>
      <c r="T4760" t="s">
        <v>593</v>
      </c>
      <c r="U4760" t="s">
        <v>81</v>
      </c>
    </row>
    <row r="4761" spans="1:21">
      <c r="A4761" t="s">
        <v>7367</v>
      </c>
      <c r="B4761" t="s">
        <v>7180</v>
      </c>
      <c r="C4761" t="s">
        <v>94</v>
      </c>
      <c r="D4761">
        <v>380000</v>
      </c>
      <c r="E4761">
        <v>20000</v>
      </c>
      <c r="F4761">
        <v>380000</v>
      </c>
      <c r="G4761">
        <v>380000</v>
      </c>
      <c r="H4761">
        <v>6</v>
      </c>
      <c r="I4761" t="s">
        <v>654</v>
      </c>
      <c r="J4761">
        <v>70.03</v>
      </c>
      <c r="K4761">
        <v>0</v>
      </c>
      <c r="L4761">
        <v>14</v>
      </c>
      <c r="M4761" t="s">
        <v>6994</v>
      </c>
      <c r="N4761">
        <v>7</v>
      </c>
      <c r="O4761">
        <v>7.67</v>
      </c>
      <c r="P4761">
        <v>154556.70000000001</v>
      </c>
      <c r="Q4761">
        <v>288705.81</v>
      </c>
      <c r="R4761">
        <v>261</v>
      </c>
      <c r="S4761">
        <v>155</v>
      </c>
      <c r="T4761" t="s">
        <v>596</v>
      </c>
      <c r="U4761" t="s">
        <v>81</v>
      </c>
    </row>
    <row r="4762" spans="1:21">
      <c r="A4762" t="s">
        <v>7368</v>
      </c>
      <c r="B4762" t="s">
        <v>7180</v>
      </c>
      <c r="C4762" t="s">
        <v>94</v>
      </c>
      <c r="D4762">
        <v>420000</v>
      </c>
      <c r="E4762">
        <v>30000</v>
      </c>
      <c r="F4762">
        <v>840000</v>
      </c>
      <c r="G4762">
        <v>420000</v>
      </c>
      <c r="H4762">
        <v>6</v>
      </c>
      <c r="I4762" t="s">
        <v>654</v>
      </c>
      <c r="J4762">
        <v>70.83</v>
      </c>
      <c r="K4762">
        <v>0</v>
      </c>
      <c r="L4762">
        <v>14</v>
      </c>
      <c r="M4762" t="s">
        <v>6994</v>
      </c>
      <c r="N4762">
        <v>7</v>
      </c>
      <c r="O4762">
        <v>7.67</v>
      </c>
      <c r="P4762">
        <v>154556.70000000001</v>
      </c>
      <c r="Q4762">
        <v>288705.81</v>
      </c>
      <c r="R4762">
        <v>261</v>
      </c>
      <c r="S4762">
        <v>155</v>
      </c>
      <c r="T4762" t="s">
        <v>596</v>
      </c>
      <c r="U4762" t="s">
        <v>81</v>
      </c>
    </row>
    <row r="4763" spans="1:21">
      <c r="A4763" t="s">
        <v>7369</v>
      </c>
      <c r="B4763" t="s">
        <v>7324</v>
      </c>
      <c r="C4763" t="s">
        <v>45</v>
      </c>
      <c r="D4763">
        <v>170000</v>
      </c>
      <c r="E4763">
        <v>10000</v>
      </c>
      <c r="F4763">
        <v>170000</v>
      </c>
      <c r="G4763">
        <v>170000</v>
      </c>
      <c r="H4763">
        <v>5</v>
      </c>
      <c r="I4763" t="s">
        <v>654</v>
      </c>
      <c r="J4763">
        <v>64</v>
      </c>
      <c r="K4763">
        <v>57</v>
      </c>
      <c r="L4763">
        <v>14</v>
      </c>
      <c r="M4763" t="s">
        <v>6994</v>
      </c>
      <c r="N4763">
        <v>5</v>
      </c>
      <c r="O4763">
        <v>9.67</v>
      </c>
      <c r="P4763">
        <v>154556.70000000001</v>
      </c>
      <c r="Q4763">
        <v>288705.81</v>
      </c>
      <c r="R4763">
        <v>261</v>
      </c>
      <c r="S4763">
        <v>155</v>
      </c>
      <c r="T4763" t="s">
        <v>593</v>
      </c>
      <c r="U4763" t="s">
        <v>57</v>
      </c>
    </row>
    <row r="4764" spans="1:21">
      <c r="A4764" t="s">
        <v>7370</v>
      </c>
      <c r="B4764" t="s">
        <v>7371</v>
      </c>
      <c r="C4764" t="s">
        <v>94</v>
      </c>
      <c r="D4764">
        <v>380000</v>
      </c>
      <c r="E4764">
        <v>20000</v>
      </c>
      <c r="F4764">
        <v>380000</v>
      </c>
      <c r="G4764">
        <v>380000</v>
      </c>
      <c r="H4764">
        <v>6</v>
      </c>
      <c r="I4764" t="s">
        <v>654</v>
      </c>
      <c r="J4764">
        <v>70.03</v>
      </c>
      <c r="K4764">
        <v>1</v>
      </c>
      <c r="L4764">
        <v>7</v>
      </c>
      <c r="M4764" t="s">
        <v>6994</v>
      </c>
      <c r="N4764">
        <v>7</v>
      </c>
      <c r="O4764">
        <v>8</v>
      </c>
      <c r="P4764">
        <v>154556.70000000001</v>
      </c>
      <c r="Q4764">
        <v>288705.81</v>
      </c>
      <c r="R4764">
        <v>261</v>
      </c>
      <c r="S4764">
        <v>155</v>
      </c>
      <c r="T4764" t="s">
        <v>596</v>
      </c>
      <c r="U4764" t="s">
        <v>31</v>
      </c>
    </row>
    <row r="4765" spans="1:21">
      <c r="A4765" t="s">
        <v>7372</v>
      </c>
      <c r="B4765" t="s">
        <v>7371</v>
      </c>
      <c r="C4765" t="s">
        <v>94</v>
      </c>
      <c r="D4765">
        <v>460000</v>
      </c>
      <c r="E4765">
        <v>20000</v>
      </c>
      <c r="F4765">
        <v>920000</v>
      </c>
      <c r="G4765">
        <v>460000</v>
      </c>
      <c r="H4765">
        <v>6</v>
      </c>
      <c r="I4765" t="s">
        <v>654</v>
      </c>
      <c r="J4765">
        <v>70.83</v>
      </c>
      <c r="K4765">
        <v>1</v>
      </c>
      <c r="L4765">
        <v>7</v>
      </c>
      <c r="M4765" t="s">
        <v>6994</v>
      </c>
      <c r="N4765">
        <v>7</v>
      </c>
      <c r="O4765">
        <v>8</v>
      </c>
      <c r="P4765">
        <v>154556.70000000001</v>
      </c>
      <c r="Q4765">
        <v>288705.81</v>
      </c>
      <c r="R4765">
        <v>261</v>
      </c>
      <c r="S4765">
        <v>155</v>
      </c>
      <c r="T4765" t="s">
        <v>596</v>
      </c>
      <c r="U4765" t="s">
        <v>31</v>
      </c>
    </row>
    <row r="4766" spans="1:21">
      <c r="A4766" t="s">
        <v>7373</v>
      </c>
      <c r="B4766" t="s">
        <v>7217</v>
      </c>
      <c r="C4766" t="s">
        <v>7055</v>
      </c>
      <c r="D4766">
        <v>283000</v>
      </c>
      <c r="E4766">
        <v>14000</v>
      </c>
      <c r="F4766">
        <v>283000</v>
      </c>
      <c r="G4766">
        <v>283000</v>
      </c>
      <c r="H4766">
        <v>1</v>
      </c>
      <c r="I4766" t="s">
        <v>654</v>
      </c>
      <c r="J4766">
        <v>62.32</v>
      </c>
      <c r="K4766">
        <v>2</v>
      </c>
      <c r="L4766">
        <v>4</v>
      </c>
      <c r="M4766" t="s">
        <v>6994</v>
      </c>
      <c r="N4766">
        <v>4</v>
      </c>
      <c r="O4766">
        <v>11</v>
      </c>
      <c r="P4766">
        <v>154556.70000000001</v>
      </c>
      <c r="Q4766">
        <v>288705.81</v>
      </c>
      <c r="R4766">
        <v>261</v>
      </c>
      <c r="S4766">
        <v>155</v>
      </c>
      <c r="T4766" t="s">
        <v>593</v>
      </c>
      <c r="U4766" t="s">
        <v>31</v>
      </c>
    </row>
    <row r="4767" spans="1:21">
      <c r="A4767" t="s">
        <v>7374</v>
      </c>
      <c r="B4767" t="s">
        <v>7217</v>
      </c>
      <c r="C4767" t="s">
        <v>7055</v>
      </c>
      <c r="D4767">
        <v>339300</v>
      </c>
      <c r="E4767">
        <v>14000</v>
      </c>
      <c r="F4767">
        <v>339300</v>
      </c>
      <c r="G4767">
        <v>339300</v>
      </c>
      <c r="H4767">
        <v>2</v>
      </c>
      <c r="I4767" t="s">
        <v>654</v>
      </c>
      <c r="J4767">
        <v>65.239999999999995</v>
      </c>
      <c r="K4767">
        <v>2</v>
      </c>
      <c r="L4767">
        <v>4</v>
      </c>
      <c r="M4767" t="s">
        <v>6994</v>
      </c>
      <c r="N4767">
        <v>4</v>
      </c>
      <c r="O4767">
        <v>11</v>
      </c>
      <c r="P4767">
        <v>154556.70000000001</v>
      </c>
      <c r="Q4767">
        <v>288705.81</v>
      </c>
      <c r="R4767">
        <v>261</v>
      </c>
      <c r="S4767">
        <v>155</v>
      </c>
      <c r="T4767" t="s">
        <v>593</v>
      </c>
      <c r="U4767" t="s">
        <v>31</v>
      </c>
    </row>
    <row r="4768" spans="1:21">
      <c r="A4768" t="s">
        <v>7375</v>
      </c>
      <c r="B4768" t="s">
        <v>7376</v>
      </c>
      <c r="C4768" t="s">
        <v>45</v>
      </c>
      <c r="D4768">
        <v>270000</v>
      </c>
      <c r="E4768">
        <v>5000</v>
      </c>
      <c r="F4768">
        <v>270000</v>
      </c>
      <c r="H4768">
        <v>1</v>
      </c>
      <c r="I4768" t="s">
        <v>1737</v>
      </c>
      <c r="J4768">
        <v>120</v>
      </c>
      <c r="K4768">
        <v>45</v>
      </c>
      <c r="L4768">
        <v>2</v>
      </c>
      <c r="M4768" t="s">
        <v>6994</v>
      </c>
      <c r="N4768">
        <v>7</v>
      </c>
      <c r="O4768">
        <v>9.67</v>
      </c>
      <c r="P4768">
        <v>154556.70000000001</v>
      </c>
      <c r="Q4768">
        <v>384285.71</v>
      </c>
      <c r="R4768">
        <v>261</v>
      </c>
      <c r="S4768">
        <v>7</v>
      </c>
      <c r="T4768" t="s">
        <v>658</v>
      </c>
      <c r="U4768" t="s">
        <v>42</v>
      </c>
    </row>
    <row r="4769" spans="1:21">
      <c r="A4769" t="s">
        <v>7377</v>
      </c>
      <c r="B4769" t="s">
        <v>7378</v>
      </c>
      <c r="C4769" t="s">
        <v>45</v>
      </c>
      <c r="D4769">
        <v>250000</v>
      </c>
      <c r="F4769">
        <v>250000</v>
      </c>
      <c r="H4769">
        <v>5</v>
      </c>
      <c r="I4769" t="s">
        <v>681</v>
      </c>
      <c r="J4769">
        <v>72.09</v>
      </c>
      <c r="K4769">
        <v>51</v>
      </c>
      <c r="L4769">
        <v>7</v>
      </c>
      <c r="M4769" t="s">
        <v>6994</v>
      </c>
      <c r="N4769">
        <v>6</v>
      </c>
      <c r="O4769">
        <v>9.67</v>
      </c>
      <c r="P4769">
        <v>154556.70000000001</v>
      </c>
      <c r="Q4769">
        <v>388200</v>
      </c>
      <c r="R4769">
        <v>261</v>
      </c>
      <c r="S4769">
        <v>20</v>
      </c>
      <c r="T4769" t="s">
        <v>596</v>
      </c>
      <c r="U4769" t="s">
        <v>57</v>
      </c>
    </row>
    <row r="4770" spans="1:21">
      <c r="A4770" t="s">
        <v>7379</v>
      </c>
      <c r="B4770" t="s">
        <v>7378</v>
      </c>
      <c r="C4770" t="s">
        <v>45</v>
      </c>
      <c r="D4770">
        <v>260000</v>
      </c>
      <c r="F4770">
        <v>260000</v>
      </c>
      <c r="H4770">
        <v>5</v>
      </c>
      <c r="I4770" t="s">
        <v>681</v>
      </c>
      <c r="J4770">
        <v>72.09</v>
      </c>
      <c r="K4770">
        <v>51</v>
      </c>
      <c r="L4770">
        <v>7</v>
      </c>
      <c r="M4770" t="s">
        <v>6994</v>
      </c>
      <c r="N4770">
        <v>6</v>
      </c>
      <c r="O4770">
        <v>9.67</v>
      </c>
      <c r="P4770">
        <v>154556.70000000001</v>
      </c>
      <c r="Q4770">
        <v>388200</v>
      </c>
      <c r="R4770">
        <v>261</v>
      </c>
      <c r="S4770">
        <v>20</v>
      </c>
      <c r="T4770" t="s">
        <v>596</v>
      </c>
      <c r="U4770" t="s">
        <v>57</v>
      </c>
    </row>
    <row r="4771" spans="1:21">
      <c r="A4771" t="s">
        <v>7380</v>
      </c>
      <c r="B4771" t="s">
        <v>7381</v>
      </c>
      <c r="C4771" t="s">
        <v>45</v>
      </c>
      <c r="D4771">
        <v>240000</v>
      </c>
      <c r="F4771">
        <v>240000</v>
      </c>
      <c r="H4771">
        <v>5</v>
      </c>
      <c r="I4771" t="s">
        <v>681</v>
      </c>
      <c r="J4771">
        <v>72.09</v>
      </c>
      <c r="K4771">
        <v>51</v>
      </c>
      <c r="L4771">
        <v>6</v>
      </c>
      <c r="M4771" t="s">
        <v>6994</v>
      </c>
      <c r="N4771">
        <v>6</v>
      </c>
      <c r="O4771">
        <v>10.67</v>
      </c>
      <c r="P4771">
        <v>154556.70000000001</v>
      </c>
      <c r="Q4771">
        <v>388200</v>
      </c>
      <c r="R4771">
        <v>261</v>
      </c>
      <c r="S4771">
        <v>20</v>
      </c>
      <c r="T4771" t="s">
        <v>596</v>
      </c>
      <c r="U4771" t="s">
        <v>57</v>
      </c>
    </row>
    <row r="4772" spans="1:21">
      <c r="A4772" t="s">
        <v>7382</v>
      </c>
      <c r="B4772" t="s">
        <v>7381</v>
      </c>
      <c r="C4772" t="s">
        <v>45</v>
      </c>
      <c r="D4772">
        <v>250000</v>
      </c>
      <c r="F4772">
        <v>250000</v>
      </c>
      <c r="H4772">
        <v>5</v>
      </c>
      <c r="I4772" t="s">
        <v>681</v>
      </c>
      <c r="J4772">
        <v>72.09</v>
      </c>
      <c r="K4772">
        <v>51</v>
      </c>
      <c r="L4772">
        <v>6</v>
      </c>
      <c r="M4772" t="s">
        <v>6994</v>
      </c>
      <c r="N4772">
        <v>6</v>
      </c>
      <c r="O4772">
        <v>10.67</v>
      </c>
      <c r="P4772">
        <v>154556.70000000001</v>
      </c>
      <c r="Q4772">
        <v>388200</v>
      </c>
      <c r="R4772">
        <v>261</v>
      </c>
      <c r="S4772">
        <v>20</v>
      </c>
      <c r="T4772" t="s">
        <v>596</v>
      </c>
      <c r="U4772" t="s">
        <v>57</v>
      </c>
    </row>
  </sheetData>
  <hyperlinks>
    <hyperlink ref="A4490" r:id="rId1" xr:uid="{2EB3BAD1-A2E7-4B0A-B555-8EAA95C394E2}"/>
    <hyperlink ref="A4492" r:id="rId2" xr:uid="{4D981405-5211-4B54-9CC4-DA62B7696BC0}"/>
    <hyperlink ref="A4494" r:id="rId3" xr:uid="{87F62A6B-411D-41C3-994A-00EF127DE744}"/>
    <hyperlink ref="A1033" r:id="rId4" xr:uid="{1A2E5009-77B8-4F25-A6F0-67C61E373EAF}"/>
  </hyperlinks>
  <pageMargins left="0.7" right="0.7" top="0.75" bottom="0.75" header="0.3" footer="0.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14B4-27AF-40F0-AECE-B034693386A6}">
  <dimension ref="B3:S39"/>
  <sheetViews>
    <sheetView workbookViewId="0">
      <selection activeCell="Y14" sqref="Y14"/>
    </sheetView>
  </sheetViews>
  <sheetFormatPr defaultRowHeight="15"/>
  <cols>
    <col min="2" max="2" width="19.7109375" customWidth="1"/>
    <col min="3" max="3" width="18" customWidth="1"/>
    <col min="4" max="4" width="18.140625" customWidth="1"/>
    <col min="5" max="5" width="23.140625" customWidth="1"/>
    <col min="6" max="6" width="20.42578125" customWidth="1"/>
    <col min="7" max="7" width="23.85546875" customWidth="1"/>
    <col min="8" max="8" width="13.5703125" customWidth="1"/>
    <col min="9" max="9" width="18" customWidth="1"/>
    <col min="10" max="10" width="18.140625" customWidth="1"/>
    <col min="11" max="11" width="18" customWidth="1"/>
    <col min="12" max="12" width="18.140625" customWidth="1"/>
    <col min="13" max="13" width="18.42578125" customWidth="1"/>
    <col min="14" max="14" width="21.5703125" customWidth="1"/>
    <col min="15" max="15" width="15.85546875" customWidth="1"/>
    <col min="16" max="16" width="19" customWidth="1"/>
  </cols>
  <sheetData>
    <row r="3" spans="2:19">
      <c r="B3" s="19" t="s">
        <v>7383</v>
      </c>
      <c r="C3" s="20"/>
      <c r="D3" s="21"/>
      <c r="E3" s="21"/>
      <c r="F3" s="21"/>
      <c r="G3" s="21"/>
      <c r="H3" s="21"/>
      <c r="I3" s="21"/>
      <c r="K3" s="19" t="s">
        <v>7384</v>
      </c>
      <c r="L3" s="21"/>
      <c r="M3" s="21"/>
      <c r="N3" s="21"/>
      <c r="O3" s="21"/>
      <c r="P3" s="21"/>
      <c r="Q3" s="21"/>
    </row>
    <row r="4" spans="2:19">
      <c r="B4" s="28" t="s">
        <v>7385</v>
      </c>
      <c r="C4" s="28"/>
      <c r="D4" s="28"/>
      <c r="E4" s="28"/>
      <c r="F4" s="28"/>
      <c r="G4" s="28"/>
      <c r="H4" s="28"/>
      <c r="I4" s="28"/>
      <c r="J4" s="29"/>
      <c r="K4" s="28" t="s">
        <v>7386</v>
      </c>
      <c r="L4" s="30"/>
      <c r="M4" s="28"/>
      <c r="N4" s="28"/>
      <c r="O4" s="28"/>
      <c r="P4" s="28"/>
      <c r="Q4" s="28"/>
      <c r="R4" s="29"/>
      <c r="S4" s="29"/>
    </row>
    <row r="5" spans="2:19">
      <c r="B5" s="22" t="s">
        <v>7387</v>
      </c>
      <c r="C5" s="28"/>
      <c r="D5" s="28"/>
      <c r="E5" s="28"/>
      <c r="F5" s="28"/>
      <c r="G5" s="28"/>
      <c r="H5" s="28"/>
      <c r="I5" s="28"/>
      <c r="J5" s="29"/>
      <c r="K5" s="23" t="s">
        <v>7388</v>
      </c>
      <c r="L5" s="28"/>
      <c r="M5" s="28"/>
      <c r="N5" s="28"/>
      <c r="O5" s="28"/>
      <c r="P5" s="28"/>
      <c r="Q5" s="28"/>
      <c r="R5" s="29"/>
      <c r="S5" s="29"/>
    </row>
    <row r="6" spans="2:19">
      <c r="B6" s="22" t="s">
        <v>7389</v>
      </c>
      <c r="C6" s="28"/>
      <c r="D6" s="28"/>
      <c r="E6" s="28"/>
      <c r="F6" s="28"/>
      <c r="G6" s="28"/>
      <c r="H6" s="28"/>
      <c r="I6" s="28"/>
      <c r="J6" s="29"/>
      <c r="K6" s="22" t="s">
        <v>7390</v>
      </c>
      <c r="L6" s="28"/>
      <c r="M6" s="28"/>
      <c r="N6" s="28"/>
      <c r="O6" s="28"/>
      <c r="P6" s="28"/>
      <c r="Q6" s="28"/>
      <c r="R6" s="29"/>
      <c r="S6" s="29"/>
    </row>
    <row r="7" spans="2:19">
      <c r="B7" s="22" t="s">
        <v>7391</v>
      </c>
      <c r="C7" s="28"/>
      <c r="D7" s="28"/>
      <c r="E7" s="28"/>
      <c r="F7" s="28"/>
      <c r="G7" s="28"/>
      <c r="H7" s="28"/>
      <c r="I7" s="28"/>
      <c r="J7" s="29"/>
      <c r="K7" s="22" t="s">
        <v>7392</v>
      </c>
      <c r="L7" s="28"/>
      <c r="M7" s="28"/>
      <c r="N7" s="28"/>
      <c r="O7" s="28"/>
      <c r="P7" s="28"/>
      <c r="Q7" s="28"/>
      <c r="R7" s="29"/>
      <c r="S7" s="29"/>
    </row>
    <row r="8" spans="2:19">
      <c r="B8" s="28" t="s">
        <v>7393</v>
      </c>
      <c r="C8" s="28"/>
      <c r="D8" s="28"/>
      <c r="E8" s="28"/>
      <c r="F8" s="28"/>
      <c r="G8" s="28"/>
      <c r="H8" s="28"/>
      <c r="I8" s="28"/>
      <c r="J8" s="29"/>
      <c r="K8" s="23" t="s">
        <v>7394</v>
      </c>
      <c r="L8" s="28"/>
      <c r="M8" s="28"/>
      <c r="N8" s="28"/>
      <c r="O8" s="28"/>
      <c r="P8" s="28"/>
      <c r="Q8" s="28"/>
      <c r="R8" s="29"/>
      <c r="S8" s="29"/>
    </row>
    <row r="9" spans="2:19">
      <c r="B9" s="24" t="s">
        <v>7395</v>
      </c>
      <c r="C9" s="28"/>
      <c r="D9" s="28"/>
      <c r="E9" s="28"/>
      <c r="F9" s="28"/>
      <c r="G9" s="28"/>
      <c r="H9" s="28"/>
      <c r="I9" s="28"/>
      <c r="J9" s="29"/>
      <c r="K9" s="22" t="s">
        <v>7396</v>
      </c>
      <c r="L9" s="28"/>
      <c r="M9" s="28"/>
      <c r="N9" s="28"/>
      <c r="O9" s="28"/>
      <c r="P9" s="28"/>
      <c r="Q9" s="28"/>
      <c r="R9" s="29"/>
      <c r="S9" s="29"/>
    </row>
    <row r="10" spans="2:19">
      <c r="B10" s="22" t="s">
        <v>7397</v>
      </c>
      <c r="C10" s="28"/>
      <c r="D10" s="28"/>
      <c r="E10" s="28"/>
      <c r="F10" s="28"/>
      <c r="G10" s="28"/>
      <c r="H10" s="28"/>
      <c r="I10" s="28"/>
      <c r="J10" s="29"/>
      <c r="K10" s="28" t="s">
        <v>7398</v>
      </c>
      <c r="L10" s="28"/>
      <c r="M10" s="28"/>
      <c r="N10" s="28"/>
      <c r="O10" s="28"/>
      <c r="P10" s="28"/>
      <c r="Q10" s="28"/>
      <c r="R10" s="29"/>
      <c r="S10" s="29"/>
    </row>
    <row r="11" spans="2:19">
      <c r="B11" s="28" t="s">
        <v>7399</v>
      </c>
      <c r="C11" s="28"/>
      <c r="D11" s="28"/>
      <c r="E11" s="28"/>
      <c r="F11" s="28"/>
      <c r="G11" s="28"/>
      <c r="H11" s="28"/>
      <c r="I11" s="28"/>
      <c r="J11" s="29"/>
      <c r="K11" s="23" t="s">
        <v>7400</v>
      </c>
      <c r="L11" s="28"/>
      <c r="M11" s="28"/>
      <c r="N11" s="28"/>
      <c r="O11" s="28"/>
      <c r="P11" s="28"/>
      <c r="Q11" s="28"/>
      <c r="R11" s="29"/>
      <c r="S11" s="29"/>
    </row>
    <row r="12" spans="2:19">
      <c r="B12" s="22" t="s">
        <v>7401</v>
      </c>
      <c r="C12" s="28"/>
      <c r="D12" s="28"/>
      <c r="E12" s="28"/>
      <c r="F12" s="28"/>
      <c r="G12" s="28"/>
      <c r="H12" s="28"/>
      <c r="I12" s="28"/>
      <c r="J12" s="29"/>
      <c r="K12" s="21"/>
      <c r="L12" s="21"/>
      <c r="M12" s="21"/>
      <c r="N12" s="21"/>
      <c r="O12" s="21"/>
      <c r="P12" s="21"/>
      <c r="Q12" s="21"/>
    </row>
    <row r="17" spans="2:16">
      <c r="C17" s="3" t="s">
        <v>7402</v>
      </c>
      <c r="D17" s="9" t="s">
        <v>7403</v>
      </c>
      <c r="E17" s="14" t="s">
        <v>7404</v>
      </c>
      <c r="F17" s="3" t="s">
        <v>7405</v>
      </c>
      <c r="G17" s="3" t="s">
        <v>7406</v>
      </c>
      <c r="H17" s="2" t="s">
        <v>7407</v>
      </c>
      <c r="I17" s="6" t="s">
        <v>7408</v>
      </c>
      <c r="L17" s="4" t="s">
        <v>7402</v>
      </c>
      <c r="M17" s="3" t="s">
        <v>7409</v>
      </c>
      <c r="N17" s="2" t="s">
        <v>7410</v>
      </c>
      <c r="O17" s="2" t="s">
        <v>7407</v>
      </c>
      <c r="P17" s="6" t="s">
        <v>7408</v>
      </c>
    </row>
    <row r="18" spans="2:16">
      <c r="B18" s="9" t="s">
        <v>3022</v>
      </c>
      <c r="C18" s="1">
        <f>COUNTIF(listings[nearest_station], B18)</f>
        <v>660</v>
      </c>
      <c r="D18" s="11" t="str" cm="1">
        <f t="array" ref="D18">TEXT(MEDIAN(IF(listings[nearest_station]= B18, listings[distance_to_nearest_station (min)])), "0")&amp;" min"</f>
        <v>6 min</v>
      </c>
      <c r="E18" s="1" t="str" cm="1">
        <f t="array" ref="E18">_xlfn.LET(_xlpm.plans, _xlfn.UNIQUE(_xlfn._xlws.FILTER(listings[floor_plan], listings[nearest_station]=B18)), _xlpm.counts, COUNTIFS(listings[nearest_station], B18, listings[floor_plan], _xlpm.plans), INDEX(_xlpm.plans, MATCH(MAX(_xlpm.counts), _xlpm.counts, 0)))</f>
        <v>1K</v>
      </c>
      <c r="F18" s="1" cm="1">
        <f t="array" ref="F18">MEDIAN(IF(listings[nearest_station]=B18,listings[building_age (years)]))</f>
        <v>15</v>
      </c>
      <c r="G18" s="1" cm="1">
        <f t="array" ref="G18">MEDIAN(IF(listings[nearest_station]=B18,listings[building_size (floors)]))</f>
        <v>5</v>
      </c>
      <c r="H18" s="8" cm="1">
        <f t="array" ref="H18">MEDIAN(IF(listings[nearest_station]=B18, listings[rent (¥)]))</f>
        <v>135000</v>
      </c>
      <c r="I18" s="7" t="str" cm="1">
        <f t="array" ref="I18">"¥"&amp;TEXT(QUARTILE(IF(listings[nearest_station]=B18,listings[rent (¥)]), 1), "0")&amp;" - "&amp;"¥"&amp;TEXT(QUARTILE(IF(listings[nearest_station]=B18, listings[rent (¥)]), 3), "0")</f>
        <v>¥86750 - ¥182500</v>
      </c>
      <c r="K18" s="2" t="s">
        <v>89</v>
      </c>
      <c r="L18" s="5">
        <f>COUNTIF(listings[], K18)</f>
        <v>1626</v>
      </c>
      <c r="M18" s="1" t="str" cm="1">
        <f t="array" ref="M18">TEXT(ROUND(MEDIAN(IF(listings[floor_plan]=K18, listings[area ( m²)])), 2), "0.00")&amp;" m"&amp;CHAR(178)</f>
        <v>23.10 m²</v>
      </c>
      <c r="N18" s="1" t="str" cm="1">
        <f t="array" ref="N18" xml:space="preserve"> TEXT(QUARTILE(IF(listings[floor_plan] = K18,listings[area ( m²)]), 1), "0.00")&amp;" - "&amp;TEXT(QUARTILE(IF(listings[floor_plan] = K18, listings[area ( m²)]), 3), "0.00")&amp;" m"&amp;CHAR(178)</f>
        <v>20.00 - 25.74 m²</v>
      </c>
      <c r="O18" s="8" cm="1">
        <f t="array" ref="O18">MEDIAN(IF(listings[floor_plan]=K18, listings[rent (¥)]))</f>
        <v>90000</v>
      </c>
      <c r="P18" s="7" t="str" cm="1">
        <f t="array" ref="P18" xml:space="preserve"> "¥"&amp;TEXT(QUARTILE(IF(listings[floor_plan]=K18,listings[rent (¥)]), 1), "0")&amp;" - "&amp;"¥"&amp;TEXT(QUARTILE(IF(listings[floor_plan] = K18, listings[rent (¥)]), 3), "0")</f>
        <v>¥75000 - ¥115500</v>
      </c>
    </row>
    <row r="19" spans="2:16">
      <c r="B19" s="3" t="s">
        <v>1842</v>
      </c>
      <c r="C19" s="10">
        <f>COUNTIF(listings[nearest_station], B19)</f>
        <v>644</v>
      </c>
      <c r="D19" s="12" t="str" cm="1">
        <f t="array" ref="D19">TEXT(MEDIAN(IF(listings[nearest_station]= B19, listings[distance_to_nearest_station (min)])), "0")&amp;" min"</f>
        <v>7 min</v>
      </c>
      <c r="E19" s="1" t="str" cm="1">
        <f t="array" ref="E19">_xlfn.LET(_xlpm.plans, _xlfn.UNIQUE(_xlfn._xlws.FILTER(listings[floor_plan], listings[nearest_station]=B19)), _xlpm.counts, COUNTIFS(listings[nearest_station], B19, listings[floor_plan], _xlpm.plans), INDEX(_xlpm.plans, MATCH(MAX(_xlpm.counts), _xlpm.counts, 0)))</f>
        <v>1K</v>
      </c>
      <c r="F19" s="1" cm="1">
        <f t="array" ref="F19">MEDIAN(IF(listings[nearest_station]=B19,listings[building_age (years)]))</f>
        <v>10</v>
      </c>
      <c r="G19" s="1" cm="1">
        <f t="array" ref="G19">MEDIAN(IF(listings[nearest_station]=B19,listings[building_size (floors)]))</f>
        <v>4</v>
      </c>
      <c r="H19" s="8" cm="1">
        <f t="array" ref="H19">MEDIAN(IF(listings[nearest_station]=B19, listings[rent (¥)]))</f>
        <v>110000</v>
      </c>
      <c r="I19" s="7" t="str" cm="1">
        <f t="array" ref="I19">"¥"&amp;TEXT(QUARTILE(IF(listings[nearest_station]=B19,listings[rent (¥)]), 1), "0")&amp;" - "&amp;"¥"&amp;TEXT(QUARTILE(IF(listings[nearest_station]=B19, listings[rent (¥)]), 3), "0")</f>
        <v>¥75000 - ¥150000</v>
      </c>
      <c r="K19" s="2" t="s">
        <v>432</v>
      </c>
      <c r="L19" s="5">
        <f>COUNTIF(listings[], K19)</f>
        <v>1070</v>
      </c>
      <c r="M19" s="1" t="str" cm="1">
        <f t="array" ref="M19">TEXT(ROUND(MEDIAN(IF(listings[floor_plan]=K19, listings[area ( m²)])), 2), "0.00")&amp;" m"&amp;CHAR(178)</f>
        <v>17.02 m²</v>
      </c>
      <c r="N19" s="1" t="str" cm="1">
        <f t="array" ref="N19" xml:space="preserve"> TEXT(QUARTILE(IF(listings[floor_plan] = K19,listings[area ( m²)]), 1), "0.00")&amp;" - "&amp;TEXT(QUARTILE(IF(listings[floor_plan] = K19, listings[area ( m²)]), 3), "0.00")&amp;" m"&amp;CHAR(178)</f>
        <v>12.45 - 22.15 m²</v>
      </c>
      <c r="O19" s="8" cm="1">
        <f t="array" ref="O19">MEDIAN(IF(listings[floor_plan]=K19, listings[rent (¥)]))</f>
        <v>70000</v>
      </c>
      <c r="P19" s="7" t="str" cm="1">
        <f t="array" ref="P19" xml:space="preserve"> "¥"&amp;TEXT(QUARTILE(IF(listings[floor_plan]=K19,listings[rent (¥)]), 1), "0")&amp;" - "&amp;"¥"&amp;TEXT(QUARTILE(IF(listings[floor_plan] = K19, listings[rent (¥)]), 3), "0")</f>
        <v>¥60000 - ¥88000</v>
      </c>
    </row>
    <row r="20" spans="2:16">
      <c r="B20" s="3" t="s">
        <v>5596</v>
      </c>
      <c r="C20" s="1">
        <f>COUNTIF(listings[nearest_station], B20)</f>
        <v>514</v>
      </c>
      <c r="D20" s="11" t="str" cm="1">
        <f t="array" ref="D20">TEXT(MEDIAN(IF(listings[nearest_station]= B20, listings[distance_to_nearest_station (min)])), "0")&amp;" min"</f>
        <v>7 min</v>
      </c>
      <c r="E20" s="1" t="str" cm="1">
        <f t="array" ref="E20">_xlfn.LET(_xlpm.plans, _xlfn.UNIQUE(_xlfn._xlws.FILTER(listings[floor_plan], listings[nearest_station]=B20)), _xlpm.counts, COUNTIFS(listings[nearest_station], B20, listings[floor_plan], _xlpm.plans), INDEX(_xlpm.plans, MATCH(MAX(_xlpm.counts), _xlpm.counts, 0)))</f>
        <v>1K</v>
      </c>
      <c r="F20" s="1" cm="1">
        <f t="array" ref="F20">MEDIAN(IF(listings[nearest_station]=B20,listings[building_age (years)]))</f>
        <v>9</v>
      </c>
      <c r="G20" s="1" cm="1">
        <f t="array" ref="G20">MEDIAN(IF(listings[nearest_station]=B20,listings[building_size (floors)]))</f>
        <v>3</v>
      </c>
      <c r="H20" s="8" cm="1">
        <f t="array" ref="H20">MEDIAN(IF(listings[nearest_station]=B20, listings[rent (¥)]))</f>
        <v>110000</v>
      </c>
      <c r="I20" s="7" t="str" cm="1">
        <f t="array" ref="I20">"¥"&amp;TEXT(QUARTILE(IF(listings[nearest_station]=B20,listings[rent (¥)]), 1), "0")&amp;" - "&amp;"¥"&amp;TEXT(QUARTILE(IF(listings[nearest_station]=B20, listings[rent (¥)]), 3), "0")</f>
        <v>¥79000 - ¥155000</v>
      </c>
      <c r="K20" s="2" t="s">
        <v>325</v>
      </c>
      <c r="L20" s="5">
        <f>COUNTIF(listings[], K20)</f>
        <v>812</v>
      </c>
      <c r="M20" s="1" t="str" cm="1">
        <f t="array" ref="M20">TEXT(ROUND(MEDIAN(IF(listings[floor_plan]=K20, listings[area ( m²)])), 2), "0.00")&amp;" m"&amp;CHAR(178)</f>
        <v>40.13 m²</v>
      </c>
      <c r="N20" s="1" t="str" cm="1">
        <f t="array" ref="N20" xml:space="preserve"> TEXT(QUARTILE(IF(listings[floor_plan] = K20,listings[area ( m²)]), 1), "0.00")&amp;" - "&amp;TEXT(QUARTILE(IF(listings[floor_plan] = K20, listings[area ( m²)]), 3), "0.00")&amp;" m"&amp;CHAR(178)</f>
        <v>34.36 - 43.69 m²</v>
      </c>
      <c r="O20" s="8" cm="1">
        <f t="array" ref="O20">MEDIAN(IF(listings[floor_plan]=K20, listings[rent (¥)]))</f>
        <v>164500</v>
      </c>
      <c r="P20" s="7" t="str" cm="1">
        <f t="array" ref="P20" xml:space="preserve"> "¥"&amp;TEXT(QUARTILE(IF(listings[floor_plan]=K20,listings[rent (¥)]), 1), "0")&amp;" - "&amp;"¥"&amp;TEXT(QUARTILE(IF(listings[floor_plan] = K20, listings[rent (¥)]), 3), "0")</f>
        <v>¥145000 - ¥190000</v>
      </c>
    </row>
    <row r="21" spans="2:16">
      <c r="B21" s="3" t="s">
        <v>6362</v>
      </c>
      <c r="C21" s="1">
        <f>COUNTIF(listings[nearest_station], B21)</f>
        <v>423</v>
      </c>
      <c r="D21" s="11" t="str" cm="1">
        <f t="array" ref="D21">TEXT(MEDIAN(IF(listings[nearest_station]= B21, listings[distance_to_nearest_station (min)])), "0")&amp;" min"</f>
        <v>6 min</v>
      </c>
      <c r="E21" s="1" t="str" cm="1">
        <f t="array" ref="E21">_xlfn.LET(_xlpm.plans, _xlfn.UNIQUE(_xlfn._xlws.FILTER(listings[floor_plan], listings[nearest_station]=B21)), _xlpm.counts, COUNTIFS(listings[nearest_station], B21, listings[floor_plan], _xlpm.plans), INDEX(_xlpm.plans, MATCH(MAX(_xlpm.counts), _xlpm.counts, 0)))</f>
        <v>1K</v>
      </c>
      <c r="F21" s="1" cm="1">
        <f t="array" ref="F21">MEDIAN(IF(listings[nearest_station]=B21,listings[building_age (years)]))</f>
        <v>12</v>
      </c>
      <c r="G21" s="1" cm="1">
        <f t="array" ref="G21">MEDIAN(IF(listings[nearest_station]=B21,listings[building_size (floors)]))</f>
        <v>4</v>
      </c>
      <c r="H21" s="8" cm="1">
        <f t="array" ref="H21">MEDIAN(IF(listings[nearest_station]=B21, listings[rent (¥)]))</f>
        <v>129000</v>
      </c>
      <c r="I21" s="7" t="str" cm="1">
        <f t="array" ref="I21">"¥"&amp;TEXT(QUARTILE(IF(listings[nearest_station]=B21,listings[rent (¥)]), 1), "0")&amp;" - "&amp;"¥"&amp;TEXT(QUARTILE(IF(listings[nearest_station]=B21, listings[rent (¥)]), 3), "0")</f>
        <v>¥85000 - ¥170000</v>
      </c>
      <c r="K21" s="2" t="s">
        <v>585</v>
      </c>
      <c r="L21" s="5">
        <f>COUNTIF(listings[], K21)</f>
        <v>386</v>
      </c>
      <c r="M21" s="1" t="str" cm="1">
        <f t="array" ref="M21">TEXT(ROUND(MEDIAN(IF(listings[floor_plan]=K21, listings[area ( m²)])), 2), "0.00")&amp;" m"&amp;CHAR(178)</f>
        <v>53.82 m²</v>
      </c>
      <c r="N21" s="1" t="str" cm="1">
        <f t="array" ref="N21" xml:space="preserve"> TEXT(QUARTILE(IF(listings[floor_plan] = K21,listings[area ( m²)]), 1), "0.00")&amp;" - "&amp;TEXT(QUARTILE(IF(listings[floor_plan] = K21, listings[area ( m²)]), 3), "0.00")&amp;" m"&amp;CHAR(178)</f>
        <v>47.18 - 61.28 m²</v>
      </c>
      <c r="O21" s="8" cm="1">
        <f t="array" ref="O21">MEDIAN(IF(listings[floor_plan]=K21, listings[rent (¥)]))</f>
        <v>238000</v>
      </c>
      <c r="P21" s="7" t="str" cm="1">
        <f t="array" ref="P21" xml:space="preserve"> "¥"&amp;TEXT(QUARTILE(IF(listings[floor_plan]=K21,listings[rent (¥)]), 1), "0")&amp;" - "&amp;"¥"&amp;TEXT(QUARTILE(IF(listings[floor_plan] = K21, listings[rent (¥)]), 3), "0")</f>
        <v>¥198000 - ¥259500</v>
      </c>
    </row>
    <row r="22" spans="2:16">
      <c r="B22" s="3" t="s">
        <v>25</v>
      </c>
      <c r="C22" s="1">
        <f>COUNTIF(listings[nearest_station], B22)</f>
        <v>402</v>
      </c>
      <c r="D22" s="11" t="str" cm="1">
        <f t="array" ref="D22">TEXT(MEDIAN(IF(listings[nearest_station]= B22, listings[distance_to_nearest_station (min)])), "0")&amp;" min"</f>
        <v>5 min</v>
      </c>
      <c r="E22" s="1" t="str" cm="1">
        <f t="array" ref="E22">_xlfn.LET(_xlpm.plans, _xlfn.UNIQUE(_xlfn._xlws.FILTER(listings[floor_plan], listings[nearest_station]=B22)), _xlpm.counts, COUNTIFS(listings[nearest_station], B22, listings[floor_plan], _xlpm.plans), INDEX(_xlpm.plans, MATCH(MAX(_xlpm.counts), _xlpm.counts, 0)))</f>
        <v>1K</v>
      </c>
      <c r="F22" s="1" cm="1">
        <f t="array" ref="F22">MEDIAN(IF(listings[nearest_station]=B22,listings[building_age (years)]))</f>
        <v>15.5</v>
      </c>
      <c r="G22" s="1" cm="1">
        <f t="array" ref="G22">MEDIAN(IF(listings[nearest_station]=B22,listings[building_size (floors)]))</f>
        <v>4</v>
      </c>
      <c r="H22" s="8" cm="1">
        <f t="array" ref="H22">MEDIAN(IF(listings[nearest_station]=B22, listings[rent (¥)]))</f>
        <v>120000</v>
      </c>
      <c r="I22" s="7" t="str" cm="1">
        <f t="array" ref="I22">"¥"&amp;TEXT(QUARTILE(IF(listings[nearest_station]=B22,listings[rent (¥)]), 1), "0")&amp;" - "&amp;"¥"&amp;TEXT(QUARTILE(IF(listings[nearest_station]=B22, listings[rent (¥)]), 3), "0")</f>
        <v>¥83000 - ¥169000</v>
      </c>
      <c r="K22" s="2" t="s">
        <v>24</v>
      </c>
      <c r="L22" s="5">
        <f>COUNTIF(listings[], K22)</f>
        <v>339</v>
      </c>
      <c r="M22" s="1" t="str" cm="1">
        <f t="array" ref="M22">TEXT(ROUND(MEDIAN(IF(listings[floor_plan]=K22, listings[area ( m²)])), 2), "0.00")&amp;" m"&amp;CHAR(178)</f>
        <v>28.27 m²</v>
      </c>
      <c r="N22" s="1" t="str" cm="1">
        <f t="array" ref="N22" xml:space="preserve"> TEXT(QUARTILE(IF(listings[floor_plan] = K22,listings[area ( m²)]), 1), "0.00")&amp;" - "&amp;TEXT(QUARTILE(IF(listings[floor_plan] = K22, listings[area ( m²)]), 3), "0.00")&amp;" m"&amp;CHAR(178)</f>
        <v>25.58 - 32.75 m²</v>
      </c>
      <c r="O22" s="8" cm="1">
        <f t="array" ref="O22">MEDIAN(IF(listings[floor_plan]=K22, listings[rent (¥)]))</f>
        <v>128000</v>
      </c>
      <c r="P22" s="7" t="str" cm="1">
        <f t="array" ref="P22" xml:space="preserve"> "¥"&amp;TEXT(QUARTILE(IF(listings[floor_plan]=K22,listings[rent (¥)]), 1), "0")&amp;" - "&amp;"¥"&amp;TEXT(QUARTILE(IF(listings[floor_plan] = K22, listings[rent (¥)]), 3), "0")</f>
        <v>¥101000 - ¥146000</v>
      </c>
    </row>
    <row r="23" spans="2:16">
      <c r="B23" s="3" t="s">
        <v>689</v>
      </c>
      <c r="C23" s="1">
        <f>COUNTIF(listings[nearest_station], B23)</f>
        <v>335</v>
      </c>
      <c r="D23" s="11" t="str" cm="1">
        <f t="array" ref="D23">TEXT(MEDIAN(IF(listings[nearest_station]= B23, listings[distance_to_nearest_station (min)])), "0")&amp;" min"</f>
        <v>5 min</v>
      </c>
      <c r="E23" s="1" t="str" cm="1">
        <f t="array" ref="E23">_xlfn.LET(_xlpm.plans, _xlfn.UNIQUE(_xlfn._xlws.FILTER(listings[floor_plan], listings[nearest_station]=B23)), _xlpm.counts, COUNTIFS(listings[nearest_station], B23, listings[floor_plan], _xlpm.plans), INDEX(_xlpm.plans, MATCH(MAX(_xlpm.counts), _xlpm.counts, 0)))</f>
        <v>1K</v>
      </c>
      <c r="F23" s="1" cm="1">
        <f t="array" ref="F23">MEDIAN(IF(listings[nearest_station]=B23,listings[building_age (years)]))</f>
        <v>20</v>
      </c>
      <c r="G23" s="1" cm="1">
        <f t="array" ref="G23">MEDIAN(IF(listings[nearest_station]=B23,listings[building_size (floors)]))</f>
        <v>3</v>
      </c>
      <c r="H23" s="8" cm="1">
        <f t="array" ref="H23">MEDIAN(IF(listings[nearest_station]=B23, listings[rent (¥)]))</f>
        <v>91000</v>
      </c>
      <c r="I23" s="7" t="str" cm="1">
        <f t="array" ref="I23">"¥"&amp;TEXT(QUARTILE(IF(listings[nearest_station]=B23,listings[rent (¥)]), 1), "0")&amp;" - "&amp;"¥"&amp;TEXT(QUARTILE(IF(listings[nearest_station]=B23, listings[rent (¥)]), 3), "0")</f>
        <v>¥70000 - ¥130000</v>
      </c>
      <c r="K23" s="3" t="s">
        <v>654</v>
      </c>
      <c r="L23" s="5">
        <f>COUNTIF(listings[], K23)</f>
        <v>163</v>
      </c>
      <c r="M23" s="1" t="str" cm="1">
        <f t="array" ref="M23">TEXT(ROUND(MEDIAN(IF(listings[floor_plan]=K23, listings[area ( m²)])), 2), "0.00")&amp;" m"&amp;CHAR(178)</f>
        <v>70.83 m²</v>
      </c>
      <c r="N23" s="1" t="str" cm="1">
        <f t="array" ref="N23" xml:space="preserve"> TEXT(QUARTILE(IF(listings[floor_plan] = K23,listings[area ( m²)]), 1), "0.00")&amp;" - "&amp;TEXT(QUARTILE(IF(listings[floor_plan] = K23, listings[area ( m²)]), 3), "0.00")&amp;" m"&amp;CHAR(178)</f>
        <v>64.75 - 79.50 m²</v>
      </c>
      <c r="O23" s="8" cm="1">
        <f t="array" ref="O23">MEDIAN(IF(listings[floor_plan]=K23, listings[rent (¥)]))</f>
        <v>283000</v>
      </c>
      <c r="P23" s="7" t="str" cm="1">
        <f t="array" ref="P23" xml:space="preserve"> "¥"&amp;TEXT(QUARTILE(IF(listings[floor_plan]=K23,listings[rent (¥)]), 1), "0")&amp;" - "&amp;"¥"&amp;TEXT(QUARTILE(IF(listings[floor_plan] = K23, listings[rent (¥)]), 3), "0")</f>
        <v>¥237000 - ¥331550</v>
      </c>
    </row>
    <row r="24" spans="2:16">
      <c r="B24" s="3" t="s">
        <v>4970</v>
      </c>
      <c r="C24" s="1">
        <f>COUNTIF(listings[nearest_station], B24)</f>
        <v>328</v>
      </c>
      <c r="D24" s="11" t="str" cm="1">
        <f t="array" ref="D24">TEXT(MEDIAN(IF(listings[nearest_station]= B24, listings[distance_to_nearest_station (min)])), "0")&amp;" min"</f>
        <v>7 min</v>
      </c>
      <c r="E24" s="1" t="str" cm="1">
        <f t="array" ref="E24">_xlfn.LET(_xlpm.plans, _xlfn.UNIQUE(_xlfn._xlws.FILTER(listings[floor_plan], listings[nearest_station]=B24)), _xlpm.counts, COUNTIFS(listings[nearest_station], B24, listings[floor_plan], _xlpm.plans), INDEX(_xlpm.plans, MATCH(MAX(_xlpm.counts), _xlpm.counts, 0)))</f>
        <v>1R</v>
      </c>
      <c r="F24" s="1" cm="1">
        <f t="array" ref="F24">MEDIAN(IF(listings[nearest_station]=B24,listings[building_age (years)]))</f>
        <v>21</v>
      </c>
      <c r="G24" s="1" cm="1">
        <f t="array" ref="G24">MEDIAN(IF(listings[nearest_station]=B24,listings[building_size (floors)]))</f>
        <v>3</v>
      </c>
      <c r="H24" s="8" cm="1">
        <f t="array" ref="H24">MEDIAN(IF(listings[nearest_station]=B24, listings[rent (¥)]))</f>
        <v>75000</v>
      </c>
      <c r="I24" s="7" t="str" cm="1">
        <f t="array" ref="I24">"¥"&amp;TEXT(QUARTILE(IF(listings[nearest_station]=B24,listings[rent (¥)]), 1), "0")&amp;" - "&amp;"¥"&amp;TEXT(QUARTILE(IF(listings[nearest_station]=B24, listings[rent (¥)]), 3), "0")</f>
        <v>¥63000 - ¥120000</v>
      </c>
      <c r="K24" s="2" t="s">
        <v>559</v>
      </c>
      <c r="L24" s="5">
        <f>COUNTIF(listings[], K24)</f>
        <v>120</v>
      </c>
      <c r="M24" s="1" t="str" cm="1">
        <f t="array" ref="M24">TEXT(ROUND(MEDIAN(IF(listings[floor_plan]=K24, listings[area ( m²)])), 2), "0.00")&amp;" m"&amp;CHAR(178)</f>
        <v>41.10 m²</v>
      </c>
      <c r="N24" s="1" t="str" cm="1">
        <f t="array" ref="N24" xml:space="preserve"> TEXT(QUARTILE(IF(listings[floor_plan] = K24,listings[area ( m²)]), 1), "0.00")&amp;" - "&amp;TEXT(QUARTILE(IF(listings[floor_plan] = K24, listings[area ( m²)]), 3), "0.00")&amp;" m"&amp;CHAR(178)</f>
        <v>37.28 - 44.80 m²</v>
      </c>
      <c r="O24" s="8" cm="1">
        <f t="array" ref="O24">MEDIAN(IF(listings[floor_plan]=K24, listings[rent (¥)]))</f>
        <v>132000</v>
      </c>
      <c r="P24" s="7" t="str" cm="1">
        <f t="array" ref="P24" xml:space="preserve"> "¥"&amp;TEXT(QUARTILE(IF(listings[floor_plan]=K24,listings[rent (¥)]), 1), "0")&amp;" - "&amp;"¥"&amp;TEXT(QUARTILE(IF(listings[floor_plan] = K24, listings[rent (¥)]), 3), "0")</f>
        <v>¥110000 - ¥160000</v>
      </c>
    </row>
    <row r="25" spans="2:16">
      <c r="B25" s="3" t="s">
        <v>4010</v>
      </c>
      <c r="C25" s="1">
        <f>COUNTIF(listings[nearest_station], B25)</f>
        <v>313</v>
      </c>
      <c r="D25" s="11" t="str" cm="1">
        <f t="array" ref="D25">TEXT(MEDIAN(IF(listings[nearest_station]= B25, listings[distance_to_nearest_station (min)])), "0")&amp;" min"</f>
        <v>4 min</v>
      </c>
      <c r="E25" s="1" t="str" cm="1">
        <f t="array" ref="E25">_xlfn.LET(_xlpm.plans, _xlfn.UNIQUE(_xlfn._xlws.FILTER(listings[floor_plan], listings[nearest_station]=B25)), _xlpm.counts, COUNTIFS(listings[nearest_station], B25, listings[floor_plan], _xlpm.plans), INDEX(_xlpm.plans, MATCH(MAX(_xlpm.counts), _xlpm.counts, 0)))</f>
        <v>1K</v>
      </c>
      <c r="F25" s="1" cm="1">
        <f t="array" ref="F25">MEDIAN(IF(listings[nearest_station]=B25,listings[building_age (years)]))</f>
        <v>13</v>
      </c>
      <c r="G25" s="1" cm="1">
        <f t="array" ref="G25">MEDIAN(IF(listings[nearest_station]=B25,listings[building_size (floors)]))</f>
        <v>3</v>
      </c>
      <c r="H25" s="8" cm="1">
        <f t="array" ref="H25">MEDIAN(IF(listings[nearest_station]=B25, listings[rent (¥)]))</f>
        <v>91500</v>
      </c>
      <c r="I25" s="7" t="str" cm="1">
        <f t="array" ref="I25">"¥"&amp;TEXT(QUARTILE(IF(listings[nearest_station]=B25,listings[rent (¥)]), 1), "0")&amp;" - "&amp;"¥"&amp;TEXT(QUARTILE(IF(listings[nearest_station]=B25, listings[rent (¥)]), 3), "0")</f>
        <v>¥69000 - ¥125000</v>
      </c>
      <c r="K25" s="2" t="s">
        <v>573</v>
      </c>
      <c r="L25" s="5">
        <f>COUNTIF(listings[], K25)</f>
        <v>113</v>
      </c>
      <c r="M25" s="1" t="str" cm="1">
        <f t="array" ref="M25">TEXT(ROUND(MEDIAN(IF(listings[floor_plan]=K25, listings[area ( m²)])), 2), "0.00")&amp;" m"&amp;CHAR(178)</f>
        <v>29.81 m²</v>
      </c>
      <c r="N25" s="1" t="str" cm="1">
        <f t="array" ref="N25" xml:space="preserve"> TEXT(QUARTILE(IF(listings[floor_plan] = K25,listings[area ( m²)]), 1), "0.00")&amp;" - "&amp;TEXT(QUARTILE(IF(listings[floor_plan] = K25, listings[area ( m²)]), 3), "0.00")&amp;" m"&amp;CHAR(178)</f>
        <v>25.72 - 35.10 m²</v>
      </c>
      <c r="O25" s="8" cm="1">
        <f t="array" ref="O25">MEDIAN(IF(listings[floor_plan]=K25, listings[rent (¥)]))</f>
        <v>120000</v>
      </c>
      <c r="P25" s="7" t="str" cm="1">
        <f t="array" ref="P25" xml:space="preserve"> "¥"&amp;TEXT(QUARTILE(IF(listings[floor_plan]=K25,listings[rent (¥)]), 1), "0")&amp;" - "&amp;"¥"&amp;TEXT(QUARTILE(IF(listings[floor_plan] = K25, listings[rent (¥)]), 3), "0")</f>
        <v>¥87000 - ¥142000</v>
      </c>
    </row>
    <row r="26" spans="2:16">
      <c r="B26" s="3" t="s">
        <v>1284</v>
      </c>
      <c r="C26" s="1">
        <f>COUNTIF(listings[nearest_station], B26)</f>
        <v>291</v>
      </c>
      <c r="D26" s="11" t="str" cm="1">
        <f t="array" ref="D26">TEXT(MEDIAN(IF(listings[nearest_station]= B26, listings[distance_to_nearest_station (min)])), "0")&amp;" min"</f>
        <v>8 min</v>
      </c>
      <c r="E26" s="1" t="str" cm="1">
        <f t="array" ref="E26">_xlfn.LET(_xlpm.plans, _xlfn.UNIQUE(_xlfn._xlws.FILTER(listings[floor_plan], listings[nearest_station]=B26)), _xlpm.counts, COUNTIFS(listings[nearest_station], B26, listings[floor_plan], _xlpm.plans), INDEX(_xlpm.plans, MATCH(MAX(_xlpm.counts), _xlpm.counts, 0)))</f>
        <v>1K</v>
      </c>
      <c r="F26" s="1" cm="1">
        <f t="array" ref="F26">MEDIAN(IF(listings[nearest_station]=B26,listings[building_age (years)]))</f>
        <v>10</v>
      </c>
      <c r="G26" s="1" cm="1">
        <f t="array" ref="G26">MEDIAN(IF(listings[nearest_station]=B26,listings[building_size (floors)]))</f>
        <v>4</v>
      </c>
      <c r="H26" s="8" cm="1">
        <f t="array" ref="H26">MEDIAN(IF(listings[nearest_station]=B26, listings[rent (¥)]))</f>
        <v>130000</v>
      </c>
      <c r="I26" s="7" t="str" cm="1">
        <f t="array" ref="I26">"¥"&amp;TEXT(QUARTILE(IF(listings[nearest_station]=B26,listings[rent (¥)]), 1), "0")&amp;" - "&amp;"¥"&amp;TEXT(QUARTILE(IF(listings[nearest_station]=B26, listings[rent (¥)]), 3), "0")</f>
        <v>¥84000 - ¥168500</v>
      </c>
      <c r="K26" s="2" t="s">
        <v>555</v>
      </c>
      <c r="L26" s="5">
        <f>COUNTIF(listings[], K26)</f>
        <v>42</v>
      </c>
      <c r="M26" s="1" t="str" cm="1">
        <f t="array" ref="M26">TEXT(ROUND(MEDIAN(IF(listings[floor_plan]=K26, listings[area ( m²)])), 2), "0.00")&amp;" m"&amp;CHAR(178)</f>
        <v>44.73 m²</v>
      </c>
      <c r="N26" s="1" t="str" cm="1">
        <f t="array" ref="N26" xml:space="preserve"> TEXT(QUARTILE(IF(listings[floor_plan] = K26,listings[area ( m²)]), 1), "0.00")&amp;" - "&amp;TEXT(QUARTILE(IF(listings[floor_plan] = K26, listings[area ( m²)]), 3), "0.00")&amp;" m"&amp;CHAR(178)</f>
        <v>40.58 - 50.80 m²</v>
      </c>
      <c r="O26" s="8" cm="1">
        <f t="array" ref="O26">MEDIAN(IF(listings[floor_plan]=K26, listings[rent (¥)]))</f>
        <v>195399.99999999951</v>
      </c>
      <c r="P26" s="7" t="str" cm="1">
        <f t="array" ref="P26" xml:space="preserve"> "¥"&amp;TEXT(QUARTILE(IF(listings[floor_plan]=K26,listings[rent (¥)]), 1), "0")&amp;" - "&amp;"¥"&amp;TEXT(QUARTILE(IF(listings[floor_plan] = K26, listings[rent (¥)]), 3), "0")</f>
        <v>¥180000 - ¥237750</v>
      </c>
    </row>
    <row r="27" spans="2:16">
      <c r="B27" s="3" t="s">
        <v>4525</v>
      </c>
      <c r="C27" s="1">
        <f>COUNTIF(listings[nearest_station], B27)</f>
        <v>276</v>
      </c>
      <c r="D27" s="11" t="str" cm="1">
        <f t="array" ref="D27">TEXT(MEDIAN(IF(listings[nearest_station]= B27, listings[distance_to_nearest_station (min)])), "0")&amp;" min"</f>
        <v>7 min</v>
      </c>
      <c r="E27" s="1" t="str" cm="1">
        <f t="array" ref="E27">_xlfn.LET(_xlpm.plans, _xlfn.UNIQUE(_xlfn._xlws.FILTER(listings[floor_plan], listings[nearest_station]=B27)), _xlpm.counts, COUNTIFS(listings[nearest_station], B27, listings[floor_plan], _xlpm.plans), INDEX(_xlpm.plans, MATCH(MAX(_xlpm.counts), _xlpm.counts, 0)))</f>
        <v>1K</v>
      </c>
      <c r="F27" s="1" cm="1">
        <f t="array" ref="F27">MEDIAN(IF(listings[nearest_station]=B27,listings[building_age (years)]))</f>
        <v>14</v>
      </c>
      <c r="G27" s="1" cm="1">
        <f t="array" ref="G27">MEDIAN(IF(listings[nearest_station]=B27,listings[building_size (floors)]))</f>
        <v>4</v>
      </c>
      <c r="H27" s="8" cm="1">
        <f t="array" ref="H27">MEDIAN(IF(listings[nearest_station]=B27, listings[rent (¥)]))</f>
        <v>92000</v>
      </c>
      <c r="I27" s="7" t="str" cm="1">
        <f t="array" ref="I27">"¥"&amp;TEXT(QUARTILE(IF(listings[nearest_station]=B27,listings[rent (¥)]), 1), "0")&amp;" - "&amp;"¥"&amp;TEXT(QUARTILE(IF(listings[nearest_station]=B27, listings[rent (¥)]), 3), "0")</f>
        <v>¥75000 - ¥143000</v>
      </c>
      <c r="K27" s="2" t="s">
        <v>642</v>
      </c>
      <c r="L27" s="5">
        <f>COUNTIF(listings[], K27)</f>
        <v>27</v>
      </c>
      <c r="M27" s="1" t="str" cm="1">
        <f t="array" ref="M27">TEXT(ROUND(MEDIAN(IF(listings[floor_plan]=K27, listings[area ( m²)])), 2), "0.00")&amp;" m"&amp;CHAR(178)</f>
        <v>78.55 m²</v>
      </c>
      <c r="N27" s="1" t="str" cm="1">
        <f t="array" ref="N27" xml:space="preserve"> TEXT(QUARTILE(IF(listings[floor_plan] = K27,listings[area ( m²)]), 1), "0.00")&amp;" - "&amp;TEXT(QUARTILE(IF(listings[floor_plan] = K27, listings[area ( m²)]), 3), "0.00")&amp;" m"&amp;CHAR(178)</f>
        <v>64.80 - 80.41 m²</v>
      </c>
      <c r="O27" s="8" cm="1">
        <f t="array" ref="O27">MEDIAN(IF(listings[floor_plan]=K27, listings[rent (¥)]))</f>
        <v>270000</v>
      </c>
      <c r="P27" s="7" t="str" cm="1">
        <f t="array" ref="P27" xml:space="preserve"> "¥"&amp;TEXT(QUARTILE(IF(listings[floor_plan]=K27,listings[rent (¥)]), 1), "0")&amp;" - "&amp;"¥"&amp;TEXT(QUARTILE(IF(listings[floor_plan] = K27, listings[rent (¥)]), 3), "0")</f>
        <v>¥216500 - ¥367000</v>
      </c>
    </row>
    <row r="28" spans="2:16">
      <c r="B28" s="3" t="s">
        <v>6994</v>
      </c>
      <c r="C28" s="1">
        <f>COUNTIF(listings[nearest_station], B28)</f>
        <v>268</v>
      </c>
      <c r="D28" s="11" t="str" cm="1">
        <f t="array" ref="D28">TEXT(MEDIAN(IF(listings[nearest_station]= B28, listings[distance_to_nearest_station (min)])), "0")&amp;" min"</f>
        <v>7 min</v>
      </c>
      <c r="E28" s="1" t="str" cm="1">
        <f t="array" ref="E28">_xlfn.LET(_xlpm.plans, _xlfn.UNIQUE(_xlfn._xlws.FILTER(listings[floor_plan], listings[nearest_station]=B28)), _xlpm.counts, COUNTIFS(listings[nearest_station], B28, listings[floor_plan], _xlpm.plans), INDEX(_xlpm.plans, MATCH(MAX(_xlpm.counts), _xlpm.counts, 0)))</f>
        <v>1K</v>
      </c>
      <c r="F28" s="1" cm="1">
        <f t="array" ref="F28">MEDIAN(IF(listings[nearest_station]=B28,listings[building_age (years)]))</f>
        <v>10</v>
      </c>
      <c r="G28" s="1" cm="1">
        <f t="array" ref="G28">MEDIAN(IF(listings[nearest_station]=B28,listings[building_size (floors)]))</f>
        <v>5</v>
      </c>
      <c r="H28" s="8" cm="1">
        <f t="array" ref="H28">MEDIAN(IF(listings[nearest_station]=B28, listings[rent (¥)]))</f>
        <v>148000</v>
      </c>
      <c r="I28" s="7" t="str" cm="1">
        <f t="array" ref="I28">"¥"&amp;TEXT(QUARTILE(IF(listings[nearest_station]=B28,listings[rent (¥)]), 1), "0")&amp;" - "&amp;"¥"&amp;TEXT(QUARTILE(IF(listings[nearest_station]=B28, listings[rent (¥)]), 3), "0")</f>
        <v>¥84000 - ¥198875</v>
      </c>
      <c r="K28" s="2" t="s">
        <v>647</v>
      </c>
      <c r="L28" s="5">
        <f>COUNTIF(listings[], K28)</f>
        <v>21</v>
      </c>
      <c r="M28" s="1" t="str" cm="1">
        <f t="array" ref="M28">TEXT(ROUND(MEDIAN(IF(listings[floor_plan]=K28, listings[area ( m²)])), 2), "0.00")&amp;" m"&amp;CHAR(178)</f>
        <v>60.00 m²</v>
      </c>
      <c r="N28" s="1" t="str" cm="1">
        <f t="array" ref="N28" xml:space="preserve"> TEXT(QUARTILE(IF(listings[floor_plan] = K28,listings[area ( m²)]), 1), "0.00")&amp;" - "&amp;TEXT(QUARTILE(IF(listings[floor_plan] = K28, listings[area ( m²)]), 3), "0.00")&amp;" m"&amp;CHAR(178)</f>
        <v>52.50 - 65.23 m²</v>
      </c>
      <c r="O28" s="8" cm="1">
        <f t="array" ref="O28">MEDIAN(IF(listings[floor_plan]=K28, listings[rent (¥)]))</f>
        <v>195000</v>
      </c>
      <c r="P28" s="7" t="str" cm="1">
        <f t="array" ref="P28" xml:space="preserve"> "¥"&amp;TEXT(QUARTILE(IF(listings[floor_plan]=K28,listings[rent (¥)]), 1), "0")&amp;" - "&amp;"¥"&amp;TEXT(QUARTILE(IF(listings[floor_plan] = K28, listings[rent (¥)]), 3), "0")</f>
        <v>¥160000 - ¥215000</v>
      </c>
    </row>
    <row r="29" spans="2:16">
      <c r="B29" s="3" t="s">
        <v>2826</v>
      </c>
      <c r="C29" s="1">
        <f>COUNTIF(listings[nearest_station], B29)</f>
        <v>147</v>
      </c>
      <c r="D29" s="11" t="str" cm="1">
        <f t="array" ref="D29">TEXT(MEDIAN(IF(listings[nearest_station]= B29, listings[distance_to_nearest_station (min)])), "0")&amp;" min"</f>
        <v>11 min</v>
      </c>
      <c r="E29" s="1" t="str" cm="1">
        <f t="array" ref="E29">_xlfn.LET(_xlpm.plans, _xlfn.UNIQUE(_xlfn._xlws.FILTER(listings[floor_plan], listings[nearest_station]=B29)), _xlpm.counts, COUNTIFS(listings[nearest_station], B29, listings[floor_plan], _xlpm.plans), INDEX(_xlpm.plans, MATCH(MAX(_xlpm.counts), _xlpm.counts, 0)))</f>
        <v>1K</v>
      </c>
      <c r="F29" s="1" cm="1">
        <f t="array" ref="F29">MEDIAN(IF(listings[nearest_station]=B29,listings[building_age (years)]))</f>
        <v>1</v>
      </c>
      <c r="G29" s="1" cm="1">
        <f t="array" ref="G29">MEDIAN(IF(listings[nearest_station]=B29,listings[building_size (floors)]))</f>
        <v>3</v>
      </c>
      <c r="H29" s="8" cm="1">
        <f t="array" ref="H29">MEDIAN(IF(listings[nearest_station]=B29, listings[rent (¥)]))</f>
        <v>115500</v>
      </c>
      <c r="I29" s="7" t="str" cm="1">
        <f t="array" ref="I29">"¥"&amp;TEXT(QUARTILE(IF(listings[nearest_station]=B29,listings[rent (¥)]), 1), "0")&amp;" - "&amp;"¥"&amp;TEXT(QUARTILE(IF(listings[nearest_station]=B29, listings[rent (¥)]), 3), "0")</f>
        <v>¥87000 - ¥187000</v>
      </c>
      <c r="K29" s="3" t="s">
        <v>681</v>
      </c>
      <c r="L29" s="5">
        <f>COUNTIF(listings[], K29)</f>
        <v>15</v>
      </c>
      <c r="M29" s="1" t="str" cm="1">
        <f t="array" ref="M29">TEXT(ROUND(MEDIAN(IF(listings[floor_plan]=K29, listings[area ( m²)])), 2), "0.00")&amp;" m"&amp;CHAR(178)</f>
        <v>90.02 m²</v>
      </c>
      <c r="N29" s="1" t="str" cm="1">
        <f t="array" ref="N29" xml:space="preserve"> TEXT(QUARTILE(IF(listings[floor_plan] = K29,listings[area ( m²)]), 1), "0.00")&amp;" - "&amp;TEXT(QUARTILE(IF(listings[floor_plan] = K29, listings[area ( m²)]), 3), "0.00")&amp;" m"&amp;CHAR(178)</f>
        <v>81.05 - 108.00 m²</v>
      </c>
      <c r="O29" s="8" cm="1">
        <f t="array" ref="O29">MEDIAN(IF(listings[floor_plan]=K29, listings[rent (¥)]))</f>
        <v>260000</v>
      </c>
      <c r="P29" s="7" t="str" cm="1">
        <f t="array" ref="P29" xml:space="preserve"> "¥"&amp;TEXT(QUARTILE(IF(listings[floor_plan]=K29,listings[rent (¥)]), 1), "0")&amp;" - "&amp;"¥"&amp;TEXT(QUARTILE(IF(listings[floor_plan] = K29, listings[rent (¥)]), 3), "0")</f>
        <v>¥260000 - ¥355000</v>
      </c>
    </row>
    <row r="30" spans="2:16">
      <c r="B30" s="3" t="s">
        <v>1752</v>
      </c>
      <c r="C30" s="1">
        <f>COUNTIF(listings[nearest_station], B30)</f>
        <v>69</v>
      </c>
      <c r="D30" s="11" t="str" cm="1">
        <f t="array" ref="D30">TEXT(MEDIAN(IF(listings[nearest_station]= B30, listings[distance_to_nearest_station (min)])), "0")&amp;" min"</f>
        <v>6 min</v>
      </c>
      <c r="E30" s="1" t="str" cm="1">
        <f t="array" ref="E30">_xlfn.LET(_xlpm.plans, _xlfn.UNIQUE(_xlfn._xlws.FILTER(listings[floor_plan], listings[nearest_station]=B30)), _xlpm.counts, COUNTIFS(listings[nearest_station], B30, listings[floor_plan], _xlpm.plans), INDEX(_xlpm.plans, MATCH(MAX(_xlpm.counts), _xlpm.counts, 0)))</f>
        <v>1LDK</v>
      </c>
      <c r="F30" s="1" cm="1">
        <f t="array" ref="F30">MEDIAN(IF(listings[nearest_station]=B30,listings[building_age (years)]))</f>
        <v>3</v>
      </c>
      <c r="G30" s="1" cm="1">
        <f t="array" ref="G30">MEDIAN(IF(listings[nearest_station]=B30,listings[building_size (floors)]))</f>
        <v>7</v>
      </c>
      <c r="H30" s="8" cm="1">
        <f t="array" ref="H30">MEDIAN(IF(listings[nearest_station]=B30, listings[rent (¥)]))</f>
        <v>193000</v>
      </c>
      <c r="I30" s="7" t="str" cm="1">
        <f t="array" ref="I30">"¥"&amp;TEXT(QUARTILE(IF(listings[nearest_station]=B30,listings[rent (¥)]), 1), "0")&amp;" - "&amp;"¥"&amp;TEXT(QUARTILE(IF(listings[nearest_station]=B30, listings[rent (¥)]), 3), "0")</f>
        <v>¥146000 - ¥231000</v>
      </c>
      <c r="K30" s="3" t="s">
        <v>1161</v>
      </c>
      <c r="L30" s="5">
        <f>COUNTIF(listings[], K30)</f>
        <v>9</v>
      </c>
      <c r="M30" s="1" t="str" cm="1">
        <f t="array" ref="M30">TEXT(ROUND(MEDIAN(IF(listings[floor_plan]=K30, listings[area ( m²)])), 2), "0.00")&amp;" m"&amp;CHAR(178)</f>
        <v>24.32 m²</v>
      </c>
      <c r="N30" s="1" t="str" cm="1">
        <f t="array" ref="N30" xml:space="preserve"> TEXT(QUARTILE(IF(listings[floor_plan] = K30,listings[area ( m²)]), 1), "0.00")&amp;" - "&amp;TEXT(QUARTILE(IF(listings[floor_plan] = K30, listings[area ( m²)]), 3), "0.00")&amp;" m"&amp;CHAR(178)</f>
        <v>23.98 - 24.97 m²</v>
      </c>
      <c r="O30" s="8" cm="1">
        <f t="array" ref="O30">MEDIAN(IF(listings[floor_plan]=K30, listings[rent (¥)]))</f>
        <v>94000</v>
      </c>
      <c r="P30" s="7" t="str" cm="1">
        <f t="array" ref="P30" xml:space="preserve"> "¥"&amp;TEXT(QUARTILE(IF(listings[floor_plan]=K30,listings[rent (¥)]), 1), "0")&amp;" - "&amp;"¥"&amp;TEXT(QUARTILE(IF(listings[floor_plan] = K30, listings[rent (¥)]), 3), "0")</f>
        <v>¥90000 - ¥100000</v>
      </c>
    </row>
    <row r="31" spans="2:16">
      <c r="B31" s="3" t="s">
        <v>5502</v>
      </c>
      <c r="C31" s="1">
        <f>COUNTIF(listings[nearest_station], B31)</f>
        <v>54</v>
      </c>
      <c r="D31" s="11" t="str" cm="1">
        <f t="array" ref="D31">TEXT(MEDIAN(IF(listings[nearest_station]= B31, listings[distance_to_nearest_station (min)])), "0")&amp;" min"</f>
        <v>9 min</v>
      </c>
      <c r="E31" s="1" t="str" cm="1">
        <f t="array" ref="E31">_xlfn.LET(_xlpm.plans, _xlfn.UNIQUE(_xlfn._xlws.FILTER(listings[floor_plan], listings[nearest_station]=B31)), _xlpm.counts, COUNTIFS(listings[nearest_station], B31, listings[floor_plan], _xlpm.plans), INDEX(_xlpm.plans, MATCH(MAX(_xlpm.counts), _xlpm.counts, 0)))</f>
        <v>1K</v>
      </c>
      <c r="F31" s="1" cm="1">
        <f t="array" ref="F31">MEDIAN(IF(listings[nearest_station]=B31,listings[building_age (years)]))</f>
        <v>20</v>
      </c>
      <c r="G31" s="1" cm="1">
        <f t="array" ref="G31">MEDIAN(IF(listings[nearest_station]=B31,listings[building_size (floors)]))</f>
        <v>4</v>
      </c>
      <c r="H31" s="8" cm="1">
        <f t="array" ref="H31">MEDIAN(IF(listings[nearest_station]=B31, listings[rent (¥)]))</f>
        <v>154000</v>
      </c>
      <c r="I31" s="7" t="str" cm="1">
        <f t="array" ref="I31">"¥"&amp;TEXT(QUARTILE(IF(listings[nearest_station]=B31,listings[rent (¥)]), 1), "0")&amp;" - "&amp;"¥"&amp;TEXT(QUARTILE(IF(listings[nearest_station]=B31, listings[rent (¥)]), 3), "0")</f>
        <v>¥108500 - ¥172000</v>
      </c>
      <c r="K31" s="3" t="s">
        <v>1737</v>
      </c>
      <c r="L31" s="5">
        <f>COUNTIF(listings[], K31)</f>
        <v>9</v>
      </c>
      <c r="M31" s="1" t="str" cm="1">
        <f t="array" ref="M31">TEXT(ROUND(MEDIAN(IF(listings[floor_plan]=K31, listings[area ( m²)])), 2), "0.00")&amp;" m"&amp;CHAR(178)</f>
        <v>102.46 m²</v>
      </c>
      <c r="N31" s="1" t="str" cm="1">
        <f t="array" ref="N31" xml:space="preserve"> TEXT(QUARTILE(IF(listings[floor_plan] = K31,listings[area ( m²)]), 1), "0.00")&amp;" - "&amp;TEXT(QUARTILE(IF(listings[floor_plan] = K31, listings[area ( m²)]), 3), "0.00")&amp;" m"&amp;CHAR(178)</f>
        <v>102.46 - 120.00 m²</v>
      </c>
      <c r="O31" s="8" cm="1">
        <f t="array" ref="O31">MEDIAN(IF(listings[floor_plan]=K31, listings[rent (¥)]))</f>
        <v>340000</v>
      </c>
      <c r="P31" s="7" t="str" cm="1">
        <f t="array" ref="P31" xml:space="preserve"> "¥"&amp;TEXT(QUARTILE(IF(listings[floor_plan]=K31,listings[rent (¥)]), 1), "0")&amp;" - "&amp;"¥"&amp;TEXT(QUARTILE(IF(listings[floor_plan] = K31, listings[rent (¥)]), 3), "0")</f>
        <v>¥340000 - ¥340000</v>
      </c>
    </row>
    <row r="32" spans="2:16">
      <c r="B32" s="3" t="s">
        <v>1217</v>
      </c>
      <c r="C32" s="1">
        <f>COUNTIF(listings[nearest_station], B32)</f>
        <v>33</v>
      </c>
      <c r="D32" s="11" t="str" cm="1">
        <f t="array" ref="D32">TEXT(MEDIAN(IF(listings[nearest_station]= B32, listings[distance_to_nearest_station (min)])), "0")&amp;" min"</f>
        <v>7 min</v>
      </c>
      <c r="E32" s="1" t="str" cm="1">
        <f t="array" ref="E32">_xlfn.LET(_xlpm.plans, _xlfn.UNIQUE(_xlfn._xlws.FILTER(listings[floor_plan], listings[nearest_station]=B32)), _xlpm.counts, COUNTIFS(listings[nearest_station], B32, listings[floor_plan], _xlpm.plans), INDEX(_xlpm.plans, MATCH(MAX(_xlpm.counts), _xlpm.counts, 0)))</f>
        <v>1K</v>
      </c>
      <c r="F32" s="1" cm="1">
        <f t="array" ref="F32">MEDIAN(IF(listings[nearest_station]=B32,listings[building_age (years)]))</f>
        <v>13</v>
      </c>
      <c r="G32" s="1" cm="1">
        <f t="array" ref="G32">MEDIAN(IF(listings[nearest_station]=B32,listings[building_size (floors)]))</f>
        <v>7</v>
      </c>
      <c r="H32" s="8" cm="1">
        <f t="array" ref="H32">MEDIAN(IF(listings[nearest_station]=B32, listings[rent (¥)]))</f>
        <v>117000</v>
      </c>
      <c r="I32" s="7" t="str" cm="1">
        <f t="array" ref="I32">"¥"&amp;TEXT(QUARTILE(IF(listings[nearest_station]=B32,listings[rent (¥)]), 1), "0")&amp;" - "&amp;"¥"&amp;TEXT(QUARTILE(IF(listings[nearest_station]=B32, listings[rent (¥)]), 3), "0")</f>
        <v>¥83000 - ¥155000</v>
      </c>
      <c r="K32" s="3" t="s">
        <v>652</v>
      </c>
      <c r="L32" s="5">
        <f>COUNTIF(listings[], K32)</f>
        <v>7</v>
      </c>
      <c r="M32" s="1" t="str" cm="1">
        <f t="array" ref="M32">TEXT(ROUND(MEDIAN(IF(listings[floor_plan]=K32, listings[area ( m²)])), 2), "0.00")&amp;" m"&amp;CHAR(178)</f>
        <v>46.26 m²</v>
      </c>
      <c r="N32" s="1" t="str" cm="1">
        <f t="array" ref="N32" xml:space="preserve"> TEXT(QUARTILE(IF(listings[floor_plan] = K32,listings[area ( m²)]), 1), "0.00")&amp;" - "&amp;TEXT(QUARTILE(IF(listings[floor_plan] = K32, listings[area ( m²)]), 3), "0.00")&amp;" m"&amp;CHAR(178)</f>
        <v>41.62 - 51.53 m²</v>
      </c>
      <c r="O32" s="8" cm="1">
        <f t="array" ref="O32">MEDIAN(IF(listings[floor_plan]=K32, listings[rent (¥)]))</f>
        <v>175000</v>
      </c>
      <c r="P32" s="7" t="str" cm="1">
        <f t="array" ref="P32" xml:space="preserve"> "¥"&amp;TEXT(QUARTILE(IF(listings[floor_plan]=K32,listings[rent (¥)]), 1), "0")&amp;" - "&amp;"¥"&amp;TEXT(QUARTILE(IF(listings[floor_plan] = K32, listings[rent (¥)]), 3), "0")</f>
        <v>¥148000 - ¥187500</v>
      </c>
    </row>
    <row r="33" spans="2:16">
      <c r="B33" s="3" t="s">
        <v>6982</v>
      </c>
      <c r="C33" s="1">
        <f>COUNTIF(listings[nearest_station], B33)</f>
        <v>5</v>
      </c>
      <c r="D33" s="11" t="str" cm="1">
        <f t="array" ref="D33">TEXT(MEDIAN(IF(listings[nearest_station]= B33, listings[distance_to_nearest_station (min)])), "0")&amp;" min"</f>
        <v>8 min</v>
      </c>
      <c r="E33" s="1" t="str" cm="1">
        <f t="array" ref="E33">_xlfn.LET(_xlpm.plans, _xlfn.UNIQUE(_xlfn._xlws.FILTER(listings[floor_plan], listings[nearest_station]=B33)), _xlpm.counts, COUNTIFS(listings[nearest_station], B33, listings[floor_plan], _xlpm.plans), INDEX(_xlpm.plans, MATCH(MAX(_xlpm.counts), _xlpm.counts, 0)))</f>
        <v>1R</v>
      </c>
      <c r="F33" s="1" cm="1">
        <f t="array" ref="F33">MEDIAN(IF(listings[nearest_station]=B33,listings[building_age (years)]))</f>
        <v>23</v>
      </c>
      <c r="G33" s="1" cm="1">
        <f t="array" ref="G33">MEDIAN(IF(listings[nearest_station]=B33,listings[building_size (floors)]))</f>
        <v>3</v>
      </c>
      <c r="H33" s="8" cm="1">
        <f t="array" ref="H33">MEDIAN(IF(listings[nearest_station]=B33, listings[rent (¥)]))</f>
        <v>65000</v>
      </c>
      <c r="I33" s="7" t="str" cm="1">
        <f t="array" ref="I33">"¥"&amp;TEXT(QUARTILE(IF(listings[nearest_station]=B33,listings[rent (¥)]), 1), "0")&amp;" - "&amp;"¥"&amp;TEXT(QUARTILE(IF(listings[nearest_station]=B33, listings[rent (¥)]), 3), "0")</f>
        <v>¥55000 - ¥72000</v>
      </c>
      <c r="K33" s="3" t="s">
        <v>678</v>
      </c>
      <c r="L33" s="5">
        <f>COUNTIF(listings[], K33)</f>
        <v>4</v>
      </c>
      <c r="M33" s="1" t="str" cm="1">
        <f t="array" ref="M33">TEXT(ROUND(MEDIAN(IF(listings[floor_plan]=K33, listings[area ( m²)])), 2), "0.00")&amp;" m"&amp;CHAR(178)</f>
        <v>73.02 m²</v>
      </c>
      <c r="N33" s="1" t="str" cm="1">
        <f t="array" ref="N33" xml:space="preserve"> TEXT(QUARTILE(IF(listings[floor_plan] = K33,listings[area ( m²)]), 1), "0.00")&amp;" - "&amp;TEXT(QUARTILE(IF(listings[floor_plan] = K33, listings[area ( m²)]), 3), "0.00")&amp;" m"&amp;CHAR(178)</f>
        <v>71.20 - 74.84 m²</v>
      </c>
      <c r="O33" s="8" cm="1">
        <f t="array" ref="O33">MEDIAN(IF(listings[floor_plan]=K33, listings[rent (¥)]))</f>
        <v>215000</v>
      </c>
      <c r="P33" s="7" t="str" cm="1">
        <f t="array" ref="P33" xml:space="preserve"> "¥"&amp;TEXT(QUARTILE(IF(listings[floor_plan]=K33,listings[rent (¥)]), 1), "0")&amp;" - "&amp;"¥"&amp;TEXT(QUARTILE(IF(listings[floor_plan] = K33, listings[rent (¥)]), 3), "0")</f>
        <v>¥200000 - ¥230000</v>
      </c>
    </row>
    <row r="34" spans="2:16">
      <c r="B34" s="3" t="s">
        <v>6974</v>
      </c>
      <c r="C34" s="1">
        <f>COUNTIF(listings[nearest_station], B34)</f>
        <v>3</v>
      </c>
      <c r="D34" s="11" t="str" cm="1">
        <f t="array" ref="D34">TEXT(MEDIAN(IF(listings[nearest_station]= B34, listings[distance_to_nearest_station (min)])), "0")&amp;" min"</f>
        <v>7 min</v>
      </c>
      <c r="E34" s="1" t="str" cm="1">
        <f t="array" ref="E34">_xlfn.LET(_xlpm.plans, _xlfn.UNIQUE(_xlfn._xlws.FILTER(listings[floor_plan], listings[nearest_station]=B34)), _xlpm.counts, COUNTIFS(listings[nearest_station], B34, listings[floor_plan], _xlpm.plans), INDEX(_xlpm.plans, MATCH(MAX(_xlpm.counts), _xlpm.counts, 0)))</f>
        <v>1K</v>
      </c>
      <c r="F34" s="1" cm="1">
        <f t="array" ref="F34">MEDIAN(IF(listings[nearest_station]=B34,listings[building_age (years)]))</f>
        <v>23</v>
      </c>
      <c r="G34" s="1" cm="1">
        <f t="array" ref="G34">MEDIAN(IF(listings[nearest_station]=B34,listings[building_size (floors)]))</f>
        <v>2</v>
      </c>
      <c r="H34" s="8" cm="1">
        <f t="array" ref="H34">MEDIAN(IF(listings[nearest_station]=B34, listings[rent (¥)]))</f>
        <v>76000</v>
      </c>
      <c r="I34" s="7" t="str" cm="1">
        <f t="array" ref="I34">"¥"&amp;TEXT(QUARTILE(IF(listings[nearest_station]=B34,listings[rent (¥)]), 1), "0")&amp;" - "&amp;"¥"&amp;TEXT(QUARTILE(IF(listings[nearest_station]=B34, listings[rent (¥)]), 3), "0")</f>
        <v>¥75000 - ¥76000</v>
      </c>
      <c r="K34" s="2" t="s">
        <v>427</v>
      </c>
      <c r="L34" s="5">
        <f>COUNTIF(listings[], K34)</f>
        <v>2</v>
      </c>
      <c r="M34" s="1" t="str" cm="1">
        <f t="array" ref="M34">TEXT(ROUND(MEDIAN(IF(listings[floor_plan]=K34, listings[area ( m²)])), 2), "0.00")&amp;" m"&amp;CHAR(178)</f>
        <v>41.23 m²</v>
      </c>
      <c r="N34" s="1" t="str" cm="1">
        <f t="array" ref="N34" xml:space="preserve"> TEXT(QUARTILE(IF(listings[floor_plan] = K34,listings[area ( m²)]), 1), "0.00")&amp;" - "&amp;TEXT(QUARTILE(IF(listings[floor_plan] = K34, listings[area ( m²)]), 3), "0.00")&amp;" m"&amp;CHAR(178)</f>
        <v>41.23 - 41.23 m²</v>
      </c>
      <c r="O34" s="8" cm="1">
        <f t="array" ref="O34">MEDIAN(IF(listings[floor_plan]=K34, listings[rent (¥)]))</f>
        <v>100000</v>
      </c>
      <c r="P34" s="7" t="str" cm="1">
        <f t="array" ref="P34" xml:space="preserve"> "¥"&amp;TEXT(QUARTILE(IF(listings[floor_plan]=K34,listings[rent (¥)]), 1), "0")&amp;" - "&amp;"¥"&amp;TEXT(QUARTILE(IF(listings[floor_plan] = K34, listings[rent (¥)]), 3), "0")</f>
        <v>¥100000 - ¥100000</v>
      </c>
    </row>
    <row r="35" spans="2:16">
      <c r="B35" s="3" t="s">
        <v>1744</v>
      </c>
      <c r="C35" s="1">
        <f>COUNTIF(listings[nearest_station], B35)</f>
        <v>2</v>
      </c>
      <c r="D35" s="11" t="str" cm="1">
        <f t="array" ref="D35">TEXT(MEDIAN(IF(listings[nearest_station]= B35, listings[distance_to_nearest_station (min)])), "0")&amp;" min"</f>
        <v>10 min</v>
      </c>
      <c r="E35" s="1" t="str" cm="1">
        <f t="array" ref="E35">_xlfn.LET(_xlpm.plans, _xlfn.UNIQUE(_xlfn._xlws.FILTER(listings[floor_plan], listings[nearest_station]=B35)), _xlpm.counts, COUNTIFS(listings[nearest_station], B35, listings[floor_plan], _xlpm.plans), INDEX(_xlpm.plans, MATCH(MAX(_xlpm.counts), _xlpm.counts, 0)))</f>
        <v>1LDK</v>
      </c>
      <c r="F35" s="1" cm="1">
        <f t="array" ref="F35">MEDIAN(IF(listings[nearest_station]=B35,listings[building_age (years)]))</f>
        <v>3</v>
      </c>
      <c r="G35" s="1" cm="1">
        <f t="array" ref="G35">MEDIAN(IF(listings[nearest_station]=B35,listings[building_size (floors)]))</f>
        <v>5</v>
      </c>
      <c r="H35" s="8" cm="1">
        <f t="array" ref="H35">MEDIAN(IF(listings[nearest_station]=B35, listings[rent (¥)]))</f>
        <v>136000</v>
      </c>
      <c r="I35" s="7" t="str" cm="1">
        <f t="array" ref="I35">"¥"&amp;TEXT(QUARTILE(IF(listings[nearest_station]=B35,listings[rent (¥)]), 1), "0")&amp;" - "&amp;"¥"&amp;TEXT(QUARTILE(IF(listings[nearest_station]=B35, listings[rent (¥)]), 3), "0")</f>
        <v>¥135500 - ¥136500</v>
      </c>
      <c r="K35" s="2" t="s">
        <v>639</v>
      </c>
      <c r="L35" s="5">
        <f>COUNTIF(listings[], K35)</f>
        <v>2</v>
      </c>
      <c r="M35" s="1" t="str" cm="1">
        <f t="array" ref="M35">TEXT(ROUND(MEDIAN(IF(listings[floor_plan]=K35, listings[area ( m²)])), 2), "0.00")&amp;" m"&amp;CHAR(178)</f>
        <v>28.41 m²</v>
      </c>
      <c r="N35" s="1" t="str" cm="1">
        <f t="array" ref="N35" xml:space="preserve"> TEXT(QUARTILE(IF(listings[floor_plan] = K35,listings[area ( m²)]), 1), "0.00")&amp;" - "&amp;TEXT(QUARTILE(IF(listings[floor_plan] = K35, listings[area ( m²)]), 3), "0.00")&amp;" m"&amp;CHAR(178)</f>
        <v>28.41 - 28.41 m²</v>
      </c>
      <c r="O35" s="8" cm="1">
        <f t="array" ref="O35">MEDIAN(IF(listings[floor_plan]=K35, listings[rent (¥)]))</f>
        <v>145000</v>
      </c>
      <c r="P35" s="7" t="str" cm="1">
        <f t="array" ref="P35" xml:space="preserve"> "¥"&amp;TEXT(QUARTILE(IF(listings[floor_plan]=K35,listings[rent (¥)]), 1), "0")&amp;" - "&amp;"¥"&amp;TEXT(QUARTILE(IF(listings[floor_plan] = K35, listings[rent (¥)]), 3), "0")</f>
        <v>¥145000 - ¥145000</v>
      </c>
    </row>
    <row r="36" spans="2:16">
      <c r="B36" s="3" t="s">
        <v>1748</v>
      </c>
      <c r="C36" s="1">
        <f>COUNTIF(listings[nearest_station], B36)</f>
        <v>1</v>
      </c>
      <c r="D36" s="11" t="str" cm="1">
        <f t="array" ref="D36">TEXT(MEDIAN(IF(listings[nearest_station]= B36, listings[distance_to_nearest_station (min)])), "0")&amp;" min"</f>
        <v>5 min</v>
      </c>
      <c r="E36" s="1" t="str" cm="1">
        <f t="array" ref="E36">_xlfn.LET(_xlpm.plans, _xlfn.UNIQUE(_xlfn._xlws.FILTER(listings[floor_plan], listings[nearest_station]=B36)), _xlpm.counts, COUNTIFS(listings[nearest_station], B36, listings[floor_plan], _xlpm.plans), INDEX(_xlpm.plans, MATCH(MAX(_xlpm.counts), _xlpm.counts, 0)))</f>
        <v>1K</v>
      </c>
      <c r="F36" s="1" cm="1">
        <f t="array" ref="F36">MEDIAN(IF(listings[nearest_station]=B36,listings[building_age (years)]))</f>
        <v>42</v>
      </c>
      <c r="G36" s="1" cm="1">
        <f t="array" ref="G36">MEDIAN(IF(listings[nearest_station]=B36,listings[building_size (floors)]))</f>
        <v>2</v>
      </c>
      <c r="H36" s="8" cm="1">
        <f t="array" ref="H36">MEDIAN(IF(listings[nearest_station]=B36, listings[rent (¥)]))</f>
        <v>55000</v>
      </c>
      <c r="I36" s="7" t="str" cm="1">
        <f t="array" ref="I36">"¥"&amp;TEXT(QUARTILE(IF(listings[nearest_station]=B36,listings[rent (¥)]), 1), "0")&amp;" - "&amp;"¥"&amp;TEXT(QUARTILE(IF(listings[nearest_station]=B36, listings[rent (¥)]), 3), "0")</f>
        <v>¥55000 - ¥55000</v>
      </c>
      <c r="K36" s="3" t="s">
        <v>6241</v>
      </c>
      <c r="L36" s="5">
        <f>COUNTIF(listings[], K36)</f>
        <v>2</v>
      </c>
      <c r="M36" s="1" t="str" cm="1">
        <f t="array" ref="M36">TEXT(ROUND(MEDIAN(IF(listings[floor_plan]=K36, listings[area ( m²)])), 2), "0.00")&amp;" m"&amp;CHAR(178)</f>
        <v>33.79 m²</v>
      </c>
      <c r="N36" s="1" t="str" cm="1">
        <f t="array" ref="N36" xml:space="preserve"> TEXT(QUARTILE(IF(listings[floor_plan] = K36,listings[area ( m²)]), 1), "0.00")&amp;" - "&amp;TEXT(QUARTILE(IF(listings[floor_plan] = K36, listings[area ( m²)]), 3), "0.00")&amp;" m"&amp;CHAR(178)</f>
        <v>33.79 - 33.79 m²</v>
      </c>
      <c r="O36" s="8" cm="1">
        <f t="array" ref="O36">MEDIAN(IF(listings[floor_plan]=K36, listings[rent (¥)]))</f>
        <v>167500</v>
      </c>
      <c r="P36" s="7" t="str" cm="1">
        <f t="array" ref="P36" xml:space="preserve"> "¥"&amp;TEXT(QUARTILE(IF(listings[floor_plan]=K36,listings[rent (¥)]), 1), "0")&amp;" - "&amp;"¥"&amp;TEXT(QUARTILE(IF(listings[floor_plan] = K36, listings[rent (¥)]), 3), "0")</f>
        <v>¥166250 - ¥168750</v>
      </c>
    </row>
    <row r="37" spans="2:16">
      <c r="B37" s="3" t="s">
        <v>1838</v>
      </c>
      <c r="C37" s="1">
        <f>COUNTIF(listings[nearest_station], B37)</f>
        <v>1</v>
      </c>
      <c r="D37" s="11" t="str" cm="1">
        <f t="array" ref="D37">TEXT(MEDIAN(IF(listings[nearest_station]= B37, listings[distance_to_nearest_station (min)])), "0")&amp;" min"</f>
        <v>4 min</v>
      </c>
      <c r="E37" s="1" t="str" cm="1">
        <f t="array" ref="E37">_xlfn.LET(_xlpm.plans, _xlfn.UNIQUE(_xlfn._xlws.FILTER(listings[floor_plan], listings[nearest_station]=B37)), _xlpm.counts, COUNTIFS(listings[nearest_station], B37, listings[floor_plan], _xlpm.plans), INDEX(_xlpm.plans, MATCH(MAX(_xlpm.counts), _xlpm.counts, 0)))</f>
        <v>1LDK</v>
      </c>
      <c r="F37" s="1" cm="1">
        <f t="array" ref="F37">MEDIAN(IF(listings[nearest_station]=B37,listings[building_age (years)]))</f>
        <v>10</v>
      </c>
      <c r="G37" s="1" cm="1">
        <f t="array" ref="G37">MEDIAN(IF(listings[nearest_station]=B37,listings[building_size (floors)]))</f>
        <v>14</v>
      </c>
      <c r="H37" s="8" cm="1">
        <f t="array" ref="H37">MEDIAN(IF(listings[nearest_station]=B37, listings[rent (¥)]))</f>
        <v>205000</v>
      </c>
      <c r="I37" s="7" t="str" cm="1">
        <f t="array" ref="I37">"¥"&amp;TEXT(QUARTILE(IF(listings[nearest_station]=B37,listings[rent (¥)]), 1), "0")&amp;" - "&amp;"¥"&amp;TEXT(QUARTILE(IF(listings[nearest_station]=B37, listings[rent (¥)]), 3), "0")</f>
        <v>¥205000 - ¥205000</v>
      </c>
      <c r="K37" s="3" t="s">
        <v>4004</v>
      </c>
      <c r="L37" s="5">
        <f>COUNTIF(listings[], K37)</f>
        <v>1</v>
      </c>
      <c r="M37" s="1" t="str" cm="1">
        <f t="array" ref="M37">TEXT(ROUND(MEDIAN(IF(listings[floor_plan]=K37, listings[area ( m²)])), 2), "0.00")&amp;" m"&amp;CHAR(178)</f>
        <v>60.00 m²</v>
      </c>
      <c r="N37" s="1" t="str" cm="1">
        <f t="array" ref="N37" xml:space="preserve"> TEXT(QUARTILE(IF(listings[floor_plan] = K37,listings[area ( m²)]), 1), "0.00")&amp;" - "&amp;TEXT(QUARTILE(IF(listings[floor_plan] = K37, listings[area ( m²)]), 3), "0.00")&amp;" m"&amp;CHAR(178)</f>
        <v>60.00 - 60.00 m²</v>
      </c>
      <c r="O37" s="8" cm="1">
        <f t="array" ref="O37">MEDIAN(IF(listings[floor_plan]=K37, listings[rent (¥)]))</f>
        <v>138000</v>
      </c>
      <c r="P37" s="7" t="str" cm="1">
        <f t="array" ref="P37" xml:space="preserve"> "¥"&amp;TEXT(QUARTILE(IF(listings[floor_plan]=K37,listings[rent (¥)]), 1), "0")&amp;" - "&amp;"¥"&amp;TEXT(QUARTILE(IF(listings[floor_plan] = K37, listings[rent (¥)]), 3), "0")</f>
        <v>¥138000 - ¥138000</v>
      </c>
    </row>
    <row r="38" spans="2:16">
      <c r="B38" s="3" t="s">
        <v>4966</v>
      </c>
      <c r="C38" s="1">
        <f>COUNTIF(listings[nearest_station], B38)</f>
        <v>1</v>
      </c>
      <c r="D38" s="11" t="str" cm="1">
        <f t="array" ref="D38">TEXT(MEDIAN(IF(listings[nearest_station]= B38, listings[distance_to_nearest_station (min)])), "0")&amp;" min"</f>
        <v>4 min</v>
      </c>
      <c r="E38" s="1" t="str" cm="1">
        <f t="array" ref="E38">_xlfn.LET(_xlpm.plans, _xlfn.UNIQUE(_xlfn._xlws.FILTER(listings[floor_plan], listings[nearest_station]=B38)), _xlpm.counts, COUNTIFS(listings[nearest_station], B38, listings[floor_plan], _xlpm.plans), INDEX(_xlpm.plans, MATCH(MAX(_xlpm.counts), _xlpm.counts, 0)))</f>
        <v>1R</v>
      </c>
      <c r="F38" s="1" cm="1">
        <f t="array" ref="F38">MEDIAN(IF(listings[nearest_station]=B38,listings[building_age (years)]))</f>
        <v>50</v>
      </c>
      <c r="G38" s="1" cm="1">
        <f t="array" ref="G38">MEDIAN(IF(listings[nearest_station]=B38,listings[building_size (floors)]))</f>
        <v>4</v>
      </c>
      <c r="H38" s="8" cm="1">
        <f t="array" ref="H38">MEDIAN(IF(listings[nearest_station]=B38, listings[rent (¥)]))</f>
        <v>69000</v>
      </c>
      <c r="I38" s="7" t="str" cm="1">
        <f t="array" ref="I38">"¥"&amp;TEXT(QUARTILE(IF(listings[nearest_station]=B38,listings[rent (¥)]), 1), "0")&amp;" - "&amp;"¥"&amp;TEXT(QUARTILE(IF(listings[nearest_station]=B38, listings[rent (¥)]), 3), "0")</f>
        <v>¥69000 - ¥69000</v>
      </c>
      <c r="K38" s="3" t="s">
        <v>6953</v>
      </c>
      <c r="L38" s="5">
        <f>COUNTIF(listings[], K38)</f>
        <v>1</v>
      </c>
      <c r="M38" s="1" t="str" cm="1">
        <f t="array" ref="M38">TEXT(ROUND(MEDIAN(IF(listings[floor_plan]=K38, listings[area ( m²)])), 2), "0.00")&amp;" m"&amp;CHAR(178)</f>
        <v>84.86 m²</v>
      </c>
      <c r="N38" s="1" t="str" cm="1">
        <f t="array" ref="N38" xml:space="preserve"> TEXT(QUARTILE(IF(listings[floor_plan] = K38,listings[area ( m²)]), 1), "0.00")&amp;" - "&amp;TEXT(QUARTILE(IF(listings[floor_plan] = K38, listings[area ( m²)]), 3), "0.00")&amp;" m"&amp;CHAR(178)</f>
        <v>84.86 - 84.86 m²</v>
      </c>
      <c r="O38" s="8" cm="1">
        <f t="array" ref="O38">MEDIAN(IF(listings[floor_plan]=K38, listings[rent (¥)]))</f>
        <v>364099.99999999901</v>
      </c>
      <c r="P38" s="7" t="str" cm="1">
        <f t="array" ref="P38" xml:space="preserve"> "¥"&amp;TEXT(QUARTILE(IF(listings[floor_plan]=K38,listings[rent (¥)]), 1), "0")&amp;" - "&amp;"¥"&amp;TEXT(QUARTILE(IF(listings[floor_plan] = K38, listings[rent (¥)]), 3), "0")</f>
        <v>¥364100 - ¥364100</v>
      </c>
    </row>
    <row r="39" spans="2:16">
      <c r="B39" s="3" t="s">
        <v>5593</v>
      </c>
      <c r="C39" s="1">
        <f>COUNTIF(listings[nearest_station], B39)</f>
        <v>1</v>
      </c>
      <c r="D39" s="11" t="str" cm="1">
        <f t="array" ref="D39">TEXT(MEDIAN(IF(listings[nearest_station]= B39, listings[distance_to_nearest_station (min)])), "0")&amp;" min"</f>
        <v>6 min</v>
      </c>
      <c r="E39" s="1" t="str" cm="1">
        <f t="array" ref="E39">_xlfn.LET(_xlpm.plans, _xlfn.UNIQUE(_xlfn._xlws.FILTER(listings[floor_plan], listings[nearest_station]=B39)), _xlpm.counts, COUNTIFS(listings[nearest_station], B39, listings[floor_plan], _xlpm.plans), INDEX(_xlpm.plans, MATCH(MAX(_xlpm.counts), _xlpm.counts, 0)))</f>
        <v>1R</v>
      </c>
      <c r="F39" s="1" cm="1">
        <f t="array" ref="F39">MEDIAN(IF(listings[nearest_station]=B39,listings[building_age (years)]))</f>
        <v>13</v>
      </c>
      <c r="G39" s="1" cm="1">
        <f t="array" ref="G39">MEDIAN(IF(listings[nearest_station]=B39,listings[building_size (floors)]))</f>
        <v>3</v>
      </c>
      <c r="H39" s="8" cm="1">
        <f t="array" ref="H39">MEDIAN(IF(listings[nearest_station]=B39, listings[rent (¥)]))</f>
        <v>110000</v>
      </c>
      <c r="I39" s="7" t="str" cm="1">
        <f t="array" ref="I39">"¥"&amp;TEXT(QUARTILE(IF(listings[nearest_station]=B39,listings[rent (¥)]), 1), "0")&amp;" - "&amp;"¥"&amp;TEXT(QUARTILE(IF(listings[nearest_station]=B39, listings[rent (¥)]), 3), "0")</f>
        <v>¥110000 - ¥110000</v>
      </c>
    </row>
  </sheetData>
  <sortState xmlns:xlrd2="http://schemas.microsoft.com/office/spreadsheetml/2017/richdata2" ref="B18:G39">
    <sortCondition descending="1" ref="C18:C39"/>
  </sortState>
  <conditionalFormatting sqref="L18:L38">
    <cfRule type="cellIs" dxfId="10" priority="10" operator="greaterThan">
      <formula>100</formula>
    </cfRule>
  </conditionalFormatting>
  <conditionalFormatting sqref="L18:L38 C18:C39">
    <cfRule type="cellIs" dxfId="9" priority="9" operator="greaterThan">
      <formula>100</formula>
    </cfRule>
  </conditionalFormatting>
  <conditionalFormatting sqref="L18:L38 C18:C39">
    <cfRule type="cellIs" dxfId="8" priority="8" operator="between">
      <formula>30</formula>
      <formula>100</formula>
    </cfRule>
  </conditionalFormatting>
  <conditionalFormatting sqref="L18:L38 C18:C39">
    <cfRule type="cellIs" dxfId="7" priority="7" operator="lessThan">
      <formula>30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E602-CD23-46E9-B476-C5CB220F2083}">
  <dimension ref="J4:W29"/>
  <sheetViews>
    <sheetView topLeftCell="I1" workbookViewId="0">
      <selection activeCell="X16" sqref="X16"/>
    </sheetView>
  </sheetViews>
  <sheetFormatPr defaultRowHeight="15"/>
  <cols>
    <col min="3" max="3" width="24.85546875" customWidth="1"/>
    <col min="4" max="4" width="28.28515625" customWidth="1"/>
    <col min="10" max="10" width="24.42578125" customWidth="1"/>
    <col min="11" max="11" width="21.7109375" customWidth="1"/>
    <col min="16" max="16" width="23" customWidth="1"/>
    <col min="17" max="17" width="23.42578125" customWidth="1"/>
    <col min="18" max="18" width="24.28515625" customWidth="1"/>
    <col min="22" max="22" width="22" customWidth="1"/>
    <col min="23" max="23" width="20" customWidth="1"/>
  </cols>
  <sheetData>
    <row r="4" spans="10:23">
      <c r="J4" s="15" t="s">
        <v>11</v>
      </c>
      <c r="K4" t="s">
        <v>7411</v>
      </c>
      <c r="V4" s="15" t="s">
        <v>20</v>
      </c>
      <c r="W4" t="s">
        <v>7411</v>
      </c>
    </row>
    <row r="5" spans="10:23">
      <c r="J5">
        <v>1</v>
      </c>
      <c r="K5">
        <v>118000</v>
      </c>
      <c r="V5" t="s">
        <v>81</v>
      </c>
      <c r="W5">
        <v>182679.9100449775</v>
      </c>
    </row>
    <row r="6" spans="10:23">
      <c r="J6">
        <v>2</v>
      </c>
      <c r="K6">
        <v>89691.330998248683</v>
      </c>
      <c r="V6" t="s">
        <v>31</v>
      </c>
      <c r="W6">
        <v>144409.06801007557</v>
      </c>
    </row>
    <row r="7" spans="10:23">
      <c r="J7">
        <v>3</v>
      </c>
      <c r="K7">
        <v>138934.18881759854</v>
      </c>
      <c r="V7" t="s">
        <v>90</v>
      </c>
      <c r="W7">
        <v>124367.49024707412</v>
      </c>
    </row>
    <row r="8" spans="10:23">
      <c r="J8">
        <v>4</v>
      </c>
      <c r="K8">
        <v>124494.0594059406</v>
      </c>
      <c r="V8" t="s">
        <v>27</v>
      </c>
      <c r="W8">
        <v>104655.86690017513</v>
      </c>
    </row>
    <row r="9" spans="10:23">
      <c r="J9">
        <v>5</v>
      </c>
      <c r="K9">
        <v>132790.20618556702</v>
      </c>
      <c r="V9" t="s">
        <v>49</v>
      </c>
      <c r="W9">
        <v>95985.099846390163</v>
      </c>
    </row>
    <row r="10" spans="10:23">
      <c r="J10">
        <v>6</v>
      </c>
      <c r="K10">
        <v>132034.01360544219</v>
      </c>
      <c r="V10" t="s">
        <v>42</v>
      </c>
      <c r="W10">
        <v>84735.231316725985</v>
      </c>
    </row>
    <row r="11" spans="10:23">
      <c r="J11">
        <v>7</v>
      </c>
      <c r="K11">
        <v>152504.68085106384</v>
      </c>
      <c r="V11" t="s">
        <v>57</v>
      </c>
      <c r="W11">
        <v>100804.4776119403</v>
      </c>
    </row>
    <row r="12" spans="10:23">
      <c r="J12">
        <v>8</v>
      </c>
      <c r="K12">
        <v>156410.10638297873</v>
      </c>
      <c r="V12" t="s">
        <v>38</v>
      </c>
      <c r="W12">
        <v>72106.818181818177</v>
      </c>
    </row>
    <row r="13" spans="10:23">
      <c r="J13">
        <v>9</v>
      </c>
      <c r="K13">
        <v>129906.99300699301</v>
      </c>
      <c r="V13" t="s">
        <v>7412</v>
      </c>
      <c r="W13">
        <v>129148.67979882649</v>
      </c>
    </row>
    <row r="14" spans="10:23">
      <c r="J14">
        <v>10</v>
      </c>
      <c r="K14">
        <v>142843.02325581395</v>
      </c>
    </row>
    <row r="15" spans="10:23">
      <c r="J15">
        <v>11</v>
      </c>
      <c r="K15">
        <v>175885.05747126436</v>
      </c>
    </row>
    <row r="16" spans="10:23">
      <c r="J16">
        <v>12</v>
      </c>
      <c r="K16">
        <v>179956.73076923078</v>
      </c>
    </row>
    <row r="17" spans="10:11">
      <c r="J17">
        <v>13</v>
      </c>
      <c r="K17">
        <v>164705.88235294117</v>
      </c>
    </row>
    <row r="18" spans="10:11">
      <c r="J18">
        <v>14</v>
      </c>
      <c r="K18">
        <v>221210.52631578947</v>
      </c>
    </row>
    <row r="19" spans="10:11">
      <c r="J19">
        <v>15</v>
      </c>
      <c r="K19">
        <v>174758.62068965516</v>
      </c>
    </row>
    <row r="20" spans="10:11">
      <c r="J20">
        <v>16</v>
      </c>
      <c r="K20">
        <v>215522.2222222219</v>
      </c>
    </row>
    <row r="21" spans="10:11">
      <c r="J21">
        <v>19</v>
      </c>
      <c r="K21">
        <v>190777.77777777778</v>
      </c>
    </row>
    <row r="22" spans="10:11">
      <c r="J22">
        <v>24</v>
      </c>
      <c r="K22">
        <v>120000</v>
      </c>
    </row>
    <row r="23" spans="10:11">
      <c r="J23">
        <v>25</v>
      </c>
      <c r="K23">
        <v>410000</v>
      </c>
    </row>
    <row r="24" spans="10:11">
      <c r="J24">
        <v>26</v>
      </c>
      <c r="K24">
        <v>410000</v>
      </c>
    </row>
    <row r="25" spans="10:11">
      <c r="J25">
        <v>28</v>
      </c>
      <c r="K25">
        <v>322500</v>
      </c>
    </row>
    <row r="26" spans="10:11">
      <c r="J26">
        <v>30</v>
      </c>
      <c r="K26">
        <v>330000</v>
      </c>
    </row>
    <row r="27" spans="10:11">
      <c r="J27">
        <v>31</v>
      </c>
      <c r="K27">
        <v>210000</v>
      </c>
    </row>
    <row r="28" spans="10:11">
      <c r="J28">
        <v>33</v>
      </c>
      <c r="K28">
        <v>254083.33333333334</v>
      </c>
    </row>
    <row r="29" spans="10:11">
      <c r="J29" t="s">
        <v>7412</v>
      </c>
      <c r="K29">
        <v>129148.67979882649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6E7B0-6FC6-40D2-A8D5-A123FD4D8E81}">
  <dimension ref="A1:S25"/>
  <sheetViews>
    <sheetView workbookViewId="0">
      <selection activeCell="H18" sqref="H18"/>
    </sheetView>
  </sheetViews>
  <sheetFormatPr defaultRowHeight="15"/>
  <cols>
    <col min="1" max="1" width="23.7109375" customWidth="1"/>
    <col min="2" max="2" width="22.28515625" customWidth="1"/>
    <col min="3" max="3" width="23.5703125" customWidth="1"/>
    <col min="4" max="4" width="22.140625" customWidth="1"/>
    <col min="5" max="5" width="26.140625" customWidth="1"/>
    <col min="6" max="6" width="8.28515625" customWidth="1"/>
    <col min="7" max="7" width="14" customWidth="1"/>
  </cols>
  <sheetData>
    <row r="1" spans="1:19" ht="15.75">
      <c r="A1" s="17" t="s">
        <v>7413</v>
      </c>
      <c r="B1" s="17" t="s">
        <v>7414</v>
      </c>
      <c r="C1" s="17" t="s">
        <v>7415</v>
      </c>
      <c r="D1" s="17" t="s">
        <v>7416</v>
      </c>
      <c r="E1" s="17" t="s">
        <v>7417</v>
      </c>
      <c r="G1" s="25"/>
      <c r="H1" s="19" t="s">
        <v>7418</v>
      </c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</row>
    <row r="2" spans="1:19" ht="15.75">
      <c r="A2" s="16" t="s">
        <v>7419</v>
      </c>
      <c r="B2" s="16">
        <v>39955.025029999997</v>
      </c>
      <c r="C2" s="16">
        <v>16.78175366</v>
      </c>
      <c r="D2" s="16">
        <f>Table1[[#This Row],[scaled_coefficient]]/Table1[[#This Row],[scaled_feature_std]]</f>
        <v>2380.8611328406305</v>
      </c>
      <c r="E2" s="16" t="e">
        <f>NA()</f>
        <v>#N/A</v>
      </c>
      <c r="G2" s="26" t="s">
        <v>7420</v>
      </c>
      <c r="H2" s="24" t="s">
        <v>7421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19" ht="15.75">
      <c r="A3" s="16" t="s">
        <v>7422</v>
      </c>
      <c r="B3" s="16">
        <v>-16628.000329999999</v>
      </c>
      <c r="C3" s="16">
        <v>16.56166808</v>
      </c>
      <c r="D3" s="16">
        <f>Table1[[#This Row],[scaled_coefficient]]/Table1[[#This Row],[scaled_feature_std]]</f>
        <v>-1004.0051672138087</v>
      </c>
      <c r="E3" s="16" t="e">
        <f>NA()</f>
        <v>#N/A</v>
      </c>
      <c r="G3" s="25" t="s">
        <v>7423</v>
      </c>
      <c r="H3" s="21" t="s">
        <v>7424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15.75">
      <c r="A4" s="16" t="s">
        <v>7425</v>
      </c>
      <c r="B4" s="16">
        <v>8826.4641150000007</v>
      </c>
      <c r="C4" s="16">
        <v>3.7369793040000001</v>
      </c>
      <c r="D4" s="16">
        <f>Table1[[#This Row],[scaled_coefficient]]/Table1[[#This Row],[scaled_feature_std]]</f>
        <v>2361.9248052972362</v>
      </c>
      <c r="E4" s="16" t="e">
        <f>NA()</f>
        <v>#N/A</v>
      </c>
      <c r="G4" s="25"/>
      <c r="H4" s="21" t="s">
        <v>7426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15.75">
      <c r="A5" s="16" t="s">
        <v>7</v>
      </c>
      <c r="B5" s="16">
        <v>2750.7168579999998</v>
      </c>
      <c r="C5" s="16">
        <v>2.5027827509999998</v>
      </c>
      <c r="D5" s="16">
        <f>Table1[[#This Row],[scaled_coefficient]]/Table1[[#This Row],[scaled_feature_std]]</f>
        <v>1099.063375317309</v>
      </c>
      <c r="E5" s="16" t="e">
        <f>NA()</f>
        <v>#N/A</v>
      </c>
      <c r="G5" s="26" t="s">
        <v>7427</v>
      </c>
      <c r="H5" s="21" t="s">
        <v>7428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</row>
    <row r="6" spans="1:19" ht="15.75">
      <c r="A6" s="16" t="s">
        <v>7429</v>
      </c>
      <c r="B6" s="16">
        <v>-3930.0008469999998</v>
      </c>
      <c r="C6" s="16">
        <v>0.47752773100000001</v>
      </c>
      <c r="D6" s="16" t="e">
        <f>NA()</f>
        <v>#N/A</v>
      </c>
      <c r="E6" s="18" t="str" cm="1">
        <f t="array" ref="E6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6" s="25"/>
      <c r="H6" s="21" t="s">
        <v>7430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</row>
    <row r="7" spans="1:19" ht="15.75">
      <c r="A7" s="16" t="s">
        <v>7431</v>
      </c>
      <c r="B7" s="16">
        <v>4612.813067</v>
      </c>
      <c r="C7" s="16">
        <v>0.373622766</v>
      </c>
      <c r="D7" s="16" t="e">
        <f>NA()</f>
        <v>#N/A</v>
      </c>
      <c r="E7" s="18" t="str" cm="1">
        <f t="array" ref="E7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7" s="25"/>
      <c r="H7" s="21" t="s">
        <v>7432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1:19" ht="15.75">
      <c r="A8" s="16" t="s">
        <v>7433</v>
      </c>
      <c r="B8" s="16">
        <v>-532.19229629999995</v>
      </c>
      <c r="C8" s="16">
        <v>1.6185977000000001E-2</v>
      </c>
      <c r="D8" s="16" t="e">
        <f>NA()</f>
        <v>#N/A</v>
      </c>
      <c r="E8" s="18" t="str" cm="1">
        <f t="array" ref="E8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8" s="27" t="s">
        <v>7434</v>
      </c>
      <c r="H8" s="21" t="s">
        <v>7435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1:19" ht="15.75">
      <c r="A9" s="16" t="s">
        <v>7436</v>
      </c>
      <c r="B9" s="16">
        <v>-2775.84854</v>
      </c>
      <c r="C9" s="16">
        <v>0.41327999999999998</v>
      </c>
      <c r="D9" s="16" t="e">
        <f>NA()</f>
        <v>#N/A</v>
      </c>
      <c r="E9" s="18" t="str" cm="1">
        <f t="array" ref="E9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9" s="25" t="s">
        <v>7437</v>
      </c>
      <c r="H9" s="21" t="s">
        <v>7438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1:19" ht="15.75">
      <c r="A10" s="16" t="s">
        <v>7439</v>
      </c>
      <c r="B10" s="16">
        <v>580.26684020000005</v>
      </c>
      <c r="C10" s="16">
        <v>2.2887429000000001E-2</v>
      </c>
      <c r="D10" s="16" t="e">
        <f>NA()</f>
        <v>#N/A</v>
      </c>
      <c r="E10" s="18" t="str" cm="1">
        <f t="array" ref="E10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0" s="25" t="s">
        <v>7440</v>
      </c>
      <c r="H10" s="21" t="s">
        <v>7441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1:19" ht="15.75">
      <c r="A11" s="16" t="s">
        <v>7442</v>
      </c>
      <c r="B11" s="16">
        <v>-611.99367659999996</v>
      </c>
      <c r="C11" s="16">
        <v>4.2790389999999998E-2</v>
      </c>
      <c r="D11" s="16" t="e">
        <f>NA()</f>
        <v>#N/A</v>
      </c>
      <c r="E11" s="18" t="str" cm="1">
        <f t="array" ref="E11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1" s="27" t="s">
        <v>7443</v>
      </c>
      <c r="H11" s="24" t="s">
        <v>7444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1:19" ht="15.75">
      <c r="A12" s="16" t="s">
        <v>7445</v>
      </c>
      <c r="B12" s="16">
        <v>2988.2035390000001</v>
      </c>
      <c r="C12" s="16">
        <v>9.5329984000000006E-2</v>
      </c>
      <c r="D12" s="16" t="e">
        <f>NA()</f>
        <v>#N/A</v>
      </c>
      <c r="E12" s="18" t="str" cm="1">
        <f t="array" ref="E12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2" s="25" t="s">
        <v>7446</v>
      </c>
      <c r="H12" s="21" t="s">
        <v>7447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1:19" ht="15.75">
      <c r="A13" s="16" t="s">
        <v>7448</v>
      </c>
      <c r="B13" s="16">
        <v>1143.2784369999999</v>
      </c>
      <c r="C13" s="16">
        <v>0.15818338500000001</v>
      </c>
      <c r="D13" s="16" t="e">
        <f>NA()</f>
        <v>#N/A</v>
      </c>
      <c r="E13" s="18" t="str" cm="1">
        <f t="array" ref="E13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3" s="25" t="s">
        <v>7449</v>
      </c>
      <c r="H13" s="21" t="s">
        <v>7450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1:19" ht="15.75">
      <c r="A14" s="16" t="s">
        <v>7451</v>
      </c>
      <c r="B14" s="16">
        <v>187.89278540000001</v>
      </c>
      <c r="C14" s="16">
        <v>0.145868306</v>
      </c>
      <c r="D14" s="16" t="e">
        <f>NA()</f>
        <v>#N/A</v>
      </c>
      <c r="E14" s="18" t="str" cm="1">
        <f t="array" ref="E14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4" s="26" t="s">
        <v>7452</v>
      </c>
      <c r="H14" s="21" t="s">
        <v>7453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ht="15.75">
      <c r="A15" s="16" t="s">
        <v>7454</v>
      </c>
      <c r="B15" s="16">
        <v>10427.718419999999</v>
      </c>
      <c r="C15" s="16">
        <v>0.27036902200000001</v>
      </c>
      <c r="D15" s="16" t="e">
        <f>NA()</f>
        <v>#N/A</v>
      </c>
      <c r="E15" s="18" t="str" cm="1">
        <f t="array" ref="E15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5" s="25" t="s">
        <v>7455</v>
      </c>
      <c r="H15" s="21" t="s">
        <v>7456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ht="15.75">
      <c r="A16" s="16" t="s">
        <v>7457</v>
      </c>
      <c r="B16" s="16">
        <v>1247.4953390000001</v>
      </c>
      <c r="C16" s="16">
        <v>1.6185977000000001E-2</v>
      </c>
      <c r="D16" s="16" t="e">
        <f>NA()</f>
        <v>#N/A</v>
      </c>
      <c r="E16" s="18" t="str" cm="1">
        <f t="array" ref="E16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6" s="25"/>
      <c r="H16" s="21" t="s">
        <v>7458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ht="15.75">
      <c r="A17" s="16" t="s">
        <v>7459</v>
      </c>
      <c r="B17" s="16">
        <v>383.81361600000002</v>
      </c>
      <c r="C17" s="16">
        <v>2.2887429000000001E-2</v>
      </c>
      <c r="D17" s="16" t="e">
        <f>NA()</f>
        <v>#N/A</v>
      </c>
      <c r="E17" s="18" t="str" cm="1">
        <f t="array" ref="E17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  <c r="G17" s="25"/>
      <c r="H17" s="21" t="s">
        <v>7460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ht="15.75">
      <c r="A18" s="16" t="s">
        <v>7461</v>
      </c>
      <c r="B18" s="16">
        <v>4850.9651839999997</v>
      </c>
      <c r="C18" s="16">
        <v>7.2205459E-2</v>
      </c>
      <c r="D18" s="16" t="e">
        <f>NA()</f>
        <v>#N/A</v>
      </c>
      <c r="E18" s="18" t="str" cm="1">
        <f t="array" ref="E18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  <row r="19" spans="1:19" ht="15.75">
      <c r="A19" s="16" t="s">
        <v>7462</v>
      </c>
      <c r="B19" s="16">
        <v>616.31665880000003</v>
      </c>
      <c r="C19" s="16">
        <v>6.4616535000000003E-2</v>
      </c>
      <c r="D19" s="16" t="e">
        <f>NA()</f>
        <v>#N/A</v>
      </c>
      <c r="E19" s="18" t="str" cm="1">
        <f t="array" ref="E19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  <row r="20" spans="1:19" ht="15.75">
      <c r="A20" s="16" t="s">
        <v>7463</v>
      </c>
      <c r="B20" s="16">
        <v>1061.2315739999999</v>
      </c>
      <c r="C20" s="16">
        <v>3.6173970999999999E-2</v>
      </c>
      <c r="D20" s="16" t="e">
        <f>NA()</f>
        <v>#N/A</v>
      </c>
      <c r="E20" s="18" t="str" cm="1">
        <f t="array" ref="E20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  <row r="21" spans="1:19" ht="15.75">
      <c r="A21" s="16" t="s">
        <v>7464</v>
      </c>
      <c r="B21" s="16">
        <v>9856.2615750000004</v>
      </c>
      <c r="C21" s="16">
        <v>0.18005038300000001</v>
      </c>
      <c r="D21" s="16" t="e">
        <f>NA()</f>
        <v>#N/A</v>
      </c>
      <c r="E21" s="18" t="str" cm="1">
        <f t="array" ref="E21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  <row r="22" spans="1:19" ht="15.75">
      <c r="A22" s="16" t="s">
        <v>7465</v>
      </c>
      <c r="B22" s="16">
        <v>2792.588988</v>
      </c>
      <c r="C22" s="16">
        <v>4.2790389999999998E-2</v>
      </c>
      <c r="D22" s="16" t="e">
        <f>NA()</f>
        <v>#N/A</v>
      </c>
      <c r="E22" s="18" t="str" cm="1">
        <f t="array" ref="E22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  <row r="23" spans="1:19" ht="15.75">
      <c r="A23" s="16" t="s">
        <v>7466</v>
      </c>
      <c r="B23" s="16">
        <v>922.03867649999995</v>
      </c>
      <c r="C23" s="16">
        <v>3.2359226999999997E-2</v>
      </c>
      <c r="D23" s="16" t="e">
        <f>NA()</f>
        <v>#N/A</v>
      </c>
      <c r="E23" s="18" t="str" cm="1">
        <f t="array" ref="E23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  <row r="24" spans="1:19" ht="15.75">
      <c r="A24" s="16" t="s">
        <v>7467</v>
      </c>
      <c r="B24" s="16">
        <v>-282.4409354</v>
      </c>
      <c r="C24" s="16">
        <v>1.6185977000000001E-2</v>
      </c>
      <c r="D24" s="16" t="e">
        <f>NA()</f>
        <v>#N/A</v>
      </c>
      <c r="E24" s="18" t="str" cm="1">
        <f t="array" ref="E24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  <row r="25" spans="1:19" ht="15.75">
      <c r="A25" s="16" t="s">
        <v>7468</v>
      </c>
      <c r="B25" s="16">
        <v>2348.8314009999999</v>
      </c>
      <c r="C25" s="16">
        <v>5.5988996999999999E-2</v>
      </c>
      <c r="D25" s="16" t="e">
        <f>NA()</f>
        <v>#N/A</v>
      </c>
      <c r="E25" s="18" t="str" cm="1">
        <f t="array" ref="E25">_xlfn.LET(_xlpm.norm_feats, IF(ISNUMBER(SEARCH("floor_",Table1[feature],1)), REPLACE(Table1[feature],1,11,""), Table1[feature]), _xlpm.norm_floors, _xlfn._xlws.FILTER(_xlpm.norm_feats, ISNUMBER(--LEFT(_xlpm.norm_feats, 1))), _xlfn.UNIQUE(_xlfn._xlws.FILTER(listings[floor_plan], ISNA(MATCH(listings[floor_plan], _xlpm.norm_floors, 0)))))</f>
        <v>1DK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Chad Gallego</cp:lastModifiedBy>
  <cp:revision/>
  <dcterms:created xsi:type="dcterms:W3CDTF">2026-01-24T00:51:27Z</dcterms:created>
  <dcterms:modified xsi:type="dcterms:W3CDTF">2026-02-28T12:18:28Z</dcterms:modified>
  <cp:category/>
  <cp:contentStatus/>
</cp:coreProperties>
</file>